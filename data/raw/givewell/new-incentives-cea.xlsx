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Main CEA" sheetId="2" r:id="rId6"/>
    <sheet state="visible" name="Aggregation across vaccines" sheetId="3" r:id="rId7"/>
    <sheet state="visible" name="Treatment effect" sheetId="4" r:id="rId8"/>
    <sheet state="visible" name="Disease burden" sheetId="5" r:id="rId9"/>
    <sheet state="visible" name="Vaccine coverage" sheetId="6" r:id="rId10"/>
    <sheet state="visible" name="Vaccine efficacy" sheetId="7" r:id="rId11"/>
    <sheet state="visible" name="LeverageFunging" sheetId="8" r:id="rId12"/>
    <sheet state="visible" name="Inputs" sheetId="9" r:id="rId13"/>
    <sheet state="visible" name="GBD estimates" sheetId="10" r:id="rId14"/>
    <sheet state="visible" name="Simple CEA" sheetId="11" r:id="rId15"/>
    <sheet state="visible" name="Sensitivity analysis"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3">
      <text>
        <t xml:space="preserve">These values incorporate our rough best guess that vaccine-preventable disease burden among 5-14-year-olds will be 10% lower than it currently is by the time the target population reaches this age group.</t>
      </text>
    </comment>
    <comment authorId="0" ref="E68">
      <text>
        <t xml:space="preserve">These values incorporate our rough best guess that vaccine efficacy will have declined by 40% by the time vaccinated children reach this age group.</t>
      </text>
    </comment>
    <comment authorId="0" ref="E67">
      <text>
        <t xml:space="preserve">These values incorporate our rough best guess that vaccination rates for current 15-49-year-olds were 80% lower than they are currently during the time period in which this age group would have been scheduled to receive child vaccinations.</t>
      </text>
    </comment>
    <comment authorId="0" ref="E66">
      <text>
        <t xml:space="preserve">These values incorporate our rough best guess that vaccine-preventable disease burden among 15-49-year-olds will be 30% lower than it currently is by the time the target population reaches this age group.</t>
      </text>
    </comment>
    <comment authorId="0" ref="E81">
      <text>
        <t xml:space="preserve">These values incorporate our rough best guess that vaccine efficacy will have declined by 70% by the time vaccinated children reach this age group.</t>
      </text>
    </comment>
    <comment authorId="0" ref="E80">
      <text>
        <t xml:space="preserve">These values incorporate our rough best guess that vaccination rates for current 50-74-year-olds were 90% lower than they are currently during the time period in which this age group would have been scheduled to receive child vaccinations.</t>
      </text>
    </comment>
    <comment authorId="0" ref="E79">
      <text>
        <t xml:space="preserve">These values incorporate our rough best guess that vaccine-preventable disease burden among 50-74-year-olds will be 60% lower than it currently is by the time the target population reaches this age group.</t>
      </text>
    </comment>
    <comment authorId="0" ref="E55">
      <text>
        <t xml:space="preserve">These values incorporate our rough best guess that vaccine efficacy will have declined by 10% by the time vaccinated children reach this age group.</t>
      </text>
    </comment>
    <comment authorId="0" ref="E54">
      <text>
        <t xml:space="preserve">These values incorporate our rough best guess that vaccination rates for current 5-14-year-olds were 50% lower than they are currently during the time period in which this age group would have been scheduled to receive child vaccinations.</t>
      </text>
    </comment>
    <comment authorId="0" ref="C100">
      <text>
        <t xml:space="preserve">Note that the calculations here are out of date. As of March 2024, New Incentives provides total incentives of 6,000 naira over six visits. We plan to update this section in the future.  </t>
      </text>
    </comment>
    <comment authorId="0" ref="E262">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6">
      <text>
        <t xml:space="preserve">These parameters do not play a role in estimating the cost-effectiveness of New Incentives' program. We calculate these values to help us explain our reasoning in our published report on New Incentives' program. See this section of our invention report: https://www.givewell.org/international/technical/programs/new-incentives#Overall_efficacy_across_vaccines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8">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A57">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27">
      <text>
        <t xml:space="preserve">Upstream costs cause downstream costs.</t>
      </text>
    </comment>
    <comment authorId="0" ref="E26">
      <text>
        <t xml:space="preserve">Upstream costs cause downstream costs.</t>
      </text>
    </comment>
    <comment authorId="0" ref="E73">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28">
      <text>
        <t xml:space="preserve">This input is highly uncertain. We  benchmark to the value we use for insecticide-treated net distributions and seasonal malaria chemoprevention.
For more information, see this section of our New Incentives intervention report: https://www.givewell.org/international/technical/programs/new-incentives#Adjustment_for_all-cause_mortality_effect</t>
      </text>
    </comment>
    <comment authorId="0" ref="E34">
      <text>
        <t xml:space="preserve">"In the meta-analyses we rely on for our primary analysis of vaccine efficacy, we use 'intention-to-treat' estimates where possible. These estimate the impact of a vaccine on all RCT participants assigned to receive the vaccine, whether or not they actually received it. This is different from our cost-effectiveness analysis, which models the impact of actually being vaccinated.
We account for this with a rough guess that 95% of the participants in the treatment groups of the studies in the meta-analyses we use were actually vaccinated. This is a rough guess and we haven’t investigated the underlying studies in detail. We incorporate this in our analysis by dividing our estimates of vaccine efficacy by 95%."
https://www.givewell.org/international/technical/programs/new-incentives#Adjustment_for_imperfect_coverage_in_vaccine_trials</t>
      </text>
    </comment>
    <comment authorId="0" ref="E30">
      <text>
        <t xml:space="preserve">These weights are our rough best guess at the relevance of each source of evidence to New Incentives' program.</t>
      </text>
    </comment>
    <comment authorId="0" ref="E158">
      <text>
        <t xml:space="preserve">We obtained this value using the GBD 2019 results tool. We are unable to provide a useful reference link because the tool now requires a log in.</t>
      </text>
    </comment>
    <comment authorId="0" ref="E92">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PCV, we found one relevant study, which suggests that a large proportion of vaccine efficacy is provided by the first two doses:
- Whitney et al. 2006 found that 33% of overall vaccine efficacy was provided by the 1st dose and 97% by the first 2 doses. See page 5: https://pubmed.ncbi.nlm.nih.gov/17071283/</t>
      </text>
    </comment>
    <comment authorId="0" ref="E220">
      <text>
        <t xml:space="preserve">"We estimate that 95% of children who are vaccinated in each geography where New Incentives is operating are enrolled in New Incentives’ program. Some children vaccinated in periodic campaigns, rather than routine immunizations in clinics, might not be enrolled in New Incentives' program and should therefore be excluded from our cost estimate. We guess that this proportion is low, based on analysis conducted by IDinsight during the original RCT." 
https://www.givewell.org/international/technical/programs/new-incentives#What_proportion_of_vaccinated_children_are_enrolled_in_the_program</t>
      </text>
    </comment>
    <comment authorId="0" ref="E187">
      <text>
        <t xml:space="preserve">Probability of death from diseases addressed by vaccines may fall over time. This would lower the baseline mortality rate for individuals once they enter into older age groups.
Current parameters are highly speculative.</t>
      </text>
    </comment>
    <comment authorId="0" ref="E26">
      <text>
        <t xml:space="preserve">Uzicanin and Zimmerman 2011 is a meta-analysis of measles vaccine efficacy that includes both global and Africa-specific efficacy estimates. We use the Africa-specific efficacy estimate for this parameter.
Table 2. By WHO Region: AFR, Median, p.S145</t>
      </text>
    </comment>
    <comment authorId="0" ref="E249">
      <text>
        <t xml:space="preserve">Exchange rate as of June 2019, retreived from Google. See here for historical exchange rates: https://www.exchangerates.org.uk/NGN-USD-spot-exchange-rates-history-2019.html</t>
      </text>
    </comment>
    <comment authorId="0" ref="AU66">
      <text>
        <t xml:space="preserve">See page 56.</t>
      </text>
    </comment>
    <comment authorId="0" ref="E88">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PENTA (which comprises the HiB and DPT vaccines), we found two relevant studies, both of which suggest that a large proportion of vaccine efficacy is provided by the first two doses:
- Davis et al. 2013, a systematic review of HiB vaccine efficacy found that 38% of overall vaccine efficacy was provided by the 1st dose and 97% by the first 2 doses. See page 1: https://www.ncbi.nlm.nih.gov/pmc/articles/PMC3847464/
"A meta-analysis of four case-control studies examined the dose-specific effect of Hib conjugate vaccines on Hib meningitis morbidity (1 dose: RR=0.64, 95% CI 0.38-1.06; 2 doses: RR=0.09, 95% CI 0.03-0.27; 3 doses: RR=0.06, 95% CI 0.02-0.22), consistent with results from single RCTs." (abstract)
1 dose: 0.36/0.94 = 38%
2 doses: 0.91/0.94 = 97%
- Quinn et al. 2014, a study of DPT vaccine efficacy in Australia, found that 66% of overall vaccine efficacy was provided by the 1st dose and 99% by the first 2 doses. See page 1: https://pubmed.ncbi.nlm.nih.gov/24515514/
"VE against hospitalization increased from 55.3% (95% confidence interval [CI], 42.7%-65.1%) for 1 dose before 4 months of age to 83.0% (95% CI, 70.2%-90.3%) for 2 doses before 6 months. The VE of 3 doses of DTaP against all reported pertussis was 83.5% (95% CI, 79.1%-87.8%) between 6 and 11 months" (abstract)
1 dose: 55.3/83.5 = 66%
2 doses: 83.0/83.5 = 99%</t>
      </text>
    </comment>
    <comment authorId="0" ref="E183">
      <text>
        <t xml:space="preserve">The meta-analyses we use are based on short-term vaccine effects. We guess effects are muted in the long-term. Current parameters are highly speculative.</t>
      </text>
    </comment>
    <comment authorId="0" ref="E245">
      <text>
        <t xml:space="preserve">"Briefly mention the stages and the amount (500 naira at Birth, 6 weeks, 10 weeks, and 14 weeks, and 2,000 naira at 9 months for Measles)." https://files.givewell.org/files/DWDA%202009/NewIncentives/New_Incentives_Program_Protocols_2018_2020.pdf, Pg 47.</t>
      </text>
    </comment>
    <comment authorId="0" ref="E84">
      <text>
        <t xml:space="preserve">For baseline measles vaccine coverage, we place full weight on the 2021 MICS results. New Incentives' coverage surveys surveyed children 6-12-months-old, which we believe led to systematically underestimating measles vaccine coverage, since the first dose of the measles vaccine is scheduled to be given at the age of 9 months.</t>
      </text>
    </comment>
    <comment authorId="0" ref="E51">
      <text>
        <t xml:space="preserve">We estimate the impact of self-report bias on the results of New Incentives' rapid coverage assessments based on the proportion of children who developed scars in response to receiving the BCG vaccine compared to the proportion of children who were reported to have received the vaccine. 
Based on the literature, we roughly guess that 90% of children who receive the BCG vaccine develop a detectable BCG scar. The results of the rapid assessments imply that &lt;90% of children reported to have received the BCG vaccine developed a detectable scar, which we take as evidence that vaccination rates are being slightly underreported in these assessments.
See our calculations here: https://docs.google.com/spreadsheets/d/1KmpcCIpC8AT5lyv0Mzik0Q3naaSRzYKVbHn2tZdqhAs/edit?usp=sharing</t>
      </text>
    </comment>
    <comment authorId="0" ref="E18">
      <text>
        <t xml:space="preserve">Based on Thumburu et al. 2015. 
https://doi.org/10.1177/2051013615575871
"Pooled vaccine efficacy using a fixed effects model against confirmed invasive Hib disease following the 3, 2 and 1 primary dose schedule were 82% [95% confidence interval (CI) 73-87], 79% (95% CI 54–90) and 65% (95% CI 23–84), respectively, and the overall efficacy was 80% (95% CI 72–85)." (abstract)
See here for more information: https://www.givewell.org/international/technical/programs/new-incentives#Meta-analyses_of_vaccine_efficacy</t>
      </text>
    </comment>
    <comment authorId="0" ref="E274">
      <text>
        <t xml:space="preserve">"Goods purchased and left in storage until they expire" is not applicable to New Incentives, which does not distribute commodities. The value of the cash itself is a very small portion of the benefits we model from New Incentives' program, so we have skipped making an adjustment to the consumption benefits for the risk of fraud. Separate from the adjustment in this row, we consider whether the risk of fraud is higher in the period following the RCT than it was during the RCT. If so, we consider adjusting how effective we expect the cash transfers to be at incentivizing vaccination.</t>
      </text>
    </comment>
    <comment authorId="0" ref="AU58">
      <text>
        <t xml:space="preserve">See pages 174-175.</t>
      </text>
    </comment>
    <comment authorId="0" ref="E80">
      <text>
        <t xml:space="preserve">The rotavirus vaccine had not yet been rolled out in 2021, so we assume that 0% of the population represented in GBD 2021 disease burden estimates would have received the rotavirus vaccine.
The rotavirus vaccine was not introduced in Nigeria’s immunization schedule until August 2022. See Gavi, "Dealing with diarrhoea: Nigeria introduces rotavirus vaccine into its immunisation plan," August 30, 2022.
https://www.gavi.org/vaccineswork/dealing-diarrhoea-nigeria-introduces-rotavirus-vaccine-its-immunisation-plan</t>
      </text>
    </comment>
    <comment authorId="0" ref="C270">
      <text>
        <t xml:space="preserve">It's often difficult to explicitly model different kinds of wastage or other grantee-level issues directly in our cost-effectiveness analysis. This section summarizes rough adjustments to our cost-effectiveness analysis to take into account our best guess of how different grantee-level factors affect our best guess of true cost-effectiveness. </t>
      </text>
    </comment>
    <comment authorId="0" ref="AU54">
      <text>
        <t xml:space="preserve">See pages 174-175.</t>
      </text>
    </comment>
    <comment authorId="0" ref="E76">
      <text>
        <t xml:space="preserve">New Incentives' coverage surveys did not collect information on rotavirus vaccine coverage. Because the 1st and 2nd doses of the rotavirus vaccine are scheduled to be delivered alongside the 1st and 2nd doses of the PENTA and PCV vaccines, we estimate baseline rotavirus vaccine coverage by putting 50% weight on PENTA coverage and 50% weight on PCV coverage.</t>
      </text>
    </comment>
    <comment authorId="0" ref="AU21">
      <text>
        <t xml:space="preserve">Based on meta-analyses from the Lives Saved Tool (LiST). See here for more information: https://www.givewell.org/international/technical/programs/new-incentives#Efficacy_analysis
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t>
      </text>
    </comment>
    <comment authorId="0" ref="E72">
      <text>
        <t xml:space="preserve">Unlike New Incentives' rapid coverage assessments, surveyors for the MICS 2017 survey also checked children's vaccination cards for records of having received certain vaccines, which we expect to be less susceptible to bias than self-report.</t>
      </text>
    </comment>
    <comment authorId="0" ref="AU17">
      <text>
        <t xml:space="preserve">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t>
      </text>
    </comment>
    <comment authorId="0" ref="E229">
      <text>
        <t xml:space="preserve">Our estimates of vaccine efficacy are based on vaccines' effects on incidence of vaccine-preventable disease. A 100% value for this input implies that vaccines reduce vaccine-preventable disease mortality by the same percent that vaccines reduce vaccine-preventable disease incidence. An input below 100% indicates that vaccine-preventable disease mortality does not drop as much as vaccine-preventable disease incidence when infants are vaccinated. Our best guess is that the reduction in vaccine-preventable disease incidence results in a similar reduction in mortality, but we are not aware of high-quality empirical evidence that we can use to test this assumption.</t>
      </text>
    </comment>
    <comment authorId="0" ref="E31">
      <text>
        <t xml:space="preserve">This estimate is our rough best guess about the extent to which poor measles vaccine efficacy would imply problems with other vaccines.</t>
      </text>
    </comment>
    <comment authorId="0" ref="E93">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the rotavirus vaccine, we found several relevant studies, which suggest that a fairly large proportion of vaccine efficacy is provided by the first first dose:
- Wang et al. 2013, which studied rotavirus vaccine efficacy in the U.S., found that 94% of overall vaccine efficacy was provided by the 1st dose. See page 1: https://journals.lww.com/pidj/Fulltext/2013/03000/Effectiveness_of_an_Incomplete_RotaTeq__RV5_.20.aspx
"One dose of RV5 was associated with 88% effectiveness against rotavirus gastroenteritis hospitalizations and ED visits and 44% effectiveness against all-cause gastroenteritis hospitalizations and ED visits. A 2-dose regimen of RV5 was associated with 94% effectiveness against rotavirus gastroenteritis hospitalizations and ED visits and 40% effectiveness against all-cause gastroenteritis hospitalizations and ED visits." (abstract)
1 dose: 88%/94% = 94%
- Krishnarajah et al. 2016, which studied rotavirus vaccine efficacy in the U.S. Medicaid program, found that 97% of overall vaccine efficacy was provided by the 1st dose. See page 1: https://journals.plos.org/plosone/article?id=10.1371/journal.pone.0145977
- Muhsen et al. 2018, which studied rotavirus vaccine efficacy in Israel, found that 94% of overall vaccine efficacy was provided by the 1st dose. See page 1: https://www.clinicalmicrobiologyandinfection.com/article/S1198-743X(17)30229-X/fulltext#:~:text=Effectiveness%20of%20the%20complete%20vaccine,CI%3A%2030%E2%80%9391)
"Effectiveness of the complete vaccine series was estimated at 77% (95% confidence interval (CI): 49–90) in children aged 6–59 months, and 86% (95% CI: 65–94) in children aged 6–23 months; whereas for the incomplete series, the respective estimates were 72% (95% CI: 28–89) and 75% (95% CI: 30–91)."
1 dose: 72%/77% = 94%
- Hungerford et al. 2017, a meta-analysis of rotavirus vaccine efficacy across 30 countries, found that 77% of overall vaccine efficacy was provided by the 1st dose. See page 1: https://bmcinfectdis.biomedcentral.com/articles/10.1186/s12879-017-2613-4
"Vaccine effectiveness was higher for those receiving the complete vaccine schedule (81% VE; 95% CI 75-86%) compared to partial schedule (62% VE; 95% CI 55-69%)." (abstract)
1 dose: 62%/81% = 77%</t>
      </text>
    </comment>
    <comment authorId="0" ref="C283">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grantees. The "Supplemental intervention-level adjustments" tab of this spreadsheet includes more details on how these adjustments are calculated and some brief justifications.</t>
      </text>
    </comment>
    <comment authorId="0" ref="E188">
      <text>
        <t xml:space="preserve">We guess that vaccination rates have increased over time in Nigeria, so percent vaccinated is lower for older cohorts in the current IHME data.</t>
      </text>
    </comment>
    <comment authorId="0" ref="E27">
      <text>
        <t xml:space="preserve">These weights are our rough best guess at the relevance of each source of evidence to New Incentives' program.</t>
      </text>
    </comment>
    <comment authorId="0" ref="E250">
      <text>
        <t xml:space="preserve">We base our estimate of average household size on the results of the 2021 Malaria Indicator Survey (MIS) from Nigeria. Average household size reported in the 2021 MIS ranges from 6.3 to 8.1 in states where New Incentives operate, averaging 6.8. We use this average value across all states in the CEA, including prospective states where New Incentives does not yet operate. We have opted not to vary this estimate by state, because this parameter has a negligible effect on estimated cost-effectiveness of the program.</t>
      </text>
    </comment>
    <comment authorId="0" ref="AU67">
      <text>
        <t xml:space="preserve">See page 56.</t>
      </text>
    </comment>
    <comment authorId="0" ref="E89">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PENTA (which comprises the HiB and DPT vaccines), we found two relevant studies, both of which suggest that a large proportion of vaccine efficacy is provided by the first two doses:
- Davis et al. 2013, a systematic review of HiB vaccine efficacy found that 38% of overall vaccine efficacy was provided by the 1st dose and 97% by the first 2 doses. See page 1: https://www.ncbi.nlm.nih.gov/pmc/articles/PMC3847464/
"A meta-analysis of four case-control studies examined the dose-specific effect of Hib conjugate vaccines on Hib meningitis morbidity (1 dose: RR=0.64, 95% CI 0.38-1.06; 2 doses: RR=0.09, 95% CI 0.03-0.27; 3 doses: RR=0.06, 95% CI 0.02-0.22), consistent with results from single RCTs." (abstract)
1 dose: 0.36/0.94 = 38%
2 doses: 0.91/0.94 = 97%
- Quinn et al. 2014, a study of DPT vaccine efficacy in Australia, found that 66% of overall vaccine efficacy was provided by the 1st dose and 99% by the first 2 doses. See page 1: https://pubmed.ncbi.nlm.nih.gov/24515514/
"VE against hospitalization increased from 55.3% (95% confidence interval [CI], 42.7%-65.1%) for 1 dose before 4 months of age to 83.0% (95% CI, 70.2%-90.3%) for 2 doses before 6 months. The VE of 3 doses of DTaP against all reported pertussis was 83.5% (95% CI, 79.1%-87.8%) between 6 and 11 months" (abstract)
1 dose: 55.3/83.5 = 66%
2 doses: 83.0/83.5 = 99%</t>
      </text>
    </comment>
    <comment authorId="0" ref="E184">
      <text>
        <t xml:space="preserve">Probability of death from diseases addressed by vaccines may fall over time. This would lower the baseline mortality rate for individuals once they enter into older age groups.
Current parameters are highly speculative.</t>
      </text>
    </comment>
    <comment authorId="0" ref="E279">
      <text>
        <t xml:space="preserve">Scenario: Grantee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We do not believe that this is a meaningful risk with New Incentives, which runs a single program. Our impression from conversations with New Incentives is that it is seeking to implement the program with high fidelity to the way it was implemented during the RCT because deviations from that model could undermine New Incentives' and GiveWell's confidence that the program was continuing to have a similar level of impact.</t>
      </text>
    </comment>
    <comment authorId="0" ref="E246">
      <text>
        <t xml:space="preserve">"Briefly mention the stages and the amount (500 naira at Birth, 6 weeks, 10 weeks, and 14 weeks, and 2,000 naira at 9 months for Measles)." https://files.givewell.org/files/DWDA%202009/NewIncentives/New_Incentives_Program_Protocols_2018_2020.pdf, Pg 47.</t>
      </text>
    </comment>
    <comment authorId="0" ref="E19">
      <text>
        <t xml:space="preserve">Based on meta-analyses from the Lives Saved Tool (LiST). See here for more information: https://www.givewell.org/international/technical/programs/new-incentives#Meta-analyses_of_vaccine_efficacy</t>
      </text>
    </comment>
    <comment authorId="0" ref="E242">
      <text>
        <t xml:space="preserve">A pre-RCT report by IDinsight estimates that “the 97% of clinic records are from settlements less than 250 naira by motorbike from the clinic.” The distance among New Incentives partner clinics is likely to decrease at scale. Based on this, we estimate that a visit costs 100 naira one-way or 200 naira round trip. We view this as a rough guess.
https://files.givewell.org/files/DWDA%202009/NewIncentives/IDinsight_Impact_Evaluation_of_New_Incentives_in_North_West_States_of_Zamfara_and_Katsina.pdf, Pg. 8</t>
      </text>
    </comment>
    <comment authorId="0" ref="AU59">
      <text>
        <t xml:space="preserve">See pages 174-175.</t>
      </text>
    </comment>
    <comment authorId="0" ref="E238">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AU55">
      <text>
        <t xml:space="preserve">See pages 174-175.</t>
      </text>
    </comment>
    <comment authorId="0" ref="E205">
      <text>
        <t xml:space="preserve">We estimate the impact of self-report bias on the results of the New Incentives RCT based on the proportion of children who developed scars in response to receiving the BCG vaccine compared to the proportion of children who were reported to have received the vaccine. 
Based on the literature, we roughly guess that 90% of children who receive the BCG vaccine develop a detectable BCG scar. The results of the RCT imply that only 65% of children reported to have received the BCG vaccine developed a detectable scar, which we take as evidence that vaccination rates are being overreported in these assessments by about 28%.
See our calculations here: https://docs.google.com/spreadsheets/d/1Xy0Zi8Uh7-AnIVLvYDG8u6w7KAyAcQDwRB4CmPaVlLA/edit#gid=36758249</t>
      </text>
    </comment>
    <comment authorId="0" ref="E94">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the rotavirus vaccine, we found several relevant studies, which suggest that a fairly large proportion of vaccine efficacy is provided by the first first dose:
- Wang et al. 2013, which studied rotavirus vaccine efficacy in the U.S., found that 94% of overall vaccine efficacy was provided by the 1st dose. See page 1: https://journals.lww.com/pidj/Fulltext/2013/03000/Effectiveness_of_an_Incomplete_RotaTeq__RV5_.20.aspx
"One dose of RV5 was associated with 88% effectiveness against rotavirus gastroenteritis hospitalizations and ED visits and 44% effectiveness against all-cause gastroenteritis hospitalizations and ED visits. A 2-dose regimen of RV5 was associated with 94% effectiveness against rotavirus gastroenteritis hospitalizations and ED visits and 40% effectiveness against all-cause gastroenteritis hospitalizations and ED visits." (abstract)
1 dose: 88%/94% = 94%
- Krishnarajah et al. 2016, which studied rotavirus vaccine efficacy in the U.S. Medicaid program, found that 97% of overall vaccine efficacy was provided by the 1st dose. See page 1: https://journals.plos.org/plosone/article?id=10.1371/journal.pone.0145977
- Muhsen et al. 2018, which studied rotavirus vaccine efficacy in Israel, found that 94% of overall vaccine efficacy was provided by the 1st dose. See page 1: https://www.clinicalmicrobiologyandinfection.com/article/S1198-743X(17)30229-X/fulltext#:~:text=Effectiveness%20of%20the%20complete%20vaccine,CI%3A%2030%E2%80%9391)
"Effectiveness of the complete vaccine series was estimated at 77% (95% confidence interval (CI): 49–90) in children aged 6–59 months, and 86% (95% CI: 65–94) in children aged 6–23 months; whereas for the incomplete series, the respective estimates were 72% (95% CI: 28–89) and 75% (95% CI: 30–91)."
1 dose: 72%/77% = 94%
- Hungerford et al. 2017, a meta-analysis of rotavirus vaccine efficacy across 30 countries, found that 77% of overall vaccine efficacy was provided by the 1st dose. See page 1: https://bmcinfectdis.biomedcentral.com/articles/10.1186/s12879-017-2613-4
"Vaccine effectiveness was higher for those receiving the complete vaccine schedule (81% VE; 95% CI 75-86%) compared to partial schedule (62% VE; 95% CI 55-69%)." (abstract)
1 dose: 62%/81% = 77%</t>
      </text>
    </comment>
    <comment authorId="0" ref="E189">
      <text>
        <t xml:space="preserve">The meta-analyses we use are based on short-term vaccine effects. We guess effects are muted in the long-term. Current parameters are highly speculative.</t>
      </text>
    </comment>
    <comment authorId="0" ref="E28">
      <text>
        <t xml:space="preserve">These weights are our rough best guess at the relevance of each source of evidence to New Incentives' program.
For more information about GiveWell's analysis, see this section of our intervention report: 
https://www.givewell.org/international/technical/programs/new-incentives#Biomarker_pilots_of_measles_immunity_in_Nigeria</t>
      </text>
    </comment>
    <comment authorId="0" ref="E156">
      <text>
        <t xml:space="preserve">We obtained this value using the GBD 2019 results tool. We are unable to provide a useful reference link because the tool now requires a log in.</t>
      </text>
    </comment>
    <comment authorId="0" ref="E251">
      <text>
        <t xml:space="preserve">We assume the same baseline annual consumption per capita as we do for recipients of cash transfers in GiveDirectly's programs. </t>
      </text>
    </comment>
    <comment authorId="0" ref="AU68">
      <text>
        <t xml:space="preserve">See page 56.</t>
      </text>
    </comment>
    <comment authorId="0" ref="E90">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PCV, we found one relevant study, which suggests that a large proportion of vaccine efficacy is provided by the first two doses:
- Whitney et al. 2006 found that 33% of overall vaccine efficacy was provided by the 1st dose and 97% by the first 2 doses. See page 5: https://pubmed.ncbi.nlm.nih.gov/17071283/</t>
      </text>
    </comment>
    <comment authorId="0" ref="E185">
      <text>
        <t xml:space="preserve">We guess that vaccination rates have increased over time in Nigeria, so percent vaccinated is lower for older cohorts in the current IHME data.</t>
      </text>
    </comment>
    <comment authorId="0" ref="E24">
      <text>
        <t xml:space="preserve">IDinsight conducted two pilots to test the feasibility of using oral fluid measles antibody tests to validate caregiver-reported vaccination status. Both of these pilots found low agreement between the test and caregiver-reported vaccination status, as well as administrative records (e.g., child health cards). Among children reported to be vaccinated, just 22% tested positive for measles antibodies.
IDinsight's pilots were not designed to measure vaccine efficacy, and we put relatively little weight on the possibility that the results of the pilots are fully explained by low vaccine efficacy in Nigeria. However, in order to incorporate the information from the pilots into our CEA, we first estimate the measles vaccine efficacy rate that would explain the study results if one were to assume that they were fully explained by low vaccine efficacy in Nigeria. Based a number of uncertain best guesses, we estimate that the results of the pilots correspond with a measles vaccine efficacy rate of 26%. We assign 20% weight to this figure in our estimate of vaccine efficacy in New Incentives' program areas.
See our calculations here: https://docs.google.com/spreadsheets/d/19L_WlsGaLBDh2i0kgq8lCI3aAKx8XZ9fD4DO5ux_lW0/edit#gid=385883853
</t>
      </text>
    </comment>
    <comment authorId="0" ref="E280">
      <text>
        <t xml:space="preserve">Scenario: Grantee encounters non-funding bottlenecks to allocating funding and holds funding for a long time. At an extreme, grantee is unable to spend money, draws down funding over time on work to identify opportunities to spend money for a time, and then shifts to another program.
As noted in our review of New Incentives (https://www.givewell.org/charities/new-incentives), there is a risk that government opposition to the program could reduce the impact of the program. We would guess that the risk of lost impact is small because New Incentives has been operating the program since 2017 and opposition has not yet affected impact.</t>
      </text>
    </comment>
    <comment authorId="0" ref="E247">
      <text>
        <t xml:space="preserve">"Briefly mention the stages and the amount (500 naira at Birth, 6 weeks, 10 weeks, and 14 weeks, and 2,000 naira at 9 months for Measles)." https://files.givewell.org/files/DWDA%202009/NewIncentives/New_Incentives_Program_Protocols_2018_2020.pdf, Pg 47.</t>
      </text>
    </comment>
    <comment authorId="0" ref="AU64">
      <text>
        <t xml:space="preserve">See page 56.</t>
      </text>
    </comment>
    <comment authorId="0" ref="E20">
      <text>
        <t xml:space="preserve">Based on meta-analyses from the Lives Saved Tool (LiST). See here for more information: https://www.givewell.org/international/technical/programs/new-incentives#Meta-analyses_of_vaccine_efficacy</t>
      </text>
    </comment>
    <comment authorId="0" ref="E276">
      <text>
        <t xml:space="preserve">Scenario: Grantee sends money/goods to a country/partner and the country/partner reports back that they carried out the program and reached a certain number of people, but these results are partially or fully fabricated and we do not have monitoring results from those locations.
To date, New Incentives monitoring has been comprehensive of its activities.</t>
      </text>
    </comment>
    <comment authorId="0" ref="AU60">
      <text>
        <t xml:space="preserve">See pages 174-175.</t>
      </text>
    </comment>
    <comment authorId="0" ref="E16">
      <text>
        <t xml:space="preserve">Mangtani et al. 2014, Figure 5
https://doi.org/10.1093/cid/cit790
See here for more information: https://www.givewell.org/international/technical/programs/new-incentives#Meta-analyses_of_vaccine_efficacy</t>
      </text>
    </comment>
    <comment authorId="0" ref="E272">
      <text>
        <t xml:space="preserve">Scenario: The program is delivered to people who don't benefit or minimally benefit because they have received the program from another source.
We adjust for this elsewhere in our model.</t>
      </text>
    </comment>
    <comment authorId="0" ref="E239">
      <text>
        <t xml:space="preserve">We assume income effects from averting vaccine-preventable diseases are the same as income effects from averted malaria, proportional to mortalities averted by each program. We may update this assumption based on an analysis of the symptoms each disease causes and how likely it is that averting those symptoms will lead to increased income later in life, but we haven't done this systematically yet.</t>
      </text>
    </comment>
    <comment authorId="0" ref="AU56">
      <text>
        <t xml:space="preserve">See pages 174-175.</t>
      </text>
    </comment>
    <comment authorId="0" ref="AU19">
      <text>
        <t xml:space="preserve">Based on meta-analyses from the Lives Saved Tool (LiST). See here for more information: https://www.givewell.org/international/technical/programs/new-incentives#Efficacy_analysis
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t>
      </text>
    </comment>
    <comment authorId="0" ref="E41">
      <text>
        <t xml:space="preserve">For states in which only some local government areas (LGAs) were covered by New Incentives'  coverage surveys, we place weight on the coverage surveys equal to the proportion of LGAs covered plus an additional 50% upward adjustment. We default to placing more weight on the results of New Incentives'  coverage surveys than on the results of the 2021 MICS survey because we have a better understanding of the methodology behind the  coverage surveys and more confidence in the representativeness of their results.</t>
      </text>
    </comment>
    <comment authorId="0" ref="E8">
      <text>
        <t xml:space="preserve">This row assumes a donation of arbitrary size ($1,000,000) across countries.</t>
      </text>
    </comment>
    <comment authorId="0" ref="AU238">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E95">
      <text>
        <t xml:space="preserve">While Nigeria's vaccination schedule includes two doses of the measles vaccines (one at 9 months and one at 15 months), the meta-analysis on which we base our estimate of measles vaccine efficacy only studied the efficacy of the 1st dose, and only the 1st dose was incentivized in the New Incentives RCT.
Since the RCT, New Incentives has added an incentive for the 2nd dose of measles vaccine to its program. We have not yet updated our CEA to incorporate the benefits of incentivizing the 2nd dose of the measles vaccine, though we have incorporated the costs of the additional incentives in our estimate of the cost per child enrolled. We do not believe incorporating the benefits of the 2nd dose of measles vaccine would have a significant impact on the cost-effectiveness of the program.</t>
      </text>
    </comment>
    <comment authorId="0" ref="E190">
      <text>
        <t xml:space="preserve">Probability of death from diseases addressed by vaccines may fall over time. This would lower the baseline mortality rate for individuals once they enter into older age groups.
Current parameters are highly speculative.</t>
      </text>
    </comment>
    <comment authorId="0" ref="E29">
      <text>
        <t xml:space="preserve">These weights are our rough best guess at the relevance of each source of evidence to New Incentives' program.</t>
      </text>
    </comment>
    <comment authorId="0" ref="E91">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PCV, we found one relevant study, which suggests that a large proportion of vaccine efficacy is provided by the first two doses:
- Whitney et al. 2006 found that 33% of overall vaccine efficacy was provided by the 1st dose and 97% by the first 2 doses. See page 5: https://pubmed.ncbi.nlm.nih.gov/17071283/</t>
      </text>
    </comment>
    <comment authorId="0" ref="E186">
      <text>
        <t xml:space="preserve">The meta-analyses we use are based on short-term vaccine effects. We guess effects are muted in the long-term. Current parameters are highly speculative.</t>
      </text>
    </comment>
    <comment authorId="0" ref="E25">
      <text>
        <t xml:space="preserve">Fowotade et al. 2015 is a seroconversion study conducted in Nigeria that tested immune response among children who had received the measles vaccine.
"The seroconversion pattern showed that 196 (68.6%) of the infants developed protective antibody titers."</t>
      </text>
    </comment>
    <comment authorId="0" ref="E281">
      <text>
        <t xml:space="preserve">Scenario: Grantee runs multiple programs and shifts funds from non-GiveWell sources or fundraising effort out of the program that we want to fund as a result of receiving GiveWell-directed funding.
Not applicable: single program organization.</t>
      </text>
    </comment>
    <comment authorId="0" ref="E248">
      <text>
        <t xml:space="preserve">"Briefly mention the stages and the amount (500 naira at Birth, 6 weeks, 10 weeks, and 14 weeks, and 2,000 naira at 9 months for Measles)." https://files.givewell.org/files/DWDA%202009/NewIncentives/New_Incentives_Program_Protocols_2018_2020.pdf, Pg 47.</t>
      </text>
    </comment>
    <comment authorId="0" ref="AU65">
      <text>
        <t xml:space="preserve">See page 56.</t>
      </text>
    </comment>
    <comment authorId="0" ref="E87">
      <text>
        <t xml:space="preserve">Our estimates of the proportion of vaccine efficacy provided by individual vaccine doses are rough guesses based on a quick literature review. We developed our best guesses based on overall trends in the evidence, rather than calculating them based on the results of any specific study or set of studies.
For PENTA (which comprises the HiB and DPT vaccines), we found two relevant studies, both of which suggest that a large proportion of vaccine efficacy is provided by the first two doses:
- Davis et al. 2013, a systematic review of HiB vaccine efficacy found that 38% of overall vaccine efficacy was provided by the 1st dose and 97% by the first 2 doses. See page 1: https://www.ncbi.nlm.nih.gov/pmc/articles/PMC3847464/
"A meta-analysis of four case-control studies examined the dose-specific effect of Hib conjugate vaccines on Hib meningitis morbidity (1 dose: RR=0.64, 95% CI 0.38-1.06; 2 doses: RR=0.09, 95% CI 0.03-0.27; 3 doses: RR=0.06, 95% CI 0.02-0.22), consistent with results from single RCTs." (abstract)
1 dose: 0.36/0.94 = 38%
2 doses: 0.91/0.94 = 97%
- Quinn et al. 2014, a study of DPT vaccine efficacy in Australia, found that 66% of overall vaccine efficacy was provided by the 1st dose and 99% by the first 2 doses. See page 1: https://pubmed.ncbi.nlm.nih.gov/24515514/
"VE against hospitalization increased from 55.3% (95% confidence interval [CI], 42.7%-65.1%) for 1 dose before 4 months of age to 83.0% (95% CI, 70.2%-90.3%) for 2 doses before 6 months. The VE of 3 doses of DTaP against all reported pertussis was 83.5% (95% CI, 79.1%-87.8%) between 6 and 11 months" (abstract)
1 dose: 55.3/83.5 = 66%
2 doses: 83.0/83.5 = 99%</t>
      </text>
    </comment>
    <comment authorId="0" ref="E182">
      <text>
        <t xml:space="preserve">We guess that vaccination rates have increased over time in Nigeria, so percent vaccinated is lower for older cohorts in the current IHME data.</t>
      </text>
    </comment>
    <comment authorId="0" ref="E21">
      <text>
        <t xml:space="preserve">Based on meta-analyses from the Lives Saved Tool (LiST). See here for more information: https://www.givewell.org/international/technical/programs/new-incentives#Meta-analyses_of_vaccine_efficacy</t>
      </text>
    </comment>
    <comment authorId="0" ref="E277">
      <text>
        <t xml:space="preserve">Scenario: The monitoring results that we've received are partially or fully fabricated or significantly biased in some way we are unaware of, leading us to believe that results are better than they actually were.
We have relatively high confidence in New Incentives' monitoring, which involves multiple rounds of checks and audits by different teams. We make a small downward adjustment to account for our having spent more total time over years of review interrogating some of our other top charities' monitoring methods, relative to a single round of intensive review of New Incentives' monitoring before adding it to our list of top charities in 2020. </t>
      </text>
    </comment>
    <comment authorId="0" ref="E244">
      <text>
        <t xml:space="preserve">"Briefly mention the stages and the amount (500 naira at Birth, 6 weeks, 10 weeks, and 14 weeks, and 2,000 naira at 9 months for Measles)." https://files.givewell.org/files/DWDA%202009/NewIncentives/New_Incentives_Program_Protocols_2018_2020.pdf, Pg 47.</t>
      </text>
    </comment>
    <comment authorId="0" ref="AU61">
      <text>
        <t xml:space="preserve">See pages 174-175.</t>
      </text>
    </comment>
    <comment authorId="0" ref="E83">
      <text>
        <t xml:space="preserve">For baseline measles vaccine coverage, we place full weight on the 2021 MICS results. New Incentives' coverage surveys surveyed children 6-12-months-old, which we believe led to systematically underestimating measles vaccine coverage, since the first dose of the measles vaccine is scheduled to be given at the age of 9 months.</t>
      </text>
    </comment>
    <comment authorId="0" ref="E306">
      <text>
        <t xml:space="preserve">The government would provide additional funding to fully cover the intervention. The philanthropic donation therefore funges with the government and value of donating is equivalent to the marginal value of government funds.
We believe there is a small probability that  government costs would replace philanthropic costs. We would guess the likelihood of this scenario is not high because CCTs are not mentioned in the demand creation strategy plan included in the Nsipss: https://nigeriahealthwatch.com/wp-content/uploads/bsk-pdf-manager/2019/09/18.04.2018_Nigeria-Strategy-for-Immunization-and-PHC-Strengthening_3rd_Version-Final.pdf. 
However, we would guess there is some probability government costs would replace philanthropic costs. For our reasoning, see: https://www.givewell.org/charities/new-incentives#What_would_happen_if_GiveWell_did_not_fund_the_program</t>
      </text>
    </comment>
    <comment authorId="0" ref="E17">
      <text>
        <t xml:space="preserve">Based on meta-analyses from the Lives Saved Tool (LiST). See here for more information: https://www.givewell.org/international/technical/programs/new-incentives#Meta-analyses_of_vaccine_efficacy
For the DTP vaccine, we rely on the LiST meta-analysis result for the pertussis vaccine, because pertussis is responsible for a large majority of under-five deaths from diphtheria, tetanus, and pertusis.</t>
      </text>
    </comment>
    <comment authorId="0" ref="E273">
      <text>
        <t xml:space="preserve">Scenario: Pills, ITNs, etc. are poorly made, counterfeit, or otherwise largely or fully ineffective at achieving the expected outcome. 
Possibility of ineffective vaccines is adjusted for elsewhere in the model.</t>
      </text>
    </comment>
    <comment authorId="0" ref="AU57">
      <text>
        <t xml:space="preserve">See pages 174-175.</t>
      </text>
    </comment>
    <comment authorId="0" ref="E79">
      <text>
        <t xml:space="preserve">The rotavirus vaccine had not yet been rolled out in 2021, so we assume that 0% of the population represented in GBD 2021 disease burden estimates would have received the rotavirus vaccine.
The rotavirus vaccine was not introduced in Nigeria’s immunization schedule until August 2022. See Gavi, "Dealing with diarrhoea: Nigeria introduces rotavirus vaccine into its immunisation plan," August 30, 2022.
https://www.gavi.org/vaccineswork/dealing-diarrhoea-nigeria-introduces-rotavirus-vaccine-its-immunisation-plan </t>
      </text>
    </comment>
    <comment authorId="0" ref="E75">
      <text>
        <t xml:space="preserve">New Incentives' coverage surveys did not collect information on rotavirus vaccine coverage. Because the 1st and 2nd doses of the rotavirus vaccine are scheduled to be delivered alongside the 1st and 2nd doses of the PENTA and PCV vaccines, we estimate baseline rotavirus vaccine coverage by putting 50% weight on PENTA coverage and 50% weight on PCV coverage.</t>
      </text>
    </comment>
    <comment authorId="0" ref="AU20">
      <text>
        <t xml:space="preserve">Based on meta-analyses from the Lives Saved Tool (LiST). See here for more information: https://www.givewell.org/international/technical/programs/new-incentives#Efficacy_analysis
You can access specific vaccine efficacy rates through the Live Saved Tool by selecting "Explore data section" -&gt; "Nigeria" -&gt; "Efficacy values" from the lefthand dropdown -&gt; "Efficacy of Interventions" on the lefthand sidebar -&gt; ""Child (1-59 months) mortality" from the lefthand dropdown, then selecting the diseases you're interested in.</t>
      </text>
    </comment>
    <comment authorId="0" ref="E232">
      <text>
        <t xml:space="preserve">This discount factor is intended to reflect a higher relative value on deaths averted now vs. deaths averted in the future and potentially that there are fundamental changes that render the program ineffective.</t>
      </text>
    </comment>
    <comment authorId="0" ref="E71">
      <text>
        <t xml:space="preserve">Unlike New Incentives' rapid coverage assessments, surveyors for the MICS 2021 survey also checked children's vaccination cards for records of having received certain vaccines, which we expect to be less susceptible to bias than self-report.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Source: Institute for Health Metrics and Evaluation (IHME). Used with permission. All rights reserved.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4">
      <text>
        <t xml:space="preserve">To re-run the sensitivity analysis using updated percentile values entered above, navigate in the Google Sheets menu to:
Extensions -&gt; Macros -&gt; Run sensitivity analysis
Running the analysis will take a few minutes. You may have to grant Google Sheets permission to run the script.</t>
      </text>
    </comment>
  </commentList>
</comments>
</file>

<file path=xl/sharedStrings.xml><?xml version="1.0" encoding="utf-8"?>
<sst xmlns="http://schemas.openxmlformats.org/spreadsheetml/2006/main" count="30601" uniqueCount="1041">
  <si>
    <t xml:space="preserve"> [April </t>
  </si>
  <si>
    <t>New Incentives – current states of operation</t>
  </si>
  <si>
    <t>Sheet descriptions</t>
  </si>
  <si>
    <t>New Incentives – prospective states</t>
  </si>
  <si>
    <t>Main CEA</t>
  </si>
  <si>
    <t>This sheet contains the primary calculations that result in final cost-effectiveness estimates. This sheet draws on inputs from the "Inputs" sheet and inputs calculated in the other supplemental sheets listed below.</t>
  </si>
  <si>
    <t>Aggregation across vaccines</t>
  </si>
  <si>
    <t>Nigeria</t>
  </si>
  <si>
    <t>This sheet contains our calculations for pulling CEA parameters from other supplementary sheets and aggregating them across vaccines before entering them in the "Main CEA" sheet.</t>
  </si>
  <si>
    <t>Treatment effect</t>
  </si>
  <si>
    <t>This sheet contains our calculations of the effect of New Incentives' program on vaccine uptake.</t>
  </si>
  <si>
    <t>Disease burden</t>
  </si>
  <si>
    <t>This sheet contains our calculations of vaccine-preventable disease burden among New Incentives' target population.</t>
  </si>
  <si>
    <t>Vaccine coverage</t>
  </si>
  <si>
    <t>This sheet contains our calculations of baseline vaccination coverage among New Incentives' target population, as well as vaccination coverage among populations represented by GBD disease burden estimates.</t>
  </si>
  <si>
    <t>Vaccine efficacy</t>
  </si>
  <si>
    <t>This sheet contains our calculations of the effect of vaccination on disease incidence for each vaccine incentivized by New Incentives' program.</t>
  </si>
  <si>
    <t>Leverage/Funging</t>
  </si>
  <si>
    <t>Main calculations</t>
  </si>
  <si>
    <t>This sheet contains our calculations of the impact that crowding in and crowding out funding by other contributors has on the benefits of the program.</t>
  </si>
  <si>
    <t>Inputs</t>
  </si>
  <si>
    <t>unit</t>
  </si>
  <si>
    <t>type</t>
  </si>
  <si>
    <t>This sheet contains all of the manually entered input values informing the CEA, along with the sources and reasoning supporting them. This sheet also contains inputs sourced from the "GBD estimates" sheet.</t>
  </si>
  <si>
    <t>Overall</t>
  </si>
  <si>
    <t>GBD estimates</t>
  </si>
  <si>
    <t>Bauchi</t>
  </si>
  <si>
    <t>This sheet contains disease burden and population datasets downloaded from the Institute of Health Metrics (IHME)'s Global Burden of Disease (GBD) project.</t>
  </si>
  <si>
    <t>Gombe</t>
  </si>
  <si>
    <t>Simple CEA</t>
  </si>
  <si>
    <t>Jigawa</t>
  </si>
  <si>
    <t>Kaduna</t>
  </si>
  <si>
    <t>Kano</t>
  </si>
  <si>
    <t>Katsina</t>
  </si>
  <si>
    <t>Kebbi</t>
  </si>
  <si>
    <t>Sokoto</t>
  </si>
  <si>
    <t>This sheet contains a simplified version of the CEA that is designed to be comparable to our CEAs of other programs.</t>
  </si>
  <si>
    <t>Zamfara</t>
  </si>
  <si>
    <t>Abia</t>
  </si>
  <si>
    <t>Adamawa</t>
  </si>
  <si>
    <t>Akwa Ibom</t>
  </si>
  <si>
    <t>Anambra</t>
  </si>
  <si>
    <t>Bayelsa</t>
  </si>
  <si>
    <t>Sensitivity analysis</t>
  </si>
  <si>
    <t>Benue</t>
  </si>
  <si>
    <t>Borno</t>
  </si>
  <si>
    <t>Cross River</t>
  </si>
  <si>
    <t>Delta</t>
  </si>
  <si>
    <t>Ebonyi</t>
  </si>
  <si>
    <t>Edo</t>
  </si>
  <si>
    <t>Ekiti</t>
  </si>
  <si>
    <t>Enugu</t>
  </si>
  <si>
    <t>FCT</t>
  </si>
  <si>
    <t>Imo</t>
  </si>
  <si>
    <t>Kogi</t>
  </si>
  <si>
    <t>Kwara</t>
  </si>
  <si>
    <t>Lagos</t>
  </si>
  <si>
    <t>Nasarawa</t>
  </si>
  <si>
    <t>Niger</t>
  </si>
  <si>
    <t>Ogun</t>
  </si>
  <si>
    <t>Ondo</t>
  </si>
  <si>
    <t>Osun</t>
  </si>
  <si>
    <t>This sheet contains the outputs of a sensitivity analysis macro that tests the cost-effectiveness ranges that would result from updating certain inputs to their 25th or 75th percentile values.</t>
  </si>
  <si>
    <t>Oyo</t>
  </si>
  <si>
    <t>Plateau</t>
  </si>
  <si>
    <t>Rivers</t>
  </si>
  <si>
    <t>Taraba</t>
  </si>
  <si>
    <t>Yobe</t>
  </si>
  <si>
    <t>Final cost-effectiveness estimate (pulled from below for visibility)</t>
  </si>
  <si>
    <t>Terminology key</t>
  </si>
  <si>
    <t>Final cost-effectiveness estimate (pulled from "Main calcs" sheet for visibility)</t>
  </si>
  <si>
    <t>feed</t>
  </si>
  <si>
    <t>Terms specific to this CEA</t>
  </si>
  <si>
    <t>BCG vaccine</t>
  </si>
  <si>
    <t>The Bacillus Calmette-Guerin (BCG) vaccine is designed to prevent tuberculosis and other mycobacterial infections. BCG is one of the vaccines directly incentivized by New Incentives' program.</t>
  </si>
  <si>
    <t>Penta vaccine</t>
  </si>
  <si>
    <t>The pentavalent vaccine (referred to as Penta in this CEA) is a 5-in-1 vaccine that is designed to prevent diphtheria, pertussis, tetanus, hepatitis B, and H. influenza type B infections. Penta is one of the vaccines directly incentivized by New Incentives' program.</t>
  </si>
  <si>
    <t>DTP vaccine</t>
  </si>
  <si>
    <t>The DTP vaccine is designed to prevent diphtheria, pertussis, and tetanus. In Nigeria, the DTP vaccine is typically delivered as part of the Penta vaccine, which is one of the vaccines directly incentivized by New Incentives' program.</t>
  </si>
  <si>
    <t>Hib vaccine</t>
  </si>
  <si>
    <t>The HiB vaccine is designed to prevent H. influenzae type B (Hib) infections. In Nigeria, the Hib vaccine is typically delivered as part of the Penta vaccine, which is one of the vaccines directly incentivized by New Incentives' program.</t>
  </si>
  <si>
    <t>PCV vaccine</t>
  </si>
  <si>
    <t>The pneumococcal conjugate vaccine (PCV) is designed to prevent pneumococcal infections. PCV is one of the vaccines directly incentivized by New Incentives' program.</t>
  </si>
  <si>
    <t>The efficacy rate of a vaccine refers to the reduction in vaccine-targeted disease incidence among people who receive the vaccine compared to those who do not receive the vaccine.</t>
  </si>
  <si>
    <t>Vaccine-preventable causes</t>
  </si>
  <si>
    <t>In this CEA, we use "vaccine-preventable causes" to refer to causes of disease incidence and mortality that are addressable by the specific set of vaccines directly incentivized by New Incentives' program.</t>
  </si>
  <si>
    <t>Grantee costs</t>
  </si>
  <si>
    <t>Vaccine-preventable mortalities</t>
  </si>
  <si>
    <t>In this CEA, we use "vaccine-preventable mortalities" to refer to mortalities that we expect would be averted if all children were fully vaccinated with the set of vaccines directly incentivized by New Incentives' program. Because vaccines are not 100% effective, the number of "vaccine-preventable mortalities" will always represent a subset of "mortalities from vaccine-preventable causes."</t>
  </si>
  <si>
    <t>MICS survey</t>
  </si>
  <si>
    <t>Multiple Indicator Cluster Surveys (MICS) are standardized household surveys implemented in many countries to collect data on a variety of indicators, including child vaccination rates.</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</si>
  <si>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</si>
  <si>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</si>
  <si>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</si>
  <si>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External validity</t>
  </si>
  <si>
    <t>Describes an adjustment we make to the treatment effect of an intervention to account for differences in the program implementation or populations treated in studies from the program implementation or populations treated by grantee programs.</t>
  </si>
  <si>
    <t>GiveWell costs</t>
  </si>
  <si>
    <t>Leverage</t>
  </si>
  <si>
    <t>Describes a situation where a grantee's spending on a program causes other organizations or governments to contribute more to the program than they otherwise would have. In most cases, accounting for leverage increases cost-effectiveness</t>
  </si>
  <si>
    <t>Funging</t>
  </si>
  <si>
    <t>Describes a situation where a grantee's spending on a program causes other organizations or governments to contribute less to the program than they otherwise would have. In most cases, accounting for funging decreases cost-effectiveness.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</si>
  <si>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</si>
  <si>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</si>
  <si>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Grant size</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</si>
  <si>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</si>
  <si>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</si>
  <si>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</si>
  <si>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</si>
  <si>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Baseline coverage for the target population</t>
  </si>
  <si>
    <t>Unit and source key</t>
  </si>
  <si>
    <t>Unit labels used in the CEA</t>
  </si>
  <si>
    <t>#</t>
  </si>
  <si>
    <t>Number</t>
  </si>
  <si>
    <t>per 1k</t>
  </si>
  <si>
    <t>Rate per 1,000</t>
  </si>
  <si>
    <t>per 100k</t>
  </si>
  <si>
    <t>Rate per 100,000</t>
  </si>
  <si>
    <t>Baseline vaccination coverage for the target population</t>
  </si>
  <si>
    <t>$</t>
  </si>
  <si>
    <t>U.S. dollars</t>
  </si>
  <si>
    <t>ln($)</t>
  </si>
  <si>
    <t>The natural logarithm of a monetary value</t>
  </si>
  <si>
    <t>%</t>
  </si>
  <si>
    <t>Percentage</t>
  </si>
  <si>
    <t>Baseline proportion of children in the target population who receive the BCG vaccine</t>
  </si>
  <si>
    <t>ppt</t>
  </si>
  <si>
    <t>Percentage points</t>
  </si>
  <si>
    <t>UoV</t>
  </si>
  <si>
    <t>Units of value: an arbitrary unit GiveWell uses to compare the moral value of different types of outcomes, such as saving lives or increasing income</t>
  </si>
  <si>
    <t>xcash</t>
  </si>
  <si>
    <t>Cost-effectiveness in terms of multiples of GiveDirectly's unconditional cash transfer program</t>
  </si>
  <si>
    <t>supp</t>
  </si>
  <si>
    <t>Source labels used in the CEA</t>
  </si>
  <si>
    <t>Input</t>
  </si>
  <si>
    <t>A value pulled from the "Inputs" sheet</t>
  </si>
  <si>
    <t>Calc</t>
  </si>
  <si>
    <t>A value calculated using other values in the same sheet</t>
  </si>
  <si>
    <t>Supp</t>
  </si>
  <si>
    <t>A value pulled from one of the sheets hosting supplemental calculations</t>
  </si>
  <si>
    <t>Main</t>
  </si>
  <si>
    <t>A value pulled from the "Main CEA" sheet</t>
  </si>
  <si>
    <t>Feed</t>
  </si>
  <si>
    <t>A value pulled from an earlier section within the same sheet</t>
  </si>
  <si>
    <t>GiveWell analyses informing this model</t>
  </si>
  <si>
    <t>Analyses specific to this CEA</t>
  </si>
  <si>
    <t>Spending attributable to grantee</t>
  </si>
  <si>
    <t>GW's analysis of New Incentives cost per infant immunized</t>
  </si>
  <si>
    <t>Vaccination coverage rates for the control group of the New Incentives RCT</t>
  </si>
  <si>
    <t>Total spending contributed by grantee</t>
  </si>
  <si>
    <t>calc</t>
  </si>
  <si>
    <t>-</t>
  </si>
  <si>
    <t>GW's analysis of the biomarkers pilot results for Nigeria</t>
  </si>
  <si>
    <t>GW's analysis of self-report bias in vaccine coverage sources for New Incentives</t>
  </si>
  <si>
    <t>GW's analysis of disease etiology for lower respiratory infections and meningitis</t>
  </si>
  <si>
    <t>Cost per child enrolled</t>
  </si>
  <si>
    <t>Baseline proportion of children in the target population who receive the 1st dose of the Penta vaccine</t>
  </si>
  <si>
    <t>GW's analysis of average household size in Northwest Nigeria</t>
  </si>
  <si>
    <t>Proportion of children in the New Incentives RCT control group who reported receiving the BCG vaccine</t>
  </si>
  <si>
    <t>Cost per infant enrolled in the program</t>
  </si>
  <si>
    <t>Analyses referenced across GiveWell's CEAs</t>
  </si>
  <si>
    <t>GW's moral weights and discount rate</t>
  </si>
  <si>
    <t>GW's supplemental intervention-level adjustments</t>
  </si>
  <si>
    <t>GiveWell's CEA for GiveDirectly's unconditional cash transfers</t>
  </si>
  <si>
    <t>GW's analysis of the counterfactual value of other actors' spending</t>
  </si>
  <si>
    <t>GW's analysis of the counterfactual value of Global Fund spending</t>
  </si>
  <si>
    <t>Baseline proportion of children in the target population who receive the 2nd dose of the Penta vaccine</t>
  </si>
  <si>
    <t>Outputs</t>
  </si>
  <si>
    <t>Proportion of children in the New Incentives RCT control group who reported receiving the 1st dose of the Penta vaccine</t>
  </si>
  <si>
    <t>Total children enrolled</t>
  </si>
  <si>
    <t>Total children enrolled in the program</t>
  </si>
  <si>
    <t>Total children vaccinated</t>
  </si>
  <si>
    <t>Baseline proportion of children in the target population who receive the 3rd dose of the Penta vaccine</t>
  </si>
  <si>
    <t>Proportion of vaccinated children who are enrolled in New Incentives' program</t>
  </si>
  <si>
    <t>Proportion of children in the New Incentives RCT control group who reported receiving the 2nd dose of the Penta vaccine</t>
  </si>
  <si>
    <t>Baseline proportion of children in the target population who receive the 1st dose of the PCV vaccine</t>
  </si>
  <si>
    <t>Total children vaccinated in program areas</t>
  </si>
  <si>
    <t>Proportion of children in the New Incentives RCT control group who reported receiving the 3rd dose of the Penta vaccine</t>
  </si>
  <si>
    <t>Counterfactual vaccination coverage</t>
  </si>
  <si>
    <t>Proportion of children in the target population who would be vaccinated in the absence of the program, aggregated across vaccines</t>
  </si>
  <si>
    <t>Tuberculosis</t>
  </si>
  <si>
    <t>Baseline proportion of children in the target population who receive the 2nd dose of the PCV vaccine</t>
  </si>
  <si>
    <t>Probability of dying of tuberculosis</t>
  </si>
  <si>
    <t>Probability that a person will die of tuberculosis before reaching age 5</t>
  </si>
  <si>
    <t>Proportion of children in the New Incentives RCT control group who reported receiving the 1st dose of the PCV vaccine</t>
  </si>
  <si>
    <t>Baseline proportion of children in the target population who receive the 3rd dose of the PCV vaccine</t>
  </si>
  <si>
    <t>Corresponding proportion of children who would not be vaccinated in the absence of the program, aggregated across incentivized vaccines</t>
  </si>
  <si>
    <t>Probability that a 5-year-old will die of tuberculosis before reaching age 15</t>
  </si>
  <si>
    <t>Proportion of children in the New Incentives RCT control group who reported receiving the 2nd dose of the PCV vaccine</t>
  </si>
  <si>
    <t>Effect of the program on vaccination coverage</t>
  </si>
  <si>
    <t>Reduction in the proportion of children who are unvaccinated as a result of New Incentives' program, based on GW's analysis of the New Incentives RCT, aggregated across vaccines</t>
  </si>
  <si>
    <t>Baseline proportion of children in the target popullation who receive the 1st dose of the rotavirus vaccine</t>
  </si>
  <si>
    <t>Probability that a 15-year-old will die of tuberculosis before reaching age 50</t>
  </si>
  <si>
    <t>Proportion of children in the New Incentives RCT control group who reported receiving the 3rd dose of the PCV vaccine</t>
  </si>
  <si>
    <t>Internal validity adjustment</t>
  </si>
  <si>
    <t>Estimated proportion of children in the target population who receive the 2nd dose of the rotavirus vaccine</t>
  </si>
  <si>
    <t>Probability that a 50-year-old will die of tuberculosis before reaching age 75</t>
  </si>
  <si>
    <t>Proportion of children in the New Incentives RCT control group who reported receiving the measles vaccine</t>
  </si>
  <si>
    <t>Reduction in the proportion of children who are unvaccinated as a result of New Incentives' program</t>
  </si>
  <si>
    <t>Corresponding increase in the proportion of children who are vaccinated as a result of New Incentives' program</t>
  </si>
  <si>
    <t>Baseline proportion of children in the target population who receive the 1st dose of the measles vaccine</t>
  </si>
  <si>
    <t>Total proportion of children in the target population who are vaccinated</t>
  </si>
  <si>
    <t>Tuberculosis mortalities occurring before the age of vaccination</t>
  </si>
  <si>
    <t>Proportion of tuberculosis mortalities among people under age 5 that occur prior to the age of BCG vaccination (birth)</t>
  </si>
  <si>
    <t>input</t>
  </si>
  <si>
    <t>Number of children vaccinated as a result of New Incentives' program</t>
  </si>
  <si>
    <t>Children in the target population</t>
  </si>
  <si>
    <t>Adjustment for self-report bias</t>
  </si>
  <si>
    <t>Adjustment for self-report bias in the New Incentives RCT</t>
  </si>
  <si>
    <t>Children counterfactually vaccinated</t>
  </si>
  <si>
    <t>Proportion of vaccine-preventable mortalities that could be prevented by each vaccine dose</t>
  </si>
  <si>
    <t>Proportion of vaccine-preventable mortalities among people under age 5 that could be prevented by the BCG vaccine</t>
  </si>
  <si>
    <t>Probability that a person will die of tuberculosis before reaching age 5, adjusted for deaths occurring before the age of vaccination</t>
  </si>
  <si>
    <t>Outcomes</t>
  </si>
  <si>
    <t>Mortality reduction among people under age 5</t>
  </si>
  <si>
    <t>Probability that a person will die of a vaccine-preventable cause before reaching age 5, adjusted for deaths occurring before the age of vaccination</t>
  </si>
  <si>
    <t>Diphtheria</t>
  </si>
  <si>
    <t>Probability of dying of diphtheria</t>
  </si>
  <si>
    <t>Vaccination coverage rates for the control group of the New Incentives RCT, adjusted for self-report bias</t>
  </si>
  <si>
    <t>Probability that a person will die of diphtheria before reaching age 5</t>
  </si>
  <si>
    <t>Proportion of children in the New Incentives RCT control group who received the BCG vaccine</t>
  </si>
  <si>
    <t>Proportion of vaccine-preventable mortalities among people under age 5 that could be prevented by the 1st dose of the Penta vaccine</t>
  </si>
  <si>
    <t>Proportion of children in the New Incentives RCT control group who received the 1st dose of the Penta vaccine</t>
  </si>
  <si>
    <t>Proportion of people under age 5 represented in GBD 2021 disease burden estimates who were vaccinated, aggregated across vaccines</t>
  </si>
  <si>
    <t>Proportion of children in the New Incentives RCT control group who received the 2nd dose of the Penta vaccine</t>
  </si>
  <si>
    <t>Proportion of children in the New Incentives RCT control group who received the 3rd dose of the Penta vaccine</t>
  </si>
  <si>
    <t>Proportion of children in the New Incentives RCT control group who received the 1st dose of the PCV vaccine</t>
  </si>
  <si>
    <t>Probability that a 5-year-old will die of diphtheria before reaching age 15</t>
  </si>
  <si>
    <t>Proportion of vaccine-preventable mortalities among people under age 5 that could be prevented by the 2nd dose of the Penta vaccine</t>
  </si>
  <si>
    <t>Proportion of vaccine-preventable disease incidence averted by full vaccination among people under age 5, aggregated across vaccines</t>
  </si>
  <si>
    <t>Probability that a 15-year-old will die of diphtheria before reaching age 50</t>
  </si>
  <si>
    <t>Proportion of vaccine-preventable mortalities among people under age 5 that could be prevented by the 3rd dose of the Penta vaccine</t>
  </si>
  <si>
    <t>Probability that an unvaccinated person will die of a vaccine-preventable cause before reaching age 5, adjusted for deaths occurring before the age of vaccination</t>
  </si>
  <si>
    <t>Probability that a 50-year-old will die of diphtheria before reaching age 75</t>
  </si>
  <si>
    <t>Proportion of children in the New Incentives RCT control group who received the 2nd dose of the PCV vaccine</t>
  </si>
  <si>
    <t>Mortalities indirectly attributable to vaccine-preventable disease per mortality directly caused by vaccine-preventable disease</t>
  </si>
  <si>
    <t>Proportion of children in the New Incentives RCT control group who received the 3rd dose of the PCV vaccine</t>
  </si>
  <si>
    <t>Proportion of vaccine-preventable mortalities among people under age 5 that could be prevented by the 1st dose of the PCV vaccine</t>
  </si>
  <si>
    <t>Proportion of children in the New Incentives RCT control group who received the measles vaccine</t>
  </si>
  <si>
    <t>Diphtheria mortalities occurring before the age of vaccination</t>
  </si>
  <si>
    <t>Diphtheria mortalities per year among people under age 5</t>
  </si>
  <si>
    <t>Probability that an unvaccinated person will die of a vaccine-preventable cause before reaching age 5, including mortalities indirectly attributable to vaccine-preventable disease</t>
  </si>
  <si>
    <t>Proportion of vaccine-preventable mortalities among people under age 5 that could be prevented by the 2nd dose of the PCV vaccine</t>
  </si>
  <si>
    <t>Ratio of the reduction in vaccine-preventable disease mortality to the reduction in vaccine-preventable disease incidence</t>
  </si>
  <si>
    <t>Diphtheria mortalities per year among people under age 1</t>
  </si>
  <si>
    <t>Proportion of vaccine-preventable mortalities among people under age 5 that could be prevented by the 3rd dose of the PCV vaccine</t>
  </si>
  <si>
    <t>Total deaths averted among people under age 5</t>
  </si>
  <si>
    <t>Proportion of vaccine-preventable mortalities among people under age 5 that could be prevented by the 1st dose of the rotavirus vaccine</t>
  </si>
  <si>
    <t>Mortality reduction among people age 5 through age 14</t>
  </si>
  <si>
    <t>Probability that a 5-year-old will die of a vaccine-preventable cause before reaching age 15</t>
  </si>
  <si>
    <t>Proportion of diphtheria mortalities among people under age 5 that occur before age 1</t>
  </si>
  <si>
    <t>Proportion of vaccine-preventable mortalities among people under age 5 that could be prevented by the 2nd dose of the rotavirus vaccine</t>
  </si>
  <si>
    <t>Proportion of 5-14-year-olds represented in GBD 2021 disease burden estimates who were vaccinated, aggregated across vaccines</t>
  </si>
  <si>
    <t>Assumed proportion of diphtheria mortalities among people under age 1 occurring before the age of Penta vaccination (6 weeks)</t>
  </si>
  <si>
    <t>Proportion of vaccine-preventable mortalities among people under age 5 that could be prevented by the 1st dose of the measles vaccine</t>
  </si>
  <si>
    <t>Proportion of diphtheria mortalities among people under age 5 that occur before the age of Penta vaccination (6 weeks)</t>
  </si>
  <si>
    <t>Proportion of vaccine-preventable disease incidence averted by full vaccination among 5-14-year-olds, aggregated across vaccines</t>
  </si>
  <si>
    <t>Probability that a person will die of diphtheria before reaching age 5, adjusted for deaths occurring before the age of vaccination</t>
  </si>
  <si>
    <t>Baseline vaccination coverage for the target population, aggregated across vaccines</t>
  </si>
  <si>
    <t>Pertussis</t>
  </si>
  <si>
    <t>Probability of dying of pertussis</t>
  </si>
  <si>
    <t>Vaccine efficacy and coverage for people under age 5, aggregated across vaccines</t>
  </si>
  <si>
    <t>Probability that a person will die of pertussis before reaching age 5</t>
  </si>
  <si>
    <t>Vaccine efficacy with universal coverage</t>
  </si>
  <si>
    <t>BCG vaccine efficacy rate with universal coverage</t>
  </si>
  <si>
    <t>Probability that an unvaccinated 5-year-old will die of a vaccine-preventable cause before reaching age 15</t>
  </si>
  <si>
    <t>Probability that a 5-year-old will die of pertussis before reaching age 15</t>
  </si>
  <si>
    <t>DTP vaccine efficacy rate with universal coverage (part of the Penta vaccine)</t>
  </si>
  <si>
    <t>Probability that an unvaccinated 5-year-old will die of a vaccine-preventable cause before reaching age 15, including mortalities indirectly attributable to vaccine-preventable disease</t>
  </si>
  <si>
    <t>Probability that a 15-year-old will die of pertussis before reaching age 50</t>
  </si>
  <si>
    <t>Hib vaccine efficacy rate with universal coverage (part of the Penta vaccine)</t>
  </si>
  <si>
    <t>Deaths averted among people age 5 through 14</t>
  </si>
  <si>
    <t>Probability that a 50-year-old will die of pertussis before reaching age 75</t>
  </si>
  <si>
    <t>Discount rate for deaths averted in the future</t>
  </si>
  <si>
    <t>PCV vaccine efficacy rate with universal coverage</t>
  </si>
  <si>
    <t>Average years between vaccination and a mortality occuring among 5-15-year-olds</t>
  </si>
  <si>
    <t>Rotavirus vaccine efficacy rate with universal coverage</t>
  </si>
  <si>
    <t>Pertussis mortalities occurring before the age of vaccination</t>
  </si>
  <si>
    <t>Pertussis mortalities per year among people under age 5</t>
  </si>
  <si>
    <t>Pertussis mortalities per year among people under age 1</t>
  </si>
  <si>
    <t>Measles vaccine efficacy rate with universal coverage</t>
  </si>
  <si>
    <t>Discounted deaths averted among people age 5 through age 14</t>
  </si>
  <si>
    <t>Average proportion of vaccine-preventable mortalities that could be prevented by each vaccine dose in RCT states (Jigawa, Katsina, Zamfara)</t>
  </si>
  <si>
    <t>Proportion of vaccine-preventable mortalities among people under age 5 that could be prevented by the BCG vaccine in RCT states</t>
  </si>
  <si>
    <t>Proportion of vaccine-preventable mortalities among people under age 5 that could be prevented by the 1st dose of the Penta vaccine in RCT states</t>
  </si>
  <si>
    <t>Proportion of pertussis mortalities among people under age 5 that occur before age 1</t>
  </si>
  <si>
    <t>Proportion of vaccine-preventable mortalities among people under age 5 that could be prevented by the 2nd dose of the Penta vaccine in RCT states</t>
  </si>
  <si>
    <t>Proportion of vaccine-preventable mortalities among people under age 5 that could be prevented by the 3rd dose of the Penta vaccine in RCT states</t>
  </si>
  <si>
    <t>Proportion of vaccine-preventable mortalities among people under age 5 that could be prevented by the 1st dose of the PCV vaccine in RCT states</t>
  </si>
  <si>
    <t>Mortality reduction among people age 15 through age 49</t>
  </si>
  <si>
    <t>Assumed proportion of pertussis mortalities among people under age 1 occurring before the age of Penta vaccination (6 weeks)</t>
  </si>
  <si>
    <t>Probability that a 15-year-old will die of a vaccine-preventable cause before reaching age 50</t>
  </si>
  <si>
    <t>Proportion of vaccine-preventable mortalities among people under age 5 that could be prevented by the 2nd dose of the PCV vaccine in RCT states</t>
  </si>
  <si>
    <t>Proportion of vaccine-preventable mortalities among people under age 5 that could be prevented by the 3rd dose of the PCV vaccine in RCT states</t>
  </si>
  <si>
    <t>Proportion of vaccine-preventable mortalities among people under age 5 that could be prevented by the 1st dose of the measles vaccine in RCT states</t>
  </si>
  <si>
    <t>Vaccination coverage rates for the control group of the New Incentives RCT, adjusted for self-report bias, aggregated across vaccines</t>
  </si>
  <si>
    <t>Proportion of deaths from vaccine-preventable causes among unvaccinated people under age 5 that are addressable by each vaccine, adjusted for deaths occurring before the age of vaccination</t>
  </si>
  <si>
    <t>Proportion of children in the New Incentives RCT control group who were vaccinated, aggregated across vaccines</t>
  </si>
  <si>
    <t>Proportion of pertussis mortalities among people under age 5 that occur before the age of Penta vaccination (6 weeks)</t>
  </si>
  <si>
    <t>Proportion of deaths from vaccine-preventable causes among unvaccinated people under age 5 that are addressable by the BCG vaccine, adjusted for deaths occurring before the age of vaccination</t>
  </si>
  <si>
    <t>Corresponding proportion of children in the New Incentives RCT control group who were not vaccinated, aggregated across vaccines</t>
  </si>
  <si>
    <t>Probability that a person will die of pertussis before reaching age 5, adjusted for deaths occurring before the age of vaccination</t>
  </si>
  <si>
    <t>Proportion of 15-49-year-olds represented in GBD 2021 disease burden estimates who were vaccinated, aggregated across vaccines</t>
  </si>
  <si>
    <t>Tetanus</t>
  </si>
  <si>
    <t>Treatment effects found by the New Incentives' RCT</t>
  </si>
  <si>
    <t>Probability of dying of tetanus</t>
  </si>
  <si>
    <t>Probability that a person will die of tetanus before reaching age 5</t>
  </si>
  <si>
    <t>Increase in the proportion of children receiving the BCG vaccine</t>
  </si>
  <si>
    <t>Proportion of deaths from vaccine-preventable causes among unvaccinated people under age 5 that are addressable by the DTP vaccine, adjusted for deaths occurring before the age of vaccination</t>
  </si>
  <si>
    <t>Proportion of vaccine-preventable disease incidence averted by full vaccination among 15-49-year-olds, aggregated across vaccines</t>
  </si>
  <si>
    <t>Probability that a 5-year-old will die of tetanus before reaching age 15</t>
  </si>
  <si>
    <t>Increase in the proportion of children receiving the 1st dose of the Penta vaccine</t>
  </si>
  <si>
    <t>Proportion of deaths from vaccine-preventable causes among unvaccinated people under age 5 that are addressable by the Hib vaccine, adjusted for deaths occurring before the age of vaccination</t>
  </si>
  <si>
    <t>Probability that a 15-year-old will die of tetanus before reaching age 50</t>
  </si>
  <si>
    <t>Probability that an unvaccinated 15-year-old will die of a vaccine-preventable cause before reaching age 50</t>
  </si>
  <si>
    <t>Increase in the proportion of children receiving the 2nd dose of the Penta vaccine</t>
  </si>
  <si>
    <t>Probability that a 50-year-old will die of tetanus before reaching age 75</t>
  </si>
  <si>
    <t>Proportion of deaths from vaccine-preventable causes among unvaccinated people under age 5 that are addressable by the PCV vaccine, adjusted for deaths occurring before the age of vaccination</t>
  </si>
  <si>
    <t>Probability that an unvaccinated 15-year-old will die of a vaccine-preventable cause before reaching age 50, including mortalities indirectly attributable to vaccine-preventable disease</t>
  </si>
  <si>
    <t>Tetanus mortalities occurring before the age of vaccination</t>
  </si>
  <si>
    <t>Tetanus mortalities per year among people under age 5</t>
  </si>
  <si>
    <t>Increase in the proportion of children receiving the 3rd dose of the Penta vaccine</t>
  </si>
  <si>
    <t>Proportion of deaths from vaccine-preventable causes among unvaccinated people under age 5 that are addressable by the rotavirus vaccine, adjusted for deaths occurring before the age of vaccination</t>
  </si>
  <si>
    <t>Early neonatal tetanus mortalities per year (babies under 7 days old)</t>
  </si>
  <si>
    <t>Increase in the proportion of children receiving the 1st dose of the PCV vaccine</t>
  </si>
  <si>
    <t>Deaths averted among people age 15 through 49</t>
  </si>
  <si>
    <t>Increase in the proportion of children receiving the 2nd dose of the PCV vaccine</t>
  </si>
  <si>
    <t>Proportion of deaths from vaccine-preventable causes among unvaccinated people under age 5 that are addressable by the measles vaccine, adjusted for deaths occurring before the age of vaccination</t>
  </si>
  <si>
    <t>Late neonatal tetanus mortalities per year (babies between 7 and 27 days old)</t>
  </si>
  <si>
    <t>Average years between vaccination and a mortality occuring among 15-49-year-olds</t>
  </si>
  <si>
    <t>Increase in the proportion of children receiving the 3rd dose of the PCV vaccine</t>
  </si>
  <si>
    <t>Discounted deaths averted among people age 15 through age 49</t>
  </si>
  <si>
    <t>Vaccine efficacy for people under age 5, aggregated across vaccines</t>
  </si>
  <si>
    <t>Increase in the proportion of children receiving the measles vaccine</t>
  </si>
  <si>
    <t>Mortality reduction among people age 50 through age 74</t>
  </si>
  <si>
    <t>Probability that a 50-year-old will die of a vaccine-preventable cause before reaching age 75</t>
  </si>
  <si>
    <t>Tetanus mortalities per year among people under age 1</t>
  </si>
  <si>
    <t>Vaccine coverage for populations under age 5 represented by GBD 2021, aggregated across doses</t>
  </si>
  <si>
    <t>Proportion of people under age 5 represented in GBD 2021 disease burden estimates who received the BCG vaccine</t>
  </si>
  <si>
    <t>Treatment effect found by the New Incentives RCT, aggregated across vaccines</t>
  </si>
  <si>
    <t>Increase in proportion of children who are vaccinated, aggregated across vaccines</t>
  </si>
  <si>
    <t>Proportion of tetanus mortalities among people under age 5 that occur during the neonatal period (babies between 0 and 27 days old)</t>
  </si>
  <si>
    <t>Implied reduction in the proportion of children who are unvaccinated as a result of New Incentives program</t>
  </si>
  <si>
    <t>Proportion of 50-74-year-olds represented in GBD 2021 disease burden estimates who were vaccinated, aggregated across vaccines</t>
  </si>
  <si>
    <t>Proportion of people under age 5 represented in GBD 2021 disease burden estimates who received the DTP vaccine, aggregated across doses</t>
  </si>
  <si>
    <t>Assumed ratio of tetanus mortalities among people under age 5 occurring after the neonatal period but before the age of Penta vaccination (6 weeks) to tetanus mortalities occurring in the neonatal period</t>
  </si>
  <si>
    <t>Proportion of tetanus mortalities among people under age 5 that occur before age 1</t>
  </si>
  <si>
    <t>Proportion of vaccine-preventable disease incidence averted by full vaccination among 50-74-year-olds, aggregated across vaccines</t>
  </si>
  <si>
    <t>Proportion of people under age 5 represented in GBD 2021 disease burden estimates who received the Hib vaccine, aggregated across doses</t>
  </si>
  <si>
    <t>Proportion of tetanus mortalities among people under age 5 that occur before the age of Penta vaccination (6 weeks)</t>
  </si>
  <si>
    <t>Probability that a person will die of tetanus before reaching age 5, adjusted for deaths occurring before the age of vaccination</t>
  </si>
  <si>
    <t>Proportion of people under age 5 represented in GBD 2021 disease burden estimates who received the PCV vaccine, aggregated across doses</t>
  </si>
  <si>
    <t>Probability that an unvaccinated 50-year-old will die of a vaccine-preventable cause before reaching age 75</t>
  </si>
  <si>
    <t>Lower respiratory infections</t>
  </si>
  <si>
    <t>Probability of dying of a lower respiratory infection</t>
  </si>
  <si>
    <t>Probability that a person will die of a lower respiratory infection before reaching age 5</t>
  </si>
  <si>
    <t>Baseline vaccination coverage among the target population according to New Incentives' coverage surveys</t>
  </si>
  <si>
    <t>Populations targeted by New Incentives' coverage surveys</t>
  </si>
  <si>
    <t>Number of local government areas (LGAs) within the state</t>
  </si>
  <si>
    <t>Probability that a 5-year-old will die of a lower respiratory infection before reaching age 15</t>
  </si>
  <si>
    <t>Proportion of people under age 5 represented in GBD 2021 disease burden estimates who received the rotavirus vaccine, aggregated across doses</t>
  </si>
  <si>
    <t>Probability that an unvaccinated 50-year-old will die of a vaccine-preventable cause before reaching age 75, including mortalities indirectly attributable to vaccine-preventable disease</t>
  </si>
  <si>
    <t>Number of LGAs surveyed by New Incentives' coverage survey</t>
  </si>
  <si>
    <t>Probability that a 15-year-old will die of a lower respiratory infection before reaching age 50</t>
  </si>
  <si>
    <t>Proportion of people under age 5 represented in GBD 2021 disease burden estimates who received the measles vaccine</t>
  </si>
  <si>
    <t>Proportion of LGAs surveyed</t>
  </si>
  <si>
    <t>Deaths averted among people age 50 through 74</t>
  </si>
  <si>
    <t>Probability that a 50-year-old will die of a lower respiratory infection before reaching age 75</t>
  </si>
  <si>
    <t>Adjustment for higher confidence in coverage survey results</t>
  </si>
  <si>
    <t>Vaccine coverage for populations under age 5 represented by GBD 2021, aggregated across vaccines</t>
  </si>
  <si>
    <t>Weight placed on the results of New Incentives' coverage surveys for estimating BCG, Penta, and PCV coverage</t>
  </si>
  <si>
    <t>Lower respiratory infection mortalities occurring before the age of vaccination</t>
  </si>
  <si>
    <t>Lower respiratory infection mortalities per year among people under age 5</t>
  </si>
  <si>
    <t>Average years between vaccination and a mortality occuring among 50-74-year-olds</t>
  </si>
  <si>
    <t>Vaccine efficacy and coverage for older age groups, aggregated across vaccines</t>
  </si>
  <si>
    <t>Baseline vaccination coverage found in New Incentives' coverage surveys</t>
  </si>
  <si>
    <t>Proportion of children reported to have received the BCG vaccine in New Incentives' coverage surveys</t>
  </si>
  <si>
    <t>Effect of vaccination on disease incidence among 5-14-year-olds</t>
  </si>
  <si>
    <t>Early neonatal lower respiratory infection mortalities per year (babies under 7 days old)</t>
  </si>
  <si>
    <t>Proportion of vaccine-preventable disease incidence averted by BCG vaccination among 5-14-year-olds</t>
  </si>
  <si>
    <t>Discounted deaths averted among people age 50 through age 74</t>
  </si>
  <si>
    <t>Proportion of children reported to have received the 1st dose of the Penta vaccine in New Incentives' coverage surveys</t>
  </si>
  <si>
    <t>Late neonatal lower respiratory infection mortalities per year (babies between 7 and 27 days old)</t>
  </si>
  <si>
    <t>Proportion of vaccine-preventable disease incidence averted by DTP vaccination among 5-14-year-olds</t>
  </si>
  <si>
    <t>Long-term income increases</t>
  </si>
  <si>
    <t>Ratio of value generated from income increases to value generated from mortalities averted among people under age 15 by seasonal malaria chemoprevention (SMC)</t>
  </si>
  <si>
    <t>Proportion of children reported to have received the 2nd dose of the Penta vaccine in New Incentives' coverage surveys</t>
  </si>
  <si>
    <t>Proportion of lower respiratory infection mortalities among people under age 5 that occur during the neonatal period (babies between 0 and 27 days old)</t>
  </si>
  <si>
    <t>Proportion of vaccine-preventable disease incidence averted by Hib vaccination among 5-14-year-olds</t>
  </si>
  <si>
    <t>Assumed ratio of lower respiratory infection mortalities among people under age 5 occurring after the neonatal period but before the age of Penta and PCV vaccination (6 weeks) to lower respiratory infection mortalities occurring in the neonatal period</t>
  </si>
  <si>
    <t>Adjustment for income increases generated by New Incentives' program compared to SMC</t>
  </si>
  <si>
    <t>Proportion of children reported to have received the 3rd dose of the Penta vaccine in New Incentives' coverage surveys</t>
  </si>
  <si>
    <t>Proportion of lower respiratory infection mortalities among people under age 5 that occur before the age of Penta and PCV vaccination (6 weeks)</t>
  </si>
  <si>
    <t>Proportion of vaccine-preventable disease incidence averted by PCV vaccination among 5-14-year-olds</t>
  </si>
  <si>
    <t>Probability that a person will die of a lower respiratory infection before reaching age 5, adjusted for deaths occurring before the age of vaccination</t>
  </si>
  <si>
    <t>Proportion of children reported to have received the 1st dose of the measles vaccine in New Incentives' coverage surveys</t>
  </si>
  <si>
    <t>Ratio of value generated from income increases to value generated from mortalities averted among people under age 15 by New Incentives' program</t>
  </si>
  <si>
    <t xml:space="preserve">Value assigned to averting a death from vaccine-preventable disease of a person under age 5 </t>
  </si>
  <si>
    <t>Proportion of vaccine-preventable disease incidence averted by rotavirus vaccination among 5-14-year-olds</t>
  </si>
  <si>
    <t>Disease etiology for lower respiratory infections</t>
  </si>
  <si>
    <r>
      <rPr>
        <rFont val="Calibri"/>
        <color theme="1"/>
        <sz val="11.0"/>
      </rPr>
      <t>Pathogens addressed by the Penta vaccine (</t>
    </r>
    <r>
      <rPr>
        <rFont val="Calibri"/>
        <i/>
        <color theme="1"/>
        <sz val="11.0"/>
      </rPr>
      <t>H. influenzae type B</t>
    </r>
    <r>
      <rPr>
        <rFont val="Calibri"/>
        <color theme="1"/>
        <sz val="11.0"/>
      </rPr>
      <t>)</t>
    </r>
  </si>
  <si>
    <t>Baseline vaccination coverage found in coverage surveys, adjusted for self-report bias</t>
  </si>
  <si>
    <t>Adjustment for self-report bias in New Incentives' coverage surveys</t>
  </si>
  <si>
    <t>Proportion of lower respiratory infection deaths caused by pathogens addressed by the Penta vaccine (H. influenzae type B)</t>
  </si>
  <si>
    <t>Value assigned to averting a death from vaccine-preventable disease of a person age 5-14</t>
  </si>
  <si>
    <t>Estimated proportion of children who receive the BCG vaccine according to New Incentives' coverage surveys</t>
  </si>
  <si>
    <t>Proportion of vaccine-preventable disease incidence averted by measles vaccination among 5-14-year-olds</t>
  </si>
  <si>
    <t>Estimated proportion of children who receive the 1st dose of the Penta vaccine according to New Incentives' coverage surveys</t>
  </si>
  <si>
    <t>Estimated proportion of children who receive the 2nd dose of the Penta vaccine according to New Incentives' coverage surveys</t>
  </si>
  <si>
    <t>Units of value generated from deaths averted among people under age 15</t>
  </si>
  <si>
    <t>Estimated proportion of children who receive the 3rd dose of the Penta vaccine according to New Incentives' coverage surveys</t>
  </si>
  <si>
    <r>
      <rPr>
        <rFont val="Calibri"/>
        <color rgb="FF000000"/>
        <sz val="11.0"/>
      </rPr>
      <t xml:space="preserve">Probability that a person will die of a lower respiratory infection caused by </t>
    </r>
    <r>
      <rPr>
        <rFont val="Calibri"/>
        <i/>
        <color rgb="FF000000"/>
        <sz val="11.0"/>
      </rPr>
      <t>H. influenzae type B</t>
    </r>
    <r>
      <rPr>
        <rFont val="Calibri"/>
        <color rgb="FF000000"/>
        <sz val="11.0"/>
      </rPr>
      <t xml:space="preserve"> before reaching age 5, adjusted for deaths occuring before the age of vaccination</t>
    </r>
  </si>
  <si>
    <t>Estimated proportion of children who receive the 1st dose of the measles vaccine according to New Incentives' coverage surveys</t>
  </si>
  <si>
    <t>Units of value generated from long-term income increases</t>
  </si>
  <si>
    <t>Baseline vaccination coverage among the target population according to the 2021 MICS survey results</t>
  </si>
  <si>
    <t>Proportion of deaths from vaccine-preventable causes among unvaccinated 5-14-year-olds that are addressable by each vaccine</t>
  </si>
  <si>
    <t>Proportion of deaths from vaccine-preventable causes among unvaccinated 5-14-year-olds that are addressable by the BCG vaccine</t>
  </si>
  <si>
    <t>Baseline vaccination coverage found in the 2021 MICS coverage survey</t>
  </si>
  <si>
    <t>Proportion of children reported to have received the BCG vaccine in the 2021 MICS survey</t>
  </si>
  <si>
    <r>
      <rPr>
        <rFont val="Calibri"/>
        <color rgb="FF000000"/>
        <sz val="11.0"/>
      </rPr>
      <t xml:space="preserve">Probability that a 5-year-old will die of a lower respiratory infection caused by </t>
    </r>
    <r>
      <rPr>
        <rFont val="Calibri"/>
        <i/>
        <color rgb="FF000000"/>
        <sz val="11.0"/>
      </rPr>
      <t>H. influenzae</t>
    </r>
    <r>
      <rPr>
        <rFont val="Calibri"/>
        <color rgb="FF000000"/>
        <sz val="11.0"/>
      </rPr>
      <t xml:space="preserve"> type B before reaching age 15</t>
    </r>
  </si>
  <si>
    <t>Consumption increases</t>
  </si>
  <si>
    <t>Travel cost of bringing a child to a health clinic for vaccination</t>
  </si>
  <si>
    <t>Proportion of deaths from vaccine-preventable causes among unvaccinated 5-14-year-olds that are addressable by the DTP vaccine</t>
  </si>
  <si>
    <t>Proportion of children reported to have received the 1st dose of the Penta vaccine in the 2021 MICS survey</t>
  </si>
  <si>
    <r>
      <rPr>
        <rFont val="Calibri"/>
        <color rgb="FF000000"/>
        <sz val="11.0"/>
      </rPr>
      <t xml:space="preserve">Probability that a 15-year-old will die of a lower respiratory infection caused by </t>
    </r>
    <r>
      <rPr>
        <rFont val="Calibri"/>
        <i/>
        <color rgb="FF000000"/>
        <sz val="11.0"/>
      </rPr>
      <t>H. influenzae type B</t>
    </r>
    <r>
      <rPr>
        <rFont val="Calibri"/>
        <color rgb="FF000000"/>
        <sz val="11.0"/>
      </rPr>
      <t xml:space="preserve"> before reaching age 50</t>
    </r>
  </si>
  <si>
    <t>Number of routine vaccination visits incentivized by New Incentives' program</t>
  </si>
  <si>
    <t>Proportion of deaths from vaccine-preventable causes among unvaccinated 5-14-year-olds that are addressable by the Hib vaccine</t>
  </si>
  <si>
    <t>Proportion of children reported to have received the 2nd dose of the Penta vaccine in the 2021 MICS survey</t>
  </si>
  <si>
    <r>
      <rPr>
        <rFont val="Calibri"/>
        <color rgb="FF000000"/>
        <sz val="11.0"/>
      </rPr>
      <t xml:space="preserve">Probability that a 50-year-old will die of a lower respiratory infection caused by </t>
    </r>
    <r>
      <rPr>
        <rFont val="Calibri"/>
        <i/>
        <color rgb="FF000000"/>
        <sz val="11.0"/>
      </rPr>
      <t>H. influenzae type B</t>
    </r>
    <r>
      <rPr>
        <rFont val="Calibri"/>
        <color rgb="FF000000"/>
        <sz val="11.0"/>
      </rPr>
      <t xml:space="preserve"> before reaching age 75</t>
    </r>
  </si>
  <si>
    <t>Total travel costs of bringing a child to all incentivized vaccination visits</t>
  </si>
  <si>
    <t>Proportion of deaths from vaccine-preventable causes among unvaccinated 5-14-year-olds that are addressable by the PCV vaccine</t>
  </si>
  <si>
    <t>Proportion of children reported to have received the 3rd dose of the Penta vaccine in the 2021 MICS survey</t>
  </si>
  <si>
    <r>
      <rPr>
        <rFont val="Calibri"/>
        <color theme="1"/>
        <sz val="11.0"/>
      </rPr>
      <t>Pathogens addressed by the PCV vaccine (</t>
    </r>
    <r>
      <rPr>
        <rFont val="Calibri"/>
        <i/>
        <color theme="1"/>
        <sz val="11.0"/>
      </rPr>
      <t>S. pneumoniae</t>
    </r>
    <r>
      <rPr>
        <rFont val="Calibri"/>
        <color theme="1"/>
        <sz val="11.0"/>
      </rPr>
      <t>)</t>
    </r>
  </si>
  <si>
    <t>Proportion of lower respiratory infection deaths caused by pathogens addressed by the PCV vaccine (S. pneumoniae)</t>
  </si>
  <si>
    <t>Size of cash transfer disbursed for the routine vaccination visit at birth</t>
  </si>
  <si>
    <t>Proportion of deaths from vaccine-preventable causes among unvaccinated 5-14-year-olds that are addressable by the rotavirus vaccine</t>
  </si>
  <si>
    <t>Proportion of children reported to have received the 1st dose of the PCV vaccine in the 2021 MICS survey</t>
  </si>
  <si>
    <t>Size of cash transfer disbursed for the routine vaccination visit at 6 weeks</t>
  </si>
  <si>
    <t>Probability that a person will die of a lower respiratory infection caused by S. pneumoniae before reaching age 5, adjusted for deaths occuring before the age of vaccination</t>
  </si>
  <si>
    <t>Proportion of children reported to have received the 2nd dose of the PCV vaccine in the 2021 MICS survey</t>
  </si>
  <si>
    <t>Size of cash transfer disbursed for the routine vaccination visit at 10 weeks</t>
  </si>
  <si>
    <t>Proportion of deaths from vaccine-preventable causes among unvaccinated 5-14-year-olds that are addressable by the measles vaccine</t>
  </si>
  <si>
    <r>
      <rPr>
        <rFont val="Calibri"/>
        <color rgb="FF000000"/>
        <sz val="11.0"/>
      </rPr>
      <t xml:space="preserve">Probability that a 5-year-old will die of a lower respiratory infection caused by </t>
    </r>
    <r>
      <rPr>
        <rFont val="Calibri"/>
        <i/>
        <color rgb="FF000000"/>
        <sz val="11.0"/>
      </rPr>
      <t>S. pneumoniae</t>
    </r>
    <r>
      <rPr>
        <rFont val="Calibri"/>
        <color rgb="FF000000"/>
        <sz val="11.0"/>
      </rPr>
      <t xml:space="preserve"> before reaching age 15</t>
    </r>
  </si>
  <si>
    <t>Proportion of children reported to have received the 3rd dose of the PCV vaccine in the 2021 MICS survey</t>
  </si>
  <si>
    <r>
      <rPr>
        <rFont val="Calibri"/>
        <color rgb="FF000000"/>
        <sz val="11.0"/>
      </rPr>
      <t xml:space="preserve">Probability that a 15-year-old will die of a lower respiratory infection caused by </t>
    </r>
    <r>
      <rPr>
        <rFont val="Calibri"/>
        <i/>
        <color rgb="FF000000"/>
        <sz val="11.0"/>
      </rPr>
      <t>S. pneumoniae</t>
    </r>
    <r>
      <rPr>
        <rFont val="Calibri"/>
        <color rgb="FF000000"/>
        <sz val="11.0"/>
      </rPr>
      <t xml:space="preserve"> before reaching age 50</t>
    </r>
  </si>
  <si>
    <t>Size of cash transfer disbursed for the routine vaccination visit at 14 weeks</t>
  </si>
  <si>
    <r>
      <rPr>
        <rFont val="Calibri"/>
        <color rgb="FF000000"/>
        <sz val="11.0"/>
      </rPr>
      <t xml:space="preserve">Probability that a 50-year-old will die of a lower respiratory infection caused by </t>
    </r>
    <r>
      <rPr>
        <rFont val="Calibri"/>
        <i/>
        <color rgb="FF000000"/>
        <sz val="11.0"/>
      </rPr>
      <t>S. pneumoniae</t>
    </r>
    <r>
      <rPr>
        <rFont val="Calibri"/>
        <color rgb="FF000000"/>
        <sz val="11.0"/>
      </rPr>
      <t xml:space="preserve"> before reaching age 75</t>
    </r>
  </si>
  <si>
    <t>Proportion of children reported to have received the 1st dose of the measles vaccine in the 2021 MICS survey</t>
  </si>
  <si>
    <t>Size of cash transfer disbursed for the routine vaccination visit at 9 months</t>
  </si>
  <si>
    <t>Vaccine efficacy, aggregated across vaccines</t>
  </si>
  <si>
    <t>Meningitis</t>
  </si>
  <si>
    <t>Probability of dying of meningitis</t>
  </si>
  <si>
    <t>Probability that a person will die of meningitis before reaching age 5</t>
  </si>
  <si>
    <t>Total cash transfer disbursed for all incentivized routine vaccination visits</t>
  </si>
  <si>
    <t>₦</t>
  </si>
  <si>
    <t>Vaccine coverage for 5-14-year-old populations represented by GBD 2021, aggregated across doses</t>
  </si>
  <si>
    <t>Adjustment for lower vaccine coverage among 5-14-year-olds represented in GBD 2021 disease burden estimates</t>
  </si>
  <si>
    <t>Baseline vaccination coverage based on the 2021 MICS survey, adjusted for self-report bias</t>
  </si>
  <si>
    <t>Nigerian naira per U.S. dollar</t>
  </si>
  <si>
    <t>Proportion of positive responses that came from self-report in the 2021 MICS survey</t>
  </si>
  <si>
    <t>Probability that a 5-year-old will die of meningitis before reaching age 15</t>
  </si>
  <si>
    <t>Total travel costs of bringing a child to all incentivized vaccination visits (in U.S. dollars)</t>
  </si>
  <si>
    <t>Adjustment for self-report bias in the 2021 MICS coverage survey</t>
  </si>
  <si>
    <t>Proportion of 5-14-year-olds represented in GBD 2021 disease burden estimates who received the BCG vaccine</t>
  </si>
  <si>
    <t>Total cash transfer disbursed for all incentivized routine vaccination visits (in U.S. dollars)</t>
  </si>
  <si>
    <t>Net increase in household consumption from bringing a child to all incentivized vaccination visits</t>
  </si>
  <si>
    <t>Average number of people per household</t>
  </si>
  <si>
    <t>Estimated proportion of children who receive the BCG vaccine</t>
  </si>
  <si>
    <t>Proportion of 5-14-year-olds represented in GBD 2021 disease burden estimates who received the DTP vaccine, aggregated across doses</t>
  </si>
  <si>
    <t>Estimated proportion of children who receive the 1st dose of the Penta vaccine according to the 2021 MICS survey</t>
  </si>
  <si>
    <t>Proportion of 5-14-year-olds represented in GBD 2021 disease burden estimates who received the Hib vaccine, aggregated across doses</t>
  </si>
  <si>
    <t>Probability that a 15-year-old will die of meningitis before reaching age 50</t>
  </si>
  <si>
    <t>Increase in consumption per person</t>
  </si>
  <si>
    <t>Estimated proportion of children who receive the 2nd dose of the Penta vaccine according to the 2021 MICS survey</t>
  </si>
  <si>
    <t>Baseline annual consumption per capita</t>
  </si>
  <si>
    <t>Proportion of 5-14-year-olds represented in GBD 2021 disease burden estimates who received the PCV vaccine, aggregated across doses</t>
  </si>
  <si>
    <t>Estimated proportion of children who receive the 3rd dose of the Penta vaccine according to the 2021 MICS survey</t>
  </si>
  <si>
    <t>Proportion of 5-14-year-olds represented in GBD 2021 disease burden estimates who received the rotavirus vaccine, aggregated across doses</t>
  </si>
  <si>
    <t>Estimated proportion of children who receive the 1st dose of the PCV vaccine according to the 2021 MICS survey</t>
  </si>
  <si>
    <t>Proportion of 5-14-year-olds represented in GBD 2021 disease burden estimates who received the measles vaccine</t>
  </si>
  <si>
    <t>Probability that a 50-year-old will die of meningitis before reaching age 75</t>
  </si>
  <si>
    <t>Increase in ln(consumption) per person</t>
  </si>
  <si>
    <t>Estimated proportion of children who receive the 2nd dose of the PCV vaccine according to the 2021 MICS survey</t>
  </si>
  <si>
    <t>Total units of increase in ln(consumption)</t>
  </si>
  <si>
    <t>Vaccine coverage for 5-14-year-old populations represented by GBD 2021, aggregated across vaccines</t>
  </si>
  <si>
    <t>Estimated proportion of children who receive the 3rd dose of the PCV vaccine according to the 2021 MICS survey</t>
  </si>
  <si>
    <t>Value of outcomes</t>
  </si>
  <si>
    <t>Units of value from mortality reduction among people under age 5</t>
  </si>
  <si>
    <t>Estimated proportion of children who receive the 1st dose of the measles vaccine according to the 2021 MICS survey</t>
  </si>
  <si>
    <t>Effect of vaccination on disease incidence among 15-49-year-olds</t>
  </si>
  <si>
    <t>Proportion of vaccine-preventable disease incidence averted by BCG vaccination among 15-49-year-olds</t>
  </si>
  <si>
    <t>Meningitis mortalities occurring before the age of vaccination</t>
  </si>
  <si>
    <t>Meningitis mortalities per year among people under age 5</t>
  </si>
  <si>
    <t>Baseline vaccination coverage among the target population according to the 2017 MICS survey results</t>
  </si>
  <si>
    <t>Baseline vaccination coverage found in the 2017 MICS coverage survey</t>
  </si>
  <si>
    <t>Proportion of children reported to have received the BCG vaccine in the 2017 MICS survey</t>
  </si>
  <si>
    <t>Units of value from under-5 deaths averted (before accounting for leverage and funging)</t>
  </si>
  <si>
    <t>Units of value from mortality reduction among people age 5 through 14</t>
  </si>
  <si>
    <t>Early neonatal meningitis mortalities per year (babies under 7 days old)</t>
  </si>
  <si>
    <t>Proportion of children reported to have received the 1st dose of the Penta vaccine in the 2017 MICS survey</t>
  </si>
  <si>
    <t>Proportion of vaccine-preventable disease incidence averted by DTP vaccination among 15-49-year-olds</t>
  </si>
  <si>
    <t>Units of value from 5-14 deaths averted (before accounting for leverage and funging)</t>
  </si>
  <si>
    <t>Proportion of children reported to have received the 2nd dose of the Penta vaccine in the 2017 MICS survey</t>
  </si>
  <si>
    <t>Units of value from mortality reduction among people age 15 through 49</t>
  </si>
  <si>
    <t>Value assigned to averting a death from vaccine-preventable disease of a person age 15-49</t>
  </si>
  <si>
    <t>Late neonatal meningitis mortalities per year (babies between 7 and 27 days old)</t>
  </si>
  <si>
    <t>Proportion of children reported to have received the 3rd dose of the Penta vaccine in the 2017 MICS survey</t>
  </si>
  <si>
    <t>Units of value from 15-49 deaths averted (before accounting for leverage and funging)</t>
  </si>
  <si>
    <t>Units of value from mortality reduction among people age 50 through 74</t>
  </si>
  <si>
    <t>Proportion of vaccine-preventable disease incidence averted by Hib vaccination among 15-49-year-olds</t>
  </si>
  <si>
    <t>Value assigned to averting a death from vaccine-preventable disease of a person age 50-74</t>
  </si>
  <si>
    <t>Proportion of meningitis mortalities among people under age 5 that occur during the neonatal period (babies between 0 and 27 days old)</t>
  </si>
  <si>
    <t>Proportion of children reported to have received the 1st dose of the measles vaccine in the 2017 MICS survey</t>
  </si>
  <si>
    <t>Assumed ratio of meningitis mortalities among people under age 5 occurring after the neonatal period but before the age of Penta and PCV vaccination (6 weeks) to meningitis mortalities occurring in the neonatal period</t>
  </si>
  <si>
    <t>Units of value from 50-74 deaths averted (before accounting for leverage and funging)</t>
  </si>
  <si>
    <t>Units of value from long-term income increases for people under age 15</t>
  </si>
  <si>
    <t>Units of value generated from long-term income increases per infant counterfactually vaccinated</t>
  </si>
  <si>
    <t>Proportion of vaccine-preventable disease incidence averted by PCV vaccination among 15-49-year-olds</t>
  </si>
  <si>
    <t>Proportion of meningitis mortalities among people under age 5 that occur before the age of Penta and PCV vaccination (6 weeks)</t>
  </si>
  <si>
    <t>Baseline vaccination coverage based on the 2017 MICS survey, adjusted for self-report bias</t>
  </si>
  <si>
    <t>Proportion of positive responses that came from self-report in the 2017 MICS survey</t>
  </si>
  <si>
    <t>Units of value from long-term income increases (before accounting for leverage and funging)</t>
  </si>
  <si>
    <t>Probability that a person will die of meningitis before reaching age 5, adjusted for deaths occurring before the age of vaccination</t>
  </si>
  <si>
    <t>Units of value from consumption increases</t>
  </si>
  <si>
    <t>Value assigned to increasing ln(consumption) by one unit for one person for one year</t>
  </si>
  <si>
    <t>Proportion of vaccine-preventable disease incidence averted by rotavirus vaccination among 15-49-year-olds</t>
  </si>
  <si>
    <t>Adjustment for self-report bias in the 2017 MICS coverage survey</t>
  </si>
  <si>
    <t>Disease etiology for meningitis</t>
  </si>
  <si>
    <t>Estimated proportion of children who receive the BCG vaccine according to the 2017 MICS survey</t>
  </si>
  <si>
    <r>
      <rPr>
        <rFont val="Calibri,Arial"/>
        <color theme="1"/>
        <sz val="11.0"/>
      </rPr>
      <t>Pathogens addressed by the Penta vaccine (</t>
    </r>
    <r>
      <rPr>
        <rFont val="Calibri,Arial"/>
        <i/>
        <color theme="1"/>
        <sz val="11.0"/>
      </rPr>
      <t>H. influenzae type B</t>
    </r>
    <r>
      <rPr>
        <rFont val="Calibri,Arial"/>
        <color theme="1"/>
        <sz val="11.0"/>
      </rPr>
      <t>)</t>
    </r>
  </si>
  <si>
    <t>Proportion of meningitis deaths caused by pathogens addressed by the Penta vaccine (H. influenzae type B) according to GBD 2019</t>
  </si>
  <si>
    <t>Units of value from consumption increases (before accounting for leverage and funging)</t>
  </si>
  <si>
    <t>Estimated proportion of children who receive the 1st dose of the Penta vaccine according to the 2017 MICS survey</t>
  </si>
  <si>
    <t>Summary of outcomes and initial cost-effectiveness (before final adjustments)</t>
  </si>
  <si>
    <t>Estimated proportion of children who receive the 2nd dose of the Penta vaccine according to the 2017 MICS survey</t>
  </si>
  <si>
    <t>Summary of outcomes</t>
  </si>
  <si>
    <t>Estimated proportion of children who receive the 3rd dose of the Penta vaccine according to the 2017 MICS survey</t>
  </si>
  <si>
    <t>Adjustment for alignment with Hib meningitis burden estimates from View-Hub</t>
  </si>
  <si>
    <t>Estimated proportion of children who receive the 1st dose of the measles vaccine according to the 2017 MICS survey</t>
  </si>
  <si>
    <t>Ratio of 2017 MICS coverage results to 2021 MICS coverage results</t>
  </si>
  <si>
    <t>Ratio of BCG vaccine coverage from the 2017 MICS survey to the 2021 MICS survey</t>
  </si>
  <si>
    <t>Ratio of 1st dose Penta vaccine coverage from the 2017 MICS survey to the 2021 MICS survey</t>
  </si>
  <si>
    <t>Proportion of meningitis deaths caused by pathogens addressed by the Penta vaccine (H. influenzae type B), after adjusting for alignment with Hib meningitis burden estimates from View-Hub</t>
  </si>
  <si>
    <t>Ratio of 2nd dose Penta vaccine coverage from the 2017 MICS survey to the 2021 MICS survey</t>
  </si>
  <si>
    <t>Probability that a person will die of meningitis caused by H. influenzae type B before reaching age 5, adjusted for deaths occuring before the age of vaccination</t>
  </si>
  <si>
    <t>People benefiting from consumption increases</t>
  </si>
  <si>
    <t>Ratio of 3rd dose Penta vaccine coverage from the 2017 MICS survey to the 2021 MICS survey</t>
  </si>
  <si>
    <t>Value of individual outcomes</t>
  </si>
  <si>
    <r>
      <rPr>
        <rFont val="Calibri"/>
        <color rgb="FF000000"/>
        <sz val="11.0"/>
      </rPr>
      <t xml:space="preserve">Probability that a 5-year-old will die of meningitis caused by </t>
    </r>
    <r>
      <rPr>
        <rFont val="Calibri"/>
        <i/>
        <color rgb="FF000000"/>
        <sz val="11.0"/>
      </rPr>
      <t>H. influenzae</t>
    </r>
    <r>
      <rPr>
        <rFont val="Calibri"/>
        <color rgb="FF000000"/>
        <sz val="11.0"/>
      </rPr>
      <t xml:space="preserve"> type B before reaching age 15</t>
    </r>
  </si>
  <si>
    <t>Ratio of measles vaccine coverage from the 2017 MICS survey to the 2021 MICS survey</t>
  </si>
  <si>
    <r>
      <rPr>
        <rFont val="Calibri"/>
        <color rgb="FF000000"/>
        <sz val="11.0"/>
      </rPr>
      <t xml:space="preserve">Probability that a 15-year-old will die of meningitis caused by </t>
    </r>
    <r>
      <rPr>
        <rFont val="Calibri"/>
        <i/>
        <color rgb="FF000000"/>
        <sz val="11.0"/>
      </rPr>
      <t>H. influenzae type B</t>
    </r>
    <r>
      <rPr>
        <rFont val="Calibri"/>
        <color rgb="FF000000"/>
        <sz val="11.0"/>
      </rPr>
      <t xml:space="preserve"> before reaching age 50</t>
    </r>
  </si>
  <si>
    <t>Average ratio across vaccine doses</t>
  </si>
  <si>
    <t>Proportion of vaccine-preventable disease incidence averted by measles vaccination among 15-49-year-olds</t>
  </si>
  <si>
    <t>Extrapolated 2017 vaccination coverage for the PCV vaccine</t>
  </si>
  <si>
    <t>Extrapolated proportion of children who receive the 1st dose of the PCV vaccine based on the 2017 MICS survey</t>
  </si>
  <si>
    <r>
      <rPr>
        <rFont val="Calibri"/>
        <color rgb="FF000000"/>
        <sz val="11.0"/>
      </rPr>
      <t xml:space="preserve">Probability that a 50-year-old will die of meningitis caused by </t>
    </r>
    <r>
      <rPr>
        <rFont val="Calibri"/>
        <i/>
        <color rgb="FF000000"/>
        <sz val="11.0"/>
      </rPr>
      <t>H. influenzae type B</t>
    </r>
    <r>
      <rPr>
        <rFont val="Calibri"/>
        <color rgb="FF000000"/>
        <sz val="11.0"/>
      </rPr>
      <t xml:space="preserve"> before reaching age 75</t>
    </r>
  </si>
  <si>
    <t>Extrapolated proportion of children who receive the 2nd dose of the PCV vaccine based on the 2017 MICS survey</t>
  </si>
  <si>
    <t>Extrapolated proportion of children who receive the 3rd dose of the PCV vaccine based on the 2017 MICS survey</t>
  </si>
  <si>
    <r>
      <rPr>
        <rFont val="Calibri"/>
        <color theme="1"/>
        <sz val="11.0"/>
      </rPr>
      <t>Pathogens addressed by the PCV vaccine (</t>
    </r>
    <r>
      <rPr>
        <rFont val="Calibri"/>
        <i/>
        <color theme="1"/>
        <sz val="11.0"/>
      </rPr>
      <t>S. pneumoniae</t>
    </r>
    <r>
      <rPr>
        <rFont val="Calibri"/>
        <color theme="1"/>
        <sz val="11.0"/>
      </rPr>
      <t>)</t>
    </r>
  </si>
  <si>
    <t>Proportion of meningitis deaths caused by pathogens addressed by the PCV vaccine (S. pneumoniae) according to GBD 2019</t>
  </si>
  <si>
    <t>Estimated baseline vaccination coverage among target populations for New Incentives program</t>
  </si>
  <si>
    <t>Proportion of deaths from vaccine-preventable causes among unvaccinated 15-49-year-olds that are addressable by each vaccine</t>
  </si>
  <si>
    <t>Weighting of coverage estimates from different sources for the BCG, Penta, and PCV vaccines</t>
  </si>
  <si>
    <t>Proportion of deaths from vaccine-preventable causes among unvaccinated 15-49-year-olds that are addressable by the BCG vaccine</t>
  </si>
  <si>
    <t>Value generated per person benefiting from consumption increases</t>
  </si>
  <si>
    <t>Total value of outcomes</t>
  </si>
  <si>
    <t>Weight placed on the results of the 2021 MICS survey for estimating BCG, Penta, and PCV coverage</t>
  </si>
  <si>
    <t>Units of value from under-5 deaths averted (before final adjustments)</t>
  </si>
  <si>
    <t>Adjustment for alignment with pneumococcal meningitis burden estimates from View-Hub</t>
  </si>
  <si>
    <t>Units of value from 5-14 deaths averted (before final adjustments)</t>
  </si>
  <si>
    <t>Estimated baseline coverage for the BCG and Penta vaccines</t>
  </si>
  <si>
    <t>Units of value from 15-49 deaths averted (before final adjustments)</t>
  </si>
  <si>
    <t>Proportion of deaths from vaccine-preventable causes among unvaccinated 15-49-year-olds that are addressable by the DTP vaccine</t>
  </si>
  <si>
    <t>Units of value from 50-74 deaths averted (before final adjustments)</t>
  </si>
  <si>
    <t>Units of value from long-term income increases (before final adjustments)</t>
  </si>
  <si>
    <t>Proportion of meningitis deaths caused by pathogens addressed by the PCV vaccine (S. pneumoniae), after adjusting for alignment with Hib meningitis burden estimates from View-Hub</t>
  </si>
  <si>
    <r>
      <rPr>
        <rFont val="Calibri"/>
        <color rgb="FF000000"/>
        <sz val="11.0"/>
      </rPr>
      <t xml:space="preserve">Probability that a person will die of meningitis caused by </t>
    </r>
    <r>
      <rPr>
        <rFont val="Calibri"/>
        <i/>
        <color rgb="FF000000"/>
        <sz val="11.0"/>
      </rPr>
      <t>S. pneumoniae</t>
    </r>
    <r>
      <rPr>
        <rFont val="Calibri"/>
        <color rgb="FF000000"/>
        <sz val="11.0"/>
      </rPr>
      <t xml:space="preserve"> before reaching age 5, adjusted for deaths occuring before the age of vaccination</t>
    </r>
  </si>
  <si>
    <t>Units of value from consumption increases (before final adjustments)</t>
  </si>
  <si>
    <t>Proportion of deaths from vaccine-preventable causes among unvaccinated 15-49-year-olds that are addressable by the Hib vaccine</t>
  </si>
  <si>
    <t>Initial cost-effectiveness (before final adjustments)</t>
  </si>
  <si>
    <r>
      <rPr>
        <rFont val="Calibri"/>
        <color rgb="FF000000"/>
        <sz val="11.0"/>
      </rPr>
      <t xml:space="preserve">Probability that a 5-year-old will die of meningitis caused by </t>
    </r>
    <r>
      <rPr>
        <rFont val="Calibri"/>
        <i/>
        <color rgb="FF000000"/>
        <sz val="11.0"/>
      </rPr>
      <t>S. pneumoniae</t>
    </r>
    <r>
      <rPr>
        <rFont val="Calibri"/>
        <color rgb="FF000000"/>
        <sz val="11.0"/>
      </rPr>
      <t xml:space="preserve"> before reaching age 15</t>
    </r>
  </si>
  <si>
    <t>Total units of value from all outcomes (before final adjustments)</t>
  </si>
  <si>
    <r>
      <rPr>
        <rFont val="Calibri"/>
        <color rgb="FF000000"/>
        <sz val="11.0"/>
      </rPr>
      <t xml:space="preserve">Probability that a 15-year-old will die of meningitis caused by </t>
    </r>
    <r>
      <rPr>
        <rFont val="Calibri"/>
        <i/>
        <color rgb="FF000000"/>
        <sz val="11.0"/>
      </rPr>
      <t>S. pneumoniae</t>
    </r>
    <r>
      <rPr>
        <rFont val="Calibri"/>
        <color rgb="FF000000"/>
        <sz val="11.0"/>
      </rPr>
      <t xml:space="preserve"> before reaching age 50</t>
    </r>
  </si>
  <si>
    <t>Units of value generated per dollar (before final adjustments)</t>
  </si>
  <si>
    <t>Value generated per dollar donated to GiveDirectly's unconditional cash transfer program</t>
  </si>
  <si>
    <r>
      <rPr>
        <rFont val="Calibri"/>
        <color rgb="FF000000"/>
        <sz val="11.0"/>
      </rPr>
      <t xml:space="preserve">Probability that a 50-year-old will die of meningitis caused by </t>
    </r>
    <r>
      <rPr>
        <rFont val="Calibri"/>
        <i/>
        <color rgb="FF000000"/>
        <sz val="11.0"/>
      </rPr>
      <t>S. pneumoniae</t>
    </r>
    <r>
      <rPr>
        <rFont val="Calibri"/>
        <color rgb="FF000000"/>
        <sz val="11.0"/>
      </rPr>
      <t xml:space="preserve"> before reaching age 75</t>
    </r>
  </si>
  <si>
    <t>Proportion of deaths from vaccine-preventable causes among unvaccinated 15-49-year-olds that are addressable by the PCV vaccine</t>
  </si>
  <si>
    <t>Estimated baseline coverage for the PCV vaccine</t>
  </si>
  <si>
    <t>Average coverage rate for the Penta vaccine across doses from the 2021 MICS survey</t>
  </si>
  <si>
    <t>Diarrheal disease</t>
  </si>
  <si>
    <t>Probability of dying of diarrheal disease</t>
  </si>
  <si>
    <t>Average coverage rate for the PCV vaccine across doses from the 2021 MICS survey</t>
  </si>
  <si>
    <t>Probability that a person will die of diarrheal disease before reaching age 5</t>
  </si>
  <si>
    <t>Proportion of impact attributed to different outcomes</t>
  </si>
  <si>
    <t>Proportion of total units of value attributed to mortality reduction among people under age 5</t>
  </si>
  <si>
    <t>Estimated difference between PCV vaccine coverage and Penta vaccine coverage</t>
  </si>
  <si>
    <t>Proportion of deaths from vaccine-preventable causes among unvaccinated 15-49-year-olds that are addressable by the rotavirus vaccine</t>
  </si>
  <si>
    <t>Proportion of total units of value attributed to mortality reduction among 5-14-year-olds</t>
  </si>
  <si>
    <t>Extrapolated proportion of children surveyed in New Incentives' coverage surveys who received the 1st dose of the PCV vaccine</t>
  </si>
  <si>
    <t>Proportion of total units of value attributed to mortality reduction among 15-49-year-olds</t>
  </si>
  <si>
    <t>Probability that a 5-year-old will die of diarrheal disease before reaching age 15</t>
  </si>
  <si>
    <t>Extrapolated proportion of children surveyed in New Incentives' coverage surveys who received the 2nd dose of the PCV vaccine</t>
  </si>
  <si>
    <t>Proportion of deaths from vaccine-preventable causes among unvaccinated 15-49-year-olds that are addressable by the measles vaccine</t>
  </si>
  <si>
    <t>Proportion of total units of value attributed to mortality reduction among 50-74-year-olds</t>
  </si>
  <si>
    <t>Extrapolated proportion of children surveyed in New Incentives' coverage surveys who received the 3rd dose of the PCV vaccine</t>
  </si>
  <si>
    <t>Proportion of total units of value attributed to long-term income increases</t>
  </si>
  <si>
    <t>Probability that a 15-year-old will die of diarrheal disease before reaching age 50</t>
  </si>
  <si>
    <t>Proportion of total units of value attributed to consumption increases</t>
  </si>
  <si>
    <t>Cost per life saved (before final adjustments)</t>
  </si>
  <si>
    <t>Total lives saved (before final adjustments)</t>
  </si>
  <si>
    <t>Probability that a 50-year-old will die of diarrheal disease before reaching age 75</t>
  </si>
  <si>
    <t>Vaccine coverage for 15-49-year-old populations represented by GBD 2021, aggregated across doses</t>
  </si>
  <si>
    <t>Adjustment for lower vaccine coverage among 15-49-year-olds represented in GBD 2021 disease burden estimates</t>
  </si>
  <si>
    <t>Adjustments</t>
  </si>
  <si>
    <t>Weighting of coverage estimates from different sources for the rotavirus vaccine</t>
  </si>
  <si>
    <t>Diarrheal disease mortalities caused by rotavirus occurring before the age of vaccination</t>
  </si>
  <si>
    <t>Weight placed on estimated coverage for the Penta vaccine for estimating rotavirus vaccine coverage</t>
  </si>
  <si>
    <t>Supplemental grantee-level adjustments</t>
  </si>
  <si>
    <t>Diarrheal disease mortalities per year among people under age 5</t>
  </si>
  <si>
    <t>Risk of wastage</t>
  </si>
  <si>
    <t>Double treatment</t>
  </si>
  <si>
    <t>Proportion of 15-49-year-olds represented in GBD 2021 disease burden estimates who received the BCG vaccine</t>
  </si>
  <si>
    <t>Proportion of 15-49-year-olds represented in GBD 2021 disease burden estimates who received the DTP vaccine, aggregated across doses</t>
  </si>
  <si>
    <t>Weight placed on estimated coverage for the PCV vaccine for estimating rotavirus vaccine coverage</t>
  </si>
  <si>
    <t>Ineffective goods</t>
  </si>
  <si>
    <t>Proportion of 15-49-year-olds represented in GBD 2021 disease burden estimates who received the Hib vaccine, aggregated across doses</t>
  </si>
  <si>
    <t>Proportion of 15-49-year-olds represented in GBD 2021 disease burden estimates who received the PCV vaccine, aggregated across doses</t>
  </si>
  <si>
    <t>Diarrheal disease mortalities caused by rotavirus per year among people under age 5</t>
  </si>
  <si>
    <t>Goods purchased and left in storage until they expire / recipients don't receive cash or it is taken back from them inappropriately</t>
  </si>
  <si>
    <t>Proportion of 15-49-year-olds represented in GBD 2021 disease burden estimates who received the rotavirus vaccine, aggregated across doses</t>
  </si>
  <si>
    <t>Proportion of 15-49-year-olds represented in GBD 2021 disease burden estimates who received the measles vaccine</t>
  </si>
  <si>
    <t>Quality of monitoring and evaluation</t>
  </si>
  <si>
    <t>Early neonatal diarrheal disease mortalities caused by rotavirus per year (babies under 7 days old)</t>
  </si>
  <si>
    <t>Misappropriation without monitoring results</t>
  </si>
  <si>
    <t>Vaccine coverage for 15-49-year-old populations represented by GBD 2021, aggregated across vaccines</t>
  </si>
  <si>
    <t>Weighting of coverage estimates from different sources for the measles vaccine</t>
  </si>
  <si>
    <t>Weight placed on the results of New Incentives' coverage surveys for estimating measles vaccine coverage</t>
  </si>
  <si>
    <t>False monitoring results</t>
  </si>
  <si>
    <t>Effect of vaccination on disease incidence among 50-74-year-olds</t>
  </si>
  <si>
    <t>Proportion of vaccine-preventable disease incidence averted by BCG vaccination among 50-74-year-olds</t>
  </si>
  <si>
    <t>Late neonatal diarrheal disease mortalities caused by rotavirus per year (babies between 7 and 27 days old)</t>
  </si>
  <si>
    <t>Weight placed on the results of the 2021 MICS survey for estimating measles vaccine coverage</t>
  </si>
  <si>
    <t>Confidence in funds being used for intended purpose</t>
  </si>
  <si>
    <t>Change of priorities</t>
  </si>
  <si>
    <t>Proportion of vaccine-preventable disease incidence averted by DTP vaccination among 50-74-year-olds</t>
  </si>
  <si>
    <t>Estimated baseline coverage for the measles vaccine</t>
  </si>
  <si>
    <t>Non-funding bottlenecks</t>
  </si>
  <si>
    <t>Proportion of vaccine-preventable disease incidence averted by Hib vaccination among 50-74-year-olds</t>
  </si>
  <si>
    <t>Proportion of diarrheal disease mortalities caused by rotavirus among people under age 5 that occur during the neonatal period (babies between 0 and 27 days old)</t>
  </si>
  <si>
    <t>Estimated vaccination coverage for populations represented by GBD 2021</t>
  </si>
  <si>
    <t>Within-org fungibility</t>
  </si>
  <si>
    <t>Average vaccination coverage across the 2017 and 2021 MICS surveys, adjusted for self-report bias</t>
  </si>
  <si>
    <t>Assumed ratio of diarrheal disease mortalities caused by rotavirus among people under age 5 occurring after the neonatal period but before the age of rotavirus vaccination (6 weeks) to diarrheal disease mortalities caused by rotavirus occurring in the neonatal period</t>
  </si>
  <si>
    <t>Proportion of vaccine-preventable disease incidence averted by PCV vaccination among 50-74-year-olds</t>
  </si>
  <si>
    <t>Proportion of people under age 5 represented in GBD 2021 disease burden estimates who received the 1st dose of the Penta vaccine</t>
  </si>
  <si>
    <t>Total supplemental grantee-level adjustment</t>
  </si>
  <si>
    <t>Proportion of diarrheal disease mortalities caused by rotavirus among people under age 5 that occur before the age of rotavirus vaccination (6 weeks)</t>
  </si>
  <si>
    <t>Proportion of people under age 5 represented in GBD 2021 disease burden estimates who received the 2nd dose of the Penta vaccine</t>
  </si>
  <si>
    <t>Supplemental intervention-level adjustments</t>
  </si>
  <si>
    <t>Proportion of vaccine-preventable disease incidence averted by rotavirus vaccination among 50-74-year-olds</t>
  </si>
  <si>
    <t>Adjustments not affecting cost per life saved</t>
  </si>
  <si>
    <t>Probability that a person will die of diarrheal disease caused by rotavirus before reaching age 5, adjusted for deaths occurring before the age of vaccination</t>
  </si>
  <si>
    <t>Morbidity effects from directly incentivized vaccines and rotavirus</t>
  </si>
  <si>
    <t>Proportion of people under age 5 represented in GBD 2021 disease burden estimates who received the 3rd dose of the Penta vaccine</t>
  </si>
  <si>
    <t>Disease etiology for diarrheal disease</t>
  </si>
  <si>
    <t>Proportion of diarrheal disease mortalities caused by pathogens addressed by the rotavirus vaccine (rotavirus)</t>
  </si>
  <si>
    <t>Proportion of people under age 5 represented in GBD 2021 disease burden estimates who received the 1st dose of the PCV vaccine</t>
  </si>
  <si>
    <t>Probability that a person will die of diarrheal disease caused by rotavirus before reaching age 5, adjusted for mortalities occuring before the age of rotavirus vaccination</t>
  </si>
  <si>
    <t>Morbidity effects of indirectly incentivized vaccines besides rotavirus (i.e., polio, yellow fever, rubella, mumps, varicella meningitis A)</t>
  </si>
  <si>
    <t>Proportion of people under age 5 represented in GBD 2021 disease burden estimates who received the 2nd dose of the PCV vaccine</t>
  </si>
  <si>
    <t>Proportion of vaccine-preventable disease incidence averted by measles vaccination among 50-74-year-olds</t>
  </si>
  <si>
    <r>
      <rPr>
        <rFont val="Calibri"/>
        <color rgb="FF000000"/>
        <sz val="11.0"/>
      </rPr>
      <t xml:space="preserve">Probability that a 5-year-old will die of diarrheal disease caused by </t>
    </r>
    <r>
      <rPr>
        <rFont val="Calibri"/>
        <color rgb="FF000000"/>
        <sz val="11.0"/>
      </rPr>
      <t>rotavirus</t>
    </r>
    <r>
      <rPr>
        <rFont val="Calibri"/>
        <color rgb="FF000000"/>
        <sz val="11.0"/>
      </rPr>
      <t xml:space="preserve"> before reaching age 15</t>
    </r>
  </si>
  <si>
    <t>Proportion of people under age 5 represented in GBD 2021 disease burden estimates who received the 3rd dose of the PCV vaccine</t>
  </si>
  <si>
    <t>Inflation</t>
  </si>
  <si>
    <r>
      <rPr>
        <rFont val="Calibri"/>
        <color rgb="FF000000"/>
        <sz val="11.0"/>
      </rPr>
      <t xml:space="preserve">Probability that a 15-year-old will die of diarrheal disease caused by </t>
    </r>
    <r>
      <rPr>
        <rFont val="Calibri"/>
        <color rgb="FF000000"/>
        <sz val="11.0"/>
      </rPr>
      <t>rotavirus</t>
    </r>
    <r>
      <rPr>
        <rFont val="Calibri"/>
        <color rgb="FF000000"/>
        <sz val="11.0"/>
      </rPr>
      <t xml:space="preserve"> before reaching age 50</t>
    </r>
  </si>
  <si>
    <t>Proportion of people under age 5 represented in GBD 2021 disease burden estimates who received the 1st dose of the rotavirus vaccine</t>
  </si>
  <si>
    <r>
      <rPr>
        <rFont val="Calibri"/>
        <color rgb="FF000000"/>
        <sz val="11.0"/>
      </rPr>
      <t xml:space="preserve">Probability that a 50-year-old will die of diarrheal disease caused by </t>
    </r>
    <r>
      <rPr>
        <rFont val="Calibri"/>
        <color rgb="FF000000"/>
        <sz val="11.0"/>
      </rPr>
      <t>rotavirus</t>
    </r>
    <r>
      <rPr>
        <rFont val="Calibri"/>
        <color rgb="FF000000"/>
        <sz val="11.0"/>
      </rPr>
      <t xml:space="preserve"> before reaching age 75</t>
    </r>
  </si>
  <si>
    <t>Proportion of deaths from vaccine-preventable causes among unvaccinated 50-74-year-olds that are addressable by each vaccine</t>
  </si>
  <si>
    <t>Proportion of deaths from vaccine-preventable causes among unvaccinated 50-74-year-olds that are addressable by the BCG vaccine</t>
  </si>
  <si>
    <t>Treatment costs averted from prevention</t>
  </si>
  <si>
    <t>Measles</t>
  </si>
  <si>
    <t>Probability of dying of measles</t>
  </si>
  <si>
    <t>Probability that a person will die of measles before reaching age 5</t>
  </si>
  <si>
    <t>Proportion of people under age 5 represented in GBD 2021 disease burden estimates who received the 2nd dose of the rotavirus vaccine</t>
  </si>
  <si>
    <t>Investment of income increases</t>
  </si>
  <si>
    <t>Proportion of deaths from vaccine-preventable causes among unvaccinated 50-74-year-olds that are addressable by the DTP vaccine</t>
  </si>
  <si>
    <t>Probability that a 5-year-old will die of measles before reaching age 15</t>
  </si>
  <si>
    <t>Proportion of people under age 5 represented in GBD 2021 disease burden estimates who received the 1st dose of the measles vaccine</t>
  </si>
  <si>
    <t>Increased clinic utilization</t>
  </si>
  <si>
    <t>Proportion of vaccine efficacy provided by individual doses</t>
  </si>
  <si>
    <t>Proportion of total Penta vaccine efficacy provided by the 1st dose</t>
  </si>
  <si>
    <t>Proportion of deaths from vaccine-preventable causes among unvaccinated 50-74-year-olds that are addressable by the Hib vaccine</t>
  </si>
  <si>
    <t>Probability that a 15-year-old will die of measles before reaching age 50</t>
  </si>
  <si>
    <t>Adjustments affecting cost per life saved</t>
  </si>
  <si>
    <t>Lower likelihood of infecting others</t>
  </si>
  <si>
    <t>Proportion of total Penta vaccine efficacy provided by the 2nd dose</t>
  </si>
  <si>
    <t>Probability that a 50-year-old will die of measles before reaching age 75</t>
  </si>
  <si>
    <t>Proportion of deaths from vaccine-preventable causes among unvaccinated 50-74-year-olds that are addressable by the PCV vaccine</t>
  </si>
  <si>
    <t>Herd immunity</t>
  </si>
  <si>
    <t>Proportion of total Penta vaccine efficacy provided by the 3rd dose</t>
  </si>
  <si>
    <t>Measles mortalities occurring before the age of vaccination</t>
  </si>
  <si>
    <t>Proportion of deaths from vaccine-preventable causes among unvaccinated 50-74-year-olds that are addressable by the rotavirus vaccine</t>
  </si>
  <si>
    <t>Measles mortalities per year among people under age 5</t>
  </si>
  <si>
    <t>Mortality effects of indirectly incentivized vaccines besides rotavirus (i.e., polio, yellow fever, rubella, mumps, varicella meningitis A)</t>
  </si>
  <si>
    <t>Proportion of total PCV vaccine efficacy provided by the 1st dose</t>
  </si>
  <si>
    <t>Effects during outbreaks</t>
  </si>
  <si>
    <t>Measles mortalities per year among people under age 1</t>
  </si>
  <si>
    <t>Proportion of deaths from vaccine-preventable causes among unvaccinated 50-74-year-olds that are addressable by the measles vaccine</t>
  </si>
  <si>
    <t>Proportion of total PCV vaccine efficacy provided by the 2nd dose</t>
  </si>
  <si>
    <t>Increasing vaccination rates independent of New Incentives' program</t>
  </si>
  <si>
    <t>Proportion of measles mortalities among people under age 5 that occur before age 1</t>
  </si>
  <si>
    <t>Vaccine-derived polio outbreaks</t>
  </si>
  <si>
    <t>Proportion of total PCV vaccine efficacy provided by the 3rd dose</t>
  </si>
  <si>
    <t>Assumed proportion of measles mortalities among people under age 1 occurring before the age of measles vaccination (6 months)</t>
  </si>
  <si>
    <t>Vaccine coverage for 50-74-year-old populations represented by GBD 2021, aggregated across doses</t>
  </si>
  <si>
    <t>Adjustment for lower vaccine coverage among 50-74-year-olds represented in GBD 2021 disease burden estimates</t>
  </si>
  <si>
    <t>Serotype replacement</t>
  </si>
  <si>
    <t>Proportion of total rotavirus vaccine efficacy provided by the 1st dose</t>
  </si>
  <si>
    <t>Proportion of measles mortalities among people under age 5 that occur before the age of measles vaccination (6 months)</t>
  </si>
  <si>
    <t>Proportion of 50-74-year-olds represented in GBD 2021 disease burden estimates who received the BCG vaccine</t>
  </si>
  <si>
    <t>Increased timeliness of vaccination</t>
  </si>
  <si>
    <t>Probability that a person will die of measles before reaching age 5, adjusted for deaths occurring before the age of vaccination</t>
  </si>
  <si>
    <t>Proportion of total rotavirus vaccine efficacy provided by the 2nd dose</t>
  </si>
  <si>
    <t>Proportion of 50-74-year-olds represented in GBD 2021 disease burden estimates who received the DTP vaccine, aggregated across doses</t>
  </si>
  <si>
    <t>Probability of dying of vaccine-preventable disease among the unvaccinated population under age 5</t>
  </si>
  <si>
    <t>Proportion of 50-74-year-olds represented in GBD 2021 disease burden estimates who received the Hib vaccine, aggregated across doses</t>
  </si>
  <si>
    <t>Probability that a person will die of causes addressable by each vaccine before reaching age 5, adjusted for deaths occurring before the age of vaccination</t>
  </si>
  <si>
    <t>Proportion of 50-74-year-olds represented in GBD 2021 disease burden estimates who received the PCV vaccine, aggregated across doses</t>
  </si>
  <si>
    <t>Total supplemental intervention-level adjustment</t>
  </si>
  <si>
    <t>Probability that a person will die of causes addressable by the BCG vaccine before reaching age 5, adjusted for deaths occurring before the age of BCG vaccination</t>
  </si>
  <si>
    <t>Proportion of total measles vaccine efficacy provided by the 1st dose</t>
  </si>
  <si>
    <t>Proportion of 50-74-year-olds represented in GBD 2021 disease burden estimates who received the rotavirus vaccine, aggregated across doses</t>
  </si>
  <si>
    <t>Leverage and funging adjustment</t>
  </si>
  <si>
    <t>Adjustment for the possibility of crowding funding into the program (leverage)</t>
  </si>
  <si>
    <t>Probability that a person will die of causes addressable by the DTP vaccine before reaching age 5, adjusted for deaths occurring before the age of DTP vaccination</t>
  </si>
  <si>
    <t>Proportion of 50-74-year-olds represented in GBD 2021 disease burden estimates who received the measles vaccine</t>
  </si>
  <si>
    <t>Probability that a person will die of causes addressable by the Hib vaccine before reaching age 5, adjusted for deaths occurring before the age of Hib vaccination</t>
  </si>
  <si>
    <t>Vaccine coverage for 50-74-year-old populations represented by GBD 2021, aggregated across vaccines</t>
  </si>
  <si>
    <t>Adjustment for the possibility of crowding funding out of the program (funging)</t>
  </si>
  <si>
    <t>Probability that a person will die of causes addressable by the PCV vaccine before reaching age 5, adjusted for deaths occurring before the age of PCV vaccination</t>
  </si>
  <si>
    <t>Probability that a person will die of causes addressable by the rotavirus vaccine before reaching age 5, adjusted for deaths occurring before the age of rotavirus vaccination</t>
  </si>
  <si>
    <t>Probability that a person will die of causes addressable by the measles vaccine before reaching age 5, adjusted for deaths occurring before the age of measles vaccination</t>
  </si>
  <si>
    <t>Overall adjustment for leverage and funging</t>
  </si>
  <si>
    <t>Cost-effectiveness (after final adustments)</t>
  </si>
  <si>
    <t>Cost-effectiveness after all adjustments</t>
  </si>
  <si>
    <t>Total value generated by grantee spending after adjusting for leverage and funging</t>
  </si>
  <si>
    <t>Units of value generated per dollar spent by the grantee, after accounting for all adjustments</t>
  </si>
  <si>
    <t>Cost-effectiveness in terms of multiples of GiveDirectly's unconditional cash transfer program, after all adjustments</t>
  </si>
  <si>
    <t>Vaccine efficacy rates from meta-analyses</t>
  </si>
  <si>
    <t>Supplemental calculations for the leverage/funging adjustment</t>
  </si>
  <si>
    <t>BCG vaccine efficacy rate from Mangtani et al. 2014</t>
  </si>
  <si>
    <t>Counterfactual impact</t>
  </si>
  <si>
    <t>Adjustments affecting program outputs (people covered)</t>
  </si>
  <si>
    <t>Leverage and funging adjustment for counterfactual impact estimates</t>
  </si>
  <si>
    <t>DTP vaccine efficacy rate from the LiST meta-analysis (part of the Penta vaccine)</t>
  </si>
  <si>
    <t>Costs</t>
  </si>
  <si>
    <t>Overall adjustment for program outputs</t>
  </si>
  <si>
    <t>Hib vaccine efficacy rate from Thumburu et al. 2015 (part of the Penta vaccine)</t>
  </si>
  <si>
    <t>Adjustments affecting program outcomes (lives saved)</t>
  </si>
  <si>
    <t>Total supplemental intervention-level adjustment affecting lives saved</t>
  </si>
  <si>
    <t>PCV vaccine efficacy rate from the LiST meta-analysis</t>
  </si>
  <si>
    <t>Leveraged government and Gavi costs</t>
  </si>
  <si>
    <t>Domestic government costs incurred per child counterfactually vaccinated</t>
  </si>
  <si>
    <t>Rotavirus vaccine efficacy rate from the LiST meta-analysis</t>
  </si>
  <si>
    <t>Overall adjustment for program outcomes</t>
  </si>
  <si>
    <t>Gavi costs incurred per child counterfactually vaccinated</t>
  </si>
  <si>
    <t>Counterfactual program outputs</t>
  </si>
  <si>
    <t>Total people vaccinated who wouldn't have been vaccinated otherwise</t>
  </si>
  <si>
    <t>Measles vaccine efficacy rate from the LiST meta-analysis</t>
  </si>
  <si>
    <t>Cost per person counterfactually vaccinated</t>
  </si>
  <si>
    <t>main</t>
  </si>
  <si>
    <t>Counterfactual program outcomes</t>
  </si>
  <si>
    <t>Total lives saved that wouldn't have been saved otherwise</t>
  </si>
  <si>
    <t>Adjustments for geography-specific vaccine efficacy</t>
  </si>
  <si>
    <t>Measles vaccine efficacy implied by different data sources</t>
  </si>
  <si>
    <t>Cost per life counterfactually saved</t>
  </si>
  <si>
    <t>Measles vaccine efficacy rate GiveWell infers from the results of IDinsight's biomarkers pilot, assuming the results are entirely explained by vaccine efficacy</t>
  </si>
  <si>
    <t>Costs incurred by the domestic government as a result of a grant</t>
  </si>
  <si>
    <t>Costs incurred by Gavi as a result of a grant</t>
  </si>
  <si>
    <t>Measles vaccine efficacy rate implied by the results of Fowotade et al. 2015</t>
  </si>
  <si>
    <t>Total costs</t>
  </si>
  <si>
    <t>Total spending by all contributors</t>
  </si>
  <si>
    <t>Measles vaccine efficacy rate from Uzicanin and Zimmerman 2011</t>
  </si>
  <si>
    <t>Total spending attributable to different actors</t>
  </si>
  <si>
    <t>Source</t>
  </si>
  <si>
    <t>GW analysis and discussion</t>
  </si>
  <si>
    <t xml:space="preserve">Total spending contributed by domestic governments </t>
  </si>
  <si>
    <t>Weights assigned to data sources for measles vaccine efficacy</t>
  </si>
  <si>
    <t>Weight assigned to the vaccine efficacy rate from the LiST meta-analysis</t>
  </si>
  <si>
    <t>Total spending contributed by Gavi</t>
  </si>
  <si>
    <t>Upstream / downstream spending</t>
  </si>
  <si>
    <t>Total spending causally upstream of donations to grantee</t>
  </si>
  <si>
    <t>Arbitrary value</t>
  </si>
  <si>
    <t>Weight assigned to the vaccine efficacy rate GiveWell infers from the results of IDinsight's biomarkers pilot</t>
  </si>
  <si>
    <t>Cost per child covered</t>
  </si>
  <si>
    <t>Total spending causally downstream of donations to grantee</t>
  </si>
  <si>
    <t>GW analysis</t>
  </si>
  <si>
    <t>Counterfactual funding scenarios</t>
  </si>
  <si>
    <t>Probability of scenarios in the absence of philanthropic funding</t>
  </si>
  <si>
    <t>Scenario 1: Domestic governments would replace the grantee's costs</t>
  </si>
  <si>
    <t>Mangtani et al. 2014</t>
  </si>
  <si>
    <t>Lives Saved Tool (LiST)</t>
  </si>
  <si>
    <t>Weight assigned to the vaccine efficacy rate implied by the results of Fowotade et al. 2015</t>
  </si>
  <si>
    <t>Thumburu et al. 2015</t>
  </si>
  <si>
    <t>Scenario 2: Distributions would go unfunded</t>
  </si>
  <si>
    <t>Adjustment for geography-specific vaccine efficacy</t>
  </si>
  <si>
    <t>Weight assigned to the vaccine efficacy rate from Uzicanin and Zimmerman 2011</t>
  </si>
  <si>
    <t>Proportion of the program that would still occur in each scenario</t>
  </si>
  <si>
    <t>Fowotade et al. 2015</t>
  </si>
  <si>
    <t>Uzicanin and Zimmerman 2011</t>
  </si>
  <si>
    <t>GW guesstimate</t>
  </si>
  <si>
    <t>Proportion of the adjustment for geography-specific measles vaccine efficacy that applies to other vaccines</t>
  </si>
  <si>
    <t>Vaccine coverage in trials</t>
  </si>
  <si>
    <t>Vaccination coverage rate in the trials informing our vaccine efficacy estimates</t>
  </si>
  <si>
    <t>Baseline vaccination coverage</t>
  </si>
  <si>
    <t>Local government areas of Nigeria</t>
  </si>
  <si>
    <t>Probability that an unvaccinated person will die of causes addressable by each vaccine before reaching age 5, adjusted for deaths occurring before the age of vaccination</t>
  </si>
  <si>
    <t>Estimated measles vaccine efficacy rate in New Incentives' program areas</t>
  </si>
  <si>
    <t>Probability that an unvaccinated person will die of causes addressable by the BCG vaccine before reaching age 5, adjusted for deaths occurring before the age of BCG vaccination</t>
  </si>
  <si>
    <t>Number of LGAs surveyed by New Incentives' coverage surveys</t>
  </si>
  <si>
    <t>GW's analysis of vaccination coverage found in New Incentives' rapid assessments</t>
  </si>
  <si>
    <t>Adjustment for geography-specific measles vaccine efficacy</t>
  </si>
  <si>
    <t>Value of spending</t>
  </si>
  <si>
    <t>Probability that an unvaccinated person will die of causes addressable by the DTP vaccine before reaching age 5, adjusted for deaths occurring before the age of DTP vaccination</t>
  </si>
  <si>
    <t>Cost-effectiveness of the program (before leverage and funging)</t>
  </si>
  <si>
    <t>Probability that an unvaccinated person will die of causes addressable by the Hib vaccine before reaching age 5, adjusted for deaths occurring before the age of Hib vaccination</t>
  </si>
  <si>
    <t>Adjustment for geography-specific vaccine efficacy for non-measles vaccines</t>
  </si>
  <si>
    <t>Baseline vaccination coverage found in 2021 MICS coverage surveys</t>
  </si>
  <si>
    <t>Adjusted vaccine efficacy in program areas</t>
  </si>
  <si>
    <t>BCG vaccine efficacy rate in program areas</t>
  </si>
  <si>
    <t>Probability that an unvaccinated person will die of causes addressable by the PCV vaccine before reaching age 5, adjusted for deaths occurring before the age of PCV vaccination</t>
  </si>
  <si>
    <t>Nigeria MICS report, 2021</t>
  </si>
  <si>
    <t>DTP vaccine efficacy rate in program areas (part of the Penta vaccine)</t>
  </si>
  <si>
    <t>Hib vaccine efficacy rate in program areas (part of the Penta vaccine)</t>
  </si>
  <si>
    <t>PCV vaccine efficacy rate in program areas</t>
  </si>
  <si>
    <t>Rotavirus vaccine efficacy rate in program areas</t>
  </si>
  <si>
    <t>Probability that an unvaccinated person will die of causes addressable by the rotavirus vaccine before reaching age 5, adjusted for deaths occurring before the age of rotavirus vaccination</t>
  </si>
  <si>
    <t>Measles vaccine efficacy rate in program areas</t>
  </si>
  <si>
    <t>Vaccine efficacy assuming perfect coverage</t>
  </si>
  <si>
    <t>Probability that an unvaccinated person will die of causes addressable by the measles vaccine before reaching age 5, adjusted for deaths occurring before the age of measles vaccination</t>
  </si>
  <si>
    <t>Baseline vaccination coverage found in 2017 MICS coverage surveys</t>
  </si>
  <si>
    <t>Nigeria MICS report, 2017</t>
  </si>
  <si>
    <t>Self-report adjustments for MICS surveys</t>
  </si>
  <si>
    <t>Units of value generated per dollar donated to grantee (after supplemental adjustments)</t>
  </si>
  <si>
    <t>Baseline coverage for the rotavirus vaccine</t>
  </si>
  <si>
    <t>Lives saved by the program (before leverage and funging)</t>
  </si>
  <si>
    <t>Weighting of vaccination coverage estimates from different sources for the measles vaccine</t>
  </si>
  <si>
    <t>Aggregated vaccine efficacy estimates for the intervention report</t>
  </si>
  <si>
    <t>Vaccine efficacy with universal coverage before adjusting for lower efficacy in program areas</t>
  </si>
  <si>
    <t>Overall vaccine efficacy rate with universal coverage before adjusting for lower efficacy in program areas, aggregated across vaccines</t>
  </si>
  <si>
    <t>Probability of death among the unvaccinated population for older age groups</t>
  </si>
  <si>
    <t>Probability that a 5-year-old will die of causes addressable by each vaccine before reaching age 15</t>
  </si>
  <si>
    <t>Adjustment for expected change in vaccine-preventable disease burden over time for 5-14-year-olds</t>
  </si>
  <si>
    <t>Overall adjustment for geography-specific vaccine efficacy, aggregated across vaccines</t>
  </si>
  <si>
    <t>Total lives saved (after supplemental adjustments)</t>
  </si>
  <si>
    <t>Probability that a 5-year-old will die of causes addressable by the BCG vaccine before reaching age 15</t>
  </si>
  <si>
    <t>GBD 2021</t>
  </si>
  <si>
    <t>Probability that a 5-year-old will die of causes addressable by the DTP vaccine before reaching age 15</t>
  </si>
  <si>
    <t>Counterfactual value of spending from non-philanthropic actors</t>
  </si>
  <si>
    <t>Counterfactual value per dollar spent by domestic governments on immunization programs</t>
  </si>
  <si>
    <t>Probability that a 5-year-old will die of causes addressable by the Hib vaccine before reaching age 15</t>
  </si>
  <si>
    <t>Probability that a 5-year-old will die of causes addressable by the PCV vaccine before reaching age 15</t>
  </si>
  <si>
    <t>Counterfactual value per dollar spent by Gavi</t>
  </si>
  <si>
    <t>Probability that a 5-year-old will die of causes addressable by the rotavirus vaccine before reaching age 15</t>
  </si>
  <si>
    <t>Probability that a 5-year-old will die of causes addressable by the measles vaccine before reaching age 15</t>
  </si>
  <si>
    <t>Value generated across different counterfactual scenarios</t>
  </si>
  <si>
    <t>Scenario 1: Domestic governments would replace philanthropic spending</t>
  </si>
  <si>
    <t>Hypothetical impact of shifting government spending</t>
  </si>
  <si>
    <t>Amount of spending domestic governments would shift to the grantee program</t>
  </si>
  <si>
    <t>Vaccine coverage for 5-14-year-olds represented by GBD 2021, aggregated across doses</t>
  </si>
  <si>
    <t>Value generated by shifting government spending to the grantee program</t>
  </si>
  <si>
    <t>Value lost by shifting spending away from programs domestic governments would otherwise have funded</t>
  </si>
  <si>
    <t>Net value generated by shifting government spending to the grantee program</t>
  </si>
  <si>
    <t>Change in value generated by the grantee program if this scenario represented the true counterfactual</t>
  </si>
  <si>
    <t>Proportion of 5-14-year-olds represented in GBD 2021 disease burden estimates who received the Penta vaccine, aggregated across doses</t>
  </si>
  <si>
    <t>Probability of this scenario representing the true counterfactual</t>
  </si>
  <si>
    <t>Expected change in value generated by the grantee program</t>
  </si>
  <si>
    <t>Scenario 2: The grantee program would go unfunded</t>
  </si>
  <si>
    <t>Amount of spending domestic governments would shift away from the grantee program</t>
  </si>
  <si>
    <t>Adjustment for reduction in vaccine efficacy over time for 5-14-year-olds</t>
  </si>
  <si>
    <t>Value generated by shifting spending to programs domestic governments would otherwise have funded</t>
  </si>
  <si>
    <t>Value lost by shifting government spending away from the grantee program</t>
  </si>
  <si>
    <t>Net value generated by shifting government spending away from the grantee program</t>
  </si>
  <si>
    <t>Amount of spending Gavi would shift away from the grantee program</t>
  </si>
  <si>
    <t>Value generated by shifting spending to programs Gavi would otherwise have funded</t>
  </si>
  <si>
    <t>Value lost by shifting Gavi spending away from the grantee program</t>
  </si>
  <si>
    <t>Net value generated by shifting Gavi spending away from the grantee program</t>
  </si>
  <si>
    <t>Probability that an unvaccinated 5-year-old will die of each vaccine-preventable cause before reaching age 15</t>
  </si>
  <si>
    <t>Probability that an unvaccinated 5-year-old will die of causes addressable by the BCG vaccine before reaching age 15</t>
  </si>
  <si>
    <t>Overall impact of shifting spending</t>
  </si>
  <si>
    <t>Probability that an unvaccinated 5-year-old will die of causes addressable by the DTP vaccine before reaching age 15</t>
  </si>
  <si>
    <t>Expected change in value generated by the program</t>
  </si>
  <si>
    <t>Probability that an unvaccinated 5-year-old will die of causes addressable by the Hib vaccine before reaching age 15</t>
  </si>
  <si>
    <t>Final leverage and funging adjustment</t>
  </si>
  <si>
    <t>Change in value generated as a result of leverage and funging</t>
  </si>
  <si>
    <t>Total value generated by grantee spending before adjusting for leverage and funging</t>
  </si>
  <si>
    <t>Change in value generated as a result of crowding funding into the program (leverage)</t>
  </si>
  <si>
    <t>Probability that an unvaccinated 5-year-old will die of causes addressable by the PCV vaccine before reaching age 15</t>
  </si>
  <si>
    <t>Change in value generated as a result of crowding funding out of the program (funging)</t>
  </si>
  <si>
    <t>Total expected change in value generated as a result of leverage and funging</t>
  </si>
  <si>
    <t>UOV</t>
  </si>
  <si>
    <t>Probability that an unvaccinated 5-year-old will die of causes addressable by the rotavirus vaccine before reaching age 15</t>
  </si>
  <si>
    <t>GBD 2021 (preliminary, not yet published): Probability of death (Nigerian states)</t>
  </si>
  <si>
    <t>GBD 2021: Mortalities among people under age 5</t>
  </si>
  <si>
    <t>GBD 2021: Rotavirus mortalities among people under age 5</t>
  </si>
  <si>
    <t>Location</t>
  </si>
  <si>
    <t>Sex</t>
  </si>
  <si>
    <t>Age</t>
  </si>
  <si>
    <t>Cause</t>
  </si>
  <si>
    <t>Year</t>
  </si>
  <si>
    <t>Value</t>
  </si>
  <si>
    <t>Lower</t>
  </si>
  <si>
    <t>Upper</t>
  </si>
  <si>
    <t>rei_name</t>
  </si>
  <si>
    <t>Measure</t>
  </si>
  <si>
    <t>Metric</t>
  </si>
  <si>
    <t>Both</t>
  </si>
  <si>
    <t>15-49 years</t>
  </si>
  <si>
    <t>All causes</t>
  </si>
  <si>
    <t>1 to 4</t>
  </si>
  <si>
    <t>death</t>
  </si>
  <si>
    <t>Probability that an unvaccinated 5-year-old will die of causes addressable by the measles vaccine before reaching age 15</t>
  </si>
  <si>
    <t>Rotavirus</t>
  </si>
  <si>
    <t>50 to 74 years</t>
  </si>
  <si>
    <t>Early Neonatal</t>
  </si>
  <si>
    <t>5-14 years</t>
  </si>
  <si>
    <t>Late Neonatal</t>
  </si>
  <si>
    <t>Under 5</t>
  </si>
  <si>
    <t>Post Neonatal</t>
  </si>
  <si>
    <t>Probability that a 15-year-old will die of causes addressable by each vaccine before reaching age 50</t>
  </si>
  <si>
    <t>Grant</t>
  </si>
  <si>
    <t>Adjustment for expected change in vaccine-preventable disease burden over time for 15-49-year-olds</t>
  </si>
  <si>
    <t>Probability that a 15-year-old will die of causes addressable by the BCG vaccine before reaching age 50</t>
  </si>
  <si>
    <t>Under-five mortality benefits</t>
  </si>
  <si>
    <t>Cost per child reached</t>
  </si>
  <si>
    <t>Probability that a 15-year-old will die of causes addressable by the DTP vaccine before reaching age 50</t>
  </si>
  <si>
    <t>Probability that a 15-year-old will die of causes addressable by the Hib vaccine before reaching age 50</t>
  </si>
  <si>
    <t>Number of children reached</t>
  </si>
  <si>
    <t>Probability that a 15-year-old will die of causes addressable by the PCV vaccine before reaching age 50</t>
  </si>
  <si>
    <t>Proportion of reached children who would be vaccinated in the absence of the program</t>
  </si>
  <si>
    <t>Probability that a 15-year-old will die of causes addressable by the rotavirus vaccine before reaching age 50</t>
  </si>
  <si>
    <t>Probability that a 15-year-old will die of causes addressable by the measles vaccine before reaching age 50</t>
  </si>
  <si>
    <t>Number of additional children vaccinated as a result of the program</t>
  </si>
  <si>
    <t>Vaccine coverage for 15-49-year-olds represented by GBD 2021, aggregated across doses</t>
  </si>
  <si>
    <t>Probability that an unvaccinated child will die of vaccine-preventable causes before age 5</t>
  </si>
  <si>
    <t>Diarrheal diseases</t>
  </si>
  <si>
    <t>Effect of vaccination on under-five deaths attributable to vaccine-preventable disease</t>
  </si>
  <si>
    <t>Proportion of 15-49-year-olds represented in GBD 2021 disease burden estimates who received the Penta vaccine, aggregated across doses</t>
  </si>
  <si>
    <t>Number of deaths averted before age five</t>
  </si>
  <si>
    <t>Initial cost-effectiveness estimate</t>
  </si>
  <si>
    <t>Cost per under-five death averted</t>
  </si>
  <si>
    <t>Moral value of averting the death of a person under age five</t>
  </si>
  <si>
    <t>Adjustment for reduction in vaccine efficacy over time for 15-49-year-olds</t>
  </si>
  <si>
    <t>Initial cost-effectiveness in terms of multiples of GiveDirectly's unconditional cash transfer program</t>
  </si>
  <si>
    <t>Probability that an unvaccinated 15-year-old will die of each vaccine-preventable cause before reaching age 49</t>
  </si>
  <si>
    <t>Probability that an unvaccinated 15-year-old will die of causes addressable by the BCG vaccine before reaching age 50</t>
  </si>
  <si>
    <t>Probability that an unvaccinated 15-year-old will die of causes addressable by the DTP vaccine before reaching age 50</t>
  </si>
  <si>
    <t>Probability that an unvaccinated 15-year-old will die of causes addressable by the Hib vaccine before reaching age 50</t>
  </si>
  <si>
    <t>Adjustments for other benefits</t>
  </si>
  <si>
    <t>Probability that an unvaccinated 15-year-old will die of causes addressable by the PCV vaccine before reaching age 50</t>
  </si>
  <si>
    <t>Adjustment to account for mortalities averted after age 5</t>
  </si>
  <si>
    <t>Probability that an unvaccinated 15-year-old will die of causes addressable by the rotavirus vaccine before reaching age 50</t>
  </si>
  <si>
    <t>Probability that an unvaccinated 15-year-old will die of causes addressable by the measles vaccine before reaching age 50</t>
  </si>
  <si>
    <t>Adjustment to account for developmental benefits (long-term income increases)</t>
  </si>
  <si>
    <t>Adjustment to account for consumption benefits</t>
  </si>
  <si>
    <t>Percentage of program impact coming from different benefits</t>
  </si>
  <si>
    <t>Mortalities averted before age five</t>
  </si>
  <si>
    <t>Mortalities averted after age five</t>
  </si>
  <si>
    <t>Developmental benefits (long-term income increases)</t>
  </si>
  <si>
    <t>Consumption benefits</t>
  </si>
  <si>
    <t>Additional adjustments</t>
  </si>
  <si>
    <t>Probability that a 50-year-old will die of each vaccine-preventable cause before reaching age 74</t>
  </si>
  <si>
    <t>Adjustment for additional program benefits and downsides</t>
  </si>
  <si>
    <t>Adjustment for grantee-level factors</t>
  </si>
  <si>
    <t>Adjustment for expected change in vaccine-preventable disease burden over time for 50-74-year-olds</t>
  </si>
  <si>
    <t>Adjustment for leverage</t>
  </si>
  <si>
    <t>Adjustment for funging</t>
  </si>
  <si>
    <t>Probability that a 50-year-old will die of causes addressable by the BCG vaccine before reaching age 75</t>
  </si>
  <si>
    <t>Probability that a 50-year-old will die of causes addressable by the DTP vaccine before reaching age 75</t>
  </si>
  <si>
    <t>Final cost-effectiveness estimate</t>
  </si>
  <si>
    <t>Final cost-effectiveness in terms of multiples of GiveDirectly's unconditional cash transfer program</t>
  </si>
  <si>
    <t>Probability that a 50-year-old will die of causes addressable by the Hib vaccine before reaching age 75</t>
  </si>
  <si>
    <t>Final cost per life saved</t>
  </si>
  <si>
    <t>Probability that a 50-year-old will die of causes addressable by the PCV vaccine before reaching age 75</t>
  </si>
  <si>
    <r>
      <rPr>
        <rFont val="Calibri"/>
        <color theme="1"/>
        <sz val="11.0"/>
      </rPr>
      <t>Proportion of lower respiratory infection deaths caused by pathogens addressed by the Penta vaccine (</t>
    </r>
    <r>
      <rPr>
        <rFont val="Calibri"/>
        <i/>
        <color theme="1"/>
        <sz val="11.0"/>
      </rPr>
      <t>H. influenzae type B</t>
    </r>
    <r>
      <rPr>
        <rFont val="Calibri"/>
        <color theme="1"/>
        <sz val="11.0"/>
      </rPr>
      <t>)</t>
    </r>
  </si>
  <si>
    <t>Probability that a 50-year-old will die of causes addressable by the rotavirus vaccine before reaching age 75</t>
  </si>
  <si>
    <r>
      <rPr>
        <rFont val="Calibri"/>
        <color theme="1"/>
        <sz val="11.0"/>
      </rPr>
      <t>Proportion of lower respiratory infection deaths caused by pathogens addressed by the PCV vaccine (</t>
    </r>
    <r>
      <rPr>
        <rFont val="Calibri"/>
        <i/>
        <color theme="1"/>
        <sz val="11.0"/>
      </rPr>
      <t>S. pneumoniae</t>
    </r>
    <r>
      <rPr>
        <rFont val="Calibri"/>
        <color theme="1"/>
        <sz val="11.0"/>
      </rPr>
      <t>)</t>
    </r>
  </si>
  <si>
    <t>Probability that a 50-year-old will die of causes addressable by the measles vaccine before reaching age 75</t>
  </si>
  <si>
    <t>Vaccine coverage for 50-74-year-olds represented by GBD 2021, aggregated across doses</t>
  </si>
  <si>
    <t>25th percentile values (from sensitivity analysis)</t>
  </si>
  <si>
    <t>Proportion of 50-74-year-olds represented in GBD 2021 disease burden estimates who received the Penta vaccine, aggregated across doses</t>
  </si>
  <si>
    <t>Adjustment for reduction in vaccine efficacy over time for 50-74-year-olds</t>
  </si>
  <si>
    <t>Probability that an unvaccinated 50-year-old will die of each vaccine-preventable cause before reaching age 74</t>
  </si>
  <si>
    <t>Probability that an unvaccinated 50-year-old will die of causes addressable by the BCG vaccine before reaching age 75</t>
  </si>
  <si>
    <t>Probability that an unvaccinated 50-year-old will die of causes addressable by the DTP vaccine before reaching age 75</t>
  </si>
  <si>
    <t>75th percentile values (from sensitivity analysis)</t>
  </si>
  <si>
    <t>Probability that an unvaccinated 50-year-old will die of causes addressable by the Hib vaccine before reaching age 75</t>
  </si>
  <si>
    <t>Probability that an unvaccinated 50-year-old will die of causes addressable by the PCV vaccine before reaching age 75</t>
  </si>
  <si>
    <r>
      <rPr>
        <rFont val="Calibri"/>
        <color theme="1"/>
        <sz val="11.0"/>
      </rPr>
      <t>Proportion of meningitis deaths caused by pathogens addressed by the Penta vaccine (</t>
    </r>
    <r>
      <rPr>
        <rFont val="Calibri"/>
        <i/>
        <color theme="1"/>
        <sz val="11.0"/>
      </rPr>
      <t>H. influenzae type B</t>
    </r>
    <r>
      <rPr>
        <rFont val="Calibri"/>
        <color theme="1"/>
        <sz val="11.0"/>
      </rPr>
      <t>) according to GBD 2019</t>
    </r>
  </si>
  <si>
    <t>GBD 2019</t>
  </si>
  <si>
    <r>
      <rPr>
        <rFont val="Calibri"/>
        <color theme="1"/>
        <sz val="11.0"/>
      </rPr>
      <t>Proportion of meningitis deaths caused by pathogens addressed by the PCV vaccine (</t>
    </r>
    <r>
      <rPr>
        <rFont val="Calibri"/>
        <i/>
        <color theme="1"/>
        <sz val="11.0"/>
      </rPr>
      <t>S. pneumoniae</t>
    </r>
    <r>
      <rPr>
        <rFont val="Calibri"/>
        <color theme="1"/>
        <sz val="11.0"/>
      </rPr>
      <t>) according to GBD 2019</t>
    </r>
  </si>
  <si>
    <t>Probability that an unvaccinated 50-year-old will die of causes addressable by the rotavirus vaccine before reaching age 75</t>
  </si>
  <si>
    <t>Probability that an unvaccinated 50-year-old will die of causes addressable by the measles vaccine before reaching age 75</t>
  </si>
  <si>
    <t>Copy of simple CEA (for sensitivity analysis)</t>
  </si>
  <si>
    <t>Probability that an unvaccinated person will die before reaching age 5 as a direct result of being unvaccinated, taking vaccine efficacy into account</t>
  </si>
  <si>
    <t>Probability that an unvaccinated person will die before reaching age 5 as a direct result of not receiving the BCG vaccine, taking vaccine efficacy into account</t>
  </si>
  <si>
    <t>Probability that an unvaccinated person will die before reaching age 5 as a direct result of not receiving the DTP vaccine, taking vaccine efficacy into account</t>
  </si>
  <si>
    <t>Probability that an unvaccinated person will die before reaching age 5 as a direct result of not receiving the Hib vaccine, taking vaccine efficacy into account</t>
  </si>
  <si>
    <t>Probability that an unvaccinated person will die before reaching age 5 as a direct result of not receiving the PCV vaccine, taking vaccine efficacy into account</t>
  </si>
  <si>
    <t>Probability that an unvaccinated person will die before reaching age 5 as a direct result of not receiving the rotavirus vaccine, taking vaccine efficacy into account</t>
  </si>
  <si>
    <t>Probability that an unvaccinated person will die before reaching age 5 as a direct result of not receiving the measles vaccine, taking vaccine efficacy into account</t>
  </si>
  <si>
    <t>Probability that an unvaccinated person will die before reaching age 5 as a direct result of being unvaccinated</t>
  </si>
  <si>
    <t>Proportion of vaccine-preventable mortalities that could be prevented by each vaccine</t>
  </si>
  <si>
    <t>Proportion of vaccine-preventable mortalities among people under age 5 that could be prevented by the DTP vaccine</t>
  </si>
  <si>
    <t>Proportion of vaccine-preventable mortalities among people under age 5 that could be prevented by the Hib vaccine</t>
  </si>
  <si>
    <t>Proportion of vaccine-preventable mortalities among people under age 5 that could be prevented by the PCV vaccine</t>
  </si>
  <si>
    <t>Proportion of vaccine-preventable mortalities among people under age 5 that could be prevented by the rotavirus vaccine</t>
  </si>
  <si>
    <t>Proportion of vaccine-preventable mortalities among people under age 5 that could be prevented by the measles vaccine</t>
  </si>
  <si>
    <t>Cost-effectiveness estimates from 25th percentile values (for sensitivity analysis)</t>
  </si>
  <si>
    <t>Cost-effectiveness estimates from 75th percentile values (for sensitivity analysis)</t>
  </si>
  <si>
    <t>25th</t>
  </si>
  <si>
    <t>Best guess</t>
  </si>
  <si>
    <t>75th</t>
  </si>
  <si>
    <t>GiveWell's 25th and 75th percentile values for key inputs</t>
  </si>
  <si>
    <t>Endline control group coverage from the New Incentives RCT</t>
  </si>
  <si>
    <t>IDinsight report on the New Incentives RCT (see tables 3, 6, and 13)</t>
  </si>
  <si>
    <t>GiveWell, New Incentives IV adjustment, 2024</t>
  </si>
  <si>
    <t>Mortality reduction among people over age 5</t>
  </si>
  <si>
    <t>Long-term income increases for people under age 15</t>
  </si>
  <si>
    <t>GW's SMC CEA</t>
  </si>
  <si>
    <t>New Incentives</t>
  </si>
  <si>
    <t>New Incentives Program Protocols, 2018-2020</t>
  </si>
  <si>
    <t>Exchange Rates UK, 2019</t>
  </si>
  <si>
    <t>GiveDirectly CEA</t>
  </si>
  <si>
    <t>GW value judgment</t>
  </si>
  <si>
    <t>Value assigned to doubling consumption for one person for one year</t>
  </si>
  <si>
    <t>Cost-effectiveness of GiveDirectly</t>
  </si>
  <si>
    <t>GW's GiveDirectly CEA</t>
  </si>
  <si>
    <t>Cost-effectiveness ranges from sensitivity analysis</t>
  </si>
  <si>
    <t>Percentage change in cost-effectiveness from sensitivity analysis</t>
  </si>
  <si>
    <t>Uncertainty level about each input</t>
  </si>
  <si>
    <t>Ratio of difference in cost-effectiveness value to difference in input value</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</si>
</sst>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
    <numFmt numFmtId="165" formatCode="&quot;$&quot;#,##0"/>
    <numFmt numFmtId="166" formatCode="&quot;$&quot;#,##0.00"/>
    <numFmt numFmtId="167" formatCode="0.0000"/>
    <numFmt numFmtId="168" formatCode="0.0"/>
    <numFmt numFmtId="169" formatCode="0.0%"/>
    <numFmt numFmtId="170" formatCode="#,##0.0000"/>
    <numFmt numFmtId="171" formatCode="[$₦]#,##0"/>
    <numFmt numFmtId="172" formatCode="0.000"/>
    <numFmt numFmtId="173" formatCode="#,##0.000"/>
    <numFmt numFmtId="174" formatCode="0.0000%"/>
  </numFmts>
  <fonts count="65">
    <font>
      <sz val="10.0"/>
      <color rgb="FF000000"/>
      <name val="Arial"/>
      <scheme val="minor"/>
    </font>
    <font>
      <b/>
      <sz val="11.0"/>
      <color theme="1"/>
      <name val="Calibri"/>
    </font>
    <font/>
    <font>
      <b/>
      <sz val="11.0"/>
      <color rgb="FF000000"/>
      <name val="Calibri"/>
    </font>
    <font>
      <sz val="11.0"/>
      <color theme="1"/>
      <name val="Calibri"/>
    </font>
    <font>
      <u/>
      <sz val="11.0"/>
      <color rgb="FF0000FF"/>
      <name val="Calibri"/>
    </font>
    <font>
      <u/>
      <sz val="11.0"/>
      <color rgb="FF0000FF"/>
      <name val="Calibri"/>
    </font>
    <font>
      <u/>
      <sz val="11.0"/>
      <color rgb="FF0000FF"/>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u/>
      <sz val="11.0"/>
      <color rgb="FF1155CC"/>
      <name val="Calibri"/>
    </font>
    <font>
      <u/>
      <color theme="1"/>
      <name val="Arial"/>
      <scheme val="minor"/>
    </font>
    <font>
      <u/>
      <sz val="11.0"/>
      <color theme="1"/>
      <name val="Calibri"/>
    </font>
    <font>
      <u/>
      <sz val="11.0"/>
      <color rgb="FF0000FF"/>
      <name val="Calibri"/>
    </font>
    <font>
      <u/>
      <sz val="11.0"/>
      <color rgb="FF1155CC"/>
      <name val="Calibri"/>
    </font>
    <font>
      <u/>
      <sz val="11.0"/>
      <color theme="1"/>
      <name val="Calibri"/>
    </font>
    <font>
      <color rgb="FF000000"/>
    </font>
    <font>
      <u/>
      <sz val="11.0"/>
      <color rgb="FF0000FF"/>
      <name val="Calibri"/>
    </font>
    <font>
      <u/>
      <sz val="11.0"/>
      <color rgb="FF1155CC"/>
      <name val="Calibri"/>
    </font>
    <font>
      <u/>
      <sz val="11.0"/>
      <color rgb="FF1155CC"/>
      <name val="Calibri"/>
    </font>
    <font>
      <u/>
      <color rgb="FF0000FF"/>
    </font>
    <font>
      <u/>
      <sz val="11.0"/>
      <color rgb="FF0000FF"/>
      <name val="Calibri"/>
    </font>
    <font>
      <u/>
      <sz val="11.0"/>
      <color theme="1"/>
      <name val="Calibri"/>
    </font>
    <font>
      <u/>
      <sz val="11.0"/>
      <color theme="1"/>
      <name val="Calibri"/>
    </font>
    <font>
      <color rgb="FF000000"/>
      <name val="Arial"/>
      <scheme val="minor"/>
    </font>
    <font>
      <u/>
      <sz val="11.0"/>
      <color rgb="FF000000"/>
      <name val="Calibri"/>
    </font>
    <font>
      <b/>
      <u/>
      <sz val="11.0"/>
      <color theme="1"/>
      <name val="Calibri"/>
    </font>
    <font>
      <u/>
      <color rgb="FF000000"/>
      <name val="Arial"/>
      <scheme val="minor"/>
    </font>
    <font>
      <u/>
      <color theme="1"/>
      <name val="Arial"/>
      <scheme val="minor"/>
    </font>
    <font>
      <u/>
      <sz val="11.0"/>
      <color theme="1"/>
      <name val="Calibri"/>
    </font>
    <font>
      <u/>
      <sz val="11.0"/>
      <color theme="1"/>
      <name val="Calibri"/>
    </font>
    <font>
      <color theme="1"/>
      <name val="Arial"/>
    </font>
    <font>
      <u/>
      <sz val="11.0"/>
      <color rgb="FF000000"/>
      <name val="Calibri"/>
    </font>
    <font>
      <u/>
      <sz val="11.0"/>
      <color rgb="FF000000"/>
      <name val="Calibri"/>
    </font>
    <font>
      <i/>
      <sz val="11.0"/>
      <color rgb="FF000000"/>
      <name val="Calibri"/>
    </font>
    <font>
      <sz val="11.0"/>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theme="1"/>
      <name val="Calibri"/>
    </font>
    <font>
      <color theme="1"/>
      <name val="Arial"/>
      <scheme val="minor"/>
    </font>
    <font>
      <color rgb="FF000000"/>
      <name val="Arial"/>
    </font>
    <font>
      <b/>
      <color rgb="FF000000"/>
      <name val="Arial"/>
    </font>
    <font>
      <b/>
      <color theme="1"/>
      <name val="Arial"/>
    </font>
    <font>
      <u/>
      <sz val="11.0"/>
      <color theme="1"/>
      <name val="Calibri"/>
    </font>
    <font>
      <i/>
      <sz val="11.0"/>
      <color theme="1"/>
      <name val="Calibri"/>
    </font>
    <font>
      <u/>
      <sz val="11.0"/>
      <color theme="1"/>
      <name val="Calibri"/>
    </font>
    <font>
      <sz val="11.0"/>
      <color rgb="FF666666"/>
      <name val="Calibri"/>
    </font>
    <font>
      <color rgb="FF666666"/>
      <name val="Arial"/>
      <scheme val="minor"/>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u/>
      <color rgb="FF0000FF"/>
    </font>
  </fonts>
  <fills count="5">
    <fill>
      <patternFill patternType="none"/>
    </fill>
    <fill>
      <patternFill patternType="lightGray"/>
    </fill>
    <fill>
      <patternFill patternType="solid">
        <fgColor rgb="FFBAD2DE"/>
        <bgColor rgb="FFBAD2DE"/>
      </patternFill>
    </fill>
    <fill>
      <patternFill patternType="solid">
        <fgColor rgb="FFE8F0F4"/>
        <bgColor rgb="FFE8F0F4"/>
      </patternFill>
    </fill>
    <fill>
      <patternFill patternType="solid">
        <fgColor rgb="FFFFFFFF"/>
        <bgColor rgb="FFFFFFFF"/>
      </patternFill>
    </fill>
  </fills>
  <borders count="43">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right style="thin">
        <color rgb="FF999999"/>
      </right>
      <top style="thin">
        <color rgb="FF999999"/>
      </top>
    </border>
    <border>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rder>
    <border>
      <right style="thin">
        <color rgb="FF999999"/>
      </right>
    </border>
    <border>
      <bottom style="thin">
        <color rgb="FFCCCCCC"/>
      </bottom>
    </border>
    <border>
      <left style="thin">
        <color rgb="FF999999"/>
      </left>
      <right style="thin">
        <color rgb="FF999999"/>
      </right>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left style="thin">
        <color rgb="FF999999"/>
      </left>
      <bottom style="thin">
        <color rgb="FF999999"/>
      </bottom>
    </border>
    <border>
      <right style="thin">
        <color rgb="FF999999"/>
      </right>
      <bottom style="thin">
        <color rgb="FF999999"/>
      </bottom>
    </border>
    <border>
      <left style="thin">
        <color rgb="FF999999"/>
      </left>
      <right style="thin">
        <color rgb="FF999999"/>
      </right>
      <bottom style="thin">
        <color rgb="FF999999"/>
      </bottom>
    </border>
    <border>
      <top style="thin">
        <color rgb="FFCCCCCC"/>
      </top>
      <bottom style="thin">
        <color rgb="FF999999"/>
      </bottom>
    </border>
    <border>
      <right style="thin">
        <color rgb="FF999999"/>
      </right>
      <top style="thin">
        <color rgb="FFCCCCCC"/>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CCCCCC"/>
      </bottom>
    </border>
    <border>
      <left style="thin">
        <color rgb="FF999999"/>
      </left>
      <right style="thin">
        <color rgb="FF999999"/>
      </right>
      <top style="thin">
        <color rgb="FFCCCCCC"/>
      </top>
      <bottom style="thin">
        <color rgb="FFCCCCCC"/>
      </bottom>
    </border>
    <border>
      <top style="thin">
        <color rgb="FFCCCCCC"/>
      </top>
    </border>
    <border>
      <right style="thin">
        <color rgb="FF999999"/>
      </right>
      <top style="thin">
        <color rgb="FFCCCCCC"/>
      </top>
    </border>
    <border>
      <left style="thin">
        <color rgb="FF999999"/>
      </left>
      <right style="thin">
        <color rgb="FF999999"/>
      </right>
      <top style="thin">
        <color rgb="FFCCCCCC"/>
      </top>
      <bottom style="thin">
        <color rgb="FF999999"/>
      </bottom>
    </border>
    <border>
      <left style="thin">
        <color rgb="FF999999"/>
      </left>
      <right style="thin">
        <color rgb="FF999999"/>
      </right>
      <top style="thin">
        <color rgb="FFCCCCCC"/>
      </top>
    </border>
    <border>
      <left style="thin">
        <color rgb="FF999999"/>
      </left>
      <bottom style="thin">
        <color rgb="FFCCCCCC"/>
      </bottom>
    </border>
    <border>
      <left style="thin">
        <color rgb="FF999999"/>
      </left>
      <top style="thin">
        <color rgb="FFCCCCCC"/>
      </top>
      <bottom style="thin">
        <color rgb="FFCCCCCC"/>
      </bottom>
    </border>
    <border>
      <left style="thin">
        <color rgb="FF999999"/>
      </left>
      <top style="thin">
        <color rgb="FFCCCCCC"/>
      </top>
      <bottom style="thin">
        <color rgb="FF999999"/>
      </bottom>
    </border>
    <border>
      <top style="thin">
        <color rgb="FF999999"/>
      </top>
      <bottom style="thin">
        <color rgb="FF000000"/>
      </bottom>
    </border>
    <border>
      <left style="thin">
        <color rgb="FF999999"/>
      </left>
      <right style="thin">
        <color rgb="FF000000"/>
      </right>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left style="thin">
        <color rgb="FF999999"/>
      </left>
      <right style="thin">
        <color rgb="FF000000"/>
      </right>
      <bottom style="thin">
        <color rgb="FF999999"/>
      </bottom>
    </border>
    <border>
      <left style="thin">
        <color rgb="FF000000"/>
      </left>
      <right style="thin">
        <color rgb="FF999999"/>
      </right>
    </border>
    <border>
      <right style="thin">
        <color rgb="FF000000"/>
      </right>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s>
  <cellStyleXfs count="1">
    <xf borderId="0" fillId="0" fontId="0" numFmtId="0" applyAlignment="1" applyFont="1"/>
  </cellStyleXfs>
  <cellXfs count="1025">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1" fillId="2" fontId="1" numFmtId="0" xfId="0" applyAlignment="1" applyBorder="1" applyFill="1" applyFont="1">
      <alignment readingOrder="0"/>
    </xf>
    <xf borderId="2" fillId="2" fontId="1" numFmtId="0" xfId="0" applyAlignment="1" applyBorder="1" applyFill="1" applyFont="1">
      <alignment vertical="bottom"/>
    </xf>
    <xf borderId="2" fillId="0" fontId="2" numFmtId="0" xfId="0" applyBorder="1" applyFont="1"/>
    <xf borderId="2" fillId="2" fontId="3" numFmtId="0" xfId="0" applyAlignment="1" applyBorder="1" applyFill="1" applyFont="1">
      <alignment shrinkToFit="0" vertical="bottom" wrapText="1"/>
    </xf>
    <xf borderId="2" fillId="2" fontId="4" numFmtId="0" xfId="0" applyBorder="1" applyFill="1" applyFont="1"/>
    <xf borderId="2" fillId="2" fontId="1" numFmtId="0" xfId="0" applyAlignment="1" applyBorder="1" applyFill="1" applyFont="1">
      <alignment horizontal="right" readingOrder="0" shrinkToFit="0" vertical="bottom" wrapText="1"/>
    </xf>
    <xf borderId="3" fillId="2" fontId="1" numFmtId="0" xfId="0" applyAlignment="1" applyBorder="1" applyFill="1" applyFont="1">
      <alignment horizontal="right" readingOrder="0" shrinkToFit="0" vertical="bottom" wrapText="1"/>
    </xf>
    <xf borderId="4" fillId="2" fontId="3" numFmtId="0" xfId="0" applyAlignment="1" applyBorder="1" applyFill="1" applyFont="1">
      <alignment horizontal="right" readingOrder="0"/>
    </xf>
    <xf borderId="3" fillId="2" fontId="4" numFmtId="0" xfId="0" applyBorder="1" applyFill="1" applyFont="1"/>
    <xf borderId="5" fillId="2" fontId="3" numFmtId="0" xfId="0" applyAlignment="1" applyBorder="1" applyFill="1" applyFont="1">
      <alignment horizontal="center" readingOrder="0"/>
    </xf>
    <xf borderId="5" fillId="0" fontId="2" numFmtId="0" xfId="0" applyBorder="1" applyFont="1"/>
    <xf borderId="6" fillId="3" fontId="1" numFmtId="0" xfId="0" applyAlignment="1" applyBorder="1" applyFill="1" applyFont="1">
      <alignment horizontal="left" readingOrder="0" shrinkToFit="0" wrapText="0"/>
    </xf>
    <xf borderId="7" fillId="0" fontId="2" numFmtId="0" xfId="0" applyBorder="1" applyFont="1"/>
    <xf borderId="7" fillId="3" fontId="4" numFmtId="0" xfId="0" applyBorder="1" applyFill="1" applyFont="1"/>
    <xf borderId="6" fillId="2" fontId="3" numFmtId="0" xfId="0" applyAlignment="1" applyBorder="1" applyFill="1" applyFont="1">
      <alignment horizontal="center" readingOrder="0"/>
    </xf>
    <xf borderId="8" fillId="3" fontId="4" numFmtId="0" xfId="0" applyBorder="1" applyFill="1" applyFont="1"/>
    <xf borderId="0" fillId="0" fontId="1" numFmtId="0" xfId="0" applyAlignment="1" applyFont="1">
      <alignment horizontal="left" readingOrder="0" shrinkToFit="0" wrapText="0"/>
    </xf>
    <xf borderId="0" fillId="0" fontId="1" numFmtId="0" xfId="0" applyAlignment="1" applyFont="1">
      <alignment horizontal="left" readingOrder="0" shrinkToFit="0" wrapText="1"/>
    </xf>
    <xf borderId="7" fillId="2" fontId="3" numFmtId="0" xfId="0" applyAlignment="1" applyBorder="1" applyFill="1" applyFont="1">
      <alignment horizontal="center" readingOrder="0"/>
    </xf>
    <xf borderId="0" fillId="0" fontId="4" numFmtId="0" xfId="0" applyFont="1"/>
    <xf borderId="9" fillId="0" fontId="1" numFmtId="0" xfId="0" applyAlignment="1" applyBorder="1" applyFont="1">
      <alignment horizontal="left" readingOrder="0" shrinkToFit="0" wrapText="0"/>
    </xf>
    <xf borderId="4" fillId="2" fontId="1" numFmtId="0" xfId="0" applyAlignment="1" applyBorder="1" applyFill="1" applyFont="1">
      <alignment horizontal="center" vertical="bottom"/>
    </xf>
    <xf borderId="9" fillId="2" fontId="1" numFmtId="0" xfId="0" applyAlignment="1" applyBorder="1" applyFill="1" applyFont="1">
      <alignment readingOrder="0" vertical="bottom"/>
    </xf>
    <xf borderId="0" fillId="2" fontId="1" numFmtId="0" xfId="0" applyAlignment="1" applyFill="1" applyFont="1">
      <alignment vertical="bottom"/>
    </xf>
    <xf borderId="0" fillId="2" fontId="1" numFmtId="0" xfId="0" applyAlignment="1" applyFill="1" applyFont="1">
      <alignment shrinkToFit="0" vertical="bottom" wrapText="1"/>
    </xf>
    <xf borderId="0" fillId="2" fontId="3" numFmtId="0" xfId="0" applyAlignment="1" applyFill="1" applyFont="1">
      <alignment shrinkToFit="0" vertical="bottom" wrapText="1"/>
    </xf>
    <xf borderId="0" fillId="2" fontId="1" numFmtId="0" xfId="0" applyAlignment="1" applyFill="1" applyFont="1">
      <alignment horizontal="right" readingOrder="0" shrinkToFit="0" vertical="bottom" wrapText="1"/>
    </xf>
    <xf borderId="10" fillId="2" fontId="1" numFmtId="0" xfId="0" applyAlignment="1" applyBorder="1" applyFill="1" applyFont="1">
      <alignment horizontal="right" readingOrder="0" shrinkToFit="0" vertical="bottom" wrapText="1"/>
    </xf>
    <xf borderId="11" fillId="0" fontId="5" numFmtId="0" xfId="0" applyAlignment="1" applyBorder="1" applyFont="1">
      <alignment horizontal="left" readingOrder="0" shrinkToFit="0" wrapText="1"/>
    </xf>
    <xf borderId="12" fillId="2" fontId="3" numFmtId="0" xfId="0" applyAlignment="1" applyBorder="1" applyFill="1" applyFont="1">
      <alignment horizontal="right" readingOrder="0"/>
    </xf>
    <xf borderId="11" fillId="0" fontId="4" numFmtId="0" xfId="0" applyAlignment="1" applyBorder="1" applyFont="1">
      <alignment horizontal="left" readingOrder="0" shrinkToFit="0" wrapText="0"/>
    </xf>
    <xf borderId="11" fillId="0" fontId="4" numFmtId="0" xfId="0" applyBorder="1" applyFont="1"/>
    <xf borderId="13" fillId="0" fontId="4" numFmtId="0" xfId="0" applyBorder="1" applyFont="1"/>
    <xf borderId="0" fillId="2" fontId="3" numFmtId="0" xfId="0" applyAlignment="1" applyFill="1" applyFont="1">
      <alignment horizontal="center" readingOrder="0" shrinkToFit="0" wrapText="1"/>
    </xf>
    <xf borderId="14" fillId="0" fontId="6" numFmtId="0" xfId="0" applyAlignment="1" applyBorder="1" applyFont="1">
      <alignment horizontal="left" readingOrder="0" shrinkToFit="0" wrapText="1"/>
    </xf>
    <xf borderId="14" fillId="0" fontId="4" numFmtId="0" xfId="0" applyAlignment="1" applyBorder="1" applyFont="1">
      <alignment horizontal="left" readingOrder="0" shrinkToFit="0" wrapText="0"/>
    </xf>
    <xf borderId="14" fillId="0" fontId="4" numFmtId="0" xfId="0" applyBorder="1" applyFont="1"/>
    <xf borderId="15" fillId="0" fontId="4" numFmtId="0" xfId="0" applyBorder="1" applyFont="1"/>
    <xf borderId="10" fillId="2" fontId="3" numFmtId="0" xfId="0" applyAlignment="1" applyBorder="1" applyFill="1" applyFont="1">
      <alignment horizontal="center" readingOrder="0" shrinkToFit="0" wrapText="1"/>
    </xf>
    <xf borderId="9" fillId="2" fontId="3" numFmtId="0" xfId="0" applyAlignment="1" applyBorder="1" applyFill="1" applyFont="1">
      <alignment horizontal="center" readingOrder="0"/>
    </xf>
    <xf borderId="12" fillId="2" fontId="1" numFmtId="0" xfId="0" applyAlignment="1" applyBorder="1" applyFill="1" applyFont="1">
      <alignment horizontal="center" vertical="bottom"/>
    </xf>
    <xf borderId="16" fillId="2" fontId="1" numFmtId="0" xfId="0" applyAlignment="1" applyBorder="1" applyFill="1" applyFont="1">
      <alignment readingOrder="0" vertical="bottom"/>
    </xf>
    <xf borderId="5" fillId="2" fontId="1" numFmtId="0" xfId="0" applyAlignment="1" applyBorder="1" applyFill="1" applyFont="1">
      <alignment horizontal="right" readingOrder="0" shrinkToFit="0" vertical="bottom" wrapText="1"/>
    </xf>
    <xf borderId="17" fillId="2" fontId="1" numFmtId="0" xfId="0" applyAlignment="1" applyBorder="1" applyFill="1" applyFont="1">
      <alignment horizontal="right" readingOrder="0" shrinkToFit="0" vertical="bottom" wrapText="1"/>
    </xf>
    <xf borderId="18" fillId="2" fontId="3" numFmtId="0" xfId="0" applyAlignment="1" applyBorder="1" applyFill="1" applyFont="1">
      <alignment horizontal="center" readingOrder="0"/>
    </xf>
    <xf borderId="5" fillId="2" fontId="3" numFmtId="0" xfId="0" applyAlignment="1" applyBorder="1" applyFill="1" applyFont="1">
      <alignment horizontal="center" readingOrder="0" shrinkToFit="0" wrapText="1"/>
    </xf>
    <xf borderId="17" fillId="2" fontId="3" numFmtId="0" xfId="0" applyAlignment="1" applyBorder="1" applyFill="1" applyFont="1">
      <alignment horizontal="center" readingOrder="0" shrinkToFit="0" wrapText="1"/>
    </xf>
    <xf borderId="16" fillId="2" fontId="3" numFmtId="0" xfId="0" applyAlignment="1" applyBorder="1" applyFill="1" applyFont="1">
      <alignment horizontal="center" readingOrder="0"/>
    </xf>
    <xf borderId="19" fillId="0" fontId="7" numFmtId="0" xfId="0" applyAlignment="1" applyBorder="1" applyFont="1">
      <alignment horizontal="left" readingOrder="0" shrinkToFit="0" wrapText="1"/>
    </xf>
    <xf borderId="19" fillId="0" fontId="4" numFmtId="0" xfId="0" applyAlignment="1" applyBorder="1" applyFont="1">
      <alignment horizontal="left" readingOrder="0" shrinkToFit="0" wrapText="0"/>
    </xf>
    <xf borderId="19" fillId="0" fontId="4" numFmtId="0" xfId="0" applyBorder="1" applyFont="1"/>
    <xf borderId="18" fillId="2" fontId="1" numFmtId="0" xfId="0" applyAlignment="1" applyBorder="1" applyFill="1" applyFont="1">
      <alignment horizontal="center" readingOrder="0" vertical="bottom"/>
    </xf>
    <xf borderId="16" fillId="3" fontId="1" numFmtId="0" xfId="0" applyAlignment="1" applyBorder="1" applyFill="1" applyFont="1">
      <alignment readingOrder="0" shrinkToFit="0" vertical="bottom" wrapText="0"/>
    </xf>
    <xf borderId="20" fillId="0" fontId="4" numFmtId="0" xfId="0" applyBorder="1" applyFont="1"/>
    <xf borderId="5" fillId="3" fontId="1" numFmtId="0" xfId="0" applyAlignment="1" applyBorder="1" applyFill="1" applyFont="1">
      <alignment readingOrder="0" shrinkToFit="0" vertical="bottom" wrapText="0"/>
    </xf>
    <xf borderId="5" fillId="3" fontId="3" numFmtId="0" xfId="0" applyAlignment="1" applyBorder="1" applyFill="1" applyFont="1">
      <alignment readingOrder="0" shrinkToFit="0" vertical="bottom" wrapText="1"/>
    </xf>
    <xf borderId="10" fillId="0" fontId="4" numFmtId="0" xfId="0" applyBorder="1" applyFont="1"/>
    <xf borderId="5" fillId="3" fontId="1" numFmtId="0" xfId="0" applyAlignment="1" applyBorder="1" applyFill="1" applyFont="1">
      <alignment readingOrder="0" shrinkToFit="0" vertical="bottom" wrapText="1"/>
    </xf>
    <xf borderId="9" fillId="0" fontId="4" numFmtId="0" xfId="0" applyAlignment="1" applyBorder="1" applyFont="1">
      <alignment horizontal="left" readingOrder="0" shrinkToFit="0" wrapText="0"/>
    </xf>
    <xf borderId="5" fillId="3" fontId="1" numFmtId="0" xfId="0" applyAlignment="1" applyBorder="1" applyFill="1" applyFont="1">
      <alignment horizontal="right" readingOrder="0" shrinkToFit="0" vertical="bottom" wrapText="0"/>
    </xf>
    <xf borderId="17" fillId="3" fontId="1" numFmtId="0" xfId="0" applyAlignment="1" applyBorder="1" applyFill="1" applyFont="1">
      <alignment horizontal="right" readingOrder="0" shrinkToFit="0" vertical="bottom" wrapText="0"/>
    </xf>
    <xf borderId="0" fillId="0" fontId="4" numFmtId="0" xfId="0" applyAlignment="1" applyFont="1">
      <alignment horizontal="left" readingOrder="0" shrinkToFit="0" wrapText="0"/>
    </xf>
    <xf borderId="0" fillId="0" fontId="4" numFmtId="0" xfId="0" applyAlignment="1" applyFont="1">
      <alignment horizontal="left" readingOrder="0" shrinkToFit="0" wrapText="1"/>
    </xf>
    <xf borderId="18" fillId="3" fontId="8" numFmtId="164" xfId="0" applyAlignment="1" applyBorder="1" applyFill="1" applyFont="1" applyNumberFormat="1">
      <alignment horizontal="right" vertical="bottom"/>
    </xf>
    <xf borderId="0" fillId="0" fontId="9" numFmtId="0" xfId="0" applyAlignment="1" applyFont="1">
      <alignment horizontal="left" readingOrder="0" shrinkToFit="0" wrapText="0"/>
    </xf>
    <xf borderId="5" fillId="3" fontId="3" numFmtId="164" xfId="0" applyAlignment="1" applyBorder="1" applyFill="1" applyFont="1" applyNumberFormat="1">
      <alignment horizontal="right" vertical="bottom"/>
    </xf>
    <xf borderId="11" fillId="0" fontId="1" numFmtId="0" xfId="0" applyAlignment="1" applyBorder="1" applyFont="1">
      <alignment horizontal="left" readingOrder="0" shrinkToFit="0" wrapText="1"/>
    </xf>
    <xf borderId="11" fillId="0" fontId="4" numFmtId="0" xfId="0" applyAlignment="1" applyBorder="1" applyFont="1">
      <alignment horizontal="left" readingOrder="0" shrinkToFit="0" wrapText="1"/>
    </xf>
    <xf borderId="11" fillId="0" fontId="2" numFmtId="0" xfId="0" applyBorder="1" applyFont="1"/>
    <xf borderId="17" fillId="3" fontId="4" numFmtId="0" xfId="0" applyAlignment="1" applyBorder="1" applyFill="1" applyFont="1">
      <alignment horizontal="center" vertical="bottom"/>
    </xf>
    <xf borderId="6" fillId="3" fontId="1" numFmtId="0" xfId="0" applyAlignment="1" applyBorder="1" applyFill="1" applyFont="1">
      <alignment readingOrder="0" shrinkToFit="0" vertical="bottom" wrapText="0"/>
    </xf>
    <xf borderId="21" fillId="3" fontId="8" numFmtId="0" xfId="0" applyAlignment="1" applyBorder="1" applyFill="1" applyFont="1">
      <alignment horizontal="right" vertical="bottom"/>
    </xf>
    <xf borderId="5" fillId="3" fontId="8" numFmtId="0" xfId="0" applyAlignment="1" applyBorder="1" applyFill="1" applyFont="1">
      <alignment horizontal="right" vertical="bottom"/>
    </xf>
    <xf borderId="5" fillId="0" fontId="1" numFmtId="0" xfId="0" applyAlignment="1" applyBorder="1" applyFont="1">
      <alignment horizontal="left" readingOrder="0" shrinkToFit="0" wrapText="1"/>
    </xf>
    <xf borderId="5" fillId="0" fontId="4" numFmtId="0" xfId="0" applyAlignment="1" applyBorder="1" applyFont="1">
      <alignment horizontal="left" readingOrder="0" shrinkToFit="0" wrapText="1"/>
    </xf>
    <xf borderId="5" fillId="0" fontId="4" numFmtId="0" xfId="0" applyBorder="1" applyFont="1"/>
    <xf borderId="17" fillId="0" fontId="4" numFmtId="0" xfId="0" applyBorder="1" applyFont="1"/>
    <xf borderId="8" fillId="3" fontId="4" numFmtId="0" xfId="0" applyAlignment="1" applyBorder="1" applyFill="1" applyFont="1">
      <alignment horizontal="center" vertical="bottom"/>
    </xf>
    <xf borderId="9" fillId="0" fontId="4" numFmtId="0" xfId="0" applyAlignment="1" applyBorder="1" applyFont="1">
      <alignment vertical="bottom"/>
    </xf>
    <xf borderId="0" fillId="0" fontId="4" numFmtId="0" xfId="0" applyAlignment="1" applyFont="1">
      <alignment vertical="bottom"/>
    </xf>
    <xf borderId="0" fillId="0" fontId="8" numFmtId="0" xfId="0" applyAlignment="1" applyFont="1">
      <alignment shrinkToFit="0" vertical="bottom" wrapText="1"/>
    </xf>
    <xf borderId="0" fillId="0" fontId="4" numFmtId="0" xfId="0" applyAlignment="1" applyFont="1">
      <alignment horizontal="right" vertical="bottom"/>
    </xf>
    <xf borderId="10" fillId="0" fontId="4" numFmtId="0" xfId="0" applyAlignment="1" applyBorder="1" applyFont="1">
      <alignment horizontal="right" vertical="bottom"/>
    </xf>
    <xf borderId="12" fillId="0" fontId="8" numFmtId="0" xfId="0" applyAlignment="1" applyBorder="1" applyFont="1">
      <alignment horizontal="right"/>
    </xf>
    <xf borderId="0" fillId="0" fontId="8" numFmtId="0" xfId="0" applyAlignment="1" applyFont="1">
      <alignment horizontal="right"/>
    </xf>
    <xf borderId="14" fillId="0" fontId="1" numFmtId="0" xfId="0" applyAlignment="1" applyBorder="1" applyFont="1">
      <alignment horizontal="left" readingOrder="0" shrinkToFit="0" wrapText="1"/>
    </xf>
    <xf borderId="10" fillId="0" fontId="4" numFmtId="0" xfId="0" applyAlignment="1" applyBorder="1" applyFont="1">
      <alignment horizontal="center"/>
    </xf>
    <xf borderId="14" fillId="0" fontId="2" numFmtId="0" xfId="0" applyBorder="1" applyFont="1"/>
    <xf borderId="0" fillId="0" fontId="10" numFmtId="0" xfId="0" applyAlignment="1" applyFont="1">
      <alignment readingOrder="0" shrinkToFit="0" vertical="bottom" wrapText="0"/>
    </xf>
    <xf borderId="10" fillId="0" fontId="4" numFmtId="1" xfId="0" applyAlignment="1" applyBorder="1" applyFont="1" applyNumberFormat="1">
      <alignment horizontal="right" vertical="bottom"/>
    </xf>
    <xf borderId="5" fillId="0" fontId="8" numFmtId="0" xfId="0" applyAlignment="1" applyBorder="1" applyFont="1">
      <alignment readingOrder="0" shrinkToFit="0" vertical="bottom" wrapText="1"/>
    </xf>
    <xf borderId="5" fillId="0" fontId="4" numFmtId="0" xfId="0" applyAlignment="1" applyBorder="1" applyFont="1">
      <alignment horizontal="right" readingOrder="0" vertical="bottom"/>
    </xf>
    <xf borderId="5" fillId="0" fontId="4" numFmtId="0" xfId="0" applyAlignment="1" applyBorder="1" applyFont="1">
      <alignment horizontal="left" readingOrder="0" shrinkToFit="0" wrapText="0"/>
    </xf>
    <xf borderId="17" fillId="0" fontId="8" numFmtId="1" xfId="0" applyAlignment="1" applyBorder="1" applyFont="1" applyNumberFormat="1">
      <alignment horizontal="right" vertical="bottom"/>
    </xf>
    <xf borderId="18" fillId="0" fontId="8" numFmtId="165" xfId="0" applyAlignment="1" applyBorder="1" applyFont="1" applyNumberFormat="1">
      <alignment horizontal="right" readingOrder="0"/>
    </xf>
    <xf borderId="7" fillId="3" fontId="8" numFmtId="0" xfId="0" applyAlignment="1" applyBorder="1" applyFill="1" applyFont="1">
      <alignment horizontal="right" vertical="bottom"/>
    </xf>
    <xf borderId="5" fillId="0" fontId="8" numFmtId="165" xfId="0" applyAlignment="1" applyBorder="1" applyFont="1" applyNumberFormat="1">
      <alignment horizontal="right" readingOrder="0"/>
    </xf>
    <xf borderId="0" fillId="0" fontId="4" numFmtId="0" xfId="0" applyAlignment="1" applyFont="1">
      <alignment shrinkToFit="0" wrapText="1"/>
    </xf>
    <xf borderId="0" fillId="0" fontId="4" numFmtId="0" xfId="0" applyAlignment="1" applyFont="1">
      <alignment shrinkToFit="0" wrapText="0"/>
    </xf>
    <xf borderId="0" fillId="0" fontId="11" numFmtId="0" xfId="0" applyAlignment="1" applyFont="1">
      <alignment readingOrder="0"/>
    </xf>
    <xf borderId="0" fillId="0" fontId="4" numFmtId="0" xfId="0" applyAlignment="1" applyFont="1">
      <alignment shrinkToFit="0" vertical="bottom" wrapText="1"/>
    </xf>
    <xf borderId="11" fillId="0" fontId="1" numFmtId="0" xfId="0" applyAlignment="1" applyBorder="1" applyFont="1">
      <alignment readingOrder="0" shrinkToFit="0" wrapText="1"/>
    </xf>
    <xf borderId="11" fillId="0" fontId="4" numFmtId="0" xfId="0" applyAlignment="1" applyBorder="1" applyFont="1">
      <alignment readingOrder="0" shrinkToFit="0" wrapText="0"/>
    </xf>
    <xf borderId="14" fillId="0" fontId="1" numFmtId="0" xfId="0" applyAlignment="1" applyBorder="1" applyFont="1">
      <alignment readingOrder="0" shrinkToFit="0" wrapText="1"/>
    </xf>
    <xf borderId="14" fillId="0" fontId="4" numFmtId="0" xfId="0" applyAlignment="1" applyBorder="1" applyFont="1">
      <alignment readingOrder="0" shrinkToFit="0" wrapText="0"/>
    </xf>
    <xf borderId="0" fillId="0" fontId="12" numFmtId="0" xfId="0" applyAlignment="1" applyFont="1">
      <alignment readingOrder="0" shrinkToFit="0" vertical="bottom" wrapText="1"/>
    </xf>
    <xf borderId="0" fillId="0" fontId="4" numFmtId="0" xfId="0" applyAlignment="1" applyFont="1">
      <alignment horizontal="right" readingOrder="0" vertical="bottom"/>
    </xf>
    <xf borderId="0" fillId="0" fontId="4" numFmtId="1" xfId="0" applyAlignment="1" applyFont="1" applyNumberFormat="1">
      <alignment horizontal="right" readingOrder="0" vertical="bottom"/>
    </xf>
    <xf borderId="12" fillId="0" fontId="8" numFmtId="0" xfId="0" applyAlignment="1" applyBorder="1" applyFont="1">
      <alignment horizontal="right" readingOrder="0"/>
    </xf>
    <xf borderId="0" fillId="0" fontId="8" numFmtId="9" xfId="0" applyAlignment="1" applyFont="1" applyNumberFormat="1">
      <alignment horizontal="right"/>
    </xf>
    <xf borderId="0" fillId="0" fontId="13" numFmtId="0" xfId="0" applyAlignment="1" applyFont="1">
      <alignment readingOrder="0" shrinkToFit="0" vertical="bottom" wrapText="1"/>
    </xf>
    <xf borderId="11" fillId="0" fontId="8" numFmtId="0" xfId="0" applyAlignment="1" applyBorder="1" applyFont="1">
      <alignment readingOrder="0" shrinkToFit="0" vertical="bottom" wrapText="1"/>
    </xf>
    <xf borderId="19" fillId="0" fontId="1" numFmtId="0" xfId="0" applyAlignment="1" applyBorder="1" applyFont="1">
      <alignment readingOrder="0" shrinkToFit="0" wrapText="1"/>
    </xf>
    <xf borderId="19" fillId="0" fontId="4" numFmtId="0" xfId="0" applyAlignment="1" applyBorder="1" applyFont="1">
      <alignment readingOrder="0" shrinkToFit="0" wrapText="0"/>
    </xf>
    <xf borderId="11" fillId="0" fontId="4" numFmtId="0" xfId="0" applyAlignment="1" applyBorder="1" applyFont="1">
      <alignment horizontal="right" readingOrder="0" vertical="bottom"/>
    </xf>
    <xf borderId="11" fillId="0" fontId="4" numFmtId="1" xfId="0" applyAlignment="1" applyBorder="1" applyFont="1" applyNumberFormat="1">
      <alignment horizontal="right" readingOrder="0" vertical="bottom"/>
    </xf>
    <xf borderId="22" fillId="0" fontId="8" numFmtId="1" xfId="0" applyAlignment="1" applyBorder="1" applyFont="1" applyNumberFormat="1">
      <alignment horizontal="right" readingOrder="0"/>
    </xf>
    <xf borderId="11" fillId="0" fontId="8" numFmtId="9" xfId="0" applyAlignment="1" applyBorder="1" applyFont="1" applyNumberFormat="1">
      <alignment horizontal="right"/>
    </xf>
    <xf borderId="17" fillId="0" fontId="4" numFmtId="0" xfId="0" applyAlignment="1" applyBorder="1" applyFont="1">
      <alignment horizontal="center" readingOrder="0"/>
    </xf>
    <xf borderId="0" fillId="0" fontId="8" numFmtId="0" xfId="0" applyAlignment="1" applyFont="1">
      <alignment readingOrder="0" shrinkToFit="0" vertical="bottom" wrapText="1"/>
    </xf>
    <xf borderId="10" fillId="0" fontId="4" numFmtId="1" xfId="0" applyAlignment="1" applyBorder="1" applyFont="1" applyNumberFormat="1">
      <alignment horizontal="right" readingOrder="0" vertical="bottom"/>
    </xf>
    <xf borderId="9" fillId="0" fontId="14" numFmtId="0" xfId="0" applyAlignment="1" applyBorder="1" applyFont="1">
      <alignment horizontal="left" readingOrder="0" shrinkToFit="0" wrapText="0"/>
    </xf>
    <xf borderId="0" fillId="0" fontId="4" numFmtId="0" xfId="0" applyAlignment="1" applyFont="1">
      <alignment horizontal="left" readingOrder="0" shrinkToFit="0" wrapText="1"/>
    </xf>
    <xf borderId="0" fillId="0" fontId="15" numFmtId="0" xfId="0" applyAlignment="1" applyFont="1">
      <alignment readingOrder="0"/>
    </xf>
    <xf borderId="0" fillId="0" fontId="16" numFmtId="0" xfId="0" applyAlignment="1" applyFont="1">
      <alignment readingOrder="0" shrinkToFit="0" vertical="bottom" wrapText="0"/>
    </xf>
    <xf borderId="10" fillId="0" fontId="4" numFmtId="0" xfId="0" applyAlignment="1" applyBorder="1" applyFont="1">
      <alignment horizontal="right" readingOrder="0" vertical="bottom"/>
    </xf>
    <xf borderId="17" fillId="0" fontId="4" numFmtId="0" xfId="0" applyAlignment="1" applyBorder="1" applyFont="1">
      <alignment horizontal="right" readingOrder="0" vertical="bottom"/>
    </xf>
    <xf borderId="18" fillId="0" fontId="8" numFmtId="0" xfId="0" applyAlignment="1" applyBorder="1" applyFont="1">
      <alignment horizontal="right" readingOrder="0"/>
    </xf>
    <xf borderId="13" fillId="0" fontId="17" numFmtId="1" xfId="0" applyAlignment="1" applyBorder="1" applyFont="1" applyNumberFormat="1">
      <alignment horizontal="left" readingOrder="0" shrinkToFit="0" vertical="bottom" wrapText="0"/>
    </xf>
    <xf borderId="5" fillId="0" fontId="8" numFmtId="165" xfId="0" applyAlignment="1" applyBorder="1" applyFont="1" applyNumberFormat="1">
      <alignment horizontal="right"/>
    </xf>
    <xf borderId="11" fillId="0" fontId="4" numFmtId="0" xfId="0" applyAlignment="1" applyBorder="1" applyFont="1">
      <alignment shrinkToFit="0" wrapText="0"/>
    </xf>
    <xf borderId="9" fillId="0" fontId="18" numFmtId="1" xfId="0" applyAlignment="1" applyBorder="1" applyFont="1" applyNumberFormat="1">
      <alignment horizontal="left" readingOrder="0" shrinkToFit="0" vertical="bottom" wrapText="0"/>
    </xf>
    <xf borderId="14" fillId="0" fontId="4" numFmtId="0" xfId="0" applyAlignment="1" applyBorder="1" applyFont="1">
      <alignment shrinkToFit="0" wrapText="0"/>
    </xf>
    <xf borderId="0" fillId="0" fontId="4" numFmtId="1" xfId="0" applyAlignment="1" applyFont="1" applyNumberFormat="1">
      <alignment horizontal="right" vertical="bottom"/>
    </xf>
    <xf borderId="13" fillId="0" fontId="4" numFmtId="0" xfId="0" applyAlignment="1" applyBorder="1" applyFont="1">
      <alignment horizontal="center"/>
    </xf>
    <xf borderId="0" fillId="0" fontId="4" numFmtId="0" xfId="0" applyAlignment="1" applyFont="1">
      <alignment horizontal="right" vertical="bottom"/>
    </xf>
    <xf borderId="10" fillId="0" fontId="4" numFmtId="0" xfId="0" applyAlignment="1" applyBorder="1" applyFont="1">
      <alignment horizontal="right" vertical="bottom"/>
    </xf>
    <xf borderId="9" fillId="0" fontId="4" numFmtId="0" xfId="0" applyBorder="1" applyFont="1"/>
    <xf borderId="14" fillId="0" fontId="8" numFmtId="0" xfId="0" applyAlignment="1" applyBorder="1" applyFont="1">
      <alignment readingOrder="0" shrinkToFit="0" vertical="bottom" wrapText="1"/>
    </xf>
    <xf borderId="14" fillId="0" fontId="4" numFmtId="0" xfId="0" applyAlignment="1" applyBorder="1" applyFont="1">
      <alignment horizontal="right" readingOrder="0" vertical="bottom"/>
    </xf>
    <xf borderId="14" fillId="0" fontId="4" numFmtId="1" xfId="0" applyAlignment="1" applyBorder="1" applyFont="1" applyNumberFormat="1">
      <alignment horizontal="right" readingOrder="0" vertical="bottom"/>
    </xf>
    <xf borderId="0" fillId="0" fontId="19" numFmtId="0" xfId="0" applyAlignment="1" applyFont="1">
      <alignment shrinkToFit="0" vertical="bottom" wrapText="0"/>
    </xf>
    <xf borderId="0" fillId="0" fontId="4" numFmtId="0" xfId="0" applyAlignment="1" applyFont="1">
      <alignment readingOrder="0" vertical="bottom"/>
    </xf>
    <xf borderId="11" fillId="0" fontId="20" numFmtId="0" xfId="0" applyAlignment="1" applyBorder="1" applyFont="1">
      <alignment readingOrder="0" shrinkToFit="0" wrapText="1"/>
    </xf>
    <xf borderId="23" fillId="0" fontId="8" numFmtId="1" xfId="0" applyAlignment="1" applyBorder="1" applyFont="1" applyNumberFormat="1">
      <alignment horizontal="right" readingOrder="0"/>
    </xf>
    <xf borderId="19" fillId="0" fontId="21" numFmtId="1" xfId="0" applyAlignment="1" applyBorder="1" applyFont="1" applyNumberFormat="1">
      <alignment horizontal="left" readingOrder="0" shrinkToFit="0" vertical="bottom" wrapText="0"/>
    </xf>
    <xf borderId="5" fillId="0" fontId="4" numFmtId="0" xfId="0" applyAlignment="1" applyBorder="1" applyFont="1">
      <alignment shrinkToFit="0" wrapText="0"/>
    </xf>
    <xf borderId="14" fillId="0" fontId="8" numFmtId="9" xfId="0" applyAlignment="1" applyBorder="1" applyFont="1" applyNumberFormat="1">
      <alignment horizontal="right"/>
    </xf>
    <xf borderId="0" fillId="0" fontId="4" numFmtId="0" xfId="0" applyAlignment="1" applyFont="1">
      <alignment readingOrder="0" shrinkToFit="0" wrapText="1"/>
    </xf>
    <xf borderId="11" fillId="0" fontId="4" numFmtId="0" xfId="0" applyAlignment="1" applyBorder="1" applyFont="1">
      <alignment horizontal="right" vertical="bottom"/>
    </xf>
    <xf borderId="18" fillId="0" fontId="8" numFmtId="166" xfId="0" applyAlignment="1" applyBorder="1" applyFont="1" applyNumberFormat="1">
      <alignment horizontal="right"/>
    </xf>
    <xf borderId="9" fillId="0" fontId="22" numFmtId="0" xfId="0" applyAlignment="1" applyBorder="1" applyFont="1">
      <alignment horizontal="left" readingOrder="0" shrinkToFit="0" wrapText="0"/>
    </xf>
    <xf borderId="11" fillId="0" fontId="4" numFmtId="1" xfId="0" applyAlignment="1" applyBorder="1" applyFont="1" applyNumberFormat="1">
      <alignment horizontal="right" vertical="bottom"/>
    </xf>
    <xf borderId="5" fillId="0" fontId="8" numFmtId="166" xfId="0" applyAlignment="1" applyBorder="1" applyFont="1" applyNumberFormat="1">
      <alignment horizontal="right"/>
    </xf>
    <xf borderId="22" fillId="0" fontId="8" numFmtId="9" xfId="0" applyAlignment="1" applyBorder="1" applyFont="1" applyNumberFormat="1">
      <alignment horizontal="right"/>
    </xf>
    <xf borderId="11" fillId="0" fontId="8" numFmtId="1" xfId="0" applyAlignment="1" applyBorder="1" applyFont="1" applyNumberFormat="1">
      <alignment horizontal="right"/>
    </xf>
    <xf borderId="11" fillId="0" fontId="23" numFmtId="0" xfId="0" applyAlignment="1" applyBorder="1" applyFont="1">
      <alignment horizontal="left" readingOrder="0" shrinkToFit="0" wrapText="0"/>
    </xf>
    <xf borderId="13" fillId="0" fontId="24" numFmtId="0" xfId="0" applyAlignment="1" applyBorder="1" applyFont="1">
      <alignment readingOrder="0"/>
    </xf>
    <xf borderId="24" fillId="0" fontId="4" numFmtId="0" xfId="0" applyAlignment="1" applyBorder="1" applyFont="1">
      <alignment shrinkToFit="0" wrapText="0"/>
    </xf>
    <xf borderId="24" fillId="0" fontId="4" numFmtId="0" xfId="0" applyBorder="1" applyFont="1"/>
    <xf borderId="25" fillId="0" fontId="4" numFmtId="0" xfId="0" applyBorder="1" applyFont="1"/>
    <xf borderId="15" fillId="0" fontId="4" numFmtId="0" xfId="0" applyAlignment="1" applyBorder="1" applyFont="1">
      <alignment horizontal="center"/>
    </xf>
    <xf borderId="19" fillId="0" fontId="25" numFmtId="0" xfId="0" applyAlignment="1" applyBorder="1" applyFont="1">
      <alignment horizontal="left" readingOrder="0" shrinkToFit="0" wrapText="0"/>
    </xf>
    <xf borderId="19" fillId="0" fontId="4" numFmtId="0" xfId="0" applyAlignment="1" applyBorder="1" applyFont="1">
      <alignment shrinkToFit="0" wrapText="0"/>
    </xf>
    <xf borderId="16" fillId="0" fontId="4" numFmtId="0" xfId="0" applyBorder="1" applyFont="1"/>
    <xf borderId="5" fillId="0" fontId="4" numFmtId="0" xfId="0" applyAlignment="1" applyBorder="1" applyFont="1">
      <alignment shrinkToFit="0" wrapText="1"/>
    </xf>
    <xf borderId="21" fillId="3" fontId="8" numFmtId="1" xfId="0" applyAlignment="1" applyBorder="1" applyFill="1" applyFont="1" applyNumberFormat="1">
      <alignment horizontal="right" vertical="bottom"/>
    </xf>
    <xf borderId="7" fillId="3" fontId="8" numFmtId="165" xfId="0" applyAlignment="1" applyBorder="1" applyFill="1" applyFont="1" applyNumberFormat="1">
      <alignment horizontal="right" vertical="bottom"/>
    </xf>
    <xf borderId="14" fillId="0" fontId="20" numFmtId="0" xfId="0" applyAlignment="1" applyBorder="1" applyFont="1">
      <alignment readingOrder="0" shrinkToFit="0" wrapText="1"/>
    </xf>
    <xf borderId="8" fillId="3" fontId="4" numFmtId="1" xfId="0" applyAlignment="1" applyBorder="1" applyFill="1" applyFont="1" applyNumberFormat="1">
      <alignment horizontal="center" vertical="bottom"/>
    </xf>
    <xf borderId="14" fillId="0" fontId="4" numFmtId="0" xfId="0" applyAlignment="1" applyBorder="1" applyFont="1">
      <alignment horizontal="right" vertical="bottom"/>
    </xf>
    <xf borderId="10" fillId="0" fontId="4" numFmtId="167" xfId="0" applyAlignment="1" applyBorder="1" applyFont="1" applyNumberFormat="1">
      <alignment horizontal="right" vertical="bottom"/>
    </xf>
    <xf borderId="0" fillId="0" fontId="8" numFmtId="168" xfId="0" applyAlignment="1" applyFont="1" applyNumberFormat="1">
      <alignment horizontal="right"/>
    </xf>
    <xf borderId="14" fillId="0" fontId="4" numFmtId="1" xfId="0" applyAlignment="1" applyBorder="1" applyFont="1" applyNumberFormat="1">
      <alignment horizontal="right" vertical="bottom"/>
    </xf>
    <xf borderId="23" fillId="0" fontId="8" numFmtId="9" xfId="0" applyAlignment="1" applyBorder="1" applyFont="1" applyNumberFormat="1">
      <alignment horizontal="right"/>
    </xf>
    <xf borderId="10" fillId="0" fontId="8" numFmtId="1" xfId="0" applyAlignment="1" applyBorder="1" applyFont="1" applyNumberFormat="1">
      <alignment horizontal="right" readingOrder="0" vertical="bottom"/>
    </xf>
    <xf borderId="12" fillId="0" fontId="8" numFmtId="165" xfId="0" applyAlignment="1" applyBorder="1" applyFont="1" applyNumberFormat="1">
      <alignment horizontal="right" readingOrder="0"/>
    </xf>
    <xf borderId="14" fillId="0" fontId="8" numFmtId="1" xfId="0" applyAlignment="1" applyBorder="1" applyFont="1" applyNumberFormat="1">
      <alignment horizontal="right"/>
    </xf>
    <xf borderId="0" fillId="0" fontId="8" numFmtId="165" xfId="0" applyAlignment="1" applyFont="1" applyNumberFormat="1">
      <alignment horizontal="right" readingOrder="0"/>
    </xf>
    <xf borderId="0" fillId="0" fontId="26" numFmtId="0" xfId="0" applyAlignment="1" applyFont="1">
      <alignment vertical="bottom"/>
    </xf>
    <xf borderId="17" fillId="0" fontId="4" numFmtId="1" xfId="0" applyAlignment="1" applyBorder="1" applyFont="1" applyNumberFormat="1">
      <alignment horizontal="right" readingOrder="0" vertical="bottom"/>
    </xf>
    <xf borderId="5" fillId="0" fontId="8" numFmtId="3" xfId="0" applyAlignment="1" applyBorder="1" applyFont="1" applyNumberFormat="1">
      <alignment horizontal="right" readingOrder="0"/>
    </xf>
    <xf borderId="0" fillId="0" fontId="8" numFmtId="3" xfId="0" applyAlignment="1" applyFont="1" applyNumberFormat="1">
      <alignment horizontal="right" readingOrder="0"/>
    </xf>
    <xf borderId="10" fillId="0" fontId="4" numFmtId="0" xfId="0" applyAlignment="1" applyBorder="1" applyFont="1">
      <alignment horizontal="center" readingOrder="0"/>
    </xf>
    <xf borderId="0" fillId="0" fontId="27" numFmtId="0" xfId="0" applyAlignment="1" applyFont="1">
      <alignment readingOrder="0" vertical="bottom"/>
    </xf>
    <xf borderId="23" fillId="0" fontId="8" numFmtId="0" xfId="0" applyAlignment="1" applyBorder="1" applyFont="1">
      <alignment horizontal="right" readingOrder="0"/>
    </xf>
    <xf borderId="11" fillId="0" fontId="8" numFmtId="0" xfId="0" applyAlignment="1" applyBorder="1" applyFont="1">
      <alignment readingOrder="0" shrinkToFit="0" vertical="bottom" wrapText="1"/>
    </xf>
    <xf borderId="11" fillId="0" fontId="4" numFmtId="0" xfId="0" applyAlignment="1" applyBorder="1" applyFont="1">
      <alignment horizontal="right" readingOrder="0" vertical="bottom"/>
    </xf>
    <xf borderId="13" fillId="0" fontId="4" numFmtId="1" xfId="0" applyAlignment="1" applyBorder="1" applyFont="1" applyNumberFormat="1">
      <alignment horizontal="right" readingOrder="0" vertical="bottom"/>
    </xf>
    <xf borderId="22" fillId="0" fontId="8" numFmtId="9" xfId="0" applyAlignment="1" applyBorder="1" applyFont="1" applyNumberFormat="1">
      <alignment horizontal="right" readingOrder="0"/>
    </xf>
    <xf borderId="11" fillId="0" fontId="8" numFmtId="9" xfId="0" applyAlignment="1" applyBorder="1" applyFont="1" applyNumberFormat="1">
      <alignment horizontal="right" readingOrder="0"/>
    </xf>
    <xf borderId="13" fillId="0" fontId="4" numFmtId="0" xfId="0" applyAlignment="1" applyBorder="1" applyFont="1">
      <alignment horizontal="center" readingOrder="0"/>
    </xf>
    <xf borderId="19" fillId="0" fontId="8" numFmtId="0" xfId="0" applyAlignment="1" applyBorder="1" applyFont="1">
      <alignment readingOrder="0" shrinkToFit="0" vertical="bottom" wrapText="1"/>
    </xf>
    <xf borderId="19" fillId="0" fontId="4" numFmtId="0" xfId="0" applyAlignment="1" applyBorder="1" applyFont="1">
      <alignment horizontal="right" readingOrder="0" vertical="bottom"/>
    </xf>
    <xf borderId="20" fillId="0" fontId="4" numFmtId="1" xfId="0" applyAlignment="1" applyBorder="1" applyFont="1" applyNumberFormat="1">
      <alignment horizontal="right" readingOrder="0" vertical="bottom"/>
    </xf>
    <xf borderId="26" fillId="0" fontId="8" numFmtId="0" xfId="0" applyAlignment="1" applyBorder="1" applyFont="1">
      <alignment horizontal="right" readingOrder="0"/>
    </xf>
    <xf borderId="19" fillId="0" fontId="8" numFmtId="3" xfId="0" applyAlignment="1" applyBorder="1" applyFont="1" applyNumberFormat="1">
      <alignment horizontal="right" readingOrder="0"/>
    </xf>
    <xf borderId="20" fillId="0" fontId="4" numFmtId="0" xfId="0" applyAlignment="1" applyBorder="1" applyFont="1">
      <alignment horizontal="center" readingOrder="0"/>
    </xf>
    <xf borderId="22" fillId="0" fontId="8" numFmtId="0" xfId="0" applyAlignment="1" applyBorder="1" applyFont="1">
      <alignment horizontal="right" readingOrder="0"/>
    </xf>
    <xf borderId="0" fillId="0" fontId="4" numFmtId="0" xfId="0" applyAlignment="1" applyFont="1">
      <alignment horizontal="right" readingOrder="0" shrinkToFit="0" vertical="bottom" wrapText="0"/>
    </xf>
    <xf borderId="10" fillId="0" fontId="4" numFmtId="0" xfId="0" applyAlignment="1" applyBorder="1" applyFont="1">
      <alignment horizontal="right" readingOrder="0" shrinkToFit="0" vertical="bottom" wrapText="0"/>
    </xf>
    <xf borderId="12" fillId="0" fontId="4" numFmtId="0" xfId="0" applyAlignment="1" applyBorder="1" applyFont="1">
      <alignment horizontal="right" readingOrder="0" shrinkToFit="0" vertical="bottom" wrapText="0"/>
    </xf>
    <xf borderId="0" fillId="0" fontId="4" numFmtId="10" xfId="0" applyAlignment="1" applyFont="1" applyNumberFormat="1">
      <alignment horizontal="right" readingOrder="0" vertical="bottom"/>
    </xf>
    <xf borderId="10" fillId="0" fontId="4" numFmtId="10" xfId="0" applyAlignment="1" applyBorder="1" applyFont="1" applyNumberFormat="1">
      <alignment horizontal="right" readingOrder="0" vertical="bottom"/>
    </xf>
    <xf borderId="0" fillId="0" fontId="4" numFmtId="0" xfId="0" applyAlignment="1" applyFont="1">
      <alignment readingOrder="0" shrinkToFit="0" vertical="bottom" wrapText="0"/>
    </xf>
    <xf borderId="11" fillId="0" fontId="4" numFmtId="0" xfId="0" applyAlignment="1" applyBorder="1" applyFont="1">
      <alignment horizontal="right" readingOrder="0" shrinkToFit="0" vertical="bottom" wrapText="0"/>
    </xf>
    <xf borderId="13" fillId="0" fontId="4" numFmtId="0" xfId="0" applyAlignment="1" applyBorder="1" applyFont="1">
      <alignment horizontal="right" readingOrder="0" shrinkToFit="0" vertical="bottom" wrapText="0"/>
    </xf>
    <xf borderId="22" fillId="0" fontId="4" numFmtId="1" xfId="0" applyAlignment="1" applyBorder="1" applyFont="1" applyNumberFormat="1">
      <alignment horizontal="right" readingOrder="0" shrinkToFit="0" vertical="bottom" wrapText="0"/>
    </xf>
    <xf borderId="11" fillId="0" fontId="4" numFmtId="10" xfId="0" applyAlignment="1" applyBorder="1" applyFont="1" applyNumberFormat="1">
      <alignment horizontal="right" readingOrder="0" vertical="bottom"/>
    </xf>
    <xf borderId="19" fillId="0" fontId="8" numFmtId="9" xfId="0" applyAlignment="1" applyBorder="1" applyFont="1" applyNumberFormat="1">
      <alignment horizontal="right" readingOrder="0"/>
    </xf>
    <xf borderId="13" fillId="0" fontId="4" numFmtId="10" xfId="0" applyAlignment="1" applyBorder="1" applyFont="1" applyNumberFormat="1">
      <alignment horizontal="right" readingOrder="0" vertical="bottom"/>
    </xf>
    <xf borderId="11" fillId="0" fontId="8" numFmtId="3" xfId="0" applyAlignment="1" applyBorder="1" applyFont="1" applyNumberFormat="1">
      <alignment horizontal="right" readingOrder="0"/>
    </xf>
    <xf borderId="14" fillId="0" fontId="8" numFmtId="0" xfId="0" applyAlignment="1" applyBorder="1" applyFont="1">
      <alignment readingOrder="0" shrinkToFit="0" vertical="bottom" wrapText="1"/>
    </xf>
    <xf borderId="14" fillId="0" fontId="4" numFmtId="0" xfId="0" applyAlignment="1" applyBorder="1" applyFont="1">
      <alignment horizontal="right" readingOrder="0" vertical="bottom"/>
    </xf>
    <xf borderId="15" fillId="0" fontId="4" numFmtId="1" xfId="0" applyAlignment="1" applyBorder="1" applyFont="1" applyNumberFormat="1">
      <alignment horizontal="right" readingOrder="0" vertical="bottom"/>
    </xf>
    <xf borderId="23" fillId="0" fontId="8" numFmtId="9" xfId="0" applyAlignment="1" applyBorder="1" applyFont="1" applyNumberFormat="1">
      <alignment horizontal="right" readingOrder="0"/>
    </xf>
    <xf borderId="14" fillId="0" fontId="8" numFmtId="9" xfId="0" applyAlignment="1" applyBorder="1" applyFont="1" applyNumberFormat="1">
      <alignment horizontal="right" readingOrder="0"/>
    </xf>
    <xf borderId="24" fillId="0" fontId="8" numFmtId="0" xfId="0" applyAlignment="1" applyBorder="1" applyFont="1">
      <alignment readingOrder="0" shrinkToFit="0" vertical="bottom" wrapText="1"/>
    </xf>
    <xf borderId="24" fillId="0" fontId="4" numFmtId="0" xfId="0" applyAlignment="1" applyBorder="1" applyFont="1">
      <alignment horizontal="right" readingOrder="0" vertical="bottom"/>
    </xf>
    <xf borderId="24" fillId="0" fontId="4" numFmtId="1" xfId="0" applyAlignment="1" applyBorder="1" applyFont="1" applyNumberFormat="1">
      <alignment horizontal="right" readingOrder="0" vertical="bottom"/>
    </xf>
    <xf borderId="27" fillId="0" fontId="8" numFmtId="0" xfId="0" applyAlignment="1" applyBorder="1" applyFont="1">
      <alignment horizontal="right" readingOrder="0"/>
    </xf>
    <xf borderId="24" fillId="0" fontId="8" numFmtId="9" xfId="0" applyAlignment="1" applyBorder="1" applyFont="1" applyNumberFormat="1">
      <alignment horizontal="right"/>
    </xf>
    <xf borderId="5" fillId="0" fontId="8" numFmtId="0" xfId="0" applyAlignment="1" applyBorder="1" applyFont="1">
      <alignment readingOrder="0" shrinkToFit="0" vertical="bottom" wrapText="1"/>
    </xf>
    <xf borderId="5" fillId="0" fontId="4" numFmtId="0" xfId="0" applyAlignment="1" applyBorder="1" applyFont="1">
      <alignment horizontal="right" readingOrder="0" shrinkToFit="0" vertical="bottom" wrapText="0"/>
    </xf>
    <xf borderId="17" fillId="0" fontId="4" numFmtId="0" xfId="0" applyAlignment="1" applyBorder="1" applyFont="1">
      <alignment horizontal="right" readingOrder="0" shrinkToFit="0" vertical="bottom" wrapText="0"/>
    </xf>
    <xf borderId="18" fillId="0" fontId="4" numFmtId="1" xfId="0" applyAlignment="1" applyBorder="1" applyFont="1" applyNumberFormat="1">
      <alignment horizontal="right" readingOrder="0" shrinkToFit="0" vertical="bottom" wrapText="0"/>
    </xf>
    <xf borderId="5" fillId="0" fontId="4" numFmtId="10" xfId="0" applyAlignment="1" applyBorder="1" applyFont="1" applyNumberFormat="1">
      <alignment horizontal="right" readingOrder="0" vertical="bottom"/>
    </xf>
    <xf borderId="15" fillId="0" fontId="4" numFmtId="0" xfId="0" applyAlignment="1" applyBorder="1" applyFont="1">
      <alignment horizontal="center" readingOrder="0"/>
    </xf>
    <xf borderId="19" fillId="0" fontId="20" numFmtId="0" xfId="0" applyAlignment="1" applyBorder="1" applyFont="1">
      <alignment readingOrder="0" shrinkToFit="0" wrapText="1"/>
    </xf>
    <xf borderId="19" fillId="0" fontId="4" numFmtId="0" xfId="0" applyAlignment="1" applyBorder="1" applyFont="1">
      <alignment horizontal="right" vertical="bottom"/>
    </xf>
    <xf borderId="14" fillId="0" fontId="8" numFmtId="0" xfId="0" applyAlignment="1" applyBorder="1" applyFont="1">
      <alignment horizontal="right" readingOrder="0"/>
    </xf>
    <xf borderId="19" fillId="0" fontId="4" numFmtId="1" xfId="0" applyAlignment="1" applyBorder="1" applyFont="1" applyNumberFormat="1">
      <alignment horizontal="right" vertical="bottom"/>
    </xf>
    <xf borderId="26" fillId="0" fontId="8" numFmtId="9" xfId="0" applyAlignment="1" applyBorder="1" applyFont="1" applyNumberFormat="1">
      <alignment horizontal="right"/>
    </xf>
    <xf borderId="19" fillId="0" fontId="8" numFmtId="1" xfId="0" applyAlignment="1" applyBorder="1" applyFont="1" applyNumberFormat="1">
      <alignment horizontal="right"/>
    </xf>
    <xf borderId="25" fillId="0" fontId="4" numFmtId="0" xfId="0" applyAlignment="1" applyBorder="1" applyFont="1">
      <alignment horizontal="center"/>
    </xf>
    <xf borderId="19" fillId="0" fontId="8" numFmtId="0" xfId="0" applyAlignment="1" applyBorder="1" applyFont="1">
      <alignment readingOrder="0" shrinkToFit="0" vertical="bottom" wrapText="1"/>
    </xf>
    <xf borderId="19" fillId="0" fontId="4" numFmtId="0" xfId="0" applyAlignment="1" applyBorder="1" applyFont="1">
      <alignment horizontal="right" readingOrder="0" vertical="bottom"/>
    </xf>
    <xf borderId="19" fillId="0" fontId="4" numFmtId="1" xfId="0" applyAlignment="1" applyBorder="1" applyFont="1" applyNumberFormat="1">
      <alignment horizontal="right" readingOrder="0" vertical="bottom"/>
    </xf>
    <xf borderId="19" fillId="0" fontId="8" numFmtId="9" xfId="0" applyAlignment="1" applyBorder="1" applyFont="1" applyNumberFormat="1">
      <alignment horizontal="right"/>
    </xf>
    <xf borderId="5" fillId="0" fontId="8" numFmtId="9" xfId="0" applyAlignment="1" applyBorder="1" applyFont="1" applyNumberFormat="1">
      <alignment horizontal="right" readingOrder="0"/>
    </xf>
    <xf borderId="17" fillId="0" fontId="4" numFmtId="10" xfId="0" applyAlignment="1" applyBorder="1" applyFont="1" applyNumberFormat="1">
      <alignment horizontal="right" readingOrder="0" vertical="bottom"/>
    </xf>
    <xf borderId="0" fillId="0" fontId="8" numFmtId="0" xfId="0" applyAlignment="1" applyFont="1">
      <alignment readingOrder="0" shrinkToFit="0" vertical="bottom" wrapText="1"/>
    </xf>
    <xf borderId="0" fillId="0" fontId="4" numFmtId="9" xfId="0" applyAlignment="1" applyFont="1" applyNumberFormat="1">
      <alignment horizontal="right" vertical="bottom"/>
    </xf>
    <xf borderId="0" fillId="0" fontId="8" numFmtId="9" xfId="0" applyAlignment="1" applyFont="1" applyNumberFormat="1">
      <alignment horizontal="right" readingOrder="0"/>
    </xf>
    <xf borderId="11" fillId="0" fontId="4" numFmtId="9" xfId="0" applyAlignment="1" applyBorder="1" applyFont="1" applyNumberFormat="1">
      <alignment horizontal="right" vertical="bottom"/>
    </xf>
    <xf borderId="0" fillId="0" fontId="8" numFmtId="10" xfId="0" applyAlignment="1" applyFont="1" applyNumberFormat="1">
      <alignment horizontal="right" readingOrder="0"/>
    </xf>
    <xf borderId="20" fillId="0" fontId="4" numFmtId="0" xfId="0" applyAlignment="1" applyBorder="1" applyFont="1">
      <alignment horizontal="center"/>
    </xf>
    <xf borderId="0" fillId="0" fontId="28" numFmtId="0" xfId="0" applyAlignment="1" applyFont="1">
      <alignment readingOrder="0"/>
    </xf>
    <xf borderId="5" fillId="0" fontId="20" numFmtId="0" xfId="0" applyAlignment="1" applyBorder="1" applyFont="1">
      <alignment readingOrder="0"/>
    </xf>
    <xf borderId="5" fillId="0" fontId="4" numFmtId="0" xfId="0" applyAlignment="1" applyBorder="1" applyFont="1">
      <alignment horizontal="right" vertical="bottom"/>
    </xf>
    <xf borderId="5" fillId="0" fontId="4" numFmtId="1" xfId="0" applyAlignment="1" applyBorder="1" applyFont="1" applyNumberFormat="1">
      <alignment horizontal="right" vertical="bottom"/>
    </xf>
    <xf borderId="0" fillId="0" fontId="29" numFmtId="0" xfId="0" applyAlignment="1" applyFont="1">
      <alignment readingOrder="0" shrinkToFit="0" vertical="bottom" wrapText="1"/>
    </xf>
    <xf borderId="18" fillId="0" fontId="8" numFmtId="9" xfId="0" applyAlignment="1" applyBorder="1" applyFont="1" applyNumberFormat="1">
      <alignment horizontal="right"/>
    </xf>
    <xf borderId="5" fillId="0" fontId="8" numFmtId="1" xfId="0" applyAlignment="1" applyBorder="1" applyFont="1" applyNumberFormat="1">
      <alignment horizontal="right"/>
    </xf>
    <xf borderId="13" fillId="0" fontId="4" numFmtId="1" xfId="0" applyAlignment="1" applyBorder="1" applyFont="1" applyNumberFormat="1">
      <alignment horizontal="right" vertical="bottom"/>
    </xf>
    <xf borderId="11" fillId="0" fontId="8" numFmtId="1" xfId="0" applyAlignment="1" applyBorder="1" applyFont="1" applyNumberFormat="1">
      <alignment horizontal="right" readingOrder="0" vertical="bottom"/>
    </xf>
    <xf borderId="22" fillId="0" fontId="8" numFmtId="165" xfId="0" applyAlignment="1" applyBorder="1" applyFont="1" applyNumberFormat="1">
      <alignment horizontal="right" readingOrder="0"/>
    </xf>
    <xf borderId="18" fillId="0" fontId="4" numFmtId="0" xfId="0" applyAlignment="1" applyBorder="1" applyFont="1">
      <alignment horizontal="right" readingOrder="0" shrinkToFit="0" vertical="bottom" wrapText="0"/>
    </xf>
    <xf borderId="7" fillId="3" fontId="8" numFmtId="9" xfId="0" applyAlignment="1" applyBorder="1" applyFill="1" applyFont="1" applyNumberFormat="1">
      <alignment horizontal="right" vertical="bottom"/>
    </xf>
    <xf borderId="7" fillId="3" fontId="8" numFmtId="1" xfId="0" applyAlignment="1" applyBorder="1" applyFill="1" applyFont="1" applyNumberFormat="1">
      <alignment horizontal="right" vertical="bottom"/>
    </xf>
    <xf borderId="0" fillId="0" fontId="30" numFmtId="0" xfId="0" applyAlignment="1" applyFont="1">
      <alignment readingOrder="0" vertical="bottom"/>
    </xf>
    <xf borderId="13" fillId="0" fontId="4" numFmtId="0" xfId="0" applyAlignment="1" applyBorder="1" applyFont="1">
      <alignment horizontal="right" readingOrder="0" vertical="bottom"/>
    </xf>
    <xf borderId="11" fillId="0" fontId="8" numFmtId="10" xfId="0" applyAlignment="1" applyBorder="1" applyFont="1" applyNumberFormat="1">
      <alignment horizontal="right"/>
    </xf>
    <xf borderId="17" fillId="0" fontId="4" numFmtId="0" xfId="0" applyAlignment="1" applyBorder="1" applyFont="1">
      <alignment horizontal="center"/>
    </xf>
    <xf borderId="0" fillId="0" fontId="4" numFmtId="3" xfId="0" applyAlignment="1" applyFont="1" applyNumberFormat="1">
      <alignment horizontal="right" vertical="bottom"/>
    </xf>
    <xf borderId="0" fillId="0" fontId="31" numFmtId="0" xfId="0" applyAlignment="1" applyFont="1">
      <alignment readingOrder="0"/>
    </xf>
    <xf borderId="10" fillId="0" fontId="4" numFmtId="3" xfId="0" applyAlignment="1" applyBorder="1" applyFont="1" applyNumberFormat="1">
      <alignment horizontal="right" vertical="bottom"/>
    </xf>
    <xf borderId="0" fillId="0" fontId="32" numFmtId="0" xfId="0" applyAlignment="1" applyFont="1">
      <alignment readingOrder="0" shrinkToFit="0" wrapText="1"/>
    </xf>
    <xf borderId="11" fillId="0" fontId="28" numFmtId="0" xfId="0" applyAlignment="1" applyBorder="1" applyFont="1">
      <alignment readingOrder="0" shrinkToFit="0" wrapText="1"/>
    </xf>
    <xf borderId="11" fillId="0" fontId="4" numFmtId="1" xfId="0" applyAlignment="1" applyBorder="1" applyFont="1" applyNumberFormat="1">
      <alignment horizontal="right" readingOrder="0" vertical="bottom"/>
    </xf>
    <xf borderId="14" fillId="0" fontId="8" numFmtId="1" xfId="0" applyAlignment="1" applyBorder="1" applyFont="1" applyNumberFormat="1">
      <alignment horizontal="right" readingOrder="0" vertical="bottom"/>
    </xf>
    <xf borderId="11" fillId="0" fontId="8" numFmtId="0" xfId="0" applyAlignment="1" applyBorder="1" applyFont="1">
      <alignment horizontal="right" readingOrder="0"/>
    </xf>
    <xf borderId="23" fillId="0" fontId="8" numFmtId="0" xfId="0" applyAlignment="1" applyBorder="1" applyFont="1">
      <alignment horizontal="right"/>
    </xf>
    <xf borderId="14" fillId="0" fontId="28" numFmtId="0" xfId="0" applyAlignment="1" applyBorder="1" applyFont="1">
      <alignment readingOrder="0" shrinkToFit="0" wrapText="1"/>
    </xf>
    <xf borderId="14" fillId="0" fontId="4" numFmtId="1" xfId="0" applyAlignment="1" applyBorder="1" applyFont="1" applyNumberFormat="1">
      <alignment horizontal="right" readingOrder="0" vertical="bottom"/>
    </xf>
    <xf borderId="15" fillId="0" fontId="4" numFmtId="0" xfId="0" applyAlignment="1" applyBorder="1" applyFont="1">
      <alignment horizontal="right" readingOrder="0" vertical="bottom"/>
    </xf>
    <xf borderId="14" fillId="0" fontId="4" numFmtId="0" xfId="0" applyAlignment="1" applyBorder="1" applyFont="1">
      <alignment horizontal="right" readingOrder="0" shrinkToFit="0" vertical="bottom" wrapText="0"/>
    </xf>
    <xf borderId="15" fillId="0" fontId="4" numFmtId="0" xfId="0" applyAlignment="1" applyBorder="1" applyFont="1">
      <alignment horizontal="right" readingOrder="0" shrinkToFit="0" vertical="bottom" wrapText="0"/>
    </xf>
    <xf borderId="23" fillId="0" fontId="4" numFmtId="1" xfId="0" applyAlignment="1" applyBorder="1" applyFont="1" applyNumberFormat="1">
      <alignment horizontal="right" readingOrder="0" shrinkToFit="0" vertical="bottom" wrapText="0"/>
    </xf>
    <xf borderId="14" fillId="0" fontId="4" numFmtId="10" xfId="0" applyAlignment="1" applyBorder="1" applyFont="1" applyNumberFormat="1">
      <alignment horizontal="right" readingOrder="0" vertical="bottom"/>
    </xf>
    <xf borderId="15" fillId="0" fontId="4" numFmtId="10" xfId="0" applyAlignment="1" applyBorder="1" applyFont="1" applyNumberFormat="1">
      <alignment horizontal="right" readingOrder="0" vertical="bottom"/>
    </xf>
    <xf borderId="19" fillId="0" fontId="4" numFmtId="0" xfId="0" applyAlignment="1" applyBorder="1" applyFont="1">
      <alignment horizontal="right" readingOrder="0" shrinkToFit="0" vertical="bottom" wrapText="0"/>
    </xf>
    <xf borderId="14" fillId="0" fontId="8" numFmtId="10" xfId="0" applyAlignment="1" applyBorder="1" applyFont="1" applyNumberFormat="1">
      <alignment horizontal="right"/>
    </xf>
    <xf borderId="20" fillId="0" fontId="4" numFmtId="0" xfId="0" applyAlignment="1" applyBorder="1" applyFont="1">
      <alignment horizontal="right" readingOrder="0" shrinkToFit="0" vertical="bottom" wrapText="0"/>
    </xf>
    <xf borderId="26" fillId="0" fontId="4" numFmtId="1" xfId="0" applyAlignment="1" applyBorder="1" applyFont="1" applyNumberFormat="1">
      <alignment horizontal="right" readingOrder="0" shrinkToFit="0" vertical="bottom" wrapText="0"/>
    </xf>
    <xf borderId="19" fillId="0" fontId="4" numFmtId="10" xfId="0" applyAlignment="1" applyBorder="1" applyFont="1" applyNumberFormat="1">
      <alignment horizontal="right" readingOrder="0" vertical="bottom"/>
    </xf>
    <xf borderId="22" fillId="0" fontId="8" numFmtId="4" xfId="0" applyAlignment="1" applyBorder="1" applyFont="1" applyNumberFormat="1">
      <alignment horizontal="right"/>
    </xf>
    <xf borderId="11" fillId="0" fontId="8" numFmtId="0" xfId="0" applyAlignment="1" applyBorder="1" applyFont="1">
      <alignment horizontal="right"/>
    </xf>
    <xf borderId="19" fillId="0" fontId="28" numFmtId="0" xfId="0" applyAlignment="1" applyBorder="1" applyFont="1">
      <alignment readingOrder="0" shrinkToFit="0" wrapText="1"/>
    </xf>
    <xf borderId="19" fillId="0" fontId="4" numFmtId="1" xfId="0" applyAlignment="1" applyBorder="1" applyFont="1" applyNumberFormat="1">
      <alignment horizontal="right" readingOrder="0" vertical="bottom"/>
    </xf>
    <xf borderId="19" fillId="0" fontId="8" numFmtId="0" xfId="0" applyAlignment="1" applyBorder="1" applyFont="1">
      <alignment horizontal="right" readingOrder="0"/>
    </xf>
    <xf borderId="20" fillId="0" fontId="4" numFmtId="10" xfId="0" applyAlignment="1" applyBorder="1" applyFont="1" applyNumberFormat="1">
      <alignment horizontal="right" readingOrder="0" vertical="bottom"/>
    </xf>
    <xf borderId="11" fillId="0" fontId="4" numFmtId="3" xfId="0" applyAlignment="1" applyBorder="1" applyFont="1" applyNumberFormat="1">
      <alignment horizontal="right" readingOrder="0" vertical="bottom"/>
    </xf>
    <xf borderId="22" fillId="0" fontId="8" numFmtId="0" xfId="0" applyAlignment="1" applyBorder="1" applyFont="1">
      <alignment horizontal="right"/>
    </xf>
    <xf borderId="11" fillId="0" fontId="8" numFmtId="10" xfId="0" applyAlignment="1" applyBorder="1" applyFont="1" applyNumberFormat="1">
      <alignment horizontal="right" readingOrder="0"/>
    </xf>
    <xf borderId="15" fillId="0" fontId="4" numFmtId="3" xfId="0" applyAlignment="1" applyBorder="1" applyFont="1" applyNumberFormat="1">
      <alignment horizontal="right" readingOrder="0" vertical="bottom"/>
    </xf>
    <xf borderId="13" fillId="0" fontId="4" numFmtId="3" xfId="0" applyAlignment="1" applyBorder="1" applyFont="1" applyNumberFormat="1">
      <alignment horizontal="right" readingOrder="0" vertical="bottom"/>
    </xf>
    <xf borderId="14" fillId="0" fontId="4" numFmtId="3" xfId="0" applyAlignment="1" applyBorder="1" applyFont="1" applyNumberFormat="1">
      <alignment horizontal="right" readingOrder="0" vertical="bottom"/>
    </xf>
    <xf borderId="17" fillId="0" fontId="4" numFmtId="0" xfId="0" applyAlignment="1" applyBorder="1" applyFont="1">
      <alignment horizontal="center" readingOrder="0"/>
    </xf>
    <xf borderId="12" fillId="0" fontId="8" numFmtId="9" xfId="0" applyAlignment="1" applyBorder="1" applyFont="1" applyNumberFormat="1">
      <alignment horizontal="right"/>
    </xf>
    <xf borderId="23" fillId="0" fontId="4" numFmtId="0" xfId="0" applyAlignment="1" applyBorder="1" applyFont="1">
      <alignment horizontal="right" readingOrder="0" shrinkToFit="0" vertical="bottom" wrapText="0"/>
    </xf>
    <xf borderId="14" fillId="0" fontId="4" numFmtId="9" xfId="0" applyAlignment="1" applyBorder="1" applyFont="1" applyNumberFormat="1">
      <alignment horizontal="right" readingOrder="0" vertical="bottom"/>
    </xf>
    <xf borderId="19" fillId="0" fontId="8" numFmtId="1" xfId="0" applyAlignment="1" applyBorder="1" applyFont="1" applyNumberFormat="1">
      <alignment horizontal="right" readingOrder="0" vertical="bottom"/>
    </xf>
    <xf borderId="23" fillId="0" fontId="4" numFmtId="9" xfId="0" applyAlignment="1" applyBorder="1" applyFont="1" applyNumberFormat="1">
      <alignment horizontal="right" readingOrder="0" shrinkToFit="0" vertical="bottom" wrapText="0"/>
    </xf>
    <xf borderId="26" fillId="0" fontId="8" numFmtId="0" xfId="0" applyAlignment="1" applyBorder="1" applyFont="1">
      <alignment horizontal="right"/>
    </xf>
    <xf borderId="5" fillId="0" fontId="8" numFmtId="1" xfId="0" applyAlignment="1" applyBorder="1" applyFont="1" applyNumberFormat="1">
      <alignment horizontal="right" readingOrder="0" vertical="bottom"/>
    </xf>
    <xf borderId="5" fillId="0" fontId="8" numFmtId="9" xfId="0" applyAlignment="1" applyBorder="1" applyFont="1" applyNumberFormat="1">
      <alignment horizontal="right"/>
    </xf>
    <xf borderId="23" fillId="0" fontId="8" numFmtId="4" xfId="0" applyAlignment="1" applyBorder="1" applyFont="1" applyNumberFormat="1">
      <alignment horizontal="right"/>
    </xf>
    <xf borderId="14" fillId="0" fontId="8" numFmtId="0" xfId="0" applyAlignment="1" applyBorder="1" applyFont="1">
      <alignment horizontal="right"/>
    </xf>
    <xf borderId="14" fillId="0" fontId="8" numFmtId="10" xfId="0" applyAlignment="1" applyBorder="1" applyFont="1" applyNumberFormat="1">
      <alignment horizontal="right" readingOrder="0"/>
    </xf>
    <xf borderId="14" fillId="0" fontId="8" numFmtId="3" xfId="0" applyAlignment="1" applyBorder="1" applyFont="1" applyNumberFormat="1">
      <alignment horizontal="right" readingOrder="0"/>
    </xf>
    <xf borderId="22" fillId="0" fontId="8" numFmtId="169" xfId="0" applyAlignment="1" applyBorder="1" applyFont="1" applyNumberFormat="1">
      <alignment horizontal="right" readingOrder="0"/>
    </xf>
    <xf borderId="12" fillId="0" fontId="8" numFmtId="164" xfId="0" applyAlignment="1" applyBorder="1" applyFont="1" applyNumberFormat="1">
      <alignment horizontal="right" readingOrder="0"/>
    </xf>
    <xf borderId="26" fillId="0" fontId="8" numFmtId="9" xfId="0" applyAlignment="1" applyBorder="1" applyFont="1" applyNumberFormat="1">
      <alignment horizontal="right" readingOrder="0"/>
    </xf>
    <xf borderId="20" fillId="0" fontId="4" numFmtId="0" xfId="0" applyAlignment="1" applyBorder="1" applyFont="1">
      <alignment horizontal="right" readingOrder="0" vertical="bottom"/>
    </xf>
    <xf borderId="0" fillId="0" fontId="8" numFmtId="170" xfId="0" applyAlignment="1" applyFont="1" applyNumberFormat="1">
      <alignment horizontal="right" readingOrder="0"/>
    </xf>
    <xf borderId="24" fillId="0" fontId="4" numFmtId="0" xfId="0" applyAlignment="1" applyBorder="1" applyFont="1">
      <alignment horizontal="right" readingOrder="0" vertical="bottom"/>
    </xf>
    <xf borderId="25" fillId="0" fontId="4" numFmtId="0" xfId="0" applyAlignment="1" applyBorder="1" applyFont="1">
      <alignment horizontal="right" readingOrder="0" vertical="bottom"/>
    </xf>
    <xf borderId="27" fillId="0" fontId="8" numFmtId="9" xfId="0" applyAlignment="1" applyBorder="1" applyFont="1" applyNumberFormat="1">
      <alignment horizontal="right"/>
    </xf>
    <xf borderId="5" fillId="0" fontId="4" numFmtId="1" xfId="0" applyAlignment="1" applyBorder="1" applyFont="1" applyNumberFormat="1">
      <alignment horizontal="right" readingOrder="0" vertical="bottom"/>
    </xf>
    <xf borderId="0" fillId="0" fontId="33" numFmtId="0" xfId="0" applyAlignment="1" applyFont="1">
      <alignment vertical="bottom"/>
    </xf>
    <xf borderId="12" fillId="0" fontId="8" numFmtId="2" xfId="0" applyAlignment="1" applyBorder="1" applyFont="1" applyNumberFormat="1">
      <alignment horizontal="right" readingOrder="0"/>
    </xf>
    <xf borderId="0" fillId="0" fontId="8" numFmtId="0" xfId="0" applyAlignment="1" applyFont="1">
      <alignment readingOrder="0" shrinkToFit="0" vertical="bottom" wrapText="0"/>
    </xf>
    <xf borderId="0" fillId="0" fontId="34" numFmtId="0" xfId="0" applyAlignment="1" applyFont="1">
      <alignment readingOrder="0" vertical="bottom"/>
    </xf>
    <xf borderId="0" fillId="0" fontId="1" numFmtId="0" xfId="0" applyAlignment="1" applyFont="1">
      <alignment horizontal="right" readingOrder="0" vertical="bottom"/>
    </xf>
    <xf borderId="10" fillId="0" fontId="1" numFmtId="0" xfId="0" applyAlignment="1" applyBorder="1" applyFont="1">
      <alignment horizontal="right" readingOrder="0" vertical="bottom"/>
    </xf>
    <xf borderId="12" fillId="0" fontId="3" numFmtId="164" xfId="0" applyAlignment="1" applyBorder="1" applyFont="1" applyNumberFormat="1">
      <alignment horizontal="right" readingOrder="0"/>
    </xf>
    <xf borderId="0" fillId="0" fontId="8" numFmtId="164" xfId="0" applyAlignment="1" applyFont="1" applyNumberFormat="1">
      <alignment horizontal="right" readingOrder="0"/>
    </xf>
    <xf borderId="18" fillId="0" fontId="8" numFmtId="9" xfId="0" applyAlignment="1" applyBorder="1" applyFont="1" applyNumberFormat="1">
      <alignment horizontal="right" readingOrder="0"/>
    </xf>
    <xf borderId="5" fillId="0" fontId="8" numFmtId="0" xfId="0" applyAlignment="1" applyBorder="1" applyFont="1">
      <alignment horizontal="right" readingOrder="0"/>
    </xf>
    <xf borderId="0" fillId="0" fontId="8" numFmtId="169" xfId="0" applyAlignment="1" applyFont="1" applyNumberFormat="1">
      <alignment horizontal="right" readingOrder="0"/>
    </xf>
    <xf borderId="16" fillId="0" fontId="4" numFmtId="0" xfId="0" applyAlignment="1" applyBorder="1" applyFont="1">
      <alignment vertical="bottom"/>
    </xf>
    <xf borderId="5" fillId="0" fontId="4" numFmtId="0" xfId="0" applyAlignment="1" applyBorder="1" applyFont="1">
      <alignment vertical="bottom"/>
    </xf>
    <xf borderId="5" fillId="0" fontId="8" numFmtId="0" xfId="0" applyAlignment="1" applyBorder="1" applyFont="1">
      <alignment shrinkToFit="0" vertical="bottom" wrapText="1"/>
    </xf>
    <xf borderId="17" fillId="0" fontId="4" numFmtId="0" xfId="0" applyAlignment="1" applyBorder="1" applyFont="1">
      <alignment horizontal="right" vertical="bottom"/>
    </xf>
    <xf borderId="18" fillId="0" fontId="8" numFmtId="0" xfId="0" applyAlignment="1" applyBorder="1" applyFont="1">
      <alignment horizontal="right"/>
    </xf>
    <xf borderId="5" fillId="0" fontId="8" numFmtId="0" xfId="0" applyAlignment="1" applyBorder="1" applyFont="1">
      <alignment horizontal="right"/>
    </xf>
    <xf borderId="24" fillId="0" fontId="4" numFmtId="0" xfId="0" applyAlignment="1" applyBorder="1" applyFont="1">
      <alignment horizontal="right" readingOrder="0" shrinkToFit="0" vertical="bottom" wrapText="0"/>
    </xf>
    <xf borderId="25" fillId="0" fontId="4" numFmtId="0" xfId="0" applyAlignment="1" applyBorder="1" applyFont="1">
      <alignment horizontal="right" readingOrder="0" shrinkToFit="0" vertical="bottom" wrapText="0"/>
    </xf>
    <xf borderId="27" fillId="0" fontId="4" numFmtId="0" xfId="0" applyAlignment="1" applyBorder="1" applyFont="1">
      <alignment horizontal="right" readingOrder="0" shrinkToFit="0" vertical="bottom" wrapText="0"/>
    </xf>
    <xf borderId="24" fillId="0" fontId="4" numFmtId="9" xfId="0" applyAlignment="1" applyBorder="1" applyFont="1" applyNumberFormat="1">
      <alignment horizontal="right" readingOrder="0" vertical="bottom"/>
    </xf>
    <xf borderId="25" fillId="0" fontId="4" numFmtId="3" xfId="0" applyAlignment="1" applyBorder="1" applyFont="1" applyNumberFormat="1">
      <alignment horizontal="right" readingOrder="0" vertical="bottom"/>
    </xf>
    <xf borderId="22" fillId="0" fontId="8" numFmtId="1" xfId="0" applyAlignment="1" applyBorder="1" applyFont="1" applyNumberFormat="1">
      <alignment horizontal="right"/>
    </xf>
    <xf borderId="23" fillId="0" fontId="8" numFmtId="1" xfId="0" applyAlignment="1" applyBorder="1" applyFont="1" applyNumberFormat="1">
      <alignment horizontal="right"/>
    </xf>
    <xf borderId="14" fillId="0" fontId="8" numFmtId="1" xfId="0" applyAlignment="1" applyBorder="1" applyFont="1" applyNumberFormat="1">
      <alignment horizontal="right" readingOrder="0"/>
    </xf>
    <xf borderId="24" fillId="0" fontId="8" numFmtId="0" xfId="0" applyAlignment="1" applyBorder="1" applyFont="1">
      <alignment readingOrder="0" shrinkToFit="0" vertical="bottom" wrapText="1"/>
    </xf>
    <xf borderId="27" fillId="0" fontId="8" numFmtId="164" xfId="0" applyAlignment="1" applyBorder="1" applyFont="1" applyNumberFormat="1">
      <alignment horizontal="right" readingOrder="0"/>
    </xf>
    <xf borderId="24" fillId="0" fontId="8" numFmtId="3" xfId="0" applyAlignment="1" applyBorder="1" applyFont="1" applyNumberFormat="1">
      <alignment horizontal="right" readingOrder="0"/>
    </xf>
    <xf borderId="9" fillId="0" fontId="35" numFmtId="0" xfId="0" applyAlignment="1" applyBorder="1" applyFont="1">
      <alignment vertical="bottom"/>
    </xf>
    <xf borderId="0" fillId="0" fontId="35" numFmtId="0" xfId="0" applyAlignment="1" applyFont="1">
      <alignment vertical="bottom"/>
    </xf>
    <xf borderId="11" fillId="0" fontId="8" numFmtId="0" xfId="0" applyAlignment="1" applyBorder="1" applyFont="1">
      <alignment shrinkToFit="0" vertical="bottom" wrapText="1"/>
    </xf>
    <xf borderId="11" fillId="0" fontId="4" numFmtId="0" xfId="0" applyAlignment="1" applyBorder="1" applyFont="1">
      <alignment horizontal="right" vertical="bottom"/>
    </xf>
    <xf borderId="13" fillId="0" fontId="4" numFmtId="0" xfId="0" applyAlignment="1" applyBorder="1" applyFont="1">
      <alignment horizontal="right" vertical="bottom"/>
    </xf>
    <xf borderId="13" fillId="0" fontId="4" numFmtId="4" xfId="0" applyAlignment="1" applyBorder="1" applyFont="1" applyNumberFormat="1">
      <alignment horizontal="right" vertical="bottom"/>
    </xf>
    <xf borderId="13" fillId="0" fontId="35" numFmtId="0" xfId="0" applyAlignment="1" applyBorder="1" applyFont="1">
      <alignment vertical="bottom"/>
    </xf>
    <xf borderId="14" fillId="0" fontId="8" numFmtId="0" xfId="0" applyAlignment="1" applyBorder="1" applyFont="1">
      <alignment shrinkToFit="0" vertical="bottom" wrapText="1"/>
    </xf>
    <xf borderId="14" fillId="0" fontId="4" numFmtId="0" xfId="0" applyAlignment="1" applyBorder="1" applyFont="1">
      <alignment horizontal="right" vertical="bottom"/>
    </xf>
    <xf borderId="15" fillId="0" fontId="4" numFmtId="0" xfId="0" applyAlignment="1" applyBorder="1" applyFont="1">
      <alignment horizontal="right" vertical="bottom"/>
    </xf>
    <xf borderId="15" fillId="0" fontId="4" numFmtId="9" xfId="0" applyAlignment="1" applyBorder="1" applyFont="1" applyNumberFormat="1">
      <alignment horizontal="right" vertical="bottom"/>
    </xf>
    <xf borderId="14" fillId="0" fontId="4" numFmtId="9" xfId="0" applyAlignment="1" applyBorder="1" applyFont="1" applyNumberFormat="1">
      <alignment horizontal="right" vertical="bottom"/>
    </xf>
    <xf borderId="15" fillId="0" fontId="35" numFmtId="0" xfId="0" applyAlignment="1" applyBorder="1" applyFont="1">
      <alignment vertical="bottom"/>
    </xf>
    <xf borderId="14" fillId="0" fontId="4" numFmtId="0" xfId="0" applyAlignment="1" applyBorder="1" applyFont="1">
      <alignment shrinkToFit="0" vertical="bottom" wrapText="1"/>
    </xf>
    <xf borderId="26" fillId="0" fontId="8" numFmtId="1" xfId="0" applyAlignment="1" applyBorder="1" applyFont="1" applyNumberFormat="1">
      <alignment horizontal="right"/>
    </xf>
    <xf borderId="15" fillId="0" fontId="4" numFmtId="4" xfId="0" applyAlignment="1" applyBorder="1" applyFont="1" applyNumberFormat="1">
      <alignment horizontal="right" vertical="bottom"/>
    </xf>
    <xf borderId="14" fillId="0" fontId="8" numFmtId="3" xfId="0" applyAlignment="1" applyBorder="1" applyFont="1" applyNumberFormat="1">
      <alignment readingOrder="0" shrinkToFit="0" vertical="bottom" wrapText="1"/>
    </xf>
    <xf borderId="23" fillId="0" fontId="8" numFmtId="3" xfId="0" applyAlignment="1" applyBorder="1" applyFont="1" applyNumberFormat="1">
      <alignment horizontal="right" readingOrder="0"/>
    </xf>
    <xf borderId="0" fillId="0" fontId="4" numFmtId="10" xfId="0" applyAlignment="1" applyFont="1" applyNumberFormat="1">
      <alignment horizontal="right" vertical="bottom"/>
    </xf>
    <xf borderId="11" fillId="0" fontId="4" numFmtId="0" xfId="0" applyAlignment="1" applyBorder="1" applyFont="1">
      <alignment readingOrder="0" shrinkToFit="0" vertical="bottom" wrapText="0"/>
    </xf>
    <xf borderId="22" fillId="0" fontId="4" numFmtId="9" xfId="0" applyAlignment="1" applyBorder="1" applyFont="1" applyNumberFormat="1">
      <alignment horizontal="right" readingOrder="0" shrinkToFit="0" vertical="bottom" wrapText="0"/>
    </xf>
    <xf borderId="22" fillId="0" fontId="8" numFmtId="169" xfId="0" applyAlignment="1" applyBorder="1" applyFont="1" applyNumberFormat="1">
      <alignment horizontal="right"/>
    </xf>
    <xf borderId="23" fillId="0" fontId="8" numFmtId="4" xfId="0" applyAlignment="1" applyBorder="1" applyFont="1" applyNumberFormat="1">
      <alignment horizontal="right" readingOrder="0"/>
    </xf>
    <xf borderId="22" fillId="0" fontId="4" numFmtId="0" xfId="0" applyAlignment="1" applyBorder="1" applyFont="1">
      <alignment horizontal="right" readingOrder="0" shrinkToFit="0" vertical="bottom" wrapText="0"/>
    </xf>
    <xf borderId="20" fillId="0" fontId="8" numFmtId="1" xfId="0" applyAlignment="1" applyBorder="1" applyFont="1" applyNumberFormat="1">
      <alignment horizontal="right" readingOrder="0" vertical="bottom"/>
    </xf>
    <xf borderId="26" fillId="0" fontId="8" numFmtId="165" xfId="0" applyAlignment="1" applyBorder="1" applyFont="1" applyNumberFormat="1">
      <alignment horizontal="right" readingOrder="0"/>
    </xf>
    <xf borderId="26" fillId="0" fontId="8" numFmtId="4" xfId="0" applyAlignment="1" applyBorder="1" applyFont="1" applyNumberFormat="1">
      <alignment horizontal="right" readingOrder="0"/>
    </xf>
    <xf borderId="0" fillId="0" fontId="8" numFmtId="0" xfId="0" applyAlignment="1" applyFont="1">
      <alignment shrinkToFit="0" wrapText="1"/>
    </xf>
    <xf borderId="0" fillId="0" fontId="4" numFmtId="0" xfId="0" applyAlignment="1" applyFont="1">
      <alignment horizontal="right"/>
    </xf>
    <xf borderId="10" fillId="0" fontId="4" numFmtId="0" xfId="0" applyAlignment="1" applyBorder="1" applyFont="1">
      <alignment horizontal="right"/>
    </xf>
    <xf borderId="11" fillId="0" fontId="8" numFmtId="0" xfId="0" applyAlignment="1" applyBorder="1" applyFont="1">
      <alignment shrinkToFit="0" wrapText="1"/>
    </xf>
    <xf borderId="11" fillId="0" fontId="4" numFmtId="0" xfId="0" applyAlignment="1" applyBorder="1" applyFont="1">
      <alignment horizontal="right"/>
    </xf>
    <xf borderId="22" fillId="0" fontId="8" numFmtId="171" xfId="0" applyAlignment="1" applyBorder="1" applyFont="1" applyNumberFormat="1">
      <alignment horizontal="right"/>
    </xf>
    <xf borderId="14" fillId="0" fontId="8" numFmtId="0" xfId="0" applyAlignment="1" applyBorder="1" applyFont="1">
      <alignment shrinkToFit="0" wrapText="1"/>
    </xf>
    <xf borderId="14" fillId="0" fontId="4" numFmtId="0" xfId="0" applyAlignment="1" applyBorder="1" applyFont="1">
      <alignment horizontal="right"/>
    </xf>
    <xf borderId="23" fillId="0" fontId="8" numFmtId="3" xfId="0" applyAlignment="1" applyBorder="1" applyFont="1" applyNumberFormat="1">
      <alignment horizontal="right"/>
    </xf>
    <xf borderId="14" fillId="0" fontId="8" numFmtId="0" xfId="0" applyAlignment="1" applyBorder="1" applyFont="1">
      <alignment readingOrder="0" shrinkToFit="0" wrapText="1"/>
    </xf>
    <xf borderId="14" fillId="0" fontId="4" numFmtId="0" xfId="0" applyAlignment="1" applyBorder="1" applyFont="1">
      <alignment horizontal="right" readingOrder="0"/>
    </xf>
    <xf borderId="23" fillId="0" fontId="8" numFmtId="171" xfId="0" applyAlignment="1" applyBorder="1" applyFont="1" applyNumberFormat="1">
      <alignment horizontal="right"/>
    </xf>
    <xf borderId="17" fillId="0" fontId="4" numFmtId="3" xfId="0" applyAlignment="1" applyBorder="1" applyFont="1" applyNumberFormat="1">
      <alignment horizontal="right" readingOrder="0" vertical="bottom"/>
    </xf>
    <xf borderId="23" fillId="0" fontId="8" numFmtId="166" xfId="0" applyAlignment="1" applyBorder="1" applyFont="1" applyNumberFormat="1">
      <alignment horizontal="right"/>
    </xf>
    <xf borderId="23" fillId="0" fontId="8" numFmtId="169" xfId="0" applyAlignment="1" applyBorder="1" applyFont="1" applyNumberFormat="1">
      <alignment horizontal="right" readingOrder="0"/>
    </xf>
    <xf borderId="14" fillId="0" fontId="4" numFmtId="49" xfId="0" applyAlignment="1" applyBorder="1" applyFont="1" applyNumberFormat="1">
      <alignment horizontal="right"/>
    </xf>
    <xf borderId="23" fillId="0" fontId="8" numFmtId="165" xfId="0" applyAlignment="1" applyBorder="1" applyFont="1" applyNumberFormat="1">
      <alignment horizontal="right"/>
    </xf>
    <xf borderId="23" fillId="0" fontId="8" numFmtId="172" xfId="0" applyAlignment="1" applyBorder="1" applyFont="1" applyNumberFormat="1">
      <alignment horizontal="right"/>
    </xf>
    <xf borderId="19" fillId="0" fontId="8" numFmtId="0" xfId="0" applyAlignment="1" applyBorder="1" applyFont="1">
      <alignment readingOrder="0" shrinkToFit="0" wrapText="1"/>
    </xf>
    <xf borderId="19" fillId="0" fontId="4" numFmtId="0" xfId="0" applyAlignment="1" applyBorder="1" applyFont="1">
      <alignment horizontal="right" readingOrder="0"/>
    </xf>
    <xf borderId="19" fillId="0" fontId="8" numFmtId="3" xfId="0" applyAlignment="1" applyBorder="1" applyFont="1" applyNumberFormat="1">
      <alignment horizontal="right"/>
    </xf>
    <xf borderId="9" fillId="0" fontId="8" numFmtId="0" xfId="0" applyAlignment="1" applyBorder="1" applyFont="1">
      <alignment horizontal="right"/>
    </xf>
    <xf borderId="11" fillId="0" fontId="4" numFmtId="0" xfId="0" applyAlignment="1" applyBorder="1" applyFont="1">
      <alignment horizontal="right" vertical="bottom"/>
    </xf>
    <xf borderId="26" fillId="0" fontId="8" numFmtId="1" xfId="0" applyAlignment="1" applyBorder="1" applyFont="1" applyNumberFormat="1">
      <alignment horizontal="right" readingOrder="0"/>
    </xf>
    <xf borderId="20" fillId="0" fontId="4" numFmtId="0" xfId="0" applyAlignment="1" applyBorder="1" applyFont="1">
      <alignment horizontal="center" readingOrder="0"/>
    </xf>
    <xf borderId="12" fillId="0" fontId="8" numFmtId="2" xfId="0" applyAlignment="1" applyBorder="1" applyFont="1" applyNumberFormat="1">
      <alignment horizontal="right"/>
    </xf>
    <xf borderId="0" fillId="0" fontId="8" numFmtId="2" xfId="0" applyAlignment="1" applyFont="1" applyNumberFormat="1">
      <alignment horizontal="right"/>
    </xf>
    <xf borderId="10" fillId="0" fontId="35" numFmtId="0" xfId="0" applyAlignment="1" applyBorder="1" applyFont="1">
      <alignment vertical="bottom"/>
    </xf>
    <xf borderId="12" fillId="0" fontId="8" numFmtId="1" xfId="0" applyAlignment="1" applyBorder="1" applyFont="1" applyNumberFormat="1">
      <alignment horizontal="right"/>
    </xf>
    <xf borderId="0" fillId="0" fontId="8" numFmtId="1" xfId="0" applyAlignment="1" applyFont="1" applyNumberFormat="1">
      <alignment horizontal="right"/>
    </xf>
    <xf borderId="14" fillId="0" fontId="4" numFmtId="0" xfId="0" applyAlignment="1" applyBorder="1" applyFont="1">
      <alignment horizontal="right" vertical="bottom"/>
    </xf>
    <xf borderId="0" fillId="0" fontId="36" numFmtId="0" xfId="0" applyAlignment="1" applyFont="1">
      <alignment readingOrder="0" vertical="bottom"/>
    </xf>
    <xf borderId="11" fillId="0" fontId="8" numFmtId="4" xfId="0" applyAlignment="1" applyBorder="1" applyFont="1" applyNumberFormat="1">
      <alignment horizontal="right" readingOrder="0"/>
    </xf>
    <xf borderId="22" fillId="0" fontId="8" numFmtId="168" xfId="0" applyAlignment="1" applyBorder="1" applyFont="1" applyNumberFormat="1">
      <alignment horizontal="right"/>
    </xf>
    <xf borderId="0" fillId="0" fontId="35" numFmtId="0" xfId="0" applyAlignment="1" applyFont="1">
      <alignment vertical="bottom"/>
    </xf>
    <xf borderId="11" fillId="0" fontId="4" numFmtId="0" xfId="0" applyAlignment="1" applyBorder="1" applyFont="1">
      <alignment readingOrder="0" vertical="bottom"/>
    </xf>
    <xf borderId="11" fillId="0" fontId="35" numFmtId="0" xfId="0" applyAlignment="1" applyBorder="1" applyFont="1">
      <alignment vertical="bottom"/>
    </xf>
    <xf borderId="13" fillId="0" fontId="35" numFmtId="0" xfId="0" applyAlignment="1" applyBorder="1" applyFont="1">
      <alignment vertical="bottom"/>
    </xf>
    <xf borderId="22" fillId="0" fontId="35" numFmtId="9" xfId="0" applyAlignment="1" applyBorder="1" applyFont="1" applyNumberFormat="1">
      <alignment vertical="bottom"/>
    </xf>
    <xf borderId="11" fillId="0" fontId="35" numFmtId="3" xfId="0" applyAlignment="1" applyBorder="1" applyFont="1" applyNumberFormat="1">
      <alignment vertical="bottom"/>
    </xf>
    <xf borderId="13" fillId="0" fontId="35" numFmtId="3" xfId="0" applyAlignment="1" applyBorder="1" applyFont="1" applyNumberFormat="1">
      <alignment vertical="bottom"/>
    </xf>
    <xf borderId="11" fillId="0" fontId="8" numFmtId="3" xfId="0" applyAlignment="1" applyBorder="1" applyFont="1" applyNumberFormat="1">
      <alignment horizontal="right"/>
    </xf>
    <xf borderId="13" fillId="0" fontId="4" numFmtId="0" xfId="0" applyAlignment="1" applyBorder="1" applyFont="1">
      <alignment horizontal="center" readingOrder="0"/>
    </xf>
    <xf borderId="14" fillId="0" fontId="8" numFmtId="3" xfId="0" applyAlignment="1" applyBorder="1" applyFont="1" applyNumberFormat="1">
      <alignment horizontal="right"/>
    </xf>
    <xf borderId="15" fillId="0" fontId="4" numFmtId="0" xfId="0" applyAlignment="1" applyBorder="1" applyFont="1">
      <alignment horizontal="center" readingOrder="0"/>
    </xf>
    <xf borderId="0" fillId="0" fontId="8" numFmtId="1" xfId="0" applyAlignment="1" applyFont="1" applyNumberFormat="1">
      <alignment horizontal="right" readingOrder="0" vertical="bottom"/>
    </xf>
    <xf borderId="15" fillId="0" fontId="8" numFmtId="1" xfId="0" applyAlignment="1" applyBorder="1" applyFont="1" applyNumberFormat="1">
      <alignment horizontal="right" readingOrder="0" vertical="bottom"/>
    </xf>
    <xf borderId="23" fillId="0" fontId="8" numFmtId="165" xfId="0" applyAlignment="1" applyBorder="1" applyFont="1" applyNumberFormat="1">
      <alignment horizontal="right" readingOrder="0"/>
    </xf>
    <xf borderId="19" fillId="0" fontId="4" numFmtId="0" xfId="0" applyAlignment="1" applyBorder="1" applyFont="1">
      <alignment horizontal="right" vertical="bottom"/>
    </xf>
    <xf borderId="13" fillId="0" fontId="8" numFmtId="1" xfId="0" applyAlignment="1" applyBorder="1" applyFont="1" applyNumberFormat="1">
      <alignment horizontal="right" readingOrder="0" vertical="bottom"/>
    </xf>
    <xf borderId="19" fillId="0" fontId="8" numFmtId="0" xfId="0" applyAlignment="1" applyBorder="1" applyFont="1">
      <alignment horizontal="right"/>
    </xf>
    <xf borderId="23" fillId="0" fontId="8" numFmtId="2" xfId="0" applyAlignment="1" applyBorder="1" applyFont="1" applyNumberFormat="1">
      <alignment horizontal="right" readingOrder="0"/>
    </xf>
    <xf borderId="14" fillId="0" fontId="8" numFmtId="4" xfId="0" applyAlignment="1" applyBorder="1" applyFont="1" applyNumberFormat="1">
      <alignment horizontal="right" readingOrder="0"/>
    </xf>
    <xf borderId="0" fillId="0" fontId="20" numFmtId="0" xfId="0" applyAlignment="1" applyFont="1">
      <alignment shrinkToFit="0" wrapText="1"/>
    </xf>
    <xf borderId="26" fillId="0" fontId="8" numFmtId="2" xfId="0" applyAlignment="1" applyBorder="1" applyFont="1" applyNumberFormat="1">
      <alignment horizontal="right" readingOrder="0"/>
    </xf>
    <xf borderId="11" fillId="0" fontId="8" numFmtId="165" xfId="0" applyAlignment="1" applyBorder="1" applyFont="1" applyNumberFormat="1">
      <alignment horizontal="right"/>
    </xf>
    <xf borderId="24" fillId="0" fontId="8" numFmtId="173" xfId="0" applyAlignment="1" applyBorder="1" applyFont="1" applyNumberFormat="1">
      <alignment horizontal="right"/>
    </xf>
    <xf borderId="25" fillId="0" fontId="4" numFmtId="0" xfId="0" applyAlignment="1" applyBorder="1" applyFont="1">
      <alignment horizontal="center" readingOrder="0"/>
    </xf>
    <xf borderId="27" fillId="0" fontId="8" numFmtId="172" xfId="0" applyAlignment="1" applyBorder="1" applyFont="1" applyNumberFormat="1">
      <alignment horizontal="right"/>
    </xf>
    <xf borderId="24" fillId="0" fontId="8" numFmtId="168" xfId="0" applyAlignment="1" applyBorder="1" applyFont="1" applyNumberFormat="1">
      <alignment horizontal="right"/>
    </xf>
    <xf borderId="0" fillId="0" fontId="37" numFmtId="0" xfId="0" applyAlignment="1" applyFont="1">
      <alignment readingOrder="0" shrinkToFit="0" vertical="bottom" wrapText="1"/>
    </xf>
    <xf borderId="19" fillId="0" fontId="8" numFmtId="168" xfId="0" applyAlignment="1" applyBorder="1" applyFont="1" applyNumberFormat="1">
      <alignment horizontal="right"/>
    </xf>
    <xf borderId="11" fillId="0" fontId="4" numFmtId="0" xfId="0" applyAlignment="1" applyBorder="1" applyFont="1">
      <alignment horizontal="right" readingOrder="0" vertical="bottom"/>
    </xf>
    <xf borderId="13" fillId="0" fontId="4" numFmtId="0" xfId="0" applyAlignment="1" applyBorder="1" applyFont="1">
      <alignment horizontal="right" readingOrder="0" vertical="bottom"/>
    </xf>
    <xf borderId="19" fillId="0" fontId="8" numFmtId="165" xfId="0" applyAlignment="1" applyBorder="1" applyFont="1" applyNumberFormat="1">
      <alignment horizontal="right"/>
    </xf>
    <xf borderId="11" fillId="0" fontId="4" numFmtId="0" xfId="0" applyAlignment="1" applyBorder="1" applyFont="1">
      <alignment readingOrder="0" vertical="bottom"/>
    </xf>
    <xf borderId="13" fillId="0" fontId="4" numFmtId="0" xfId="0" applyAlignment="1" applyBorder="1" applyFont="1">
      <alignment horizontal="right" vertical="bottom"/>
    </xf>
    <xf borderId="15" fillId="0" fontId="4" numFmtId="0" xfId="0" applyAlignment="1" applyBorder="1" applyFont="1">
      <alignment horizontal="right" vertical="bottom"/>
    </xf>
    <xf borderId="0" fillId="0" fontId="4" numFmtId="0" xfId="0" applyAlignment="1" applyFont="1">
      <alignment readingOrder="0" vertical="bottom"/>
    </xf>
    <xf borderId="5" fillId="0" fontId="4" numFmtId="0" xfId="0" applyAlignment="1" applyBorder="1" applyFont="1">
      <alignment readingOrder="0" vertical="bottom"/>
    </xf>
    <xf borderId="12" fillId="0" fontId="8" numFmtId="9" xfId="0" applyAlignment="1" applyBorder="1" applyFont="1" applyNumberFormat="1">
      <alignment horizontal="right" readingOrder="0"/>
    </xf>
    <xf borderId="14" fillId="0" fontId="4" numFmtId="10" xfId="0" applyAlignment="1" applyBorder="1" applyFont="1" applyNumberFormat="1">
      <alignment horizontal="right" vertical="bottom"/>
    </xf>
    <xf borderId="15" fillId="0" fontId="4" numFmtId="1" xfId="0" applyAlignment="1" applyBorder="1" applyFont="1" applyNumberFormat="1">
      <alignment horizontal="right" vertical="bottom"/>
    </xf>
    <xf borderId="11" fillId="0" fontId="8" numFmtId="1" xfId="0" applyAlignment="1" applyBorder="1" applyFont="1" applyNumberFormat="1">
      <alignment horizontal="right" readingOrder="0"/>
    </xf>
    <xf borderId="19" fillId="0" fontId="4" numFmtId="10" xfId="0" applyAlignment="1" applyBorder="1" applyFont="1" applyNumberFormat="1">
      <alignment horizontal="right" vertical="bottom"/>
    </xf>
    <xf borderId="20" fillId="0" fontId="4" numFmtId="1" xfId="0" applyAlignment="1" applyBorder="1" applyFont="1" applyNumberFormat="1">
      <alignment horizontal="right" vertical="bottom"/>
    </xf>
    <xf borderId="2" fillId="3" fontId="8" numFmtId="1" xfId="0" applyAlignment="1" applyBorder="1" applyFill="1" applyFont="1" applyNumberFormat="1">
      <alignment horizontal="right" vertical="bottom"/>
    </xf>
    <xf borderId="2" fillId="0" fontId="8" numFmtId="0" xfId="0" applyAlignment="1" applyBorder="1" applyFont="1">
      <alignment horizontal="right"/>
    </xf>
    <xf borderId="0" fillId="0" fontId="8" numFmtId="0" xfId="0" applyAlignment="1" applyFont="1">
      <alignment readingOrder="0" shrinkToFit="0" vertical="bottom" wrapText="1"/>
    </xf>
    <xf borderId="5" fillId="0" fontId="4" numFmtId="0" xfId="0" applyAlignment="1" applyBorder="1" applyFont="1">
      <alignment shrinkToFit="0" vertical="bottom" wrapText="1"/>
    </xf>
    <xf borderId="19" fillId="0" fontId="8" numFmtId="10" xfId="0" applyAlignment="1" applyBorder="1" applyFont="1" applyNumberFormat="1">
      <alignment horizontal="right"/>
    </xf>
    <xf borderId="11" fillId="0" fontId="8" numFmtId="0" xfId="0" applyAlignment="1" applyBorder="1" applyFont="1">
      <alignment shrinkToFit="0" vertical="bottom" wrapText="1"/>
    </xf>
    <xf borderId="10" fillId="0" fontId="4" numFmtId="168" xfId="0" applyAlignment="1" applyBorder="1" applyFont="1" applyNumberFormat="1">
      <alignment horizontal="right" readingOrder="0" vertical="bottom"/>
    </xf>
    <xf borderId="13" fillId="0" fontId="4" numFmtId="168" xfId="0" applyAlignment="1" applyBorder="1" applyFont="1" applyNumberFormat="1">
      <alignment horizontal="right" readingOrder="0" vertical="bottom"/>
    </xf>
    <xf borderId="22" fillId="0" fontId="8" numFmtId="3" xfId="0" applyAlignment="1" applyBorder="1" applyFont="1" applyNumberFormat="1">
      <alignment horizontal="right" readingOrder="0"/>
    </xf>
    <xf borderId="23" fillId="0" fontId="8" numFmtId="173" xfId="0" applyAlignment="1" applyBorder="1" applyFont="1" applyNumberFormat="1">
      <alignment horizontal="right" readingOrder="0"/>
    </xf>
    <xf borderId="14" fillId="0" fontId="8" numFmtId="173" xfId="0" applyAlignment="1" applyBorder="1" applyFont="1" applyNumberFormat="1">
      <alignment horizontal="right"/>
    </xf>
    <xf borderId="0" fillId="2" fontId="3" numFmtId="0" xfId="0" applyAlignment="1" applyFill="1" applyFont="1">
      <alignment shrinkToFit="0" vertical="bottom" wrapText="1"/>
    </xf>
    <xf borderId="12" fillId="2" fontId="3" numFmtId="0" xfId="0" applyAlignment="1" applyBorder="1" applyFill="1" applyFont="1">
      <alignment horizontal="center" readingOrder="0"/>
    </xf>
    <xf borderId="19" fillId="0" fontId="3" numFmtId="0" xfId="0" applyAlignment="1" applyBorder="1" applyFont="1">
      <alignment readingOrder="0" shrinkToFit="0" vertical="bottom" wrapText="1"/>
    </xf>
    <xf borderId="19" fillId="0" fontId="1" numFmtId="0" xfId="0" applyAlignment="1" applyBorder="1" applyFont="1">
      <alignment horizontal="right" readingOrder="0" vertical="bottom"/>
    </xf>
    <xf borderId="20" fillId="0" fontId="1" numFmtId="0" xfId="0" applyAlignment="1" applyBorder="1" applyFont="1">
      <alignment horizontal="right" readingOrder="0" vertical="bottom"/>
    </xf>
    <xf borderId="26" fillId="0" fontId="3" numFmtId="164" xfId="0" applyAlignment="1" applyBorder="1" applyFont="1" applyNumberFormat="1">
      <alignment horizontal="right" readingOrder="0"/>
    </xf>
    <xf borderId="14" fillId="0" fontId="8" numFmtId="0" xfId="0" applyAlignment="1" applyBorder="1" applyFont="1">
      <alignment shrinkToFit="0" vertical="bottom" wrapText="1"/>
    </xf>
    <xf borderId="19" fillId="0" fontId="3" numFmtId="164" xfId="0" applyAlignment="1" applyBorder="1" applyFont="1" applyNumberFormat="1">
      <alignment horizontal="right"/>
    </xf>
    <xf borderId="12" fillId="2" fontId="1" numFmtId="0" xfId="0" applyAlignment="1" applyBorder="1" applyFill="1" applyFont="1">
      <alignment vertical="bottom"/>
    </xf>
    <xf borderId="0" fillId="0" fontId="38" numFmtId="0" xfId="0" applyAlignment="1" applyFont="1">
      <alignment readingOrder="0" shrinkToFit="0" vertical="bottom" wrapText="1"/>
    </xf>
    <xf borderId="0" fillId="0" fontId="38" numFmtId="164" xfId="0" applyAlignment="1" applyFont="1" applyNumberFormat="1">
      <alignment horizontal="right" readingOrder="0"/>
    </xf>
    <xf borderId="18" fillId="2" fontId="1" numFmtId="0" xfId="0" applyAlignment="1" applyBorder="1" applyFill="1" applyFont="1">
      <alignment vertical="bottom"/>
    </xf>
    <xf borderId="14" fillId="0" fontId="8" numFmtId="0" xfId="0" applyAlignment="1" applyBorder="1" applyFont="1">
      <alignment readingOrder="0" shrinkToFit="0" vertical="bottom" wrapText="1"/>
    </xf>
    <xf borderId="14" fillId="0" fontId="8" numFmtId="9" xfId="0" applyAlignment="1" applyBorder="1" applyFont="1" applyNumberFormat="1">
      <alignment shrinkToFit="0" vertical="bottom" wrapText="1"/>
    </xf>
    <xf borderId="14" fillId="0" fontId="39" numFmtId="9" xfId="0" applyAlignment="1" applyBorder="1" applyFont="1" applyNumberFormat="1">
      <alignment horizontal="right" vertical="bottom"/>
    </xf>
    <xf borderId="14" fillId="0" fontId="39" numFmtId="9" xfId="0" applyAlignment="1" applyBorder="1" applyFont="1" applyNumberFormat="1">
      <alignment horizontal="right" readingOrder="0" vertical="bottom"/>
    </xf>
    <xf borderId="23" fillId="0" fontId="8" numFmtId="9" xfId="0" applyAlignment="1" applyBorder="1" applyFont="1" applyNumberFormat="1">
      <alignment horizontal="right"/>
    </xf>
    <xf borderId="14" fillId="0" fontId="8" numFmtId="9" xfId="0" applyAlignment="1" applyBorder="1" applyFont="1" applyNumberFormat="1">
      <alignment horizontal="right"/>
    </xf>
    <xf borderId="8" fillId="0" fontId="2" numFmtId="0" xfId="0" applyBorder="1" applyFont="1"/>
    <xf borderId="8" fillId="3" fontId="4" numFmtId="0" xfId="0" applyAlignment="1" applyBorder="1" applyFill="1" applyFont="1">
      <alignment vertical="bottom"/>
    </xf>
    <xf borderId="0" fillId="0" fontId="8" numFmtId="0" xfId="0" applyAlignment="1" applyFont="1">
      <alignment shrinkToFit="0" vertical="bottom" wrapText="1"/>
    </xf>
    <xf borderId="18" fillId="0" fontId="8" numFmtId="165" xfId="0" applyAlignment="1" applyBorder="1" applyFont="1" applyNumberFormat="1">
      <alignment horizontal="right"/>
    </xf>
    <xf borderId="0" fillId="0" fontId="8" numFmtId="0" xfId="0" applyAlignment="1" applyFont="1">
      <alignment readingOrder="0" shrinkToFit="0" wrapText="1"/>
    </xf>
    <xf borderId="0" fillId="0" fontId="4" numFmtId="0" xfId="0" applyAlignment="1" applyFont="1">
      <alignment horizontal="right" readingOrder="0"/>
    </xf>
    <xf borderId="11" fillId="0" fontId="8" numFmtId="0" xfId="0" applyAlignment="1" applyBorder="1" applyFont="1">
      <alignment readingOrder="0" shrinkToFit="0" wrapText="1"/>
    </xf>
    <xf borderId="11" fillId="0" fontId="4" numFmtId="0" xfId="0" applyAlignment="1" applyBorder="1" applyFont="1">
      <alignment horizontal="right" readingOrder="0"/>
    </xf>
    <xf borderId="13" fillId="0" fontId="4" numFmtId="0" xfId="0" applyAlignment="1" applyBorder="1" applyFont="1">
      <alignment horizontal="right" readingOrder="0"/>
    </xf>
    <xf borderId="22" fillId="0" fontId="8" numFmtId="166" xfId="0" applyAlignment="1" applyBorder="1" applyFont="1" applyNumberFormat="1">
      <alignment horizontal="right"/>
    </xf>
    <xf borderId="14" fillId="0" fontId="8" numFmtId="0" xfId="0" applyAlignment="1" applyBorder="1" applyFont="1">
      <alignment readingOrder="0" shrinkToFit="0" wrapText="1"/>
    </xf>
    <xf borderId="15" fillId="0" fontId="4" numFmtId="0" xfId="0" applyAlignment="1" applyBorder="1" applyFont="1">
      <alignment horizontal="right" readingOrder="0"/>
    </xf>
    <xf borderId="19" fillId="0" fontId="8" numFmtId="0" xfId="0" applyAlignment="1" applyBorder="1" applyFont="1">
      <alignment shrinkToFit="0" vertical="bottom" wrapText="1"/>
    </xf>
    <xf borderId="0" fillId="0" fontId="8" numFmtId="169" xfId="0" applyAlignment="1" applyFont="1" applyNumberFormat="1">
      <alignment horizontal="right"/>
    </xf>
    <xf borderId="14" fillId="0" fontId="8" numFmtId="165" xfId="0" applyAlignment="1" applyBorder="1" applyFont="1" applyNumberFormat="1">
      <alignment horizontal="right"/>
    </xf>
    <xf borderId="19" fillId="0" fontId="8" numFmtId="0" xfId="0" applyAlignment="1" applyBorder="1" applyFont="1">
      <alignment readingOrder="0" shrinkToFit="0" wrapText="1"/>
    </xf>
    <xf borderId="20" fillId="0" fontId="4" numFmtId="0" xfId="0" applyAlignment="1" applyBorder="1" applyFont="1">
      <alignment horizontal="right" readingOrder="0"/>
    </xf>
    <xf borderId="12" fillId="0" fontId="8" numFmtId="3" xfId="0" applyAlignment="1" applyBorder="1" applyFont="1" applyNumberFormat="1">
      <alignment horizontal="right" readingOrder="0"/>
    </xf>
    <xf borderId="18" fillId="0" fontId="8" numFmtId="164" xfId="0" applyAlignment="1" applyBorder="1" applyFont="1" applyNumberFormat="1">
      <alignment horizontal="right" readingOrder="0"/>
    </xf>
    <xf borderId="1" fillId="2" fontId="1" numFmtId="0" xfId="0" applyAlignment="1" applyBorder="1" applyFill="1" applyFont="1">
      <alignment horizontal="center" vertical="bottom"/>
    </xf>
    <xf borderId="0" fillId="2" fontId="1" numFmtId="0" xfId="0" applyAlignment="1" applyFill="1" applyFont="1">
      <alignment horizontal="left" shrinkToFit="0" vertical="bottom" wrapText="0"/>
    </xf>
    <xf borderId="3" fillId="2" fontId="1" numFmtId="0" xfId="0" applyAlignment="1" applyBorder="1" applyFill="1" applyFont="1">
      <alignment horizontal="left" shrinkToFit="0" vertical="bottom" wrapText="0"/>
    </xf>
    <xf borderId="9" fillId="2" fontId="1" numFmtId="0" xfId="0" applyAlignment="1" applyBorder="1" applyFill="1" applyFont="1">
      <alignment vertical="bottom"/>
    </xf>
    <xf borderId="10" fillId="2" fontId="1" numFmtId="0" xfId="0" applyAlignment="1" applyBorder="1" applyFill="1" applyFont="1">
      <alignment horizontal="left" shrinkToFit="0" vertical="bottom" wrapText="0"/>
    </xf>
    <xf borderId="19" fillId="0" fontId="8" numFmtId="1" xfId="0" applyAlignment="1" applyBorder="1" applyFont="1" applyNumberFormat="1">
      <alignment horizontal="right" readingOrder="0"/>
    </xf>
    <xf borderId="16" fillId="2" fontId="1" numFmtId="0" xfId="0" applyAlignment="1" applyBorder="1" applyFill="1" applyFont="1">
      <alignment vertical="bottom"/>
    </xf>
    <xf borderId="5" fillId="2" fontId="1" numFmtId="0" xfId="0" applyAlignment="1" applyBorder="1" applyFill="1" applyFont="1">
      <alignment vertical="bottom"/>
    </xf>
    <xf borderId="17" fillId="2" fontId="1" numFmtId="0" xfId="0" applyAlignment="1" applyBorder="1" applyFill="1" applyFont="1">
      <alignment horizontal="left" readingOrder="0" shrinkToFit="0" vertical="bottom" wrapText="0"/>
    </xf>
    <xf borderId="11" fillId="0" fontId="8" numFmtId="165" xfId="0" applyAlignment="1" applyBorder="1" applyFont="1" applyNumberFormat="1">
      <alignment horizontal="right" readingOrder="0"/>
    </xf>
    <xf borderId="23" fillId="0" fontId="8" numFmtId="164" xfId="0" applyAlignment="1" applyBorder="1" applyFont="1" applyNumberFormat="1">
      <alignment horizontal="right" readingOrder="0"/>
    </xf>
    <xf borderId="14" fillId="0" fontId="8" numFmtId="165" xfId="0" applyAlignment="1" applyBorder="1" applyFont="1" applyNumberFormat="1">
      <alignment horizontal="right" readingOrder="0"/>
    </xf>
    <xf borderId="26" fillId="0" fontId="8" numFmtId="164" xfId="0" applyAlignment="1" applyBorder="1" applyFont="1" applyNumberFormat="1">
      <alignment horizontal="right" readingOrder="0"/>
    </xf>
    <xf borderId="19" fillId="0" fontId="8" numFmtId="165" xfId="0" applyAlignment="1" applyBorder="1" applyFont="1" applyNumberFormat="1">
      <alignment horizontal="right" readingOrder="0"/>
    </xf>
    <xf borderId="16" fillId="3" fontId="4" numFmtId="0" xfId="0" applyAlignment="1" applyBorder="1" applyFill="1" applyFont="1">
      <alignment horizontal="center" vertical="bottom"/>
    </xf>
    <xf borderId="5" fillId="3" fontId="4" numFmtId="0" xfId="0" applyAlignment="1" applyBorder="1" applyFill="1" applyFont="1">
      <alignment horizontal="left" shrinkToFit="0" vertical="bottom" wrapText="0"/>
    </xf>
    <xf borderId="10" fillId="3" fontId="4" numFmtId="0" xfId="0" applyAlignment="1" applyBorder="1" applyFill="1" applyFont="1">
      <alignment horizontal="left" shrinkToFit="0" vertical="bottom" wrapText="0"/>
    </xf>
    <xf borderId="21" fillId="3" fontId="4" numFmtId="0" xfId="0" applyAlignment="1" applyBorder="1" applyFill="1" applyFont="1">
      <alignment horizontal="right" vertical="bottom"/>
    </xf>
    <xf borderId="7" fillId="3" fontId="4" numFmtId="0" xfId="0" applyAlignment="1" applyBorder="1" applyFill="1" applyFont="1">
      <alignment horizontal="right" vertical="bottom"/>
    </xf>
    <xf borderId="16" fillId="3" fontId="4" numFmtId="0" xfId="0" applyAlignment="1" applyBorder="1" applyFill="1" applyFont="1">
      <alignment vertical="bottom"/>
    </xf>
    <xf borderId="8" fillId="3" fontId="4" numFmtId="0" xfId="0" applyAlignment="1" applyBorder="1" applyFill="1" applyFont="1">
      <alignment horizontal="left" shrinkToFit="0" vertical="bottom" wrapText="0"/>
    </xf>
    <xf borderId="12" fillId="0" fontId="4" numFmtId="0" xfId="0" applyAlignment="1" applyBorder="1" applyFont="1">
      <alignment horizontal="right"/>
    </xf>
    <xf borderId="0" fillId="0" fontId="4" numFmtId="0" xfId="0" applyAlignment="1" applyFont="1">
      <alignment horizontal="left" shrinkToFit="0" wrapText="0"/>
    </xf>
    <xf borderId="10" fillId="0" fontId="4" numFmtId="0" xfId="0" applyAlignment="1" applyBorder="1" applyFont="1">
      <alignment horizontal="left" shrinkToFit="0" wrapText="0"/>
    </xf>
    <xf borderId="18" fillId="0" fontId="4" numFmtId="165" xfId="0" applyAlignment="1" applyBorder="1" applyFont="1" applyNumberFormat="1">
      <alignment horizontal="right" readingOrder="0"/>
    </xf>
    <xf borderId="5" fillId="0" fontId="4" numFmtId="165" xfId="0" applyAlignment="1" applyBorder="1" applyFont="1" applyNumberFormat="1">
      <alignment horizontal="right" readingOrder="0"/>
    </xf>
    <xf borderId="5" fillId="0" fontId="4" numFmtId="0" xfId="0" applyAlignment="1" applyBorder="1" applyFont="1">
      <alignment horizontal="left" readingOrder="0" shrinkToFit="0" wrapText="0"/>
    </xf>
    <xf borderId="17" fillId="0" fontId="4" numFmtId="0" xfId="0" applyAlignment="1" applyBorder="1" applyFont="1">
      <alignment horizontal="left" readingOrder="0" shrinkToFit="0" wrapText="0"/>
    </xf>
    <xf borderId="12" fillId="0" fontId="4" numFmtId="0" xfId="0" applyAlignment="1" applyBorder="1" applyFont="1">
      <alignment horizontal="right" readingOrder="0"/>
    </xf>
    <xf borderId="5" fillId="0" fontId="4" numFmtId="0" xfId="0" applyAlignment="1" applyBorder="1" applyFont="1">
      <alignment readingOrder="0" shrinkToFit="0" vertical="bottom" wrapText="1"/>
    </xf>
    <xf borderId="18" fillId="0" fontId="4" numFmtId="166" xfId="0" applyAlignment="1" applyBorder="1" applyFont="1" applyNumberFormat="1">
      <alignment horizontal="right" readingOrder="0"/>
    </xf>
    <xf borderId="5" fillId="0" fontId="4" numFmtId="166" xfId="0" applyAlignment="1" applyBorder="1" applyFont="1" applyNumberFormat="1">
      <alignment horizontal="right" readingOrder="0"/>
    </xf>
    <xf borderId="17" fillId="0" fontId="8" numFmtId="1" xfId="0" applyAlignment="1" applyBorder="1" applyFont="1" applyNumberFormat="1">
      <alignment horizontal="right" readingOrder="0" vertical="bottom"/>
    </xf>
    <xf borderId="17" fillId="0" fontId="40" numFmtId="1" xfId="0" applyAlignment="1" applyBorder="1" applyFont="1" applyNumberFormat="1">
      <alignment horizontal="left" readingOrder="0" shrinkToFit="0" vertical="bottom" wrapText="0"/>
    </xf>
    <xf borderId="21" fillId="3" fontId="4" numFmtId="1" xfId="0" applyAlignment="1" applyBorder="1" applyFill="1" applyFont="1" applyNumberFormat="1">
      <alignment horizontal="right" vertical="bottom"/>
    </xf>
    <xf borderId="7" fillId="3" fontId="4" numFmtId="1" xfId="0" applyAlignment="1" applyBorder="1" applyFill="1" applyFont="1" applyNumberFormat="1">
      <alignment horizontal="right" vertical="bottom"/>
    </xf>
    <xf borderId="6" fillId="3" fontId="4" numFmtId="1" xfId="0" applyAlignment="1" applyBorder="1" applyFill="1" applyFont="1" applyNumberFormat="1">
      <alignment horizontal="right" vertical="bottom"/>
    </xf>
    <xf borderId="7" fillId="3" fontId="4" numFmtId="1" xfId="0" applyAlignment="1" applyBorder="1" applyFill="1" applyFont="1" applyNumberFormat="1">
      <alignment horizontal="left" shrinkToFit="0" vertical="bottom" wrapText="0"/>
    </xf>
    <xf borderId="8" fillId="3" fontId="4" numFmtId="1" xfId="0" applyAlignment="1" applyBorder="1" applyFill="1" applyFont="1" applyNumberFormat="1">
      <alignment horizontal="left" shrinkToFit="0" vertical="bottom" wrapText="0"/>
    </xf>
    <xf borderId="9" fillId="0" fontId="4" numFmtId="0" xfId="0" applyAlignment="1" applyBorder="1" applyFont="1">
      <alignment readingOrder="0" shrinkToFit="0" vertical="bottom" wrapText="0"/>
    </xf>
    <xf borderId="0" fillId="0" fontId="4" numFmtId="0" xfId="0" applyAlignment="1" applyFont="1">
      <alignment readingOrder="0" shrinkToFit="0" vertical="bottom" wrapText="1"/>
    </xf>
    <xf borderId="12" fillId="0" fontId="4" numFmtId="1" xfId="0" applyAlignment="1" applyBorder="1" applyFont="1" applyNumberFormat="1">
      <alignment horizontal="right" vertical="bottom"/>
    </xf>
    <xf borderId="9" fillId="0" fontId="4" numFmtId="1" xfId="0" applyAlignment="1" applyBorder="1" applyFont="1" applyNumberFormat="1">
      <alignment horizontal="right" vertical="bottom"/>
    </xf>
    <xf borderId="0" fillId="0" fontId="4" numFmtId="1" xfId="0" applyAlignment="1" applyFont="1" applyNumberFormat="1">
      <alignment horizontal="left" shrinkToFit="0" vertical="bottom" wrapText="0"/>
    </xf>
    <xf borderId="10" fillId="0" fontId="4" numFmtId="1" xfId="0" applyAlignment="1" applyBorder="1" applyFont="1" applyNumberFormat="1">
      <alignment horizontal="left" shrinkToFit="0" vertical="bottom" wrapText="0"/>
    </xf>
    <xf borderId="12" fillId="0" fontId="4" numFmtId="9" xfId="0" applyAlignment="1" applyBorder="1" applyFont="1" applyNumberFormat="1">
      <alignment horizontal="right" vertical="bottom"/>
    </xf>
    <xf borderId="8" fillId="3" fontId="4" numFmtId="1" xfId="0" applyAlignment="1" applyBorder="1" applyFill="1" applyFont="1" applyNumberFormat="1">
      <alignment horizontal="right" vertical="bottom"/>
    </xf>
    <xf borderId="11" fillId="0" fontId="4" numFmtId="0" xfId="0" applyAlignment="1" applyBorder="1" applyFont="1">
      <alignment readingOrder="0" shrinkToFit="0" vertical="bottom" wrapText="1"/>
    </xf>
    <xf borderId="22" fillId="0" fontId="4" numFmtId="9" xfId="0" applyAlignment="1" applyBorder="1" applyFont="1" applyNumberFormat="1">
      <alignment horizontal="right" readingOrder="0" vertical="bottom"/>
    </xf>
    <xf borderId="28" fillId="0" fontId="4" numFmtId="1" xfId="0" applyAlignment="1" applyBorder="1" applyFont="1" applyNumberFormat="1">
      <alignment horizontal="right" vertical="bottom"/>
    </xf>
    <xf borderId="11" fillId="0" fontId="41" numFmtId="1" xfId="0" applyAlignment="1" applyBorder="1" applyFont="1" applyNumberFormat="1">
      <alignment horizontal="left" readingOrder="0" shrinkToFit="0" vertical="bottom" wrapText="0"/>
    </xf>
    <xf borderId="13" fillId="0" fontId="4" numFmtId="1" xfId="0" applyAlignment="1" applyBorder="1" applyFont="1" applyNumberFormat="1">
      <alignment horizontal="left" shrinkToFit="0" vertical="bottom" wrapText="0"/>
    </xf>
    <xf borderId="14" fillId="0" fontId="4" numFmtId="0" xfId="0" applyAlignment="1" applyBorder="1" applyFont="1">
      <alignment readingOrder="0" shrinkToFit="0" vertical="bottom" wrapText="1"/>
    </xf>
    <xf borderId="23" fillId="0" fontId="4" numFmtId="9" xfId="0" applyAlignment="1" applyBorder="1" applyFont="1" applyNumberFormat="1">
      <alignment horizontal="right" readingOrder="0" vertical="bottom"/>
    </xf>
    <xf borderId="29" fillId="0" fontId="4" numFmtId="1" xfId="0" applyAlignment="1" applyBorder="1" applyFont="1" applyNumberFormat="1">
      <alignment horizontal="right" vertical="bottom"/>
    </xf>
    <xf borderId="14" fillId="0" fontId="42" numFmtId="1" xfId="0" applyAlignment="1" applyBorder="1" applyFont="1" applyNumberFormat="1">
      <alignment horizontal="left" readingOrder="0" shrinkToFit="0" vertical="bottom" wrapText="0"/>
    </xf>
    <xf borderId="15" fillId="0" fontId="4" numFmtId="1" xfId="0" applyAlignment="1" applyBorder="1" applyFont="1" applyNumberFormat="1">
      <alignment horizontal="left" shrinkToFit="0" vertical="bottom" wrapText="0"/>
    </xf>
    <xf borderId="19" fillId="0" fontId="4" numFmtId="0" xfId="0" applyAlignment="1" applyBorder="1" applyFont="1">
      <alignment readingOrder="0" shrinkToFit="0" vertical="bottom" wrapText="1"/>
    </xf>
    <xf borderId="26" fillId="0" fontId="4" numFmtId="9" xfId="0" applyAlignment="1" applyBorder="1" applyFont="1" applyNumberFormat="1">
      <alignment horizontal="right" readingOrder="0" vertical="bottom"/>
    </xf>
    <xf borderId="30" fillId="0" fontId="4" numFmtId="1" xfId="0" applyAlignment="1" applyBorder="1" applyFont="1" applyNumberFormat="1">
      <alignment horizontal="right" vertical="bottom"/>
    </xf>
    <xf borderId="20" fillId="0" fontId="4" numFmtId="1" xfId="0" applyAlignment="1" applyBorder="1" applyFont="1" applyNumberFormat="1">
      <alignment horizontal="left" shrinkToFit="0" vertical="bottom" wrapText="0"/>
    </xf>
    <xf borderId="11" fillId="0" fontId="4" numFmtId="1" xfId="0" applyAlignment="1" applyBorder="1" applyFont="1" applyNumberFormat="1">
      <alignment horizontal="left" readingOrder="0" shrinkToFit="0" vertical="bottom" wrapText="0"/>
    </xf>
    <xf borderId="0" fillId="0" fontId="8" numFmtId="0" xfId="0" applyAlignment="1" applyFont="1">
      <alignment shrinkToFit="0" wrapText="1"/>
    </xf>
    <xf borderId="11" fillId="0" fontId="4" numFmtId="0" xfId="0" applyAlignment="1" applyBorder="1" applyFont="1">
      <alignment horizontal="right" readingOrder="0"/>
    </xf>
    <xf borderId="13" fillId="0" fontId="4" numFmtId="0" xfId="0" applyAlignment="1" applyBorder="1" applyFont="1">
      <alignment horizontal="right" readingOrder="0"/>
    </xf>
    <xf borderId="14" fillId="0" fontId="4" numFmtId="1" xfId="0" applyAlignment="1" applyBorder="1" applyFont="1" applyNumberFormat="1">
      <alignment horizontal="left" readingOrder="0" shrinkToFit="0" vertical="bottom" wrapText="0"/>
    </xf>
    <xf borderId="19" fillId="0" fontId="4" numFmtId="1" xfId="0" applyAlignment="1" applyBorder="1" applyFont="1" applyNumberFormat="1">
      <alignment horizontal="left" readingOrder="0" shrinkToFit="0" vertical="bottom" wrapText="0"/>
    </xf>
    <xf borderId="5" fillId="0" fontId="4" numFmtId="0" xfId="0" applyAlignment="1" applyBorder="1" applyFont="1">
      <alignment horizontal="right" readingOrder="0" shrinkToFit="0" vertical="bottom" wrapText="1"/>
    </xf>
    <xf borderId="17" fillId="0" fontId="4" numFmtId="0" xfId="0" applyAlignment="1" applyBorder="1" applyFont="1">
      <alignment horizontal="right" readingOrder="0" shrinkToFit="0" vertical="bottom" wrapText="1"/>
    </xf>
    <xf borderId="18" fillId="0" fontId="4" numFmtId="9" xfId="0" applyAlignment="1" applyBorder="1" applyFont="1" applyNumberFormat="1">
      <alignment horizontal="right" readingOrder="0" vertical="bottom"/>
    </xf>
    <xf borderId="16" fillId="0" fontId="4" numFmtId="1" xfId="0" applyAlignment="1" applyBorder="1" applyFont="1" applyNumberFormat="1">
      <alignment horizontal="right" vertical="bottom"/>
    </xf>
    <xf borderId="5" fillId="0" fontId="4" numFmtId="1" xfId="0" applyAlignment="1" applyBorder="1" applyFont="1" applyNumberFormat="1">
      <alignment horizontal="left" readingOrder="0" shrinkToFit="0" vertical="bottom" wrapText="0"/>
    </xf>
    <xf borderId="17" fillId="0" fontId="4" numFmtId="1" xfId="0" applyAlignment="1" applyBorder="1" applyFont="1" applyNumberFormat="1">
      <alignment horizontal="left" shrinkToFit="0" vertical="bottom" wrapText="0"/>
    </xf>
    <xf borderId="19" fillId="0" fontId="8" numFmtId="0" xfId="0" applyAlignment="1" applyBorder="1" applyFont="1">
      <alignment readingOrder="0" shrinkToFit="0" wrapText="1"/>
    </xf>
    <xf borderId="19" fillId="0" fontId="4" numFmtId="0" xfId="0" applyAlignment="1" applyBorder="1" applyFont="1">
      <alignment horizontal="right" readingOrder="0"/>
    </xf>
    <xf borderId="20" fillId="0" fontId="4" numFmtId="0" xfId="0" applyAlignment="1" applyBorder="1" applyFont="1">
      <alignment horizontal="right" readingOrder="0"/>
    </xf>
    <xf borderId="11" fillId="0" fontId="4" numFmtId="0" xfId="0" applyAlignment="1" applyBorder="1" applyFont="1">
      <alignment readingOrder="0" shrinkToFit="0" vertical="bottom" wrapText="1"/>
    </xf>
    <xf borderId="22" fillId="0" fontId="4" numFmtId="1" xfId="0" applyAlignment="1" applyBorder="1" applyFont="1" applyNumberFormat="1">
      <alignment horizontal="right" readingOrder="0" vertical="bottom"/>
    </xf>
    <xf borderId="12" fillId="0" fontId="8" numFmtId="10" xfId="0" applyAlignment="1" applyBorder="1" applyFont="1" applyNumberFormat="1">
      <alignment horizontal="right" readingOrder="0"/>
    </xf>
    <xf borderId="14" fillId="0" fontId="4" numFmtId="0" xfId="0" applyAlignment="1" applyBorder="1" applyFont="1">
      <alignment readingOrder="0" shrinkToFit="0" vertical="bottom" wrapText="1"/>
    </xf>
    <xf borderId="23" fillId="0" fontId="4" numFmtId="1" xfId="0" applyAlignment="1" applyBorder="1" applyFont="1" applyNumberFormat="1">
      <alignment horizontal="right" readingOrder="0" vertical="bottom"/>
    </xf>
    <xf borderId="15" fillId="0" fontId="43" numFmtId="1" xfId="0" applyAlignment="1" applyBorder="1" applyFont="1" applyNumberFormat="1">
      <alignment horizontal="left" readingOrder="0" shrinkToFit="0" vertical="bottom" wrapText="0"/>
    </xf>
    <xf borderId="19" fillId="0" fontId="4" numFmtId="0" xfId="0" applyAlignment="1" applyBorder="1" applyFont="1">
      <alignment readingOrder="0" shrinkToFit="0" vertical="bottom" wrapText="1"/>
    </xf>
    <xf borderId="8" fillId="3" fontId="4" numFmtId="0" xfId="0" applyAlignment="1" applyBorder="1" applyFill="1" applyFont="1">
      <alignment horizontal="right" vertical="bottom"/>
    </xf>
    <xf borderId="9" fillId="0" fontId="1" numFmtId="0" xfId="0" applyAlignment="1" applyBorder="1" applyFont="1">
      <alignment readingOrder="0" shrinkToFit="0" vertical="bottom" wrapText="0"/>
    </xf>
    <xf borderId="11" fillId="0" fontId="4" numFmtId="9" xfId="0" applyAlignment="1" applyBorder="1" applyFont="1" applyNumberFormat="1">
      <alignment horizontal="right" readingOrder="0" vertical="bottom"/>
    </xf>
    <xf borderId="12" fillId="0" fontId="8" numFmtId="0" xfId="0" applyAlignment="1" applyBorder="1" applyFont="1">
      <alignment horizontal="right" vertical="bottom"/>
    </xf>
    <xf borderId="0" fillId="0" fontId="8" numFmtId="0" xfId="0" applyAlignment="1" applyFont="1">
      <alignment horizontal="right" vertical="bottom"/>
    </xf>
    <xf borderId="11" fillId="0" fontId="4" numFmtId="1" xfId="0" applyAlignment="1" applyBorder="1" applyFont="1" applyNumberFormat="1">
      <alignment horizontal="left" readingOrder="0" shrinkToFit="0" vertical="bottom" wrapText="0"/>
    </xf>
    <xf borderId="14" fillId="0" fontId="4" numFmtId="1" xfId="0" applyAlignment="1" applyBorder="1" applyFont="1" applyNumberFormat="1">
      <alignment horizontal="left" readingOrder="0" shrinkToFit="0" vertical="bottom" wrapText="0"/>
    </xf>
    <xf borderId="22" fillId="0" fontId="8" numFmtId="0" xfId="0" applyAlignment="1" applyBorder="1" applyFont="1">
      <alignment horizontal="right" readingOrder="0" vertical="bottom"/>
    </xf>
    <xf borderId="11" fillId="0" fontId="8" numFmtId="172" xfId="0" applyAlignment="1" applyBorder="1" applyFont="1" applyNumberFormat="1">
      <alignment horizontal="right" vertical="bottom"/>
    </xf>
    <xf borderId="26" fillId="0" fontId="4" numFmtId="1" xfId="0" applyAlignment="1" applyBorder="1" applyFont="1" applyNumberFormat="1">
      <alignment horizontal="right" readingOrder="0" vertical="bottom"/>
    </xf>
    <xf borderId="19" fillId="0" fontId="4" numFmtId="9" xfId="0" applyAlignment="1" applyBorder="1" applyFont="1" applyNumberFormat="1">
      <alignment horizontal="right" readingOrder="0" vertical="bottom"/>
    </xf>
    <xf borderId="19" fillId="0" fontId="4" numFmtId="1" xfId="0" applyAlignment="1" applyBorder="1" applyFont="1" applyNumberFormat="1">
      <alignment horizontal="left" readingOrder="0" shrinkToFit="0" vertical="bottom" wrapText="0"/>
    </xf>
    <xf borderId="20" fillId="0" fontId="44" numFmtId="1" xfId="0" applyAlignment="1" applyBorder="1" applyFont="1" applyNumberFormat="1">
      <alignment horizontal="left" readingOrder="0" shrinkToFit="0" vertical="bottom" wrapText="0"/>
    </xf>
    <xf borderId="18" fillId="0" fontId="4" numFmtId="169" xfId="0" applyAlignment="1" applyBorder="1" applyFont="1" applyNumberFormat="1">
      <alignment horizontal="right" readingOrder="0" vertical="bottom"/>
    </xf>
    <xf borderId="0" fillId="0" fontId="4" numFmtId="10" xfId="0" applyAlignment="1" applyFont="1" applyNumberFormat="1">
      <alignment horizontal="right" readingOrder="0" shrinkToFit="0" vertical="bottom" wrapText="0"/>
    </xf>
    <xf borderId="23" fillId="0" fontId="8" numFmtId="9" xfId="0" applyAlignment="1" applyBorder="1" applyFont="1" applyNumberFormat="1">
      <alignment horizontal="right" readingOrder="0" vertical="bottom"/>
    </xf>
    <xf borderId="14" fillId="0" fontId="8" numFmtId="9" xfId="0" applyAlignment="1" applyBorder="1" applyFont="1" applyNumberFormat="1">
      <alignment horizontal="right" vertical="bottom"/>
    </xf>
    <xf borderId="5" fillId="0" fontId="45" numFmtId="1" xfId="0" applyAlignment="1" applyBorder="1" applyFont="1" applyNumberFormat="1">
      <alignment horizontal="left" readingOrder="0" shrinkToFit="0" vertical="bottom" wrapText="0"/>
    </xf>
    <xf borderId="22" fillId="0" fontId="4" numFmtId="0" xfId="0" applyAlignment="1" applyBorder="1" applyFont="1">
      <alignment horizontal="right" readingOrder="0" vertical="bottom"/>
    </xf>
    <xf borderId="17" fillId="0" fontId="4" numFmtId="1" xfId="0" applyAlignment="1" applyBorder="1" applyFont="1" applyNumberFormat="1">
      <alignment horizontal="right" vertical="bottom"/>
    </xf>
    <xf borderId="23" fillId="0" fontId="4" numFmtId="0" xfId="0" applyAlignment="1" applyBorder="1" applyFont="1">
      <alignment horizontal="right" readingOrder="0" vertical="bottom"/>
    </xf>
    <xf borderId="26" fillId="0" fontId="8" numFmtId="0" xfId="0" applyAlignment="1" applyBorder="1" applyFont="1">
      <alignment horizontal="right" readingOrder="0" vertical="bottom"/>
    </xf>
    <xf borderId="19" fillId="0" fontId="8" numFmtId="173" xfId="0" applyAlignment="1" applyBorder="1" applyFont="1" applyNumberFormat="1">
      <alignment horizontal="right" vertical="bottom"/>
    </xf>
    <xf borderId="12" fillId="0" fontId="8" numFmtId="169" xfId="0" applyAlignment="1" applyBorder="1" applyFont="1" applyNumberFormat="1">
      <alignment horizontal="right" readingOrder="0"/>
    </xf>
    <xf borderId="0" fillId="0" fontId="8" numFmtId="0" xfId="0" applyAlignment="1" applyFont="1">
      <alignment horizontal="right" readingOrder="0"/>
    </xf>
    <xf borderId="0" fillId="0" fontId="4" numFmtId="168" xfId="0" applyAlignment="1" applyFont="1" applyNumberFormat="1">
      <alignment horizontal="left" readingOrder="0" shrinkToFit="0" vertical="bottom" wrapText="0"/>
    </xf>
    <xf borderId="20" fillId="0" fontId="4" numFmtId="0" xfId="0" applyAlignment="1" applyBorder="1" applyFont="1">
      <alignment horizontal="right" vertical="bottom"/>
    </xf>
    <xf borderId="11" fillId="0" fontId="8" numFmtId="0" xfId="0" applyAlignment="1" applyBorder="1" applyFont="1">
      <alignment shrinkToFit="0" vertical="bottom" wrapText="1"/>
    </xf>
    <xf borderId="22" fillId="0" fontId="8" numFmtId="0" xfId="0" applyAlignment="1" applyBorder="1" applyFont="1">
      <alignment horizontal="right" vertical="bottom"/>
    </xf>
    <xf borderId="11" fillId="0" fontId="8" numFmtId="3" xfId="0" applyAlignment="1" applyBorder="1" applyFont="1" applyNumberFormat="1">
      <alignment horizontal="right" vertical="bottom"/>
    </xf>
    <xf borderId="12" fillId="0" fontId="4" numFmtId="9" xfId="0" applyAlignment="1" applyBorder="1" applyFont="1" applyNumberFormat="1">
      <alignment horizontal="right" readingOrder="0" vertical="bottom"/>
    </xf>
    <xf borderId="0" fillId="0" fontId="4" numFmtId="169" xfId="0" applyAlignment="1" applyFont="1" applyNumberFormat="1">
      <alignment horizontal="left" shrinkToFit="0" vertical="bottom" wrapText="0"/>
    </xf>
    <xf borderId="13" fillId="0" fontId="4" numFmtId="168" xfId="0" applyAlignment="1" applyBorder="1" applyFont="1" applyNumberFormat="1">
      <alignment horizontal="left" readingOrder="0" shrinkToFit="0" vertical="bottom" wrapText="0"/>
    </xf>
    <xf borderId="15" fillId="0" fontId="4" numFmtId="168" xfId="0" applyAlignment="1" applyBorder="1" applyFont="1" applyNumberFormat="1">
      <alignment horizontal="left" readingOrder="0" shrinkToFit="0" vertical="bottom" wrapText="0"/>
    </xf>
    <xf borderId="15" fillId="0" fontId="4" numFmtId="9" xfId="0" applyAlignment="1" applyBorder="1" applyFont="1" applyNumberFormat="1">
      <alignment horizontal="left" shrinkToFit="0" vertical="bottom" wrapText="0"/>
    </xf>
    <xf borderId="14" fillId="0" fontId="8" numFmtId="0" xfId="0" applyAlignment="1" applyBorder="1" applyFont="1">
      <alignment shrinkToFit="0" vertical="bottom" wrapText="1"/>
    </xf>
    <xf borderId="23" fillId="0" fontId="8" numFmtId="9" xfId="0" applyAlignment="1" applyBorder="1" applyFont="1" applyNumberFormat="1">
      <alignment horizontal="right" vertical="bottom"/>
    </xf>
    <xf borderId="14" fillId="0" fontId="8" numFmtId="0" xfId="0" applyAlignment="1" applyBorder="1" applyFont="1">
      <alignment horizontal="right" vertical="bottom"/>
    </xf>
    <xf borderId="15" fillId="0" fontId="4" numFmtId="10" xfId="0" applyAlignment="1" applyBorder="1" applyFont="1" applyNumberFormat="1">
      <alignment horizontal="left"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horizontal="right" readingOrder="0" shrinkToFit="0" vertical="bottom" wrapText="0"/>
    </xf>
    <xf borderId="10" fillId="0" fontId="1" numFmtId="0" xfId="0" applyAlignment="1" applyBorder="1" applyFont="1">
      <alignment horizontal="right" readingOrder="0" shrinkToFit="0" vertical="bottom" wrapText="0"/>
    </xf>
    <xf borderId="23" fillId="0" fontId="8" numFmtId="0" xfId="0" applyAlignment="1" applyBorder="1" applyFont="1">
      <alignment horizontal="right" vertical="bottom"/>
    </xf>
    <xf borderId="19" fillId="0" fontId="8" numFmtId="1" xfId="0" applyAlignment="1" applyBorder="1" applyFont="1" applyNumberFormat="1">
      <alignment horizontal="right" vertical="bottom"/>
    </xf>
    <xf borderId="22" fillId="0" fontId="8" numFmtId="172" xfId="0" applyAlignment="1" applyBorder="1" applyFont="1" applyNumberFormat="1">
      <alignment horizontal="right" vertical="bottom"/>
    </xf>
    <xf borderId="11" fillId="0" fontId="8" numFmtId="0" xfId="0" applyAlignment="1" applyBorder="1" applyFont="1">
      <alignment horizontal="right" vertical="bottom"/>
    </xf>
    <xf borderId="18" fillId="0" fontId="8" numFmtId="172" xfId="0" applyAlignment="1" applyBorder="1" applyFont="1" applyNumberFormat="1">
      <alignment horizontal="right" vertical="bottom"/>
    </xf>
    <xf borderId="5" fillId="0" fontId="8" numFmtId="172" xfId="0" applyAlignment="1" applyBorder="1" applyFont="1" applyNumberFormat="1">
      <alignment horizontal="right" vertical="bottom"/>
    </xf>
    <xf borderId="9" fillId="0" fontId="4" numFmtId="0" xfId="0" applyAlignment="1" applyBorder="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horizontal="right" readingOrder="0" vertical="bottom"/>
    </xf>
    <xf borderId="10" fillId="0" fontId="4" numFmtId="0" xfId="0" applyAlignment="1" applyBorder="1" applyFont="1">
      <alignment horizontal="right" readingOrder="0" vertical="bottom"/>
    </xf>
    <xf borderId="12" fillId="0" fontId="8" numFmtId="0" xfId="0" applyAlignment="1" applyBorder="1" applyFont="1">
      <alignment horizontal="right" readingOrder="0"/>
    </xf>
    <xf borderId="0" fillId="0" fontId="8" numFmtId="3" xfId="0" applyAlignment="1" applyFont="1" applyNumberFormat="1">
      <alignment horizontal="right"/>
    </xf>
    <xf borderId="10" fillId="0" fontId="4" numFmtId="0" xfId="0" applyBorder="1" applyFont="1"/>
    <xf borderId="11" fillId="0" fontId="4" numFmtId="0" xfId="0" applyAlignment="1" applyBorder="1" applyFont="1">
      <alignment readingOrder="0" vertical="bottom"/>
    </xf>
    <xf borderId="13" fillId="0" fontId="4" numFmtId="0" xfId="0" applyAlignment="1" applyBorder="1" applyFont="1">
      <alignment horizontal="right" readingOrder="0" vertical="bottom"/>
    </xf>
    <xf borderId="13" fillId="0" fontId="4" numFmtId="0" xfId="0" applyBorder="1" applyFont="1"/>
    <xf borderId="15" fillId="0" fontId="4" numFmtId="0" xfId="0" applyAlignment="1" applyBorder="1" applyFont="1">
      <alignment horizontal="right" readingOrder="0" vertical="bottom"/>
    </xf>
    <xf borderId="15" fillId="0" fontId="4" numFmtId="0" xfId="0" applyBorder="1" applyFont="1"/>
    <xf borderId="9" fillId="0" fontId="4" numFmtId="0" xfId="0" applyAlignment="1" applyBorder="1" applyFont="1">
      <alignment shrinkToFit="0" vertical="bottom" wrapText="0"/>
    </xf>
    <xf borderId="0" fillId="0" fontId="4" numFmtId="0" xfId="0" applyAlignment="1" applyFont="1">
      <alignment shrinkToFit="0" vertical="bottom" wrapText="0"/>
    </xf>
    <xf borderId="16" fillId="0" fontId="4" numFmtId="3" xfId="0" applyAlignment="1" applyBorder="1" applyFont="1" applyNumberFormat="1">
      <alignment horizontal="right" readingOrder="0" vertical="bottom"/>
    </xf>
    <xf borderId="20" fillId="0" fontId="4" numFmtId="0" xfId="0" applyAlignment="1" applyBorder="1" applyFont="1">
      <alignment horizontal="right" readingOrder="0" vertical="bottom"/>
    </xf>
    <xf borderId="20" fillId="0" fontId="4" numFmtId="0" xfId="0" applyBorder="1" applyFont="1"/>
    <xf borderId="23" fillId="0" fontId="8" numFmtId="0" xfId="0" applyAlignment="1" applyBorder="1" applyFont="1">
      <alignment horizontal="right" readingOrder="0"/>
    </xf>
    <xf borderId="5" fillId="0" fontId="46" numFmtId="0" xfId="0" applyAlignment="1" applyBorder="1" applyFont="1">
      <alignment readingOrder="0" shrinkToFit="0" vertical="bottom" wrapText="0"/>
    </xf>
    <xf borderId="6" fillId="3" fontId="1" numFmtId="0" xfId="0" applyAlignment="1" applyBorder="1" applyFill="1" applyFont="1">
      <alignment readingOrder="0" vertical="bottom"/>
    </xf>
    <xf borderId="21" fillId="3" fontId="8" numFmtId="0" xfId="0" applyAlignment="1" applyBorder="1" applyFill="1" applyFont="1">
      <alignment horizontal="right" readingOrder="0"/>
    </xf>
    <xf borderId="7" fillId="3" fontId="8" numFmtId="3" xfId="0" applyAlignment="1" applyBorder="1" applyFill="1" applyFont="1" applyNumberFormat="1">
      <alignment horizontal="right"/>
    </xf>
    <xf borderId="8" fillId="3" fontId="4" numFmtId="0" xfId="0" applyBorder="1" applyFill="1" applyFont="1"/>
    <xf borderId="0" fillId="0" fontId="8" numFmtId="170" xfId="0" applyAlignment="1" applyFont="1" applyNumberFormat="1">
      <alignment horizontal="right"/>
    </xf>
    <xf borderId="5" fillId="0" fontId="4" numFmtId="0" xfId="0" applyAlignment="1" applyBorder="1" applyFont="1">
      <alignment horizontal="right" readingOrder="0" vertical="bottom"/>
    </xf>
    <xf borderId="5" fillId="0" fontId="8" numFmtId="3" xfId="0" applyAlignment="1" applyBorder="1" applyFont="1" applyNumberFormat="1">
      <alignment horizontal="right"/>
    </xf>
    <xf borderId="19" fillId="0" fontId="4" numFmtId="3" xfId="0" applyAlignment="1" applyBorder="1" applyFont="1" applyNumberFormat="1">
      <alignment horizontal="right" readingOrder="0" vertical="bottom"/>
    </xf>
    <xf borderId="1" fillId="0" fontId="35" numFmtId="0" xfId="0" applyAlignment="1" applyBorder="1" applyFont="1">
      <alignment vertical="bottom"/>
    </xf>
    <xf borderId="31" fillId="0" fontId="35" numFmtId="0" xfId="0" applyAlignment="1" applyBorder="1" applyFont="1">
      <alignment vertical="bottom"/>
    </xf>
    <xf borderId="31" fillId="0" fontId="35" numFmtId="3" xfId="0" applyAlignment="1" applyBorder="1" applyFont="1" applyNumberFormat="1">
      <alignment vertical="bottom"/>
    </xf>
    <xf borderId="2" fillId="0" fontId="47" numFmtId="0" xfId="0" applyBorder="1" applyFont="1"/>
    <xf borderId="17" fillId="0" fontId="4" numFmtId="0" xfId="0" applyBorder="1" applyFont="1"/>
    <xf borderId="31" fillId="0" fontId="35" numFmtId="3" xfId="0" applyAlignment="1" applyBorder="1" applyFont="1" applyNumberFormat="1">
      <alignment horizontal="left" vertical="bottom"/>
    </xf>
    <xf borderId="3" fillId="0" fontId="47" numFmtId="0" xfId="0" applyBorder="1" applyFont="1"/>
    <xf borderId="32" fillId="0" fontId="48" numFmtId="0" xfId="0" applyAlignment="1" applyBorder="1" applyFont="1">
      <alignment vertical="bottom"/>
    </xf>
    <xf borderId="10" fillId="0" fontId="47" numFmtId="0" xfId="0" applyBorder="1" applyFont="1"/>
    <xf borderId="33" fillId="3" fontId="49" numFmtId="0" xfId="0" applyAlignment="1" applyBorder="1" applyFill="1" applyFont="1">
      <alignment horizontal="center" readingOrder="0" vertical="bottom"/>
    </xf>
    <xf borderId="34" fillId="0" fontId="2" numFmtId="0" xfId="0" applyBorder="1" applyFont="1"/>
    <xf borderId="35" fillId="0" fontId="2" numFmtId="0" xfId="0" applyBorder="1" applyFont="1"/>
    <xf borderId="0" fillId="0" fontId="28" numFmtId="0" xfId="0" applyFont="1"/>
    <xf borderId="10" fillId="0" fontId="28" numFmtId="0" xfId="0" applyBorder="1" applyFont="1"/>
    <xf borderId="32" fillId="0" fontId="35" numFmtId="0" xfId="0" applyAlignment="1" applyBorder="1" applyFont="1">
      <alignment vertical="bottom"/>
    </xf>
    <xf borderId="36" fillId="2" fontId="50" numFmtId="0" xfId="0" applyAlignment="1" applyBorder="1" applyFill="1" applyFont="1">
      <alignment readingOrder="0" vertical="bottom"/>
    </xf>
    <xf borderId="18" fillId="2" fontId="50" numFmtId="0" xfId="0" applyAlignment="1" applyBorder="1" applyFill="1" applyFont="1">
      <alignment readingOrder="0" vertical="bottom"/>
    </xf>
    <xf borderId="37" fillId="2" fontId="50" numFmtId="3" xfId="0" applyAlignment="1" applyBorder="1" applyFill="1" applyFont="1" applyNumberFormat="1">
      <alignment readingOrder="0" vertical="bottom"/>
    </xf>
    <xf borderId="18" fillId="2" fontId="50" numFmtId="0" xfId="0" applyAlignment="1" applyBorder="1" applyFill="1" applyFont="1">
      <alignment horizontal="left" readingOrder="0" vertical="bottom"/>
    </xf>
    <xf borderId="18" fillId="2" fontId="50" numFmtId="3" xfId="0" applyAlignment="1" applyBorder="1" applyFill="1" applyFont="1" applyNumberFormat="1">
      <alignment readingOrder="0" vertical="bottom"/>
    </xf>
    <xf borderId="38" fillId="0" fontId="47" numFmtId="0" xfId="0" applyAlignment="1" applyBorder="1" applyFont="1">
      <alignment readingOrder="0"/>
    </xf>
    <xf borderId="12" fillId="0" fontId="47" numFmtId="0" xfId="0" applyAlignment="1" applyBorder="1" applyFont="1">
      <alignment readingOrder="0"/>
    </xf>
    <xf borderId="12" fillId="0" fontId="47" numFmtId="10" xfId="0" applyAlignment="1" applyBorder="1" applyFont="1" applyNumberFormat="1">
      <alignment readingOrder="0"/>
    </xf>
    <xf borderId="32" fillId="0" fontId="47" numFmtId="10" xfId="0" applyAlignment="1" applyBorder="1" applyFont="1" applyNumberFormat="1">
      <alignment readingOrder="0"/>
    </xf>
    <xf borderId="12" fillId="0" fontId="47" numFmtId="0" xfId="0" applyAlignment="1" applyBorder="1" applyFont="1">
      <alignment horizontal="left" readingOrder="0"/>
    </xf>
    <xf borderId="12" fillId="0" fontId="47" numFmtId="3" xfId="0" applyAlignment="1" applyBorder="1" applyFont="1" applyNumberFormat="1">
      <alignment readingOrder="0"/>
    </xf>
    <xf borderId="32" fillId="0" fontId="47" numFmtId="3" xfId="0" applyAlignment="1" applyBorder="1" applyFont="1" applyNumberFormat="1">
      <alignment readingOrder="0"/>
    </xf>
    <xf borderId="38" fillId="4" fontId="35" numFmtId="0" xfId="0" applyAlignment="1" applyBorder="1" applyFill="1" applyFont="1">
      <alignment readingOrder="0" vertical="bottom"/>
    </xf>
    <xf borderId="12" fillId="4" fontId="35" numFmtId="0" xfId="0" applyAlignment="1" applyBorder="1" applyFill="1" applyFont="1">
      <alignment readingOrder="0" vertical="bottom"/>
    </xf>
    <xf borderId="12" fillId="4" fontId="35" numFmtId="0" xfId="0" applyAlignment="1" applyBorder="1" applyFill="1" applyFont="1">
      <alignment horizontal="left" readingOrder="0" vertical="bottom"/>
    </xf>
    <xf borderId="12" fillId="4" fontId="35" numFmtId="3" xfId="0" applyAlignment="1" applyBorder="1" applyFill="1" applyFont="1" applyNumberFormat="1">
      <alignment horizontal="right" readingOrder="0" vertical="bottom"/>
    </xf>
    <xf borderId="32" fillId="4" fontId="35" numFmtId="3" xfId="0" applyAlignment="1" applyBorder="1" applyFill="1" applyFont="1" applyNumberFormat="1">
      <alignment horizontal="right" readingOrder="0" vertical="bottom"/>
    </xf>
    <xf borderId="38" fillId="3" fontId="35" numFmtId="0" xfId="0" applyAlignment="1" applyBorder="1" applyFill="1" applyFont="1">
      <alignment readingOrder="0" vertical="bottom"/>
    </xf>
    <xf borderId="12" fillId="3" fontId="35" numFmtId="0" xfId="0" applyAlignment="1" applyBorder="1" applyFill="1" applyFont="1">
      <alignment readingOrder="0" vertical="bottom"/>
    </xf>
    <xf borderId="12" fillId="3" fontId="35" numFmtId="0" xfId="0" applyAlignment="1" applyBorder="1" applyFill="1" applyFont="1">
      <alignment horizontal="left" readingOrder="0" vertical="bottom"/>
    </xf>
    <xf borderId="12" fillId="3" fontId="35" numFmtId="3" xfId="0" applyAlignment="1" applyBorder="1" applyFill="1" applyFont="1" applyNumberFormat="1">
      <alignment horizontal="right" readingOrder="0" vertical="bottom"/>
    </xf>
    <xf borderId="32" fillId="3" fontId="35" numFmtId="3" xfId="0" applyAlignment="1" applyBorder="1" applyFill="1" applyFont="1" applyNumberFormat="1">
      <alignment horizontal="right" readingOrder="0" vertical="bottom"/>
    </xf>
    <xf borderId="20" fillId="0" fontId="4" numFmtId="174" xfId="0" applyAlignment="1" applyBorder="1" applyFont="1" applyNumberFormat="1">
      <alignment horizontal="center"/>
    </xf>
    <xf borderId="10" fillId="4" fontId="35" numFmtId="0" xfId="0" applyAlignment="1" applyBorder="1" applyFill="1" applyFont="1">
      <alignment readingOrder="0" vertical="bottom"/>
    </xf>
    <xf borderId="10" fillId="4" fontId="35" numFmtId="0" xfId="0" applyAlignment="1" applyBorder="1" applyFill="1" applyFont="1">
      <alignment horizontal="right" readingOrder="0" vertical="bottom"/>
    </xf>
    <xf borderId="10" fillId="4" fontId="35" numFmtId="3" xfId="0" applyAlignment="1" applyBorder="1" applyFill="1" applyFont="1" applyNumberFormat="1">
      <alignment horizontal="right" readingOrder="0" vertical="bottom"/>
    </xf>
    <xf borderId="39" fillId="4" fontId="35" numFmtId="3" xfId="0" applyAlignment="1" applyBorder="1" applyFill="1" applyFont="1" applyNumberFormat="1">
      <alignment horizontal="right" readingOrder="0" vertical="bottom"/>
    </xf>
    <xf borderId="16" fillId="0" fontId="4" numFmtId="0" xfId="0" applyAlignment="1" applyBorder="1" applyFont="1">
      <alignment vertical="bottom"/>
    </xf>
    <xf borderId="5" fillId="0" fontId="4" numFmtId="0" xfId="0" applyAlignment="1" applyBorder="1" applyFont="1">
      <alignment vertical="bottom"/>
    </xf>
    <xf borderId="5" fillId="0" fontId="4" numFmtId="0" xfId="0" applyAlignment="1" applyBorder="1" applyFont="1">
      <alignment readingOrder="0" vertical="bottom"/>
    </xf>
    <xf borderId="18" fillId="0" fontId="8" numFmtId="0" xfId="0" applyAlignment="1" applyBorder="1" applyFont="1">
      <alignment horizontal="right" readingOrder="0"/>
    </xf>
    <xf borderId="7" fillId="3" fontId="8" numFmtId="0" xfId="0" applyAlignment="1" applyBorder="1" applyFill="1" applyFont="1">
      <alignment horizontal="right" shrinkToFit="0" vertical="bottom" wrapText="1"/>
    </xf>
    <xf borderId="8" fillId="3" fontId="4" numFmtId="0" xfId="0" applyAlignment="1" applyBorder="1" applyFill="1" applyFont="1">
      <alignment shrinkToFit="0" vertical="bottom" wrapText="1"/>
    </xf>
    <xf borderId="0" fillId="0" fontId="8" numFmtId="0" xfId="0" applyAlignment="1" applyFont="1">
      <alignment horizontal="right" shrinkToFit="0" wrapText="1"/>
    </xf>
    <xf borderId="10" fillId="0" fontId="4" numFmtId="0" xfId="0" applyAlignment="1" applyBorder="1" applyFont="1">
      <alignment shrinkToFit="0" wrapText="1"/>
    </xf>
    <xf borderId="17" fillId="0" fontId="4" numFmtId="0" xfId="0" applyAlignment="1" applyBorder="1" applyFont="1">
      <alignment shrinkToFit="0" wrapText="1"/>
    </xf>
    <xf borderId="22" fillId="0" fontId="8" numFmtId="166" xfId="0" applyAlignment="1" applyBorder="1" applyFont="1" applyNumberFormat="1">
      <alignment horizontal="right" readingOrder="0"/>
    </xf>
    <xf borderId="11" fillId="0" fontId="8" numFmtId="166" xfId="0" applyAlignment="1" applyBorder="1" applyFont="1" applyNumberFormat="1">
      <alignment horizontal="right"/>
    </xf>
    <xf borderId="13" fillId="0" fontId="4" numFmtId="0" xfId="0" applyAlignment="1" applyBorder="1" applyFont="1">
      <alignment shrinkToFit="0" wrapText="1"/>
    </xf>
    <xf borderId="15" fillId="0" fontId="4" numFmtId="0" xfId="0" applyAlignment="1" applyBorder="1" applyFont="1">
      <alignment shrinkToFit="0" wrapText="1"/>
    </xf>
    <xf borderId="20" fillId="0" fontId="4" numFmtId="0" xfId="0" applyAlignment="1" applyBorder="1" applyFont="1">
      <alignment shrinkToFit="0" wrapText="1"/>
    </xf>
    <xf borderId="40" fillId="0" fontId="47" numFmtId="0" xfId="0" applyAlignment="1" applyBorder="1" applyFont="1">
      <alignment readingOrder="0"/>
    </xf>
    <xf borderId="41" fillId="0" fontId="47" numFmtId="0" xfId="0" applyAlignment="1" applyBorder="1" applyFont="1">
      <alignment readingOrder="0"/>
    </xf>
    <xf borderId="41" fillId="0" fontId="47" numFmtId="0" xfId="0" applyAlignment="1" applyBorder="1" applyFont="1">
      <alignment horizontal="left" readingOrder="0"/>
    </xf>
    <xf borderId="41" fillId="0" fontId="47" numFmtId="3" xfId="0" applyAlignment="1" applyBorder="1" applyFont="1" applyNumberFormat="1">
      <alignment readingOrder="0"/>
    </xf>
    <xf borderId="42" fillId="0" fontId="47" numFmtId="3" xfId="0" applyAlignment="1" applyBorder="1" applyFont="1" applyNumberFormat="1">
      <alignment readingOrder="0"/>
    </xf>
    <xf borderId="0" fillId="0" fontId="47" numFmtId="0" xfId="0" applyAlignment="1" applyFont="1">
      <alignment horizontal="left"/>
    </xf>
    <xf borderId="19" fillId="0" fontId="1" numFmtId="0" xfId="0" applyAlignment="1" applyBorder="1" applyFont="1">
      <alignment readingOrder="0" shrinkToFit="0" vertical="bottom" wrapText="1"/>
    </xf>
    <xf borderId="26" fillId="0" fontId="3" numFmtId="0" xfId="0" applyAlignment="1" applyBorder="1" applyFont="1">
      <alignment horizontal="right" readingOrder="0"/>
    </xf>
    <xf borderId="11" fillId="0" fontId="8" numFmtId="9" xfId="0" applyAlignment="1" applyBorder="1" applyFont="1" applyNumberFormat="1">
      <alignment horizontal="right" shrinkToFit="0" wrapText="1"/>
    </xf>
    <xf borderId="14" fillId="0" fontId="8" numFmtId="9" xfId="0" applyAlignment="1" applyBorder="1" applyFont="1" applyNumberFormat="1">
      <alignment horizontal="right" shrinkToFit="0" wrapText="1"/>
    </xf>
    <xf borderId="19" fillId="0" fontId="8" numFmtId="9" xfId="0" applyAlignment="1" applyBorder="1" applyFont="1" applyNumberFormat="1">
      <alignment horizontal="right" shrinkToFit="0" wrapText="1"/>
    </xf>
    <xf borderId="12" fillId="0" fontId="3" numFmtId="0" xfId="0" applyAlignment="1" applyBorder="1" applyFont="1">
      <alignment horizontal="right"/>
    </xf>
    <xf borderId="0" fillId="0" fontId="3" numFmtId="164" xfId="0" applyAlignment="1" applyFont="1" applyNumberFormat="1">
      <alignment horizontal="right"/>
    </xf>
    <xf borderId="11" fillId="0" fontId="1" numFmtId="0" xfId="0" applyAlignment="1" applyBorder="1" applyFont="1">
      <alignment readingOrder="0" shrinkToFit="0" vertical="bottom" wrapText="1"/>
    </xf>
    <xf borderId="11" fillId="0" fontId="1" numFmtId="0" xfId="0" applyAlignment="1" applyBorder="1" applyFont="1">
      <alignment horizontal="right" readingOrder="0" vertical="bottom"/>
    </xf>
    <xf borderId="22" fillId="0" fontId="3" numFmtId="0" xfId="0" applyAlignment="1" applyBorder="1" applyFont="1">
      <alignment horizontal="right" readingOrder="0"/>
    </xf>
    <xf borderId="11" fillId="0" fontId="3" numFmtId="164" xfId="0" applyAlignment="1" applyBorder="1" applyFont="1" applyNumberFormat="1">
      <alignment horizontal="right"/>
    </xf>
    <xf borderId="5" fillId="0" fontId="4" numFmtId="3" xfId="0" applyAlignment="1" applyBorder="1" applyFont="1" applyNumberFormat="1">
      <alignment horizontal="right" readingOrder="0" vertical="bottom"/>
    </xf>
    <xf borderId="5" fillId="0" fontId="4" numFmtId="1" xfId="0" applyAlignment="1" applyBorder="1" applyFont="1" applyNumberFormat="1">
      <alignment horizontal="left" readingOrder="0" shrinkToFit="0" vertical="bottom" wrapText="0"/>
    </xf>
    <xf borderId="12" fillId="0" fontId="4" numFmtId="2" xfId="0" applyAlignment="1" applyBorder="1" applyFont="1" applyNumberFormat="1">
      <alignment horizontal="right" vertical="bottom"/>
    </xf>
    <xf borderId="5" fillId="0" fontId="51" numFmtId="0" xfId="0" applyAlignment="1" applyBorder="1" applyFont="1">
      <alignment readingOrder="0" shrinkToFit="0" vertical="bottom" wrapText="0"/>
    </xf>
    <xf borderId="5" fillId="0" fontId="52" numFmtId="0" xfId="0" applyAlignment="1" applyBorder="1" applyFont="1">
      <alignment readingOrder="0" shrinkToFit="0" vertical="bottom" wrapText="1"/>
    </xf>
    <xf borderId="5" fillId="0" fontId="8" numFmtId="169" xfId="0" applyAlignment="1" applyBorder="1" applyFont="1" applyNumberFormat="1">
      <alignment horizontal="right"/>
    </xf>
    <xf borderId="6" fillId="3" fontId="1" numFmtId="0" xfId="0" applyAlignment="1" applyBorder="1" applyFill="1" applyFont="1">
      <alignment vertical="bottom"/>
    </xf>
    <xf borderId="6" fillId="3" fontId="1" numFmtId="0" xfId="0" applyAlignment="1" applyBorder="1" applyFill="1" applyFont="1">
      <alignment readingOrder="0" vertical="bottom"/>
    </xf>
    <xf borderId="14" fillId="0" fontId="8" numFmtId="1" xfId="0" applyAlignment="1" applyBorder="1" applyFont="1" applyNumberFormat="1">
      <alignment horizontal="left" readingOrder="0" shrinkToFit="0" vertical="bottom" wrapText="0"/>
    </xf>
    <xf borderId="19" fillId="0" fontId="8" numFmtId="1" xfId="0" applyAlignment="1" applyBorder="1" applyFont="1" applyNumberFormat="1">
      <alignment horizontal="left" readingOrder="0" shrinkToFit="0" vertical="bottom" wrapText="0"/>
    </xf>
    <xf borderId="0" fillId="0" fontId="53" numFmtId="0" xfId="0" applyAlignment="1" applyFont="1">
      <alignment shrinkToFit="0" vertical="bottom" wrapText="0"/>
    </xf>
    <xf borderId="5" fillId="0" fontId="4" numFmtId="0" xfId="0" applyAlignment="1" applyBorder="1" applyFont="1">
      <alignment shrinkToFit="0" vertical="bottom" wrapText="1"/>
    </xf>
    <xf borderId="5" fillId="0" fontId="4" numFmtId="0" xfId="0" applyAlignment="1" applyBorder="1" applyFont="1">
      <alignment horizontal="right" vertical="bottom"/>
    </xf>
    <xf borderId="5" fillId="0" fontId="8" numFmtId="1" xfId="0" applyAlignment="1" applyBorder="1" applyFont="1" applyNumberFormat="1">
      <alignment horizontal="right" vertical="bottom"/>
    </xf>
    <xf borderId="0" fillId="0" fontId="4" numFmtId="0" xfId="0" applyAlignment="1" applyFont="1">
      <alignment shrinkToFit="0" vertical="bottom" wrapText="1"/>
    </xf>
    <xf borderId="12" fillId="0" fontId="8" numFmtId="0" xfId="0" applyAlignment="1" applyBorder="1" applyFont="1">
      <alignment horizontal="right"/>
    </xf>
    <xf borderId="11" fillId="0" fontId="4" numFmtId="0" xfId="0" applyAlignment="1" applyBorder="1" applyFont="1">
      <alignment shrinkToFit="0" vertical="bottom" wrapText="1"/>
    </xf>
    <xf borderId="23" fillId="0" fontId="8" numFmtId="0" xfId="0" applyAlignment="1" applyBorder="1" applyFont="1">
      <alignment horizontal="right"/>
    </xf>
    <xf borderId="19" fillId="0" fontId="4" numFmtId="0" xfId="0" applyAlignment="1" applyBorder="1" applyFont="1">
      <alignment shrinkToFit="0" vertical="bottom" wrapText="1"/>
    </xf>
    <xf borderId="19" fillId="0" fontId="4" numFmtId="0" xfId="0" applyAlignment="1" applyBorder="1" applyFont="1">
      <alignment horizontal="right" vertical="bottom"/>
    </xf>
    <xf borderId="26" fillId="0" fontId="8" numFmtId="0" xfId="0" applyAlignment="1" applyBorder="1" applyFont="1">
      <alignment horizontal="right"/>
    </xf>
    <xf borderId="19" fillId="0" fontId="8" numFmtId="174" xfId="0" applyAlignment="1" applyBorder="1" applyFont="1" applyNumberFormat="1">
      <alignment horizontal="right"/>
    </xf>
    <xf borderId="0" fillId="0" fontId="4" numFmtId="0" xfId="0" applyAlignment="1" applyFont="1">
      <alignment readingOrder="0" shrinkToFit="0" vertical="bottom" wrapText="0"/>
    </xf>
    <xf borderId="22" fillId="0" fontId="8" numFmtId="0" xfId="0" applyAlignment="1" applyBorder="1" applyFont="1">
      <alignment horizontal="right"/>
    </xf>
    <xf borderId="19" fillId="0" fontId="1" numFmtId="0" xfId="0" applyAlignment="1" applyBorder="1" applyFont="1">
      <alignment shrinkToFit="0" vertical="bottom" wrapText="1"/>
    </xf>
    <xf borderId="19" fillId="0" fontId="1" numFmtId="0" xfId="0" applyAlignment="1" applyBorder="1" applyFont="1">
      <alignment horizontal="right" vertical="bottom"/>
    </xf>
    <xf borderId="26" fillId="0" fontId="3" numFmtId="0" xfId="0" applyAlignment="1" applyBorder="1" applyFont="1">
      <alignment horizontal="right"/>
    </xf>
    <xf borderId="0" fillId="0" fontId="1" numFmtId="0" xfId="0" applyAlignment="1" applyFont="1">
      <alignment horizontal="right" vertical="bottom"/>
    </xf>
    <xf borderId="5" fillId="0" fontId="1" numFmtId="0" xfId="0" applyAlignment="1" applyBorder="1" applyFont="1">
      <alignment shrinkToFit="0" vertical="bottom" wrapText="1"/>
    </xf>
    <xf borderId="5" fillId="0" fontId="1" numFmtId="0" xfId="0" applyAlignment="1" applyBorder="1" applyFont="1">
      <alignment horizontal="right" vertical="bottom"/>
    </xf>
    <xf borderId="18" fillId="0" fontId="3" numFmtId="0" xfId="0" applyAlignment="1" applyBorder="1" applyFont="1">
      <alignment horizontal="right"/>
    </xf>
    <xf borderId="5" fillId="0" fontId="3" numFmtId="164" xfId="0" applyAlignment="1" applyBorder="1" applyFont="1" applyNumberFormat="1">
      <alignment horizontal="right"/>
    </xf>
    <xf borderId="11" fillId="0" fontId="8" numFmtId="164" xfId="0" applyAlignment="1" applyBorder="1" applyFont="1" applyNumberFormat="1">
      <alignment horizontal="right"/>
    </xf>
    <xf borderId="14" fillId="0" fontId="8" numFmtId="164" xfId="0" applyAlignment="1" applyBorder="1" applyFont="1" applyNumberFormat="1">
      <alignment horizontal="right"/>
    </xf>
    <xf borderId="19" fillId="0" fontId="8" numFmtId="164" xfId="0" applyAlignment="1" applyBorder="1" applyFont="1" applyNumberFormat="1">
      <alignment horizontal="right"/>
    </xf>
    <xf borderId="11" fillId="0" fontId="8" numFmtId="164" xfId="0" applyAlignment="1" applyBorder="1" applyFont="1" applyNumberFormat="1">
      <alignment horizontal="right" shrinkToFit="0" wrapText="1"/>
    </xf>
    <xf borderId="14" fillId="0" fontId="8" numFmtId="164" xfId="0" applyAlignment="1" applyBorder="1" applyFont="1" applyNumberFormat="1">
      <alignment horizontal="right" shrinkToFit="0" wrapText="1"/>
    </xf>
    <xf borderId="19" fillId="0" fontId="8" numFmtId="164" xfId="0" applyAlignment="1" applyBorder="1" applyFont="1" applyNumberFormat="1">
      <alignment horizontal="right" shrinkToFit="0" wrapText="1"/>
    </xf>
    <xf borderId="0" fillId="0" fontId="52" numFmtId="0" xfId="0" applyAlignment="1" applyFont="1">
      <alignment readingOrder="0" shrinkToFit="0" vertical="bottom" wrapText="1"/>
    </xf>
    <xf borderId="5" fillId="0" fontId="8" numFmtId="0" xfId="0" applyAlignment="1" applyBorder="1" applyFont="1">
      <alignment shrinkToFit="0" wrapText="1"/>
    </xf>
    <xf borderId="5" fillId="0" fontId="4" numFmtId="0" xfId="0" applyAlignment="1" applyBorder="1" applyFont="1">
      <alignment horizontal="right"/>
    </xf>
    <xf borderId="17" fillId="0" fontId="4" numFmtId="0" xfId="0" applyAlignment="1" applyBorder="1" applyFont="1">
      <alignment horizontal="right"/>
    </xf>
    <xf borderId="7" fillId="0" fontId="8" numFmtId="0" xfId="0" applyAlignment="1" applyBorder="1" applyFont="1">
      <alignment horizontal="right"/>
    </xf>
    <xf borderId="2" fillId="2" fontId="1" numFmtId="0" xfId="0" applyAlignment="1" applyBorder="1" applyFill="1" applyFont="1">
      <alignment shrinkToFit="0" vertical="bottom" wrapText="1"/>
    </xf>
    <xf borderId="1" fillId="2" fontId="3" numFmtId="0" xfId="0" applyAlignment="1" applyBorder="1" applyFill="1" applyFont="1">
      <alignment horizontal="center" readingOrder="0"/>
    </xf>
    <xf borderId="4" fillId="2" fontId="1" numFmtId="0" xfId="0" applyAlignment="1" applyBorder="1" applyFill="1" applyFont="1">
      <alignment shrinkToFit="0" vertical="bottom" wrapText="1"/>
    </xf>
    <xf borderId="3" fillId="0" fontId="2" numFmtId="0" xfId="0" applyBorder="1" applyFont="1"/>
    <xf borderId="10" fillId="2" fontId="1" numFmtId="0" xfId="0" applyAlignment="1" applyBorder="1" applyFill="1" applyFont="1">
      <alignment shrinkToFit="0" vertical="bottom" wrapText="1"/>
    </xf>
    <xf borderId="10" fillId="0" fontId="2" numFmtId="0" xfId="0" applyBorder="1" applyFont="1"/>
    <xf borderId="9" fillId="2" fontId="1" numFmtId="0" xfId="0" applyAlignment="1" applyBorder="1" applyFill="1" applyFont="1">
      <alignment readingOrder="0" shrinkToFit="0" vertical="bottom" wrapText="1"/>
    </xf>
    <xf borderId="0" fillId="2" fontId="1" numFmtId="0" xfId="0" applyAlignment="1" applyFill="1" applyFont="1">
      <alignment readingOrder="0" shrinkToFit="0" vertical="bottom" wrapText="1"/>
    </xf>
    <xf borderId="16" fillId="2" fontId="3" numFmtId="0" xfId="0" applyAlignment="1" applyBorder="1" applyFill="1" applyFont="1">
      <alignment horizontal="center" readingOrder="0" shrinkToFit="0" wrapText="1"/>
    </xf>
    <xf borderId="17" fillId="2" fontId="4" numFmtId="0" xfId="0" applyAlignment="1" applyBorder="1" applyFill="1" applyFont="1">
      <alignment shrinkToFit="0" vertical="bottom" wrapText="1"/>
    </xf>
    <xf borderId="9" fillId="3" fontId="1" numFmtId="0" xfId="0" applyAlignment="1" applyBorder="1" applyFill="1" applyFont="1">
      <alignment readingOrder="0" shrinkToFit="0" vertical="bottom" wrapText="0"/>
    </xf>
    <xf borderId="0" fillId="3" fontId="1" numFmtId="0" xfId="0" applyAlignment="1" applyFill="1" applyFont="1">
      <alignment readingOrder="0" shrinkToFit="0" vertical="bottom" wrapText="0"/>
    </xf>
    <xf borderId="16" fillId="3" fontId="8" numFmtId="0" xfId="0" applyAlignment="1" applyBorder="1" applyFill="1" applyFont="1">
      <alignment horizontal="center" vertical="bottom"/>
    </xf>
    <xf borderId="5" fillId="3" fontId="8" numFmtId="0" xfId="0" applyAlignment="1" applyBorder="1" applyFill="1" applyFont="1">
      <alignment horizontal="center" vertical="bottom"/>
    </xf>
    <xf borderId="17" fillId="3" fontId="8" numFmtId="0" xfId="0" applyAlignment="1" applyBorder="1" applyFill="1" applyFont="1">
      <alignment horizontal="center" vertical="bottom"/>
    </xf>
    <xf borderId="17" fillId="3" fontId="8" numFmtId="0" xfId="0" applyAlignment="1" applyBorder="1" applyFill="1" applyFont="1">
      <alignment horizontal="right" vertical="bottom"/>
    </xf>
    <xf borderId="6" fillId="3" fontId="8" numFmtId="0" xfId="0" applyAlignment="1" applyBorder="1" applyFill="1" applyFont="1">
      <alignment horizontal="center" vertical="bottom"/>
    </xf>
    <xf borderId="7" fillId="3" fontId="8" numFmtId="0" xfId="0" applyAlignment="1" applyBorder="1" applyFill="1" applyFont="1">
      <alignment horizontal="center" vertical="bottom"/>
    </xf>
    <xf borderId="8" fillId="3" fontId="8" numFmtId="0" xfId="0" applyAlignment="1" applyBorder="1" applyFill="1" applyFont="1">
      <alignment horizontal="center" vertical="bottom"/>
    </xf>
    <xf borderId="8" fillId="3" fontId="8" numFmtId="0" xfId="0" applyAlignment="1" applyBorder="1" applyFill="1" applyFont="1">
      <alignment horizontal="right" vertical="bottom"/>
    </xf>
    <xf borderId="9" fillId="0" fontId="8" numFmtId="0" xfId="0" applyAlignment="1" applyBorder="1" applyFont="1">
      <alignment horizontal="center"/>
    </xf>
    <xf borderId="0" fillId="0" fontId="8" numFmtId="0" xfId="0" applyAlignment="1" applyFont="1">
      <alignment horizontal="center"/>
    </xf>
    <xf borderId="10" fillId="0" fontId="8" numFmtId="0" xfId="0" applyAlignment="1" applyBorder="1" applyFont="1">
      <alignment horizontal="center"/>
    </xf>
    <xf borderId="0" fillId="0" fontId="8" numFmtId="0" xfId="0" applyAlignment="1" applyFont="1">
      <alignment horizontal="center" shrinkToFit="0" wrapText="1"/>
    </xf>
    <xf borderId="9" fillId="0" fontId="8" numFmtId="0" xfId="0" applyAlignment="1" applyBorder="1" applyFont="1">
      <alignment horizontal="center" shrinkToFit="0" wrapText="1"/>
    </xf>
    <xf borderId="10" fillId="0" fontId="8" numFmtId="0" xfId="0" applyAlignment="1" applyBorder="1" applyFont="1">
      <alignment horizontal="center" shrinkToFit="0" wrapText="1"/>
    </xf>
    <xf borderId="9" fillId="0" fontId="8" numFmtId="3" xfId="0" applyAlignment="1" applyBorder="1" applyFont="1" applyNumberFormat="1">
      <alignment horizontal="center"/>
    </xf>
    <xf borderId="0" fillId="0" fontId="8" numFmtId="3" xfId="0" applyAlignment="1" applyFont="1" applyNumberFormat="1">
      <alignment horizontal="center"/>
    </xf>
    <xf borderId="10" fillId="0" fontId="8" numFmtId="3" xfId="0" applyAlignment="1" applyBorder="1" applyFont="1" applyNumberFormat="1">
      <alignment horizontal="center"/>
    </xf>
    <xf borderId="28" fillId="0" fontId="8" numFmtId="166" xfId="0" applyAlignment="1" applyBorder="1" applyFont="1" applyNumberFormat="1">
      <alignment horizontal="center" readingOrder="0"/>
    </xf>
    <xf borderId="11" fillId="0" fontId="54" numFmtId="166" xfId="0" applyAlignment="1" applyBorder="1" applyFont="1" applyNumberFormat="1">
      <alignment horizontal="center" readingOrder="0"/>
    </xf>
    <xf borderId="13" fillId="0" fontId="8" numFmtId="166" xfId="0" applyAlignment="1" applyBorder="1" applyFont="1" applyNumberFormat="1">
      <alignment horizontal="center" readingOrder="0"/>
    </xf>
    <xf borderId="11" fillId="0" fontId="8" numFmtId="166" xfId="0" applyAlignment="1" applyBorder="1" applyFont="1" applyNumberFormat="1">
      <alignment horizontal="center" readingOrder="0"/>
    </xf>
    <xf borderId="11" fillId="0" fontId="47" numFmtId="0" xfId="0" applyAlignment="1" applyBorder="1" applyFont="1">
      <alignment readingOrder="0" shrinkToFit="0" wrapText="1"/>
    </xf>
    <xf borderId="29" fillId="0" fontId="8" numFmtId="9" xfId="0" applyAlignment="1" applyBorder="1" applyFont="1" applyNumberFormat="1">
      <alignment horizontal="center" readingOrder="0"/>
    </xf>
    <xf borderId="14" fillId="0" fontId="54" numFmtId="9" xfId="0" applyAlignment="1" applyBorder="1" applyFont="1" applyNumberFormat="1">
      <alignment horizontal="center"/>
    </xf>
    <xf borderId="15" fillId="0" fontId="8" numFmtId="9" xfId="0" applyAlignment="1" applyBorder="1" applyFont="1" applyNumberFormat="1">
      <alignment horizontal="center" readingOrder="0"/>
    </xf>
    <xf borderId="14" fillId="0" fontId="8" numFmtId="9" xfId="0" applyAlignment="1" applyBorder="1" applyFont="1" applyNumberFormat="1">
      <alignment horizontal="center" readingOrder="0"/>
    </xf>
    <xf borderId="14" fillId="0" fontId="47" numFmtId="0" xfId="0" applyAlignment="1" applyBorder="1" applyFont="1">
      <alignment readingOrder="0" shrinkToFit="0" wrapText="1"/>
    </xf>
    <xf borderId="19" fillId="0" fontId="47" numFmtId="0" xfId="0" applyAlignment="1" applyBorder="1" applyFont="1">
      <alignment readingOrder="0" shrinkToFit="0" wrapText="1"/>
    </xf>
    <xf borderId="0" fillId="0" fontId="4" numFmtId="0" xfId="0" applyAlignment="1" applyFont="1">
      <alignment horizontal="right" readingOrder="0" shrinkToFit="0" vertical="bottom" wrapText="0"/>
    </xf>
    <xf borderId="12" fillId="0" fontId="4" numFmtId="1" xfId="0" applyAlignment="1" applyBorder="1" applyFont="1" applyNumberFormat="1">
      <alignment horizontal="right" vertical="bottom"/>
    </xf>
    <xf borderId="0" fillId="0" fontId="4" numFmtId="1" xfId="0" applyAlignment="1" applyFont="1" applyNumberFormat="1">
      <alignment horizontal="right" vertical="bottom"/>
    </xf>
    <xf borderId="9" fillId="0" fontId="4" numFmtId="1" xfId="0" applyAlignment="1" applyBorder="1" applyFont="1" applyNumberFormat="1">
      <alignment horizontal="right" vertical="bottom"/>
    </xf>
    <xf borderId="0" fillId="0" fontId="4" numFmtId="1" xfId="0" applyAlignment="1" applyFont="1" applyNumberFormat="1">
      <alignment horizontal="left" shrinkToFit="0" vertical="bottom" wrapText="0"/>
    </xf>
    <xf borderId="10" fillId="0" fontId="4" numFmtId="1" xfId="0" applyAlignment="1" applyBorder="1" applyFont="1" applyNumberFormat="1">
      <alignment horizontal="left" shrinkToFit="0" vertical="bottom" wrapText="0"/>
    </xf>
    <xf borderId="0" fillId="0" fontId="47" numFmtId="0" xfId="0" applyAlignment="1" applyFont="1">
      <alignment readingOrder="0"/>
    </xf>
    <xf borderId="5" fillId="0" fontId="47" numFmtId="0" xfId="0" applyAlignment="1" applyBorder="1" applyFont="1">
      <alignment readingOrder="0"/>
    </xf>
    <xf borderId="5" fillId="0" fontId="4" numFmtId="0" xfId="0" applyAlignment="1" applyBorder="1" applyFont="1">
      <alignment horizontal="right" readingOrder="0" shrinkToFit="0" vertical="bottom" wrapText="0"/>
    </xf>
    <xf borderId="18" fillId="0" fontId="4" numFmtId="9" xfId="0" applyAlignment="1" applyBorder="1" applyFont="1" applyNumberFormat="1">
      <alignment horizontal="right" readingOrder="0" vertical="bottom"/>
    </xf>
    <xf borderId="29" fillId="0" fontId="8" numFmtId="10" xfId="0" applyAlignment="1" applyBorder="1" applyFont="1" applyNumberFormat="1">
      <alignment horizontal="center" readingOrder="0"/>
    </xf>
    <xf borderId="5" fillId="0" fontId="4" numFmtId="1" xfId="0" applyAlignment="1" applyBorder="1" applyFont="1" applyNumberFormat="1">
      <alignment horizontal="right" readingOrder="0" vertical="bottom"/>
    </xf>
    <xf borderId="16" fillId="0" fontId="4" numFmtId="1" xfId="0" applyAlignment="1" applyBorder="1" applyFont="1" applyNumberFormat="1">
      <alignment horizontal="right" vertical="bottom"/>
    </xf>
    <xf borderId="5" fillId="0" fontId="4" numFmtId="1" xfId="0" applyAlignment="1" applyBorder="1" applyFont="1" applyNumberFormat="1">
      <alignment horizontal="left" readingOrder="0" shrinkToFit="0" vertical="bottom" wrapText="0"/>
    </xf>
    <xf borderId="14" fillId="0" fontId="54" numFmtId="10" xfId="0" applyAlignment="1" applyBorder="1" applyFont="1" applyNumberFormat="1">
      <alignment horizontal="center"/>
    </xf>
    <xf borderId="15" fillId="0" fontId="8" numFmtId="10" xfId="0" applyAlignment="1" applyBorder="1" applyFont="1" applyNumberFormat="1">
      <alignment horizontal="center" readingOrder="0"/>
    </xf>
    <xf borderId="14" fillId="0" fontId="8" numFmtId="10" xfId="0" applyAlignment="1" applyBorder="1" applyFont="1" applyNumberFormat="1">
      <alignment horizontal="center" readingOrder="0"/>
    </xf>
    <xf borderId="30" fillId="0" fontId="8" numFmtId="9" xfId="0" applyAlignment="1" applyBorder="1" applyFont="1" applyNumberFormat="1">
      <alignment horizontal="center" readingOrder="0"/>
    </xf>
    <xf borderId="19" fillId="0" fontId="54" numFmtId="9" xfId="0" applyAlignment="1" applyBorder="1" applyFont="1" applyNumberFormat="1">
      <alignment horizontal="center"/>
    </xf>
    <xf borderId="20" fillId="0" fontId="8" numFmtId="9" xfId="0" applyAlignment="1" applyBorder="1" applyFont="1" applyNumberFormat="1">
      <alignment horizontal="center" readingOrder="0"/>
    </xf>
    <xf borderId="19" fillId="0" fontId="8" numFmtId="9" xfId="0" applyAlignment="1" applyBorder="1" applyFont="1" applyNumberFormat="1">
      <alignment horizontal="center" readingOrder="0" shrinkToFit="0" wrapText="1"/>
    </xf>
    <xf borderId="30" fillId="0" fontId="8" numFmtId="9" xfId="0" applyAlignment="1" applyBorder="1" applyFont="1" applyNumberFormat="1">
      <alignment horizontal="center" readingOrder="0" shrinkToFit="0" wrapText="1"/>
    </xf>
    <xf borderId="22" fillId="0" fontId="4" numFmtId="4" xfId="0" applyAlignment="1" applyBorder="1" applyFont="1" applyNumberFormat="1">
      <alignment horizontal="right" readingOrder="0"/>
    </xf>
    <xf borderId="20" fillId="0" fontId="8" numFmtId="9" xfId="0" applyAlignment="1" applyBorder="1" applyFont="1" applyNumberFormat="1">
      <alignment horizontal="center" readingOrder="0" shrinkToFit="0" wrapText="1"/>
    </xf>
    <xf borderId="28" fillId="0" fontId="4" numFmtId="0" xfId="0" applyBorder="1" applyFont="1"/>
    <xf borderId="11" fillId="0" fontId="4" numFmtId="0" xfId="0" applyAlignment="1" applyBorder="1" applyFont="1">
      <alignment horizontal="left" readingOrder="0" shrinkToFit="0" wrapText="0"/>
    </xf>
    <xf borderId="13" fillId="0" fontId="4" numFmtId="0" xfId="0" applyAlignment="1" applyBorder="1" applyFont="1">
      <alignment horizontal="left" readingOrder="0" shrinkToFit="0" wrapText="0"/>
    </xf>
    <xf borderId="26" fillId="0" fontId="4" numFmtId="9" xfId="0" applyAlignment="1" applyBorder="1" applyFont="1" applyNumberFormat="1">
      <alignment horizontal="right" readingOrder="0"/>
    </xf>
    <xf borderId="30" fillId="0" fontId="4" numFmtId="0" xfId="0" applyBorder="1" applyFont="1"/>
    <xf borderId="19" fillId="0" fontId="4" numFmtId="0" xfId="0" applyAlignment="1" applyBorder="1" applyFont="1">
      <alignment horizontal="left" readingOrder="0" shrinkToFit="0" wrapText="0"/>
    </xf>
    <xf borderId="20" fillId="0" fontId="4" numFmtId="0" xfId="0" applyAlignment="1" applyBorder="1" applyFont="1">
      <alignment horizontal="left" readingOrder="0" shrinkToFit="0" wrapText="0"/>
    </xf>
    <xf borderId="12" fillId="0" fontId="4" numFmtId="2" xfId="0" applyAlignment="1" applyBorder="1" applyFont="1" applyNumberFormat="1">
      <alignment horizontal="right" readingOrder="0"/>
    </xf>
    <xf borderId="0" fillId="0" fontId="4" numFmtId="3" xfId="0" applyAlignment="1" applyFont="1" applyNumberFormat="1">
      <alignment horizontal="right" readingOrder="0"/>
    </xf>
    <xf borderId="0" fillId="0" fontId="4" numFmtId="0" xfId="0" applyAlignment="1" applyFont="1">
      <alignment horizontal="left" readingOrder="0" shrinkToFit="0" wrapText="0"/>
    </xf>
    <xf borderId="11" fillId="0" fontId="4" numFmtId="0" xfId="0" applyAlignment="1" applyBorder="1" applyFont="1">
      <alignment readingOrder="0" shrinkToFit="0" vertical="bottom" wrapText="0"/>
    </xf>
    <xf borderId="22" fillId="0" fontId="4" numFmtId="169" xfId="0" applyAlignment="1" applyBorder="1" applyFont="1" applyNumberFormat="1">
      <alignment horizontal="right" readingOrder="0"/>
    </xf>
    <xf borderId="11" fillId="0" fontId="4" numFmtId="3" xfId="0" applyAlignment="1" applyBorder="1" applyFont="1" applyNumberFormat="1">
      <alignment horizontal="right" readingOrder="0"/>
    </xf>
    <xf borderId="11" fillId="0" fontId="4" numFmtId="0" xfId="0" applyAlignment="1" applyBorder="1" applyFont="1">
      <alignment horizontal="left" readingOrder="0" shrinkToFit="0" wrapText="0"/>
    </xf>
    <xf borderId="13" fillId="0" fontId="4" numFmtId="0" xfId="0" applyAlignment="1" applyBorder="1" applyFont="1">
      <alignment horizontal="left" shrinkToFit="0" wrapText="0"/>
    </xf>
    <xf borderId="23" fillId="0" fontId="4" numFmtId="164" xfId="0" applyAlignment="1" applyBorder="1" applyFont="1" applyNumberFormat="1">
      <alignment horizontal="right" readingOrder="0"/>
    </xf>
    <xf borderId="14" fillId="0" fontId="4" numFmtId="3" xfId="0" applyAlignment="1" applyBorder="1" applyFont="1" applyNumberFormat="1">
      <alignment horizontal="right" readingOrder="0"/>
    </xf>
    <xf borderId="29" fillId="0" fontId="4" numFmtId="0" xfId="0" applyBorder="1" applyFont="1"/>
    <xf borderId="14" fillId="0" fontId="4" numFmtId="0" xfId="0" applyAlignment="1" applyBorder="1" applyFont="1">
      <alignment horizontal="left" readingOrder="0" shrinkToFit="0" wrapText="0"/>
    </xf>
    <xf borderId="15" fillId="0" fontId="4" numFmtId="0" xfId="0" applyAlignment="1" applyBorder="1" applyFont="1">
      <alignment horizontal="left" shrinkToFit="0" wrapText="0"/>
    </xf>
    <xf borderId="26" fillId="0" fontId="4" numFmtId="164" xfId="0" applyAlignment="1" applyBorder="1" applyFont="1" applyNumberFormat="1">
      <alignment horizontal="right" readingOrder="0"/>
    </xf>
    <xf borderId="19" fillId="0" fontId="4" numFmtId="3" xfId="0" applyAlignment="1" applyBorder="1" applyFont="1" applyNumberFormat="1">
      <alignment horizontal="right" readingOrder="0"/>
    </xf>
    <xf borderId="19" fillId="0" fontId="4" numFmtId="0" xfId="0" applyAlignment="1" applyBorder="1" applyFont="1">
      <alignment horizontal="left" readingOrder="0" shrinkToFit="0" wrapText="0"/>
    </xf>
    <xf borderId="20" fillId="0" fontId="4" numFmtId="0" xfId="0" applyAlignment="1" applyBorder="1" applyFont="1">
      <alignment horizontal="left" shrinkToFit="0" wrapText="0"/>
    </xf>
    <xf borderId="0" fillId="0" fontId="54" numFmtId="0" xfId="0" applyAlignment="1" applyFont="1">
      <alignment horizontal="center"/>
    </xf>
    <xf borderId="9" fillId="0" fontId="47" numFmtId="0" xfId="0" applyAlignment="1" applyBorder="1" applyFont="1">
      <alignment horizontal="center"/>
    </xf>
    <xf borderId="0" fillId="0" fontId="55" numFmtId="0" xfId="0" applyAlignment="1" applyFont="1">
      <alignment horizontal="center"/>
    </xf>
    <xf borderId="13" fillId="0" fontId="4" numFmtId="2" xfId="0" applyAlignment="1" applyBorder="1" applyFont="1" applyNumberFormat="1">
      <alignment horizontal="right" vertical="bottom"/>
    </xf>
    <xf borderId="10" fillId="0" fontId="47" numFmtId="0" xfId="0" applyAlignment="1" applyBorder="1" applyFont="1">
      <alignment horizontal="center"/>
    </xf>
    <xf borderId="11" fillId="0" fontId="4" numFmtId="3" xfId="0" applyAlignment="1" applyBorder="1" applyFont="1" applyNumberFormat="1">
      <alignment horizontal="right" vertical="bottom"/>
    </xf>
    <xf borderId="0" fillId="0" fontId="47" numFmtId="0" xfId="0" applyAlignment="1" applyFont="1">
      <alignment horizontal="center"/>
    </xf>
    <xf borderId="13" fillId="0" fontId="4" numFmtId="3" xfId="0" applyAlignment="1" applyBorder="1" applyFont="1" applyNumberFormat="1">
      <alignment horizontal="right" vertical="bottom"/>
    </xf>
    <xf borderId="28" fillId="0" fontId="8" numFmtId="9" xfId="0" applyAlignment="1" applyBorder="1" applyFont="1" applyNumberFormat="1">
      <alignment horizontal="center" readingOrder="0"/>
    </xf>
    <xf borderId="11" fillId="0" fontId="35" numFmtId="0" xfId="0" applyAlignment="1" applyBorder="1" applyFont="1">
      <alignment vertical="bottom"/>
    </xf>
    <xf borderId="11" fillId="0" fontId="4" numFmtId="0" xfId="0" applyAlignment="1" applyBorder="1" applyFont="1">
      <alignment vertical="bottom"/>
    </xf>
    <xf borderId="11" fillId="0" fontId="54" numFmtId="9" xfId="0" applyAlignment="1" applyBorder="1" applyFont="1" applyNumberFormat="1">
      <alignment horizontal="center"/>
    </xf>
    <xf borderId="13" fillId="0" fontId="8" numFmtId="9" xfId="0" applyAlignment="1" applyBorder="1" applyFont="1" applyNumberFormat="1">
      <alignment horizontal="center" readingOrder="0"/>
    </xf>
    <xf borderId="11" fillId="0" fontId="8" numFmtId="9" xfId="0" applyAlignment="1" applyBorder="1" applyFont="1" applyNumberFormat="1">
      <alignment horizontal="center" readingOrder="0"/>
    </xf>
    <xf borderId="20" fillId="0" fontId="4" numFmtId="0" xfId="0" applyAlignment="1" applyBorder="1" applyFont="1">
      <alignment horizontal="right" vertical="bottom"/>
    </xf>
    <xf borderId="20" fillId="0" fontId="4" numFmtId="9" xfId="0" applyAlignment="1" applyBorder="1" applyFont="1" applyNumberFormat="1">
      <alignment horizontal="right" readingOrder="0" vertical="bottom"/>
    </xf>
    <xf borderId="19" fillId="0" fontId="4" numFmtId="3" xfId="0" applyAlignment="1" applyBorder="1" applyFont="1" applyNumberFormat="1">
      <alignment horizontal="right" vertical="bottom"/>
    </xf>
    <xf borderId="20" fillId="0" fontId="4" numFmtId="3" xfId="0" applyAlignment="1" applyBorder="1" applyFont="1" applyNumberFormat="1">
      <alignment horizontal="right" vertical="bottom"/>
    </xf>
    <xf borderId="19" fillId="0" fontId="35" numFmtId="0" xfId="0" applyAlignment="1" applyBorder="1" applyFont="1">
      <alignment vertical="bottom"/>
    </xf>
    <xf borderId="19" fillId="0" fontId="4" numFmtId="0" xfId="0" applyAlignment="1" applyBorder="1" applyFont="1">
      <alignment vertical="bottom"/>
    </xf>
    <xf borderId="20" fillId="0" fontId="35" numFmtId="0" xfId="0" applyAlignment="1" applyBorder="1" applyFont="1">
      <alignment vertical="bottom"/>
    </xf>
    <xf borderId="22" fillId="0" fontId="4" numFmtId="171" xfId="0" applyAlignment="1" applyBorder="1" applyFont="1" applyNumberFormat="1">
      <alignment horizontal="right" readingOrder="0"/>
    </xf>
    <xf borderId="23" fillId="0" fontId="4" numFmtId="3" xfId="0" applyAlignment="1" applyBorder="1" applyFont="1" applyNumberFormat="1">
      <alignment horizontal="right" readingOrder="0"/>
    </xf>
    <xf borderId="23" fillId="0" fontId="4" numFmtId="171" xfId="0" applyAlignment="1" applyBorder="1" applyFont="1" applyNumberFormat="1">
      <alignment horizontal="right" readingOrder="0"/>
    </xf>
    <xf borderId="14" fillId="0" fontId="56" numFmtId="0" xfId="0" applyAlignment="1" applyBorder="1" applyFont="1">
      <alignment horizontal="left" readingOrder="0" shrinkToFit="0" wrapText="0"/>
    </xf>
    <xf borderId="22" fillId="0" fontId="4" numFmtId="171" xfId="0" applyAlignment="1" applyBorder="1" applyFont="1" applyNumberFormat="1">
      <alignment horizontal="right"/>
    </xf>
    <xf borderId="11" fillId="0" fontId="57" numFmtId="0" xfId="0" applyAlignment="1" applyBorder="1" applyFont="1">
      <alignment horizontal="left" readingOrder="0" shrinkToFit="0" wrapText="0"/>
    </xf>
    <xf borderId="23" fillId="0" fontId="4" numFmtId="0" xfId="0" applyAlignment="1" applyBorder="1" applyFont="1">
      <alignment horizontal="right" readingOrder="0"/>
    </xf>
    <xf borderId="19" fillId="0" fontId="4" numFmtId="49" xfId="0" applyAlignment="1" applyBorder="1" applyFont="1" applyNumberFormat="1">
      <alignment horizontal="right" readingOrder="0" vertical="bottom"/>
    </xf>
    <xf borderId="20" fillId="0" fontId="4" numFmtId="49" xfId="0" applyAlignment="1" applyBorder="1" applyFont="1" applyNumberFormat="1">
      <alignment horizontal="right" readingOrder="0" vertical="bottom"/>
    </xf>
    <xf borderId="26" fillId="0" fontId="4" numFmtId="165" xfId="0" applyAlignment="1" applyBorder="1" applyFont="1" applyNumberFormat="1">
      <alignment horizontal="right" readingOrder="0"/>
    </xf>
    <xf borderId="41" fillId="0" fontId="47" numFmtId="10" xfId="0" applyAlignment="1" applyBorder="1" applyFont="1" applyNumberFormat="1">
      <alignment readingOrder="0"/>
    </xf>
    <xf borderId="42" fillId="0" fontId="47" numFmtId="10" xfId="0" applyAlignment="1" applyBorder="1" applyFont="1" applyNumberFormat="1">
      <alignment readingOrder="0"/>
    </xf>
    <xf borderId="6" fillId="3" fontId="4" numFmtId="0" xfId="0" applyAlignment="1" applyBorder="1" applyFill="1" applyFont="1">
      <alignment horizontal="right" vertical="bottom"/>
    </xf>
    <xf borderId="7" fillId="3" fontId="4" numFmtId="0" xfId="0" applyAlignment="1" applyBorder="1" applyFill="1" applyFont="1">
      <alignment horizontal="left" shrinkToFit="0" vertical="bottom" wrapText="0"/>
    </xf>
    <xf borderId="22" fillId="0" fontId="4" numFmtId="1" xfId="0" applyAlignment="1" applyBorder="1" applyFont="1" applyNumberFormat="1">
      <alignment horizontal="right" readingOrder="0"/>
    </xf>
    <xf borderId="28" fillId="0" fontId="4" numFmtId="0" xfId="0" applyAlignment="1" applyBorder="1" applyFont="1">
      <alignment horizontal="left" readingOrder="0" shrinkToFit="0" wrapText="0"/>
    </xf>
    <xf borderId="13" fillId="0" fontId="58" numFmtId="0" xfId="0" applyAlignment="1" applyBorder="1" applyFont="1">
      <alignment horizontal="left" readingOrder="0" shrinkToFit="0" wrapText="0"/>
    </xf>
    <xf borderId="23" fillId="0" fontId="4" numFmtId="1" xfId="0" applyAlignment="1" applyBorder="1" applyFont="1" applyNumberFormat="1">
      <alignment horizontal="right" readingOrder="0"/>
    </xf>
    <xf borderId="29" fillId="0" fontId="4" numFmtId="0" xfId="0" applyAlignment="1" applyBorder="1" applyFont="1">
      <alignment horizontal="left" readingOrder="0" shrinkToFit="0" wrapText="0"/>
    </xf>
    <xf borderId="22" fillId="0" fontId="4" numFmtId="168" xfId="0" applyAlignment="1" applyBorder="1" applyFont="1" applyNumberFormat="1">
      <alignment horizontal="right" readingOrder="0"/>
    </xf>
    <xf borderId="26" fillId="0" fontId="4" numFmtId="168" xfId="0" applyAlignment="1" applyBorder="1" applyFont="1" applyNumberFormat="1">
      <alignment horizontal="right" readingOrder="0"/>
    </xf>
    <xf borderId="19" fillId="0" fontId="8" numFmtId="9" xfId="0" applyAlignment="1" applyBorder="1" applyFont="1" applyNumberFormat="1">
      <alignment horizontal="center" readingOrder="0"/>
    </xf>
    <xf borderId="17" fillId="0" fontId="59" numFmtId="0" xfId="0" applyAlignment="1" applyBorder="1" applyFont="1">
      <alignment horizontal="left" readingOrder="0" shrinkToFit="0" wrapText="0"/>
    </xf>
    <xf borderId="12" fillId="0" fontId="4" numFmtId="168" xfId="0" applyAlignment="1" applyBorder="1" applyFont="1" applyNumberFormat="1">
      <alignment horizontal="right" readingOrder="0"/>
    </xf>
    <xf borderId="0" fillId="0" fontId="4" numFmtId="168" xfId="0" applyAlignment="1" applyFont="1" applyNumberFormat="1">
      <alignment horizontal="right" readingOrder="0"/>
    </xf>
    <xf borderId="10" fillId="0" fontId="60" numFmtId="0" xfId="0" applyAlignment="1" applyBorder="1" applyFont="1">
      <alignment horizontal="left" readingOrder="0" shrinkToFit="0" wrapText="0"/>
    </xf>
    <xf borderId="12" fillId="0" fontId="4" numFmtId="165" xfId="0" applyAlignment="1" applyBorder="1" applyFont="1" applyNumberFormat="1">
      <alignment horizontal="right" readingOrder="0"/>
    </xf>
    <xf borderId="18" fillId="0" fontId="4" numFmtId="172" xfId="0" applyAlignment="1" applyBorder="1" applyFont="1" applyNumberFormat="1">
      <alignment horizontal="right" readingOrder="0"/>
    </xf>
    <xf borderId="5" fillId="0" fontId="4" numFmtId="168" xfId="0" applyAlignment="1" applyBorder="1" applyFont="1" applyNumberFormat="1">
      <alignment horizontal="right" readingOrder="0"/>
    </xf>
    <xf borderId="17" fillId="0" fontId="61" numFmtId="0" xfId="0" applyAlignment="1" applyBorder="1" applyFont="1">
      <alignment horizontal="left" readingOrder="0" shrinkToFit="0" wrapText="0"/>
    </xf>
    <xf borderId="22" fillId="0" fontId="4" numFmtId="9" xfId="0" applyAlignment="1" applyBorder="1" applyFont="1" applyNumberFormat="1">
      <alignment horizontal="right" readingOrder="0"/>
    </xf>
    <xf borderId="11" fillId="0" fontId="4" numFmtId="9" xfId="0" applyAlignment="1" applyBorder="1" applyFont="1" applyNumberFormat="1">
      <alignment horizontal="right" readingOrder="0"/>
    </xf>
    <xf borderId="11" fillId="0" fontId="4" numFmtId="0" xfId="0" applyAlignment="1" applyBorder="1" applyFont="1">
      <alignment horizontal="left" shrinkToFit="0" wrapText="0"/>
    </xf>
    <xf borderId="13" fillId="0" fontId="4" numFmtId="0" xfId="0" applyAlignment="1" applyBorder="1" applyFont="1">
      <alignment readingOrder="0"/>
    </xf>
    <xf borderId="23" fillId="0" fontId="4" numFmtId="9" xfId="0" applyAlignment="1" applyBorder="1" applyFont="1" applyNumberFormat="1">
      <alignment horizontal="right" readingOrder="0"/>
    </xf>
    <xf borderId="14" fillId="0" fontId="4" numFmtId="9" xfId="0" applyAlignment="1" applyBorder="1" applyFont="1" applyNumberFormat="1">
      <alignment horizontal="right" readingOrder="0"/>
    </xf>
    <xf borderId="15" fillId="0" fontId="4" numFmtId="0" xfId="0" applyAlignment="1" applyBorder="1" applyFont="1">
      <alignment horizontal="left" readingOrder="0" shrinkToFit="0" wrapText="0"/>
    </xf>
    <xf borderId="23" fillId="0" fontId="4" numFmtId="9" xfId="0" applyAlignment="1" applyBorder="1" applyFont="1" applyNumberFormat="1">
      <alignment horizontal="right"/>
    </xf>
    <xf borderId="14" fillId="0" fontId="4" numFmtId="9" xfId="0" applyAlignment="1" applyBorder="1" applyFont="1" applyNumberFormat="1">
      <alignment horizontal="right"/>
    </xf>
    <xf borderId="14" fillId="0" fontId="4" numFmtId="0" xfId="0" applyAlignment="1" applyBorder="1" applyFont="1">
      <alignment horizontal="left" shrinkToFit="0" wrapText="0"/>
    </xf>
    <xf borderId="20" fillId="0" fontId="4" numFmtId="0" xfId="0" applyAlignment="1" applyBorder="1" applyFont="1">
      <alignment horizontal="left" readingOrder="0" shrinkToFit="0" wrapText="0"/>
    </xf>
    <xf borderId="0" fillId="0" fontId="4" numFmtId="169" xfId="0" applyAlignment="1" applyFont="1" applyNumberFormat="1">
      <alignment horizontal="right"/>
    </xf>
    <xf borderId="13" fillId="0" fontId="62" numFmtId="0" xfId="0" applyAlignment="1" applyBorder="1" applyFont="1">
      <alignment horizontal="left" readingOrder="0" shrinkToFit="0" wrapText="0"/>
    </xf>
    <xf borderId="18" fillId="0" fontId="4" numFmtId="9" xfId="0" applyAlignment="1" applyBorder="1" applyFont="1" applyNumberFormat="1">
      <alignment horizontal="right" readingOrder="0"/>
    </xf>
    <xf borderId="5" fillId="0" fontId="4" numFmtId="9" xfId="0" applyAlignment="1" applyBorder="1" applyFont="1" applyNumberFormat="1">
      <alignment horizontal="right" readingOrder="0"/>
    </xf>
    <xf borderId="17" fillId="0" fontId="63" numFmtId="0" xfId="0" applyAlignment="1" applyBorder="1" applyFont="1">
      <alignment horizontal="left" readingOrder="0" shrinkToFit="0" wrapText="0"/>
    </xf>
    <xf borderId="9" fillId="0" fontId="47" numFmtId="0" xfId="0" applyBorder="1" applyFont="1"/>
    <xf borderId="0" fillId="0" fontId="47" numFmtId="0" xfId="0" applyAlignment="1" applyFont="1">
      <alignment shrinkToFit="0" wrapText="1"/>
    </xf>
    <xf borderId="0" fillId="0" fontId="47" numFmtId="0" xfId="0" applyAlignment="1" applyFont="1">
      <alignment horizontal="right"/>
    </xf>
    <xf borderId="12" fillId="0" fontId="47" numFmtId="0" xfId="0" applyBorder="1" applyFont="1"/>
    <xf borderId="22" fillId="0" fontId="4" numFmtId="166" xfId="0" applyAlignment="1" applyBorder="1" applyFont="1" applyNumberFormat="1">
      <alignment horizontal="right" readingOrder="0"/>
    </xf>
    <xf borderId="26" fillId="0" fontId="4" numFmtId="166" xfId="0" applyAlignment="1" applyBorder="1" applyFont="1" applyNumberFormat="1">
      <alignment horizontal="right" readingOrder="0"/>
    </xf>
    <xf borderId="18" fillId="0" fontId="4" numFmtId="0" xfId="0" applyAlignment="1" applyBorder="1" applyFont="1">
      <alignment horizontal="right" readingOrder="0"/>
    </xf>
    <xf borderId="17" fillId="0" fontId="4" numFmtId="0" xfId="0" applyAlignment="1" applyBorder="1" applyFont="1">
      <alignment horizontal="left" readingOrder="0" shrinkToFit="0" wrapText="0"/>
    </xf>
    <xf borderId="11" fillId="0" fontId="4" numFmtId="0" xfId="0" applyAlignment="1" applyBorder="1" applyFont="1">
      <alignment readingOrder="0" shrinkToFit="0" wrapText="1"/>
    </xf>
    <xf borderId="9" fillId="0" fontId="8" numFmtId="0" xfId="0" applyAlignment="1" applyBorder="1" applyFont="1">
      <alignment horizontal="center" vertical="bottom"/>
    </xf>
    <xf borderId="11" fillId="0" fontId="4" numFmtId="0" xfId="0" applyAlignment="1" applyBorder="1" applyFont="1">
      <alignment horizontal="left" readingOrder="0" shrinkToFit="0" wrapText="0"/>
    </xf>
    <xf borderId="0" fillId="0" fontId="8" numFmtId="0" xfId="0" applyAlignment="1" applyFont="1">
      <alignment horizontal="center" vertical="bottom"/>
    </xf>
    <xf borderId="10" fillId="0" fontId="8" numFmtId="0" xfId="0" applyAlignment="1" applyBorder="1" applyFont="1">
      <alignment horizontal="center" vertical="bottom"/>
    </xf>
    <xf borderId="19" fillId="0" fontId="4" numFmtId="0" xfId="0" applyAlignment="1" applyBorder="1" applyFont="1">
      <alignment readingOrder="0" shrinkToFit="0" wrapText="1"/>
    </xf>
    <xf borderId="10" fillId="0" fontId="8" numFmtId="0" xfId="0" applyAlignment="1" applyBorder="1" applyFont="1">
      <alignment horizontal="right" vertical="bottom"/>
    </xf>
    <xf borderId="6" fillId="3" fontId="8" numFmtId="169" xfId="0" applyAlignment="1" applyBorder="1" applyFill="1" applyFont="1" applyNumberFormat="1">
      <alignment horizontal="center"/>
    </xf>
    <xf borderId="7" fillId="3" fontId="8" numFmtId="169" xfId="0" applyAlignment="1" applyBorder="1" applyFill="1" applyFont="1" applyNumberFormat="1">
      <alignment horizontal="center"/>
    </xf>
    <xf borderId="12" fillId="0" fontId="4" numFmtId="168" xfId="0" applyAlignment="1" applyBorder="1" applyFont="1" applyNumberFormat="1">
      <alignment horizontal="right"/>
    </xf>
    <xf borderId="8" fillId="3" fontId="8" numFmtId="169" xfId="0" applyAlignment="1" applyBorder="1" applyFill="1" applyFont="1" applyNumberFormat="1">
      <alignment horizontal="center"/>
    </xf>
    <xf borderId="8" fillId="3" fontId="4" numFmtId="0" xfId="0" applyAlignment="1" applyBorder="1" applyFill="1" applyFont="1">
      <alignment shrinkToFit="0" wrapText="1"/>
    </xf>
    <xf borderId="22" fillId="0" fontId="4" numFmtId="172" xfId="0" applyAlignment="1" applyBorder="1" applyFont="1" applyNumberFormat="1">
      <alignment horizontal="right" readingOrder="0"/>
    </xf>
    <xf borderId="5" fillId="0" fontId="4" numFmtId="172" xfId="0" applyAlignment="1" applyBorder="1" applyFont="1" applyNumberFormat="1">
      <alignment horizontal="right" readingOrder="0"/>
    </xf>
    <xf borderId="28" fillId="0" fontId="8" numFmtId="164" xfId="0" applyAlignment="1" applyBorder="1" applyFont="1" applyNumberFormat="1">
      <alignment horizontal="center"/>
    </xf>
    <xf borderId="11" fillId="0" fontId="54" numFmtId="164" xfId="0" applyAlignment="1" applyBorder="1" applyFont="1" applyNumberFormat="1">
      <alignment horizontal="center" readingOrder="0"/>
    </xf>
    <xf borderId="17" fillId="0" fontId="64" numFmtId="0" xfId="0" applyAlignment="1" applyBorder="1" applyFont="1">
      <alignment readingOrder="0"/>
    </xf>
    <xf borderId="13" fillId="0" fontId="8" numFmtId="164" xfId="0" applyAlignment="1" applyBorder="1" applyFont="1" applyNumberFormat="1">
      <alignment horizontal="center"/>
    </xf>
    <xf borderId="18" fillId="0" fontId="4" numFmtId="9" xfId="0" applyAlignment="1" applyBorder="1" applyFont="1" applyNumberFormat="1">
      <alignment horizontal="right"/>
    </xf>
    <xf borderId="11" fillId="0" fontId="8" numFmtId="164" xfId="0" applyAlignment="1" applyBorder="1" applyFont="1" applyNumberFormat="1">
      <alignment horizontal="center"/>
    </xf>
    <xf borderId="5" fillId="0" fontId="4" numFmtId="0" xfId="0" applyAlignment="1" applyBorder="1" applyFont="1">
      <alignment horizontal="left" shrinkToFit="0" wrapText="0"/>
    </xf>
    <xf borderId="17" fillId="0" fontId="4" numFmtId="0" xfId="0" applyAlignment="1" applyBorder="1" applyFont="1">
      <alignment horizontal="left" shrinkToFit="0" wrapText="0"/>
    </xf>
    <xf borderId="13" fillId="0" fontId="4" numFmtId="4" xfId="0" applyAlignment="1" applyBorder="1" applyFont="1" applyNumberFormat="1">
      <alignment shrinkToFit="0" wrapText="1"/>
    </xf>
    <xf borderId="29" fillId="0" fontId="8" numFmtId="164" xfId="0" applyAlignment="1" applyBorder="1" applyFont="1" applyNumberFormat="1">
      <alignment horizontal="center"/>
    </xf>
    <xf borderId="14" fillId="0" fontId="54" numFmtId="164" xfId="0" applyAlignment="1" applyBorder="1" applyFont="1" applyNumberFormat="1">
      <alignment horizontal="center" readingOrder="0"/>
    </xf>
    <xf borderId="40" fillId="3" fontId="35" numFmtId="0" xfId="0" applyAlignment="1" applyBorder="1" applyFill="1" applyFont="1">
      <alignment readingOrder="0" vertical="bottom"/>
    </xf>
    <xf borderId="15" fillId="0" fontId="8" numFmtId="164" xfId="0" applyAlignment="1" applyBorder="1" applyFont="1" applyNumberFormat="1">
      <alignment horizontal="center"/>
    </xf>
    <xf borderId="41" fillId="3" fontId="35" numFmtId="0" xfId="0" applyAlignment="1" applyBorder="1" applyFill="1" applyFont="1">
      <alignment readingOrder="0" vertical="bottom"/>
    </xf>
    <xf borderId="41" fillId="3" fontId="35" numFmtId="0" xfId="0" applyAlignment="1" applyBorder="1" applyFill="1" applyFont="1">
      <alignment horizontal="left" readingOrder="0" vertical="bottom"/>
    </xf>
    <xf borderId="14" fillId="0" fontId="8" numFmtId="164" xfId="0" applyAlignment="1" applyBorder="1" applyFont="1" applyNumberFormat="1">
      <alignment horizontal="center"/>
    </xf>
    <xf borderId="41" fillId="3" fontId="35" numFmtId="3" xfId="0" applyAlignment="1" applyBorder="1" applyFill="1" applyFont="1" applyNumberFormat="1">
      <alignment horizontal="right" readingOrder="0" vertical="bottom"/>
    </xf>
    <xf borderId="42" fillId="3" fontId="35" numFmtId="3" xfId="0" applyAlignment="1" applyBorder="1" applyFill="1" applyFont="1" applyNumberFormat="1">
      <alignment horizontal="right" readingOrder="0" vertical="bottom"/>
    </xf>
    <xf borderId="0" fillId="0" fontId="47" numFmtId="0" xfId="0" applyAlignment="1" applyFont="1">
      <alignment readingOrder="0"/>
    </xf>
    <xf borderId="0" fillId="0" fontId="47" numFmtId="0" xfId="0" applyAlignment="1" applyFont="1">
      <alignment horizontal="left" readingOrder="0"/>
    </xf>
    <xf borderId="15" fillId="0" fontId="4" numFmtId="4" xfId="0" applyAlignment="1" applyBorder="1" applyFont="1" applyNumberFormat="1">
      <alignment shrinkToFit="0" wrapText="1"/>
    </xf>
    <xf borderId="30" fillId="0" fontId="8" numFmtId="164" xfId="0" applyAlignment="1" applyBorder="1" applyFont="1" applyNumberFormat="1">
      <alignment horizontal="center"/>
    </xf>
    <xf borderId="19" fillId="0" fontId="54" numFmtId="164" xfId="0" applyAlignment="1" applyBorder="1" applyFont="1" applyNumberFormat="1">
      <alignment horizontal="center" readingOrder="0"/>
    </xf>
    <xf borderId="20" fillId="0" fontId="8" numFmtId="164" xfId="0" applyAlignment="1" applyBorder="1" applyFont="1" applyNumberFormat="1">
      <alignment horizontal="center"/>
    </xf>
    <xf borderId="19" fillId="0" fontId="8" numFmtId="164" xfId="0" applyAlignment="1" applyBorder="1" applyFont="1" applyNumberFormat="1">
      <alignment horizontal="center" shrinkToFit="0" wrapText="1"/>
    </xf>
    <xf borderId="30" fillId="0" fontId="8" numFmtId="164" xfId="0" applyAlignment="1" applyBorder="1" applyFont="1" applyNumberFormat="1">
      <alignment horizontal="center" shrinkToFit="0" wrapText="1"/>
    </xf>
    <xf borderId="20" fillId="0" fontId="8" numFmtId="164" xfId="0" applyAlignment="1" applyBorder="1" applyFont="1" applyNumberFormat="1">
      <alignment horizontal="center" shrinkToFit="0" wrapText="1"/>
    </xf>
    <xf borderId="20" fillId="0" fontId="4" numFmtId="4" xfId="0" applyAlignment="1" applyBorder="1" applyFont="1" applyNumberFormat="1">
      <alignment shrinkToFit="0" wrapText="1"/>
    </xf>
    <xf borderId="9" fillId="0" fontId="8" numFmtId="164" xfId="0" applyAlignment="1" applyBorder="1" applyFont="1" applyNumberFormat="1">
      <alignment horizontal="center"/>
    </xf>
    <xf borderId="0" fillId="0" fontId="54" numFmtId="164" xfId="0" applyAlignment="1" applyFont="1" applyNumberFormat="1">
      <alignment horizontal="center"/>
    </xf>
    <xf borderId="10" fillId="0" fontId="8" numFmtId="164" xfId="0" applyAlignment="1" applyBorder="1" applyFont="1" applyNumberFormat="1">
      <alignment horizontal="center"/>
    </xf>
    <xf borderId="0" fillId="0" fontId="8" numFmtId="164" xfId="0" applyAlignment="1" applyFont="1" applyNumberFormat="1">
      <alignment horizontal="center"/>
    </xf>
    <xf borderId="10" fillId="0" fontId="4" numFmtId="4" xfId="0" applyAlignment="1" applyBorder="1" applyFont="1" applyNumberFormat="1">
      <alignment shrinkToFit="0" wrapText="1"/>
    </xf>
    <xf borderId="9" fillId="0" fontId="47" numFmtId="164" xfId="0" applyAlignment="1" applyBorder="1" applyFont="1" applyNumberFormat="1">
      <alignment horizontal="center"/>
    </xf>
    <xf borderId="0" fillId="0" fontId="55" numFmtId="164" xfId="0" applyAlignment="1" applyFont="1" applyNumberFormat="1">
      <alignment horizontal="center"/>
    </xf>
    <xf borderId="10" fillId="0" fontId="47" numFmtId="164" xfId="0" applyAlignment="1" applyBorder="1" applyFont="1" applyNumberFormat="1">
      <alignment horizontal="center"/>
    </xf>
    <xf borderId="0" fillId="0" fontId="47" numFmtId="164" xfId="0" applyAlignment="1" applyFont="1" applyNumberFormat="1">
      <alignment horizontal="center"/>
    </xf>
    <xf borderId="19" fillId="0" fontId="8" numFmtId="164" xfId="0" applyAlignment="1" applyBorder="1" applyFont="1" applyNumberFormat="1">
      <alignment horizontal="center"/>
    </xf>
    <xf borderId="0" fillId="0" fontId="8" numFmtId="164" xfId="0" applyAlignment="1" applyFont="1" applyNumberFormat="1">
      <alignment horizontal="center" shrinkToFit="0" wrapText="1"/>
    </xf>
    <xf borderId="9" fillId="0" fontId="8" numFmtId="164" xfId="0" applyAlignment="1" applyBorder="1" applyFont="1" applyNumberFormat="1">
      <alignment horizontal="center" shrinkToFit="0" wrapText="1"/>
    </xf>
    <xf borderId="10" fillId="0" fontId="8" numFmtId="164" xfId="0" applyAlignment="1" applyBorder="1" applyFont="1" applyNumberFormat="1">
      <alignment horizontal="center" shrinkToFit="0" wrapText="1"/>
    </xf>
    <xf borderId="28" fillId="0" fontId="8" numFmtId="9" xfId="0" applyAlignment="1" applyBorder="1" applyFont="1" applyNumberFormat="1">
      <alignment horizontal="center"/>
    </xf>
    <xf borderId="13" fillId="0" fontId="8" numFmtId="9" xfId="0" applyAlignment="1" applyBorder="1" applyFont="1" applyNumberFormat="1">
      <alignment horizontal="center"/>
    </xf>
    <xf borderId="29" fillId="0" fontId="8" numFmtId="9" xfId="0" applyAlignment="1" applyBorder="1" applyFont="1" applyNumberFormat="1">
      <alignment horizontal="center"/>
    </xf>
    <xf borderId="15" fillId="0" fontId="8" numFmtId="9" xfId="0" applyAlignment="1" applyBorder="1" applyFont="1" applyNumberFormat="1">
      <alignment horizontal="center"/>
    </xf>
    <xf borderId="30" fillId="0" fontId="8" numFmtId="9" xfId="0" applyAlignment="1" applyBorder="1" applyFont="1" applyNumberFormat="1">
      <alignment horizontal="center"/>
    </xf>
    <xf borderId="20" fillId="0" fontId="8" numFmtId="9" xfId="0" applyAlignment="1" applyBorder="1" applyFont="1" applyNumberFormat="1">
      <alignment horizontal="center"/>
    </xf>
    <xf borderId="11" fillId="0" fontId="54" numFmtId="0" xfId="0" applyAlignment="1" applyBorder="1" applyFont="1">
      <alignment horizontal="center" readingOrder="0"/>
    </xf>
    <xf borderId="14" fillId="0" fontId="54" numFmtId="0" xfId="0" applyAlignment="1" applyBorder="1" applyFont="1">
      <alignment horizontal="center" readingOrder="0"/>
    </xf>
    <xf borderId="19" fillId="0" fontId="54" numFmtId="0" xfId="0" applyAlignment="1" applyBorder="1" applyFont="1">
      <alignment horizontal="center" readingOrder="0"/>
    </xf>
    <xf borderId="14" fillId="0" fontId="54" numFmtId="9" xfId="0" applyAlignment="1" applyBorder="1" applyFont="1" applyNumberFormat="1">
      <alignment horizontal="center" readingOrder="0"/>
    </xf>
    <xf borderId="9" fillId="0" fontId="8" numFmtId="9" xfId="0" applyAlignment="1" applyBorder="1" applyFont="1" applyNumberFormat="1">
      <alignment horizontal="center"/>
    </xf>
    <xf borderId="0" fillId="0" fontId="54" numFmtId="9" xfId="0" applyAlignment="1" applyFont="1" applyNumberFormat="1">
      <alignment horizontal="center"/>
    </xf>
    <xf borderId="10" fillId="0" fontId="8" numFmtId="9" xfId="0" applyAlignment="1" applyBorder="1" applyFont="1" applyNumberFormat="1">
      <alignment horizontal="center"/>
    </xf>
    <xf borderId="0" fillId="0" fontId="55" numFmtId="169" xfId="0" applyAlignment="1" applyFont="1" applyNumberFormat="1">
      <alignment horizontal="center"/>
    </xf>
    <xf borderId="19" fillId="0" fontId="54" numFmtId="9" xfId="0" applyAlignment="1" applyBorder="1" applyFont="1" applyNumberFormat="1">
      <alignment horizontal="center" readingOrder="0"/>
    </xf>
    <xf borderId="16" fillId="0" fontId="35" numFmtId="0" xfId="0" applyAlignment="1" applyBorder="1" applyFont="1">
      <alignment vertical="bottom"/>
    </xf>
    <xf borderId="5" fillId="0" fontId="35" numFmtId="0" xfId="0" applyAlignment="1" applyBorder="1" applyFont="1">
      <alignment vertical="bottom"/>
    </xf>
    <xf borderId="17" fillId="0" fontId="35" numFmtId="0" xfId="0" applyAlignment="1" applyBorder="1" applyFont="1">
      <alignment vertical="bottom"/>
    </xf>
    <xf borderId="6" fillId="3" fontId="1" numFmtId="0" xfId="0" applyAlignment="1" applyBorder="1" applyFill="1" applyFont="1">
      <alignment readingOrder="0" shrinkToFit="0" vertical="bottom" wrapText="1"/>
    </xf>
    <xf borderId="16" fillId="3" fontId="35" numFmtId="0" xfId="0" applyAlignment="1" applyBorder="1" applyFill="1" applyFont="1">
      <alignment vertical="bottom"/>
    </xf>
    <xf borderId="5" fillId="3" fontId="35" numFmtId="0" xfId="0" applyAlignment="1" applyBorder="1" applyFill="1" applyFont="1">
      <alignment vertical="bottom"/>
    </xf>
    <xf borderId="9" fillId="0" fontId="35" numFmtId="3" xfId="0" applyAlignment="1" applyBorder="1" applyFont="1" applyNumberFormat="1">
      <alignment vertical="bottom"/>
    </xf>
    <xf borderId="0" fillId="0" fontId="35" numFmtId="3" xfId="0" applyAlignment="1" applyFont="1" applyNumberFormat="1">
      <alignment vertical="bottom"/>
    </xf>
    <xf borderId="10" fillId="0" fontId="35" numFmtId="3" xfId="0" applyAlignment="1" applyBorder="1" applyFont="1" applyNumberFormat="1">
      <alignment vertical="bottom"/>
    </xf>
    <xf borderId="16" fillId="0" fontId="8" numFmtId="0" xfId="0" applyAlignment="1" applyBorder="1" applyFont="1">
      <alignment horizontal="center"/>
    </xf>
    <xf borderId="5" fillId="0" fontId="8" numFmtId="0" xfId="0" applyAlignment="1" applyBorder="1" applyFont="1">
      <alignment horizontal="center"/>
    </xf>
    <xf borderId="17" fillId="0" fontId="8" numFmtId="0" xfId="0" applyAlignment="1" applyBorder="1" applyFont="1">
      <alignment horizontal="center"/>
    </xf>
    <xf borderId="5" fillId="0" fontId="8" numFmtId="0" xfId="0" applyAlignment="1" applyBorder="1" applyFont="1">
      <alignment horizontal="center" shrinkToFit="0" wrapText="1"/>
    </xf>
    <xf borderId="16" fillId="0" fontId="8" numFmtId="0" xfId="0" applyAlignment="1" applyBorder="1" applyFont="1">
      <alignment horizontal="center" shrinkToFit="0" wrapText="1"/>
    </xf>
    <xf borderId="17" fillId="0" fontId="8" numFmtId="0" xfId="0" applyAlignment="1" applyBorder="1" applyFont="1">
      <alignment horizontal="center" shrinkToFit="0" wrapText="1"/>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3">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3:I1371" displayName="Table_1" name="Table_1" id="1">
  <tableColumns count="8">
    <tableColumn name="Location" id="1"/>
    <tableColumn name="Sex" id="2"/>
    <tableColumn name="Age" id="3"/>
    <tableColumn name="Cause" id="4"/>
    <tableColumn name="Year" id="5"/>
    <tableColumn name="Value" id="6"/>
    <tableColumn name="Lower" id="7"/>
    <tableColumn name="Upper" id="8"/>
  </tableColumns>
  <tableStyleInfo name="GBD estimates-style" showColumnStripes="0" showFirstColumn="1" showLastColumn="1" showRowStripes="1"/>
</table>
</file>

<file path=xl/tables/table2.xml><?xml version="1.0" encoding="utf-8"?>
<table xmlns="http://schemas.openxmlformats.org/spreadsheetml/2006/main" ref="K3:T1713" displayName="Table_2" name="Table_2" id="2">
  <tableColumns count="10">
    <tableColumn name="Location" id="1"/>
    <tableColumn name="rei_name" id="2"/>
    <tableColumn name="Sex" id="3"/>
    <tableColumn name="Age" id="4"/>
    <tableColumn name="Year" id="5"/>
    <tableColumn name="Measure" id="6"/>
    <tableColumn name="Metric" id="7"/>
    <tableColumn name="Value" id="8"/>
    <tableColumn name="Lower" id="9"/>
    <tableColumn name="Upper" id="10"/>
  </tableColumns>
  <tableStyleInfo name="GBD estimates-style 2" showColumnStripes="0" showFirstColumn="1" showLastColumn="1" showRowStripes="1"/>
</table>
</file>

<file path=xl/tables/table3.xml><?xml version="1.0" encoding="utf-8"?>
<table xmlns="http://schemas.openxmlformats.org/spreadsheetml/2006/main" ref="V3:AE193" displayName="Table_3" name="Table_3" id="3">
  <tableColumns count="10">
    <tableColumn name="Location" id="1"/>
    <tableColumn name="rei_name" id="2"/>
    <tableColumn name="Sex" id="3"/>
    <tableColumn name="Age" id="4"/>
    <tableColumn name="Year" id="5"/>
    <tableColumn name="Measure" id="6"/>
    <tableColumn name="Metric" id="7"/>
    <tableColumn name="Value" id="8"/>
    <tableColumn name="Lower" id="9"/>
    <tableColumn name="Upper" id="10"/>
  </tableColumns>
  <tableStyleInfo name="GBD estimate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S4CbCiKEmAiIPkWOUFbc0NqtjQOCTY1mxUeuqDlfhZ8/edit?usp=sharing" TargetMode="External"/><Relationship Id="rId2" Type="http://schemas.openxmlformats.org/officeDocument/2006/relationships/hyperlink" Target="https://docs.google.com/spreadsheets/d/19L_WlsGaLBDh2i0kgq8lCI3aAKx8XZ9fD4DO5ux_lW0/edit" TargetMode="External"/><Relationship Id="rId3" Type="http://schemas.openxmlformats.org/officeDocument/2006/relationships/hyperlink" Target="https://docs.google.com/spreadsheets/d/1Xy0Zi8Uh7-AnIVLvYDG8u6w7KAyAcQDwRB4CmPaVlLA/edit?usp=sharing" TargetMode="External"/><Relationship Id="rId4" Type="http://schemas.openxmlformats.org/officeDocument/2006/relationships/hyperlink" Target="https://docs.google.com/spreadsheets/d/1iUse7-6N09NVZrYCo5kGQkosN9Lt83ursa4w99T4Zyo/edit?usp=sharing" TargetMode="External"/><Relationship Id="rId11" Type="http://schemas.openxmlformats.org/officeDocument/2006/relationships/drawing" Target="../drawings/drawing1.xml"/><Relationship Id="rId10" Type="http://schemas.openxmlformats.org/officeDocument/2006/relationships/hyperlink" Target="https://docs.google.com/spreadsheets/d/1W-_XtJPo2OYKyCdJ2Iyih_n2nCcQC5WSpEKNzfC2cwo/edit?usp=sharing" TargetMode="External"/><Relationship Id="rId9" Type="http://schemas.openxmlformats.org/officeDocument/2006/relationships/hyperlink" Target="https://docs.google.com/spreadsheets/d/1zl2r2tHhzkWBSTZJwfinBWaEBnfBn5EsKAIK_gsDMmg/edit?usp=sharing" TargetMode="External"/><Relationship Id="rId5" Type="http://schemas.openxmlformats.org/officeDocument/2006/relationships/hyperlink" Target="https://docs.google.com/spreadsheets/d/1MVdzE0YUiv8XOUHzfqfcHyiXmWZmoSGWrJsOpQ7MUd0/edit?usp=sharing" TargetMode="External"/><Relationship Id="rId6" Type="http://schemas.openxmlformats.org/officeDocument/2006/relationships/hyperlink" Target="https://docs.google.com/spreadsheets/d/1GAcGQSyBQxcB6oGJFGGWCYqwY-jW7oahJJK-cTZOkMc/edit" TargetMode="External"/><Relationship Id="rId7" Type="http://schemas.openxmlformats.org/officeDocument/2006/relationships/hyperlink" Target="https://docs.google.com/spreadsheets/d/1YgMgML21RLKFHb0QlHphR-KwfJiukMdlIJ7Oub_TyQE/edit?usp=sharing" TargetMode="External"/><Relationship Id="rId8" Type="http://schemas.openxmlformats.org/officeDocument/2006/relationships/hyperlink" Target="https://docs.google.com/spreadsheets/d/1ZWoQhJwsSkM01rvnDPrKd0wSG7aayK5RMiHdNAAKoL4/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40" Type="http://schemas.openxmlformats.org/officeDocument/2006/relationships/hyperlink" Target="https://files.givewell.org/files/DWDA%202009/NewIncentives/New_Incentives_State_Estimates_20230515.xlsx" TargetMode="External"/><Relationship Id="rId84" Type="http://schemas.openxmlformats.org/officeDocument/2006/relationships/hyperlink" Target="https://docs.google.com/spreadsheets/d/1YgMgML21RLKFHb0QlHphR-KwfJiukMdlIJ7Oub_TyQE/edit" TargetMode="External"/><Relationship Id="rId83" Type="http://schemas.openxmlformats.org/officeDocument/2006/relationships/hyperlink" Target="https://docs.google.com/spreadsheets/d/1YgMgML21RLKFHb0QlHphR-KwfJiukMdlIJ7Oub_TyQE/edit" TargetMode="External"/><Relationship Id="rId42" Type="http://schemas.openxmlformats.org/officeDocument/2006/relationships/hyperlink" Target="https://files.givewell.org/files/DWDA%202009/NewIncentives/New_Incentives_State_Estimates_20230515.xlsx" TargetMode="External"/><Relationship Id="rId86" Type="http://schemas.openxmlformats.org/officeDocument/2006/relationships/hyperlink" Target="https://docs.google.com/spreadsheets/d/1bX-KY6EScTdCgQDHkcP1keuCJeQzQINGz9Brg5mjGBw/edit" TargetMode="External"/><Relationship Id="rId41" Type="http://schemas.openxmlformats.org/officeDocument/2006/relationships/hyperlink" Target="https://files.givewell.org/files/DWDA%202009/NewIncentives/New_Incentives_State_Estimates_20230515.xlsx" TargetMode="External"/><Relationship Id="rId85" Type="http://schemas.openxmlformats.org/officeDocument/2006/relationships/hyperlink" Target="https://docs.google.com/spreadsheets/d/1YgMgML21RLKFHb0QlHphR-KwfJiukMdlIJ7Oub_TyQE/edit" TargetMode="External"/><Relationship Id="rId44" Type="http://schemas.openxmlformats.org/officeDocument/2006/relationships/hyperlink" Target="https://files.givewell.org/files/DWDA%202009/NewIncentives/New_Incentives_State_Estimates_20230515.xlsx" TargetMode="External"/><Relationship Id="rId88" Type="http://schemas.openxmlformats.org/officeDocument/2006/relationships/hyperlink" Target="https://docs.google.com/spreadsheets/d/1zl2r2tHhzkWBSTZJwfinBWaEBnfBn5EsKAIK_gsDMmg/edit?usp=sharing" TargetMode="External"/><Relationship Id="rId43" Type="http://schemas.openxmlformats.org/officeDocument/2006/relationships/hyperlink" Target="https://files.givewell.org/files/DWDA%202009/NewIncentives/New_Incentives_State_Estimates_20230515.xlsx" TargetMode="External"/><Relationship Id="rId87" Type="http://schemas.openxmlformats.org/officeDocument/2006/relationships/hyperlink" Target="https://docs.google.com/spreadsheets/d/1bX-KY6EScTdCgQDHkcP1keuCJeQzQINGz9Brg5mjGBw/edit" TargetMode="External"/><Relationship Id="rId46" Type="http://schemas.openxmlformats.org/officeDocument/2006/relationships/hyperlink" Target="https://files.givewell.org/files/DWDA%202009/NewIncentives/New_Incentives_State_Estimates_20230515.xlsx" TargetMode="External"/><Relationship Id="rId45" Type="http://schemas.openxmlformats.org/officeDocument/2006/relationships/hyperlink" Target="https://files.givewell.org/files/DWDA%202009/NewIncentives/New_Incentives_State_Estimates_20230515.xlsx" TargetMode="External"/><Relationship Id="rId89" Type="http://schemas.openxmlformats.org/officeDocument/2006/relationships/hyperlink" Target="https://docs.google.com/spreadsheets/d/1zl2r2tHhzkWBSTZJwfinBWaEBnfBn5EsKAIK_gsDMmg/edit?usp=sharing" TargetMode="External"/><Relationship Id="rId80" Type="http://schemas.openxmlformats.org/officeDocument/2006/relationships/hyperlink" Target="https://docs.google.com/spreadsheets/d/1YgMgML21RLKFHb0QlHphR-KwfJiukMdlIJ7Oub_TyQE/edit" TargetMode="External"/><Relationship Id="rId82" Type="http://schemas.openxmlformats.org/officeDocument/2006/relationships/hyperlink" Target="https://docs.google.com/spreadsheets/d/1YgMgML21RLKFHb0QlHphR-KwfJiukMdlIJ7Oub_TyQE/edit" TargetMode="External"/><Relationship Id="rId81" Type="http://schemas.openxmlformats.org/officeDocument/2006/relationships/hyperlink" Target="https://docs.google.com/spreadsheets/d/1YgMgML21RLKFHb0QlHphR-KwfJiukMdlIJ7Oub_TyQE/edit" TargetMode="External"/><Relationship Id="rId1" Type="http://schemas.openxmlformats.org/officeDocument/2006/relationships/comments" Target="../comments4.xml"/><Relationship Id="rId2" Type="http://schemas.openxmlformats.org/officeDocument/2006/relationships/hyperlink" Target="https://docs.google.com/spreadsheets/d/1S4CbCiKEmAiIPkWOUFbc0NqtjQOCTY1mxUeuqDlfhZ8/edit?usp=sharing" TargetMode="External"/><Relationship Id="rId3" Type="http://schemas.openxmlformats.org/officeDocument/2006/relationships/hyperlink" Target="https://academic.oup.com/cid/article/58/4/470/347668" TargetMode="External"/><Relationship Id="rId4" Type="http://schemas.openxmlformats.org/officeDocument/2006/relationships/hyperlink" Target="https://list.spectrumweb.org/" TargetMode="External"/><Relationship Id="rId9" Type="http://schemas.openxmlformats.org/officeDocument/2006/relationships/hyperlink" Target="https://docs.google.com/spreadsheets/d/19L_WlsGaLBDh2i0kgq8lCI3aAKx8XZ9fD4DO5ux_lW0/edit" TargetMode="External"/><Relationship Id="rId48" Type="http://schemas.openxmlformats.org/officeDocument/2006/relationships/hyperlink" Target="https://files.givewell.org/files/DWDA%202009/NewIncentives/IDinsight_Impact_Evaluation_of_New_Incentives_Final_Report.pdf" TargetMode="External"/><Relationship Id="rId47" Type="http://schemas.openxmlformats.org/officeDocument/2006/relationships/hyperlink" Target="https://docs.google.com/spreadsheets/d/1Xy0Zi8Uh7-AnIVLvYDG8u6w7KAyAcQDwRB4CmPaVlLA/edit" TargetMode="External"/><Relationship Id="rId49" Type="http://schemas.openxmlformats.org/officeDocument/2006/relationships/hyperlink" Target="https://files.givewell.org/files/DWDA%202009/NewIncentives/IDinsight_Impact_Evaluation_of_New_Incentives_Final_Report.pdf" TargetMode="External"/><Relationship Id="rId5" Type="http://schemas.openxmlformats.org/officeDocument/2006/relationships/hyperlink" Target="https://doi.org/10.1177/2051013615575871" TargetMode="External"/><Relationship Id="rId6" Type="http://schemas.openxmlformats.org/officeDocument/2006/relationships/hyperlink" Target="https://list.spectrumweb.org/" TargetMode="External"/><Relationship Id="rId7" Type="http://schemas.openxmlformats.org/officeDocument/2006/relationships/hyperlink" Target="https://list.spectrumweb.org/" TargetMode="External"/><Relationship Id="rId8" Type="http://schemas.openxmlformats.org/officeDocument/2006/relationships/hyperlink" Target="https://list.spectrumweb.org/" TargetMode="External"/><Relationship Id="rId73" Type="http://schemas.openxmlformats.org/officeDocument/2006/relationships/hyperlink" Target="https://docs.google.com/spreadsheets/d/1YgMgML21RLKFHb0QlHphR-KwfJiukMdlIJ7Oub_TyQE/edit" TargetMode="External"/><Relationship Id="rId72" Type="http://schemas.openxmlformats.org/officeDocument/2006/relationships/hyperlink" Target="https://docs.google.com/spreadsheets/d/1YgMgML21RLKFHb0QlHphR-KwfJiukMdlIJ7Oub_TyQE/edit" TargetMode="External"/><Relationship Id="rId31" Type="http://schemas.openxmlformats.org/officeDocument/2006/relationships/hyperlink" Target="https://www.unicef.org/nigeria/sites/unicef.org.nigeria/files/2018-09/Nigeria-MICS-2016-17.pdf" TargetMode="External"/><Relationship Id="rId75" Type="http://schemas.openxmlformats.org/officeDocument/2006/relationships/hyperlink" Target="https://docs.google.com/spreadsheets/d/1YgMgML21RLKFHb0QlHphR-KwfJiukMdlIJ7Oub_TyQE/edit" TargetMode="External"/><Relationship Id="rId30" Type="http://schemas.openxmlformats.org/officeDocument/2006/relationships/hyperlink" Target="https://www.unicef.org/nigeria/sites/unicef.org.nigeria/files/2018-09/Nigeria-MICS-2016-17.pdf" TargetMode="External"/><Relationship Id="rId74" Type="http://schemas.openxmlformats.org/officeDocument/2006/relationships/hyperlink" Target="https://docs.google.com/spreadsheets/d/1YgMgML21RLKFHb0QlHphR-KwfJiukMdlIJ7Oub_TyQE/edit" TargetMode="External"/><Relationship Id="rId33" Type="http://schemas.openxmlformats.org/officeDocument/2006/relationships/hyperlink" Target="https://docs.google.com/spreadsheets/d/1Xy0Zi8Uh7-AnIVLvYDG8u6w7KAyAcQDwRB4CmPaVlLA/edit" TargetMode="External"/><Relationship Id="rId77" Type="http://schemas.openxmlformats.org/officeDocument/2006/relationships/hyperlink" Target="https://docs.google.com/spreadsheets/d/1YgMgML21RLKFHb0QlHphR-KwfJiukMdlIJ7Oub_TyQE/edit" TargetMode="External"/><Relationship Id="rId32" Type="http://schemas.openxmlformats.org/officeDocument/2006/relationships/hyperlink" Target="https://www.unicef.org/nigeria/sites/unicef.org.nigeria/files/2018-09/Nigeria-MICS-2016-17.pdf" TargetMode="External"/><Relationship Id="rId76" Type="http://schemas.openxmlformats.org/officeDocument/2006/relationships/hyperlink" Target="https://docs.google.com/spreadsheets/d/1YgMgML21RLKFHb0QlHphR-KwfJiukMdlIJ7Oub_TyQE/edit" TargetMode="External"/><Relationship Id="rId35" Type="http://schemas.openxmlformats.org/officeDocument/2006/relationships/hyperlink" Target="https://docs.google.com/spreadsheets/d/1iUse7-6N09NVZrYCo5kGQkosN9Lt83ursa4w99T4Zyo/edit?usp=sharing" TargetMode="External"/><Relationship Id="rId79" Type="http://schemas.openxmlformats.org/officeDocument/2006/relationships/hyperlink" Target="https://docs.google.com/spreadsheets/d/1YgMgML21RLKFHb0QlHphR-KwfJiukMdlIJ7Oub_TyQE/edit" TargetMode="External"/><Relationship Id="rId34" Type="http://schemas.openxmlformats.org/officeDocument/2006/relationships/hyperlink" Target="https://docs.google.com/spreadsheets/d/1Xy0Zi8Uh7-AnIVLvYDG8u6w7KAyAcQDwRB4CmPaVlLA/edit" TargetMode="External"/><Relationship Id="rId78" Type="http://schemas.openxmlformats.org/officeDocument/2006/relationships/hyperlink" Target="https://docs.google.com/spreadsheets/d/1YgMgML21RLKFHb0QlHphR-KwfJiukMdlIJ7Oub_TyQE/edit" TargetMode="External"/><Relationship Id="rId71" Type="http://schemas.openxmlformats.org/officeDocument/2006/relationships/hyperlink" Target="https://docs.google.com/spreadsheets/d/1ZWoQhJwsSkM01rvnDPrKd0wSG7aayK5RMiHdNAAKoL4/edit?usp=sharing" TargetMode="External"/><Relationship Id="rId70" Type="http://schemas.openxmlformats.org/officeDocument/2006/relationships/hyperlink" Target="https://docs.google.com/spreadsheets/d/1GAcGQSyBQxcB6oGJFGGWCYqwY-jW7oahJJK-cTZOkMc/edit" TargetMode="External"/><Relationship Id="rId37" Type="http://schemas.openxmlformats.org/officeDocument/2006/relationships/hyperlink" Target="https://docs.google.com/spreadsheets/d/1iUse7-6N09NVZrYCo5kGQkosN9Lt83ursa4w99T4Zyo/edit?usp=sharing" TargetMode="External"/><Relationship Id="rId36" Type="http://schemas.openxmlformats.org/officeDocument/2006/relationships/hyperlink" Target="https://docs.google.com/spreadsheets/d/1iUse7-6N09NVZrYCo5kGQkosN9Lt83ursa4w99T4Zyo/edit?usp=sharing" TargetMode="External"/><Relationship Id="rId39" Type="http://schemas.openxmlformats.org/officeDocument/2006/relationships/hyperlink" Target="https://files.givewell.org/files/DWDA%202009/NewIncentives/New_Incentives_State_Estimates_20230515.xlsx" TargetMode="External"/><Relationship Id="rId38" Type="http://schemas.openxmlformats.org/officeDocument/2006/relationships/hyperlink" Target="https://docs.google.com/spreadsheets/d/1iUse7-6N09NVZrYCo5kGQkosN9Lt83ursa4w99T4Zyo/edit?usp=sharing" TargetMode="External"/><Relationship Id="rId62" Type="http://schemas.openxmlformats.org/officeDocument/2006/relationships/hyperlink" Target="https://www.exchangerates.org.uk/NGN-USD-spot-exchange-rates-history-2019.html" TargetMode="External"/><Relationship Id="rId61" Type="http://schemas.openxmlformats.org/officeDocument/2006/relationships/hyperlink" Target="https://files.givewell.org/files/DWDA%202009/NewIncentives/New_Incentives_Program_Protocols_2018_2020.pdf" TargetMode="External"/><Relationship Id="rId20" Type="http://schemas.openxmlformats.org/officeDocument/2006/relationships/hyperlink" Target="https://www.unicef.org/nigeria/media/6316/file/2021%20MICS%20full%20report%20.pdf" TargetMode="External"/><Relationship Id="rId64" Type="http://schemas.openxmlformats.org/officeDocument/2006/relationships/hyperlink" Target="https://docs.google.com/spreadsheets/d/1ZWoQhJwsSkM01rvnDPrKd0wSG7aayK5RMiHdNAAKoL4/edit" TargetMode="External"/><Relationship Id="rId63" Type="http://schemas.openxmlformats.org/officeDocument/2006/relationships/hyperlink" Target="https://docs.google.com/spreadsheets/d/1MVdzE0YUiv8XOUHzfqfcHyiXmWZmoSGWrJsOpQ7MUd0/edit?usp=sharing" TargetMode="External"/><Relationship Id="rId22" Type="http://schemas.openxmlformats.org/officeDocument/2006/relationships/hyperlink" Target="https://www.unicef.org/nigeria/media/6316/file/2021%20MICS%20full%20report%20.pdf" TargetMode="External"/><Relationship Id="rId66" Type="http://schemas.openxmlformats.org/officeDocument/2006/relationships/hyperlink" Target="https://docs.google.com/spreadsheets/d/1GAcGQSyBQxcB6oGJFGGWCYqwY-jW7oahJJK-cTZOkMc/edit" TargetMode="External"/><Relationship Id="rId21" Type="http://schemas.openxmlformats.org/officeDocument/2006/relationships/hyperlink" Target="https://www.unicef.org/nigeria/media/6316/file/2021%20MICS%20full%20report%20.pdf" TargetMode="External"/><Relationship Id="rId65" Type="http://schemas.openxmlformats.org/officeDocument/2006/relationships/hyperlink" Target="https://docs.google.com/spreadsheets/d/1GAcGQSyBQxcB6oGJFGGWCYqwY-jW7oahJJK-cTZOkMc/edit" TargetMode="External"/><Relationship Id="rId24" Type="http://schemas.openxmlformats.org/officeDocument/2006/relationships/hyperlink" Target="https://www.unicef.org/nigeria/media/6316/file/2021%20MICS%20full%20report%20.pdf" TargetMode="External"/><Relationship Id="rId68" Type="http://schemas.openxmlformats.org/officeDocument/2006/relationships/hyperlink" Target="https://docs.google.com/spreadsheets/d/1GAcGQSyBQxcB6oGJFGGWCYqwY-jW7oahJJK-cTZOkMc/edit" TargetMode="External"/><Relationship Id="rId23" Type="http://schemas.openxmlformats.org/officeDocument/2006/relationships/hyperlink" Target="https://www.unicef.org/nigeria/media/6316/file/2021%20MICS%20full%20report%20.pdf" TargetMode="External"/><Relationship Id="rId67" Type="http://schemas.openxmlformats.org/officeDocument/2006/relationships/hyperlink" Target="https://docs.google.com/spreadsheets/d/1GAcGQSyBQxcB6oGJFGGWCYqwY-jW7oahJJK-cTZOkMc/edit" TargetMode="External"/><Relationship Id="rId60" Type="http://schemas.openxmlformats.org/officeDocument/2006/relationships/hyperlink" Target="https://files.givewell.org/files/DWDA%202009/NewIncentives/New_Incentives_Program_Protocols_2018_2020.pdf" TargetMode="External"/><Relationship Id="rId26" Type="http://schemas.openxmlformats.org/officeDocument/2006/relationships/hyperlink" Target="https://www.unicef.org/nigeria/media/6316/file/2021%20MICS%20full%20report%20.pdf" TargetMode="External"/><Relationship Id="rId25" Type="http://schemas.openxmlformats.org/officeDocument/2006/relationships/hyperlink" Target="https://www.unicef.org/nigeria/media/6316/file/2021%20MICS%20full%20report%20.pdf" TargetMode="External"/><Relationship Id="rId69" Type="http://schemas.openxmlformats.org/officeDocument/2006/relationships/hyperlink" Target="https://docs.google.com/spreadsheets/d/1GAcGQSyBQxcB6oGJFGGWCYqwY-jW7oahJJK-cTZOkMc/edit" TargetMode="External"/><Relationship Id="rId28" Type="http://schemas.openxmlformats.org/officeDocument/2006/relationships/hyperlink" Target="https://www.unicef.org/nigeria/sites/unicef.org.nigeria/files/2018-09/Nigeria-MICS-2016-17.pdf" TargetMode="External"/><Relationship Id="rId27" Type="http://schemas.openxmlformats.org/officeDocument/2006/relationships/hyperlink" Target="https://www.unicef.org/nigeria/media/6316/file/2021%20MICS%20full%20report%20.pdf" TargetMode="External"/><Relationship Id="rId29" Type="http://schemas.openxmlformats.org/officeDocument/2006/relationships/hyperlink" Target="https://www.unicef.org/nigeria/sites/unicef.org.nigeria/files/2018-09/Nigeria-MICS-2016-17.pdf" TargetMode="External"/><Relationship Id="rId51" Type="http://schemas.openxmlformats.org/officeDocument/2006/relationships/hyperlink" Target="https://files.givewell.org/files/DWDA%202009/NewIncentives/IDinsight_Impact_Evaluation_of_New_Incentives_Final_Report.pdf" TargetMode="External"/><Relationship Id="rId50" Type="http://schemas.openxmlformats.org/officeDocument/2006/relationships/hyperlink" Target="https://files.givewell.org/files/DWDA%202009/NewIncentives/IDinsight_Impact_Evaluation_of_New_Incentives_Final_Report.pdf" TargetMode="External"/><Relationship Id="rId53" Type="http://schemas.openxmlformats.org/officeDocument/2006/relationships/hyperlink" Target="https://files.givewell.org/files/DWDA%202009/NewIncentives/IDinsight_Impact_Evaluation_of_New_Incentives_Final_Report.pdf" TargetMode="External"/><Relationship Id="rId52" Type="http://schemas.openxmlformats.org/officeDocument/2006/relationships/hyperlink" Target="https://files.givewell.org/files/DWDA%202009/NewIncentives/IDinsight_Impact_Evaluation_of_New_Incentives_Final_Report.pdf" TargetMode="External"/><Relationship Id="rId11" Type="http://schemas.openxmlformats.org/officeDocument/2006/relationships/hyperlink" Target="https://doi.org/10.1093/infdis/jir102" TargetMode="External"/><Relationship Id="rId55" Type="http://schemas.openxmlformats.org/officeDocument/2006/relationships/hyperlink" Target="https://files.givewell.org/files/DWDA%202009/NewIncentives/IDinsight_Impact_Evaluation_of_New_Incentives_Final_Report.pdf" TargetMode="External"/><Relationship Id="rId10" Type="http://schemas.openxmlformats.org/officeDocument/2006/relationships/hyperlink" Target="https://doi.org/10.1080/15321819.2014.920713" TargetMode="External"/><Relationship Id="rId54" Type="http://schemas.openxmlformats.org/officeDocument/2006/relationships/hyperlink" Target="https://files.givewell.org/files/DWDA%202009/NewIncentives/IDinsight_Impact_Evaluation_of_New_Incentives_Final_Report.pdf" TargetMode="External"/><Relationship Id="rId13" Type="http://schemas.openxmlformats.org/officeDocument/2006/relationships/hyperlink" Target="https://docs.google.com/spreadsheets/d/1KmpcCIpC8AT5lyv0Mzik0Q3naaSRzYKVbHn2tZdqhAs/edit?usp=sharing" TargetMode="External"/><Relationship Id="rId57" Type="http://schemas.openxmlformats.org/officeDocument/2006/relationships/hyperlink" Target="https://files.givewell.org/files/DWDA%202009/NewIncentives/New_Incentives_Program_Protocols_2018_2020.pdf" TargetMode="External"/><Relationship Id="rId12" Type="http://schemas.openxmlformats.org/officeDocument/2006/relationships/hyperlink" Target="https://en.wikipedia.org/wiki/Local_government_areas_of_Nigeria" TargetMode="External"/><Relationship Id="rId56" Type="http://schemas.openxmlformats.org/officeDocument/2006/relationships/hyperlink" Target="https://docs.google.com/spreadsheets/d/1KcWL0lRGOnH9kwdr52aonM8iK4gbJJqKQehhYEIFYe8/edit" TargetMode="External"/><Relationship Id="rId91" Type="http://schemas.openxmlformats.org/officeDocument/2006/relationships/vmlDrawing" Target="../drawings/vmlDrawing4.vml"/><Relationship Id="rId90" Type="http://schemas.openxmlformats.org/officeDocument/2006/relationships/drawing" Target="../drawings/drawing9.xml"/><Relationship Id="rId15" Type="http://schemas.openxmlformats.org/officeDocument/2006/relationships/hyperlink" Target="https://docs.google.com/spreadsheets/d/1KmpcCIpC8AT5lyv0Mzik0Q3naaSRzYKVbHn2tZdqhAs/edit?usp=sharing" TargetMode="External"/><Relationship Id="rId59" Type="http://schemas.openxmlformats.org/officeDocument/2006/relationships/hyperlink" Target="https://files.givewell.org/files/DWDA%202009/NewIncentives/New_Incentives_Program_Protocols_2018_2020.pdf" TargetMode="External"/><Relationship Id="rId14" Type="http://schemas.openxmlformats.org/officeDocument/2006/relationships/hyperlink" Target="https://docs.google.com/spreadsheets/d/1KmpcCIpC8AT5lyv0Mzik0Q3naaSRzYKVbHn2tZdqhAs/edit?usp=sharing" TargetMode="External"/><Relationship Id="rId58" Type="http://schemas.openxmlformats.org/officeDocument/2006/relationships/hyperlink" Target="https://files.givewell.org/files/DWDA%202009/NewIncentives/New_Incentives_Program_Protocols_2018_2020.pdf" TargetMode="External"/><Relationship Id="rId17" Type="http://schemas.openxmlformats.org/officeDocument/2006/relationships/hyperlink" Target="https://docs.google.com/spreadsheets/d/1KmpcCIpC8AT5lyv0Mzik0Q3naaSRzYKVbHn2tZdqhAs/edit?usp=sharing" TargetMode="External"/><Relationship Id="rId16" Type="http://schemas.openxmlformats.org/officeDocument/2006/relationships/hyperlink" Target="https://docs.google.com/spreadsheets/d/1KmpcCIpC8AT5lyv0Mzik0Q3naaSRzYKVbHn2tZdqhAs/edit?usp=sharing" TargetMode="External"/><Relationship Id="rId19" Type="http://schemas.openxmlformats.org/officeDocument/2006/relationships/hyperlink" Target="https://docs.google.com/spreadsheets/d/1KmpcCIpC8AT5lyv0Mzik0Q3naaSRzYKVbHn2tZdqhAs/edit?usp=sharing" TargetMode="External"/><Relationship Id="rId18" Type="http://schemas.openxmlformats.org/officeDocument/2006/relationships/hyperlink" Target="https://docs.google.com/spreadsheets/d/1KmpcCIpC8AT5lyv0Mzik0Q3naaSRzYKVbHn2tZdqhAs/edit?usp=sharing"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38"/>
  </cols>
  <sheetData>
    <row r="1">
      <c r="A1" s="2" t="s">
        <v>0</v>
      </c>
      <c r="B1" s="4"/>
      <c r="C1" s="4"/>
      <c r="D1" s="4"/>
      <c r="E1" s="4"/>
      <c r="F1" s="4"/>
      <c r="G1" s="4"/>
      <c r="H1" s="6"/>
      <c r="I1" s="6"/>
      <c r="J1" s="6"/>
      <c r="K1" s="6"/>
      <c r="L1" s="6"/>
      <c r="M1" s="6"/>
      <c r="N1" s="6"/>
      <c r="O1" s="6"/>
      <c r="P1" s="6"/>
      <c r="Q1" s="6"/>
      <c r="R1" s="6"/>
      <c r="S1" s="6"/>
      <c r="T1" s="6"/>
      <c r="U1" s="6"/>
      <c r="V1" s="10"/>
    </row>
    <row r="2">
      <c r="A2" s="13" t="s">
        <v>2</v>
      </c>
      <c r="B2" s="14"/>
      <c r="C2" s="14"/>
      <c r="D2" s="14"/>
      <c r="E2" s="14"/>
      <c r="F2" s="14"/>
      <c r="G2" s="14"/>
      <c r="H2" s="15"/>
      <c r="I2" s="15"/>
      <c r="J2" s="15"/>
      <c r="K2" s="15"/>
      <c r="L2" s="15"/>
      <c r="M2" s="15"/>
      <c r="N2" s="15"/>
      <c r="O2" s="15"/>
      <c r="P2" s="15"/>
      <c r="Q2" s="15"/>
      <c r="R2" s="15"/>
      <c r="S2" s="15"/>
      <c r="T2" s="15"/>
      <c r="U2" s="15"/>
      <c r="V2" s="17"/>
    </row>
    <row r="3">
      <c r="A3" s="18"/>
      <c r="B3" s="18"/>
      <c r="C3" s="18"/>
      <c r="D3" s="18"/>
      <c r="E3" s="19"/>
      <c r="F3" s="18"/>
      <c r="G3" s="18"/>
      <c r="H3" s="21"/>
      <c r="I3" s="21"/>
      <c r="J3" s="21"/>
      <c r="K3" s="21"/>
      <c r="L3" s="21"/>
      <c r="M3" s="21"/>
      <c r="N3" s="21"/>
      <c r="O3" s="21"/>
      <c r="P3" s="21"/>
      <c r="Q3" s="21"/>
      <c r="R3" s="21"/>
      <c r="S3" s="21"/>
      <c r="T3" s="21"/>
      <c r="U3" s="21"/>
      <c r="V3" s="21"/>
    </row>
    <row r="4">
      <c r="A4" s="22"/>
      <c r="B4" s="18"/>
      <c r="C4" s="18"/>
      <c r="D4" s="18"/>
      <c r="E4" s="30" t="s">
        <v>4</v>
      </c>
      <c r="F4" s="32" t="s">
        <v>5</v>
      </c>
      <c r="G4" s="32"/>
      <c r="H4" s="33"/>
      <c r="I4" s="33"/>
      <c r="J4" s="33"/>
      <c r="K4" s="33"/>
      <c r="L4" s="33"/>
      <c r="M4" s="33"/>
      <c r="N4" s="33"/>
      <c r="O4" s="33"/>
      <c r="P4" s="33"/>
      <c r="Q4" s="33"/>
      <c r="R4" s="33"/>
      <c r="S4" s="33"/>
      <c r="T4" s="33"/>
      <c r="U4" s="33"/>
      <c r="V4" s="34"/>
    </row>
    <row r="5">
      <c r="A5" s="22"/>
      <c r="B5" s="18"/>
      <c r="C5" s="18"/>
      <c r="D5" s="18"/>
      <c r="E5" s="36" t="s">
        <v>6</v>
      </c>
      <c r="F5" s="37" t="s">
        <v>8</v>
      </c>
      <c r="G5" s="37"/>
      <c r="H5" s="38"/>
      <c r="I5" s="38"/>
      <c r="J5" s="38"/>
      <c r="K5" s="38"/>
      <c r="L5" s="38"/>
      <c r="M5" s="38"/>
      <c r="N5" s="38"/>
      <c r="O5" s="38"/>
      <c r="P5" s="38"/>
      <c r="Q5" s="38"/>
      <c r="R5" s="38"/>
      <c r="S5" s="38"/>
      <c r="T5" s="38"/>
      <c r="U5" s="38"/>
      <c r="V5" s="39"/>
    </row>
    <row r="6">
      <c r="A6" s="22"/>
      <c r="B6" s="18"/>
      <c r="C6" s="18"/>
      <c r="D6" s="18"/>
      <c r="E6" s="36" t="s">
        <v>9</v>
      </c>
      <c r="F6" s="37" t="s">
        <v>10</v>
      </c>
      <c r="G6" s="37"/>
      <c r="H6" s="38"/>
      <c r="I6" s="38"/>
      <c r="J6" s="38"/>
      <c r="K6" s="38"/>
      <c r="L6" s="38"/>
      <c r="M6" s="38"/>
      <c r="N6" s="38"/>
      <c r="O6" s="38"/>
      <c r="P6" s="38"/>
      <c r="Q6" s="38"/>
      <c r="R6" s="38"/>
      <c r="S6" s="38"/>
      <c r="T6" s="38"/>
      <c r="U6" s="38"/>
      <c r="V6" s="39"/>
    </row>
    <row r="7">
      <c r="A7" s="22"/>
      <c r="B7" s="18"/>
      <c r="C7" s="18"/>
      <c r="D7" s="18"/>
      <c r="E7" s="36" t="s">
        <v>11</v>
      </c>
      <c r="F7" s="37" t="s">
        <v>12</v>
      </c>
      <c r="G7" s="37"/>
      <c r="H7" s="38"/>
      <c r="I7" s="38"/>
      <c r="J7" s="38"/>
      <c r="K7" s="38"/>
      <c r="L7" s="38"/>
      <c r="M7" s="38"/>
      <c r="N7" s="38"/>
      <c r="O7" s="38"/>
      <c r="P7" s="38"/>
      <c r="Q7" s="38"/>
      <c r="R7" s="38"/>
      <c r="S7" s="38"/>
      <c r="T7" s="38"/>
      <c r="U7" s="38"/>
      <c r="V7" s="39"/>
    </row>
    <row r="8">
      <c r="A8" s="22"/>
      <c r="B8" s="18"/>
      <c r="C8" s="18"/>
      <c r="D8" s="18"/>
      <c r="E8" s="36" t="s">
        <v>13</v>
      </c>
      <c r="F8" s="37" t="s">
        <v>14</v>
      </c>
      <c r="G8" s="37"/>
      <c r="H8" s="38"/>
      <c r="I8" s="38"/>
      <c r="J8" s="38"/>
      <c r="K8" s="38"/>
      <c r="L8" s="38"/>
      <c r="M8" s="38"/>
      <c r="N8" s="38"/>
      <c r="O8" s="38"/>
      <c r="P8" s="38"/>
      <c r="Q8" s="38"/>
      <c r="R8" s="38"/>
      <c r="S8" s="38"/>
      <c r="T8" s="38"/>
      <c r="U8" s="38"/>
      <c r="V8" s="39"/>
    </row>
    <row r="9">
      <c r="A9" s="22"/>
      <c r="B9" s="18"/>
      <c r="C9" s="18"/>
      <c r="D9" s="18"/>
      <c r="E9" s="36" t="s">
        <v>15</v>
      </c>
      <c r="F9" s="37" t="s">
        <v>16</v>
      </c>
      <c r="G9" s="37"/>
      <c r="H9" s="38"/>
      <c r="I9" s="38"/>
      <c r="J9" s="38"/>
      <c r="K9" s="38"/>
      <c r="L9" s="38"/>
      <c r="M9" s="38"/>
      <c r="N9" s="38"/>
      <c r="O9" s="38"/>
      <c r="P9" s="38"/>
      <c r="Q9" s="38"/>
      <c r="R9" s="38"/>
      <c r="S9" s="38"/>
      <c r="T9" s="38"/>
      <c r="U9" s="38"/>
      <c r="V9" s="39"/>
    </row>
    <row r="10">
      <c r="A10" s="22"/>
      <c r="B10" s="18"/>
      <c r="C10" s="18"/>
      <c r="D10" s="18"/>
      <c r="E10" s="36" t="s">
        <v>17</v>
      </c>
      <c r="F10" s="37" t="s">
        <v>19</v>
      </c>
      <c r="G10" s="37"/>
      <c r="H10" s="38"/>
      <c r="I10" s="38"/>
      <c r="J10" s="38"/>
      <c r="K10" s="38"/>
      <c r="L10" s="38"/>
      <c r="M10" s="38"/>
      <c r="N10" s="38"/>
      <c r="O10" s="38"/>
      <c r="P10" s="38"/>
      <c r="Q10" s="38"/>
      <c r="R10" s="38"/>
      <c r="S10" s="38"/>
      <c r="T10" s="38"/>
      <c r="U10" s="38"/>
      <c r="V10" s="39"/>
    </row>
    <row r="11">
      <c r="A11" s="22"/>
      <c r="B11" s="18"/>
      <c r="C11" s="18"/>
      <c r="D11" s="18"/>
      <c r="E11" s="36" t="s">
        <v>20</v>
      </c>
      <c r="F11" s="37" t="s">
        <v>23</v>
      </c>
      <c r="G11" s="37"/>
      <c r="H11" s="38"/>
      <c r="I11" s="38"/>
      <c r="J11" s="38"/>
      <c r="K11" s="38"/>
      <c r="L11" s="38"/>
      <c r="M11" s="38"/>
      <c r="N11" s="38"/>
      <c r="O11" s="38"/>
      <c r="P11" s="38"/>
      <c r="Q11" s="38"/>
      <c r="R11" s="38"/>
      <c r="S11" s="38"/>
      <c r="T11" s="38"/>
      <c r="U11" s="38"/>
      <c r="V11" s="39"/>
    </row>
    <row r="12">
      <c r="A12" s="22"/>
      <c r="B12" s="18"/>
      <c r="C12" s="18"/>
      <c r="D12" s="18"/>
      <c r="E12" s="36" t="s">
        <v>25</v>
      </c>
      <c r="F12" s="37" t="s">
        <v>27</v>
      </c>
      <c r="G12" s="37"/>
      <c r="H12" s="38"/>
      <c r="I12" s="38"/>
      <c r="J12" s="38"/>
      <c r="K12" s="38"/>
      <c r="L12" s="38"/>
      <c r="M12" s="38"/>
      <c r="N12" s="38"/>
      <c r="O12" s="38"/>
      <c r="P12" s="38"/>
      <c r="Q12" s="38"/>
      <c r="R12" s="38"/>
      <c r="S12" s="38"/>
      <c r="T12" s="38"/>
      <c r="U12" s="38"/>
      <c r="V12" s="39"/>
    </row>
    <row r="13">
      <c r="A13" s="22"/>
      <c r="B13" s="18"/>
      <c r="C13" s="18"/>
      <c r="D13" s="18"/>
      <c r="E13" s="30" t="s">
        <v>29</v>
      </c>
      <c r="F13" s="32" t="s">
        <v>36</v>
      </c>
      <c r="G13" s="32"/>
      <c r="H13" s="33"/>
      <c r="I13" s="33"/>
      <c r="J13" s="33"/>
      <c r="K13" s="33"/>
      <c r="L13" s="33"/>
      <c r="M13" s="33"/>
      <c r="N13" s="33"/>
      <c r="O13" s="33"/>
      <c r="P13" s="33"/>
      <c r="Q13" s="33"/>
      <c r="R13" s="33"/>
      <c r="S13" s="33"/>
      <c r="T13" s="33"/>
      <c r="U13" s="33"/>
      <c r="V13" s="34"/>
    </row>
    <row r="14">
      <c r="A14" s="22"/>
      <c r="B14" s="18"/>
      <c r="C14" s="18"/>
      <c r="D14" s="18"/>
      <c r="E14" s="50" t="s">
        <v>43</v>
      </c>
      <c r="F14" s="51" t="s">
        <v>62</v>
      </c>
      <c r="G14" s="51"/>
      <c r="H14" s="52"/>
      <c r="I14" s="52"/>
      <c r="J14" s="52"/>
      <c r="K14" s="52"/>
      <c r="L14" s="52"/>
      <c r="M14" s="52"/>
      <c r="N14" s="52"/>
      <c r="O14" s="52"/>
      <c r="P14" s="52"/>
      <c r="Q14" s="52"/>
      <c r="R14" s="52"/>
      <c r="S14" s="52"/>
      <c r="T14" s="52"/>
      <c r="U14" s="52"/>
      <c r="V14" s="55"/>
    </row>
    <row r="15">
      <c r="A15" s="22"/>
      <c r="B15" s="18"/>
      <c r="C15" s="18"/>
      <c r="D15" s="18"/>
      <c r="E15" s="19"/>
      <c r="F15" s="18"/>
      <c r="G15" s="18"/>
      <c r="H15" s="21"/>
      <c r="I15" s="21"/>
      <c r="J15" s="21"/>
      <c r="K15" s="21"/>
      <c r="L15" s="21"/>
      <c r="M15" s="21"/>
      <c r="N15" s="21"/>
      <c r="O15" s="21"/>
      <c r="P15" s="21"/>
      <c r="Q15" s="21"/>
      <c r="R15" s="21"/>
      <c r="S15" s="21"/>
      <c r="T15" s="21"/>
      <c r="U15" s="21"/>
      <c r="V15" s="58"/>
    </row>
    <row r="16">
      <c r="A16" s="13" t="s">
        <v>69</v>
      </c>
      <c r="B16" s="14"/>
      <c r="C16" s="14"/>
      <c r="D16" s="14"/>
      <c r="E16" s="14"/>
      <c r="F16" s="14"/>
      <c r="G16" s="14"/>
      <c r="H16" s="15"/>
      <c r="I16" s="15"/>
      <c r="J16" s="15"/>
      <c r="K16" s="15"/>
      <c r="L16" s="15"/>
      <c r="M16" s="15"/>
      <c r="N16" s="15"/>
      <c r="O16" s="15"/>
      <c r="P16" s="15"/>
      <c r="Q16" s="15"/>
      <c r="R16" s="15"/>
      <c r="S16" s="15"/>
      <c r="T16" s="15"/>
      <c r="U16" s="15"/>
      <c r="V16" s="17"/>
    </row>
    <row r="17">
      <c r="A17" s="60"/>
      <c r="B17" s="63"/>
      <c r="C17" s="63"/>
      <c r="D17" s="63"/>
      <c r="E17" s="64"/>
      <c r="F17" s="63"/>
      <c r="G17" s="63"/>
      <c r="H17" s="21"/>
      <c r="I17" s="21"/>
      <c r="J17" s="21"/>
      <c r="K17" s="21"/>
      <c r="L17" s="21"/>
      <c r="M17" s="21"/>
      <c r="N17" s="21"/>
      <c r="O17" s="21"/>
      <c r="P17" s="21"/>
      <c r="Q17" s="21"/>
      <c r="R17" s="21"/>
      <c r="S17" s="21"/>
      <c r="T17" s="21"/>
      <c r="U17" s="21"/>
      <c r="V17" s="58"/>
    </row>
    <row r="18">
      <c r="A18" s="60"/>
      <c r="B18" s="63"/>
      <c r="C18" s="66" t="s">
        <v>72</v>
      </c>
      <c r="G18" s="63"/>
      <c r="H18" s="21"/>
      <c r="I18" s="21"/>
      <c r="J18" s="21"/>
      <c r="K18" s="21"/>
      <c r="L18" s="21"/>
      <c r="M18" s="21"/>
      <c r="N18" s="21"/>
      <c r="O18" s="21"/>
      <c r="P18" s="21"/>
      <c r="Q18" s="21"/>
      <c r="R18" s="21"/>
      <c r="S18" s="21"/>
      <c r="T18" s="21"/>
      <c r="U18" s="21"/>
      <c r="V18" s="58"/>
    </row>
    <row r="19">
      <c r="A19" s="60"/>
      <c r="B19" s="63"/>
      <c r="C19" s="63"/>
      <c r="D19" s="63"/>
      <c r="E19" s="68" t="s">
        <v>73</v>
      </c>
      <c r="F19" s="69" t="s">
        <v>74</v>
      </c>
      <c r="G19" s="70"/>
      <c r="H19" s="70"/>
      <c r="I19" s="70"/>
      <c r="J19" s="70"/>
      <c r="K19" s="70"/>
      <c r="L19" s="70"/>
      <c r="M19" s="70"/>
      <c r="N19" s="70"/>
      <c r="O19" s="70"/>
      <c r="P19" s="70"/>
      <c r="Q19" s="70"/>
      <c r="R19" s="70"/>
      <c r="S19" s="70"/>
      <c r="T19" s="33"/>
      <c r="U19" s="33"/>
      <c r="V19" s="34"/>
    </row>
    <row r="20">
      <c r="A20" s="60"/>
      <c r="B20" s="63"/>
      <c r="C20" s="63"/>
      <c r="D20" s="63"/>
      <c r="E20" s="68" t="s">
        <v>75</v>
      </c>
      <c r="F20" s="69" t="s">
        <v>76</v>
      </c>
      <c r="G20" s="70"/>
      <c r="H20" s="70"/>
      <c r="I20" s="70"/>
      <c r="J20" s="70"/>
      <c r="K20" s="70"/>
      <c r="L20" s="70"/>
      <c r="M20" s="70"/>
      <c r="N20" s="70"/>
      <c r="O20" s="70"/>
      <c r="P20" s="70"/>
      <c r="Q20" s="70"/>
      <c r="R20" s="70"/>
      <c r="S20" s="70"/>
      <c r="T20" s="33"/>
      <c r="U20" s="33"/>
      <c r="V20" s="34"/>
    </row>
    <row r="21">
      <c r="A21" s="60"/>
      <c r="B21" s="63"/>
      <c r="C21" s="63"/>
      <c r="D21" s="63"/>
      <c r="E21" s="68" t="s">
        <v>77</v>
      </c>
      <c r="F21" s="69" t="s">
        <v>78</v>
      </c>
      <c r="G21" s="70"/>
      <c r="H21" s="70"/>
      <c r="I21" s="70"/>
      <c r="J21" s="70"/>
      <c r="K21" s="70"/>
      <c r="L21" s="70"/>
      <c r="M21" s="70"/>
      <c r="N21" s="70"/>
      <c r="O21" s="70"/>
      <c r="P21" s="70"/>
      <c r="Q21" s="70"/>
      <c r="R21" s="70"/>
      <c r="S21" s="70"/>
      <c r="T21" s="33"/>
      <c r="U21" s="33"/>
      <c r="V21" s="34"/>
    </row>
    <row r="22">
      <c r="A22" s="60"/>
      <c r="B22" s="63"/>
      <c r="C22" s="63"/>
      <c r="D22" s="63"/>
      <c r="E22" s="68" t="s">
        <v>79</v>
      </c>
      <c r="F22" s="69" t="s">
        <v>80</v>
      </c>
      <c r="G22" s="70"/>
      <c r="H22" s="70"/>
      <c r="I22" s="70"/>
      <c r="J22" s="70"/>
      <c r="K22" s="70"/>
      <c r="L22" s="70"/>
      <c r="M22" s="70"/>
      <c r="N22" s="70"/>
      <c r="O22" s="70"/>
      <c r="P22" s="70"/>
      <c r="Q22" s="70"/>
      <c r="R22" s="70"/>
      <c r="S22" s="70"/>
      <c r="T22" s="33"/>
      <c r="U22" s="33"/>
      <c r="V22" s="34"/>
    </row>
    <row r="23">
      <c r="A23" s="60"/>
      <c r="B23" s="63"/>
      <c r="C23" s="63"/>
      <c r="D23" s="63"/>
      <c r="E23" s="68" t="s">
        <v>81</v>
      </c>
      <c r="F23" s="69" t="s">
        <v>82</v>
      </c>
      <c r="G23" s="70"/>
      <c r="H23" s="70"/>
      <c r="I23" s="70"/>
      <c r="J23" s="70"/>
      <c r="K23" s="70"/>
      <c r="L23" s="70"/>
      <c r="M23" s="70"/>
      <c r="N23" s="70"/>
      <c r="O23" s="70"/>
      <c r="P23" s="70"/>
      <c r="Q23" s="70"/>
      <c r="R23" s="70"/>
      <c r="S23" s="70"/>
      <c r="T23" s="33"/>
      <c r="U23" s="33"/>
      <c r="V23" s="34"/>
    </row>
    <row r="24">
      <c r="A24" s="60"/>
      <c r="B24" s="63"/>
      <c r="C24" s="63"/>
      <c r="D24" s="63"/>
      <c r="E24" s="68" t="s">
        <v>15</v>
      </c>
      <c r="F24" s="69" t="s">
        <v>83</v>
      </c>
      <c r="G24" s="70"/>
      <c r="H24" s="70"/>
      <c r="I24" s="70"/>
      <c r="J24" s="70"/>
      <c r="K24" s="70"/>
      <c r="L24" s="70"/>
      <c r="M24" s="70"/>
      <c r="N24" s="70"/>
      <c r="O24" s="70"/>
      <c r="P24" s="70"/>
      <c r="Q24" s="70"/>
      <c r="R24" s="70"/>
      <c r="S24" s="70"/>
      <c r="T24" s="33"/>
      <c r="U24" s="33"/>
      <c r="V24" s="34"/>
    </row>
    <row r="25">
      <c r="A25" s="60"/>
      <c r="B25" s="63"/>
      <c r="C25" s="63"/>
      <c r="D25" s="63"/>
      <c r="E25" s="68" t="s">
        <v>84</v>
      </c>
      <c r="F25" s="69" t="s">
        <v>85</v>
      </c>
      <c r="G25" s="70"/>
      <c r="H25" s="70"/>
      <c r="I25" s="70"/>
      <c r="J25" s="70"/>
      <c r="K25" s="70"/>
      <c r="L25" s="70"/>
      <c r="M25" s="70"/>
      <c r="N25" s="70"/>
      <c r="O25" s="70"/>
      <c r="P25" s="70"/>
      <c r="Q25" s="70"/>
      <c r="R25" s="70"/>
      <c r="S25" s="70"/>
      <c r="T25" s="33"/>
      <c r="U25" s="33"/>
      <c r="V25" s="34"/>
    </row>
    <row r="26">
      <c r="A26" s="60"/>
      <c r="B26" s="63"/>
      <c r="C26" s="63"/>
      <c r="D26" s="63"/>
      <c r="E26" s="68" t="s">
        <v>87</v>
      </c>
      <c r="F26" s="69" t="s">
        <v>88</v>
      </c>
      <c r="G26" s="70"/>
      <c r="H26" s="70"/>
      <c r="I26" s="70"/>
      <c r="J26" s="70"/>
      <c r="K26" s="70"/>
      <c r="L26" s="70"/>
      <c r="M26" s="70"/>
      <c r="N26" s="70"/>
      <c r="O26" s="70"/>
      <c r="P26" s="70"/>
      <c r="Q26" s="70"/>
      <c r="R26" s="70"/>
      <c r="S26" s="70"/>
      <c r="T26" s="33"/>
      <c r="U26" s="33"/>
      <c r="V26" s="34"/>
    </row>
    <row r="27">
      <c r="A27" s="60"/>
      <c r="B27" s="63"/>
      <c r="C27" s="63"/>
      <c r="D27" s="63"/>
      <c r="E27" s="75" t="s">
        <v>89</v>
      </c>
      <c r="F27" s="76" t="s">
        <v>90</v>
      </c>
      <c r="G27" s="12"/>
      <c r="H27" s="12"/>
      <c r="I27" s="12"/>
      <c r="J27" s="12"/>
      <c r="K27" s="12"/>
      <c r="L27" s="12"/>
      <c r="M27" s="12"/>
      <c r="N27" s="12"/>
      <c r="O27" s="12"/>
      <c r="P27" s="12"/>
      <c r="Q27" s="12"/>
      <c r="R27" s="12"/>
      <c r="S27" s="12"/>
      <c r="T27" s="77"/>
      <c r="U27" s="77"/>
      <c r="V27" s="78"/>
    </row>
    <row r="28">
      <c r="A28" s="60"/>
      <c r="B28" s="63"/>
      <c r="C28" s="63"/>
      <c r="D28" s="63"/>
      <c r="E28" s="19"/>
      <c r="F28" s="63"/>
      <c r="G28" s="63"/>
      <c r="H28" s="21"/>
      <c r="I28" s="21"/>
      <c r="J28" s="21"/>
      <c r="K28" s="21"/>
      <c r="L28" s="21"/>
      <c r="M28" s="21"/>
      <c r="N28" s="21"/>
      <c r="O28" s="21"/>
      <c r="P28" s="21"/>
      <c r="Q28" s="21"/>
      <c r="R28" s="21"/>
      <c r="S28" s="21"/>
      <c r="T28" s="21"/>
      <c r="U28" s="21"/>
      <c r="V28" s="58"/>
    </row>
    <row r="29">
      <c r="A29" s="60"/>
      <c r="B29" s="63"/>
      <c r="C29" s="66" t="s">
        <v>91</v>
      </c>
      <c r="G29" s="63"/>
      <c r="H29" s="21"/>
      <c r="I29" s="21"/>
      <c r="J29" s="21"/>
      <c r="K29" s="21"/>
      <c r="L29" s="21"/>
      <c r="M29" s="21"/>
      <c r="N29" s="21"/>
      <c r="O29" s="21"/>
      <c r="P29" s="21"/>
      <c r="Q29" s="21"/>
      <c r="R29" s="21"/>
      <c r="S29" s="21"/>
      <c r="T29" s="21"/>
      <c r="U29" s="21"/>
      <c r="V29" s="58"/>
    </row>
    <row r="30">
      <c r="A30" s="60"/>
      <c r="B30" s="63"/>
      <c r="C30" s="63"/>
      <c r="D30" s="63"/>
      <c r="E30" s="68" t="s">
        <v>92</v>
      </c>
      <c r="F30" s="32" t="s">
        <v>93</v>
      </c>
      <c r="G30" s="70"/>
      <c r="H30" s="70"/>
      <c r="I30" s="70"/>
      <c r="J30" s="70"/>
      <c r="K30" s="70"/>
      <c r="L30" s="70"/>
      <c r="M30" s="70"/>
      <c r="N30" s="70"/>
      <c r="O30" s="70"/>
      <c r="P30" s="70"/>
      <c r="Q30" s="70"/>
      <c r="R30" s="70"/>
      <c r="S30" s="70"/>
      <c r="T30" s="33"/>
      <c r="U30" s="33"/>
      <c r="V30" s="34"/>
    </row>
    <row r="31">
      <c r="A31" s="60"/>
      <c r="B31" s="63"/>
      <c r="C31" s="63"/>
      <c r="D31" s="63"/>
      <c r="E31" s="87" t="s">
        <v>94</v>
      </c>
      <c r="F31" s="37" t="s">
        <v>95</v>
      </c>
      <c r="G31" s="89"/>
      <c r="H31" s="89"/>
      <c r="I31" s="89"/>
      <c r="J31" s="89"/>
      <c r="K31" s="89"/>
      <c r="L31" s="89"/>
      <c r="M31" s="89"/>
      <c r="N31" s="89"/>
      <c r="O31" s="89"/>
      <c r="P31" s="89"/>
      <c r="Q31" s="89"/>
      <c r="R31" s="89"/>
      <c r="S31" s="89"/>
      <c r="T31" s="38"/>
      <c r="U31" s="38"/>
      <c r="V31" s="39"/>
    </row>
    <row r="32">
      <c r="A32" s="60"/>
      <c r="B32" s="63"/>
      <c r="C32" s="63"/>
      <c r="D32" s="63"/>
      <c r="E32" s="68" t="s">
        <v>97</v>
      </c>
      <c r="F32" s="32" t="s">
        <v>98</v>
      </c>
      <c r="G32" s="70"/>
      <c r="H32" s="70"/>
      <c r="I32" s="70"/>
      <c r="J32" s="70"/>
      <c r="K32" s="70"/>
      <c r="L32" s="70"/>
      <c r="M32" s="70"/>
      <c r="N32" s="70"/>
      <c r="O32" s="70"/>
      <c r="P32" s="70"/>
      <c r="Q32" s="70"/>
      <c r="R32" s="70"/>
      <c r="S32" s="70"/>
      <c r="T32" s="33"/>
      <c r="U32" s="33"/>
      <c r="V32" s="34"/>
    </row>
    <row r="33">
      <c r="A33" s="60"/>
      <c r="B33" s="63"/>
      <c r="C33" s="63"/>
      <c r="D33" s="63"/>
      <c r="E33" s="87" t="s">
        <v>99</v>
      </c>
      <c r="F33" s="37" t="s">
        <v>100</v>
      </c>
      <c r="G33" s="89"/>
      <c r="H33" s="89"/>
      <c r="I33" s="89"/>
      <c r="J33" s="89"/>
      <c r="K33" s="89"/>
      <c r="L33" s="89"/>
      <c r="M33" s="89"/>
      <c r="N33" s="89"/>
      <c r="O33" s="89"/>
      <c r="P33" s="89"/>
      <c r="Q33" s="89"/>
      <c r="R33" s="89"/>
      <c r="S33" s="89"/>
      <c r="T33" s="38"/>
      <c r="U33" s="38"/>
      <c r="V33" s="39"/>
    </row>
    <row r="34">
      <c r="A34" s="60"/>
      <c r="B34" s="63"/>
      <c r="C34" s="63"/>
      <c r="D34" s="63"/>
      <c r="E34" s="87" t="s">
        <v>101</v>
      </c>
      <c r="F34" s="37" t="s">
        <v>102</v>
      </c>
      <c r="G34" s="89"/>
      <c r="H34" s="89"/>
      <c r="I34" s="89"/>
      <c r="J34" s="89"/>
      <c r="K34" s="89"/>
      <c r="L34" s="89"/>
      <c r="M34" s="89"/>
      <c r="N34" s="89"/>
      <c r="O34" s="89"/>
      <c r="P34" s="89"/>
      <c r="Q34" s="89"/>
      <c r="R34" s="89"/>
      <c r="S34" s="89"/>
      <c r="T34" s="38"/>
      <c r="U34" s="38"/>
      <c r="V34" s="39"/>
    </row>
    <row r="35">
      <c r="A35" s="60"/>
      <c r="B35" s="63"/>
      <c r="C35" s="63"/>
      <c r="D35" s="63"/>
      <c r="E35" s="68" t="s">
        <v>104</v>
      </c>
      <c r="F35" s="32" t="s">
        <v>105</v>
      </c>
      <c r="G35" s="70"/>
      <c r="H35" s="70"/>
      <c r="I35" s="70"/>
      <c r="J35" s="70"/>
      <c r="K35" s="70"/>
      <c r="L35" s="70"/>
      <c r="M35" s="70"/>
      <c r="N35" s="70"/>
      <c r="O35" s="70"/>
      <c r="P35" s="70"/>
      <c r="Q35" s="70"/>
      <c r="R35" s="70"/>
      <c r="S35" s="70"/>
      <c r="T35" s="33"/>
      <c r="U35" s="33"/>
      <c r="V35" s="34"/>
    </row>
    <row r="36">
      <c r="A36" s="60"/>
      <c r="B36" s="63"/>
      <c r="C36" s="63"/>
      <c r="D36" s="63"/>
      <c r="E36" s="75" t="s">
        <v>106</v>
      </c>
      <c r="F36" s="94" t="s">
        <v>107</v>
      </c>
      <c r="G36" s="12"/>
      <c r="H36" s="12"/>
      <c r="I36" s="12"/>
      <c r="J36" s="12"/>
      <c r="K36" s="12"/>
      <c r="L36" s="12"/>
      <c r="M36" s="12"/>
      <c r="N36" s="12"/>
      <c r="O36" s="12"/>
      <c r="P36" s="12"/>
      <c r="Q36" s="12"/>
      <c r="R36" s="12"/>
      <c r="S36" s="12"/>
      <c r="T36" s="77"/>
      <c r="U36" s="77"/>
      <c r="V36" s="78"/>
    </row>
    <row r="37">
      <c r="A37" s="60"/>
      <c r="B37" s="63"/>
      <c r="C37" s="63"/>
      <c r="D37" s="63"/>
      <c r="E37" s="64"/>
      <c r="F37" s="63"/>
      <c r="G37" s="63"/>
      <c r="H37" s="21"/>
      <c r="I37" s="21"/>
      <c r="J37" s="21"/>
      <c r="K37" s="21"/>
      <c r="L37" s="21"/>
      <c r="M37" s="21"/>
      <c r="N37" s="21"/>
      <c r="O37" s="21"/>
      <c r="P37" s="21"/>
      <c r="Q37" s="21"/>
      <c r="R37" s="21"/>
      <c r="S37" s="21"/>
      <c r="T37" s="21"/>
      <c r="U37" s="21"/>
      <c r="V37" s="58"/>
    </row>
    <row r="38">
      <c r="A38" s="13" t="s">
        <v>109</v>
      </c>
      <c r="B38" s="14"/>
      <c r="C38" s="14"/>
      <c r="D38" s="14"/>
      <c r="E38" s="14"/>
      <c r="F38" s="14"/>
      <c r="G38" s="14"/>
      <c r="H38" s="15"/>
      <c r="I38" s="15"/>
      <c r="J38" s="15"/>
      <c r="K38" s="15"/>
      <c r="L38" s="15"/>
      <c r="M38" s="15"/>
      <c r="N38" s="15"/>
      <c r="O38" s="15"/>
      <c r="P38" s="15"/>
      <c r="Q38" s="15"/>
      <c r="R38" s="15"/>
      <c r="S38" s="15"/>
      <c r="T38" s="15"/>
      <c r="U38" s="15"/>
      <c r="V38" s="17"/>
    </row>
    <row r="39">
      <c r="A39" s="22"/>
      <c r="B39" s="21"/>
      <c r="C39" s="21"/>
      <c r="D39" s="21"/>
      <c r="E39" s="99"/>
      <c r="F39" s="100"/>
      <c r="G39" s="21"/>
      <c r="H39" s="21"/>
      <c r="I39" s="21"/>
      <c r="J39" s="21"/>
      <c r="K39" s="21"/>
      <c r="L39" s="21"/>
      <c r="M39" s="21"/>
      <c r="N39" s="21"/>
      <c r="O39" s="21"/>
      <c r="P39" s="21"/>
      <c r="Q39" s="21"/>
      <c r="R39" s="21"/>
      <c r="S39" s="21"/>
      <c r="T39" s="21"/>
      <c r="U39" s="21"/>
      <c r="V39" s="58"/>
    </row>
    <row r="40">
      <c r="A40" s="22"/>
      <c r="B40" s="21"/>
      <c r="C40" s="101" t="s">
        <v>110</v>
      </c>
      <c r="F40" s="100"/>
      <c r="G40" s="21"/>
      <c r="H40" s="21"/>
      <c r="I40" s="21"/>
      <c r="J40" s="21"/>
      <c r="K40" s="21"/>
      <c r="L40" s="21"/>
      <c r="M40" s="21"/>
      <c r="N40" s="21"/>
      <c r="O40" s="21"/>
      <c r="P40" s="21"/>
      <c r="Q40" s="21"/>
      <c r="R40" s="21"/>
      <c r="S40" s="21"/>
      <c r="T40" s="21"/>
      <c r="U40" s="21"/>
      <c r="V40" s="58"/>
    </row>
    <row r="41">
      <c r="A41" s="22"/>
      <c r="B41" s="21"/>
      <c r="C41" s="21"/>
      <c r="D41" s="21"/>
      <c r="E41" s="103" t="s">
        <v>111</v>
      </c>
      <c r="F41" s="104" t="s">
        <v>112</v>
      </c>
      <c r="G41" s="33"/>
      <c r="H41" s="33"/>
      <c r="I41" s="33"/>
      <c r="J41" s="33"/>
      <c r="K41" s="33"/>
      <c r="L41" s="33"/>
      <c r="M41" s="33"/>
      <c r="N41" s="33"/>
      <c r="O41" s="33"/>
      <c r="P41" s="33"/>
      <c r="Q41" s="33"/>
      <c r="R41" s="33"/>
      <c r="S41" s="33"/>
      <c r="T41" s="33"/>
      <c r="U41" s="33"/>
      <c r="V41" s="34"/>
    </row>
    <row r="42">
      <c r="A42" s="22"/>
      <c r="B42" s="21"/>
      <c r="C42" s="21"/>
      <c r="D42" s="21"/>
      <c r="E42" s="105" t="s">
        <v>113</v>
      </c>
      <c r="F42" s="106" t="s">
        <v>114</v>
      </c>
      <c r="G42" s="38"/>
      <c r="H42" s="38"/>
      <c r="I42" s="38"/>
      <c r="J42" s="38"/>
      <c r="K42" s="38"/>
      <c r="L42" s="38"/>
      <c r="M42" s="38"/>
      <c r="N42" s="38"/>
      <c r="O42" s="38"/>
      <c r="P42" s="38"/>
      <c r="Q42" s="38"/>
      <c r="R42" s="38"/>
      <c r="S42" s="38"/>
      <c r="T42" s="38"/>
      <c r="U42" s="38"/>
      <c r="V42" s="39"/>
    </row>
    <row r="43">
      <c r="A43" s="22"/>
      <c r="B43" s="21"/>
      <c r="C43" s="21"/>
      <c r="D43" s="21"/>
      <c r="E43" s="105" t="s">
        <v>115</v>
      </c>
      <c r="F43" s="106" t="s">
        <v>116</v>
      </c>
      <c r="G43" s="38"/>
      <c r="H43" s="38"/>
      <c r="I43" s="38"/>
      <c r="J43" s="38"/>
      <c r="K43" s="38"/>
      <c r="L43" s="38"/>
      <c r="M43" s="38"/>
      <c r="N43" s="38"/>
      <c r="O43" s="38"/>
      <c r="P43" s="38"/>
      <c r="Q43" s="38"/>
      <c r="R43" s="38"/>
      <c r="S43" s="38"/>
      <c r="T43" s="38"/>
      <c r="U43" s="38"/>
      <c r="V43" s="39"/>
    </row>
    <row r="44">
      <c r="A44" s="22"/>
      <c r="B44" s="21"/>
      <c r="C44" s="21"/>
      <c r="D44" s="21"/>
      <c r="E44" s="105" t="s">
        <v>118</v>
      </c>
      <c r="F44" s="106" t="s">
        <v>119</v>
      </c>
      <c r="G44" s="38"/>
      <c r="H44" s="38"/>
      <c r="I44" s="38"/>
      <c r="J44" s="38"/>
      <c r="K44" s="38"/>
      <c r="L44" s="38"/>
      <c r="M44" s="38"/>
      <c r="N44" s="38"/>
      <c r="O44" s="38"/>
      <c r="P44" s="38"/>
      <c r="Q44" s="38"/>
      <c r="R44" s="38"/>
      <c r="S44" s="38"/>
      <c r="T44" s="38"/>
      <c r="U44" s="38"/>
      <c r="V44" s="39"/>
    </row>
    <row r="45">
      <c r="A45" s="22"/>
      <c r="B45" s="21"/>
      <c r="C45" s="21"/>
      <c r="D45" s="21"/>
      <c r="E45" s="105" t="s">
        <v>120</v>
      </c>
      <c r="F45" s="106" t="s">
        <v>121</v>
      </c>
      <c r="G45" s="38"/>
      <c r="H45" s="38"/>
      <c r="I45" s="38"/>
      <c r="J45" s="38"/>
      <c r="K45" s="38"/>
      <c r="L45" s="38"/>
      <c r="M45" s="38"/>
      <c r="N45" s="38"/>
      <c r="O45" s="38"/>
      <c r="P45" s="38"/>
      <c r="Q45" s="38"/>
      <c r="R45" s="38"/>
      <c r="S45" s="38"/>
      <c r="T45" s="38"/>
      <c r="U45" s="38"/>
      <c r="V45" s="39"/>
    </row>
    <row r="46">
      <c r="A46" s="22"/>
      <c r="B46" s="21"/>
      <c r="C46" s="21"/>
      <c r="D46" s="21"/>
      <c r="E46" s="105" t="s">
        <v>122</v>
      </c>
      <c r="F46" s="106" t="s">
        <v>123</v>
      </c>
      <c r="G46" s="38"/>
      <c r="H46" s="38"/>
      <c r="I46" s="38"/>
      <c r="J46" s="38"/>
      <c r="K46" s="38"/>
      <c r="L46" s="38"/>
      <c r="M46" s="38"/>
      <c r="N46" s="38"/>
      <c r="O46" s="38"/>
      <c r="P46" s="38"/>
      <c r="Q46" s="38"/>
      <c r="R46" s="38"/>
      <c r="S46" s="38"/>
      <c r="T46" s="38"/>
      <c r="U46" s="38"/>
      <c r="V46" s="39"/>
    </row>
    <row r="47">
      <c r="A47" s="22"/>
      <c r="B47" s="21"/>
      <c r="C47" s="21"/>
      <c r="D47" s="21"/>
      <c r="E47" s="105" t="s">
        <v>125</v>
      </c>
      <c r="F47" s="106" t="s">
        <v>126</v>
      </c>
      <c r="G47" s="38"/>
      <c r="H47" s="38"/>
      <c r="I47" s="38"/>
      <c r="J47" s="38"/>
      <c r="K47" s="38"/>
      <c r="L47" s="38"/>
      <c r="M47" s="38"/>
      <c r="N47" s="38"/>
      <c r="O47" s="38"/>
      <c r="P47" s="38"/>
      <c r="Q47" s="38"/>
      <c r="R47" s="38"/>
      <c r="S47" s="38"/>
      <c r="T47" s="38"/>
      <c r="U47" s="38"/>
      <c r="V47" s="39"/>
    </row>
    <row r="48">
      <c r="A48" s="22"/>
      <c r="B48" s="21"/>
      <c r="C48" s="21"/>
      <c r="D48" s="21"/>
      <c r="E48" s="105" t="s">
        <v>127</v>
      </c>
      <c r="F48" s="106" t="s">
        <v>128</v>
      </c>
      <c r="G48" s="38"/>
      <c r="H48" s="38"/>
      <c r="I48" s="38"/>
      <c r="J48" s="38"/>
      <c r="K48" s="38"/>
      <c r="L48" s="38"/>
      <c r="M48" s="38"/>
      <c r="N48" s="38"/>
      <c r="O48" s="38"/>
      <c r="P48" s="38"/>
      <c r="Q48" s="38"/>
      <c r="R48" s="38"/>
      <c r="S48" s="38"/>
      <c r="T48" s="38"/>
      <c r="U48" s="38"/>
      <c r="V48" s="39"/>
    </row>
    <row r="49">
      <c r="A49" s="22"/>
      <c r="B49" s="21"/>
      <c r="C49" s="21"/>
      <c r="D49" s="21"/>
      <c r="E49" s="114" t="s">
        <v>129</v>
      </c>
      <c r="F49" s="115" t="s">
        <v>130</v>
      </c>
      <c r="G49" s="52"/>
      <c r="H49" s="52"/>
      <c r="I49" s="52"/>
      <c r="J49" s="52"/>
      <c r="K49" s="52"/>
      <c r="L49" s="52"/>
      <c r="M49" s="52"/>
      <c r="N49" s="52"/>
      <c r="O49" s="52"/>
      <c r="P49" s="52"/>
      <c r="Q49" s="52"/>
      <c r="R49" s="52"/>
      <c r="S49" s="52"/>
      <c r="T49" s="52"/>
      <c r="U49" s="52"/>
      <c r="V49" s="55"/>
    </row>
    <row r="50">
      <c r="A50" s="22"/>
      <c r="B50" s="21"/>
      <c r="C50" s="21"/>
      <c r="D50" s="21"/>
      <c r="E50" s="99"/>
      <c r="F50" s="100"/>
      <c r="G50" s="21"/>
      <c r="H50" s="21"/>
      <c r="I50" s="21"/>
      <c r="J50" s="21"/>
      <c r="K50" s="21"/>
      <c r="L50" s="21"/>
      <c r="M50" s="21"/>
      <c r="N50" s="21"/>
      <c r="O50" s="21"/>
      <c r="P50" s="21"/>
      <c r="Q50" s="21"/>
      <c r="R50" s="21"/>
      <c r="S50" s="21"/>
      <c r="T50" s="21"/>
      <c r="U50" s="21"/>
      <c r="V50" s="58"/>
    </row>
    <row r="51">
      <c r="A51" s="22"/>
      <c r="B51" s="21"/>
      <c r="C51" s="101" t="s">
        <v>132</v>
      </c>
      <c r="F51" s="100"/>
      <c r="G51" s="21"/>
      <c r="H51" s="21"/>
      <c r="I51" s="21"/>
      <c r="J51" s="21"/>
      <c r="K51" s="21"/>
      <c r="L51" s="21"/>
      <c r="M51" s="21"/>
      <c r="N51" s="21"/>
      <c r="O51" s="21"/>
      <c r="P51" s="21"/>
      <c r="Q51" s="21"/>
      <c r="R51" s="21"/>
      <c r="S51" s="21"/>
      <c r="T51" s="21"/>
      <c r="U51" s="21"/>
      <c r="V51" s="58"/>
    </row>
    <row r="52">
      <c r="A52" s="22"/>
      <c r="B52" s="21"/>
      <c r="C52" s="21"/>
      <c r="D52" s="21"/>
      <c r="E52" s="99"/>
      <c r="F52" s="100"/>
      <c r="G52" s="21"/>
      <c r="H52" s="21"/>
      <c r="I52" s="21"/>
      <c r="J52" s="21"/>
      <c r="K52" s="21"/>
      <c r="L52" s="21"/>
      <c r="M52" s="21"/>
      <c r="N52" s="21"/>
      <c r="O52" s="21"/>
      <c r="P52" s="21"/>
      <c r="Q52" s="21"/>
      <c r="R52" s="21"/>
      <c r="S52" s="21"/>
      <c r="T52" s="21"/>
      <c r="U52" s="21"/>
      <c r="V52" s="58"/>
    </row>
    <row r="53">
      <c r="A53" s="22"/>
      <c r="B53" s="21"/>
      <c r="C53" s="21"/>
      <c r="D53" s="21"/>
      <c r="E53" s="103" t="s">
        <v>133</v>
      </c>
      <c r="F53" s="104" t="s">
        <v>134</v>
      </c>
      <c r="G53" s="33"/>
      <c r="H53" s="33"/>
      <c r="I53" s="33"/>
      <c r="J53" s="33"/>
      <c r="K53" s="33"/>
      <c r="L53" s="33"/>
      <c r="M53" s="33"/>
      <c r="N53" s="33"/>
      <c r="O53" s="33"/>
      <c r="P53" s="33"/>
      <c r="Q53" s="33"/>
      <c r="R53" s="33"/>
      <c r="S53" s="33"/>
      <c r="T53" s="33"/>
      <c r="U53" s="33"/>
      <c r="V53" s="34"/>
    </row>
    <row r="54">
      <c r="A54" s="22"/>
      <c r="B54" s="21"/>
      <c r="C54" s="21"/>
      <c r="D54" s="21"/>
      <c r="E54" s="105" t="s">
        <v>135</v>
      </c>
      <c r="F54" s="106" t="s">
        <v>136</v>
      </c>
      <c r="G54" s="38"/>
      <c r="H54" s="38"/>
      <c r="I54" s="38"/>
      <c r="J54" s="38"/>
      <c r="K54" s="38"/>
      <c r="L54" s="38"/>
      <c r="M54" s="38"/>
      <c r="N54" s="38"/>
      <c r="O54" s="38"/>
      <c r="P54" s="38"/>
      <c r="Q54" s="38"/>
      <c r="R54" s="38"/>
      <c r="S54" s="38"/>
      <c r="T54" s="38"/>
      <c r="U54" s="38"/>
      <c r="V54" s="39"/>
    </row>
    <row r="55">
      <c r="A55" s="22"/>
      <c r="B55" s="21"/>
      <c r="C55" s="21"/>
      <c r="D55" s="21"/>
      <c r="E55" s="105" t="s">
        <v>137</v>
      </c>
      <c r="F55" s="106" t="s">
        <v>138</v>
      </c>
      <c r="G55" s="38"/>
      <c r="H55" s="38"/>
      <c r="I55" s="38"/>
      <c r="J55" s="38"/>
      <c r="K55" s="38"/>
      <c r="L55" s="38"/>
      <c r="M55" s="38"/>
      <c r="N55" s="38"/>
      <c r="O55" s="38"/>
      <c r="P55" s="38"/>
      <c r="Q55" s="38"/>
      <c r="R55" s="38"/>
      <c r="S55" s="38"/>
      <c r="T55" s="38"/>
      <c r="U55" s="38"/>
      <c r="V55" s="39"/>
    </row>
    <row r="56">
      <c r="A56" s="22"/>
      <c r="B56" s="21"/>
      <c r="C56" s="21"/>
      <c r="D56" s="21"/>
      <c r="E56" s="105" t="s">
        <v>139</v>
      </c>
      <c r="F56" s="106" t="s">
        <v>140</v>
      </c>
      <c r="G56" s="38"/>
      <c r="H56" s="38"/>
      <c r="I56" s="38"/>
      <c r="J56" s="38"/>
      <c r="K56" s="38"/>
      <c r="L56" s="38"/>
      <c r="M56" s="38"/>
      <c r="N56" s="38"/>
      <c r="O56" s="38"/>
      <c r="P56" s="38"/>
      <c r="Q56" s="38"/>
      <c r="R56" s="38"/>
      <c r="S56" s="38"/>
      <c r="T56" s="38"/>
      <c r="U56" s="38"/>
      <c r="V56" s="39"/>
    </row>
    <row r="57">
      <c r="A57" s="22"/>
      <c r="B57" s="21"/>
      <c r="C57" s="21"/>
      <c r="D57" s="21"/>
      <c r="E57" s="114" t="s">
        <v>141</v>
      </c>
      <c r="F57" s="115" t="s">
        <v>142</v>
      </c>
      <c r="G57" s="52"/>
      <c r="H57" s="52"/>
      <c r="I57" s="52"/>
      <c r="J57" s="52"/>
      <c r="K57" s="52"/>
      <c r="L57" s="52"/>
      <c r="M57" s="52"/>
      <c r="N57" s="52"/>
      <c r="O57" s="52"/>
      <c r="P57" s="52"/>
      <c r="Q57" s="52"/>
      <c r="R57" s="52"/>
      <c r="S57" s="52"/>
      <c r="T57" s="52"/>
      <c r="U57" s="52"/>
      <c r="V57" s="55"/>
    </row>
    <row r="58">
      <c r="A58" s="22"/>
      <c r="B58" s="21"/>
      <c r="C58" s="21"/>
      <c r="D58" s="21"/>
      <c r="E58" s="99"/>
      <c r="F58" s="100"/>
      <c r="G58" s="21"/>
      <c r="H58" s="21"/>
      <c r="I58" s="21"/>
      <c r="J58" s="21"/>
      <c r="K58" s="21"/>
      <c r="L58" s="21"/>
      <c r="M58" s="21"/>
      <c r="N58" s="21"/>
      <c r="O58" s="21"/>
      <c r="P58" s="21"/>
      <c r="Q58" s="21"/>
      <c r="R58" s="21"/>
      <c r="S58" s="21"/>
      <c r="T58" s="21"/>
      <c r="U58" s="21"/>
      <c r="V58" s="58"/>
    </row>
    <row r="59">
      <c r="A59" s="13" t="s">
        <v>143</v>
      </c>
      <c r="B59" s="14"/>
      <c r="C59" s="14"/>
      <c r="D59" s="14"/>
      <c r="E59" s="14"/>
      <c r="F59" s="14"/>
      <c r="G59" s="14"/>
      <c r="H59" s="15"/>
      <c r="I59" s="15"/>
      <c r="J59" s="15"/>
      <c r="K59" s="15"/>
      <c r="L59" s="15"/>
      <c r="M59" s="15"/>
      <c r="N59" s="15"/>
      <c r="O59" s="15"/>
      <c r="P59" s="15"/>
      <c r="Q59" s="15"/>
      <c r="R59" s="15"/>
      <c r="S59" s="15"/>
      <c r="T59" s="15"/>
      <c r="U59" s="15"/>
      <c r="V59" s="17"/>
    </row>
    <row r="60">
      <c r="A60" s="123"/>
      <c r="B60" s="21"/>
      <c r="D60" s="21"/>
      <c r="E60" s="124"/>
      <c r="F60" s="100"/>
      <c r="G60" s="21"/>
      <c r="H60" s="21"/>
      <c r="I60" s="21"/>
      <c r="J60" s="21"/>
      <c r="K60" s="21"/>
      <c r="L60" s="21"/>
      <c r="M60" s="21"/>
      <c r="N60" s="21"/>
      <c r="O60" s="21"/>
      <c r="P60" s="21"/>
      <c r="Q60" s="21"/>
      <c r="R60" s="21"/>
      <c r="S60" s="21"/>
      <c r="T60" s="21"/>
      <c r="U60" s="21"/>
      <c r="V60" s="58"/>
    </row>
    <row r="61">
      <c r="A61" s="123"/>
      <c r="B61" s="21"/>
      <c r="C61" s="125" t="s">
        <v>144</v>
      </c>
      <c r="G61" s="21"/>
      <c r="H61" s="21"/>
      <c r="I61" s="21"/>
      <c r="J61" s="21"/>
      <c r="K61" s="21"/>
      <c r="L61" s="21"/>
      <c r="M61" s="21"/>
      <c r="N61" s="21"/>
      <c r="O61" s="21"/>
      <c r="P61" s="21"/>
      <c r="Q61" s="21"/>
      <c r="R61" s="21"/>
      <c r="S61" s="21"/>
      <c r="T61" s="21"/>
      <c r="U61" s="21"/>
      <c r="V61" s="58"/>
    </row>
    <row r="62">
      <c r="A62" s="123"/>
      <c r="B62" s="21"/>
      <c r="D62" s="21"/>
      <c r="E62" s="130" t="s">
        <v>146</v>
      </c>
      <c r="F62" s="132"/>
      <c r="G62" s="33"/>
      <c r="H62" s="33"/>
      <c r="I62" s="33"/>
      <c r="J62" s="33"/>
      <c r="K62" s="33"/>
      <c r="L62" s="33"/>
      <c r="M62" s="33"/>
      <c r="N62" s="33"/>
      <c r="O62" s="33"/>
      <c r="P62" s="33"/>
      <c r="Q62" s="33"/>
      <c r="R62" s="33"/>
      <c r="S62" s="33"/>
      <c r="T62" s="33"/>
      <c r="U62" s="33"/>
      <c r="V62" s="34"/>
    </row>
    <row r="63">
      <c r="A63" s="133"/>
      <c r="B63" s="21"/>
      <c r="D63" s="21"/>
      <c r="E63" s="130" t="s">
        <v>151</v>
      </c>
      <c r="F63" s="132"/>
      <c r="G63" s="33"/>
      <c r="H63" s="33"/>
      <c r="I63" s="33"/>
      <c r="J63" s="33"/>
      <c r="K63" s="33"/>
      <c r="L63" s="33"/>
      <c r="M63" s="33"/>
      <c r="N63" s="33"/>
      <c r="O63" s="33"/>
      <c r="P63" s="33"/>
      <c r="Q63" s="33"/>
      <c r="R63" s="33"/>
      <c r="S63" s="33"/>
      <c r="T63" s="33"/>
      <c r="U63" s="33"/>
      <c r="V63" s="34"/>
    </row>
    <row r="64">
      <c r="A64" s="133"/>
      <c r="B64" s="21"/>
      <c r="D64" s="21"/>
      <c r="E64" s="130" t="s">
        <v>152</v>
      </c>
      <c r="F64" s="134"/>
      <c r="G64" s="38"/>
      <c r="H64" s="38"/>
      <c r="I64" s="38"/>
      <c r="J64" s="38"/>
      <c r="K64" s="38"/>
      <c r="L64" s="38"/>
      <c r="M64" s="38"/>
      <c r="N64" s="38"/>
      <c r="O64" s="38"/>
      <c r="P64" s="38"/>
      <c r="Q64" s="38"/>
      <c r="R64" s="38"/>
      <c r="S64" s="38"/>
      <c r="T64" s="38"/>
      <c r="U64" s="38"/>
      <c r="V64" s="39"/>
    </row>
    <row r="65">
      <c r="A65" s="133"/>
      <c r="B65" s="21"/>
      <c r="D65" s="21"/>
      <c r="E65" s="130" t="s">
        <v>153</v>
      </c>
      <c r="F65" s="134"/>
      <c r="G65" s="38"/>
      <c r="H65" s="38"/>
      <c r="I65" s="38"/>
      <c r="J65" s="38"/>
      <c r="K65" s="38"/>
      <c r="L65" s="38"/>
      <c r="M65" s="38"/>
      <c r="N65" s="38"/>
      <c r="O65" s="38"/>
      <c r="P65" s="38"/>
      <c r="Q65" s="38"/>
      <c r="R65" s="38"/>
      <c r="S65" s="38"/>
      <c r="T65" s="38"/>
      <c r="U65" s="38"/>
      <c r="V65" s="39"/>
    </row>
    <row r="66">
      <c r="A66" s="139"/>
      <c r="B66" s="21"/>
      <c r="D66" s="21"/>
      <c r="E66" s="147" t="s">
        <v>156</v>
      </c>
      <c r="F66" s="148"/>
      <c r="G66" s="77"/>
      <c r="H66" s="77"/>
      <c r="I66" s="77"/>
      <c r="J66" s="77"/>
      <c r="K66" s="77"/>
      <c r="L66" s="77"/>
      <c r="M66" s="77"/>
      <c r="N66" s="77"/>
      <c r="O66" s="77"/>
      <c r="P66" s="77"/>
      <c r="Q66" s="77"/>
      <c r="R66" s="77"/>
      <c r="S66" s="77"/>
      <c r="T66" s="77"/>
      <c r="U66" s="77"/>
      <c r="V66" s="78"/>
    </row>
    <row r="67">
      <c r="A67" s="139"/>
      <c r="B67" s="21"/>
      <c r="D67" s="21"/>
      <c r="E67" s="150"/>
      <c r="F67" s="100"/>
      <c r="G67" s="21"/>
      <c r="H67" s="21"/>
      <c r="I67" s="21"/>
      <c r="J67" s="21"/>
      <c r="K67" s="21"/>
      <c r="L67" s="21"/>
      <c r="M67" s="21"/>
      <c r="N67" s="21"/>
      <c r="O67" s="21"/>
      <c r="P67" s="21"/>
      <c r="Q67" s="21"/>
      <c r="R67" s="21"/>
      <c r="S67" s="21"/>
      <c r="T67" s="21"/>
      <c r="U67" s="21"/>
      <c r="V67" s="58"/>
    </row>
    <row r="68">
      <c r="A68" s="139"/>
      <c r="B68" s="21"/>
      <c r="C68" s="125" t="s">
        <v>159</v>
      </c>
      <c r="G68" s="21"/>
      <c r="H68" s="21"/>
      <c r="I68" s="21"/>
      <c r="J68" s="21"/>
      <c r="K68" s="21"/>
      <c r="L68" s="21"/>
      <c r="M68" s="21"/>
      <c r="N68" s="21"/>
      <c r="O68" s="21"/>
      <c r="P68" s="21"/>
      <c r="Q68" s="21"/>
      <c r="R68" s="21"/>
      <c r="S68" s="21"/>
      <c r="T68" s="21"/>
      <c r="U68" s="21"/>
      <c r="V68" s="58"/>
    </row>
    <row r="69">
      <c r="A69" s="153"/>
      <c r="B69" s="21"/>
      <c r="D69" s="21"/>
      <c r="E69" s="158" t="s">
        <v>160</v>
      </c>
      <c r="F69" s="132"/>
      <c r="G69" s="33"/>
      <c r="H69" s="33"/>
      <c r="I69" s="33"/>
      <c r="J69" s="33"/>
      <c r="K69" s="33"/>
      <c r="L69" s="33"/>
      <c r="M69" s="33"/>
      <c r="N69" s="33"/>
      <c r="O69" s="33"/>
      <c r="P69" s="33"/>
      <c r="Q69" s="33"/>
      <c r="R69" s="33"/>
      <c r="S69" s="33"/>
      <c r="T69" s="33"/>
      <c r="U69" s="33"/>
      <c r="V69" s="34"/>
    </row>
    <row r="70">
      <c r="A70" s="153"/>
      <c r="B70" s="21"/>
      <c r="D70" s="21"/>
      <c r="E70" s="158" t="s">
        <v>161</v>
      </c>
      <c r="F70" s="132"/>
      <c r="G70" s="33"/>
      <c r="H70" s="33"/>
      <c r="I70" s="33"/>
      <c r="J70" s="33"/>
      <c r="K70" s="33"/>
      <c r="L70" s="33"/>
      <c r="M70" s="33"/>
      <c r="N70" s="33"/>
      <c r="O70" s="33"/>
      <c r="P70" s="33"/>
      <c r="Q70" s="33"/>
      <c r="R70" s="33"/>
      <c r="S70" s="33"/>
      <c r="T70" s="33"/>
      <c r="U70" s="33"/>
      <c r="V70" s="34"/>
    </row>
    <row r="71">
      <c r="A71" s="153"/>
      <c r="B71" s="21"/>
      <c r="D71" s="21"/>
      <c r="E71" s="158" t="s">
        <v>162</v>
      </c>
      <c r="F71" s="132"/>
      <c r="G71" s="33"/>
      <c r="H71" s="33"/>
      <c r="I71" s="33"/>
      <c r="J71" s="33"/>
      <c r="K71" s="33"/>
      <c r="L71" s="33"/>
      <c r="M71" s="33"/>
      <c r="N71" s="33"/>
      <c r="O71" s="33"/>
      <c r="P71" s="33"/>
      <c r="Q71" s="33"/>
      <c r="R71" s="33"/>
      <c r="S71" s="33"/>
      <c r="T71" s="33"/>
      <c r="U71" s="33"/>
      <c r="V71" s="34"/>
    </row>
    <row r="72">
      <c r="A72" s="139"/>
      <c r="B72" s="21"/>
      <c r="D72" s="21"/>
      <c r="E72" s="159" t="s">
        <v>163</v>
      </c>
      <c r="F72" s="160"/>
      <c r="G72" s="161"/>
      <c r="H72" s="161"/>
      <c r="I72" s="161"/>
      <c r="J72" s="161"/>
      <c r="K72" s="161"/>
      <c r="L72" s="161"/>
      <c r="M72" s="161"/>
      <c r="N72" s="161"/>
      <c r="O72" s="161"/>
      <c r="P72" s="161"/>
      <c r="Q72" s="161"/>
      <c r="R72" s="161"/>
      <c r="S72" s="161"/>
      <c r="T72" s="161"/>
      <c r="U72" s="161"/>
      <c r="V72" s="162"/>
    </row>
    <row r="73">
      <c r="A73" s="139"/>
      <c r="B73" s="21"/>
      <c r="C73" s="21"/>
      <c r="D73" s="21"/>
      <c r="E73" s="164" t="s">
        <v>164</v>
      </c>
      <c r="F73" s="165"/>
      <c r="G73" s="52"/>
      <c r="H73" s="52"/>
      <c r="I73" s="52"/>
      <c r="J73" s="52"/>
      <c r="K73" s="52"/>
      <c r="L73" s="52"/>
      <c r="M73" s="52"/>
      <c r="N73" s="52"/>
      <c r="O73" s="52"/>
      <c r="P73" s="52"/>
      <c r="Q73" s="52"/>
      <c r="R73" s="52"/>
      <c r="S73" s="52"/>
      <c r="T73" s="52"/>
      <c r="U73" s="52"/>
      <c r="V73" s="55"/>
    </row>
    <row r="74">
      <c r="A74" s="166"/>
      <c r="B74" s="77"/>
      <c r="C74" s="77"/>
      <c r="D74" s="77"/>
      <c r="E74" s="167"/>
      <c r="F74" s="148"/>
      <c r="G74" s="77"/>
      <c r="H74" s="77"/>
      <c r="I74" s="77"/>
      <c r="J74" s="77"/>
      <c r="K74" s="77"/>
      <c r="L74" s="77"/>
      <c r="M74" s="77"/>
      <c r="N74" s="77"/>
      <c r="O74" s="77"/>
      <c r="P74" s="77"/>
      <c r="Q74" s="77"/>
      <c r="R74" s="77"/>
      <c r="S74" s="77"/>
      <c r="T74" s="77"/>
      <c r="U74" s="77"/>
      <c r="V74" s="78"/>
    </row>
  </sheetData>
  <mergeCells count="27">
    <mergeCell ref="A1:G1"/>
    <mergeCell ref="A2:G2"/>
    <mergeCell ref="A16:G16"/>
    <mergeCell ref="C18:F18"/>
    <mergeCell ref="F19:S19"/>
    <mergeCell ref="F20:S20"/>
    <mergeCell ref="F21:S21"/>
    <mergeCell ref="F22:S22"/>
    <mergeCell ref="F23:S23"/>
    <mergeCell ref="F24:S24"/>
    <mergeCell ref="F25:S25"/>
    <mergeCell ref="F26:S26"/>
    <mergeCell ref="F27:S27"/>
    <mergeCell ref="C29:F29"/>
    <mergeCell ref="A38:G38"/>
    <mergeCell ref="C40:E40"/>
    <mergeCell ref="C51:E51"/>
    <mergeCell ref="A59:G59"/>
    <mergeCell ref="C61:F61"/>
    <mergeCell ref="C68:F68"/>
    <mergeCell ref="F30:S30"/>
    <mergeCell ref="F31:S31"/>
    <mergeCell ref="F32:S32"/>
    <mergeCell ref="F33:S33"/>
    <mergeCell ref="F34:S34"/>
    <mergeCell ref="F35:S35"/>
    <mergeCell ref="F36:S36"/>
  </mergeCells>
  <hyperlinks>
    <hyperlink display="Main CEA" location="'Main CEA'!A1" ref="E4"/>
    <hyperlink display="Aggregation across vaccines" location="'Aggregation across vaccines'!A1" ref="E5"/>
    <hyperlink display="Treatment effect" location="'Treatment effect'!A1" ref="E6"/>
    <hyperlink display="Disease burden" location="'Disease burden'!A1" ref="E7"/>
    <hyperlink display="Vaccine coverage" location="'Vaccine coverage'!A1" ref="E8"/>
    <hyperlink display="Vaccine efficacy" location="'Vaccine efficacy'!A1" ref="E9"/>
    <hyperlink display="Leverage/Funging" location="LeverageFunging!A1" ref="E10"/>
    <hyperlink display="Inputs" location="Inputs!A1" ref="E11"/>
    <hyperlink display="GBD estimates" location="'GBD estimates'!A1" ref="E12"/>
    <hyperlink display="Simple CEA" location="'Simple CEA'!A1" ref="E13"/>
    <hyperlink display="Sensitivity analysis" location="'Sensitivity analysis'!A1" ref="E14"/>
    <hyperlink r:id="rId1" ref="E62"/>
    <hyperlink r:id="rId2" location="gid=385883853" ref="E63"/>
    <hyperlink r:id="rId3" ref="E64"/>
    <hyperlink r:id="rId4" ref="E65"/>
    <hyperlink r:id="rId5" ref="E66"/>
    <hyperlink r:id="rId6" location="gid=1087538420" ref="E69"/>
    <hyperlink r:id="rId7" ref="E70"/>
    <hyperlink r:id="rId8" ref="E71"/>
    <hyperlink r:id="rId9" ref="E72"/>
    <hyperlink r:id="rId10" ref="E73"/>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45" width="12.13"/>
    <col customWidth="1" min="46" max="46" width="3.63"/>
  </cols>
  <sheetData>
    <row r="1">
      <c r="A1" s="1"/>
      <c r="B1" s="3"/>
      <c r="C1" s="3"/>
      <c r="D1" s="3"/>
      <c r="E1" s="5"/>
      <c r="F1" s="7"/>
      <c r="G1" s="8"/>
      <c r="H1" s="9"/>
      <c r="I1" s="11" t="s">
        <v>1</v>
      </c>
      <c r="J1" s="12"/>
      <c r="K1" s="12"/>
      <c r="L1" s="12"/>
      <c r="M1" s="12"/>
      <c r="N1" s="12"/>
      <c r="O1" s="12"/>
      <c r="P1" s="12"/>
      <c r="Q1" s="12"/>
      <c r="R1" s="16" t="s">
        <v>3</v>
      </c>
      <c r="S1" s="14"/>
      <c r="T1" s="14"/>
      <c r="U1" s="14"/>
      <c r="V1" s="14"/>
      <c r="W1" s="14"/>
      <c r="X1" s="14"/>
      <c r="Y1" s="14"/>
      <c r="Z1" s="14"/>
      <c r="AA1" s="14"/>
      <c r="AB1" s="14"/>
      <c r="AC1" s="14"/>
      <c r="AD1" s="14"/>
      <c r="AE1" s="14"/>
      <c r="AF1" s="20" t="s">
        <v>3</v>
      </c>
      <c r="AG1" s="14"/>
      <c r="AH1" s="14"/>
      <c r="AI1" s="14"/>
      <c r="AJ1" s="14"/>
      <c r="AK1" s="14"/>
      <c r="AL1" s="14"/>
      <c r="AM1" s="14"/>
      <c r="AN1" s="14"/>
      <c r="AO1" s="14"/>
      <c r="AP1" s="14"/>
      <c r="AQ1" s="14"/>
      <c r="AR1" s="14"/>
      <c r="AS1" s="14"/>
      <c r="AT1" s="23"/>
    </row>
    <row r="2">
      <c r="A2" s="24"/>
      <c r="B2" s="25"/>
      <c r="C2" s="25"/>
      <c r="D2" s="25"/>
      <c r="E2" s="27"/>
      <c r="F2" s="28"/>
      <c r="G2" s="29"/>
      <c r="H2" s="31"/>
      <c r="I2" s="35" t="s">
        <v>7</v>
      </c>
      <c r="J2" s="35" t="s">
        <v>7</v>
      </c>
      <c r="K2" s="35" t="s">
        <v>7</v>
      </c>
      <c r="L2" s="35" t="s">
        <v>7</v>
      </c>
      <c r="M2" s="35" t="s">
        <v>7</v>
      </c>
      <c r="N2" s="35" t="s">
        <v>7</v>
      </c>
      <c r="O2" s="35" t="s">
        <v>7</v>
      </c>
      <c r="P2" s="35" t="s">
        <v>7</v>
      </c>
      <c r="Q2" s="40" t="s">
        <v>7</v>
      </c>
      <c r="R2" s="35" t="s">
        <v>7</v>
      </c>
      <c r="S2" s="35" t="s">
        <v>7</v>
      </c>
      <c r="T2" s="35" t="s">
        <v>7</v>
      </c>
      <c r="U2" s="35" t="s">
        <v>7</v>
      </c>
      <c r="V2" s="35" t="s">
        <v>7</v>
      </c>
      <c r="W2" s="35" t="s">
        <v>7</v>
      </c>
      <c r="X2" s="35" t="s">
        <v>7</v>
      </c>
      <c r="Y2" s="35" t="s">
        <v>7</v>
      </c>
      <c r="Z2" s="35" t="s">
        <v>7</v>
      </c>
      <c r="AA2" s="35" t="s">
        <v>7</v>
      </c>
      <c r="AB2" s="35" t="s">
        <v>7</v>
      </c>
      <c r="AC2" s="35" t="s">
        <v>7</v>
      </c>
      <c r="AD2" s="35" t="s">
        <v>7</v>
      </c>
      <c r="AE2" s="35" t="s">
        <v>7</v>
      </c>
      <c r="AF2" s="35" t="s">
        <v>7</v>
      </c>
      <c r="AG2" s="35" t="s">
        <v>7</v>
      </c>
      <c r="AH2" s="35" t="s">
        <v>7</v>
      </c>
      <c r="AI2" s="35" t="s">
        <v>7</v>
      </c>
      <c r="AJ2" s="35" t="s">
        <v>7</v>
      </c>
      <c r="AK2" s="35" t="s">
        <v>7</v>
      </c>
      <c r="AL2" s="35" t="s">
        <v>7</v>
      </c>
      <c r="AM2" s="35" t="s">
        <v>7</v>
      </c>
      <c r="AN2" s="35" t="s">
        <v>7</v>
      </c>
      <c r="AO2" s="35" t="s">
        <v>7</v>
      </c>
      <c r="AP2" s="35" t="s">
        <v>7</v>
      </c>
      <c r="AQ2" s="35" t="s">
        <v>7</v>
      </c>
      <c r="AR2" s="35" t="s">
        <v>7</v>
      </c>
      <c r="AS2" s="35" t="s">
        <v>7</v>
      </c>
      <c r="AT2" s="42"/>
    </row>
    <row r="3">
      <c r="A3" s="43" t="s">
        <v>18</v>
      </c>
      <c r="B3" s="12"/>
      <c r="C3" s="12"/>
      <c r="D3" s="12"/>
      <c r="E3" s="12"/>
      <c r="F3" s="44" t="s">
        <v>21</v>
      </c>
      <c r="G3" s="45" t="s">
        <v>22</v>
      </c>
      <c r="H3" s="46" t="s">
        <v>24</v>
      </c>
      <c r="I3" s="47" t="s">
        <v>26</v>
      </c>
      <c r="J3" s="47" t="s">
        <v>28</v>
      </c>
      <c r="K3" s="47" t="s">
        <v>30</v>
      </c>
      <c r="L3" s="47" t="s">
        <v>31</v>
      </c>
      <c r="M3" s="47" t="s">
        <v>32</v>
      </c>
      <c r="N3" s="47" t="s">
        <v>33</v>
      </c>
      <c r="O3" s="47" t="s">
        <v>34</v>
      </c>
      <c r="P3" s="47" t="s">
        <v>35</v>
      </c>
      <c r="Q3" s="48" t="s">
        <v>37</v>
      </c>
      <c r="R3" s="47" t="s">
        <v>38</v>
      </c>
      <c r="S3" s="47" t="s">
        <v>39</v>
      </c>
      <c r="T3" s="47" t="s">
        <v>40</v>
      </c>
      <c r="U3" s="47" t="s">
        <v>41</v>
      </c>
      <c r="V3" s="47" t="s">
        <v>42</v>
      </c>
      <c r="W3" s="47" t="s">
        <v>44</v>
      </c>
      <c r="X3" s="47" t="s">
        <v>45</v>
      </c>
      <c r="Y3" s="47" t="s">
        <v>46</v>
      </c>
      <c r="Z3" s="47" t="s">
        <v>47</v>
      </c>
      <c r="AA3" s="47" t="s">
        <v>48</v>
      </c>
      <c r="AB3" s="47" t="s">
        <v>49</v>
      </c>
      <c r="AC3" s="47" t="s">
        <v>50</v>
      </c>
      <c r="AD3" s="47" t="s">
        <v>51</v>
      </c>
      <c r="AE3" s="47" t="s">
        <v>52</v>
      </c>
      <c r="AF3" s="47" t="s">
        <v>53</v>
      </c>
      <c r="AG3" s="47" t="s">
        <v>54</v>
      </c>
      <c r="AH3" s="47" t="s">
        <v>55</v>
      </c>
      <c r="AI3" s="47" t="s">
        <v>56</v>
      </c>
      <c r="AJ3" s="47" t="s">
        <v>57</v>
      </c>
      <c r="AK3" s="47" t="s">
        <v>58</v>
      </c>
      <c r="AL3" s="47" t="s">
        <v>59</v>
      </c>
      <c r="AM3" s="47" t="s">
        <v>60</v>
      </c>
      <c r="AN3" s="47" t="s">
        <v>61</v>
      </c>
      <c r="AO3" s="47" t="s">
        <v>63</v>
      </c>
      <c r="AP3" s="47" t="s">
        <v>64</v>
      </c>
      <c r="AQ3" s="47" t="s">
        <v>65</v>
      </c>
      <c r="AR3" s="47" t="s">
        <v>66</v>
      </c>
      <c r="AS3" s="47" t="s">
        <v>67</v>
      </c>
      <c r="AT3" s="53"/>
    </row>
    <row r="4">
      <c r="A4" s="54"/>
      <c r="B4" s="56"/>
      <c r="C4" s="56"/>
      <c r="D4" s="56"/>
      <c r="E4" s="57" t="s">
        <v>68</v>
      </c>
      <c r="F4" s="61" t="str">
        <f>F241</f>
        <v>xcash</v>
      </c>
      <c r="G4" s="62" t="s">
        <v>71</v>
      </c>
      <c r="H4" s="65" t="str">
        <f t="shared" ref="H4:AS4" si="1">H241</f>
        <v>-</v>
      </c>
      <c r="I4" s="67">
        <f t="shared" si="1"/>
        <v>23.79888889</v>
      </c>
      <c r="J4" s="67">
        <f t="shared" si="1"/>
        <v>10.80064073</v>
      </c>
      <c r="K4" s="67">
        <f t="shared" si="1"/>
        <v>19.89994382</v>
      </c>
      <c r="L4" s="67">
        <f t="shared" si="1"/>
        <v>5.656827509</v>
      </c>
      <c r="M4" s="67">
        <f t="shared" si="1"/>
        <v>13.12917563</v>
      </c>
      <c r="N4" s="67">
        <f t="shared" si="1"/>
        <v>20.32981152</v>
      </c>
      <c r="O4" s="67">
        <f t="shared" si="1"/>
        <v>31.53213901</v>
      </c>
      <c r="P4" s="67">
        <f t="shared" si="1"/>
        <v>51.33089054</v>
      </c>
      <c r="Q4" s="67">
        <f t="shared" si="1"/>
        <v>38.10262623</v>
      </c>
      <c r="R4" s="67">
        <f t="shared" si="1"/>
        <v>1.867786341</v>
      </c>
      <c r="S4" s="67">
        <f t="shared" si="1"/>
        <v>4.225686691</v>
      </c>
      <c r="T4" s="67">
        <f t="shared" si="1"/>
        <v>1.768109683</v>
      </c>
      <c r="U4" s="67">
        <f t="shared" si="1"/>
        <v>2.150636078</v>
      </c>
      <c r="V4" s="67">
        <f t="shared" si="1"/>
        <v>2.992986954</v>
      </c>
      <c r="W4" s="67">
        <f t="shared" si="1"/>
        <v>3.694768058</v>
      </c>
      <c r="X4" s="67">
        <f t="shared" si="1"/>
        <v>7.445203475</v>
      </c>
      <c r="Y4" s="67">
        <f t="shared" si="1"/>
        <v>1.470093695</v>
      </c>
      <c r="Z4" s="67">
        <f t="shared" si="1"/>
        <v>2.491823062</v>
      </c>
      <c r="AA4" s="67">
        <f t="shared" si="1"/>
        <v>0.9010486621</v>
      </c>
      <c r="AB4" s="67">
        <f t="shared" si="1"/>
        <v>1.689729482</v>
      </c>
      <c r="AC4" s="67">
        <f t="shared" si="1"/>
        <v>1.163916063</v>
      </c>
      <c r="AD4" s="67">
        <f t="shared" si="1"/>
        <v>0.9454095081</v>
      </c>
      <c r="AE4" s="67">
        <f t="shared" si="1"/>
        <v>1.452673546</v>
      </c>
      <c r="AF4" s="67">
        <f t="shared" si="1"/>
        <v>1.113372117</v>
      </c>
      <c r="AG4" s="67">
        <f t="shared" si="1"/>
        <v>2.326412741</v>
      </c>
      <c r="AH4" s="67">
        <f t="shared" si="1"/>
        <v>2.58552318</v>
      </c>
      <c r="AI4" s="67">
        <f t="shared" si="1"/>
        <v>1.057455961</v>
      </c>
      <c r="AJ4" s="67">
        <f t="shared" si="1"/>
        <v>4.122478511</v>
      </c>
      <c r="AK4" s="67">
        <f t="shared" si="1"/>
        <v>8.328347179</v>
      </c>
      <c r="AL4" s="67">
        <f t="shared" si="1"/>
        <v>3.316423642</v>
      </c>
      <c r="AM4" s="67">
        <f t="shared" si="1"/>
        <v>2.891797582</v>
      </c>
      <c r="AN4" s="67">
        <f t="shared" si="1"/>
        <v>1.109345771</v>
      </c>
      <c r="AO4" s="67">
        <f t="shared" si="1"/>
        <v>1.997283971</v>
      </c>
      <c r="AP4" s="67">
        <f t="shared" si="1"/>
        <v>2.667363328</v>
      </c>
      <c r="AQ4" s="67">
        <f t="shared" si="1"/>
        <v>1.639182556</v>
      </c>
      <c r="AR4" s="67">
        <f t="shared" si="1"/>
        <v>7.705572783</v>
      </c>
      <c r="AS4" s="67">
        <f t="shared" si="1"/>
        <v>6.722833091</v>
      </c>
      <c r="AT4" s="71"/>
    </row>
    <row r="5">
      <c r="A5" s="72" t="s">
        <v>86</v>
      </c>
      <c r="B5" s="14"/>
      <c r="C5" s="14"/>
      <c r="D5" s="14"/>
      <c r="E5" s="14"/>
      <c r="F5" s="14"/>
      <c r="G5" s="14"/>
      <c r="H5" s="73"/>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9"/>
    </row>
    <row r="6">
      <c r="A6" s="80"/>
      <c r="B6" s="81"/>
      <c r="C6" s="81"/>
      <c r="D6" s="81"/>
      <c r="E6" s="82"/>
      <c r="F6" s="83"/>
      <c r="G6" s="84"/>
      <c r="H6" s="85"/>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8"/>
    </row>
    <row r="7">
      <c r="A7" s="80"/>
      <c r="B7" s="81"/>
      <c r="C7" s="90" t="s">
        <v>96</v>
      </c>
      <c r="F7" s="83"/>
      <c r="G7" s="91"/>
      <c r="H7" s="85"/>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8"/>
    </row>
    <row r="8">
      <c r="A8" s="80"/>
      <c r="B8" s="81"/>
      <c r="C8" s="81"/>
      <c r="D8" s="81"/>
      <c r="E8" s="92" t="s">
        <v>103</v>
      </c>
      <c r="F8" s="93" t="str">
        <f>Inputs!F8</f>
        <v>$</v>
      </c>
      <c r="G8" s="95" t="str">
        <f>Inputs!G8</f>
        <v>input</v>
      </c>
      <c r="H8" s="96">
        <f>Inputs!H8</f>
        <v>1000000</v>
      </c>
      <c r="I8" s="98" t="str">
        <f>Inputs!I8</f>
        <v>-</v>
      </c>
      <c r="J8" s="98" t="str">
        <f>Inputs!J8</f>
        <v>-</v>
      </c>
      <c r="K8" s="98" t="str">
        <f>Inputs!K8</f>
        <v>-</v>
      </c>
      <c r="L8" s="98" t="str">
        <f>Inputs!L8</f>
        <v>-</v>
      </c>
      <c r="M8" s="98" t="str">
        <f>Inputs!M8</f>
        <v>-</v>
      </c>
      <c r="N8" s="98" t="str">
        <f>Inputs!N8</f>
        <v>-</v>
      </c>
      <c r="O8" s="98" t="str">
        <f>Inputs!O8</f>
        <v>-</v>
      </c>
      <c r="P8" s="98" t="str">
        <f>Inputs!P8</f>
        <v>-</v>
      </c>
      <c r="Q8" s="98" t="str">
        <f>Inputs!Q8</f>
        <v>-</v>
      </c>
      <c r="R8" s="98" t="str">
        <f>Inputs!R8</f>
        <v>-</v>
      </c>
      <c r="S8" s="98" t="str">
        <f>Inputs!S8</f>
        <v>-</v>
      </c>
      <c r="T8" s="98" t="str">
        <f>Inputs!T8</f>
        <v>-</v>
      </c>
      <c r="U8" s="98" t="str">
        <f>Inputs!U8</f>
        <v>-</v>
      </c>
      <c r="V8" s="98" t="str">
        <f>Inputs!V8</f>
        <v>-</v>
      </c>
      <c r="W8" s="98" t="str">
        <f>Inputs!W8</f>
        <v>-</v>
      </c>
      <c r="X8" s="98" t="str">
        <f>Inputs!X8</f>
        <v>-</v>
      </c>
      <c r="Y8" s="98" t="str">
        <f>Inputs!Y8</f>
        <v>-</v>
      </c>
      <c r="Z8" s="98" t="str">
        <f>Inputs!Z8</f>
        <v>-</v>
      </c>
      <c r="AA8" s="98" t="str">
        <f>Inputs!AA8</f>
        <v>-</v>
      </c>
      <c r="AB8" s="98" t="str">
        <f>Inputs!AB8</f>
        <v>-</v>
      </c>
      <c r="AC8" s="98" t="str">
        <f>Inputs!AC8</f>
        <v>-</v>
      </c>
      <c r="AD8" s="98" t="str">
        <f>Inputs!AD8</f>
        <v>-</v>
      </c>
      <c r="AE8" s="98" t="str">
        <f>Inputs!AE8</f>
        <v>-</v>
      </c>
      <c r="AF8" s="98" t="str">
        <f>Inputs!AF8</f>
        <v>-</v>
      </c>
      <c r="AG8" s="98" t="str">
        <f>Inputs!AG8</f>
        <v>-</v>
      </c>
      <c r="AH8" s="98" t="str">
        <f>Inputs!AH8</f>
        <v>-</v>
      </c>
      <c r="AI8" s="98" t="str">
        <f>Inputs!AI8</f>
        <v>-</v>
      </c>
      <c r="AJ8" s="98" t="str">
        <f>Inputs!AJ8</f>
        <v>-</v>
      </c>
      <c r="AK8" s="98" t="str">
        <f>Inputs!AK8</f>
        <v>-</v>
      </c>
      <c r="AL8" s="98" t="str">
        <f>Inputs!AL8</f>
        <v>-</v>
      </c>
      <c r="AM8" s="98" t="str">
        <f>Inputs!AM8</f>
        <v>-</v>
      </c>
      <c r="AN8" s="98" t="str">
        <f>Inputs!AN8</f>
        <v>-</v>
      </c>
      <c r="AO8" s="98" t="str">
        <f>Inputs!AO8</f>
        <v>-</v>
      </c>
      <c r="AP8" s="98" t="str">
        <f>Inputs!AP8</f>
        <v>-</v>
      </c>
      <c r="AQ8" s="98" t="str">
        <f>Inputs!AQ8</f>
        <v>-</v>
      </c>
      <c r="AR8" s="98" t="str">
        <f>Inputs!AR8</f>
        <v>-</v>
      </c>
      <c r="AS8" s="98" t="str">
        <f>Inputs!AS8</f>
        <v>-</v>
      </c>
      <c r="AT8" s="120"/>
    </row>
    <row r="9">
      <c r="A9" s="80"/>
      <c r="B9" s="81"/>
      <c r="C9" s="81"/>
      <c r="D9" s="81"/>
      <c r="E9" s="121"/>
      <c r="F9" s="108"/>
      <c r="G9" s="122"/>
      <c r="H9" s="85"/>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8"/>
    </row>
    <row r="10">
      <c r="A10" s="80"/>
      <c r="B10" s="81"/>
      <c r="C10" s="126" t="s">
        <v>145</v>
      </c>
      <c r="F10" s="108"/>
      <c r="G10" s="127"/>
      <c r="H10" s="85"/>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8"/>
    </row>
    <row r="11">
      <c r="A11" s="80"/>
      <c r="B11" s="81"/>
      <c r="C11" s="126"/>
      <c r="D11" s="81"/>
      <c r="E11" s="92" t="s">
        <v>148</v>
      </c>
      <c r="F11" s="93" t="s">
        <v>118</v>
      </c>
      <c r="G11" s="128" t="s">
        <v>149</v>
      </c>
      <c r="H11" s="129" t="s">
        <v>150</v>
      </c>
      <c r="I11" s="131">
        <f t="shared" ref="I11:AS11" si="2">IF(I8="-",$H8,I8)</f>
        <v>1000000</v>
      </c>
      <c r="J11" s="131">
        <f t="shared" si="2"/>
        <v>1000000</v>
      </c>
      <c r="K11" s="131">
        <f t="shared" si="2"/>
        <v>1000000</v>
      </c>
      <c r="L11" s="131">
        <f t="shared" si="2"/>
        <v>1000000</v>
      </c>
      <c r="M11" s="131">
        <f t="shared" si="2"/>
        <v>1000000</v>
      </c>
      <c r="N11" s="131">
        <f t="shared" si="2"/>
        <v>1000000</v>
      </c>
      <c r="O11" s="131">
        <f t="shared" si="2"/>
        <v>1000000</v>
      </c>
      <c r="P11" s="131">
        <f t="shared" si="2"/>
        <v>1000000</v>
      </c>
      <c r="Q11" s="131">
        <f t="shared" si="2"/>
        <v>1000000</v>
      </c>
      <c r="R11" s="131">
        <f t="shared" si="2"/>
        <v>1000000</v>
      </c>
      <c r="S11" s="131">
        <f t="shared" si="2"/>
        <v>1000000</v>
      </c>
      <c r="T11" s="131">
        <f t="shared" si="2"/>
        <v>1000000</v>
      </c>
      <c r="U11" s="131">
        <f t="shared" si="2"/>
        <v>1000000</v>
      </c>
      <c r="V11" s="131">
        <f t="shared" si="2"/>
        <v>1000000</v>
      </c>
      <c r="W11" s="131">
        <f t="shared" si="2"/>
        <v>1000000</v>
      </c>
      <c r="X11" s="131">
        <f t="shared" si="2"/>
        <v>1000000</v>
      </c>
      <c r="Y11" s="131">
        <f t="shared" si="2"/>
        <v>1000000</v>
      </c>
      <c r="Z11" s="131">
        <f t="shared" si="2"/>
        <v>1000000</v>
      </c>
      <c r="AA11" s="131">
        <f t="shared" si="2"/>
        <v>1000000</v>
      </c>
      <c r="AB11" s="131">
        <f t="shared" si="2"/>
        <v>1000000</v>
      </c>
      <c r="AC11" s="131">
        <f t="shared" si="2"/>
        <v>1000000</v>
      </c>
      <c r="AD11" s="131">
        <f t="shared" si="2"/>
        <v>1000000</v>
      </c>
      <c r="AE11" s="131">
        <f t="shared" si="2"/>
        <v>1000000</v>
      </c>
      <c r="AF11" s="131">
        <f t="shared" si="2"/>
        <v>1000000</v>
      </c>
      <c r="AG11" s="131">
        <f t="shared" si="2"/>
        <v>1000000</v>
      </c>
      <c r="AH11" s="131">
        <f t="shared" si="2"/>
        <v>1000000</v>
      </c>
      <c r="AI11" s="131">
        <f t="shared" si="2"/>
        <v>1000000</v>
      </c>
      <c r="AJ11" s="131">
        <f t="shared" si="2"/>
        <v>1000000</v>
      </c>
      <c r="AK11" s="131">
        <f t="shared" si="2"/>
        <v>1000000</v>
      </c>
      <c r="AL11" s="131">
        <f t="shared" si="2"/>
        <v>1000000</v>
      </c>
      <c r="AM11" s="131">
        <f t="shared" si="2"/>
        <v>1000000</v>
      </c>
      <c r="AN11" s="131">
        <f t="shared" si="2"/>
        <v>1000000</v>
      </c>
      <c r="AO11" s="131">
        <f t="shared" si="2"/>
        <v>1000000</v>
      </c>
      <c r="AP11" s="131">
        <f t="shared" si="2"/>
        <v>1000000</v>
      </c>
      <c r="AQ11" s="131">
        <f t="shared" si="2"/>
        <v>1000000</v>
      </c>
      <c r="AR11" s="131">
        <f t="shared" si="2"/>
        <v>1000000</v>
      </c>
      <c r="AS11" s="131">
        <f t="shared" si="2"/>
        <v>1000000</v>
      </c>
      <c r="AT11" s="120"/>
    </row>
    <row r="12">
      <c r="A12" s="80"/>
      <c r="B12" s="81"/>
      <c r="C12" s="126"/>
      <c r="D12" s="81"/>
      <c r="E12" s="121"/>
      <c r="F12" s="108"/>
      <c r="G12" s="127"/>
      <c r="H12" s="85"/>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8"/>
    </row>
    <row r="13">
      <c r="A13" s="80"/>
      <c r="B13" s="81"/>
      <c r="C13" s="126" t="s">
        <v>154</v>
      </c>
      <c r="F13" s="137"/>
      <c r="G13" s="138"/>
      <c r="H13" s="85"/>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8"/>
    </row>
    <row r="14">
      <c r="A14" s="80"/>
      <c r="B14" s="81"/>
      <c r="C14" s="143"/>
      <c r="D14" s="144"/>
      <c r="E14" s="92" t="s">
        <v>158</v>
      </c>
      <c r="F14" s="93" t="str">
        <f>Inputs!F11</f>
        <v>$</v>
      </c>
      <c r="G14" s="128" t="str">
        <f>Inputs!G11</f>
        <v>input</v>
      </c>
      <c r="H14" s="152">
        <f>Inputs!H11</f>
        <v>21.27455</v>
      </c>
      <c r="I14" s="155" t="str">
        <f>Inputs!I11</f>
        <v>-</v>
      </c>
      <c r="J14" s="155" t="str">
        <f>Inputs!J11</f>
        <v>-</v>
      </c>
      <c r="K14" s="155" t="str">
        <f>Inputs!K11</f>
        <v>-</v>
      </c>
      <c r="L14" s="155" t="str">
        <f>Inputs!L11</f>
        <v>-</v>
      </c>
      <c r="M14" s="155" t="str">
        <f>Inputs!M11</f>
        <v>-</v>
      </c>
      <c r="N14" s="155" t="str">
        <f>Inputs!N11</f>
        <v>-</v>
      </c>
      <c r="O14" s="155" t="str">
        <f>Inputs!O11</f>
        <v>-</v>
      </c>
      <c r="P14" s="155" t="str">
        <f>Inputs!P11</f>
        <v>-</v>
      </c>
      <c r="Q14" s="155" t="str">
        <f>Inputs!Q11</f>
        <v>-</v>
      </c>
      <c r="R14" s="155" t="str">
        <f>Inputs!R11</f>
        <v>-</v>
      </c>
      <c r="S14" s="155" t="str">
        <f>Inputs!S11</f>
        <v>-</v>
      </c>
      <c r="T14" s="155" t="str">
        <f>Inputs!T11</f>
        <v>-</v>
      </c>
      <c r="U14" s="155" t="str">
        <f>Inputs!U11</f>
        <v>-</v>
      </c>
      <c r="V14" s="155" t="str">
        <f>Inputs!V11</f>
        <v>-</v>
      </c>
      <c r="W14" s="155" t="str">
        <f>Inputs!W11</f>
        <v>-</v>
      </c>
      <c r="X14" s="155" t="str">
        <f>Inputs!X11</f>
        <v>-</v>
      </c>
      <c r="Y14" s="155" t="str">
        <f>Inputs!Y11</f>
        <v>-</v>
      </c>
      <c r="Z14" s="155" t="str">
        <f>Inputs!Z11</f>
        <v>-</v>
      </c>
      <c r="AA14" s="155" t="str">
        <f>Inputs!AA11</f>
        <v>-</v>
      </c>
      <c r="AB14" s="155" t="str">
        <f>Inputs!AB11</f>
        <v>-</v>
      </c>
      <c r="AC14" s="155" t="str">
        <f>Inputs!AC11</f>
        <v>-</v>
      </c>
      <c r="AD14" s="155" t="str">
        <f>Inputs!AD11</f>
        <v>-</v>
      </c>
      <c r="AE14" s="155" t="str">
        <f>Inputs!AE11</f>
        <v>-</v>
      </c>
      <c r="AF14" s="155" t="str">
        <f>Inputs!AF11</f>
        <v>-</v>
      </c>
      <c r="AG14" s="155" t="str">
        <f>Inputs!AG11</f>
        <v>-</v>
      </c>
      <c r="AH14" s="155" t="str">
        <f>Inputs!AH11</f>
        <v>-</v>
      </c>
      <c r="AI14" s="155" t="str">
        <f>Inputs!AI11</f>
        <v>-</v>
      </c>
      <c r="AJ14" s="155" t="str">
        <f>Inputs!AJ11</f>
        <v>-</v>
      </c>
      <c r="AK14" s="155" t="str">
        <f>Inputs!AK11</f>
        <v>-</v>
      </c>
      <c r="AL14" s="155" t="str">
        <f>Inputs!AL11</f>
        <v>-</v>
      </c>
      <c r="AM14" s="155" t="str">
        <f>Inputs!AM11</f>
        <v>-</v>
      </c>
      <c r="AN14" s="155" t="str">
        <f>Inputs!AN11</f>
        <v>-</v>
      </c>
      <c r="AO14" s="155" t="str">
        <f>Inputs!AO11</f>
        <v>-</v>
      </c>
      <c r="AP14" s="155" t="str">
        <f>Inputs!AP11</f>
        <v>-</v>
      </c>
      <c r="AQ14" s="155" t="str">
        <f>Inputs!AQ11</f>
        <v>-</v>
      </c>
      <c r="AR14" s="155" t="str">
        <f>Inputs!AR11</f>
        <v>-</v>
      </c>
      <c r="AS14" s="155" t="str">
        <f>Inputs!AS11</f>
        <v>-</v>
      </c>
      <c r="AT14" s="120"/>
    </row>
    <row r="15">
      <c r="A15" s="80"/>
      <c r="B15" s="81"/>
      <c r="C15" s="126"/>
      <c r="D15" s="81"/>
      <c r="E15" s="121"/>
      <c r="F15" s="108"/>
      <c r="G15" s="127"/>
      <c r="H15" s="85"/>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8"/>
    </row>
    <row r="16">
      <c r="A16" s="72" t="s">
        <v>166</v>
      </c>
      <c r="B16" s="14"/>
      <c r="C16" s="14"/>
      <c r="D16" s="14"/>
      <c r="E16" s="14"/>
      <c r="F16" s="14"/>
      <c r="G16" s="14"/>
      <c r="H16" s="168"/>
      <c r="I16" s="169"/>
      <c r="J16" s="169"/>
      <c r="K16" s="169"/>
      <c r="L16" s="169"/>
      <c r="M16" s="169"/>
      <c r="N16" s="169"/>
      <c r="O16" s="169"/>
      <c r="P16" s="169"/>
      <c r="Q16" s="169"/>
      <c r="R16" s="169"/>
      <c r="S16" s="169"/>
      <c r="T16" s="169"/>
      <c r="U16" s="169"/>
      <c r="V16" s="169"/>
      <c r="W16" s="169"/>
      <c r="X16" s="169"/>
      <c r="Y16" s="169"/>
      <c r="Z16" s="169"/>
      <c r="AA16" s="169"/>
      <c r="AB16" s="169"/>
      <c r="AC16" s="169"/>
      <c r="AD16" s="169"/>
      <c r="AE16" s="169"/>
      <c r="AF16" s="169"/>
      <c r="AG16" s="169"/>
      <c r="AH16" s="169"/>
      <c r="AI16" s="169"/>
      <c r="AJ16" s="169"/>
      <c r="AK16" s="169"/>
      <c r="AL16" s="169"/>
      <c r="AM16" s="169"/>
      <c r="AN16" s="169"/>
      <c r="AO16" s="169"/>
      <c r="AP16" s="169"/>
      <c r="AQ16" s="169"/>
      <c r="AR16" s="169"/>
      <c r="AS16" s="169"/>
      <c r="AT16" s="171"/>
    </row>
    <row r="17">
      <c r="A17" s="80"/>
      <c r="B17" s="81"/>
      <c r="C17" s="81"/>
      <c r="D17" s="81"/>
      <c r="E17" s="82"/>
      <c r="F17" s="83"/>
      <c r="G17" s="173"/>
      <c r="H17" s="85"/>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88"/>
    </row>
    <row r="18">
      <c r="A18" s="80"/>
      <c r="B18" s="81"/>
      <c r="C18" s="90" t="s">
        <v>168</v>
      </c>
      <c r="F18" s="108"/>
      <c r="G18" s="177"/>
      <c r="H18" s="178"/>
      <c r="I18" s="180"/>
      <c r="J18" s="180"/>
      <c r="K18" s="180"/>
      <c r="L18" s="180"/>
      <c r="M18" s="180"/>
      <c r="N18" s="180"/>
      <c r="O18" s="180"/>
      <c r="P18" s="180"/>
      <c r="Q18" s="180"/>
      <c r="R18" s="180"/>
      <c r="S18" s="180"/>
      <c r="T18" s="180"/>
      <c r="U18" s="180"/>
      <c r="V18" s="180"/>
      <c r="W18" s="180"/>
      <c r="X18" s="180"/>
      <c r="Y18" s="180"/>
      <c r="Z18" s="180"/>
      <c r="AA18" s="180"/>
      <c r="AB18" s="180"/>
      <c r="AC18" s="180"/>
      <c r="AD18" s="180"/>
      <c r="AE18" s="180"/>
      <c r="AF18" s="180"/>
      <c r="AG18" s="180"/>
      <c r="AH18" s="180"/>
      <c r="AI18" s="180"/>
      <c r="AJ18" s="180"/>
      <c r="AK18" s="180"/>
      <c r="AL18" s="180"/>
      <c r="AM18" s="180"/>
      <c r="AN18" s="180"/>
      <c r="AO18" s="180"/>
      <c r="AP18" s="180"/>
      <c r="AQ18" s="180"/>
      <c r="AR18" s="180"/>
      <c r="AS18" s="180"/>
      <c r="AT18" s="88"/>
    </row>
    <row r="19">
      <c r="A19" s="80"/>
      <c r="B19" s="81"/>
      <c r="C19" s="181"/>
      <c r="D19" s="81"/>
      <c r="E19" s="92" t="s">
        <v>169</v>
      </c>
      <c r="F19" s="93" t="s">
        <v>111</v>
      </c>
      <c r="G19" s="182" t="s">
        <v>149</v>
      </c>
      <c r="H19" s="129" t="s">
        <v>150</v>
      </c>
      <c r="I19" s="183">
        <f t="shared" ref="I19:AS19" si="3">I11/$H14</f>
        <v>47004.51948</v>
      </c>
      <c r="J19" s="183">
        <f t="shared" si="3"/>
        <v>47004.51948</v>
      </c>
      <c r="K19" s="183">
        <f t="shared" si="3"/>
        <v>47004.51948</v>
      </c>
      <c r="L19" s="183">
        <f t="shared" si="3"/>
        <v>47004.51948</v>
      </c>
      <c r="M19" s="183">
        <f t="shared" si="3"/>
        <v>47004.51948</v>
      </c>
      <c r="N19" s="183">
        <f t="shared" si="3"/>
        <v>47004.51948</v>
      </c>
      <c r="O19" s="183">
        <f t="shared" si="3"/>
        <v>47004.51948</v>
      </c>
      <c r="P19" s="183">
        <f t="shared" si="3"/>
        <v>47004.51948</v>
      </c>
      <c r="Q19" s="183">
        <f t="shared" si="3"/>
        <v>47004.51948</v>
      </c>
      <c r="R19" s="183">
        <f t="shared" si="3"/>
        <v>47004.51948</v>
      </c>
      <c r="S19" s="183">
        <f t="shared" si="3"/>
        <v>47004.51948</v>
      </c>
      <c r="T19" s="183">
        <f t="shared" si="3"/>
        <v>47004.51948</v>
      </c>
      <c r="U19" s="183">
        <f t="shared" si="3"/>
        <v>47004.51948</v>
      </c>
      <c r="V19" s="183">
        <f t="shared" si="3"/>
        <v>47004.51948</v>
      </c>
      <c r="W19" s="183">
        <f t="shared" si="3"/>
        <v>47004.51948</v>
      </c>
      <c r="X19" s="183">
        <f t="shared" si="3"/>
        <v>47004.51948</v>
      </c>
      <c r="Y19" s="183">
        <f t="shared" si="3"/>
        <v>47004.51948</v>
      </c>
      <c r="Z19" s="183">
        <f t="shared" si="3"/>
        <v>47004.51948</v>
      </c>
      <c r="AA19" s="183">
        <f t="shared" si="3"/>
        <v>47004.51948</v>
      </c>
      <c r="AB19" s="183">
        <f t="shared" si="3"/>
        <v>47004.51948</v>
      </c>
      <c r="AC19" s="183">
        <f t="shared" si="3"/>
        <v>47004.51948</v>
      </c>
      <c r="AD19" s="183">
        <f t="shared" si="3"/>
        <v>47004.51948</v>
      </c>
      <c r="AE19" s="183">
        <f t="shared" si="3"/>
        <v>47004.51948</v>
      </c>
      <c r="AF19" s="183">
        <f t="shared" si="3"/>
        <v>47004.51948</v>
      </c>
      <c r="AG19" s="183">
        <f t="shared" si="3"/>
        <v>47004.51948</v>
      </c>
      <c r="AH19" s="183">
        <f t="shared" si="3"/>
        <v>47004.51948</v>
      </c>
      <c r="AI19" s="183">
        <f t="shared" si="3"/>
        <v>47004.51948</v>
      </c>
      <c r="AJ19" s="183">
        <f t="shared" si="3"/>
        <v>47004.51948</v>
      </c>
      <c r="AK19" s="183">
        <f t="shared" si="3"/>
        <v>47004.51948</v>
      </c>
      <c r="AL19" s="183">
        <f t="shared" si="3"/>
        <v>47004.51948</v>
      </c>
      <c r="AM19" s="183">
        <f t="shared" si="3"/>
        <v>47004.51948</v>
      </c>
      <c r="AN19" s="183">
        <f t="shared" si="3"/>
        <v>47004.51948</v>
      </c>
      <c r="AO19" s="183">
        <f t="shared" si="3"/>
        <v>47004.51948</v>
      </c>
      <c r="AP19" s="183">
        <f t="shared" si="3"/>
        <v>47004.51948</v>
      </c>
      <c r="AQ19" s="183">
        <f t="shared" si="3"/>
        <v>47004.51948</v>
      </c>
      <c r="AR19" s="183">
        <f t="shared" si="3"/>
        <v>47004.51948</v>
      </c>
      <c r="AS19" s="183">
        <f t="shared" si="3"/>
        <v>47004.51948</v>
      </c>
      <c r="AT19" s="120"/>
    </row>
    <row r="20">
      <c r="A20" s="80"/>
      <c r="B20" s="81"/>
      <c r="C20" s="181"/>
      <c r="D20" s="81"/>
      <c r="E20" s="121"/>
      <c r="F20" s="108"/>
      <c r="G20" s="122"/>
      <c r="H20" s="110"/>
      <c r="I20" s="184"/>
      <c r="J20" s="184"/>
      <c r="K20" s="184"/>
      <c r="L20" s="184"/>
      <c r="M20" s="184"/>
      <c r="N20" s="184"/>
      <c r="O20" s="184"/>
      <c r="P20" s="184"/>
      <c r="Q20" s="184"/>
      <c r="R20" s="184"/>
      <c r="S20" s="184"/>
      <c r="T20" s="184"/>
      <c r="U20" s="184"/>
      <c r="V20" s="184"/>
      <c r="W20" s="184"/>
      <c r="X20" s="184"/>
      <c r="Y20" s="184"/>
      <c r="Z20" s="184"/>
      <c r="AA20" s="184"/>
      <c r="AB20" s="184"/>
      <c r="AC20" s="184"/>
      <c r="AD20" s="184"/>
      <c r="AE20" s="184"/>
      <c r="AF20" s="184"/>
      <c r="AG20" s="184"/>
      <c r="AH20" s="184"/>
      <c r="AI20" s="184"/>
      <c r="AJ20" s="184"/>
      <c r="AK20" s="184"/>
      <c r="AL20" s="184"/>
      <c r="AM20" s="184"/>
      <c r="AN20" s="184"/>
      <c r="AO20" s="184"/>
      <c r="AP20" s="184"/>
      <c r="AQ20" s="184"/>
      <c r="AR20" s="184"/>
      <c r="AS20" s="184"/>
      <c r="AT20" s="185"/>
    </row>
    <row r="21">
      <c r="A21" s="80"/>
      <c r="B21" s="81"/>
      <c r="C21" s="186" t="s">
        <v>170</v>
      </c>
      <c r="F21" s="108"/>
      <c r="G21" s="122"/>
      <c r="H21" s="110"/>
      <c r="I21" s="184"/>
      <c r="J21" s="184"/>
      <c r="K21" s="184"/>
      <c r="L21" s="184"/>
      <c r="M21" s="184"/>
      <c r="N21" s="184"/>
      <c r="O21" s="184"/>
      <c r="P21" s="184"/>
      <c r="Q21" s="184"/>
      <c r="R21" s="184"/>
      <c r="S21" s="184"/>
      <c r="T21" s="184"/>
      <c r="U21" s="184"/>
      <c r="V21" s="184"/>
      <c r="W21" s="184"/>
      <c r="X21" s="184"/>
      <c r="Y21" s="184"/>
      <c r="Z21" s="184"/>
      <c r="AA21" s="184"/>
      <c r="AB21" s="184"/>
      <c r="AC21" s="184"/>
      <c r="AD21" s="184"/>
      <c r="AE21" s="184"/>
      <c r="AF21" s="184"/>
      <c r="AG21" s="184"/>
      <c r="AH21" s="184"/>
      <c r="AI21" s="184"/>
      <c r="AJ21" s="184"/>
      <c r="AK21" s="184"/>
      <c r="AL21" s="184"/>
      <c r="AM21" s="184"/>
      <c r="AN21" s="184"/>
      <c r="AO21" s="184"/>
      <c r="AP21" s="184"/>
      <c r="AQ21" s="184"/>
      <c r="AR21" s="184"/>
      <c r="AS21" s="184"/>
      <c r="AT21" s="185"/>
    </row>
    <row r="22">
      <c r="A22" s="80"/>
      <c r="B22" s="81"/>
      <c r="C22" s="181"/>
      <c r="D22" s="81"/>
      <c r="E22" s="188" t="s">
        <v>172</v>
      </c>
      <c r="F22" s="189" t="str">
        <f>Inputs!F220</f>
        <v>%</v>
      </c>
      <c r="G22" s="190" t="str">
        <f>Inputs!G220</f>
        <v>input</v>
      </c>
      <c r="H22" s="191">
        <f>Inputs!H220</f>
        <v>0.95</v>
      </c>
      <c r="I22" s="192" t="str">
        <f>Inputs!I220</f>
        <v>-</v>
      </c>
      <c r="J22" s="192" t="str">
        <f>Inputs!J220</f>
        <v>-</v>
      </c>
      <c r="K22" s="192" t="str">
        <f>Inputs!K220</f>
        <v>-</v>
      </c>
      <c r="L22" s="192" t="str">
        <f>Inputs!L220</f>
        <v>-</v>
      </c>
      <c r="M22" s="192" t="str">
        <f>Inputs!M220</f>
        <v>-</v>
      </c>
      <c r="N22" s="192" t="str">
        <f>Inputs!N220</f>
        <v>-</v>
      </c>
      <c r="O22" s="192" t="str">
        <f>Inputs!O220</f>
        <v>-</v>
      </c>
      <c r="P22" s="192" t="str">
        <f>Inputs!P220</f>
        <v>-</v>
      </c>
      <c r="Q22" s="192" t="str">
        <f>Inputs!Q220</f>
        <v>-</v>
      </c>
      <c r="R22" s="192" t="str">
        <f>Inputs!R220</f>
        <v>-</v>
      </c>
      <c r="S22" s="192" t="str">
        <f>Inputs!S220</f>
        <v>-</v>
      </c>
      <c r="T22" s="192" t="str">
        <f>Inputs!T220</f>
        <v>-</v>
      </c>
      <c r="U22" s="192" t="str">
        <f>Inputs!U220</f>
        <v>-</v>
      </c>
      <c r="V22" s="192" t="str">
        <f>Inputs!V220</f>
        <v>-</v>
      </c>
      <c r="W22" s="192" t="str">
        <f>Inputs!W220</f>
        <v>-</v>
      </c>
      <c r="X22" s="192" t="str">
        <f>Inputs!X220</f>
        <v>-</v>
      </c>
      <c r="Y22" s="192" t="str">
        <f>Inputs!Y220</f>
        <v>-</v>
      </c>
      <c r="Z22" s="192" t="str">
        <f>Inputs!Z220</f>
        <v>-</v>
      </c>
      <c r="AA22" s="192" t="str">
        <f>Inputs!AA220</f>
        <v>-</v>
      </c>
      <c r="AB22" s="192" t="str">
        <f>Inputs!AB220</f>
        <v>-</v>
      </c>
      <c r="AC22" s="192" t="str">
        <f>Inputs!AC220</f>
        <v>-</v>
      </c>
      <c r="AD22" s="192" t="str">
        <f>Inputs!AD220</f>
        <v>-</v>
      </c>
      <c r="AE22" s="192" t="str">
        <f>Inputs!AE220</f>
        <v>-</v>
      </c>
      <c r="AF22" s="192" t="str">
        <f>Inputs!AF220</f>
        <v>-</v>
      </c>
      <c r="AG22" s="192" t="str">
        <f>Inputs!AG220</f>
        <v>-</v>
      </c>
      <c r="AH22" s="192" t="str">
        <f>Inputs!AH220</f>
        <v>-</v>
      </c>
      <c r="AI22" s="192" t="str">
        <f>Inputs!AI220</f>
        <v>-</v>
      </c>
      <c r="AJ22" s="192" t="str">
        <f>Inputs!AJ220</f>
        <v>-</v>
      </c>
      <c r="AK22" s="192" t="str">
        <f>Inputs!AK220</f>
        <v>-</v>
      </c>
      <c r="AL22" s="192" t="str">
        <f>Inputs!AL220</f>
        <v>-</v>
      </c>
      <c r="AM22" s="192" t="str">
        <f>Inputs!AM220</f>
        <v>-</v>
      </c>
      <c r="AN22" s="192" t="str">
        <f>Inputs!AN220</f>
        <v>-</v>
      </c>
      <c r="AO22" s="192" t="str">
        <f>Inputs!AO220</f>
        <v>-</v>
      </c>
      <c r="AP22" s="192" t="str">
        <f>Inputs!AP220</f>
        <v>-</v>
      </c>
      <c r="AQ22" s="192" t="str">
        <f>Inputs!AQ220</f>
        <v>-</v>
      </c>
      <c r="AR22" s="192" t="str">
        <f>Inputs!AR220</f>
        <v>-</v>
      </c>
      <c r="AS22" s="192" t="str">
        <f>Inputs!AS220</f>
        <v>-</v>
      </c>
      <c r="AT22" s="193"/>
    </row>
    <row r="23">
      <c r="A23" s="80"/>
      <c r="B23" s="81"/>
      <c r="C23" s="181"/>
      <c r="D23" s="81"/>
      <c r="E23" s="194" t="s">
        <v>175</v>
      </c>
      <c r="F23" s="195" t="s">
        <v>122</v>
      </c>
      <c r="G23" s="196" t="s">
        <v>149</v>
      </c>
      <c r="H23" s="197" t="s">
        <v>150</v>
      </c>
      <c r="I23" s="198">
        <f t="shared" ref="I23:AS23" si="4">I19/$H22</f>
        <v>49478.44156</v>
      </c>
      <c r="J23" s="198">
        <f t="shared" si="4"/>
        <v>49478.44156</v>
      </c>
      <c r="K23" s="198">
        <f t="shared" si="4"/>
        <v>49478.44156</v>
      </c>
      <c r="L23" s="198">
        <f t="shared" si="4"/>
        <v>49478.44156</v>
      </c>
      <c r="M23" s="198">
        <f t="shared" si="4"/>
        <v>49478.44156</v>
      </c>
      <c r="N23" s="198">
        <f t="shared" si="4"/>
        <v>49478.44156</v>
      </c>
      <c r="O23" s="198">
        <f t="shared" si="4"/>
        <v>49478.44156</v>
      </c>
      <c r="P23" s="198">
        <f t="shared" si="4"/>
        <v>49478.44156</v>
      </c>
      <c r="Q23" s="198">
        <f t="shared" si="4"/>
        <v>49478.44156</v>
      </c>
      <c r="R23" s="198">
        <f t="shared" si="4"/>
        <v>49478.44156</v>
      </c>
      <c r="S23" s="198">
        <f t="shared" si="4"/>
        <v>49478.44156</v>
      </c>
      <c r="T23" s="198">
        <f t="shared" si="4"/>
        <v>49478.44156</v>
      </c>
      <c r="U23" s="198">
        <f t="shared" si="4"/>
        <v>49478.44156</v>
      </c>
      <c r="V23" s="198">
        <f t="shared" si="4"/>
        <v>49478.44156</v>
      </c>
      <c r="W23" s="198">
        <f t="shared" si="4"/>
        <v>49478.44156</v>
      </c>
      <c r="X23" s="198">
        <f t="shared" si="4"/>
        <v>49478.44156</v>
      </c>
      <c r="Y23" s="198">
        <f t="shared" si="4"/>
        <v>49478.44156</v>
      </c>
      <c r="Z23" s="198">
        <f t="shared" si="4"/>
        <v>49478.44156</v>
      </c>
      <c r="AA23" s="198">
        <f t="shared" si="4"/>
        <v>49478.44156</v>
      </c>
      <c r="AB23" s="198">
        <f t="shared" si="4"/>
        <v>49478.44156</v>
      </c>
      <c r="AC23" s="198">
        <f t="shared" si="4"/>
        <v>49478.44156</v>
      </c>
      <c r="AD23" s="198">
        <f t="shared" si="4"/>
        <v>49478.44156</v>
      </c>
      <c r="AE23" s="198">
        <f t="shared" si="4"/>
        <v>49478.44156</v>
      </c>
      <c r="AF23" s="198">
        <f t="shared" si="4"/>
        <v>49478.44156</v>
      </c>
      <c r="AG23" s="198">
        <f t="shared" si="4"/>
        <v>49478.44156</v>
      </c>
      <c r="AH23" s="198">
        <f t="shared" si="4"/>
        <v>49478.44156</v>
      </c>
      <c r="AI23" s="198">
        <f t="shared" si="4"/>
        <v>49478.44156</v>
      </c>
      <c r="AJ23" s="198">
        <f t="shared" si="4"/>
        <v>49478.44156</v>
      </c>
      <c r="AK23" s="198">
        <f t="shared" si="4"/>
        <v>49478.44156</v>
      </c>
      <c r="AL23" s="198">
        <f t="shared" si="4"/>
        <v>49478.44156</v>
      </c>
      <c r="AM23" s="198">
        <f t="shared" si="4"/>
        <v>49478.44156</v>
      </c>
      <c r="AN23" s="198">
        <f t="shared" si="4"/>
        <v>49478.44156</v>
      </c>
      <c r="AO23" s="198">
        <f t="shared" si="4"/>
        <v>49478.44156</v>
      </c>
      <c r="AP23" s="198">
        <f t="shared" si="4"/>
        <v>49478.44156</v>
      </c>
      <c r="AQ23" s="198">
        <f t="shared" si="4"/>
        <v>49478.44156</v>
      </c>
      <c r="AR23" s="198">
        <f t="shared" si="4"/>
        <v>49478.44156</v>
      </c>
      <c r="AS23" s="198">
        <f t="shared" si="4"/>
        <v>49478.44156</v>
      </c>
      <c r="AT23" s="199"/>
    </row>
    <row r="24">
      <c r="A24" s="80"/>
      <c r="B24" s="81"/>
      <c r="C24" s="186"/>
      <c r="D24" s="186"/>
      <c r="E24" s="186"/>
      <c r="F24" s="108"/>
      <c r="G24" s="122"/>
      <c r="H24" s="110"/>
      <c r="I24" s="184"/>
      <c r="J24" s="184"/>
      <c r="K24" s="184"/>
      <c r="L24" s="184"/>
      <c r="M24" s="184"/>
      <c r="N24" s="184"/>
      <c r="O24" s="184"/>
      <c r="P24" s="184"/>
      <c r="Q24" s="184"/>
      <c r="R24" s="184"/>
      <c r="S24" s="184"/>
      <c r="T24" s="184"/>
      <c r="U24" s="184"/>
      <c r="V24" s="184"/>
      <c r="W24" s="184"/>
      <c r="X24" s="184"/>
      <c r="Y24" s="184"/>
      <c r="Z24" s="184"/>
      <c r="AA24" s="184"/>
      <c r="AB24" s="184"/>
      <c r="AC24" s="184"/>
      <c r="AD24" s="184"/>
      <c r="AE24" s="184"/>
      <c r="AF24" s="184"/>
      <c r="AG24" s="184"/>
      <c r="AH24" s="184"/>
      <c r="AI24" s="184"/>
      <c r="AJ24" s="184"/>
      <c r="AK24" s="184"/>
      <c r="AL24" s="184"/>
      <c r="AM24" s="184"/>
      <c r="AN24" s="184"/>
      <c r="AO24" s="184"/>
      <c r="AP24" s="184"/>
      <c r="AQ24" s="184"/>
      <c r="AR24" s="184"/>
      <c r="AS24" s="184"/>
      <c r="AT24" s="185"/>
    </row>
    <row r="25">
      <c r="A25" s="80"/>
      <c r="B25" s="81"/>
      <c r="C25" s="186" t="s">
        <v>177</v>
      </c>
      <c r="F25" s="108"/>
      <c r="G25" s="122"/>
      <c r="H25" s="110"/>
      <c r="I25" s="184"/>
      <c r="J25" s="184"/>
      <c r="K25" s="184"/>
      <c r="L25" s="184"/>
      <c r="M25" s="184"/>
      <c r="N25" s="184"/>
      <c r="O25" s="184"/>
      <c r="P25" s="184"/>
      <c r="Q25" s="184"/>
      <c r="R25" s="184"/>
      <c r="S25" s="184"/>
      <c r="T25" s="184"/>
      <c r="U25" s="184"/>
      <c r="V25" s="184"/>
      <c r="W25" s="184"/>
      <c r="X25" s="184"/>
      <c r="Y25" s="184"/>
      <c r="Z25" s="184"/>
      <c r="AA25" s="184"/>
      <c r="AB25" s="184"/>
      <c r="AC25" s="184"/>
      <c r="AD25" s="184"/>
      <c r="AE25" s="184"/>
      <c r="AF25" s="184"/>
      <c r="AG25" s="184"/>
      <c r="AH25" s="184"/>
      <c r="AI25" s="184"/>
      <c r="AJ25" s="184"/>
      <c r="AK25" s="184"/>
      <c r="AL25" s="184"/>
      <c r="AM25" s="184"/>
      <c r="AN25" s="184"/>
      <c r="AO25" s="184"/>
      <c r="AP25" s="184"/>
      <c r="AQ25" s="184"/>
      <c r="AR25" s="184"/>
      <c r="AS25" s="184"/>
      <c r="AT25" s="185"/>
    </row>
    <row r="26">
      <c r="A26" s="80"/>
      <c r="B26" s="81"/>
      <c r="C26" s="181"/>
      <c r="D26" s="81"/>
      <c r="E26" s="188" t="s">
        <v>178</v>
      </c>
      <c r="F26" s="189" t="str">
        <f>'Aggregation across vaccines'!F32</f>
        <v>%</v>
      </c>
      <c r="G26" s="190" t="s">
        <v>131</v>
      </c>
      <c r="H26" s="200" t="str">
        <f>'Aggregation across vaccines'!H32</f>
        <v>-</v>
      </c>
      <c r="I26" s="192">
        <f>'Aggregation across vaccines'!I32</f>
        <v>0.4761300281</v>
      </c>
      <c r="J26" s="192">
        <f>'Aggregation across vaccines'!J32</f>
        <v>0.6251843528</v>
      </c>
      <c r="K26" s="192">
        <f>'Aggregation across vaccines'!K32</f>
        <v>0.5528129733</v>
      </c>
      <c r="L26" s="192">
        <f>'Aggregation across vaccines'!L32</f>
        <v>0.6933291563</v>
      </c>
      <c r="M26" s="192">
        <f>'Aggregation across vaccines'!M32</f>
        <v>0.5342880238</v>
      </c>
      <c r="N26" s="192">
        <f>'Aggregation across vaccines'!N32</f>
        <v>0.4395449628</v>
      </c>
      <c r="O26" s="192">
        <f>'Aggregation across vaccines'!O32</f>
        <v>0.3220588437</v>
      </c>
      <c r="P26" s="192">
        <f>'Aggregation across vaccines'!P32</f>
        <v>0.2468534974</v>
      </c>
      <c r="Q26" s="192">
        <f>'Aggregation across vaccines'!Q32</f>
        <v>0.4043043091</v>
      </c>
      <c r="R26" s="192">
        <f>'Aggregation across vaccines'!R32</f>
        <v>0.8608670444</v>
      </c>
      <c r="S26" s="192">
        <f>'Aggregation across vaccines'!S32</f>
        <v>0.8280267804</v>
      </c>
      <c r="T26" s="192">
        <f>'Aggregation across vaccines'!T32</f>
        <v>0.8233143801</v>
      </c>
      <c r="U26" s="192">
        <f>'Aggregation across vaccines'!U32</f>
        <v>0.786060012</v>
      </c>
      <c r="V26" s="192">
        <f>'Aggregation across vaccines'!V32</f>
        <v>0.7563921052</v>
      </c>
      <c r="W26" s="192">
        <f>'Aggregation across vaccines'!W32</f>
        <v>0.75686895</v>
      </c>
      <c r="X26" s="192">
        <f>'Aggregation across vaccines'!X32</f>
        <v>0.4970810194</v>
      </c>
      <c r="Y26" s="192">
        <f>'Aggregation across vaccines'!Y32</f>
        <v>0.9070380793</v>
      </c>
      <c r="Z26" s="192">
        <f>'Aggregation across vaccines'!Z32</f>
        <v>0.7719426375</v>
      </c>
      <c r="AA26" s="192">
        <f>'Aggregation across vaccines'!AA32</f>
        <v>0.9896096766</v>
      </c>
      <c r="AB26" s="192">
        <f>'Aggregation across vaccines'!AB32</f>
        <v>0.8815121049</v>
      </c>
      <c r="AC26" s="192">
        <f>'Aggregation across vaccines'!AC32</f>
        <v>0.9347043063</v>
      </c>
      <c r="AD26" s="192">
        <f>'Aggregation across vaccines'!AD32</f>
        <v>0.9636721294</v>
      </c>
      <c r="AE26" s="192">
        <f>'Aggregation across vaccines'!AE32</f>
        <v>0.8941248143</v>
      </c>
      <c r="AF26" s="192">
        <f>'Aggregation across vaccines'!AF32</f>
        <v>0.920143366</v>
      </c>
      <c r="AG26" s="192">
        <f>'Aggregation across vaccines'!AG32</f>
        <v>0.7862790677</v>
      </c>
      <c r="AH26" s="192">
        <f>'Aggregation across vaccines'!AH32</f>
        <v>0.6384432525</v>
      </c>
      <c r="AI26" s="192">
        <f>'Aggregation across vaccines'!AI32</f>
        <v>0.9039463062</v>
      </c>
      <c r="AJ26" s="192">
        <f>'Aggregation across vaccines'!AJ32</f>
        <v>0.6774437988</v>
      </c>
      <c r="AK26" s="192">
        <f>'Aggregation across vaccines'!AK32</f>
        <v>0.5563163881</v>
      </c>
      <c r="AL26" s="192">
        <f>'Aggregation across vaccines'!AL32</f>
        <v>0.6096694887</v>
      </c>
      <c r="AM26" s="192">
        <f>'Aggregation across vaccines'!AM32</f>
        <v>0.6942211718</v>
      </c>
      <c r="AN26" s="192">
        <f>'Aggregation across vaccines'!AN32</f>
        <v>0.8718803815</v>
      </c>
      <c r="AO26" s="192">
        <f>'Aggregation across vaccines'!AO32</f>
        <v>0.6899389248</v>
      </c>
      <c r="AP26" s="192">
        <f>'Aggregation across vaccines'!AP32</f>
        <v>0.7642869352</v>
      </c>
      <c r="AQ26" s="192">
        <f>'Aggregation across vaccines'!AQ32</f>
        <v>0.8733713109</v>
      </c>
      <c r="AR26" s="192">
        <f>'Aggregation across vaccines'!AR32</f>
        <v>0.6923552577</v>
      </c>
      <c r="AS26" s="192">
        <f>'Aggregation across vaccines'!AS32</f>
        <v>0.7167238763</v>
      </c>
      <c r="AT26" s="193"/>
    </row>
    <row r="27">
      <c r="A27" s="80"/>
      <c r="B27" s="81"/>
      <c r="C27" s="181"/>
      <c r="D27" s="81"/>
      <c r="E27" s="194" t="s">
        <v>185</v>
      </c>
      <c r="F27" s="195" t="s">
        <v>122</v>
      </c>
      <c r="G27" s="196" t="s">
        <v>149</v>
      </c>
      <c r="H27" s="197" t="s">
        <v>150</v>
      </c>
      <c r="I27" s="211">
        <f t="shared" ref="I27:AS27" si="5">1-I26</f>
        <v>0.5238699719</v>
      </c>
      <c r="J27" s="211">
        <f t="shared" si="5"/>
        <v>0.3748156472</v>
      </c>
      <c r="K27" s="211">
        <f t="shared" si="5"/>
        <v>0.4471870267</v>
      </c>
      <c r="L27" s="211">
        <f t="shared" si="5"/>
        <v>0.3066708437</v>
      </c>
      <c r="M27" s="211">
        <f t="shared" si="5"/>
        <v>0.4657119762</v>
      </c>
      <c r="N27" s="211">
        <f t="shared" si="5"/>
        <v>0.5604550372</v>
      </c>
      <c r="O27" s="211">
        <f t="shared" si="5"/>
        <v>0.6779411563</v>
      </c>
      <c r="P27" s="211">
        <f t="shared" si="5"/>
        <v>0.7531465026</v>
      </c>
      <c r="Q27" s="211">
        <f t="shared" si="5"/>
        <v>0.5956956909</v>
      </c>
      <c r="R27" s="211">
        <f t="shared" si="5"/>
        <v>0.1391329556</v>
      </c>
      <c r="S27" s="211">
        <f t="shared" si="5"/>
        <v>0.1719732196</v>
      </c>
      <c r="T27" s="211">
        <f t="shared" si="5"/>
        <v>0.1766856199</v>
      </c>
      <c r="U27" s="211">
        <f t="shared" si="5"/>
        <v>0.213939988</v>
      </c>
      <c r="V27" s="211">
        <f t="shared" si="5"/>
        <v>0.2436078948</v>
      </c>
      <c r="W27" s="211">
        <f t="shared" si="5"/>
        <v>0.24313105</v>
      </c>
      <c r="X27" s="211">
        <f t="shared" si="5"/>
        <v>0.5029189806</v>
      </c>
      <c r="Y27" s="211">
        <f t="shared" si="5"/>
        <v>0.09296192075</v>
      </c>
      <c r="Z27" s="211">
        <f t="shared" si="5"/>
        <v>0.2280573625</v>
      </c>
      <c r="AA27" s="211">
        <f t="shared" si="5"/>
        <v>0.01039032336</v>
      </c>
      <c r="AB27" s="211">
        <f t="shared" si="5"/>
        <v>0.1184878951</v>
      </c>
      <c r="AC27" s="211">
        <f t="shared" si="5"/>
        <v>0.06529569372</v>
      </c>
      <c r="AD27" s="211">
        <f t="shared" si="5"/>
        <v>0.03632787064</v>
      </c>
      <c r="AE27" s="211">
        <f t="shared" si="5"/>
        <v>0.1058751857</v>
      </c>
      <c r="AF27" s="211">
        <f t="shared" si="5"/>
        <v>0.07985663397</v>
      </c>
      <c r="AG27" s="211">
        <f t="shared" si="5"/>
        <v>0.2137209323</v>
      </c>
      <c r="AH27" s="211">
        <f t="shared" si="5"/>
        <v>0.3615567475</v>
      </c>
      <c r="AI27" s="211">
        <f t="shared" si="5"/>
        <v>0.09605369376</v>
      </c>
      <c r="AJ27" s="211">
        <f t="shared" si="5"/>
        <v>0.3225562012</v>
      </c>
      <c r="AK27" s="211">
        <f t="shared" si="5"/>
        <v>0.4436836119</v>
      </c>
      <c r="AL27" s="211">
        <f t="shared" si="5"/>
        <v>0.3903305113</v>
      </c>
      <c r="AM27" s="211">
        <f t="shared" si="5"/>
        <v>0.3057788282</v>
      </c>
      <c r="AN27" s="211">
        <f t="shared" si="5"/>
        <v>0.1281196185</v>
      </c>
      <c r="AO27" s="211">
        <f t="shared" si="5"/>
        <v>0.3100610752</v>
      </c>
      <c r="AP27" s="211">
        <f t="shared" si="5"/>
        <v>0.2357130648</v>
      </c>
      <c r="AQ27" s="211">
        <f t="shared" si="5"/>
        <v>0.1266286891</v>
      </c>
      <c r="AR27" s="211">
        <f t="shared" si="5"/>
        <v>0.3076447423</v>
      </c>
      <c r="AS27" s="211">
        <f t="shared" si="5"/>
        <v>0.2832761237</v>
      </c>
      <c r="AT27" s="199"/>
    </row>
    <row r="28">
      <c r="A28" s="80"/>
      <c r="B28" s="81"/>
      <c r="C28" s="181"/>
      <c r="D28" s="81"/>
      <c r="E28" s="121"/>
      <c r="F28" s="108"/>
      <c r="G28" s="122"/>
      <c r="H28" s="110"/>
      <c r="I28" s="184"/>
      <c r="J28" s="184"/>
      <c r="K28" s="184"/>
      <c r="L28" s="184"/>
      <c r="M28" s="184"/>
      <c r="N28" s="184"/>
      <c r="O28" s="184"/>
      <c r="P28" s="184"/>
      <c r="Q28" s="184"/>
      <c r="R28" s="184"/>
      <c r="S28" s="184"/>
      <c r="T28" s="184"/>
      <c r="U28" s="184"/>
      <c r="V28" s="184"/>
      <c r="W28" s="184"/>
      <c r="X28" s="184"/>
      <c r="Y28" s="184"/>
      <c r="Z28" s="184"/>
      <c r="AA28" s="184"/>
      <c r="AB28" s="184"/>
      <c r="AC28" s="184"/>
      <c r="AD28" s="184"/>
      <c r="AE28" s="184"/>
      <c r="AF28" s="184"/>
      <c r="AG28" s="184"/>
      <c r="AH28" s="184"/>
      <c r="AI28" s="184"/>
      <c r="AJ28" s="184"/>
      <c r="AK28" s="184"/>
      <c r="AL28" s="184"/>
      <c r="AM28" s="184"/>
      <c r="AN28" s="184"/>
      <c r="AO28" s="184"/>
      <c r="AP28" s="184"/>
      <c r="AQ28" s="184"/>
      <c r="AR28" s="184"/>
      <c r="AS28" s="184"/>
      <c r="AT28" s="185"/>
    </row>
    <row r="29">
      <c r="A29" s="80"/>
      <c r="B29" s="81"/>
      <c r="C29" s="186" t="s">
        <v>188</v>
      </c>
      <c r="F29" s="108"/>
      <c r="G29" s="122"/>
      <c r="H29" s="110"/>
      <c r="I29" s="184"/>
      <c r="J29" s="184"/>
      <c r="K29" s="184"/>
      <c r="L29" s="184"/>
      <c r="M29" s="184"/>
      <c r="N29" s="184"/>
      <c r="O29" s="184"/>
      <c r="P29" s="184"/>
      <c r="Q29" s="184"/>
      <c r="R29" s="184"/>
      <c r="S29" s="184"/>
      <c r="T29" s="184"/>
      <c r="U29" s="184"/>
      <c r="V29" s="184"/>
      <c r="W29" s="184"/>
      <c r="X29" s="184"/>
      <c r="Y29" s="184"/>
      <c r="Z29" s="184"/>
      <c r="AA29" s="184"/>
      <c r="AB29" s="184"/>
      <c r="AC29" s="184"/>
      <c r="AD29" s="184"/>
      <c r="AE29" s="184"/>
      <c r="AF29" s="184"/>
      <c r="AG29" s="184"/>
      <c r="AH29" s="184"/>
      <c r="AI29" s="184"/>
      <c r="AJ29" s="184"/>
      <c r="AK29" s="184"/>
      <c r="AL29" s="184"/>
      <c r="AM29" s="184"/>
      <c r="AN29" s="184"/>
      <c r="AO29" s="184"/>
      <c r="AP29" s="184"/>
      <c r="AQ29" s="184"/>
      <c r="AR29" s="184"/>
      <c r="AS29" s="184"/>
      <c r="AT29" s="185"/>
    </row>
    <row r="30">
      <c r="A30" s="80"/>
      <c r="B30" s="81"/>
      <c r="C30" s="181"/>
      <c r="D30" s="81"/>
      <c r="E30" s="188" t="s">
        <v>189</v>
      </c>
      <c r="F30" s="189" t="str">
        <f>'Treatment effect'!F70</f>
        <v>%</v>
      </c>
      <c r="G30" s="190" t="s">
        <v>131</v>
      </c>
      <c r="H30" s="191">
        <f>'Treatment effect'!H70</f>
        <v>0.3338868809</v>
      </c>
      <c r="I30" s="213" t="str">
        <f>'Treatment effect'!I70</f>
        <v>-</v>
      </c>
      <c r="J30" s="213" t="str">
        <f>'Treatment effect'!J70</f>
        <v>-</v>
      </c>
      <c r="K30" s="213" t="str">
        <f>'Treatment effect'!K70</f>
        <v>-</v>
      </c>
      <c r="L30" s="213" t="str">
        <f>'Treatment effect'!L70</f>
        <v>-</v>
      </c>
      <c r="M30" s="213" t="str">
        <f>'Treatment effect'!M70</f>
        <v>-</v>
      </c>
      <c r="N30" s="213" t="str">
        <f>'Treatment effect'!N70</f>
        <v>-</v>
      </c>
      <c r="O30" s="213" t="str">
        <f>'Treatment effect'!O70</f>
        <v>-</v>
      </c>
      <c r="P30" s="213" t="str">
        <f>'Treatment effect'!P70</f>
        <v>-</v>
      </c>
      <c r="Q30" s="213" t="str">
        <f>'Treatment effect'!Q70</f>
        <v>-</v>
      </c>
      <c r="R30" s="213" t="str">
        <f>'Treatment effect'!R70</f>
        <v>-</v>
      </c>
      <c r="S30" s="213" t="str">
        <f>'Treatment effect'!S70</f>
        <v>-</v>
      </c>
      <c r="T30" s="213" t="str">
        <f>'Treatment effect'!T70</f>
        <v>-</v>
      </c>
      <c r="U30" s="213" t="str">
        <f>'Treatment effect'!U70</f>
        <v>-</v>
      </c>
      <c r="V30" s="213" t="str">
        <f>'Treatment effect'!V70</f>
        <v>-</v>
      </c>
      <c r="W30" s="213" t="str">
        <f>'Treatment effect'!W70</f>
        <v>-</v>
      </c>
      <c r="X30" s="213" t="str">
        <f>'Treatment effect'!X70</f>
        <v>-</v>
      </c>
      <c r="Y30" s="213" t="str">
        <f>'Treatment effect'!Y70</f>
        <v>-</v>
      </c>
      <c r="Z30" s="213" t="str">
        <f>'Treatment effect'!Z70</f>
        <v>-</v>
      </c>
      <c r="AA30" s="213" t="str">
        <f>'Treatment effect'!AA70</f>
        <v>-</v>
      </c>
      <c r="AB30" s="213" t="str">
        <f>'Treatment effect'!AB70</f>
        <v>-</v>
      </c>
      <c r="AC30" s="213" t="str">
        <f>'Treatment effect'!AC70</f>
        <v>-</v>
      </c>
      <c r="AD30" s="213" t="str">
        <f>'Treatment effect'!AD70</f>
        <v>-</v>
      </c>
      <c r="AE30" s="213" t="str">
        <f>'Treatment effect'!AE70</f>
        <v>-</v>
      </c>
      <c r="AF30" s="213" t="str">
        <f>'Treatment effect'!AF70</f>
        <v>-</v>
      </c>
      <c r="AG30" s="213" t="str">
        <f>'Treatment effect'!AG70</f>
        <v>-</v>
      </c>
      <c r="AH30" s="213" t="str">
        <f>'Treatment effect'!AH70</f>
        <v>-</v>
      </c>
      <c r="AI30" s="213" t="str">
        <f>'Treatment effect'!AI70</f>
        <v>-</v>
      </c>
      <c r="AJ30" s="213" t="str">
        <f>'Treatment effect'!AJ70</f>
        <v>-</v>
      </c>
      <c r="AK30" s="213" t="str">
        <f>'Treatment effect'!AK70</f>
        <v>-</v>
      </c>
      <c r="AL30" s="213" t="str">
        <f>'Treatment effect'!AL70</f>
        <v>-</v>
      </c>
      <c r="AM30" s="213" t="str">
        <f>'Treatment effect'!AM70</f>
        <v>-</v>
      </c>
      <c r="AN30" s="213" t="str">
        <f>'Treatment effect'!AN70</f>
        <v>-</v>
      </c>
      <c r="AO30" s="213" t="str">
        <f>'Treatment effect'!AO70</f>
        <v>-</v>
      </c>
      <c r="AP30" s="213" t="str">
        <f>'Treatment effect'!AP70</f>
        <v>-</v>
      </c>
      <c r="AQ30" s="213" t="str">
        <f>'Treatment effect'!AQ70</f>
        <v>-</v>
      </c>
      <c r="AR30" s="213" t="str">
        <f>'Treatment effect'!AR70</f>
        <v>-</v>
      </c>
      <c r="AS30" s="213" t="str">
        <f>'Treatment effect'!AS70</f>
        <v>-</v>
      </c>
      <c r="AT30" s="193"/>
    </row>
    <row r="31">
      <c r="A31" s="80"/>
      <c r="B31" s="81"/>
      <c r="C31" s="181"/>
      <c r="D31" s="81"/>
      <c r="E31" s="214" t="s">
        <v>193</v>
      </c>
      <c r="F31" s="215" t="str">
        <f>Inputs!F223</f>
        <v>%</v>
      </c>
      <c r="G31" s="216" t="str">
        <f>Inputs!G223</f>
        <v>input</v>
      </c>
      <c r="H31" s="217">
        <f>Inputs!H223</f>
        <v>-0.12</v>
      </c>
      <c r="I31" s="218" t="str">
        <f>Inputs!I223</f>
        <v>-</v>
      </c>
      <c r="J31" s="218" t="str">
        <f>Inputs!J223</f>
        <v>-</v>
      </c>
      <c r="K31" s="218" t="str">
        <f>Inputs!K223</f>
        <v>-</v>
      </c>
      <c r="L31" s="218" t="str">
        <f>Inputs!L223</f>
        <v>-</v>
      </c>
      <c r="M31" s="218" t="str">
        <f>Inputs!M223</f>
        <v>-</v>
      </c>
      <c r="N31" s="218" t="str">
        <f>Inputs!N223</f>
        <v>-</v>
      </c>
      <c r="O31" s="218" t="str">
        <f>Inputs!O223</f>
        <v>-</v>
      </c>
      <c r="P31" s="218" t="str">
        <f>Inputs!P223</f>
        <v>-</v>
      </c>
      <c r="Q31" s="218" t="str">
        <f>Inputs!Q223</f>
        <v>-</v>
      </c>
      <c r="R31" s="218" t="str">
        <f>Inputs!R223</f>
        <v>-</v>
      </c>
      <c r="S31" s="218" t="str">
        <f>Inputs!S223</f>
        <v>-</v>
      </c>
      <c r="T31" s="218" t="str">
        <f>Inputs!T223</f>
        <v>-</v>
      </c>
      <c r="U31" s="218" t="str">
        <f>Inputs!U223</f>
        <v>-</v>
      </c>
      <c r="V31" s="218" t="str">
        <f>Inputs!V223</f>
        <v>-</v>
      </c>
      <c r="W31" s="218" t="str">
        <f>Inputs!W223</f>
        <v>-</v>
      </c>
      <c r="X31" s="218" t="str">
        <f>Inputs!X223</f>
        <v>-</v>
      </c>
      <c r="Y31" s="218" t="str">
        <f>Inputs!Y223</f>
        <v>-</v>
      </c>
      <c r="Z31" s="218" t="str">
        <f>Inputs!Z223</f>
        <v>-</v>
      </c>
      <c r="AA31" s="218" t="str">
        <f>Inputs!AA223</f>
        <v>-</v>
      </c>
      <c r="AB31" s="218" t="str">
        <f>Inputs!AB223</f>
        <v>-</v>
      </c>
      <c r="AC31" s="218" t="str">
        <f>Inputs!AC223</f>
        <v>-</v>
      </c>
      <c r="AD31" s="218" t="str">
        <f>Inputs!AD223</f>
        <v>-</v>
      </c>
      <c r="AE31" s="218" t="str">
        <f>Inputs!AE223</f>
        <v>-</v>
      </c>
      <c r="AF31" s="218" t="str">
        <f>Inputs!AF223</f>
        <v>-</v>
      </c>
      <c r="AG31" s="218" t="str">
        <f>Inputs!AG223</f>
        <v>-</v>
      </c>
      <c r="AH31" s="218" t="str">
        <f>Inputs!AH223</f>
        <v>-</v>
      </c>
      <c r="AI31" s="218" t="str">
        <f>Inputs!AI223</f>
        <v>-</v>
      </c>
      <c r="AJ31" s="218" t="str">
        <f>Inputs!AJ223</f>
        <v>-</v>
      </c>
      <c r="AK31" s="218" t="str">
        <f>Inputs!AK223</f>
        <v>-</v>
      </c>
      <c r="AL31" s="218" t="str">
        <f>Inputs!AL223</f>
        <v>-</v>
      </c>
      <c r="AM31" s="218" t="str">
        <f>Inputs!AM223</f>
        <v>-</v>
      </c>
      <c r="AN31" s="218" t="str">
        <f>Inputs!AN223</f>
        <v>-</v>
      </c>
      <c r="AO31" s="218" t="str">
        <f>Inputs!AO223</f>
        <v>-</v>
      </c>
      <c r="AP31" s="218" t="str">
        <f>Inputs!AP223</f>
        <v>-</v>
      </c>
      <c r="AQ31" s="218" t="str">
        <f>Inputs!AQ223</f>
        <v>-</v>
      </c>
      <c r="AR31" s="218" t="str">
        <f>Inputs!AR223</f>
        <v>-</v>
      </c>
      <c r="AS31" s="218" t="str">
        <f>Inputs!AS223</f>
        <v>-</v>
      </c>
      <c r="AT31" s="229"/>
    </row>
    <row r="32">
      <c r="A32" s="80"/>
      <c r="B32" s="81"/>
      <c r="C32" s="181"/>
      <c r="D32" s="81"/>
      <c r="E32" s="214" t="s">
        <v>197</v>
      </c>
      <c r="F32" s="215" t="s">
        <v>122</v>
      </c>
      <c r="G32" s="216" t="s">
        <v>149</v>
      </c>
      <c r="H32" s="217">
        <f>H30*(1+H31)</f>
        <v>0.2938204552</v>
      </c>
      <c r="I32" s="232" t="s">
        <v>150</v>
      </c>
      <c r="J32" s="232" t="s">
        <v>150</v>
      </c>
      <c r="K32" s="232" t="s">
        <v>150</v>
      </c>
      <c r="L32" s="232" t="s">
        <v>150</v>
      </c>
      <c r="M32" s="232" t="s">
        <v>150</v>
      </c>
      <c r="N32" s="232" t="s">
        <v>150</v>
      </c>
      <c r="O32" s="232" t="s">
        <v>150</v>
      </c>
      <c r="P32" s="232" t="s">
        <v>150</v>
      </c>
      <c r="Q32" s="184"/>
      <c r="R32" s="232" t="s">
        <v>150</v>
      </c>
      <c r="S32" s="232" t="s">
        <v>150</v>
      </c>
      <c r="T32" s="232" t="s">
        <v>150</v>
      </c>
      <c r="U32" s="232" t="s">
        <v>150</v>
      </c>
      <c r="V32" s="232" t="s">
        <v>150</v>
      </c>
      <c r="W32" s="232" t="s">
        <v>150</v>
      </c>
      <c r="X32" s="232" t="s">
        <v>150</v>
      </c>
      <c r="Y32" s="232" t="s">
        <v>150</v>
      </c>
      <c r="Z32" s="232" t="s">
        <v>150</v>
      </c>
      <c r="AA32" s="232" t="s">
        <v>150</v>
      </c>
      <c r="AB32" s="232" t="s">
        <v>150</v>
      </c>
      <c r="AC32" s="232" t="s">
        <v>150</v>
      </c>
      <c r="AD32" s="232" t="s">
        <v>150</v>
      </c>
      <c r="AE32" s="232" t="s">
        <v>150</v>
      </c>
      <c r="AF32" s="232" t="s">
        <v>150</v>
      </c>
      <c r="AG32" s="232" t="s">
        <v>150</v>
      </c>
      <c r="AH32" s="232" t="s">
        <v>150</v>
      </c>
      <c r="AI32" s="232" t="s">
        <v>150</v>
      </c>
      <c r="AJ32" s="232" t="s">
        <v>150</v>
      </c>
      <c r="AK32" s="232" t="s">
        <v>150</v>
      </c>
      <c r="AL32" s="232" t="s">
        <v>150</v>
      </c>
      <c r="AM32" s="232" t="s">
        <v>150</v>
      </c>
      <c r="AN32" s="232" t="s">
        <v>150</v>
      </c>
      <c r="AO32" s="232" t="s">
        <v>150</v>
      </c>
      <c r="AP32" s="232" t="s">
        <v>150</v>
      </c>
      <c r="AQ32" s="232" t="s">
        <v>150</v>
      </c>
      <c r="AR32" s="232" t="s">
        <v>150</v>
      </c>
      <c r="AS32" s="232" t="s">
        <v>150</v>
      </c>
      <c r="AT32" s="229"/>
    </row>
    <row r="33">
      <c r="A33" s="80"/>
      <c r="B33" s="81"/>
      <c r="C33" s="181"/>
      <c r="D33" s="81"/>
      <c r="E33" s="214" t="s">
        <v>198</v>
      </c>
      <c r="F33" s="215" t="s">
        <v>125</v>
      </c>
      <c r="G33" s="216" t="s">
        <v>149</v>
      </c>
      <c r="H33" s="187" t="s">
        <v>150</v>
      </c>
      <c r="I33" s="218">
        <f t="shared" ref="I33:AS33" si="6">I27*$H32</f>
        <v>0.1539237136</v>
      </c>
      <c r="J33" s="218">
        <f t="shared" si="6"/>
        <v>0.1101285041</v>
      </c>
      <c r="K33" s="218">
        <f t="shared" si="6"/>
        <v>0.1313926958</v>
      </c>
      <c r="L33" s="218">
        <f t="shared" si="6"/>
        <v>0.0901061669</v>
      </c>
      <c r="M33" s="218">
        <f t="shared" si="6"/>
        <v>0.1368357048</v>
      </c>
      <c r="N33" s="218">
        <f t="shared" si="6"/>
        <v>0.1646731542</v>
      </c>
      <c r="O33" s="218">
        <f t="shared" si="6"/>
        <v>0.1991929792</v>
      </c>
      <c r="P33" s="218">
        <f t="shared" si="6"/>
        <v>0.2212898482</v>
      </c>
      <c r="Q33" s="218">
        <f t="shared" si="6"/>
        <v>0.1750275791</v>
      </c>
      <c r="R33" s="218">
        <f t="shared" si="6"/>
        <v>0.04088010834</v>
      </c>
      <c r="S33" s="218">
        <f t="shared" si="6"/>
        <v>0.05052924967</v>
      </c>
      <c r="T33" s="218">
        <f t="shared" si="6"/>
        <v>0.05191384927</v>
      </c>
      <c r="U33" s="218">
        <f t="shared" si="6"/>
        <v>0.06285994466</v>
      </c>
      <c r="V33" s="218">
        <f t="shared" si="6"/>
        <v>0.07157698255</v>
      </c>
      <c r="W33" s="218">
        <f t="shared" si="6"/>
        <v>0.07143687579</v>
      </c>
      <c r="X33" s="218">
        <f t="shared" si="6"/>
        <v>0.1477678838</v>
      </c>
      <c r="Y33" s="218">
        <f t="shared" si="6"/>
        <v>0.02731411387</v>
      </c>
      <c r="Z33" s="218">
        <f t="shared" si="6"/>
        <v>0.06700791806</v>
      </c>
      <c r="AA33" s="218">
        <f t="shared" si="6"/>
        <v>0.003052889541</v>
      </c>
      <c r="AB33" s="218">
        <f t="shared" si="6"/>
        <v>0.03481416728</v>
      </c>
      <c r="AC33" s="218">
        <f t="shared" si="6"/>
        <v>0.01918521045</v>
      </c>
      <c r="AD33" s="218">
        <f t="shared" si="6"/>
        <v>0.01067387149</v>
      </c>
      <c r="AE33" s="218">
        <f t="shared" si="6"/>
        <v>0.03110829526</v>
      </c>
      <c r="AF33" s="218">
        <f t="shared" si="6"/>
        <v>0.02346351255</v>
      </c>
      <c r="AG33" s="218">
        <f t="shared" si="6"/>
        <v>0.06279558161</v>
      </c>
      <c r="AH33" s="218">
        <f t="shared" si="6"/>
        <v>0.1062327681</v>
      </c>
      <c r="AI33" s="218">
        <f t="shared" si="6"/>
        <v>0.02822254003</v>
      </c>
      <c r="AJ33" s="218">
        <f t="shared" si="6"/>
        <v>0.09477360986</v>
      </c>
      <c r="AK33" s="218">
        <f t="shared" si="6"/>
        <v>0.1303633208</v>
      </c>
      <c r="AL33" s="218">
        <f t="shared" si="6"/>
        <v>0.1146870885</v>
      </c>
      <c r="AM33" s="218">
        <f t="shared" si="6"/>
        <v>0.08984407449</v>
      </c>
      <c r="AN33" s="218">
        <f t="shared" si="6"/>
        <v>0.03764416463</v>
      </c>
      <c r="AO33" s="218">
        <f t="shared" si="6"/>
        <v>0.09110228625</v>
      </c>
      <c r="AP33" s="218">
        <f t="shared" si="6"/>
        <v>0.06925732001</v>
      </c>
      <c r="AQ33" s="218">
        <f t="shared" si="6"/>
        <v>0.03720609908</v>
      </c>
      <c r="AR33" s="218">
        <f t="shared" si="6"/>
        <v>0.09039231825</v>
      </c>
      <c r="AS33" s="218">
        <f t="shared" si="6"/>
        <v>0.08323231961</v>
      </c>
      <c r="AT33" s="229"/>
    </row>
    <row r="34">
      <c r="A34" s="80"/>
      <c r="B34" s="81"/>
      <c r="C34" s="181"/>
      <c r="D34" s="81"/>
      <c r="E34" s="92" t="s">
        <v>200</v>
      </c>
      <c r="F34" s="93" t="s">
        <v>122</v>
      </c>
      <c r="G34" s="182" t="s">
        <v>149</v>
      </c>
      <c r="H34" s="129" t="s">
        <v>150</v>
      </c>
      <c r="I34" s="241">
        <f t="shared" ref="I34:AS34" si="7">I26+I33</f>
        <v>0.6300537418</v>
      </c>
      <c r="J34" s="241">
        <f t="shared" si="7"/>
        <v>0.7353128569</v>
      </c>
      <c r="K34" s="241">
        <f t="shared" si="7"/>
        <v>0.684205669</v>
      </c>
      <c r="L34" s="241">
        <f t="shared" si="7"/>
        <v>0.7834353232</v>
      </c>
      <c r="M34" s="241">
        <f t="shared" si="7"/>
        <v>0.6711237287</v>
      </c>
      <c r="N34" s="241">
        <f t="shared" si="7"/>
        <v>0.604218117</v>
      </c>
      <c r="O34" s="241">
        <f t="shared" si="7"/>
        <v>0.5212518228</v>
      </c>
      <c r="P34" s="241">
        <f t="shared" si="7"/>
        <v>0.4681433457</v>
      </c>
      <c r="Q34" s="241">
        <f t="shared" si="7"/>
        <v>0.5793318882</v>
      </c>
      <c r="R34" s="241">
        <f t="shared" si="7"/>
        <v>0.9017471528</v>
      </c>
      <c r="S34" s="241">
        <f t="shared" si="7"/>
        <v>0.8785560301</v>
      </c>
      <c r="T34" s="241">
        <f t="shared" si="7"/>
        <v>0.8752282294</v>
      </c>
      <c r="U34" s="241">
        <f t="shared" si="7"/>
        <v>0.8489199567</v>
      </c>
      <c r="V34" s="241">
        <f t="shared" si="7"/>
        <v>0.8279690878</v>
      </c>
      <c r="W34" s="241">
        <f t="shared" si="7"/>
        <v>0.8283058258</v>
      </c>
      <c r="X34" s="241">
        <f t="shared" si="7"/>
        <v>0.6448489032</v>
      </c>
      <c r="Y34" s="241">
        <f t="shared" si="7"/>
        <v>0.9343521931</v>
      </c>
      <c r="Z34" s="241">
        <f t="shared" si="7"/>
        <v>0.8389505556</v>
      </c>
      <c r="AA34" s="241">
        <f t="shared" si="7"/>
        <v>0.9926625662</v>
      </c>
      <c r="AB34" s="241">
        <f t="shared" si="7"/>
        <v>0.9163262722</v>
      </c>
      <c r="AC34" s="241">
        <f t="shared" si="7"/>
        <v>0.9538895167</v>
      </c>
      <c r="AD34" s="241">
        <f t="shared" si="7"/>
        <v>0.9743460008</v>
      </c>
      <c r="AE34" s="241">
        <f t="shared" si="7"/>
        <v>0.9252331096</v>
      </c>
      <c r="AF34" s="241">
        <f t="shared" si="7"/>
        <v>0.9436068786</v>
      </c>
      <c r="AG34" s="241">
        <f t="shared" si="7"/>
        <v>0.8490746493</v>
      </c>
      <c r="AH34" s="241">
        <f t="shared" si="7"/>
        <v>0.7446760207</v>
      </c>
      <c r="AI34" s="241">
        <f t="shared" si="7"/>
        <v>0.9321688463</v>
      </c>
      <c r="AJ34" s="241">
        <f t="shared" si="7"/>
        <v>0.7722174087</v>
      </c>
      <c r="AK34" s="241">
        <f t="shared" si="7"/>
        <v>0.6866797089</v>
      </c>
      <c r="AL34" s="241">
        <f t="shared" si="7"/>
        <v>0.7243565772</v>
      </c>
      <c r="AM34" s="241">
        <f t="shared" si="7"/>
        <v>0.7840652463</v>
      </c>
      <c r="AN34" s="241">
        <f t="shared" si="7"/>
        <v>0.9095245461</v>
      </c>
      <c r="AO34" s="241">
        <f t="shared" si="7"/>
        <v>0.7810412111</v>
      </c>
      <c r="AP34" s="241">
        <f t="shared" si="7"/>
        <v>0.8335442552</v>
      </c>
      <c r="AQ34" s="241">
        <f t="shared" si="7"/>
        <v>0.91057741</v>
      </c>
      <c r="AR34" s="241">
        <f t="shared" si="7"/>
        <v>0.7827475759</v>
      </c>
      <c r="AS34" s="241">
        <f t="shared" si="7"/>
        <v>0.7999561959</v>
      </c>
      <c r="AT34" s="120"/>
    </row>
    <row r="35">
      <c r="A35" s="80"/>
      <c r="B35" s="81"/>
      <c r="C35" s="181"/>
      <c r="D35" s="81"/>
      <c r="E35" s="121"/>
      <c r="F35" s="108"/>
      <c r="G35" s="122"/>
      <c r="H35" s="110"/>
      <c r="I35" s="184"/>
      <c r="J35" s="184"/>
      <c r="K35" s="184"/>
      <c r="L35" s="184"/>
      <c r="M35" s="184"/>
      <c r="N35" s="184"/>
      <c r="O35" s="184"/>
      <c r="P35" s="184"/>
      <c r="R35" s="245"/>
      <c r="S35" s="184"/>
      <c r="T35" s="184"/>
      <c r="U35" s="184"/>
      <c r="V35" s="184"/>
      <c r="W35" s="184"/>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5"/>
    </row>
    <row r="36">
      <c r="A36" s="80"/>
      <c r="B36" s="81"/>
      <c r="C36" s="186" t="s">
        <v>204</v>
      </c>
      <c r="F36" s="108"/>
      <c r="G36" s="122"/>
      <c r="H36" s="110"/>
      <c r="I36" s="247"/>
      <c r="J36" s="184"/>
      <c r="K36" s="184"/>
      <c r="L36" s="184"/>
      <c r="M36" s="184"/>
      <c r="N36" s="184"/>
      <c r="O36" s="184"/>
      <c r="P36" s="184"/>
      <c r="Q36" s="184"/>
      <c r="R36" s="184"/>
      <c r="S36" s="184"/>
      <c r="T36" s="184"/>
      <c r="U36" s="184"/>
      <c r="V36" s="184"/>
      <c r="W36" s="184"/>
      <c r="X36" s="184"/>
      <c r="Y36" s="184"/>
      <c r="Z36" s="184"/>
      <c r="AA36" s="184"/>
      <c r="AB36" s="184"/>
      <c r="AC36" s="184"/>
      <c r="AD36" s="184"/>
      <c r="AE36" s="184"/>
      <c r="AF36" s="184"/>
      <c r="AG36" s="184"/>
      <c r="AH36" s="184"/>
      <c r="AI36" s="184"/>
      <c r="AJ36" s="184"/>
      <c r="AK36" s="184"/>
      <c r="AL36" s="184"/>
      <c r="AM36" s="184"/>
      <c r="AN36" s="184"/>
      <c r="AO36" s="184"/>
      <c r="AP36" s="184"/>
      <c r="AQ36" s="184"/>
      <c r="AR36" s="184"/>
      <c r="AS36" s="184"/>
      <c r="AT36" s="185"/>
    </row>
    <row r="37">
      <c r="A37" s="80"/>
      <c r="B37" s="81"/>
      <c r="C37" s="181"/>
      <c r="D37" s="81"/>
      <c r="E37" s="121" t="s">
        <v>205</v>
      </c>
      <c r="F37" s="108" t="s">
        <v>111</v>
      </c>
      <c r="G37" s="122" t="s">
        <v>149</v>
      </c>
      <c r="H37" s="110" t="s">
        <v>150</v>
      </c>
      <c r="I37" s="184">
        <f t="shared" ref="I37:AS37" si="8">I23/I34</f>
        <v>78530.50983</v>
      </c>
      <c r="J37" s="184">
        <f t="shared" si="8"/>
        <v>67288.96564</v>
      </c>
      <c r="K37" s="184">
        <f t="shared" si="8"/>
        <v>72315.15873</v>
      </c>
      <c r="L37" s="184">
        <f t="shared" si="8"/>
        <v>63155.74508</v>
      </c>
      <c r="M37" s="184">
        <f t="shared" si="8"/>
        <v>73724.76855</v>
      </c>
      <c r="N37" s="184">
        <f t="shared" si="8"/>
        <v>81888.37801</v>
      </c>
      <c r="O37" s="184">
        <f t="shared" si="8"/>
        <v>94922.33772</v>
      </c>
      <c r="P37" s="184">
        <f t="shared" si="8"/>
        <v>105690.7933</v>
      </c>
      <c r="Q37" s="184">
        <f t="shared" si="8"/>
        <v>85406.03853</v>
      </c>
      <c r="R37" s="184">
        <f t="shared" si="8"/>
        <v>54869.52901</v>
      </c>
      <c r="S37" s="184">
        <f t="shared" si="8"/>
        <v>56317.91243</v>
      </c>
      <c r="T37" s="184">
        <f t="shared" si="8"/>
        <v>56532.0449</v>
      </c>
      <c r="U37" s="184">
        <f t="shared" si="8"/>
        <v>58283.98917</v>
      </c>
      <c r="V37" s="184">
        <f t="shared" si="8"/>
        <v>59758.80295</v>
      </c>
      <c r="W37" s="184">
        <f t="shared" si="8"/>
        <v>59734.50871</v>
      </c>
      <c r="X37" s="184">
        <f t="shared" si="8"/>
        <v>76728.73648</v>
      </c>
      <c r="Y37" s="184">
        <f t="shared" si="8"/>
        <v>52954.80861</v>
      </c>
      <c r="Z37" s="184">
        <f t="shared" si="8"/>
        <v>58976.58835</v>
      </c>
      <c r="AA37" s="184">
        <f t="shared" si="8"/>
        <v>49844.16986</v>
      </c>
      <c r="AB37" s="184">
        <f t="shared" si="8"/>
        <v>53996.53275</v>
      </c>
      <c r="AC37" s="184">
        <f t="shared" si="8"/>
        <v>51870.20163</v>
      </c>
      <c r="AD37" s="184">
        <f t="shared" si="8"/>
        <v>50781.18196</v>
      </c>
      <c r="AE37" s="184">
        <f t="shared" si="8"/>
        <v>53476.73041</v>
      </c>
      <c r="AF37" s="184">
        <f t="shared" si="8"/>
        <v>52435.43968</v>
      </c>
      <c r="AG37" s="184">
        <f t="shared" si="8"/>
        <v>58273.37043</v>
      </c>
      <c r="AH37" s="184">
        <f t="shared" si="8"/>
        <v>66442.90965</v>
      </c>
      <c r="AI37" s="184">
        <f t="shared" si="8"/>
        <v>53078.84056</v>
      </c>
      <c r="AJ37" s="184">
        <f t="shared" si="8"/>
        <v>64073.20141</v>
      </c>
      <c r="AK37" s="184">
        <f t="shared" si="8"/>
        <v>72054.61428</v>
      </c>
      <c r="AL37" s="184">
        <f t="shared" si="8"/>
        <v>68306.74715</v>
      </c>
      <c r="AM37" s="184">
        <f t="shared" si="8"/>
        <v>63105.00535</v>
      </c>
      <c r="AN37" s="184">
        <f t="shared" si="8"/>
        <v>54400.33672</v>
      </c>
      <c r="AO37" s="184">
        <f t="shared" si="8"/>
        <v>63349.3353</v>
      </c>
      <c r="AP37" s="184">
        <f t="shared" si="8"/>
        <v>59359.10572</v>
      </c>
      <c r="AQ37" s="184">
        <f t="shared" si="8"/>
        <v>54337.43581</v>
      </c>
      <c r="AR37" s="184">
        <f t="shared" si="8"/>
        <v>63211.23576</v>
      </c>
      <c r="AS37" s="184">
        <f t="shared" si="8"/>
        <v>61851.43863</v>
      </c>
      <c r="AT37" s="185"/>
    </row>
    <row r="38">
      <c r="A38" s="80"/>
      <c r="B38" s="81"/>
      <c r="C38" s="181"/>
      <c r="D38" s="81"/>
      <c r="E38" s="194" t="s">
        <v>208</v>
      </c>
      <c r="F38" s="195" t="s">
        <v>111</v>
      </c>
      <c r="G38" s="196" t="s">
        <v>149</v>
      </c>
      <c r="H38" s="197" t="s">
        <v>150</v>
      </c>
      <c r="I38" s="198">
        <f t="shared" ref="I38:AS38" si="9">I37*I33</f>
        <v>12087.70771</v>
      </c>
      <c r="J38" s="198">
        <f t="shared" si="9"/>
        <v>7410.433128</v>
      </c>
      <c r="K38" s="198">
        <f t="shared" si="9"/>
        <v>9501.68365</v>
      </c>
      <c r="L38" s="198">
        <f t="shared" si="9"/>
        <v>5690.722107</v>
      </c>
      <c r="M38" s="198">
        <f t="shared" si="9"/>
        <v>10088.18067</v>
      </c>
      <c r="N38" s="198">
        <f t="shared" si="9"/>
        <v>13484.8175</v>
      </c>
      <c r="O38" s="198">
        <f t="shared" si="9"/>
        <v>18907.86324</v>
      </c>
      <c r="P38" s="198">
        <f t="shared" si="9"/>
        <v>23388.2996</v>
      </c>
      <c r="Q38" s="198">
        <f t="shared" si="9"/>
        <v>14948.41216</v>
      </c>
      <c r="R38" s="198">
        <f t="shared" si="9"/>
        <v>2243.072291</v>
      </c>
      <c r="S38" s="198">
        <f t="shared" si="9"/>
        <v>2845.701858</v>
      </c>
      <c r="T38" s="198">
        <f t="shared" si="9"/>
        <v>2934.796058</v>
      </c>
      <c r="U38" s="198">
        <f t="shared" si="9"/>
        <v>3663.728334</v>
      </c>
      <c r="V38" s="198">
        <f t="shared" si="9"/>
        <v>4277.354796</v>
      </c>
      <c r="W38" s="198">
        <f t="shared" si="9"/>
        <v>4267.246679</v>
      </c>
      <c r="X38" s="198">
        <f t="shared" si="9"/>
        <v>11338.04302</v>
      </c>
      <c r="Y38" s="198">
        <f t="shared" si="9"/>
        <v>1446.413673</v>
      </c>
      <c r="Z38" s="198">
        <f t="shared" si="9"/>
        <v>3951.898399</v>
      </c>
      <c r="AA38" s="198">
        <f t="shared" si="9"/>
        <v>152.1687448</v>
      </c>
      <c r="AB38" s="198">
        <f t="shared" si="9"/>
        <v>1879.844323</v>
      </c>
      <c r="AC38" s="198">
        <f t="shared" si="9"/>
        <v>995.1407344</v>
      </c>
      <c r="AD38" s="198">
        <f t="shared" si="9"/>
        <v>542.0318103</v>
      </c>
      <c r="AE38" s="198">
        <f t="shared" si="9"/>
        <v>1663.569919</v>
      </c>
      <c r="AF38" s="198">
        <f t="shared" si="9"/>
        <v>1230.319597</v>
      </c>
      <c r="AG38" s="198">
        <f t="shared" si="9"/>
        <v>3659.310189</v>
      </c>
      <c r="AH38" s="198">
        <f t="shared" si="9"/>
        <v>7058.414215</v>
      </c>
      <c r="AI38" s="198">
        <f t="shared" si="9"/>
        <v>1498.019702</v>
      </c>
      <c r="AJ38" s="198">
        <f t="shared" si="9"/>
        <v>6072.448593</v>
      </c>
      <c r="AK38" s="198">
        <f t="shared" si="9"/>
        <v>9393.278799</v>
      </c>
      <c r="AL38" s="198">
        <f t="shared" si="9"/>
        <v>7833.901957</v>
      </c>
      <c r="AM38" s="198">
        <f t="shared" si="9"/>
        <v>5669.610801</v>
      </c>
      <c r="AN38" s="198">
        <f t="shared" si="9"/>
        <v>2047.855231</v>
      </c>
      <c r="AO38" s="198">
        <f t="shared" si="9"/>
        <v>5771.269278</v>
      </c>
      <c r="AP38" s="198">
        <f t="shared" si="9"/>
        <v>4111.05258</v>
      </c>
      <c r="AQ38" s="198">
        <f t="shared" si="9"/>
        <v>2021.68402</v>
      </c>
      <c r="AR38" s="198">
        <f t="shared" si="9"/>
        <v>5713.81014</v>
      </c>
      <c r="AS38" s="198">
        <f t="shared" si="9"/>
        <v>5148.038709</v>
      </c>
      <c r="AT38" s="199"/>
    </row>
    <row r="39">
      <c r="A39" s="80"/>
      <c r="B39" s="81"/>
      <c r="C39" s="181"/>
      <c r="D39" s="81"/>
      <c r="E39" s="121"/>
      <c r="F39" s="108"/>
      <c r="G39" s="122"/>
      <c r="H39" s="110"/>
      <c r="I39" s="184"/>
      <c r="J39" s="184"/>
      <c r="K39" s="184"/>
      <c r="L39" s="184"/>
      <c r="M39" s="184"/>
      <c r="N39" s="184"/>
      <c r="O39" s="184"/>
      <c r="P39" s="184"/>
      <c r="Q39" s="184"/>
      <c r="R39" s="184"/>
      <c r="S39" s="184"/>
      <c r="T39" s="184"/>
      <c r="U39" s="184"/>
      <c r="V39" s="184"/>
      <c r="W39" s="184"/>
      <c r="X39" s="184"/>
      <c r="Y39" s="184"/>
      <c r="Z39" s="184"/>
      <c r="AA39" s="184"/>
      <c r="AB39" s="184"/>
      <c r="AC39" s="184"/>
      <c r="AD39" s="184"/>
      <c r="AE39" s="184"/>
      <c r="AF39" s="184"/>
      <c r="AG39" s="184"/>
      <c r="AH39" s="184"/>
      <c r="AI39" s="184"/>
      <c r="AJ39" s="184"/>
      <c r="AK39" s="184"/>
      <c r="AL39" s="184"/>
      <c r="AM39" s="184"/>
      <c r="AN39" s="184"/>
      <c r="AO39" s="184"/>
      <c r="AP39" s="184"/>
      <c r="AQ39" s="184"/>
      <c r="AR39" s="184"/>
      <c r="AS39" s="184"/>
      <c r="AT39" s="185"/>
    </row>
    <row r="40">
      <c r="A40" s="72" t="s">
        <v>212</v>
      </c>
      <c r="B40" s="14"/>
      <c r="C40" s="14"/>
      <c r="D40" s="14"/>
      <c r="E40" s="14"/>
      <c r="F40" s="14"/>
      <c r="G40" s="14"/>
      <c r="H40" s="168"/>
      <c r="I40" s="260"/>
      <c r="J40" s="261"/>
      <c r="K40" s="261"/>
      <c r="L40" s="261"/>
      <c r="M40" s="261"/>
      <c r="N40" s="261"/>
      <c r="O40" s="261"/>
      <c r="P40" s="261"/>
      <c r="Q40" s="261"/>
      <c r="R40" s="261"/>
      <c r="S40" s="261"/>
      <c r="T40" s="261"/>
      <c r="U40" s="261"/>
      <c r="V40" s="261"/>
      <c r="W40" s="261"/>
      <c r="X40" s="261"/>
      <c r="Y40" s="261"/>
      <c r="Z40" s="261"/>
      <c r="AA40" s="261"/>
      <c r="AB40" s="261"/>
      <c r="AC40" s="261"/>
      <c r="AD40" s="261"/>
      <c r="AE40" s="261"/>
      <c r="AF40" s="261"/>
      <c r="AG40" s="261"/>
      <c r="AH40" s="261"/>
      <c r="AI40" s="261"/>
      <c r="AJ40" s="261"/>
      <c r="AK40" s="261"/>
      <c r="AL40" s="261"/>
      <c r="AM40" s="261"/>
      <c r="AN40" s="261"/>
      <c r="AO40" s="261"/>
      <c r="AP40" s="261"/>
      <c r="AQ40" s="261"/>
      <c r="AR40" s="261"/>
      <c r="AS40" s="261"/>
      <c r="AT40" s="171"/>
    </row>
    <row r="41">
      <c r="A41" s="80"/>
      <c r="B41" s="81"/>
      <c r="C41" s="262"/>
      <c r="D41" s="81"/>
      <c r="E41" s="82"/>
      <c r="F41" s="83"/>
      <c r="G41" s="84"/>
      <c r="H41" s="85"/>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8"/>
    </row>
    <row r="42">
      <c r="A42" s="80"/>
      <c r="B42" s="81"/>
      <c r="C42" s="186" t="s">
        <v>213</v>
      </c>
      <c r="F42" s="83"/>
      <c r="G42" s="84"/>
      <c r="H42" s="85"/>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8"/>
    </row>
    <row r="43">
      <c r="A43" s="80"/>
      <c r="B43" s="81"/>
      <c r="C43" s="186"/>
      <c r="D43" s="186"/>
      <c r="E43" s="188" t="s">
        <v>214</v>
      </c>
      <c r="F43" s="189" t="str">
        <f>'Disease burden'!F184</f>
        <v>%</v>
      </c>
      <c r="G43" s="263" t="s">
        <v>131</v>
      </c>
      <c r="H43" s="200" t="str">
        <f>'Disease burden'!H184</f>
        <v>-</v>
      </c>
      <c r="I43" s="264">
        <f>'Disease burden'!I184</f>
        <v>0.02955888388</v>
      </c>
      <c r="J43" s="264">
        <f>'Disease burden'!J184</f>
        <v>0.02107868497</v>
      </c>
      <c r="K43" s="264">
        <f>'Disease burden'!K184</f>
        <v>0.02920111394</v>
      </c>
      <c r="L43" s="264">
        <f>'Disease burden'!L184</f>
        <v>0.01270390498</v>
      </c>
      <c r="M43" s="264">
        <f>'Disease burden'!M184</f>
        <v>0.02024983228</v>
      </c>
      <c r="N43" s="264">
        <f>'Disease burden'!N184</f>
        <v>0.02153510686</v>
      </c>
      <c r="O43" s="264">
        <f>'Disease burden'!O184</f>
        <v>0.0233904572</v>
      </c>
      <c r="P43" s="264">
        <f>'Disease burden'!P184</f>
        <v>0.0355521462</v>
      </c>
      <c r="Q43" s="264">
        <f>'Disease burden'!Q184</f>
        <v>0.03910476381</v>
      </c>
      <c r="R43" s="264">
        <f>'Disease burden'!R184</f>
        <v>0.007243635893</v>
      </c>
      <c r="S43" s="264">
        <f>'Disease burden'!S184</f>
        <v>0.01761373893</v>
      </c>
      <c r="T43" s="264">
        <f>'Disease burden'!T184</f>
        <v>0.0043187638</v>
      </c>
      <c r="U43" s="264">
        <f>'Disease burden'!U184</f>
        <v>0.004482076979</v>
      </c>
      <c r="V43" s="264">
        <f>'Disease burden'!V184</f>
        <v>0.007548540815</v>
      </c>
      <c r="W43" s="264">
        <f>'Disease burden'!W184</f>
        <v>0.009543333363</v>
      </c>
      <c r="X43" s="264">
        <f>'Disease burden'!X184</f>
        <v>0.00832828319</v>
      </c>
      <c r="Y43" s="264">
        <f>'Disease burden'!Y184</f>
        <v>0.005156642823</v>
      </c>
      <c r="Z43" s="264">
        <f>'Disease burden'!Z184</f>
        <v>0.005780016283</v>
      </c>
      <c r="AA43" s="264">
        <f>'Disease burden'!AA184</f>
        <v>0.007969751062</v>
      </c>
      <c r="AB43" s="264">
        <f>'Disease burden'!AB184</f>
        <v>0.005716833079</v>
      </c>
      <c r="AC43" s="264">
        <f>'Disease burden'!AC184</f>
        <v>0.004563982582</v>
      </c>
      <c r="AD43" s="264">
        <f>'Disease burden'!AD184</f>
        <v>0.003039434599</v>
      </c>
      <c r="AE43" s="264">
        <f>'Disease burden'!AE184</f>
        <v>0.005053193343</v>
      </c>
      <c r="AF43" s="264">
        <f>'Disease burden'!AF184</f>
        <v>0.003226738388</v>
      </c>
      <c r="AG43" s="264">
        <f>'Disease burden'!AG184</f>
        <v>0.005139181868</v>
      </c>
      <c r="AH43" s="264">
        <f>'Disease burden'!AH184</f>
        <v>0.003351065919</v>
      </c>
      <c r="AI43" s="264">
        <f>'Disease burden'!AI184</f>
        <v>0.002454159048</v>
      </c>
      <c r="AJ43" s="264">
        <f>'Disease burden'!AJ184</f>
        <v>0.007560525918</v>
      </c>
      <c r="AK43" s="264">
        <f>'Disease burden'!AK184</f>
        <v>0.01224440673</v>
      </c>
      <c r="AL43" s="264">
        <f>'Disease burden'!AL184</f>
        <v>0.004441710562</v>
      </c>
      <c r="AM43" s="264">
        <f>'Disease burden'!AM184</f>
        <v>0.004973710067</v>
      </c>
      <c r="AN43" s="264">
        <f>'Disease burden'!AN184</f>
        <v>0.002250714683</v>
      </c>
      <c r="AO43" s="264">
        <f>'Disease burden'!AO184</f>
        <v>0.003158836764</v>
      </c>
      <c r="AP43" s="264">
        <f>'Disease burden'!AP184</f>
        <v>0.005870974149</v>
      </c>
      <c r="AQ43" s="264">
        <f>'Disease burden'!AQ184</f>
        <v>0.005409570678</v>
      </c>
      <c r="AR43" s="264">
        <f>'Disease burden'!AR184</f>
        <v>0.0193803329</v>
      </c>
      <c r="AS43" s="264">
        <f>'Disease burden'!AS184</f>
        <v>0.01560425886</v>
      </c>
      <c r="AT43" s="193"/>
    </row>
    <row r="44">
      <c r="A44" s="80"/>
      <c r="B44" s="81"/>
      <c r="C44" s="186"/>
      <c r="D44" s="186"/>
      <c r="E44" s="214" t="s">
        <v>222</v>
      </c>
      <c r="F44" s="215" t="str">
        <f>'Aggregation across vaccines'!F64</f>
        <v>%</v>
      </c>
      <c r="G44" s="277" t="s">
        <v>131</v>
      </c>
      <c r="H44" s="187" t="str">
        <f>'Aggregation across vaccines'!H64</f>
        <v>-</v>
      </c>
      <c r="I44" s="149">
        <f>'Aggregation across vaccines'!I64</f>
        <v>0.275484179</v>
      </c>
      <c r="J44" s="149">
        <f>'Aggregation across vaccines'!J64</f>
        <v>0.3475239619</v>
      </c>
      <c r="K44" s="149">
        <f>'Aggregation across vaccines'!K64</f>
        <v>0.306005162</v>
      </c>
      <c r="L44" s="149">
        <f>'Aggregation across vaccines'!L64</f>
        <v>0.4480187004</v>
      </c>
      <c r="M44" s="149">
        <f>'Aggregation across vaccines'!M64</f>
        <v>0.294229745</v>
      </c>
      <c r="N44" s="149">
        <f>'Aggregation across vaccines'!N64</f>
        <v>0.2806274964</v>
      </c>
      <c r="O44" s="149">
        <f>'Aggregation across vaccines'!O64</f>
        <v>0.3109917264</v>
      </c>
      <c r="P44" s="149">
        <f>'Aggregation across vaccines'!P64</f>
        <v>0.1203823143</v>
      </c>
      <c r="Q44" s="149">
        <f>'Aggregation across vaccines'!Q64</f>
        <v>0.2167746494</v>
      </c>
      <c r="R44" s="149">
        <f>'Aggregation across vaccines'!R64</f>
        <v>0.6273736841</v>
      </c>
      <c r="S44" s="149">
        <f>'Aggregation across vaccines'!S64</f>
        <v>0.4945033571</v>
      </c>
      <c r="T44" s="149">
        <f>'Aggregation across vaccines'!T64</f>
        <v>0.6708555788</v>
      </c>
      <c r="U44" s="149">
        <f>'Aggregation across vaccines'!U64</f>
        <v>0.7278061207</v>
      </c>
      <c r="V44" s="149">
        <f>'Aggregation across vaccines'!V64</f>
        <v>0.505350322</v>
      </c>
      <c r="W44" s="149">
        <f>'Aggregation across vaccines'!W64</f>
        <v>0.508699365</v>
      </c>
      <c r="X44" s="149">
        <f>'Aggregation across vaccines'!X64</f>
        <v>0.4269016185</v>
      </c>
      <c r="Y44" s="149">
        <f>'Aggregation across vaccines'!Y64</f>
        <v>0.7385375166</v>
      </c>
      <c r="Z44" s="149">
        <f>'Aggregation across vaccines'!Z64</f>
        <v>0.6190752843</v>
      </c>
      <c r="AA44" s="149">
        <f>'Aggregation across vaccines'!AA64</f>
        <v>0.7086472797</v>
      </c>
      <c r="AB44" s="149">
        <f>'Aggregation across vaccines'!AB64</f>
        <v>0.773427137</v>
      </c>
      <c r="AC44" s="149">
        <f>'Aggregation across vaccines'!AC64</f>
        <v>0.7513327207</v>
      </c>
      <c r="AD44" s="149">
        <f>'Aggregation across vaccines'!AD64</f>
        <v>0.792900046</v>
      </c>
      <c r="AE44" s="149">
        <f>'Aggregation across vaccines'!AE64</f>
        <v>0.7247821813</v>
      </c>
      <c r="AF44" s="149">
        <f>'Aggregation across vaccines'!AF64</f>
        <v>0.7635587998</v>
      </c>
      <c r="AG44" s="149">
        <f>'Aggregation across vaccines'!AG64</f>
        <v>0.5955959008</v>
      </c>
      <c r="AH44" s="149">
        <f>'Aggregation across vaccines'!AH64</f>
        <v>0.542384063</v>
      </c>
      <c r="AI44" s="149">
        <f>'Aggregation across vaccines'!AI64</f>
        <v>0.7666002161</v>
      </c>
      <c r="AJ44" s="149">
        <f>'Aggregation across vaccines'!AJ64</f>
        <v>0.4906778063</v>
      </c>
      <c r="AK44" s="149">
        <f>'Aggregation across vaccines'!AK64</f>
        <v>0.3333739535</v>
      </c>
      <c r="AL44" s="149">
        <f>'Aggregation across vaccines'!AL64</f>
        <v>0.5258489091</v>
      </c>
      <c r="AM44" s="149">
        <f>'Aggregation across vaccines'!AM64</f>
        <v>0.6135594322</v>
      </c>
      <c r="AN44" s="149">
        <f>'Aggregation across vaccines'!AN64</f>
        <v>0.6777727229</v>
      </c>
      <c r="AO44" s="149">
        <f>'Aggregation across vaccines'!AO64</f>
        <v>0.5717195691</v>
      </c>
      <c r="AP44" s="149">
        <f>'Aggregation across vaccines'!AP64</f>
        <v>0.5666293295</v>
      </c>
      <c r="AQ44" s="149">
        <f>'Aggregation across vaccines'!AQ64</f>
        <v>0.699116231</v>
      </c>
      <c r="AR44" s="149">
        <f>'Aggregation across vaccines'!AR64</f>
        <v>0.3589005072</v>
      </c>
      <c r="AS44" s="149">
        <f>'Aggregation across vaccines'!AS64</f>
        <v>0.339247523</v>
      </c>
      <c r="AT44" s="229"/>
    </row>
    <row r="45">
      <c r="A45" s="80"/>
      <c r="B45" s="81"/>
      <c r="C45" s="186"/>
      <c r="D45" s="186"/>
      <c r="E45" s="214" t="s">
        <v>228</v>
      </c>
      <c r="F45" s="215" t="str">
        <f>'Aggregation across vaccines'!F53</f>
        <v>%</v>
      </c>
      <c r="G45" s="277" t="s">
        <v>131</v>
      </c>
      <c r="H45" s="274" t="str">
        <f>'Aggregation across vaccines'!H53</f>
        <v>-</v>
      </c>
      <c r="I45" s="149">
        <f>'Aggregation across vaccines'!I53</f>
        <v>0.5287084837</v>
      </c>
      <c r="J45" s="149">
        <f>'Aggregation across vaccines'!J53</f>
        <v>0.5247627397</v>
      </c>
      <c r="K45" s="149">
        <f>'Aggregation across vaccines'!K53</f>
        <v>0.5454354393</v>
      </c>
      <c r="L45" s="149">
        <f>'Aggregation across vaccines'!L53</f>
        <v>0.5307904056</v>
      </c>
      <c r="M45" s="149">
        <f>'Aggregation across vaccines'!M53</f>
        <v>0.5176692163</v>
      </c>
      <c r="N45" s="149">
        <f>'Aggregation across vaccines'!N53</f>
        <v>0.5381405824</v>
      </c>
      <c r="O45" s="149">
        <f>'Aggregation across vaccines'!O53</f>
        <v>0.538858141</v>
      </c>
      <c r="P45" s="149">
        <f>'Aggregation across vaccines'!P53</f>
        <v>0.531109417</v>
      </c>
      <c r="Q45" s="149">
        <f>'Aggregation across vaccines'!Q53</f>
        <v>0.5387587382</v>
      </c>
      <c r="R45" s="149">
        <f>'Aggregation across vaccines'!R53</f>
        <v>0.4999931305</v>
      </c>
      <c r="S45" s="149">
        <f>'Aggregation across vaccines'!S53</f>
        <v>0.5192446133</v>
      </c>
      <c r="T45" s="149">
        <f>'Aggregation across vaccines'!T53</f>
        <v>0.5343549238</v>
      </c>
      <c r="U45" s="149">
        <f>'Aggregation across vaccines'!U53</f>
        <v>0.5442070874</v>
      </c>
      <c r="V45" s="149">
        <f>'Aggregation across vaccines'!V53</f>
        <v>0.523175617</v>
      </c>
      <c r="W45" s="149">
        <f>'Aggregation across vaccines'!W53</f>
        <v>0.5128136608</v>
      </c>
      <c r="X45" s="149">
        <f>'Aggregation across vaccines'!X53</f>
        <v>0.5322428809</v>
      </c>
      <c r="Y45" s="149">
        <f>'Aggregation across vaccines'!Y53</f>
        <v>0.5403761152</v>
      </c>
      <c r="Z45" s="149">
        <f>'Aggregation across vaccines'!Z53</f>
        <v>0.5327682771</v>
      </c>
      <c r="AA45" s="149">
        <f>'Aggregation across vaccines'!AA53</f>
        <v>0.5291220554</v>
      </c>
      <c r="AB45" s="149">
        <f>'Aggregation across vaccines'!AB53</f>
        <v>0.536921373</v>
      </c>
      <c r="AC45" s="149">
        <f>'Aggregation across vaccines'!AC53</f>
        <v>0.5341613979</v>
      </c>
      <c r="AD45" s="149">
        <f>'Aggregation across vaccines'!AD53</f>
        <v>0.5434280004</v>
      </c>
      <c r="AE45" s="149">
        <f>'Aggregation across vaccines'!AE53</f>
        <v>0.5336286128</v>
      </c>
      <c r="AF45" s="149">
        <f>'Aggregation across vaccines'!AF53</f>
        <v>0.5342724363</v>
      </c>
      <c r="AG45" s="149">
        <f>'Aggregation across vaccines'!AG53</f>
        <v>0.562895648</v>
      </c>
      <c r="AH45" s="149">
        <f>'Aggregation across vaccines'!AH53</f>
        <v>0.5435486015</v>
      </c>
      <c r="AI45" s="149">
        <f>'Aggregation across vaccines'!AI53</f>
        <v>0.5332836888</v>
      </c>
      <c r="AJ45" s="149">
        <f>'Aggregation across vaccines'!AJ53</f>
        <v>0.5338991666</v>
      </c>
      <c r="AK45" s="149">
        <f>'Aggregation across vaccines'!AK53</f>
        <v>0.5222842187</v>
      </c>
      <c r="AL45" s="149">
        <f>'Aggregation across vaccines'!AL53</f>
        <v>0.533645565</v>
      </c>
      <c r="AM45" s="149">
        <f>'Aggregation across vaccines'!AM53</f>
        <v>0.5297069041</v>
      </c>
      <c r="AN45" s="149">
        <f>'Aggregation across vaccines'!AN53</f>
        <v>0.5382112619</v>
      </c>
      <c r="AO45" s="149">
        <f>'Aggregation across vaccines'!AO53</f>
        <v>0.5441972248</v>
      </c>
      <c r="AP45" s="149">
        <f>'Aggregation across vaccines'!AP53</f>
        <v>0.5283940919</v>
      </c>
      <c r="AQ45" s="149">
        <f>'Aggregation across vaccines'!AQ53</f>
        <v>0.53219937</v>
      </c>
      <c r="AR45" s="149">
        <f>'Aggregation across vaccines'!AR53</f>
        <v>0.5114832602</v>
      </c>
      <c r="AS45" s="149">
        <f>'Aggregation across vaccines'!AS53</f>
        <v>0.5424146878</v>
      </c>
      <c r="AT45" s="229"/>
    </row>
    <row r="46">
      <c r="A46" s="80"/>
      <c r="B46" s="81"/>
      <c r="C46" s="186"/>
      <c r="D46" s="186"/>
      <c r="E46" s="214" t="s">
        <v>231</v>
      </c>
      <c r="F46" s="215" t="str">
        <f>'Disease burden'!F209</f>
        <v>%</v>
      </c>
      <c r="G46" s="277" t="s">
        <v>149</v>
      </c>
      <c r="H46" s="187" t="str">
        <f>'Disease burden'!H209</f>
        <v>-</v>
      </c>
      <c r="I46" s="284">
        <f t="shared" ref="I46:AS46" si="10">I43/((1-I44)+(I44*(1-I45)))</f>
        <v>0.03459812996</v>
      </c>
      <c r="J46" s="284">
        <f t="shared" si="10"/>
        <v>0.02578014968</v>
      </c>
      <c r="K46" s="284">
        <f t="shared" si="10"/>
        <v>0.03505140602</v>
      </c>
      <c r="L46" s="284">
        <f t="shared" si="10"/>
        <v>0.01666750474</v>
      </c>
      <c r="M46" s="284">
        <f t="shared" si="10"/>
        <v>0.02388835568</v>
      </c>
      <c r="N46" s="284">
        <f t="shared" si="10"/>
        <v>0.02536577056</v>
      </c>
      <c r="O46" s="284">
        <f t="shared" si="10"/>
        <v>0.02809935982</v>
      </c>
      <c r="P46" s="284">
        <f t="shared" si="10"/>
        <v>0.03798047256</v>
      </c>
      <c r="Q46" s="284">
        <f t="shared" si="10"/>
        <v>0.04427568756</v>
      </c>
      <c r="R46" s="284">
        <f t="shared" si="10"/>
        <v>0.01055435164</v>
      </c>
      <c r="S46" s="284">
        <f t="shared" si="10"/>
        <v>0.02369885012</v>
      </c>
      <c r="T46" s="284">
        <f t="shared" si="10"/>
        <v>0.006732027086</v>
      </c>
      <c r="U46" s="284">
        <f t="shared" si="10"/>
        <v>0.007421606442</v>
      </c>
      <c r="V46" s="284">
        <f t="shared" si="10"/>
        <v>0.01026156481</v>
      </c>
      <c r="W46" s="284">
        <f t="shared" si="10"/>
        <v>0.01291154104</v>
      </c>
      <c r="X46" s="284">
        <f t="shared" si="10"/>
        <v>0.01077697798</v>
      </c>
      <c r="Y46" s="284">
        <f t="shared" si="10"/>
        <v>0.008581361525</v>
      </c>
      <c r="Z46" s="284">
        <f t="shared" si="10"/>
        <v>0.008624620188</v>
      </c>
      <c r="AA46" s="284">
        <f t="shared" si="10"/>
        <v>0.01275080411</v>
      </c>
      <c r="AB46" s="284">
        <f t="shared" si="10"/>
        <v>0.00977686929</v>
      </c>
      <c r="AC46" s="284">
        <f t="shared" si="10"/>
        <v>0.007623573869</v>
      </c>
      <c r="AD46" s="284">
        <f t="shared" si="10"/>
        <v>0.005340624866</v>
      </c>
      <c r="AE46" s="284">
        <f t="shared" si="10"/>
        <v>0.008240216729</v>
      </c>
      <c r="AF46" s="284">
        <f t="shared" si="10"/>
        <v>0.005450096745</v>
      </c>
      <c r="AG46" s="284">
        <f t="shared" si="10"/>
        <v>0.007731096426</v>
      </c>
      <c r="AH46" s="284">
        <f t="shared" si="10"/>
        <v>0.004752018453</v>
      </c>
      <c r="AI46" s="284">
        <f t="shared" si="10"/>
        <v>0.004151256665</v>
      </c>
      <c r="AJ46" s="284">
        <f t="shared" si="10"/>
        <v>0.01024423294</v>
      </c>
      <c r="AK46" s="284">
        <f t="shared" si="10"/>
        <v>0.01482581822</v>
      </c>
      <c r="AL46" s="284">
        <f t="shared" si="10"/>
        <v>0.006174332977</v>
      </c>
      <c r="AM46" s="284">
        <f t="shared" si="10"/>
        <v>0.007368532141</v>
      </c>
      <c r="AN46" s="284">
        <f t="shared" si="10"/>
        <v>0.003543232406</v>
      </c>
      <c r="AO46" s="284">
        <f t="shared" si="10"/>
        <v>0.004585521975</v>
      </c>
      <c r="AP46" s="284">
        <f t="shared" si="10"/>
        <v>0.008379966077</v>
      </c>
      <c r="AQ46" s="284">
        <f t="shared" si="10"/>
        <v>0.008614915577</v>
      </c>
      <c r="AR46" s="284">
        <f t="shared" si="10"/>
        <v>0.02373794559</v>
      </c>
      <c r="AS46" s="284">
        <f t="shared" si="10"/>
        <v>0.01912316715</v>
      </c>
      <c r="AT46" s="229"/>
    </row>
    <row r="47">
      <c r="A47" s="80"/>
      <c r="B47" s="81"/>
      <c r="C47" s="186"/>
      <c r="D47" s="186"/>
      <c r="E47" s="188" t="s">
        <v>234</v>
      </c>
      <c r="F47" s="189" t="str">
        <f>Inputs!F228</f>
        <v>%</v>
      </c>
      <c r="G47" s="263" t="str">
        <f>Inputs!G228</f>
        <v>input</v>
      </c>
      <c r="H47" s="288">
        <f>Inputs!H228</f>
        <v>0.75</v>
      </c>
      <c r="I47" s="289" t="str">
        <f>Inputs!I228</f>
        <v>-</v>
      </c>
      <c r="J47" s="289" t="str">
        <f>Inputs!J228</f>
        <v>-</v>
      </c>
      <c r="K47" s="289" t="str">
        <f>Inputs!K228</f>
        <v>-</v>
      </c>
      <c r="L47" s="289" t="str">
        <f>Inputs!L228</f>
        <v>-</v>
      </c>
      <c r="M47" s="289" t="str">
        <f>Inputs!M228</f>
        <v>-</v>
      </c>
      <c r="N47" s="289" t="str">
        <f>Inputs!N228</f>
        <v>-</v>
      </c>
      <c r="O47" s="289" t="str">
        <f>Inputs!O228</f>
        <v>-</v>
      </c>
      <c r="P47" s="289" t="str">
        <f>Inputs!P228</f>
        <v>-</v>
      </c>
      <c r="Q47" s="289" t="str">
        <f>Inputs!Q228</f>
        <v>-</v>
      </c>
      <c r="R47" s="289" t="str">
        <f>Inputs!R228</f>
        <v>-</v>
      </c>
      <c r="S47" s="289" t="str">
        <f>Inputs!S228</f>
        <v>-</v>
      </c>
      <c r="T47" s="289" t="str">
        <f>Inputs!T228</f>
        <v>-</v>
      </c>
      <c r="U47" s="289" t="str">
        <f>Inputs!U228</f>
        <v>-</v>
      </c>
      <c r="V47" s="289" t="str">
        <f>Inputs!V228</f>
        <v>-</v>
      </c>
      <c r="W47" s="289" t="str">
        <f>Inputs!W228</f>
        <v>-</v>
      </c>
      <c r="X47" s="289" t="str">
        <f>Inputs!X228</f>
        <v>-</v>
      </c>
      <c r="Y47" s="289" t="str">
        <f>Inputs!Y228</f>
        <v>-</v>
      </c>
      <c r="Z47" s="289" t="str">
        <f>Inputs!Z228</f>
        <v>-</v>
      </c>
      <c r="AA47" s="289" t="str">
        <f>Inputs!AA228</f>
        <v>-</v>
      </c>
      <c r="AB47" s="289" t="str">
        <f>Inputs!AB228</f>
        <v>-</v>
      </c>
      <c r="AC47" s="289" t="str">
        <f>Inputs!AC228</f>
        <v>-</v>
      </c>
      <c r="AD47" s="289" t="str">
        <f>Inputs!AD228</f>
        <v>-</v>
      </c>
      <c r="AE47" s="289" t="str">
        <f>Inputs!AE228</f>
        <v>-</v>
      </c>
      <c r="AF47" s="289" t="str">
        <f>Inputs!AF228</f>
        <v>-</v>
      </c>
      <c r="AG47" s="289" t="str">
        <f>Inputs!AG228</f>
        <v>-</v>
      </c>
      <c r="AH47" s="289" t="str">
        <f>Inputs!AH228</f>
        <v>-</v>
      </c>
      <c r="AI47" s="289" t="str">
        <f>Inputs!AI228</f>
        <v>-</v>
      </c>
      <c r="AJ47" s="289" t="str">
        <f>Inputs!AJ228</f>
        <v>-</v>
      </c>
      <c r="AK47" s="289" t="str">
        <f>Inputs!AK228</f>
        <v>-</v>
      </c>
      <c r="AL47" s="289" t="str">
        <f>Inputs!AL228</f>
        <v>-</v>
      </c>
      <c r="AM47" s="289" t="str">
        <f>Inputs!AM228</f>
        <v>-</v>
      </c>
      <c r="AN47" s="289" t="str">
        <f>Inputs!AN228</f>
        <v>-</v>
      </c>
      <c r="AO47" s="289" t="str">
        <f>Inputs!AO228</f>
        <v>-</v>
      </c>
      <c r="AP47" s="289" t="str">
        <f>Inputs!AP228</f>
        <v>-</v>
      </c>
      <c r="AQ47" s="289" t="str">
        <f>Inputs!AQ228</f>
        <v>-</v>
      </c>
      <c r="AR47" s="289" t="str">
        <f>Inputs!AR228</f>
        <v>-</v>
      </c>
      <c r="AS47" s="289" t="str">
        <f>Inputs!AS228</f>
        <v>-</v>
      </c>
      <c r="AT47" s="193"/>
    </row>
    <row r="48">
      <c r="A48" s="80"/>
      <c r="B48" s="81"/>
      <c r="C48" s="186"/>
      <c r="D48" s="186"/>
      <c r="E48" s="188" t="s">
        <v>240</v>
      </c>
      <c r="F48" s="189" t="s">
        <v>122</v>
      </c>
      <c r="G48" s="189" t="s">
        <v>149</v>
      </c>
      <c r="H48" s="200" t="s">
        <v>150</v>
      </c>
      <c r="I48" s="296">
        <f t="shared" ref="I48:AS48" si="11">I46*(1+$H47)</f>
        <v>0.06054672743</v>
      </c>
      <c r="J48" s="296">
        <f t="shared" si="11"/>
        <v>0.04511526194</v>
      </c>
      <c r="K48" s="296">
        <f t="shared" si="11"/>
        <v>0.06133996053</v>
      </c>
      <c r="L48" s="296">
        <f t="shared" si="11"/>
        <v>0.02916813329</v>
      </c>
      <c r="M48" s="296">
        <f t="shared" si="11"/>
        <v>0.04180462245</v>
      </c>
      <c r="N48" s="296">
        <f t="shared" si="11"/>
        <v>0.04439009848</v>
      </c>
      <c r="O48" s="296">
        <f t="shared" si="11"/>
        <v>0.04917387969</v>
      </c>
      <c r="P48" s="296">
        <f t="shared" si="11"/>
        <v>0.06646582697</v>
      </c>
      <c r="Q48" s="296">
        <f t="shared" si="11"/>
        <v>0.07748245322</v>
      </c>
      <c r="R48" s="296">
        <f t="shared" si="11"/>
        <v>0.01847011537</v>
      </c>
      <c r="S48" s="296">
        <f t="shared" si="11"/>
        <v>0.04147298771</v>
      </c>
      <c r="T48" s="296">
        <f t="shared" si="11"/>
        <v>0.0117810474</v>
      </c>
      <c r="U48" s="296">
        <f t="shared" si="11"/>
        <v>0.01298781127</v>
      </c>
      <c r="V48" s="296">
        <f t="shared" si="11"/>
        <v>0.01795773841</v>
      </c>
      <c r="W48" s="296">
        <f t="shared" si="11"/>
        <v>0.02259519682</v>
      </c>
      <c r="X48" s="296">
        <f t="shared" si="11"/>
        <v>0.01885971147</v>
      </c>
      <c r="Y48" s="296">
        <f t="shared" si="11"/>
        <v>0.01501738267</v>
      </c>
      <c r="Z48" s="296">
        <f t="shared" si="11"/>
        <v>0.01509308533</v>
      </c>
      <c r="AA48" s="296">
        <f t="shared" si="11"/>
        <v>0.0223139072</v>
      </c>
      <c r="AB48" s="296">
        <f t="shared" si="11"/>
        <v>0.01710952126</v>
      </c>
      <c r="AC48" s="296">
        <f t="shared" si="11"/>
        <v>0.01334125427</v>
      </c>
      <c r="AD48" s="296">
        <f t="shared" si="11"/>
        <v>0.009346093515</v>
      </c>
      <c r="AE48" s="296">
        <f t="shared" si="11"/>
        <v>0.01442037928</v>
      </c>
      <c r="AF48" s="296">
        <f t="shared" si="11"/>
        <v>0.009537669304</v>
      </c>
      <c r="AG48" s="296">
        <f t="shared" si="11"/>
        <v>0.01352941875</v>
      </c>
      <c r="AH48" s="296">
        <f t="shared" si="11"/>
        <v>0.008316032293</v>
      </c>
      <c r="AI48" s="296">
        <f t="shared" si="11"/>
        <v>0.007264699163</v>
      </c>
      <c r="AJ48" s="296">
        <f t="shared" si="11"/>
        <v>0.01792740765</v>
      </c>
      <c r="AK48" s="296">
        <f t="shared" si="11"/>
        <v>0.02594518189</v>
      </c>
      <c r="AL48" s="296">
        <f t="shared" si="11"/>
        <v>0.01080508271</v>
      </c>
      <c r="AM48" s="296">
        <f t="shared" si="11"/>
        <v>0.01289493125</v>
      </c>
      <c r="AN48" s="296">
        <f t="shared" si="11"/>
        <v>0.00620065671</v>
      </c>
      <c r="AO48" s="296">
        <f t="shared" si="11"/>
        <v>0.008024663456</v>
      </c>
      <c r="AP48" s="296">
        <f t="shared" si="11"/>
        <v>0.01466494063</v>
      </c>
      <c r="AQ48" s="296">
        <f t="shared" si="11"/>
        <v>0.01507610226</v>
      </c>
      <c r="AR48" s="296">
        <f t="shared" si="11"/>
        <v>0.04154140477</v>
      </c>
      <c r="AS48" s="296">
        <f t="shared" si="11"/>
        <v>0.03346554251</v>
      </c>
      <c r="AT48" s="193"/>
    </row>
    <row r="49">
      <c r="A49" s="80"/>
      <c r="B49" s="81"/>
      <c r="C49" s="81"/>
      <c r="D49" s="81"/>
      <c r="E49" s="214" t="s">
        <v>242</v>
      </c>
      <c r="F49" s="215" t="str">
        <f>Inputs!F229</f>
        <v>%</v>
      </c>
      <c r="G49" s="297" t="str">
        <f>Inputs!G229</f>
        <v>input</v>
      </c>
      <c r="H49" s="217">
        <f>Inputs!H229</f>
        <v>1</v>
      </c>
      <c r="I49" s="149" t="str">
        <f>Inputs!I229</f>
        <v>-</v>
      </c>
      <c r="J49" s="149" t="str">
        <f>Inputs!J229</f>
        <v>-</v>
      </c>
      <c r="K49" s="149" t="str">
        <f>Inputs!K229</f>
        <v>-</v>
      </c>
      <c r="L49" s="149" t="str">
        <f>Inputs!L229</f>
        <v>-</v>
      </c>
      <c r="M49" s="149" t="str">
        <f>Inputs!M229</f>
        <v>-</v>
      </c>
      <c r="N49" s="149" t="str">
        <f>Inputs!N229</f>
        <v>-</v>
      </c>
      <c r="O49" s="149" t="str">
        <f>Inputs!O229</f>
        <v>-</v>
      </c>
      <c r="P49" s="149" t="str">
        <f>Inputs!P229</f>
        <v>-</v>
      </c>
      <c r="Q49" s="149" t="str">
        <f>Inputs!Q229</f>
        <v>-</v>
      </c>
      <c r="R49" s="149" t="str">
        <f>Inputs!R229</f>
        <v>-</v>
      </c>
      <c r="S49" s="149" t="str">
        <f>Inputs!S229</f>
        <v>-</v>
      </c>
      <c r="T49" s="149" t="str">
        <f>Inputs!T229</f>
        <v>-</v>
      </c>
      <c r="U49" s="149" t="str">
        <f>Inputs!U229</f>
        <v>-</v>
      </c>
      <c r="V49" s="149" t="str">
        <f>Inputs!V229</f>
        <v>-</v>
      </c>
      <c r="W49" s="149" t="str">
        <f>Inputs!W229</f>
        <v>-</v>
      </c>
      <c r="X49" s="149" t="str">
        <f>Inputs!X229</f>
        <v>-</v>
      </c>
      <c r="Y49" s="149" t="str">
        <f>Inputs!Y229</f>
        <v>-</v>
      </c>
      <c r="Z49" s="149" t="str">
        <f>Inputs!Z229</f>
        <v>-</v>
      </c>
      <c r="AA49" s="149" t="str">
        <f>Inputs!AA229</f>
        <v>-</v>
      </c>
      <c r="AB49" s="149" t="str">
        <f>Inputs!AB229</f>
        <v>-</v>
      </c>
      <c r="AC49" s="149" t="str">
        <f>Inputs!AC229</f>
        <v>-</v>
      </c>
      <c r="AD49" s="149" t="str">
        <f>Inputs!AD229</f>
        <v>-</v>
      </c>
      <c r="AE49" s="149" t="str">
        <f>Inputs!AE229</f>
        <v>-</v>
      </c>
      <c r="AF49" s="149" t="str">
        <f>Inputs!AF229</f>
        <v>-</v>
      </c>
      <c r="AG49" s="149" t="str">
        <f>Inputs!AG229</f>
        <v>-</v>
      </c>
      <c r="AH49" s="149" t="str">
        <f>Inputs!AH229</f>
        <v>-</v>
      </c>
      <c r="AI49" s="149" t="str">
        <f>Inputs!AI229</f>
        <v>-</v>
      </c>
      <c r="AJ49" s="149" t="str">
        <f>Inputs!AJ229</f>
        <v>-</v>
      </c>
      <c r="AK49" s="149" t="str">
        <f>Inputs!AK229</f>
        <v>-</v>
      </c>
      <c r="AL49" s="149" t="str">
        <f>Inputs!AL229</f>
        <v>-</v>
      </c>
      <c r="AM49" s="149" t="str">
        <f>Inputs!AM229</f>
        <v>-</v>
      </c>
      <c r="AN49" s="149" t="str">
        <f>Inputs!AN229</f>
        <v>-</v>
      </c>
      <c r="AO49" s="149" t="str">
        <f>Inputs!AO229</f>
        <v>-</v>
      </c>
      <c r="AP49" s="149" t="str">
        <f>Inputs!AP229</f>
        <v>-</v>
      </c>
      <c r="AQ49" s="149" t="str">
        <f>Inputs!AQ229</f>
        <v>-</v>
      </c>
      <c r="AR49" s="149" t="str">
        <f>Inputs!AR229</f>
        <v>-</v>
      </c>
      <c r="AS49" s="149" t="str">
        <f>Inputs!AS229</f>
        <v>-</v>
      </c>
      <c r="AT49" s="229"/>
    </row>
    <row r="50">
      <c r="A50" s="80"/>
      <c r="B50" s="81"/>
      <c r="C50" s="186"/>
      <c r="D50" s="186"/>
      <c r="E50" s="92" t="s">
        <v>245</v>
      </c>
      <c r="F50" s="93" t="s">
        <v>111</v>
      </c>
      <c r="G50" s="128" t="s">
        <v>149</v>
      </c>
      <c r="H50" s="129" t="s">
        <v>150</v>
      </c>
      <c r="I50" s="183">
        <f t="shared" ref="I50:AS50" si="12">I38*I45*I48*$H49</f>
        <v>386.9464827</v>
      </c>
      <c r="J50" s="183">
        <f t="shared" si="12"/>
        <v>175.4405849</v>
      </c>
      <c r="K50" s="183">
        <f t="shared" si="12"/>
        <v>317.8977189</v>
      </c>
      <c r="L50" s="183">
        <f t="shared" si="12"/>
        <v>88.10470035</v>
      </c>
      <c r="M50" s="183">
        <f t="shared" si="12"/>
        <v>218.3179762</v>
      </c>
      <c r="N50" s="183">
        <f t="shared" si="12"/>
        <v>322.1268501</v>
      </c>
      <c r="O50" s="183">
        <f t="shared" si="12"/>
        <v>501.0157461</v>
      </c>
      <c r="P50" s="183">
        <f t="shared" si="12"/>
        <v>825.6216313</v>
      </c>
      <c r="Q50" s="183">
        <f t="shared" si="12"/>
        <v>624.0117303</v>
      </c>
      <c r="R50" s="183">
        <f t="shared" si="12"/>
        <v>20.7146174</v>
      </c>
      <c r="S50" s="183">
        <f t="shared" si="12"/>
        <v>61.28112369</v>
      </c>
      <c r="T50" s="183">
        <f t="shared" si="12"/>
        <v>18.47530624</v>
      </c>
      <c r="U50" s="183">
        <f t="shared" si="12"/>
        <v>25.89544782</v>
      </c>
      <c r="V50" s="183">
        <f t="shared" si="12"/>
        <v>40.18596591</v>
      </c>
      <c r="W50" s="183">
        <f t="shared" si="12"/>
        <v>49.44512322</v>
      </c>
      <c r="X50" s="183">
        <f t="shared" si="12"/>
        <v>113.8106768</v>
      </c>
      <c r="Y50" s="183">
        <f t="shared" si="12"/>
        <v>11.73769744</v>
      </c>
      <c r="Z50" s="183">
        <f t="shared" si="12"/>
        <v>31.77767767</v>
      </c>
      <c r="AA50" s="183">
        <f t="shared" si="12"/>
        <v>1.79662296</v>
      </c>
      <c r="AB50" s="183">
        <f t="shared" si="12"/>
        <v>17.26912905</v>
      </c>
      <c r="AC50" s="183">
        <f t="shared" si="12"/>
        <v>7.091754042</v>
      </c>
      <c r="AD50" s="183">
        <f t="shared" si="12"/>
        <v>2.752941032</v>
      </c>
      <c r="AE50" s="183">
        <f t="shared" si="12"/>
        <v>12.80138178</v>
      </c>
      <c r="AF50" s="183">
        <f t="shared" si="12"/>
        <v>6.269356567</v>
      </c>
      <c r="AG50" s="183">
        <f t="shared" si="12"/>
        <v>27.86802905</v>
      </c>
      <c r="AH50" s="183">
        <f t="shared" si="12"/>
        <v>31.90521611</v>
      </c>
      <c r="AI50" s="183">
        <f t="shared" si="12"/>
        <v>5.80354639</v>
      </c>
      <c r="AJ50" s="183">
        <f t="shared" si="12"/>
        <v>58.12200452</v>
      </c>
      <c r="AK50" s="183">
        <f t="shared" si="12"/>
        <v>127.2860577</v>
      </c>
      <c r="AL50" s="183">
        <f t="shared" si="12"/>
        <v>45.1709404</v>
      </c>
      <c r="AM50" s="183">
        <f t="shared" si="12"/>
        <v>38.72646996</v>
      </c>
      <c r="AN50" s="183">
        <f t="shared" si="12"/>
        <v>6.83423205</v>
      </c>
      <c r="AO50" s="183">
        <f t="shared" si="12"/>
        <v>25.20313053</v>
      </c>
      <c r="AP50" s="183">
        <f t="shared" si="12"/>
        <v>31.85600374</v>
      </c>
      <c r="AQ50" s="183">
        <f t="shared" si="12"/>
        <v>16.22096581</v>
      </c>
      <c r="AR50" s="183">
        <f t="shared" si="12"/>
        <v>121.4055131</v>
      </c>
      <c r="AS50" s="183">
        <f t="shared" si="12"/>
        <v>93.44823746</v>
      </c>
      <c r="AT50" s="300"/>
    </row>
    <row r="51">
      <c r="A51" s="80"/>
      <c r="B51" s="81"/>
      <c r="C51" s="186"/>
      <c r="D51" s="186"/>
      <c r="E51" s="121"/>
      <c r="F51" s="83"/>
      <c r="G51" s="84"/>
      <c r="H51" s="85"/>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8"/>
    </row>
    <row r="52">
      <c r="A52" s="80"/>
      <c r="B52" s="81"/>
      <c r="C52" s="186" t="s">
        <v>247</v>
      </c>
      <c r="F52" s="108"/>
      <c r="G52" s="127"/>
      <c r="H52" s="301"/>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8"/>
    </row>
    <row r="53">
      <c r="A53" s="80"/>
      <c r="B53" s="81"/>
      <c r="C53" s="90"/>
      <c r="D53" s="90"/>
      <c r="E53" s="113" t="s">
        <v>248</v>
      </c>
      <c r="F53" s="189" t="str">
        <f>'Disease burden'!F229</f>
        <v>%</v>
      </c>
      <c r="G53" s="263" t="s">
        <v>131</v>
      </c>
      <c r="H53" s="156" t="str">
        <f>'Disease burden'!H229</f>
        <v>-</v>
      </c>
      <c r="I53" s="264">
        <f>'Disease burden'!I229</f>
        <v>0.002390211235</v>
      </c>
      <c r="J53" s="264">
        <f>'Disease burden'!J229</f>
        <v>0.001688536045</v>
      </c>
      <c r="K53" s="264">
        <f>'Disease burden'!K229</f>
        <v>0.002398010576</v>
      </c>
      <c r="L53" s="264">
        <f>'Disease burden'!L229</f>
        <v>0.001092860577</v>
      </c>
      <c r="M53" s="264">
        <f>'Disease burden'!M229</f>
        <v>0.001660038718</v>
      </c>
      <c r="N53" s="264">
        <f>'Disease burden'!N229</f>
        <v>0.001936982993</v>
      </c>
      <c r="O53" s="264">
        <f>'Disease burden'!O229</f>
        <v>0.002152831443</v>
      </c>
      <c r="P53" s="264">
        <f>'Disease burden'!P229</f>
        <v>0.002918927536</v>
      </c>
      <c r="Q53" s="264">
        <f>'Disease burden'!Q229</f>
        <v>0.003081468136</v>
      </c>
      <c r="R53" s="264">
        <f>'Disease burden'!R229</f>
        <v>0.0005873643498</v>
      </c>
      <c r="S53" s="264">
        <f>'Disease burden'!S229</f>
        <v>0.001413025548</v>
      </c>
      <c r="T53" s="264">
        <f>'Disease burden'!T229</f>
        <v>0.0004697125668</v>
      </c>
      <c r="U53" s="264">
        <f>'Disease burden'!U229</f>
        <v>0.0005102027032</v>
      </c>
      <c r="V53" s="264">
        <f>'Disease burden'!V229</f>
        <v>0.0006971006603</v>
      </c>
      <c r="W53" s="264">
        <f>'Disease burden'!W229</f>
        <v>0.001059957588</v>
      </c>
      <c r="X53" s="264">
        <f>'Disease burden'!X229</f>
        <v>0.0009751827561</v>
      </c>
      <c r="Y53" s="264">
        <f>'Disease burden'!Y229</f>
        <v>0.000679724963</v>
      </c>
      <c r="Z53" s="264">
        <f>'Disease burden'!Z229</f>
        <v>0.0006226273559</v>
      </c>
      <c r="AA53" s="264">
        <f>'Disease burden'!AA229</f>
        <v>0.00088082152</v>
      </c>
      <c r="AB53" s="264">
        <f>'Disease burden'!AB229</f>
        <v>0.000489289897</v>
      </c>
      <c r="AC53" s="264">
        <f>'Disease burden'!AC229</f>
        <v>0.0004575032454</v>
      </c>
      <c r="AD53" s="264">
        <f>'Disease burden'!AD229</f>
        <v>0.0004335721224</v>
      </c>
      <c r="AE53" s="264">
        <f>'Disease burden'!AE229</f>
        <v>0.0005763509365</v>
      </c>
      <c r="AF53" s="264">
        <f>'Disease burden'!AF229</f>
        <v>0.0004067964777</v>
      </c>
      <c r="AG53" s="264">
        <f>'Disease burden'!AG229</f>
        <v>0.0006469607395</v>
      </c>
      <c r="AH53" s="264">
        <f>'Disease burden'!AH229</f>
        <v>0.0004868226695</v>
      </c>
      <c r="AI53" s="264">
        <f>'Disease burden'!AI229</f>
        <v>0.0003791501057</v>
      </c>
      <c r="AJ53" s="264">
        <f>'Disease burden'!AJ229</f>
        <v>0.0008829707577</v>
      </c>
      <c r="AK53" s="264">
        <f>'Disease burden'!AK229</f>
        <v>0.001187330641</v>
      </c>
      <c r="AL53" s="264">
        <f>'Disease burden'!AL229</f>
        <v>0.0005544973584</v>
      </c>
      <c r="AM53" s="264">
        <f>'Disease burden'!AM229</f>
        <v>0.0005926330442</v>
      </c>
      <c r="AN53" s="264">
        <f>'Disease burden'!AN229</f>
        <v>0.0003126006628</v>
      </c>
      <c r="AO53" s="264">
        <f>'Disease burden'!AO229</f>
        <v>0.0003777239327</v>
      </c>
      <c r="AP53" s="264">
        <f>'Disease burden'!AP229</f>
        <v>0.0008114790674</v>
      </c>
      <c r="AQ53" s="264">
        <f>'Disease burden'!AQ229</f>
        <v>0.0005206450939</v>
      </c>
      <c r="AR53" s="264">
        <f>'Disease burden'!AR229</f>
        <v>0.001563436681</v>
      </c>
      <c r="AS53" s="264">
        <f>'Disease burden'!AS229</f>
        <v>0.001713642118</v>
      </c>
      <c r="AT53" s="136"/>
    </row>
    <row r="54">
      <c r="A54" s="80"/>
      <c r="B54" s="81"/>
      <c r="C54" s="90"/>
      <c r="D54" s="90"/>
      <c r="E54" s="140" t="s">
        <v>251</v>
      </c>
      <c r="F54" s="215" t="str">
        <f>'Aggregation across vaccines'!F97</f>
        <v>%</v>
      </c>
      <c r="G54" s="277" t="s">
        <v>131</v>
      </c>
      <c r="H54" s="176" t="str">
        <f>'Aggregation across vaccines'!H97</f>
        <v>-</v>
      </c>
      <c r="I54" s="149">
        <f>'Aggregation across vaccines'!I97</f>
        <v>0.1565354678</v>
      </c>
      <c r="J54" s="149">
        <f>'Aggregation across vaccines'!J97</f>
        <v>0.1981607759</v>
      </c>
      <c r="K54" s="149">
        <f>'Aggregation across vaccines'!K97</f>
        <v>0.1737030522</v>
      </c>
      <c r="L54" s="149">
        <f>'Aggregation across vaccines'!L97</f>
        <v>0.2547921966</v>
      </c>
      <c r="M54" s="149">
        <f>'Aggregation across vaccines'!M97</f>
        <v>0.1755117843</v>
      </c>
      <c r="N54" s="149">
        <f>'Aggregation across vaccines'!N97</f>
        <v>0.1613670685</v>
      </c>
      <c r="O54" s="149">
        <f>'Aggregation across vaccines'!O97</f>
        <v>0.1790049693</v>
      </c>
      <c r="P54" s="149">
        <f>'Aggregation across vaccines'!P97</f>
        <v>0.07352943014</v>
      </c>
      <c r="Q54" s="149">
        <f>'Aggregation across vaccines'!Q97</f>
        <v>0.1303854195</v>
      </c>
      <c r="R54" s="149">
        <f>'Aggregation across vaccines'!R97</f>
        <v>0.3531172649</v>
      </c>
      <c r="S54" s="149">
        <f>'Aggregation across vaccines'!S97</f>
        <v>0.280083559</v>
      </c>
      <c r="T54" s="149">
        <f>'Aggregation across vaccines'!T97</f>
        <v>0.3660440914</v>
      </c>
      <c r="U54" s="149">
        <f>'Aggregation across vaccines'!U97</f>
        <v>0.3850658921</v>
      </c>
      <c r="V54" s="149">
        <f>'Aggregation across vaccines'!V97</f>
        <v>0.2751407644</v>
      </c>
      <c r="W54" s="149">
        <f>'Aggregation across vaccines'!W97</f>
        <v>0.289017218</v>
      </c>
      <c r="X54" s="149">
        <f>'Aggregation across vaccines'!X97</f>
        <v>0.2435731333</v>
      </c>
      <c r="Y54" s="149">
        <f>'Aggregation across vaccines'!Y97</f>
        <v>0.3880840603</v>
      </c>
      <c r="Z54" s="149">
        <f>'Aggregation across vaccines'!Z97</f>
        <v>0.3430762584</v>
      </c>
      <c r="AA54" s="149">
        <f>'Aggregation across vaccines'!AA97</f>
        <v>0.3856455282</v>
      </c>
      <c r="AB54" s="149">
        <f>'Aggregation across vaccines'!AB97</f>
        <v>0.4112540674</v>
      </c>
      <c r="AC54" s="149">
        <f>'Aggregation across vaccines'!AC97</f>
        <v>0.4067561884</v>
      </c>
      <c r="AD54" s="149">
        <f>'Aggregation across vaccines'!AD97</f>
        <v>0.4157325811</v>
      </c>
      <c r="AE54" s="149">
        <f>'Aggregation across vaccines'!AE97</f>
        <v>0.3996252109</v>
      </c>
      <c r="AF54" s="149">
        <f>'Aggregation across vaccines'!AF97</f>
        <v>0.4096834865</v>
      </c>
      <c r="AG54" s="149">
        <f>'Aggregation across vaccines'!AG97</f>
        <v>0.3146292925</v>
      </c>
      <c r="AH54" s="149">
        <f>'Aggregation across vaccines'!AH97</f>
        <v>0.2933379004</v>
      </c>
      <c r="AI54" s="149">
        <f>'Aggregation across vaccines'!AI97</f>
        <v>0.4290892463</v>
      </c>
      <c r="AJ54" s="149">
        <f>'Aggregation across vaccines'!AJ97</f>
        <v>0.2702739734</v>
      </c>
      <c r="AK54" s="149">
        <f>'Aggregation across vaccines'!AK97</f>
        <v>0.1937429704</v>
      </c>
      <c r="AL54" s="149">
        <f>'Aggregation across vaccines'!AL97</f>
        <v>0.2959541554</v>
      </c>
      <c r="AM54" s="149">
        <f>'Aggregation across vaccines'!AM97</f>
        <v>0.3290901154</v>
      </c>
      <c r="AN54" s="149">
        <f>'Aggregation across vaccines'!AN97</f>
        <v>0.3714009029</v>
      </c>
      <c r="AO54" s="149">
        <f>'Aggregation across vaccines'!AO97</f>
        <v>0.2999532058</v>
      </c>
      <c r="AP54" s="149">
        <f>'Aggregation across vaccines'!AP97</f>
        <v>0.3116792053</v>
      </c>
      <c r="AQ54" s="149">
        <f>'Aggregation across vaccines'!AQ97</f>
        <v>0.3846277018</v>
      </c>
      <c r="AR54" s="149">
        <f>'Aggregation across vaccines'!AR97</f>
        <v>0.2094321301</v>
      </c>
      <c r="AS54" s="149">
        <f>'Aggregation across vaccines'!AS97</f>
        <v>0.1883330759</v>
      </c>
      <c r="AT54" s="163"/>
    </row>
    <row r="55">
      <c r="A55" s="80"/>
      <c r="B55" s="81"/>
      <c r="C55" s="90"/>
      <c r="D55" s="90"/>
      <c r="E55" s="140" t="s">
        <v>255</v>
      </c>
      <c r="F55" s="215" t="str">
        <f>'Aggregation across vaccines'!F85</f>
        <v>%</v>
      </c>
      <c r="G55" s="277" t="s">
        <v>131</v>
      </c>
      <c r="H55" s="217" t="str">
        <f>'Aggregation across vaccines'!H85</f>
        <v>-</v>
      </c>
      <c r="I55" s="149">
        <f>'Aggregation across vaccines'!I85</f>
        <v>0.5148036186</v>
      </c>
      <c r="J55" s="149">
        <f>'Aggregation across vaccines'!J85</f>
        <v>0.5091190737</v>
      </c>
      <c r="K55" s="149">
        <f>'Aggregation across vaccines'!K85</f>
        <v>0.5334415252</v>
      </c>
      <c r="L55" s="149">
        <f>'Aggregation across vaccines'!L85</f>
        <v>0.518074605</v>
      </c>
      <c r="M55" s="149">
        <f>'Aggregation across vaccines'!M85</f>
        <v>0.5076136972</v>
      </c>
      <c r="N55" s="149">
        <f>'Aggregation across vaccines'!N85</f>
        <v>0.524764731</v>
      </c>
      <c r="O55" s="149">
        <f>'Aggregation across vaccines'!O85</f>
        <v>0.5271355573</v>
      </c>
      <c r="P55" s="149">
        <f>'Aggregation across vaccines'!P85</f>
        <v>0.5281628386</v>
      </c>
      <c r="Q55" s="149">
        <f>'Aggregation across vaccines'!Q85</f>
        <v>0.5312330287</v>
      </c>
      <c r="R55" s="149">
        <f>'Aggregation across vaccines'!R85</f>
        <v>0.4852246218</v>
      </c>
      <c r="S55" s="149">
        <f>'Aggregation across vaccines'!S85</f>
        <v>0.4967135615</v>
      </c>
      <c r="T55" s="149">
        <f>'Aggregation across vaccines'!T85</f>
        <v>0.5040817348</v>
      </c>
      <c r="U55" s="149">
        <f>'Aggregation across vaccines'!U85</f>
        <v>0.5140933036</v>
      </c>
      <c r="V55" s="149">
        <f>'Aggregation across vaccines'!V85</f>
        <v>0.4957041663</v>
      </c>
      <c r="W55" s="149">
        <f>'Aggregation across vaccines'!W85</f>
        <v>0.4858804052</v>
      </c>
      <c r="X55" s="149">
        <f>'Aggregation across vaccines'!X85</f>
        <v>0.5024843273</v>
      </c>
      <c r="Y55" s="149">
        <f>'Aggregation across vaccines'!Y85</f>
        <v>0.4876922865</v>
      </c>
      <c r="Z55" s="149">
        <f>'Aggregation across vaccines'!Z85</f>
        <v>0.5054268344</v>
      </c>
      <c r="AA55" s="149">
        <f>'Aggregation across vaccines'!AA85</f>
        <v>0.4956954926</v>
      </c>
      <c r="AB55" s="149">
        <f>'Aggregation across vaccines'!AB85</f>
        <v>0.5011217506</v>
      </c>
      <c r="AC55" s="149">
        <f>'Aggregation across vaccines'!AC85</f>
        <v>0.4977602392</v>
      </c>
      <c r="AD55" s="149">
        <f>'Aggregation across vaccines'!AD85</f>
        <v>0.4992869104</v>
      </c>
      <c r="AE55" s="149">
        <f>'Aggregation across vaccines'!AE85</f>
        <v>0.5004460705</v>
      </c>
      <c r="AF55" s="149">
        <f>'Aggregation across vaccines'!AF85</f>
        <v>0.4971559016</v>
      </c>
      <c r="AG55" s="149">
        <f>'Aggregation across vaccines'!AG85</f>
        <v>0.5321899292</v>
      </c>
      <c r="AH55" s="149">
        <f>'Aggregation across vaccines'!AH85</f>
        <v>0.5106984869</v>
      </c>
      <c r="AI55" s="149">
        <f>'Aggregation across vaccines'!AI85</f>
        <v>0.4984372876</v>
      </c>
      <c r="AJ55" s="149">
        <f>'Aggregation across vaccines'!AJ85</f>
        <v>0.5029460792</v>
      </c>
      <c r="AK55" s="149">
        <f>'Aggregation across vaccines'!AK85</f>
        <v>0.5051022165</v>
      </c>
      <c r="AL55" s="149">
        <f>'Aggregation across vaccines'!AL85</f>
        <v>0.505755014</v>
      </c>
      <c r="AM55" s="149">
        <f>'Aggregation across vaccines'!AM85</f>
        <v>0.4950014743</v>
      </c>
      <c r="AN55" s="149">
        <f>'Aggregation across vaccines'!AN85</f>
        <v>0.5001096678</v>
      </c>
      <c r="AO55" s="149">
        <f>'Aggregation across vaccines'!AO85</f>
        <v>0.5072820708</v>
      </c>
      <c r="AP55" s="149">
        <f>'Aggregation across vaccines'!AP85</f>
        <v>0.4950650426</v>
      </c>
      <c r="AQ55" s="149">
        <f>'Aggregation across vaccines'!AQ85</f>
        <v>0.5027371693</v>
      </c>
      <c r="AR55" s="149">
        <f>'Aggregation across vaccines'!AR85</f>
        <v>0.4963916722</v>
      </c>
      <c r="AS55" s="149">
        <f>'Aggregation across vaccines'!AS85</f>
        <v>0.518719681</v>
      </c>
      <c r="AT55" s="163"/>
    </row>
    <row r="56">
      <c r="A56" s="80"/>
      <c r="B56" s="81"/>
      <c r="C56" s="90"/>
      <c r="D56" s="90"/>
      <c r="E56" s="140" t="s">
        <v>264</v>
      </c>
      <c r="F56" s="215" t="str">
        <f>'Disease burden'!F255</f>
        <v>%</v>
      </c>
      <c r="G56" s="277" t="s">
        <v>149</v>
      </c>
      <c r="H56" s="176" t="str">
        <f>'Disease burden'!H255</f>
        <v>-</v>
      </c>
      <c r="I56" s="284">
        <f t="shared" ref="I56:AS56" si="13">I53/((1-I54)+(I54*(1-I55)))</f>
        <v>0.002599708837</v>
      </c>
      <c r="J56" s="284">
        <f t="shared" si="13"/>
        <v>0.001878002935</v>
      </c>
      <c r="K56" s="284">
        <f t="shared" si="13"/>
        <v>0.002642903089</v>
      </c>
      <c r="L56" s="284">
        <f t="shared" si="13"/>
        <v>0.001259057947</v>
      </c>
      <c r="M56" s="284">
        <f t="shared" si="13"/>
        <v>0.001822400349</v>
      </c>
      <c r="N56" s="284">
        <f t="shared" si="13"/>
        <v>0.002116180632</v>
      </c>
      <c r="O56" s="284">
        <f t="shared" si="13"/>
        <v>0.0023771379</v>
      </c>
      <c r="P56" s="284">
        <f t="shared" si="13"/>
        <v>0.003036865775</v>
      </c>
      <c r="Q56" s="284">
        <f t="shared" si="13"/>
        <v>0.003310790153</v>
      </c>
      <c r="R56" s="284">
        <f t="shared" si="13"/>
        <v>0.0007088132578</v>
      </c>
      <c r="S56" s="284">
        <f t="shared" si="13"/>
        <v>0.0016413759</v>
      </c>
      <c r="T56" s="284">
        <f t="shared" si="13"/>
        <v>0.0005759924753</v>
      </c>
      <c r="U56" s="284">
        <f t="shared" si="13"/>
        <v>0.000636131083</v>
      </c>
      <c r="V56" s="284">
        <f t="shared" si="13"/>
        <v>0.0008071923525</v>
      </c>
      <c r="W56" s="284">
        <f t="shared" si="13"/>
        <v>0.001233122234</v>
      </c>
      <c r="X56" s="284">
        <f t="shared" si="13"/>
        <v>0.001111182217</v>
      </c>
      <c r="Y56" s="284">
        <f t="shared" si="13"/>
        <v>0.0008384064686</v>
      </c>
      <c r="Z56" s="284">
        <f t="shared" si="13"/>
        <v>0.0007532389501</v>
      </c>
      <c r="AA56" s="284">
        <f t="shared" si="13"/>
        <v>0.001088997224</v>
      </c>
      <c r="AB56" s="284">
        <f t="shared" si="13"/>
        <v>0.0006163027108</v>
      </c>
      <c r="AC56" s="284">
        <f t="shared" si="13"/>
        <v>0.0005736480854</v>
      </c>
      <c r="AD56" s="284">
        <f t="shared" si="13"/>
        <v>0.0005471423756</v>
      </c>
      <c r="AE56" s="284">
        <f t="shared" si="13"/>
        <v>0.0007204304456</v>
      </c>
      <c r="AF56" s="284">
        <f t="shared" si="13"/>
        <v>0.0005108432816</v>
      </c>
      <c r="AG56" s="284">
        <f t="shared" si="13"/>
        <v>0.0007770763836</v>
      </c>
      <c r="AH56" s="284">
        <f t="shared" si="13"/>
        <v>0.0005726026873</v>
      </c>
      <c r="AI56" s="284">
        <f t="shared" si="13"/>
        <v>0.0004823020029</v>
      </c>
      <c r="AJ56" s="284">
        <f t="shared" si="13"/>
        <v>0.001021877931</v>
      </c>
      <c r="AK56" s="284">
        <f t="shared" si="13"/>
        <v>0.001316126816</v>
      </c>
      <c r="AL56" s="284">
        <f t="shared" si="13"/>
        <v>0.0006521045639</v>
      </c>
      <c r="AM56" s="284">
        <f t="shared" si="13"/>
        <v>0.0007079597534</v>
      </c>
      <c r="AN56" s="284">
        <f t="shared" si="13"/>
        <v>0.0003839082315</v>
      </c>
      <c r="AO56" s="284">
        <f t="shared" si="13"/>
        <v>0.0004455136891</v>
      </c>
      <c r="AP56" s="284">
        <f t="shared" si="13"/>
        <v>0.000959537054</v>
      </c>
      <c r="AQ56" s="284">
        <f t="shared" si="13"/>
        <v>0.0006454544543</v>
      </c>
      <c r="AR56" s="284">
        <f t="shared" si="13"/>
        <v>0.001744829827</v>
      </c>
      <c r="AS56" s="284">
        <f t="shared" si="13"/>
        <v>0.001899176618</v>
      </c>
      <c r="AT56" s="163"/>
    </row>
    <row r="57">
      <c r="A57" s="80"/>
      <c r="B57" s="81"/>
      <c r="C57" s="90"/>
      <c r="D57" s="90"/>
      <c r="E57" s="140" t="s">
        <v>234</v>
      </c>
      <c r="F57" s="215" t="str">
        <f>Inputs!F228</f>
        <v>%</v>
      </c>
      <c r="G57" s="277" t="str">
        <f>Inputs!G228</f>
        <v>input</v>
      </c>
      <c r="H57" s="309">
        <f>Inputs!H228</f>
        <v>0.75</v>
      </c>
      <c r="I57" s="310" t="str">
        <f>Inputs!I228</f>
        <v>-</v>
      </c>
      <c r="J57" s="310" t="str">
        <f>Inputs!J228</f>
        <v>-</v>
      </c>
      <c r="K57" s="310" t="str">
        <f>Inputs!K228</f>
        <v>-</v>
      </c>
      <c r="L57" s="310" t="str">
        <f>Inputs!L228</f>
        <v>-</v>
      </c>
      <c r="M57" s="310" t="str">
        <f>Inputs!M228</f>
        <v>-</v>
      </c>
      <c r="N57" s="310" t="str">
        <f>Inputs!N228</f>
        <v>-</v>
      </c>
      <c r="O57" s="310" t="str">
        <f>Inputs!O228</f>
        <v>-</v>
      </c>
      <c r="P57" s="310" t="str">
        <f>Inputs!P228</f>
        <v>-</v>
      </c>
      <c r="Q57" s="310" t="str">
        <f>Inputs!Q228</f>
        <v>-</v>
      </c>
      <c r="R57" s="310" t="str">
        <f>Inputs!R228</f>
        <v>-</v>
      </c>
      <c r="S57" s="310" t="str">
        <f>Inputs!S228</f>
        <v>-</v>
      </c>
      <c r="T57" s="310" t="str">
        <f>Inputs!T228</f>
        <v>-</v>
      </c>
      <c r="U57" s="310" t="str">
        <f>Inputs!U228</f>
        <v>-</v>
      </c>
      <c r="V57" s="310" t="str">
        <f>Inputs!V228</f>
        <v>-</v>
      </c>
      <c r="W57" s="310" t="str">
        <f>Inputs!W228</f>
        <v>-</v>
      </c>
      <c r="X57" s="310" t="str">
        <f>Inputs!X228</f>
        <v>-</v>
      </c>
      <c r="Y57" s="310" t="str">
        <f>Inputs!Y228</f>
        <v>-</v>
      </c>
      <c r="Z57" s="310" t="str">
        <f>Inputs!Z228</f>
        <v>-</v>
      </c>
      <c r="AA57" s="310" t="str">
        <f>Inputs!AA228</f>
        <v>-</v>
      </c>
      <c r="AB57" s="310" t="str">
        <f>Inputs!AB228</f>
        <v>-</v>
      </c>
      <c r="AC57" s="310" t="str">
        <f>Inputs!AC228</f>
        <v>-</v>
      </c>
      <c r="AD57" s="310" t="str">
        <f>Inputs!AD228</f>
        <v>-</v>
      </c>
      <c r="AE57" s="310" t="str">
        <f>Inputs!AE228</f>
        <v>-</v>
      </c>
      <c r="AF57" s="310" t="str">
        <f>Inputs!AF228</f>
        <v>-</v>
      </c>
      <c r="AG57" s="310" t="str">
        <f>Inputs!AG228</f>
        <v>-</v>
      </c>
      <c r="AH57" s="310" t="str">
        <f>Inputs!AH228</f>
        <v>-</v>
      </c>
      <c r="AI57" s="310" t="str">
        <f>Inputs!AI228</f>
        <v>-</v>
      </c>
      <c r="AJ57" s="310" t="str">
        <f>Inputs!AJ228</f>
        <v>-</v>
      </c>
      <c r="AK57" s="310" t="str">
        <f>Inputs!AK228</f>
        <v>-</v>
      </c>
      <c r="AL57" s="310" t="str">
        <f>Inputs!AL228</f>
        <v>-</v>
      </c>
      <c r="AM57" s="310" t="str">
        <f>Inputs!AM228</f>
        <v>-</v>
      </c>
      <c r="AN57" s="310" t="str">
        <f>Inputs!AN228</f>
        <v>-</v>
      </c>
      <c r="AO57" s="310" t="str">
        <f>Inputs!AO228</f>
        <v>-</v>
      </c>
      <c r="AP57" s="310" t="str">
        <f>Inputs!AP228</f>
        <v>-</v>
      </c>
      <c r="AQ57" s="310" t="str">
        <f>Inputs!AQ228</f>
        <v>-</v>
      </c>
      <c r="AR57" s="310" t="str">
        <f>Inputs!AR228</f>
        <v>-</v>
      </c>
      <c r="AS57" s="310" t="str">
        <f>Inputs!AS228</f>
        <v>-</v>
      </c>
      <c r="AT57" s="163"/>
    </row>
    <row r="58">
      <c r="A58" s="80"/>
      <c r="B58" s="81"/>
      <c r="C58" s="90"/>
      <c r="D58" s="90"/>
      <c r="E58" s="140" t="s">
        <v>267</v>
      </c>
      <c r="F58" s="215" t="s">
        <v>122</v>
      </c>
      <c r="G58" s="277" t="s">
        <v>149</v>
      </c>
      <c r="H58" s="187" t="s">
        <v>150</v>
      </c>
      <c r="I58" s="311">
        <f t="shared" ref="I58:AS58" si="14">I56*(1+$H57)</f>
        <v>0.004549490465</v>
      </c>
      <c r="J58" s="311">
        <f t="shared" si="14"/>
        <v>0.003286505137</v>
      </c>
      <c r="K58" s="311">
        <f t="shared" si="14"/>
        <v>0.004625080406</v>
      </c>
      <c r="L58" s="311">
        <f t="shared" si="14"/>
        <v>0.002203351407</v>
      </c>
      <c r="M58" s="311">
        <f t="shared" si="14"/>
        <v>0.00318920061</v>
      </c>
      <c r="N58" s="311">
        <f t="shared" si="14"/>
        <v>0.003703316106</v>
      </c>
      <c r="O58" s="311">
        <f t="shared" si="14"/>
        <v>0.004159991324</v>
      </c>
      <c r="P58" s="311">
        <f t="shared" si="14"/>
        <v>0.005314515107</v>
      </c>
      <c r="Q58" s="311">
        <f t="shared" si="14"/>
        <v>0.005793882767</v>
      </c>
      <c r="R58" s="311">
        <f t="shared" si="14"/>
        <v>0.001240423201</v>
      </c>
      <c r="S58" s="311">
        <f t="shared" si="14"/>
        <v>0.002872407825</v>
      </c>
      <c r="T58" s="311">
        <f t="shared" si="14"/>
        <v>0.001007986832</v>
      </c>
      <c r="U58" s="311">
        <f t="shared" si="14"/>
        <v>0.001113229395</v>
      </c>
      <c r="V58" s="311">
        <f t="shared" si="14"/>
        <v>0.001412586617</v>
      </c>
      <c r="W58" s="311">
        <f t="shared" si="14"/>
        <v>0.00215796391</v>
      </c>
      <c r="X58" s="311">
        <f t="shared" si="14"/>
        <v>0.001944568879</v>
      </c>
      <c r="Y58" s="311">
        <f t="shared" si="14"/>
        <v>0.00146721132</v>
      </c>
      <c r="Z58" s="311">
        <f t="shared" si="14"/>
        <v>0.001318168163</v>
      </c>
      <c r="AA58" s="311">
        <f t="shared" si="14"/>
        <v>0.001905745142</v>
      </c>
      <c r="AB58" s="311">
        <f t="shared" si="14"/>
        <v>0.001078529744</v>
      </c>
      <c r="AC58" s="311">
        <f t="shared" si="14"/>
        <v>0.001003884149</v>
      </c>
      <c r="AD58" s="311">
        <f t="shared" si="14"/>
        <v>0.0009574991573</v>
      </c>
      <c r="AE58" s="311">
        <f t="shared" si="14"/>
        <v>0.00126075328</v>
      </c>
      <c r="AF58" s="311">
        <f t="shared" si="14"/>
        <v>0.0008939757427</v>
      </c>
      <c r="AG58" s="311">
        <f t="shared" si="14"/>
        <v>0.001359883671</v>
      </c>
      <c r="AH58" s="311">
        <f t="shared" si="14"/>
        <v>0.001002054703</v>
      </c>
      <c r="AI58" s="311">
        <f t="shared" si="14"/>
        <v>0.0008440285051</v>
      </c>
      <c r="AJ58" s="311">
        <f t="shared" si="14"/>
        <v>0.001788286379</v>
      </c>
      <c r="AK58" s="311">
        <f t="shared" si="14"/>
        <v>0.002303221928</v>
      </c>
      <c r="AL58" s="311">
        <f t="shared" si="14"/>
        <v>0.001141182987</v>
      </c>
      <c r="AM58" s="311">
        <f t="shared" si="14"/>
        <v>0.001238929568</v>
      </c>
      <c r="AN58" s="311">
        <f t="shared" si="14"/>
        <v>0.0006718394052</v>
      </c>
      <c r="AO58" s="311">
        <f t="shared" si="14"/>
        <v>0.000779648956</v>
      </c>
      <c r="AP58" s="311">
        <f t="shared" si="14"/>
        <v>0.001679189845</v>
      </c>
      <c r="AQ58" s="311">
        <f t="shared" si="14"/>
        <v>0.001129545295</v>
      </c>
      <c r="AR58" s="311">
        <f t="shared" si="14"/>
        <v>0.003053452198</v>
      </c>
      <c r="AS58" s="311">
        <f t="shared" si="14"/>
        <v>0.003323559082</v>
      </c>
      <c r="AT58" s="163"/>
    </row>
    <row r="59">
      <c r="A59" s="80"/>
      <c r="B59" s="81"/>
      <c r="C59" s="90"/>
      <c r="D59" s="90"/>
      <c r="E59" s="140" t="s">
        <v>242</v>
      </c>
      <c r="F59" s="215" t="str">
        <f>Inputs!F229</f>
        <v>%</v>
      </c>
      <c r="G59" s="277" t="str">
        <f>Inputs!G229</f>
        <v>input</v>
      </c>
      <c r="H59" s="217">
        <f>Inputs!H229</f>
        <v>1</v>
      </c>
      <c r="I59" s="232" t="str">
        <f>Inputs!I229</f>
        <v>-</v>
      </c>
      <c r="J59" s="232" t="str">
        <f>Inputs!J229</f>
        <v>-</v>
      </c>
      <c r="K59" s="232" t="str">
        <f>Inputs!K229</f>
        <v>-</v>
      </c>
      <c r="L59" s="232" t="str">
        <f>Inputs!L229</f>
        <v>-</v>
      </c>
      <c r="M59" s="232" t="str">
        <f>Inputs!M229</f>
        <v>-</v>
      </c>
      <c r="N59" s="232" t="str">
        <f>Inputs!N229</f>
        <v>-</v>
      </c>
      <c r="O59" s="232" t="str">
        <f>Inputs!O229</f>
        <v>-</v>
      </c>
      <c r="P59" s="232" t="str">
        <f>Inputs!P229</f>
        <v>-</v>
      </c>
      <c r="Q59" s="232" t="str">
        <f>Inputs!Q229</f>
        <v>-</v>
      </c>
      <c r="R59" s="232" t="str">
        <f>Inputs!R229</f>
        <v>-</v>
      </c>
      <c r="S59" s="232" t="str">
        <f>Inputs!S229</f>
        <v>-</v>
      </c>
      <c r="T59" s="232" t="str">
        <f>Inputs!T229</f>
        <v>-</v>
      </c>
      <c r="U59" s="232" t="str">
        <f>Inputs!U229</f>
        <v>-</v>
      </c>
      <c r="V59" s="232" t="str">
        <f>Inputs!V229</f>
        <v>-</v>
      </c>
      <c r="W59" s="232" t="str">
        <f>Inputs!W229</f>
        <v>-</v>
      </c>
      <c r="X59" s="232" t="str">
        <f>Inputs!X229</f>
        <v>-</v>
      </c>
      <c r="Y59" s="232" t="str">
        <f>Inputs!Y229</f>
        <v>-</v>
      </c>
      <c r="Z59" s="232" t="str">
        <f>Inputs!Z229</f>
        <v>-</v>
      </c>
      <c r="AA59" s="232" t="str">
        <f>Inputs!AA229</f>
        <v>-</v>
      </c>
      <c r="AB59" s="232" t="str">
        <f>Inputs!AB229</f>
        <v>-</v>
      </c>
      <c r="AC59" s="232" t="str">
        <f>Inputs!AC229</f>
        <v>-</v>
      </c>
      <c r="AD59" s="232" t="str">
        <f>Inputs!AD229</f>
        <v>-</v>
      </c>
      <c r="AE59" s="232" t="str">
        <f>Inputs!AE229</f>
        <v>-</v>
      </c>
      <c r="AF59" s="232" t="str">
        <f>Inputs!AF229</f>
        <v>-</v>
      </c>
      <c r="AG59" s="232" t="str">
        <f>Inputs!AG229</f>
        <v>-</v>
      </c>
      <c r="AH59" s="232" t="str">
        <f>Inputs!AH229</f>
        <v>-</v>
      </c>
      <c r="AI59" s="232" t="str">
        <f>Inputs!AI229</f>
        <v>-</v>
      </c>
      <c r="AJ59" s="232" t="str">
        <f>Inputs!AJ229</f>
        <v>-</v>
      </c>
      <c r="AK59" s="232" t="str">
        <f>Inputs!AK229</f>
        <v>-</v>
      </c>
      <c r="AL59" s="232" t="str">
        <f>Inputs!AL229</f>
        <v>-</v>
      </c>
      <c r="AM59" s="232" t="str">
        <f>Inputs!AM229</f>
        <v>-</v>
      </c>
      <c r="AN59" s="232" t="str">
        <f>Inputs!AN229</f>
        <v>-</v>
      </c>
      <c r="AO59" s="232" t="str">
        <f>Inputs!AO229</f>
        <v>-</v>
      </c>
      <c r="AP59" s="232" t="str">
        <f>Inputs!AP229</f>
        <v>-</v>
      </c>
      <c r="AQ59" s="232" t="str">
        <f>Inputs!AQ229</f>
        <v>-</v>
      </c>
      <c r="AR59" s="232" t="str">
        <f>Inputs!AR229</f>
        <v>-</v>
      </c>
      <c r="AS59" s="232" t="str">
        <f>Inputs!AS229</f>
        <v>-</v>
      </c>
      <c r="AT59" s="163"/>
    </row>
    <row r="60">
      <c r="A60" s="80"/>
      <c r="B60" s="81"/>
      <c r="C60" s="90"/>
      <c r="D60" s="90"/>
      <c r="E60" s="140" t="s">
        <v>270</v>
      </c>
      <c r="F60" s="215" t="s">
        <v>111</v>
      </c>
      <c r="G60" s="277" t="s">
        <v>149</v>
      </c>
      <c r="H60" s="187" t="s">
        <v>150</v>
      </c>
      <c r="I60" s="312">
        <f t="shared" ref="I60:AS60" si="15">I$38*I55*I58*$H59</f>
        <v>28.31054955</v>
      </c>
      <c r="J60" s="312">
        <f t="shared" si="15"/>
        <v>12.39930308</v>
      </c>
      <c r="K60" s="312">
        <f t="shared" si="15"/>
        <v>23.44264841</v>
      </c>
      <c r="L60" s="312">
        <f t="shared" si="15"/>
        <v>6.495961617</v>
      </c>
      <c r="M60" s="312">
        <f t="shared" si="15"/>
        <v>16.33157322</v>
      </c>
      <c r="N60" s="312">
        <f t="shared" si="15"/>
        <v>26.20598546</v>
      </c>
      <c r="O60" s="312">
        <f t="shared" si="15"/>
        <v>41.46266276</v>
      </c>
      <c r="P60" s="312">
        <f t="shared" si="15"/>
        <v>65.6493054</v>
      </c>
      <c r="Q60" s="312">
        <f t="shared" si="15"/>
        <v>46.00974606</v>
      </c>
      <c r="R60" s="312">
        <f t="shared" si="15"/>
        <v>1.35006905</v>
      </c>
      <c r="S60" s="312">
        <f t="shared" si="15"/>
        <v>4.060144741</v>
      </c>
      <c r="T60" s="312">
        <f t="shared" si="15"/>
        <v>1.491192624</v>
      </c>
      <c r="U60" s="312">
        <f t="shared" si="15"/>
        <v>2.096765565</v>
      </c>
      <c r="V60" s="312">
        <f t="shared" si="15"/>
        <v>2.995111067</v>
      </c>
      <c r="W60" s="312">
        <f t="shared" si="15"/>
        <v>4.474260968</v>
      </c>
      <c r="X60" s="312">
        <f t="shared" si="15"/>
        <v>11.07857627</v>
      </c>
      <c r="Y60" s="312">
        <f t="shared" si="15"/>
        <v>1.034977895</v>
      </c>
      <c r="Z60" s="312">
        <f t="shared" si="15"/>
        <v>2.632903154</v>
      </c>
      <c r="AA60" s="312">
        <f t="shared" si="15"/>
        <v>0.1437491382</v>
      </c>
      <c r="AB60" s="312">
        <f t="shared" si="15"/>
        <v>1.016008322</v>
      </c>
      <c r="AC60" s="312">
        <f t="shared" si="15"/>
        <v>0.4972654704</v>
      </c>
      <c r="AD60" s="312">
        <f t="shared" si="15"/>
        <v>0.2591274109</v>
      </c>
      <c r="AE60" s="312">
        <f t="shared" si="15"/>
        <v>1.049611182</v>
      </c>
      <c r="AF60" s="312">
        <f t="shared" si="15"/>
        <v>0.5468097825</v>
      </c>
      <c r="AG60" s="312">
        <f t="shared" si="15"/>
        <v>2.648302777</v>
      </c>
      <c r="AH60" s="312">
        <f t="shared" si="15"/>
        <v>3.612128091</v>
      </c>
      <c r="AI60" s="312">
        <f t="shared" si="15"/>
        <v>0.6302098162</v>
      </c>
      <c r="AJ60" s="312">
        <f t="shared" si="15"/>
        <v>5.461630844</v>
      </c>
      <c r="AK60" s="312">
        <f t="shared" si="15"/>
        <v>10.92778832</v>
      </c>
      <c r="AL60" s="312">
        <f t="shared" si="15"/>
        <v>4.521407156</v>
      </c>
      <c r="AM60" s="312">
        <f t="shared" si="15"/>
        <v>3.477013345</v>
      </c>
      <c r="AN60" s="312">
        <f t="shared" si="15"/>
        <v>0.6880658044</v>
      </c>
      <c r="AO60" s="312">
        <f t="shared" si="15"/>
        <v>2.282548178</v>
      </c>
      <c r="AP60" s="312">
        <f t="shared" si="15"/>
        <v>3.417551688</v>
      </c>
      <c r="AQ60" s="312">
        <f t="shared" si="15"/>
        <v>1.148042392</v>
      </c>
      <c r="AR60" s="312">
        <f t="shared" si="15"/>
        <v>8.660469125</v>
      </c>
      <c r="AS60" s="312">
        <f t="shared" si="15"/>
        <v>8.875195604</v>
      </c>
      <c r="AT60" s="163"/>
    </row>
    <row r="61">
      <c r="A61" s="80"/>
      <c r="B61" s="81"/>
      <c r="C61" s="90"/>
      <c r="D61" s="90"/>
      <c r="E61" s="188" t="s">
        <v>272</v>
      </c>
      <c r="F61" s="189" t="str">
        <f>Inputs!F$232</f>
        <v>%</v>
      </c>
      <c r="G61" s="263" t="str">
        <f>Inputs!G$232</f>
        <v>input</v>
      </c>
      <c r="H61" s="313">
        <f>Inputs!H$232</f>
        <v>0.005</v>
      </c>
      <c r="I61" s="213" t="str">
        <f>Inputs!I$232</f>
        <v>-</v>
      </c>
      <c r="J61" s="213" t="str">
        <f>Inputs!J$232</f>
        <v>-</v>
      </c>
      <c r="K61" s="213" t="str">
        <f>Inputs!K$232</f>
        <v>-</v>
      </c>
      <c r="L61" s="213" t="str">
        <f>Inputs!L$232</f>
        <v>-</v>
      </c>
      <c r="M61" s="213" t="str">
        <f>Inputs!M$232</f>
        <v>-</v>
      </c>
      <c r="N61" s="213" t="str">
        <f>Inputs!N$232</f>
        <v>-</v>
      </c>
      <c r="O61" s="213" t="str">
        <f>Inputs!O$232</f>
        <v>-</v>
      </c>
      <c r="P61" s="213" t="str">
        <f>Inputs!P$232</f>
        <v>-</v>
      </c>
      <c r="Q61" s="213" t="str">
        <f>Inputs!Q$232</f>
        <v>-</v>
      </c>
      <c r="R61" s="213" t="str">
        <f>Inputs!R$232</f>
        <v>-</v>
      </c>
      <c r="S61" s="213" t="str">
        <f>Inputs!S$232</f>
        <v>-</v>
      </c>
      <c r="T61" s="213" t="str">
        <f>Inputs!T$232</f>
        <v>-</v>
      </c>
      <c r="U61" s="213" t="str">
        <f>Inputs!U$232</f>
        <v>-</v>
      </c>
      <c r="V61" s="213" t="str">
        <f>Inputs!V$232</f>
        <v>-</v>
      </c>
      <c r="W61" s="213" t="str">
        <f>Inputs!W$232</f>
        <v>-</v>
      </c>
      <c r="X61" s="213" t="str">
        <f>Inputs!X$232</f>
        <v>-</v>
      </c>
      <c r="Y61" s="213" t="str">
        <f>Inputs!Y$232</f>
        <v>-</v>
      </c>
      <c r="Z61" s="213" t="str">
        <f>Inputs!Z$232</f>
        <v>-</v>
      </c>
      <c r="AA61" s="213" t="str">
        <f>Inputs!AA$232</f>
        <v>-</v>
      </c>
      <c r="AB61" s="213" t="str">
        <f>Inputs!AB$232</f>
        <v>-</v>
      </c>
      <c r="AC61" s="213" t="str">
        <f>Inputs!AC$232</f>
        <v>-</v>
      </c>
      <c r="AD61" s="213" t="str">
        <f>Inputs!AD$232</f>
        <v>-</v>
      </c>
      <c r="AE61" s="213" t="str">
        <f>Inputs!AE$232</f>
        <v>-</v>
      </c>
      <c r="AF61" s="213" t="str">
        <f>Inputs!AF$232</f>
        <v>-</v>
      </c>
      <c r="AG61" s="213" t="str">
        <f>Inputs!AG$232</f>
        <v>-</v>
      </c>
      <c r="AH61" s="213" t="str">
        <f>Inputs!AH$232</f>
        <v>-</v>
      </c>
      <c r="AI61" s="213" t="str">
        <f>Inputs!AI$232</f>
        <v>-</v>
      </c>
      <c r="AJ61" s="213" t="str">
        <f>Inputs!AJ$232</f>
        <v>-</v>
      </c>
      <c r="AK61" s="213" t="str">
        <f>Inputs!AK$232</f>
        <v>-</v>
      </c>
      <c r="AL61" s="213" t="str">
        <f>Inputs!AL$232</f>
        <v>-</v>
      </c>
      <c r="AM61" s="213" t="str">
        <f>Inputs!AM$232</f>
        <v>-</v>
      </c>
      <c r="AN61" s="213" t="str">
        <f>Inputs!AN$232</f>
        <v>-</v>
      </c>
      <c r="AO61" s="213" t="str">
        <f>Inputs!AO$232</f>
        <v>-</v>
      </c>
      <c r="AP61" s="213" t="str">
        <f>Inputs!AP$232</f>
        <v>-</v>
      </c>
      <c r="AQ61" s="213" t="str">
        <f>Inputs!AQ$232</f>
        <v>-</v>
      </c>
      <c r="AR61" s="213" t="str">
        <f>Inputs!AR$232</f>
        <v>-</v>
      </c>
      <c r="AS61" s="213" t="str">
        <f>Inputs!AS$232</f>
        <v>-</v>
      </c>
      <c r="AT61" s="163"/>
    </row>
    <row r="62">
      <c r="A62" s="80"/>
      <c r="B62" s="81"/>
      <c r="C62" s="90"/>
      <c r="D62" s="90"/>
      <c r="E62" s="243" t="s">
        <v>274</v>
      </c>
      <c r="F62" s="108" t="str">
        <f>Inputs!F233</f>
        <v>#</v>
      </c>
      <c r="G62" s="127" t="str">
        <f>Inputs!G233</f>
        <v>input</v>
      </c>
      <c r="H62" s="314">
        <f>Inputs!H233</f>
        <v>10</v>
      </c>
      <c r="I62" s="184" t="str">
        <f>Inputs!I233</f>
        <v>-</v>
      </c>
      <c r="J62" s="184" t="str">
        <f>Inputs!J233</f>
        <v>-</v>
      </c>
      <c r="K62" s="184" t="str">
        <f>Inputs!K233</f>
        <v>-</v>
      </c>
      <c r="L62" s="184" t="str">
        <f>Inputs!L233</f>
        <v>-</v>
      </c>
      <c r="M62" s="184" t="str">
        <f>Inputs!M233</f>
        <v>-</v>
      </c>
      <c r="N62" s="184" t="str">
        <f>Inputs!N233</f>
        <v>-</v>
      </c>
      <c r="O62" s="184" t="str">
        <f>Inputs!O233</f>
        <v>-</v>
      </c>
      <c r="P62" s="184" t="str">
        <f>Inputs!P233</f>
        <v>-</v>
      </c>
      <c r="Q62" s="184" t="str">
        <f>Inputs!Q233</f>
        <v>-</v>
      </c>
      <c r="R62" s="184" t="str">
        <f>Inputs!R233</f>
        <v>-</v>
      </c>
      <c r="S62" s="184" t="str">
        <f>Inputs!S233</f>
        <v>-</v>
      </c>
      <c r="T62" s="184" t="str">
        <f>Inputs!T233</f>
        <v>-</v>
      </c>
      <c r="U62" s="184" t="str">
        <f>Inputs!U233</f>
        <v>-</v>
      </c>
      <c r="V62" s="184" t="str">
        <f>Inputs!V233</f>
        <v>-</v>
      </c>
      <c r="W62" s="184" t="str">
        <f>Inputs!W233</f>
        <v>-</v>
      </c>
      <c r="X62" s="184" t="str">
        <f>Inputs!X233</f>
        <v>-</v>
      </c>
      <c r="Y62" s="184" t="str">
        <f>Inputs!Y233</f>
        <v>-</v>
      </c>
      <c r="Z62" s="184" t="str">
        <f>Inputs!Z233</f>
        <v>-</v>
      </c>
      <c r="AA62" s="184" t="str">
        <f>Inputs!AA233</f>
        <v>-</v>
      </c>
      <c r="AB62" s="184" t="str">
        <f>Inputs!AB233</f>
        <v>-</v>
      </c>
      <c r="AC62" s="184" t="str">
        <f>Inputs!AC233</f>
        <v>-</v>
      </c>
      <c r="AD62" s="184" t="str">
        <f>Inputs!AD233</f>
        <v>-</v>
      </c>
      <c r="AE62" s="184" t="str">
        <f>Inputs!AE233</f>
        <v>-</v>
      </c>
      <c r="AF62" s="184" t="str">
        <f>Inputs!AF233</f>
        <v>-</v>
      </c>
      <c r="AG62" s="184" t="str">
        <f>Inputs!AG233</f>
        <v>-</v>
      </c>
      <c r="AH62" s="184" t="str">
        <f>Inputs!AH233</f>
        <v>-</v>
      </c>
      <c r="AI62" s="184" t="str">
        <f>Inputs!AI233</f>
        <v>-</v>
      </c>
      <c r="AJ62" s="184" t="str">
        <f>Inputs!AJ233</f>
        <v>-</v>
      </c>
      <c r="AK62" s="184" t="str">
        <f>Inputs!AK233</f>
        <v>-</v>
      </c>
      <c r="AL62" s="184" t="str">
        <f>Inputs!AL233</f>
        <v>-</v>
      </c>
      <c r="AM62" s="184" t="str">
        <f>Inputs!AM233</f>
        <v>-</v>
      </c>
      <c r="AN62" s="184" t="str">
        <f>Inputs!AN233</f>
        <v>-</v>
      </c>
      <c r="AO62" s="184" t="str">
        <f>Inputs!AO233</f>
        <v>-</v>
      </c>
      <c r="AP62" s="184" t="str">
        <f>Inputs!AP233</f>
        <v>-</v>
      </c>
      <c r="AQ62" s="184" t="str">
        <f>Inputs!AQ233</f>
        <v>-</v>
      </c>
      <c r="AR62" s="184" t="str">
        <f>Inputs!AR233</f>
        <v>-</v>
      </c>
      <c r="AS62" s="184" t="str">
        <f>Inputs!AS233</f>
        <v>-</v>
      </c>
      <c r="AT62" s="236" t="str">
        <f>Inputs!AT233</f>
        <v/>
      </c>
    </row>
    <row r="63">
      <c r="A63" s="80"/>
      <c r="B63" s="81"/>
      <c r="C63" s="90"/>
      <c r="D63" s="90"/>
      <c r="E63" s="237" t="s">
        <v>280</v>
      </c>
      <c r="F63" s="195" t="s">
        <v>111</v>
      </c>
      <c r="G63" s="316" t="s">
        <v>149</v>
      </c>
      <c r="H63" s="197" t="s">
        <v>150</v>
      </c>
      <c r="I63" s="198">
        <f t="shared" ref="I63:AS63" si="16">I60*((1/(1+$H61))^$H62)</f>
        <v>26.93318302</v>
      </c>
      <c r="J63" s="198">
        <f t="shared" si="16"/>
        <v>11.79605145</v>
      </c>
      <c r="K63" s="198">
        <f t="shared" si="16"/>
        <v>22.30211528</v>
      </c>
      <c r="L63" s="198">
        <f t="shared" si="16"/>
        <v>6.179919708</v>
      </c>
      <c r="M63" s="198">
        <f t="shared" si="16"/>
        <v>15.53700855</v>
      </c>
      <c r="N63" s="198">
        <f t="shared" si="16"/>
        <v>24.9310103</v>
      </c>
      <c r="O63" s="198">
        <f t="shared" si="16"/>
        <v>39.44541883</v>
      </c>
      <c r="P63" s="198">
        <f t="shared" si="16"/>
        <v>62.4553315</v>
      </c>
      <c r="Q63" s="198">
        <f t="shared" si="16"/>
        <v>43.77127716</v>
      </c>
      <c r="R63" s="198">
        <f t="shared" si="16"/>
        <v>1.284385411</v>
      </c>
      <c r="S63" s="198">
        <f t="shared" si="16"/>
        <v>3.862610338</v>
      </c>
      <c r="T63" s="198">
        <f t="shared" si="16"/>
        <v>1.418643032</v>
      </c>
      <c r="U63" s="198">
        <f t="shared" si="16"/>
        <v>1.994753602</v>
      </c>
      <c r="V63" s="198">
        <f t="shared" si="16"/>
        <v>2.849392745</v>
      </c>
      <c r="W63" s="198">
        <f t="shared" si="16"/>
        <v>4.256578958</v>
      </c>
      <c r="X63" s="198">
        <f t="shared" si="16"/>
        <v>10.53958072</v>
      </c>
      <c r="Y63" s="198">
        <f t="shared" si="16"/>
        <v>0.984624089</v>
      </c>
      <c r="Z63" s="198">
        <f t="shared" si="16"/>
        <v>2.504806994</v>
      </c>
      <c r="AA63" s="198">
        <f t="shared" si="16"/>
        <v>0.1367554466</v>
      </c>
      <c r="AB63" s="198">
        <f t="shared" si="16"/>
        <v>0.9665774248</v>
      </c>
      <c r="AC63" s="198">
        <f t="shared" si="16"/>
        <v>0.4730724812</v>
      </c>
      <c r="AD63" s="198">
        <f t="shared" si="16"/>
        <v>0.2465203287</v>
      </c>
      <c r="AE63" s="198">
        <f t="shared" si="16"/>
        <v>0.9985454368</v>
      </c>
      <c r="AF63" s="198">
        <f t="shared" si="16"/>
        <v>0.5202063605</v>
      </c>
      <c r="AG63" s="198">
        <f t="shared" si="16"/>
        <v>2.519457394</v>
      </c>
      <c r="AH63" s="198">
        <f t="shared" si="16"/>
        <v>3.436390621</v>
      </c>
      <c r="AI63" s="198">
        <f t="shared" si="16"/>
        <v>0.5995488108</v>
      </c>
      <c r="AJ63" s="198">
        <f t="shared" si="16"/>
        <v>5.195911256</v>
      </c>
      <c r="AK63" s="198">
        <f t="shared" si="16"/>
        <v>10.39612891</v>
      </c>
      <c r="AL63" s="198">
        <f t="shared" si="16"/>
        <v>4.301431387</v>
      </c>
      <c r="AM63" s="198">
        <f t="shared" si="16"/>
        <v>3.307849486</v>
      </c>
      <c r="AN63" s="198">
        <f t="shared" si="16"/>
        <v>0.6545899861</v>
      </c>
      <c r="AO63" s="198">
        <f t="shared" si="16"/>
        <v>2.171497509</v>
      </c>
      <c r="AP63" s="198">
        <f t="shared" si="16"/>
        <v>3.25128076</v>
      </c>
      <c r="AQ63" s="198">
        <f t="shared" si="16"/>
        <v>1.092187765</v>
      </c>
      <c r="AR63" s="198">
        <f t="shared" si="16"/>
        <v>8.239119468</v>
      </c>
      <c r="AS63" s="198">
        <f t="shared" si="16"/>
        <v>8.443399061</v>
      </c>
      <c r="AT63" s="248"/>
    </row>
    <row r="64">
      <c r="A64" s="80"/>
      <c r="B64" s="81"/>
      <c r="C64" s="90"/>
      <c r="D64" s="90"/>
      <c r="E64" s="253"/>
      <c r="F64" s="108"/>
      <c r="G64" s="127"/>
      <c r="H64" s="85"/>
      <c r="I64" s="317"/>
      <c r="J64" s="317"/>
      <c r="K64" s="317"/>
      <c r="L64" s="317"/>
      <c r="M64" s="317"/>
      <c r="N64" s="317"/>
      <c r="O64" s="317"/>
      <c r="P64" s="317"/>
      <c r="Q64" s="317"/>
      <c r="R64" s="317"/>
      <c r="S64" s="317"/>
      <c r="T64" s="317"/>
      <c r="U64" s="317"/>
      <c r="V64" s="317"/>
      <c r="W64" s="317"/>
      <c r="X64" s="317"/>
      <c r="Y64" s="317"/>
      <c r="Z64" s="317"/>
      <c r="AA64" s="317"/>
      <c r="AB64" s="317"/>
      <c r="AC64" s="317"/>
      <c r="AD64" s="317"/>
      <c r="AE64" s="317"/>
      <c r="AF64" s="317"/>
      <c r="AG64" s="317"/>
      <c r="AH64" s="317"/>
      <c r="AI64" s="317"/>
      <c r="AJ64" s="317"/>
      <c r="AK64" s="317"/>
      <c r="AL64" s="317"/>
      <c r="AM64" s="317"/>
      <c r="AN64" s="317"/>
      <c r="AO64" s="317"/>
      <c r="AP64" s="317"/>
      <c r="AQ64" s="317"/>
      <c r="AR64" s="317"/>
      <c r="AS64" s="317"/>
      <c r="AT64" s="88"/>
    </row>
    <row r="65">
      <c r="A65" s="80"/>
      <c r="B65" s="81"/>
      <c r="C65" s="186" t="s">
        <v>288</v>
      </c>
      <c r="F65" s="108"/>
      <c r="G65" s="127"/>
      <c r="H65" s="301"/>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8"/>
    </row>
    <row r="66">
      <c r="A66" s="80"/>
      <c r="B66" s="81"/>
      <c r="C66" s="90"/>
      <c r="D66" s="90"/>
      <c r="E66" s="113" t="s">
        <v>290</v>
      </c>
      <c r="F66" s="189" t="str">
        <f>'Disease burden'!F273</f>
        <v>%</v>
      </c>
      <c r="G66" s="263" t="s">
        <v>131</v>
      </c>
      <c r="H66" s="156" t="str">
        <f>'Disease burden'!H273</f>
        <v>-</v>
      </c>
      <c r="I66" s="264">
        <f>'Disease burden'!I273</f>
        <v>0.007874368215</v>
      </c>
      <c r="J66" s="264">
        <f>'Disease burden'!J273</f>
        <v>0.004711469878</v>
      </c>
      <c r="K66" s="264">
        <f>'Disease burden'!K273</f>
        <v>0.00896694419</v>
      </c>
      <c r="L66" s="264">
        <f>'Disease burden'!L273</f>
        <v>0.00347858487</v>
      </c>
      <c r="M66" s="264">
        <f>'Disease burden'!M273</f>
        <v>0.004436055667</v>
      </c>
      <c r="N66" s="264">
        <f>'Disease burden'!N273</f>
        <v>0.007367229531</v>
      </c>
      <c r="O66" s="264">
        <f>'Disease burden'!O273</f>
        <v>0.007879416132</v>
      </c>
      <c r="P66" s="264">
        <f>'Disease burden'!P273</f>
        <v>0.01070886751</v>
      </c>
      <c r="Q66" s="264">
        <f>'Disease burden'!Q273</f>
        <v>0.009382640467</v>
      </c>
      <c r="R66" s="264">
        <f>'Disease burden'!R273</f>
        <v>0.002324104512</v>
      </c>
      <c r="S66" s="264">
        <f>'Disease burden'!S273</f>
        <v>0.004273091338</v>
      </c>
      <c r="T66" s="264">
        <f>'Disease burden'!T273</f>
        <v>0.002550457188</v>
      </c>
      <c r="U66" s="264">
        <f>'Disease burden'!U273</f>
        <v>0.002483182266</v>
      </c>
      <c r="V66" s="264">
        <f>'Disease burden'!V273</f>
        <v>0.003195170648</v>
      </c>
      <c r="W66" s="264">
        <f>'Disease burden'!W273</f>
        <v>0.004329819083</v>
      </c>
      <c r="X66" s="264">
        <f>'Disease burden'!X273</f>
        <v>0.003715465465</v>
      </c>
      <c r="Y66" s="264">
        <f>'Disease burden'!Y273</f>
        <v>0.003592493428</v>
      </c>
      <c r="Z66" s="264">
        <f>'Disease burden'!Z273</f>
        <v>0.002794233073</v>
      </c>
      <c r="AA66" s="264">
        <f>'Disease burden'!AA273</f>
        <v>0.003601942127</v>
      </c>
      <c r="AB66" s="264">
        <f>'Disease burden'!AB273</f>
        <v>0.002629963939</v>
      </c>
      <c r="AC66" s="264">
        <f>'Disease burden'!AC273</f>
        <v>0.002400989745</v>
      </c>
      <c r="AD66" s="264">
        <f>'Disease burden'!AD273</f>
        <v>0.002543464878</v>
      </c>
      <c r="AE66" s="264">
        <f>'Disease burden'!AE273</f>
        <v>0.002295541923</v>
      </c>
      <c r="AF66" s="264">
        <f>'Disease burden'!AF273</f>
        <v>0.002203933099</v>
      </c>
      <c r="AG66" s="264">
        <f>'Disease burden'!AG273</f>
        <v>0.002769046129</v>
      </c>
      <c r="AH66" s="264">
        <f>'Disease burden'!AH273</f>
        <v>0.003119120797</v>
      </c>
      <c r="AI66" s="264">
        <f>'Disease burden'!AI273</f>
        <v>0.001693761596</v>
      </c>
      <c r="AJ66" s="264">
        <f>'Disease burden'!AJ273</f>
        <v>0.003953460116</v>
      </c>
      <c r="AK66" s="264">
        <f>'Disease burden'!AK273</f>
        <v>0.004944105945</v>
      </c>
      <c r="AL66" s="264">
        <f>'Disease burden'!AL273</f>
        <v>0.003005259072</v>
      </c>
      <c r="AM66" s="264">
        <f>'Disease burden'!AM273</f>
        <v>0.002761560973</v>
      </c>
      <c r="AN66" s="264">
        <f>'Disease burden'!AN273</f>
        <v>0.00176768773</v>
      </c>
      <c r="AO66" s="264">
        <f>'Disease burden'!AO273</f>
        <v>0.002118095687</v>
      </c>
      <c r="AP66" s="264">
        <f>'Disease burden'!AP273</f>
        <v>0.004069358334</v>
      </c>
      <c r="AQ66" s="264">
        <f>'Disease burden'!AQ273</f>
        <v>0.002473267267</v>
      </c>
      <c r="AR66" s="264">
        <f>'Disease burden'!AR273</f>
        <v>0.005431353517</v>
      </c>
      <c r="AS66" s="264">
        <f>'Disease burden'!AS273</f>
        <v>0.007403519727</v>
      </c>
      <c r="AT66" s="136"/>
    </row>
    <row r="67">
      <c r="A67" s="80"/>
      <c r="B67" s="81"/>
      <c r="C67" s="90"/>
      <c r="D67" s="90"/>
      <c r="E67" s="219" t="s">
        <v>301</v>
      </c>
      <c r="F67" s="318" t="str">
        <f>'Aggregation across vaccines'!F128</f>
        <v>%</v>
      </c>
      <c r="G67" s="319" t="s">
        <v>131</v>
      </c>
      <c r="H67" s="320" t="str">
        <f>'Aggregation across vaccines'!H128</f>
        <v>-</v>
      </c>
      <c r="I67" s="223">
        <f>'Aggregation across vaccines'!I128</f>
        <v>0.07715205985</v>
      </c>
      <c r="J67" s="223">
        <f>'Aggregation across vaccines'!J128</f>
        <v>0.09666623169</v>
      </c>
      <c r="K67" s="223">
        <f>'Aggregation across vaccines'!K128</f>
        <v>0.07990560578</v>
      </c>
      <c r="L67" s="223">
        <f>'Aggregation across vaccines'!L128</f>
        <v>0.114754482</v>
      </c>
      <c r="M67" s="223">
        <f>'Aggregation across vaccines'!M128</f>
        <v>0.08190650167</v>
      </c>
      <c r="N67" s="223">
        <f>'Aggregation across vaccines'!N128</f>
        <v>0.07490353631</v>
      </c>
      <c r="O67" s="223">
        <f>'Aggregation across vaccines'!O128</f>
        <v>0.07687098996</v>
      </c>
      <c r="P67" s="223">
        <f>'Aggregation across vaccines'!P128</f>
        <v>0.04149937581</v>
      </c>
      <c r="Q67" s="223">
        <f>'Aggregation across vaccines'!Q128</f>
        <v>0.06081291956</v>
      </c>
      <c r="R67" s="223">
        <f>'Aggregation across vaccines'!R128</f>
        <v>0.1595099751</v>
      </c>
      <c r="S67" s="223">
        <f>'Aggregation across vaccines'!S128</f>
        <v>0.1281389066</v>
      </c>
      <c r="T67" s="223">
        <f>'Aggregation across vaccines'!T128</f>
        <v>0.1540372907</v>
      </c>
      <c r="U67" s="223">
        <f>'Aggregation across vaccines'!U128</f>
        <v>0.1604361908</v>
      </c>
      <c r="V67" s="223">
        <f>'Aggregation across vaccines'!V128</f>
        <v>0.1234588325</v>
      </c>
      <c r="W67" s="223">
        <f>'Aggregation across vaccines'!W128</f>
        <v>0.1277985407</v>
      </c>
      <c r="X67" s="223">
        <f>'Aggregation across vaccines'!X128</f>
        <v>0.1201044426</v>
      </c>
      <c r="Y67" s="223">
        <f>'Aggregation across vaccines'!Y128</f>
        <v>0.1623762277</v>
      </c>
      <c r="Z67" s="223">
        <f>'Aggregation across vaccines'!Z128</f>
        <v>0.1481669327</v>
      </c>
      <c r="AA67" s="223">
        <f>'Aggregation across vaccines'!AA128</f>
        <v>0.1629122922</v>
      </c>
      <c r="AB67" s="223">
        <f>'Aggregation across vaccines'!AB128</f>
        <v>0.1732274107</v>
      </c>
      <c r="AC67" s="223">
        <f>'Aggregation across vaccines'!AC128</f>
        <v>0.1694105107</v>
      </c>
      <c r="AD67" s="223">
        <f>'Aggregation across vaccines'!AD128</f>
        <v>0.1753106565</v>
      </c>
      <c r="AE67" s="223">
        <f>'Aggregation across vaccines'!AE128</f>
        <v>0.1678948984</v>
      </c>
      <c r="AF67" s="223">
        <f>'Aggregation across vaccines'!AF128</f>
        <v>0.1749937361</v>
      </c>
      <c r="AG67" s="223">
        <f>'Aggregation across vaccines'!AG128</f>
        <v>0.1414223277</v>
      </c>
      <c r="AH67" s="223">
        <f>'Aggregation across vaccines'!AH128</f>
        <v>0.1274814133</v>
      </c>
      <c r="AI67" s="223">
        <f>'Aggregation across vaccines'!AI128</f>
        <v>0.1756672087</v>
      </c>
      <c r="AJ67" s="223">
        <f>'Aggregation across vaccines'!AJ128</f>
        <v>0.1237125333</v>
      </c>
      <c r="AK67" s="223">
        <f>'Aggregation across vaccines'!AK128</f>
        <v>0.08900224759</v>
      </c>
      <c r="AL67" s="223">
        <f>'Aggregation across vaccines'!AL128</f>
        <v>0.1344067565</v>
      </c>
      <c r="AM67" s="223">
        <f>'Aggregation across vaccines'!AM128</f>
        <v>0.1412846212</v>
      </c>
      <c r="AN67" s="223">
        <f>'Aggregation across vaccines'!AN128</f>
        <v>0.160894706</v>
      </c>
      <c r="AO67" s="223">
        <f>'Aggregation across vaccines'!AO128</f>
        <v>0.1354316941</v>
      </c>
      <c r="AP67" s="223">
        <f>'Aggregation across vaccines'!AP128</f>
        <v>0.1425565635</v>
      </c>
      <c r="AQ67" s="223">
        <f>'Aggregation across vaccines'!AQ128</f>
        <v>0.1591951682</v>
      </c>
      <c r="AR67" s="223">
        <f>'Aggregation across vaccines'!AR128</f>
        <v>0.09404419818</v>
      </c>
      <c r="AS67" s="223">
        <f>'Aggregation across vaccines'!AS128</f>
        <v>0.08123133352</v>
      </c>
      <c r="AT67" s="236"/>
    </row>
    <row r="68">
      <c r="A68" s="80"/>
      <c r="B68" s="81"/>
      <c r="C68" s="90"/>
      <c r="D68" s="90"/>
      <c r="E68" s="140" t="s">
        <v>308</v>
      </c>
      <c r="F68" s="215" t="str">
        <f>'Aggregation across vaccines'!F116</f>
        <v>%</v>
      </c>
      <c r="G68" s="277" t="s">
        <v>131</v>
      </c>
      <c r="H68" s="217" t="str">
        <f>'Aggregation across vaccines'!H116</f>
        <v>-</v>
      </c>
      <c r="I68" s="149">
        <f>'Aggregation across vaccines'!I116</f>
        <v>0.377540968</v>
      </c>
      <c r="J68" s="149">
        <f>'Aggregation across vaccines'!J116</f>
        <v>0.3741781203</v>
      </c>
      <c r="K68" s="149">
        <f>'Aggregation across vaccines'!K116</f>
        <v>0.3870917611</v>
      </c>
      <c r="L68" s="149">
        <f>'Aggregation across vaccines'!L116</f>
        <v>0.3743965798</v>
      </c>
      <c r="M68" s="149">
        <f>'Aggregation across vaccines'!M116</f>
        <v>0.3759197742</v>
      </c>
      <c r="N68" s="149">
        <f>'Aggregation across vaccines'!N116</f>
        <v>0.3814882277</v>
      </c>
      <c r="O68" s="149">
        <f>'Aggregation across vaccines'!O116</f>
        <v>0.3819057078</v>
      </c>
      <c r="P68" s="149">
        <f>'Aggregation across vaccines'!P116</f>
        <v>0.3834251261</v>
      </c>
      <c r="Q68" s="149">
        <f>'Aggregation across vaccines'!Q116</f>
        <v>0.383342413</v>
      </c>
      <c r="R68" s="149">
        <f>'Aggregation across vaccines'!R116</f>
        <v>0.366132114</v>
      </c>
      <c r="S68" s="149">
        <f>'Aggregation across vaccines'!S116</f>
        <v>0.3654249714</v>
      </c>
      <c r="T68" s="149">
        <f>'Aggregation across vaccines'!T116</f>
        <v>0.3689290735</v>
      </c>
      <c r="U68" s="149">
        <f>'Aggregation across vaccines'!U116</f>
        <v>0.3700486274</v>
      </c>
      <c r="V68" s="149">
        <f>'Aggregation across vaccines'!V116</f>
        <v>0.3571947012</v>
      </c>
      <c r="W68" s="149">
        <f>'Aggregation across vaccines'!W116</f>
        <v>0.3625030193</v>
      </c>
      <c r="X68" s="149">
        <f>'Aggregation across vaccines'!X116</f>
        <v>0.3667113119</v>
      </c>
      <c r="Y68" s="149">
        <f>'Aggregation across vaccines'!Y116</f>
        <v>0.351526335</v>
      </c>
      <c r="Z68" s="149">
        <f>'Aggregation across vaccines'!Z116</f>
        <v>0.3699474763</v>
      </c>
      <c r="AA68" s="149">
        <f>'Aggregation across vaccines'!AA116</f>
        <v>0.3675479276</v>
      </c>
      <c r="AB68" s="149">
        <f>'Aggregation across vaccines'!AB116</f>
        <v>0.3699773131</v>
      </c>
      <c r="AC68" s="149">
        <f>'Aggregation across vaccines'!AC116</f>
        <v>0.3683376656</v>
      </c>
      <c r="AD68" s="149">
        <f>'Aggregation across vaccines'!AD116</f>
        <v>0.3671143963</v>
      </c>
      <c r="AE68" s="149">
        <f>'Aggregation across vaccines'!AE116</f>
        <v>0.3703581685</v>
      </c>
      <c r="AF68" s="149">
        <f>'Aggregation across vaccines'!AF116</f>
        <v>0.3699500893</v>
      </c>
      <c r="AG68" s="149">
        <f>'Aggregation across vaccines'!AG116</f>
        <v>0.3647326557</v>
      </c>
      <c r="AH68" s="149">
        <f>'Aggregation across vaccines'!AH116</f>
        <v>0.3684600552</v>
      </c>
      <c r="AI68" s="149">
        <f>'Aggregation across vaccines'!AI116</f>
        <v>0.366590264</v>
      </c>
      <c r="AJ68" s="149">
        <f>'Aggregation across vaccines'!AJ116</f>
        <v>0.3690238109</v>
      </c>
      <c r="AK68" s="149">
        <f>'Aggregation across vaccines'!AK116</f>
        <v>0.368850485</v>
      </c>
      <c r="AL68" s="149">
        <f>'Aggregation across vaccines'!AL116</f>
        <v>0.3714953093</v>
      </c>
      <c r="AM68" s="149">
        <f>'Aggregation across vaccines'!AM116</f>
        <v>0.3670769478</v>
      </c>
      <c r="AN68" s="149">
        <f>'Aggregation across vaccines'!AN116</f>
        <v>0.3662694285</v>
      </c>
      <c r="AO68" s="149">
        <f>'Aggregation across vaccines'!AO116</f>
        <v>0.3597005528</v>
      </c>
      <c r="AP68" s="149">
        <f>'Aggregation across vaccines'!AP116</f>
        <v>0.365635979</v>
      </c>
      <c r="AQ68" s="149">
        <f>'Aggregation across vaccines'!AQ116</f>
        <v>0.3684452967</v>
      </c>
      <c r="AR68" s="149">
        <f>'Aggregation across vaccines'!AR116</f>
        <v>0.3660741019</v>
      </c>
      <c r="AS68" s="149">
        <f>'Aggregation across vaccines'!AS116</f>
        <v>0.3783638229</v>
      </c>
      <c r="AT68" s="163"/>
    </row>
    <row r="69">
      <c r="A69" s="80"/>
      <c r="B69" s="81"/>
      <c r="C69" s="90"/>
      <c r="D69" s="90"/>
      <c r="E69" s="113" t="s">
        <v>313</v>
      </c>
      <c r="F69" s="189" t="str">
        <f>'Disease burden'!F299</f>
        <v>%</v>
      </c>
      <c r="G69" s="263" t="s">
        <v>149</v>
      </c>
      <c r="H69" s="156" t="str">
        <f>'Disease burden'!H299</f>
        <v>-</v>
      </c>
      <c r="I69" s="284">
        <f t="shared" ref="I69:AS69" si="17">I66/((1-I67)+(I67*(1-I68)))</f>
        <v>0.008110614714</v>
      </c>
      <c r="J69" s="284">
        <f t="shared" si="17"/>
        <v>0.004888280899</v>
      </c>
      <c r="K69" s="284">
        <f t="shared" si="17"/>
        <v>0.009253151587</v>
      </c>
      <c r="L69" s="284">
        <f t="shared" si="17"/>
        <v>0.003634746997</v>
      </c>
      <c r="M69" s="284">
        <f t="shared" si="17"/>
        <v>0.004576982201</v>
      </c>
      <c r="N69" s="284">
        <f t="shared" si="17"/>
        <v>0.007583939208</v>
      </c>
      <c r="O69" s="284">
        <f t="shared" si="17"/>
        <v>0.00811773221</v>
      </c>
      <c r="P69" s="284">
        <f t="shared" si="17"/>
        <v>0.01088202118</v>
      </c>
      <c r="Q69" s="284">
        <f t="shared" si="17"/>
        <v>0.009606590961</v>
      </c>
      <c r="R69" s="284">
        <f t="shared" si="17"/>
        <v>0.002468254852</v>
      </c>
      <c r="S69" s="284">
        <f t="shared" si="17"/>
        <v>0.004483008932</v>
      </c>
      <c r="T69" s="284">
        <f t="shared" si="17"/>
        <v>0.00270412973</v>
      </c>
      <c r="U69" s="284">
        <f t="shared" si="17"/>
        <v>0.002639911691</v>
      </c>
      <c r="V69" s="284">
        <f t="shared" si="17"/>
        <v>0.0033425743</v>
      </c>
      <c r="W69" s="284">
        <f t="shared" si="17"/>
        <v>0.004540152341</v>
      </c>
      <c r="X69" s="284">
        <f t="shared" si="17"/>
        <v>0.003886647643</v>
      </c>
      <c r="Y69" s="284">
        <f t="shared" si="17"/>
        <v>0.003809964366</v>
      </c>
      <c r="Z69" s="284">
        <f t="shared" si="17"/>
        <v>0.00295627847</v>
      </c>
      <c r="AA69" s="284">
        <f t="shared" si="17"/>
        <v>0.003831356372</v>
      </c>
      <c r="AB69" s="284">
        <f t="shared" si="17"/>
        <v>0.002810061367</v>
      </c>
      <c r="AC69" s="284">
        <f t="shared" si="17"/>
        <v>0.002560783321</v>
      </c>
      <c r="AD69" s="284">
        <f t="shared" si="17"/>
        <v>0.00271841984</v>
      </c>
      <c r="AE69" s="284">
        <f t="shared" si="17"/>
        <v>0.00244774581</v>
      </c>
      <c r="AF69" s="284">
        <f t="shared" si="17"/>
        <v>0.002356489768</v>
      </c>
      <c r="AG69" s="284">
        <f t="shared" si="17"/>
        <v>0.002919645352</v>
      </c>
      <c r="AH69" s="284">
        <f t="shared" si="17"/>
        <v>0.003272852603</v>
      </c>
      <c r="AI69" s="284">
        <f t="shared" si="17"/>
        <v>0.001810343922</v>
      </c>
      <c r="AJ69" s="284">
        <f t="shared" si="17"/>
        <v>0.004142580821</v>
      </c>
      <c r="AK69" s="284">
        <f t="shared" si="17"/>
        <v>0.005111922817</v>
      </c>
      <c r="AL69" s="284">
        <f t="shared" si="17"/>
        <v>0.00316320245</v>
      </c>
      <c r="AM69" s="284">
        <f t="shared" si="17"/>
        <v>0.002912616019</v>
      </c>
      <c r="AN69" s="284">
        <f t="shared" si="17"/>
        <v>0.001878382326</v>
      </c>
      <c r="AO69" s="284">
        <f t="shared" si="17"/>
        <v>0.00222656235</v>
      </c>
      <c r="AP69" s="284">
        <f t="shared" si="17"/>
        <v>0.004293132764</v>
      </c>
      <c r="AQ69" s="284">
        <f t="shared" si="17"/>
        <v>0.0026273752</v>
      </c>
      <c r="AR69" s="284">
        <f t="shared" si="17"/>
        <v>0.005625006431</v>
      </c>
      <c r="AS69" s="284">
        <f t="shared" si="17"/>
        <v>0.007638282318</v>
      </c>
      <c r="AT69" s="136"/>
    </row>
    <row r="70">
      <c r="A70" s="80"/>
      <c r="B70" s="81"/>
      <c r="C70" s="90"/>
      <c r="D70" s="90"/>
      <c r="E70" s="140" t="s">
        <v>234</v>
      </c>
      <c r="F70" s="215" t="str">
        <f>Inputs!F228</f>
        <v>%</v>
      </c>
      <c r="G70" s="277" t="str">
        <f>Inputs!G228</f>
        <v>input</v>
      </c>
      <c r="H70" s="309">
        <f>Inputs!H228</f>
        <v>0.75</v>
      </c>
      <c r="I70" s="310" t="str">
        <f>Inputs!I228</f>
        <v>-</v>
      </c>
      <c r="J70" s="310" t="str">
        <f>Inputs!J228</f>
        <v>-</v>
      </c>
      <c r="K70" s="310" t="str">
        <f>Inputs!K228</f>
        <v>-</v>
      </c>
      <c r="L70" s="310" t="str">
        <f>Inputs!L228</f>
        <v>-</v>
      </c>
      <c r="M70" s="310" t="str">
        <f>Inputs!M228</f>
        <v>-</v>
      </c>
      <c r="N70" s="310" t="str">
        <f>Inputs!N228</f>
        <v>-</v>
      </c>
      <c r="O70" s="310" t="str">
        <f>Inputs!O228</f>
        <v>-</v>
      </c>
      <c r="P70" s="310" t="str">
        <f>Inputs!P228</f>
        <v>-</v>
      </c>
      <c r="Q70" s="310" t="str">
        <f>Inputs!Q228</f>
        <v>-</v>
      </c>
      <c r="R70" s="310" t="str">
        <f>Inputs!R228</f>
        <v>-</v>
      </c>
      <c r="S70" s="310" t="str">
        <f>Inputs!S228</f>
        <v>-</v>
      </c>
      <c r="T70" s="310" t="str">
        <f>Inputs!T228</f>
        <v>-</v>
      </c>
      <c r="U70" s="310" t="str">
        <f>Inputs!U228</f>
        <v>-</v>
      </c>
      <c r="V70" s="310" t="str">
        <f>Inputs!V228</f>
        <v>-</v>
      </c>
      <c r="W70" s="310" t="str">
        <f>Inputs!W228</f>
        <v>-</v>
      </c>
      <c r="X70" s="310" t="str">
        <f>Inputs!X228</f>
        <v>-</v>
      </c>
      <c r="Y70" s="310" t="str">
        <f>Inputs!Y228</f>
        <v>-</v>
      </c>
      <c r="Z70" s="310" t="str">
        <f>Inputs!Z228</f>
        <v>-</v>
      </c>
      <c r="AA70" s="310" t="str">
        <f>Inputs!AA228</f>
        <v>-</v>
      </c>
      <c r="AB70" s="310" t="str">
        <f>Inputs!AB228</f>
        <v>-</v>
      </c>
      <c r="AC70" s="310" t="str">
        <f>Inputs!AC228</f>
        <v>-</v>
      </c>
      <c r="AD70" s="310" t="str">
        <f>Inputs!AD228</f>
        <v>-</v>
      </c>
      <c r="AE70" s="310" t="str">
        <f>Inputs!AE228</f>
        <v>-</v>
      </c>
      <c r="AF70" s="310" t="str">
        <f>Inputs!AF228</f>
        <v>-</v>
      </c>
      <c r="AG70" s="310" t="str">
        <f>Inputs!AG228</f>
        <v>-</v>
      </c>
      <c r="AH70" s="310" t="str">
        <f>Inputs!AH228</f>
        <v>-</v>
      </c>
      <c r="AI70" s="310" t="str">
        <f>Inputs!AI228</f>
        <v>-</v>
      </c>
      <c r="AJ70" s="310" t="str">
        <f>Inputs!AJ228</f>
        <v>-</v>
      </c>
      <c r="AK70" s="310" t="str">
        <f>Inputs!AK228</f>
        <v>-</v>
      </c>
      <c r="AL70" s="310" t="str">
        <f>Inputs!AL228</f>
        <v>-</v>
      </c>
      <c r="AM70" s="310" t="str">
        <f>Inputs!AM228</f>
        <v>-</v>
      </c>
      <c r="AN70" s="310" t="str">
        <f>Inputs!AN228</f>
        <v>-</v>
      </c>
      <c r="AO70" s="310" t="str">
        <f>Inputs!AO228</f>
        <v>-</v>
      </c>
      <c r="AP70" s="310" t="str">
        <f>Inputs!AP228</f>
        <v>-</v>
      </c>
      <c r="AQ70" s="310" t="str">
        <f>Inputs!AQ228</f>
        <v>-</v>
      </c>
      <c r="AR70" s="310" t="str">
        <f>Inputs!AR228</f>
        <v>-</v>
      </c>
      <c r="AS70" s="310" t="str">
        <f>Inputs!AS228</f>
        <v>-</v>
      </c>
      <c r="AT70" s="163"/>
    </row>
    <row r="71">
      <c r="A71" s="80"/>
      <c r="B71" s="81"/>
      <c r="C71" s="90"/>
      <c r="D71" s="90"/>
      <c r="E71" s="140" t="s">
        <v>317</v>
      </c>
      <c r="F71" s="215" t="s">
        <v>122</v>
      </c>
      <c r="G71" s="277" t="s">
        <v>149</v>
      </c>
      <c r="H71" s="187" t="s">
        <v>150</v>
      </c>
      <c r="I71" s="311">
        <f t="shared" ref="I71:AS71" si="18">I69*(1+$H70)</f>
        <v>0.01419357575</v>
      </c>
      <c r="J71" s="311">
        <f t="shared" si="18"/>
        <v>0.008554491573</v>
      </c>
      <c r="K71" s="311">
        <f t="shared" si="18"/>
        <v>0.01619301528</v>
      </c>
      <c r="L71" s="311">
        <f t="shared" si="18"/>
        <v>0.006360807245</v>
      </c>
      <c r="M71" s="311">
        <f t="shared" si="18"/>
        <v>0.008009718852</v>
      </c>
      <c r="N71" s="311">
        <f t="shared" si="18"/>
        <v>0.01327189361</v>
      </c>
      <c r="O71" s="311">
        <f t="shared" si="18"/>
        <v>0.01420603137</v>
      </c>
      <c r="P71" s="311">
        <f t="shared" si="18"/>
        <v>0.01904353707</v>
      </c>
      <c r="Q71" s="311">
        <f t="shared" si="18"/>
        <v>0.01681153418</v>
      </c>
      <c r="R71" s="311">
        <f t="shared" si="18"/>
        <v>0.00431944599</v>
      </c>
      <c r="S71" s="311">
        <f t="shared" si="18"/>
        <v>0.007845265631</v>
      </c>
      <c r="T71" s="311">
        <f t="shared" si="18"/>
        <v>0.004732227028</v>
      </c>
      <c r="U71" s="311">
        <f t="shared" si="18"/>
        <v>0.004619845459</v>
      </c>
      <c r="V71" s="311">
        <f t="shared" si="18"/>
        <v>0.005849505024</v>
      </c>
      <c r="W71" s="311">
        <f t="shared" si="18"/>
        <v>0.007945266597</v>
      </c>
      <c r="X71" s="311">
        <f t="shared" si="18"/>
        <v>0.006801633375</v>
      </c>
      <c r="Y71" s="311">
        <f t="shared" si="18"/>
        <v>0.006667437641</v>
      </c>
      <c r="Z71" s="311">
        <f t="shared" si="18"/>
        <v>0.005173487322</v>
      </c>
      <c r="AA71" s="311">
        <f t="shared" si="18"/>
        <v>0.006704873652</v>
      </c>
      <c r="AB71" s="311">
        <f t="shared" si="18"/>
        <v>0.004917607393</v>
      </c>
      <c r="AC71" s="311">
        <f t="shared" si="18"/>
        <v>0.004481370812</v>
      </c>
      <c r="AD71" s="311">
        <f t="shared" si="18"/>
        <v>0.004757234719</v>
      </c>
      <c r="AE71" s="311">
        <f t="shared" si="18"/>
        <v>0.004283555168</v>
      </c>
      <c r="AF71" s="311">
        <f t="shared" si="18"/>
        <v>0.004123857094</v>
      </c>
      <c r="AG71" s="311">
        <f t="shared" si="18"/>
        <v>0.005109379365</v>
      </c>
      <c r="AH71" s="311">
        <f t="shared" si="18"/>
        <v>0.005727492055</v>
      </c>
      <c r="AI71" s="311">
        <f t="shared" si="18"/>
        <v>0.003168101864</v>
      </c>
      <c r="AJ71" s="311">
        <f t="shared" si="18"/>
        <v>0.007249516437</v>
      </c>
      <c r="AK71" s="311">
        <f t="shared" si="18"/>
        <v>0.00894586493</v>
      </c>
      <c r="AL71" s="311">
        <f t="shared" si="18"/>
        <v>0.005535604288</v>
      </c>
      <c r="AM71" s="311">
        <f t="shared" si="18"/>
        <v>0.005097078032</v>
      </c>
      <c r="AN71" s="311">
        <f t="shared" si="18"/>
        <v>0.00328716907</v>
      </c>
      <c r="AO71" s="311">
        <f t="shared" si="18"/>
        <v>0.003896484112</v>
      </c>
      <c r="AP71" s="311">
        <f t="shared" si="18"/>
        <v>0.007512982338</v>
      </c>
      <c r="AQ71" s="311">
        <f t="shared" si="18"/>
        <v>0.0045979066</v>
      </c>
      <c r="AR71" s="311">
        <f t="shared" si="18"/>
        <v>0.009843761254</v>
      </c>
      <c r="AS71" s="311">
        <f t="shared" si="18"/>
        <v>0.01336699406</v>
      </c>
      <c r="AT71" s="163"/>
    </row>
    <row r="72">
      <c r="A72" s="80"/>
      <c r="B72" s="81"/>
      <c r="C72" s="90"/>
      <c r="D72" s="90"/>
      <c r="E72" s="140" t="s">
        <v>242</v>
      </c>
      <c r="F72" s="215" t="str">
        <f>Inputs!F229</f>
        <v>%</v>
      </c>
      <c r="G72" s="277" t="str">
        <f>Inputs!G229</f>
        <v>input</v>
      </c>
      <c r="H72" s="217">
        <f>Inputs!H229</f>
        <v>1</v>
      </c>
      <c r="I72" s="232" t="str">
        <f>Inputs!I229</f>
        <v>-</v>
      </c>
      <c r="J72" s="232" t="str">
        <f>Inputs!J229</f>
        <v>-</v>
      </c>
      <c r="K72" s="232" t="str">
        <f>Inputs!K229</f>
        <v>-</v>
      </c>
      <c r="L72" s="232" t="str">
        <f>Inputs!L229</f>
        <v>-</v>
      </c>
      <c r="M72" s="232" t="str">
        <f>Inputs!M229</f>
        <v>-</v>
      </c>
      <c r="N72" s="232" t="str">
        <f>Inputs!N229</f>
        <v>-</v>
      </c>
      <c r="O72" s="232" t="str">
        <f>Inputs!O229</f>
        <v>-</v>
      </c>
      <c r="P72" s="232" t="str">
        <f>Inputs!P229</f>
        <v>-</v>
      </c>
      <c r="Q72" s="232" t="str">
        <f>Inputs!Q229</f>
        <v>-</v>
      </c>
      <c r="R72" s="232" t="str">
        <f>Inputs!R229</f>
        <v>-</v>
      </c>
      <c r="S72" s="232" t="str">
        <f>Inputs!S229</f>
        <v>-</v>
      </c>
      <c r="T72" s="232" t="str">
        <f>Inputs!T229</f>
        <v>-</v>
      </c>
      <c r="U72" s="232" t="str">
        <f>Inputs!U229</f>
        <v>-</v>
      </c>
      <c r="V72" s="232" t="str">
        <f>Inputs!V229</f>
        <v>-</v>
      </c>
      <c r="W72" s="232" t="str">
        <f>Inputs!W229</f>
        <v>-</v>
      </c>
      <c r="X72" s="232" t="str">
        <f>Inputs!X229</f>
        <v>-</v>
      </c>
      <c r="Y72" s="232" t="str">
        <f>Inputs!Y229</f>
        <v>-</v>
      </c>
      <c r="Z72" s="232" t="str">
        <f>Inputs!Z229</f>
        <v>-</v>
      </c>
      <c r="AA72" s="232" t="str">
        <f>Inputs!AA229</f>
        <v>-</v>
      </c>
      <c r="AB72" s="232" t="str">
        <f>Inputs!AB229</f>
        <v>-</v>
      </c>
      <c r="AC72" s="232" t="str">
        <f>Inputs!AC229</f>
        <v>-</v>
      </c>
      <c r="AD72" s="232" t="str">
        <f>Inputs!AD229</f>
        <v>-</v>
      </c>
      <c r="AE72" s="232" t="str">
        <f>Inputs!AE229</f>
        <v>-</v>
      </c>
      <c r="AF72" s="232" t="str">
        <f>Inputs!AF229</f>
        <v>-</v>
      </c>
      <c r="AG72" s="232" t="str">
        <f>Inputs!AG229</f>
        <v>-</v>
      </c>
      <c r="AH72" s="232" t="str">
        <f>Inputs!AH229</f>
        <v>-</v>
      </c>
      <c r="AI72" s="232" t="str">
        <f>Inputs!AI229</f>
        <v>-</v>
      </c>
      <c r="AJ72" s="232" t="str">
        <f>Inputs!AJ229</f>
        <v>-</v>
      </c>
      <c r="AK72" s="232" t="str">
        <f>Inputs!AK229</f>
        <v>-</v>
      </c>
      <c r="AL72" s="232" t="str">
        <f>Inputs!AL229</f>
        <v>-</v>
      </c>
      <c r="AM72" s="232" t="str">
        <f>Inputs!AM229</f>
        <v>-</v>
      </c>
      <c r="AN72" s="232" t="str">
        <f>Inputs!AN229</f>
        <v>-</v>
      </c>
      <c r="AO72" s="232" t="str">
        <f>Inputs!AO229</f>
        <v>-</v>
      </c>
      <c r="AP72" s="232" t="str">
        <f>Inputs!AP229</f>
        <v>-</v>
      </c>
      <c r="AQ72" s="232" t="str">
        <f>Inputs!AQ229</f>
        <v>-</v>
      </c>
      <c r="AR72" s="232" t="str">
        <f>Inputs!AR229</f>
        <v>-</v>
      </c>
      <c r="AS72" s="232" t="str">
        <f>Inputs!AS229</f>
        <v>-</v>
      </c>
      <c r="AT72" s="163"/>
    </row>
    <row r="73">
      <c r="A73" s="80"/>
      <c r="B73" s="81"/>
      <c r="C73" s="90"/>
      <c r="D73" s="90"/>
      <c r="E73" s="140" t="s">
        <v>324</v>
      </c>
      <c r="F73" s="215" t="s">
        <v>111</v>
      </c>
      <c r="G73" s="277" t="s">
        <v>149</v>
      </c>
      <c r="H73" s="187" t="s">
        <v>150</v>
      </c>
      <c r="I73" s="312">
        <f t="shared" ref="I73:AS73" si="19">I$38*I68*I71*$H72</f>
        <v>64.77387138</v>
      </c>
      <c r="J73" s="312">
        <f t="shared" si="19"/>
        <v>23.72008191</v>
      </c>
      <c r="K73" s="312">
        <f t="shared" si="19"/>
        <v>59.55829004</v>
      </c>
      <c r="L73" s="312">
        <f t="shared" si="19"/>
        <v>13.55225255</v>
      </c>
      <c r="M73" s="312">
        <f t="shared" si="19"/>
        <v>30.37563005</v>
      </c>
      <c r="N73" s="312">
        <f t="shared" si="19"/>
        <v>68.27459073</v>
      </c>
      <c r="O73" s="312">
        <f t="shared" si="19"/>
        <v>102.5820493</v>
      </c>
      <c r="P73" s="312">
        <f t="shared" si="19"/>
        <v>170.7759985</v>
      </c>
      <c r="Q73" s="312">
        <f t="shared" si="19"/>
        <v>96.33614956</v>
      </c>
      <c r="R73" s="312">
        <f t="shared" si="19"/>
        <v>3.547391668</v>
      </c>
      <c r="S73" s="312">
        <f t="shared" si="19"/>
        <v>8.158217357</v>
      </c>
      <c r="T73" s="312">
        <f t="shared" si="19"/>
        <v>5.123731697</v>
      </c>
      <c r="U73" s="312">
        <f t="shared" si="19"/>
        <v>6.263390781</v>
      </c>
      <c r="V73" s="312">
        <f t="shared" si="19"/>
        <v>8.937157289</v>
      </c>
      <c r="W73" s="312">
        <f t="shared" si="19"/>
        <v>12.2904519</v>
      </c>
      <c r="X73" s="312">
        <f t="shared" si="19"/>
        <v>28.27975391</v>
      </c>
      <c r="Y73" s="312">
        <f t="shared" si="19"/>
        <v>3.390075318</v>
      </c>
      <c r="Z73" s="312">
        <f t="shared" si="19"/>
        <v>7.563611768</v>
      </c>
      <c r="AA73" s="312">
        <f t="shared" si="19"/>
        <v>0.3749989356</v>
      </c>
      <c r="AB73" s="312">
        <f t="shared" si="19"/>
        <v>3.420194721</v>
      </c>
      <c r="AC73" s="312">
        <f t="shared" si="19"/>
        <v>1.64263668</v>
      </c>
      <c r="AD73" s="312">
        <f t="shared" si="19"/>
        <v>0.946631104</v>
      </c>
      <c r="AE73" s="312">
        <f t="shared" si="19"/>
        <v>2.639169911</v>
      </c>
      <c r="AF73" s="312">
        <f t="shared" si="19"/>
        <v>1.877001783</v>
      </c>
      <c r="AG73" s="312">
        <f t="shared" si="19"/>
        <v>6.819334965</v>
      </c>
      <c r="AH73" s="312">
        <f t="shared" si="19"/>
        <v>14.89573883</v>
      </c>
      <c r="AI73" s="312">
        <f t="shared" si="19"/>
        <v>1.739793039</v>
      </c>
      <c r="AJ73" s="312">
        <f t="shared" si="19"/>
        <v>16.24528278</v>
      </c>
      <c r="AK73" s="312">
        <f t="shared" si="19"/>
        <v>30.99487635</v>
      </c>
      <c r="AL73" s="312">
        <f t="shared" si="19"/>
        <v>16.11003573</v>
      </c>
      <c r="AM73" s="312">
        <f t="shared" si="19"/>
        <v>10.60795433</v>
      </c>
      <c r="AN73" s="312">
        <f t="shared" si="19"/>
        <v>2.465596271</v>
      </c>
      <c r="AO73" s="312">
        <f t="shared" si="19"/>
        <v>8.088823392</v>
      </c>
      <c r="AP73" s="312">
        <f t="shared" si="19"/>
        <v>11.2931299</v>
      </c>
      <c r="AQ73" s="312">
        <f t="shared" si="19"/>
        <v>3.424888524</v>
      </c>
      <c r="AR73" s="312">
        <f t="shared" si="19"/>
        <v>20.58997802</v>
      </c>
      <c r="AS73" s="312">
        <f t="shared" si="19"/>
        <v>26.0366535</v>
      </c>
      <c r="AT73" s="163"/>
    </row>
    <row r="74">
      <c r="A74" s="80"/>
      <c r="B74" s="81"/>
      <c r="C74" s="90"/>
      <c r="D74" s="90"/>
      <c r="E74" s="188" t="s">
        <v>272</v>
      </c>
      <c r="F74" s="189" t="str">
        <f>Inputs!F$232</f>
        <v>%</v>
      </c>
      <c r="G74" s="263" t="str">
        <f>Inputs!G$232</f>
        <v>input</v>
      </c>
      <c r="H74" s="313">
        <f>Inputs!H$232</f>
        <v>0.005</v>
      </c>
      <c r="I74" s="213" t="str">
        <f>Inputs!I$232</f>
        <v>-</v>
      </c>
      <c r="J74" s="213" t="str">
        <f>Inputs!J$232</f>
        <v>-</v>
      </c>
      <c r="K74" s="213" t="str">
        <f>Inputs!K$232</f>
        <v>-</v>
      </c>
      <c r="L74" s="213" t="str">
        <f>Inputs!L$232</f>
        <v>-</v>
      </c>
      <c r="M74" s="213" t="str">
        <f>Inputs!M$232</f>
        <v>-</v>
      </c>
      <c r="N74" s="213" t="str">
        <f>Inputs!N$232</f>
        <v>-</v>
      </c>
      <c r="O74" s="213" t="str">
        <f>Inputs!O$232</f>
        <v>-</v>
      </c>
      <c r="P74" s="213" t="str">
        <f>Inputs!P$232</f>
        <v>-</v>
      </c>
      <c r="Q74" s="213" t="str">
        <f>Inputs!Q$232</f>
        <v>-</v>
      </c>
      <c r="R74" s="213" t="str">
        <f>Inputs!R$232</f>
        <v>-</v>
      </c>
      <c r="S74" s="213" t="str">
        <f>Inputs!S$232</f>
        <v>-</v>
      </c>
      <c r="T74" s="213" t="str">
        <f>Inputs!T$232</f>
        <v>-</v>
      </c>
      <c r="U74" s="213" t="str">
        <f>Inputs!U$232</f>
        <v>-</v>
      </c>
      <c r="V74" s="213" t="str">
        <f>Inputs!V$232</f>
        <v>-</v>
      </c>
      <c r="W74" s="213" t="str">
        <f>Inputs!W$232</f>
        <v>-</v>
      </c>
      <c r="X74" s="213" t="str">
        <f>Inputs!X$232</f>
        <v>-</v>
      </c>
      <c r="Y74" s="213" t="str">
        <f>Inputs!Y$232</f>
        <v>-</v>
      </c>
      <c r="Z74" s="213" t="str">
        <f>Inputs!Z$232</f>
        <v>-</v>
      </c>
      <c r="AA74" s="213" t="str">
        <f>Inputs!AA$232</f>
        <v>-</v>
      </c>
      <c r="AB74" s="213" t="str">
        <f>Inputs!AB$232</f>
        <v>-</v>
      </c>
      <c r="AC74" s="213" t="str">
        <f>Inputs!AC$232</f>
        <v>-</v>
      </c>
      <c r="AD74" s="213" t="str">
        <f>Inputs!AD$232</f>
        <v>-</v>
      </c>
      <c r="AE74" s="213" t="str">
        <f>Inputs!AE$232</f>
        <v>-</v>
      </c>
      <c r="AF74" s="213" t="str">
        <f>Inputs!AF$232</f>
        <v>-</v>
      </c>
      <c r="AG74" s="213" t="str">
        <f>Inputs!AG$232</f>
        <v>-</v>
      </c>
      <c r="AH74" s="213" t="str">
        <f>Inputs!AH$232</f>
        <v>-</v>
      </c>
      <c r="AI74" s="213" t="str">
        <f>Inputs!AI$232</f>
        <v>-</v>
      </c>
      <c r="AJ74" s="213" t="str">
        <f>Inputs!AJ$232</f>
        <v>-</v>
      </c>
      <c r="AK74" s="213" t="str">
        <f>Inputs!AK$232</f>
        <v>-</v>
      </c>
      <c r="AL74" s="213" t="str">
        <f>Inputs!AL$232</f>
        <v>-</v>
      </c>
      <c r="AM74" s="213" t="str">
        <f>Inputs!AM$232</f>
        <v>-</v>
      </c>
      <c r="AN74" s="213" t="str">
        <f>Inputs!AN$232</f>
        <v>-</v>
      </c>
      <c r="AO74" s="213" t="str">
        <f>Inputs!AO$232</f>
        <v>-</v>
      </c>
      <c r="AP74" s="213" t="str">
        <f>Inputs!AP$232</f>
        <v>-</v>
      </c>
      <c r="AQ74" s="213" t="str">
        <f>Inputs!AQ$232</f>
        <v>-</v>
      </c>
      <c r="AR74" s="213" t="str">
        <f>Inputs!AR$232</f>
        <v>-</v>
      </c>
      <c r="AS74" s="213" t="str">
        <f>Inputs!AS$232</f>
        <v>-</v>
      </c>
      <c r="AT74" s="236"/>
    </row>
    <row r="75">
      <c r="A75" s="80"/>
      <c r="B75" s="81"/>
      <c r="C75" s="90"/>
      <c r="D75" s="90"/>
      <c r="E75" s="121" t="s">
        <v>328</v>
      </c>
      <c r="F75" s="108" t="str">
        <f>Inputs!F234</f>
        <v>#</v>
      </c>
      <c r="G75" s="127" t="str">
        <f>Inputs!G234</f>
        <v>input</v>
      </c>
      <c r="H75" s="314">
        <f>Inputs!H234</f>
        <v>32.5</v>
      </c>
      <c r="I75" s="184" t="str">
        <f>Inputs!I234</f>
        <v>-</v>
      </c>
      <c r="J75" s="184" t="str">
        <f>Inputs!J234</f>
        <v>-</v>
      </c>
      <c r="K75" s="184" t="str">
        <f>Inputs!K234</f>
        <v>-</v>
      </c>
      <c r="L75" s="184" t="str">
        <f>Inputs!L234</f>
        <v>-</v>
      </c>
      <c r="M75" s="184" t="str">
        <f>Inputs!M234</f>
        <v>-</v>
      </c>
      <c r="N75" s="184" t="str">
        <f>Inputs!N234</f>
        <v>-</v>
      </c>
      <c r="O75" s="184" t="str">
        <f>Inputs!O234</f>
        <v>-</v>
      </c>
      <c r="P75" s="184" t="str">
        <f>Inputs!P234</f>
        <v>-</v>
      </c>
      <c r="Q75" s="184" t="str">
        <f>Inputs!Q234</f>
        <v>-</v>
      </c>
      <c r="R75" s="184" t="str">
        <f>Inputs!R234</f>
        <v>-</v>
      </c>
      <c r="S75" s="184" t="str">
        <f>Inputs!S234</f>
        <v>-</v>
      </c>
      <c r="T75" s="184" t="str">
        <f>Inputs!T234</f>
        <v>-</v>
      </c>
      <c r="U75" s="184" t="str">
        <f>Inputs!U234</f>
        <v>-</v>
      </c>
      <c r="V75" s="184" t="str">
        <f>Inputs!V234</f>
        <v>-</v>
      </c>
      <c r="W75" s="184" t="str">
        <f>Inputs!W234</f>
        <v>-</v>
      </c>
      <c r="X75" s="184" t="str">
        <f>Inputs!X234</f>
        <v>-</v>
      </c>
      <c r="Y75" s="184" t="str">
        <f>Inputs!Y234</f>
        <v>-</v>
      </c>
      <c r="Z75" s="184" t="str">
        <f>Inputs!Z234</f>
        <v>-</v>
      </c>
      <c r="AA75" s="184" t="str">
        <f>Inputs!AA234</f>
        <v>-</v>
      </c>
      <c r="AB75" s="184" t="str">
        <f>Inputs!AB234</f>
        <v>-</v>
      </c>
      <c r="AC75" s="184" t="str">
        <f>Inputs!AC234</f>
        <v>-</v>
      </c>
      <c r="AD75" s="184" t="str">
        <f>Inputs!AD234</f>
        <v>-</v>
      </c>
      <c r="AE75" s="184" t="str">
        <f>Inputs!AE234</f>
        <v>-</v>
      </c>
      <c r="AF75" s="184" t="str">
        <f>Inputs!AF234</f>
        <v>-</v>
      </c>
      <c r="AG75" s="184" t="str">
        <f>Inputs!AG234</f>
        <v>-</v>
      </c>
      <c r="AH75" s="184" t="str">
        <f>Inputs!AH234</f>
        <v>-</v>
      </c>
      <c r="AI75" s="184" t="str">
        <f>Inputs!AI234</f>
        <v>-</v>
      </c>
      <c r="AJ75" s="184" t="str">
        <f>Inputs!AJ234</f>
        <v>-</v>
      </c>
      <c r="AK75" s="184" t="str">
        <f>Inputs!AK234</f>
        <v>-</v>
      </c>
      <c r="AL75" s="184" t="str">
        <f>Inputs!AL234</f>
        <v>-</v>
      </c>
      <c r="AM75" s="184" t="str">
        <f>Inputs!AM234</f>
        <v>-</v>
      </c>
      <c r="AN75" s="184" t="str">
        <f>Inputs!AN234</f>
        <v>-</v>
      </c>
      <c r="AO75" s="184" t="str">
        <f>Inputs!AO234</f>
        <v>-</v>
      </c>
      <c r="AP75" s="184" t="str">
        <f>Inputs!AP234</f>
        <v>-</v>
      </c>
      <c r="AQ75" s="184" t="str">
        <f>Inputs!AQ234</f>
        <v>-</v>
      </c>
      <c r="AR75" s="184" t="str">
        <f>Inputs!AR234</f>
        <v>-</v>
      </c>
      <c r="AS75" s="184" t="str">
        <f>Inputs!AS234</f>
        <v>-</v>
      </c>
      <c r="AT75" s="236"/>
    </row>
    <row r="76">
      <c r="A76" s="80"/>
      <c r="B76" s="81"/>
      <c r="C76" s="90"/>
      <c r="D76" s="90"/>
      <c r="E76" s="237" t="s">
        <v>330</v>
      </c>
      <c r="F76" s="195" t="s">
        <v>111</v>
      </c>
      <c r="G76" s="316" t="s">
        <v>149</v>
      </c>
      <c r="H76" s="197" t="s">
        <v>150</v>
      </c>
      <c r="I76" s="198">
        <f t="shared" ref="I76:AS76" si="20">I73*((1/(1+$H74))^$H75)</f>
        <v>55.08113078</v>
      </c>
      <c r="J76" s="198">
        <f t="shared" si="20"/>
        <v>20.17061673</v>
      </c>
      <c r="K76" s="198">
        <f t="shared" si="20"/>
        <v>50.6460073</v>
      </c>
      <c r="L76" s="198">
        <f t="shared" si="20"/>
        <v>11.52429798</v>
      </c>
      <c r="M76" s="198">
        <f t="shared" si="20"/>
        <v>25.83023086</v>
      </c>
      <c r="N76" s="198">
        <f t="shared" si="20"/>
        <v>58.05800365</v>
      </c>
      <c r="O76" s="198">
        <f t="shared" si="20"/>
        <v>87.23170555</v>
      </c>
      <c r="P76" s="198">
        <f t="shared" si="20"/>
        <v>145.2211348</v>
      </c>
      <c r="Q76" s="198">
        <f t="shared" si="20"/>
        <v>81.92044014</v>
      </c>
      <c r="R76" s="198">
        <f t="shared" si="20"/>
        <v>3.016561157</v>
      </c>
      <c r="S76" s="198">
        <f t="shared" si="20"/>
        <v>6.937424422</v>
      </c>
      <c r="T76" s="198">
        <f t="shared" si="20"/>
        <v>4.357018188</v>
      </c>
      <c r="U76" s="198">
        <f t="shared" si="20"/>
        <v>5.326139065</v>
      </c>
      <c r="V76" s="198">
        <f t="shared" si="20"/>
        <v>7.599804041</v>
      </c>
      <c r="W76" s="198">
        <f t="shared" si="20"/>
        <v>10.45131276</v>
      </c>
      <c r="X76" s="198">
        <f t="shared" si="20"/>
        <v>24.04798093</v>
      </c>
      <c r="Y76" s="198">
        <f t="shared" si="20"/>
        <v>2.882785574</v>
      </c>
      <c r="Z76" s="198">
        <f t="shared" si="20"/>
        <v>6.431795416</v>
      </c>
      <c r="AA76" s="198">
        <f t="shared" si="20"/>
        <v>0.3188842195</v>
      </c>
      <c r="AB76" s="198">
        <f t="shared" si="20"/>
        <v>2.908397919</v>
      </c>
      <c r="AC76" s="198">
        <f t="shared" si="20"/>
        <v>1.396833073</v>
      </c>
      <c r="AD76" s="198">
        <f t="shared" si="20"/>
        <v>0.8049775401</v>
      </c>
      <c r="AE76" s="198">
        <f t="shared" si="20"/>
        <v>2.244245402</v>
      </c>
      <c r="AF76" s="198">
        <f t="shared" si="20"/>
        <v>1.59612786</v>
      </c>
      <c r="AG76" s="198">
        <f t="shared" si="20"/>
        <v>5.798891946</v>
      </c>
      <c r="AH76" s="198">
        <f t="shared" si="20"/>
        <v>12.66674542</v>
      </c>
      <c r="AI76" s="198">
        <f t="shared" si="20"/>
        <v>1.479450987</v>
      </c>
      <c r="AJ76" s="198">
        <f t="shared" si="20"/>
        <v>13.81434406</v>
      </c>
      <c r="AK76" s="198">
        <f t="shared" si="20"/>
        <v>26.35681335</v>
      </c>
      <c r="AL76" s="198">
        <f t="shared" si="20"/>
        <v>13.69933533</v>
      </c>
      <c r="AM76" s="198">
        <f t="shared" si="20"/>
        <v>9.02058357</v>
      </c>
      <c r="AN76" s="198">
        <f t="shared" si="20"/>
        <v>2.096645264</v>
      </c>
      <c r="AO76" s="198">
        <f t="shared" si="20"/>
        <v>6.878414547</v>
      </c>
      <c r="AP76" s="198">
        <f t="shared" si="20"/>
        <v>9.603229691</v>
      </c>
      <c r="AQ76" s="198">
        <f t="shared" si="20"/>
        <v>2.912389343</v>
      </c>
      <c r="AR76" s="198">
        <f t="shared" si="20"/>
        <v>17.50890055</v>
      </c>
      <c r="AS76" s="198">
        <f t="shared" si="20"/>
        <v>22.14053732</v>
      </c>
      <c r="AT76" s="248"/>
    </row>
    <row r="77">
      <c r="A77" s="80"/>
      <c r="B77" s="81"/>
      <c r="C77" s="322"/>
      <c r="D77" s="81"/>
      <c r="E77" s="121"/>
      <c r="F77" s="108"/>
      <c r="G77" s="108"/>
      <c r="H77" s="323"/>
      <c r="I77" s="245"/>
      <c r="J77" s="245"/>
      <c r="K77" s="245"/>
      <c r="L77" s="245"/>
      <c r="M77" s="245"/>
      <c r="N77" s="245"/>
      <c r="O77" s="245"/>
      <c r="P77" s="245"/>
      <c r="Q77" s="245"/>
      <c r="R77" s="245"/>
      <c r="S77" s="245"/>
      <c r="T77" s="245"/>
      <c r="U77" s="245"/>
      <c r="V77" s="245"/>
      <c r="W77" s="245"/>
      <c r="X77" s="245"/>
      <c r="Y77" s="245"/>
      <c r="Z77" s="245"/>
      <c r="AA77" s="245"/>
      <c r="AB77" s="245"/>
      <c r="AC77" s="245"/>
      <c r="AD77" s="245"/>
      <c r="AE77" s="245"/>
      <c r="AF77" s="245"/>
      <c r="AG77" s="245"/>
      <c r="AH77" s="245"/>
      <c r="AI77" s="245"/>
      <c r="AJ77" s="245"/>
      <c r="AK77" s="245"/>
      <c r="AL77" s="245"/>
      <c r="AM77" s="245"/>
      <c r="AN77" s="245"/>
      <c r="AO77" s="245"/>
      <c r="AP77" s="245"/>
      <c r="AQ77" s="245"/>
      <c r="AR77" s="245"/>
      <c r="AS77" s="245"/>
      <c r="AT77" s="185"/>
    </row>
    <row r="78">
      <c r="A78" s="80"/>
      <c r="B78" s="81"/>
      <c r="C78" s="186" t="s">
        <v>333</v>
      </c>
      <c r="F78" s="108"/>
      <c r="G78" s="127"/>
      <c r="H78" s="301"/>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8"/>
    </row>
    <row r="79">
      <c r="A79" s="80"/>
      <c r="B79" s="81"/>
      <c r="C79" s="90"/>
      <c r="D79" s="90"/>
      <c r="E79" s="113" t="s">
        <v>334</v>
      </c>
      <c r="F79" s="189" t="str">
        <f>'Disease burden'!F317</f>
        <v>%</v>
      </c>
      <c r="G79" s="263" t="s">
        <v>131</v>
      </c>
      <c r="H79" s="156" t="str">
        <f>'Disease burden'!H317</f>
        <v>-</v>
      </c>
      <c r="I79" s="264">
        <f>'Disease burden'!I317</f>
        <v>0.03149324591</v>
      </c>
      <c r="J79" s="264">
        <f>'Disease burden'!J317</f>
        <v>0.02209640878</v>
      </c>
      <c r="K79" s="264">
        <f>'Disease burden'!K317</f>
        <v>0.03103961682</v>
      </c>
      <c r="L79" s="264">
        <f>'Disease burden'!L317</f>
        <v>0.01259074241</v>
      </c>
      <c r="M79" s="264">
        <f>'Disease burden'!M317</f>
        <v>0.01673551623</v>
      </c>
      <c r="N79" s="264">
        <f>'Disease burden'!N317</f>
        <v>0.02680742873</v>
      </c>
      <c r="O79" s="264">
        <f>'Disease burden'!O317</f>
        <v>0.03317837165</v>
      </c>
      <c r="P79" s="264">
        <f>'Disease burden'!P317</f>
        <v>0.03401542278</v>
      </c>
      <c r="Q79" s="264">
        <f>'Disease burden'!Q317</f>
        <v>0.04010080411</v>
      </c>
      <c r="R79" s="264">
        <f>'Disease burden'!R317</f>
        <v>0.009643299727</v>
      </c>
      <c r="S79" s="264">
        <f>'Disease burden'!S317</f>
        <v>0.01767777767</v>
      </c>
      <c r="T79" s="264">
        <f>'Disease burden'!T317</f>
        <v>0.01040300667</v>
      </c>
      <c r="U79" s="264">
        <f>'Disease burden'!U317</f>
        <v>0.009508826741</v>
      </c>
      <c r="V79" s="264">
        <f>'Disease burden'!V317</f>
        <v>0.01265433628</v>
      </c>
      <c r="W79" s="264">
        <f>'Disease burden'!W317</f>
        <v>0.01645781044</v>
      </c>
      <c r="X79" s="264">
        <f>'Disease burden'!X317</f>
        <v>0.01662762721</v>
      </c>
      <c r="Y79" s="264">
        <f>'Disease burden'!Y317</f>
        <v>0.01497888417</v>
      </c>
      <c r="Z79" s="264">
        <f>'Disease burden'!Z317</f>
        <v>0.009384000127</v>
      </c>
      <c r="AA79" s="264">
        <f>'Disease burden'!AA317</f>
        <v>0.01378564442</v>
      </c>
      <c r="AB79" s="264">
        <f>'Disease burden'!AB317</f>
        <v>0.008500569025</v>
      </c>
      <c r="AC79" s="264">
        <f>'Disease burden'!AC317</f>
        <v>0.009502629296</v>
      </c>
      <c r="AD79" s="264">
        <f>'Disease burden'!AD317</f>
        <v>0.01068211005</v>
      </c>
      <c r="AE79" s="264">
        <f>'Disease burden'!AE317</f>
        <v>0.007176422934</v>
      </c>
      <c r="AF79" s="264">
        <f>'Disease burden'!AF317</f>
        <v>0.00876311059</v>
      </c>
      <c r="AG79" s="264">
        <f>'Disease burden'!AG317</f>
        <v>0.01214562069</v>
      </c>
      <c r="AH79" s="264">
        <f>'Disease burden'!AH317</f>
        <v>0.01089383043</v>
      </c>
      <c r="AI79" s="264">
        <f>'Disease burden'!AI317</f>
        <v>0.006036439091</v>
      </c>
      <c r="AJ79" s="264">
        <f>'Disease burden'!AJ317</f>
        <v>0.01148289114</v>
      </c>
      <c r="AK79" s="264">
        <f>'Disease burden'!AK317</f>
        <v>0.01795541669</v>
      </c>
      <c r="AL79" s="264">
        <f>'Disease burden'!AL317</f>
        <v>0.01179394573</v>
      </c>
      <c r="AM79" s="264">
        <f>'Disease burden'!AM317</f>
        <v>0.0112592694</v>
      </c>
      <c r="AN79" s="264">
        <f>'Disease burden'!AN317</f>
        <v>0.008896085666</v>
      </c>
      <c r="AO79" s="264">
        <f>'Disease burden'!AO317</f>
        <v>0.00791210257</v>
      </c>
      <c r="AP79" s="264">
        <f>'Disease burden'!AP317</f>
        <v>0.01171646082</v>
      </c>
      <c r="AQ79" s="264">
        <f>'Disease burden'!AQ317</f>
        <v>0.00925114851</v>
      </c>
      <c r="AR79" s="264">
        <f>'Disease burden'!AR317</f>
        <v>0.01552163235</v>
      </c>
      <c r="AS79" s="264">
        <f>'Disease burden'!AS317</f>
        <v>0.02792182024</v>
      </c>
      <c r="AT79" s="136"/>
    </row>
    <row r="80">
      <c r="A80" s="80"/>
      <c r="B80" s="81"/>
      <c r="C80" s="90"/>
      <c r="D80" s="90"/>
      <c r="E80" s="140" t="s">
        <v>342</v>
      </c>
      <c r="F80" s="215" t="str">
        <f>'Aggregation across vaccines'!F159</f>
        <v>%</v>
      </c>
      <c r="G80" s="277" t="s">
        <v>131</v>
      </c>
      <c r="H80" s="176" t="str">
        <f>'Aggregation across vaccines'!H159</f>
        <v>-</v>
      </c>
      <c r="I80" s="149">
        <f>'Aggregation across vaccines'!I159</f>
        <v>0.0381211365</v>
      </c>
      <c r="J80" s="149">
        <f>'Aggregation across vaccines'!J159</f>
        <v>0.04658850657</v>
      </c>
      <c r="K80" s="149">
        <f>'Aggregation across vaccines'!K159</f>
        <v>0.03956062036</v>
      </c>
      <c r="L80" s="149">
        <f>'Aggregation across vaccines'!L159</f>
        <v>0.05673611181</v>
      </c>
      <c r="M80" s="149">
        <f>'Aggregation across vaccines'!M159</f>
        <v>0.04040875402</v>
      </c>
      <c r="N80" s="149">
        <f>'Aggregation across vaccines'!N159</f>
        <v>0.03695695596</v>
      </c>
      <c r="O80" s="149">
        <f>'Aggregation across vaccines'!O159</f>
        <v>0.03769540789</v>
      </c>
      <c r="P80" s="149">
        <f>'Aggregation across vaccines'!P159</f>
        <v>0.02057490037</v>
      </c>
      <c r="Q80" s="149">
        <f>'Aggregation across vaccines'!Q159</f>
        <v>0.02998402797</v>
      </c>
      <c r="R80" s="149">
        <f>'Aggregation across vaccines'!R159</f>
        <v>0.08046715632</v>
      </c>
      <c r="S80" s="149">
        <f>'Aggregation across vaccines'!S159</f>
        <v>0.06343697581</v>
      </c>
      <c r="T80" s="149">
        <f>'Aggregation across vaccines'!T159</f>
        <v>0.07645868928</v>
      </c>
      <c r="U80" s="149">
        <f>'Aggregation across vaccines'!U159</f>
        <v>0.08014399855</v>
      </c>
      <c r="V80" s="149">
        <f>'Aggregation across vaccines'!V159</f>
        <v>0.06175065795</v>
      </c>
      <c r="W80" s="149">
        <f>'Aggregation across vaccines'!W159</f>
        <v>0.06351127673</v>
      </c>
      <c r="X80" s="149">
        <f>'Aggregation across vaccines'!X159</f>
        <v>0.05908440922</v>
      </c>
      <c r="Y80" s="149">
        <f>'Aggregation across vaccines'!Y159</f>
        <v>0.08141805447</v>
      </c>
      <c r="Z80" s="149">
        <f>'Aggregation across vaccines'!Z159</f>
        <v>0.07347566778</v>
      </c>
      <c r="AA80" s="149">
        <f>'Aggregation across vaccines'!AA159</f>
        <v>0.08071085741</v>
      </c>
      <c r="AB80" s="149">
        <f>'Aggregation across vaccines'!AB159</f>
        <v>0.08619062535</v>
      </c>
      <c r="AC80" s="149">
        <f>'Aggregation across vaccines'!AC159</f>
        <v>0.08435897764</v>
      </c>
      <c r="AD80" s="149">
        <f>'Aggregation across vaccines'!AD159</f>
        <v>0.08764262875</v>
      </c>
      <c r="AE80" s="149">
        <f>'Aggregation across vaccines'!AE159</f>
        <v>0.08404848314</v>
      </c>
      <c r="AF80" s="149">
        <f>'Aggregation across vaccines'!AF159</f>
        <v>0.08755106907</v>
      </c>
      <c r="AG80" s="149">
        <f>'Aggregation across vaccines'!AG159</f>
        <v>0.07045589116</v>
      </c>
      <c r="AH80" s="149">
        <f>'Aggregation across vaccines'!AH159</f>
        <v>0.06324446623</v>
      </c>
      <c r="AI80" s="149">
        <f>'Aggregation across vaccines'!AI159</f>
        <v>0.08791798463</v>
      </c>
      <c r="AJ80" s="149">
        <f>'Aggregation across vaccines'!AJ159</f>
        <v>0.06128020387</v>
      </c>
      <c r="AK80" s="149">
        <f>'Aggregation across vaccines'!AK159</f>
        <v>0.04396751269</v>
      </c>
      <c r="AL80" s="149">
        <f>'Aggregation across vaccines'!AL159</f>
        <v>0.06684908032</v>
      </c>
      <c r="AM80" s="149">
        <f>'Aggregation across vaccines'!AM159</f>
        <v>0.0700966847</v>
      </c>
      <c r="AN80" s="149">
        <f>'Aggregation across vaccines'!AN159</f>
        <v>0.08086630503</v>
      </c>
      <c r="AO80" s="149">
        <f>'Aggregation across vaccines'!AO159</f>
        <v>0.06658386161</v>
      </c>
      <c r="AP80" s="149">
        <f>'Aggregation across vaccines'!AP159</f>
        <v>0.07041951371</v>
      </c>
      <c r="AQ80" s="149">
        <f>'Aggregation across vaccines'!AQ159</f>
        <v>0.07946170364</v>
      </c>
      <c r="AR80" s="149">
        <f>'Aggregation across vaccines'!AR159</f>
        <v>0.0462837205</v>
      </c>
      <c r="AS80" s="149">
        <f>'Aggregation across vaccines'!AS159</f>
        <v>0.04002598841</v>
      </c>
      <c r="AT80" s="163"/>
    </row>
    <row r="81">
      <c r="A81" s="80"/>
      <c r="B81" s="81"/>
      <c r="C81" s="90"/>
      <c r="D81" s="90"/>
      <c r="E81" s="140" t="s">
        <v>346</v>
      </c>
      <c r="F81" s="215" t="str">
        <f>'Aggregation across vaccines'!F147</f>
        <v>%</v>
      </c>
      <c r="G81" s="277" t="s">
        <v>131</v>
      </c>
      <c r="H81" s="217" t="str">
        <f>'Aggregation across vaccines'!H147</f>
        <v>-</v>
      </c>
      <c r="I81" s="149">
        <f>'Aggregation across vaccines'!I147</f>
        <v>0.1864386124</v>
      </c>
      <c r="J81" s="149">
        <f>'Aggregation across vaccines'!J147</f>
        <v>0.1812769231</v>
      </c>
      <c r="K81" s="149">
        <f>'Aggregation across vaccines'!K147</f>
        <v>0.1914083337</v>
      </c>
      <c r="L81" s="149">
        <f>'Aggregation across vaccines'!L147</f>
        <v>0.1841534233</v>
      </c>
      <c r="M81" s="149">
        <f>'Aggregation across vaccines'!M147</f>
        <v>0.1852700575</v>
      </c>
      <c r="N81" s="149">
        <f>'Aggregation across vaccines'!N147</f>
        <v>0.1882716976</v>
      </c>
      <c r="O81" s="149">
        <f>'Aggregation across vaccines'!O147</f>
        <v>0.187703504</v>
      </c>
      <c r="P81" s="149">
        <f>'Aggregation across vaccines'!P147</f>
        <v>0.1894543332</v>
      </c>
      <c r="Q81" s="149">
        <f>'Aggregation across vaccines'!Q147</f>
        <v>0.1889176151</v>
      </c>
      <c r="R81" s="149">
        <f>'Aggregation across vaccines'!R147</f>
        <v>0.1827750836</v>
      </c>
      <c r="S81" s="149">
        <f>'Aggregation across vaccines'!S147</f>
        <v>0.1802360383</v>
      </c>
      <c r="T81" s="149">
        <f>'Aggregation across vaccines'!T147</f>
        <v>0.1809159787</v>
      </c>
      <c r="U81" s="149">
        <f>'Aggregation across vaccines'!U147</f>
        <v>0.1829034845</v>
      </c>
      <c r="V81" s="149">
        <f>'Aggregation across vaccines'!V147</f>
        <v>0.1761814422</v>
      </c>
      <c r="W81" s="149">
        <f>'Aggregation across vaccines'!W147</f>
        <v>0.1790479795</v>
      </c>
      <c r="X81" s="149">
        <f>'Aggregation across vaccines'!X147</f>
        <v>0.1803320397</v>
      </c>
      <c r="Y81" s="149">
        <f>'Aggregation across vaccines'!Y147</f>
        <v>0.1727998978</v>
      </c>
      <c r="Z81" s="149">
        <f>'Aggregation across vaccines'!Z147</f>
        <v>0.1817736425</v>
      </c>
      <c r="AA81" s="149">
        <f>'Aggregation across vaccines'!AA147</f>
        <v>0.1809093615</v>
      </c>
      <c r="AB81" s="149">
        <f>'Aggregation across vaccines'!AB147</f>
        <v>0.1822678234</v>
      </c>
      <c r="AC81" s="149">
        <f>'Aggregation across vaccines'!AC147</f>
        <v>0.1815006822</v>
      </c>
      <c r="AD81" s="149">
        <f>'Aggregation across vaccines'!AD147</f>
        <v>0.1814680484</v>
      </c>
      <c r="AE81" s="149">
        <f>'Aggregation across vaccines'!AE147</f>
        <v>0.1847197816</v>
      </c>
      <c r="AF81" s="149">
        <f>'Aggregation across vaccines'!AF147</f>
        <v>0.1837097818</v>
      </c>
      <c r="AG81" s="149">
        <f>'Aggregation across vaccines'!AG147</f>
        <v>0.1799803257</v>
      </c>
      <c r="AH81" s="149">
        <f>'Aggregation across vaccines'!AH147</f>
        <v>0.1812610964</v>
      </c>
      <c r="AI81" s="149">
        <f>'Aggregation across vaccines'!AI147</f>
        <v>0.1815566569</v>
      </c>
      <c r="AJ81" s="149">
        <f>'Aggregation across vaccines'!AJ147</f>
        <v>0.1821791468</v>
      </c>
      <c r="AK81" s="149">
        <f>'Aggregation across vaccines'!AK147</f>
        <v>0.1821869804</v>
      </c>
      <c r="AL81" s="149">
        <f>'Aggregation across vaccines'!AL147</f>
        <v>0.1836884147</v>
      </c>
      <c r="AM81" s="149">
        <f>'Aggregation across vaccines'!AM147</f>
        <v>0.1805407529</v>
      </c>
      <c r="AN81" s="149">
        <f>'Aggregation across vaccines'!AN147</f>
        <v>0.1826627634</v>
      </c>
      <c r="AO81" s="149">
        <f>'Aggregation across vaccines'!AO147</f>
        <v>0.1752476207</v>
      </c>
      <c r="AP81" s="149">
        <f>'Aggregation across vaccines'!AP147</f>
        <v>0.18042628</v>
      </c>
      <c r="AQ81" s="149">
        <f>'Aggregation across vaccines'!AQ147</f>
        <v>0.1823096736</v>
      </c>
      <c r="AR81" s="149">
        <f>'Aggregation across vaccines'!AR147</f>
        <v>0.180455327</v>
      </c>
      <c r="AS81" s="149">
        <f>'Aggregation across vaccines'!AS147</f>
        <v>0.1868157788</v>
      </c>
      <c r="AT81" s="163"/>
    </row>
    <row r="82">
      <c r="A82" s="80"/>
      <c r="B82" s="81"/>
      <c r="C82" s="90"/>
      <c r="D82" s="90"/>
      <c r="E82" s="113" t="s">
        <v>351</v>
      </c>
      <c r="F82" s="189" t="str">
        <f>'Disease burden'!F343</f>
        <v>%</v>
      </c>
      <c r="G82" s="263" t="s">
        <v>149</v>
      </c>
      <c r="H82" s="156" t="str">
        <f>'Disease burden'!H343</f>
        <v>-</v>
      </c>
      <c r="I82" s="284">
        <f t="shared" ref="I82:AS82" si="21">I79/((1-I80)+(I80*(1-I81)))</f>
        <v>0.03171867854</v>
      </c>
      <c r="J82" s="284">
        <f t="shared" si="21"/>
        <v>0.02228461171</v>
      </c>
      <c r="K82" s="284">
        <f t="shared" si="21"/>
        <v>0.03127644937</v>
      </c>
      <c r="L82" s="284">
        <f t="shared" si="21"/>
        <v>0.01272368133</v>
      </c>
      <c r="M82" s="284">
        <f t="shared" si="21"/>
        <v>0.01686175228</v>
      </c>
      <c r="N82" s="284">
        <f t="shared" si="21"/>
        <v>0.02699526037</v>
      </c>
      <c r="O82" s="284">
        <f t="shared" si="21"/>
        <v>0.03341480008</v>
      </c>
      <c r="P82" s="284">
        <f t="shared" si="21"/>
        <v>0.0341485339</v>
      </c>
      <c r="Q82" s="284">
        <f t="shared" si="21"/>
        <v>0.04032924959</v>
      </c>
      <c r="R82" s="284">
        <f t="shared" si="21"/>
        <v>0.009787244562</v>
      </c>
      <c r="S82" s="284">
        <f t="shared" si="21"/>
        <v>0.01788223653</v>
      </c>
      <c r="T82" s="284">
        <f t="shared" si="21"/>
        <v>0.01054892573</v>
      </c>
      <c r="U82" s="284">
        <f t="shared" si="21"/>
        <v>0.009650286593</v>
      </c>
      <c r="V82" s="284">
        <f t="shared" si="21"/>
        <v>0.01279352109</v>
      </c>
      <c r="W82" s="284">
        <f t="shared" si="21"/>
        <v>0.0166471142</v>
      </c>
      <c r="X82" s="284">
        <f t="shared" si="21"/>
        <v>0.01680669943</v>
      </c>
      <c r="Y82" s="284">
        <f t="shared" si="21"/>
        <v>0.01519262976</v>
      </c>
      <c r="Z82" s="284">
        <f t="shared" si="21"/>
        <v>0.009511028856</v>
      </c>
      <c r="AA82" s="284">
        <f t="shared" si="21"/>
        <v>0.01398991607</v>
      </c>
      <c r="AB82" s="284">
        <f t="shared" si="21"/>
        <v>0.008636242474</v>
      </c>
      <c r="AC82" s="284">
        <f t="shared" si="21"/>
        <v>0.009650388439</v>
      </c>
      <c r="AD82" s="284">
        <f t="shared" si="21"/>
        <v>0.01085474761</v>
      </c>
      <c r="AE82" s="284">
        <f t="shared" si="21"/>
        <v>0.00728959697</v>
      </c>
      <c r="AF82" s="284">
        <f t="shared" si="21"/>
        <v>0.008906360382</v>
      </c>
      <c r="AG82" s="284">
        <f t="shared" si="21"/>
        <v>0.01230161344</v>
      </c>
      <c r="AH82" s="284">
        <f t="shared" si="21"/>
        <v>0.01102016294</v>
      </c>
      <c r="AI82" s="284">
        <f t="shared" si="21"/>
        <v>0.00613435627</v>
      </c>
      <c r="AJ82" s="284">
        <f t="shared" si="21"/>
        <v>0.01161253318</v>
      </c>
      <c r="AK82" s="284">
        <f t="shared" si="21"/>
        <v>0.01810040652</v>
      </c>
      <c r="AL82" s="284">
        <f t="shared" si="21"/>
        <v>0.01194056877</v>
      </c>
      <c r="AM82" s="284">
        <f t="shared" si="21"/>
        <v>0.01140358528</v>
      </c>
      <c r="AN82" s="284">
        <f t="shared" si="21"/>
        <v>0.009029462225</v>
      </c>
      <c r="AO82" s="284">
        <f t="shared" si="21"/>
        <v>0.008005516243</v>
      </c>
      <c r="AP82" s="284">
        <f t="shared" si="21"/>
        <v>0.01186724041</v>
      </c>
      <c r="AQ82" s="284">
        <f t="shared" si="21"/>
        <v>0.009387136553</v>
      </c>
      <c r="AR82" s="284">
        <f t="shared" si="21"/>
        <v>0.01565236314</v>
      </c>
      <c r="AS82" s="284">
        <f t="shared" si="21"/>
        <v>0.02813217821</v>
      </c>
      <c r="AT82" s="136"/>
    </row>
    <row r="83">
      <c r="A83" s="80"/>
      <c r="B83" s="81"/>
      <c r="C83" s="90"/>
      <c r="D83" s="90"/>
      <c r="E83" s="140" t="s">
        <v>234</v>
      </c>
      <c r="F83" s="215" t="str">
        <f>Inputs!F228</f>
        <v>%</v>
      </c>
      <c r="G83" s="277" t="str">
        <f>Inputs!G228</f>
        <v>input</v>
      </c>
      <c r="H83" s="309">
        <f>Inputs!H228</f>
        <v>0.75</v>
      </c>
      <c r="I83" s="310" t="str">
        <f>Inputs!I228</f>
        <v>-</v>
      </c>
      <c r="J83" s="310" t="str">
        <f>Inputs!J228</f>
        <v>-</v>
      </c>
      <c r="K83" s="310" t="str">
        <f>Inputs!K228</f>
        <v>-</v>
      </c>
      <c r="L83" s="310" t="str">
        <f>Inputs!L228</f>
        <v>-</v>
      </c>
      <c r="M83" s="310" t="str">
        <f>Inputs!M228</f>
        <v>-</v>
      </c>
      <c r="N83" s="310" t="str">
        <f>Inputs!N228</f>
        <v>-</v>
      </c>
      <c r="O83" s="310" t="str">
        <f>Inputs!O228</f>
        <v>-</v>
      </c>
      <c r="P83" s="310" t="str">
        <f>Inputs!P228</f>
        <v>-</v>
      </c>
      <c r="Q83" s="310" t="str">
        <f>Inputs!Q228</f>
        <v>-</v>
      </c>
      <c r="R83" s="310" t="str">
        <f>Inputs!R228</f>
        <v>-</v>
      </c>
      <c r="S83" s="310" t="str">
        <f>Inputs!S228</f>
        <v>-</v>
      </c>
      <c r="T83" s="310" t="str">
        <f>Inputs!T228</f>
        <v>-</v>
      </c>
      <c r="U83" s="310" t="str">
        <f>Inputs!U228</f>
        <v>-</v>
      </c>
      <c r="V83" s="310" t="str">
        <f>Inputs!V228</f>
        <v>-</v>
      </c>
      <c r="W83" s="310" t="str">
        <f>Inputs!W228</f>
        <v>-</v>
      </c>
      <c r="X83" s="310" t="str">
        <f>Inputs!X228</f>
        <v>-</v>
      </c>
      <c r="Y83" s="310" t="str">
        <f>Inputs!Y228</f>
        <v>-</v>
      </c>
      <c r="Z83" s="310" t="str">
        <f>Inputs!Z228</f>
        <v>-</v>
      </c>
      <c r="AA83" s="310" t="str">
        <f>Inputs!AA228</f>
        <v>-</v>
      </c>
      <c r="AB83" s="310" t="str">
        <f>Inputs!AB228</f>
        <v>-</v>
      </c>
      <c r="AC83" s="310" t="str">
        <f>Inputs!AC228</f>
        <v>-</v>
      </c>
      <c r="AD83" s="310" t="str">
        <f>Inputs!AD228</f>
        <v>-</v>
      </c>
      <c r="AE83" s="310" t="str">
        <f>Inputs!AE228</f>
        <v>-</v>
      </c>
      <c r="AF83" s="310" t="str">
        <f>Inputs!AF228</f>
        <v>-</v>
      </c>
      <c r="AG83" s="310" t="str">
        <f>Inputs!AG228</f>
        <v>-</v>
      </c>
      <c r="AH83" s="310" t="str">
        <f>Inputs!AH228</f>
        <v>-</v>
      </c>
      <c r="AI83" s="310" t="str">
        <f>Inputs!AI228</f>
        <v>-</v>
      </c>
      <c r="AJ83" s="310" t="str">
        <f>Inputs!AJ228</f>
        <v>-</v>
      </c>
      <c r="AK83" s="310" t="str">
        <f>Inputs!AK228</f>
        <v>-</v>
      </c>
      <c r="AL83" s="310" t="str">
        <f>Inputs!AL228</f>
        <v>-</v>
      </c>
      <c r="AM83" s="310" t="str">
        <f>Inputs!AM228</f>
        <v>-</v>
      </c>
      <c r="AN83" s="310" t="str">
        <f>Inputs!AN228</f>
        <v>-</v>
      </c>
      <c r="AO83" s="310" t="str">
        <f>Inputs!AO228</f>
        <v>-</v>
      </c>
      <c r="AP83" s="310" t="str">
        <f>Inputs!AP228</f>
        <v>-</v>
      </c>
      <c r="AQ83" s="310" t="str">
        <f>Inputs!AQ228</f>
        <v>-</v>
      </c>
      <c r="AR83" s="310" t="str">
        <f>Inputs!AR228</f>
        <v>-</v>
      </c>
      <c r="AS83" s="310" t="str">
        <f>Inputs!AS228</f>
        <v>-</v>
      </c>
      <c r="AT83" s="163"/>
    </row>
    <row r="84">
      <c r="A84" s="80"/>
      <c r="B84" s="81"/>
      <c r="C84" s="90"/>
      <c r="D84" s="90"/>
      <c r="E84" s="140" t="s">
        <v>360</v>
      </c>
      <c r="F84" s="215" t="s">
        <v>122</v>
      </c>
      <c r="G84" s="277" t="s">
        <v>149</v>
      </c>
      <c r="H84" s="187" t="s">
        <v>150</v>
      </c>
      <c r="I84" s="311">
        <f t="shared" ref="I84:AS84" si="22">I82*(1+$H83)</f>
        <v>0.05550768745</v>
      </c>
      <c r="J84" s="311">
        <f t="shared" si="22"/>
        <v>0.03899807049</v>
      </c>
      <c r="K84" s="311">
        <f t="shared" si="22"/>
        <v>0.05473378639</v>
      </c>
      <c r="L84" s="311">
        <f t="shared" si="22"/>
        <v>0.02226644233</v>
      </c>
      <c r="M84" s="311">
        <f t="shared" si="22"/>
        <v>0.02950806649</v>
      </c>
      <c r="N84" s="311">
        <f t="shared" si="22"/>
        <v>0.04724170564</v>
      </c>
      <c r="O84" s="311">
        <f t="shared" si="22"/>
        <v>0.05847590014</v>
      </c>
      <c r="P84" s="311">
        <f t="shared" si="22"/>
        <v>0.05975993433</v>
      </c>
      <c r="Q84" s="311">
        <f t="shared" si="22"/>
        <v>0.07057618678</v>
      </c>
      <c r="R84" s="311">
        <f t="shared" si="22"/>
        <v>0.01712767798</v>
      </c>
      <c r="S84" s="311">
        <f t="shared" si="22"/>
        <v>0.03129391393</v>
      </c>
      <c r="T84" s="311">
        <f t="shared" si="22"/>
        <v>0.01846062002</v>
      </c>
      <c r="U84" s="311">
        <f t="shared" si="22"/>
        <v>0.01688800154</v>
      </c>
      <c r="V84" s="311">
        <f t="shared" si="22"/>
        <v>0.02238866191</v>
      </c>
      <c r="W84" s="311">
        <f t="shared" si="22"/>
        <v>0.02913244985</v>
      </c>
      <c r="X84" s="311">
        <f t="shared" si="22"/>
        <v>0.029411724</v>
      </c>
      <c r="Y84" s="311">
        <f t="shared" si="22"/>
        <v>0.02658710208</v>
      </c>
      <c r="Z84" s="311">
        <f t="shared" si="22"/>
        <v>0.0166443005</v>
      </c>
      <c r="AA84" s="311">
        <f t="shared" si="22"/>
        <v>0.02448235313</v>
      </c>
      <c r="AB84" s="311">
        <f t="shared" si="22"/>
        <v>0.01511342433</v>
      </c>
      <c r="AC84" s="311">
        <f t="shared" si="22"/>
        <v>0.01688817977</v>
      </c>
      <c r="AD84" s="311">
        <f t="shared" si="22"/>
        <v>0.01899580832</v>
      </c>
      <c r="AE84" s="311">
        <f t="shared" si="22"/>
        <v>0.0127567947</v>
      </c>
      <c r="AF84" s="311">
        <f t="shared" si="22"/>
        <v>0.01558613067</v>
      </c>
      <c r="AG84" s="311">
        <f t="shared" si="22"/>
        <v>0.02152782352</v>
      </c>
      <c r="AH84" s="311">
        <f t="shared" si="22"/>
        <v>0.01928528515</v>
      </c>
      <c r="AI84" s="311">
        <f t="shared" si="22"/>
        <v>0.01073512347</v>
      </c>
      <c r="AJ84" s="311">
        <f t="shared" si="22"/>
        <v>0.02032193306</v>
      </c>
      <c r="AK84" s="311">
        <f t="shared" si="22"/>
        <v>0.03167571142</v>
      </c>
      <c r="AL84" s="311">
        <f t="shared" si="22"/>
        <v>0.02089599535</v>
      </c>
      <c r="AM84" s="311">
        <f t="shared" si="22"/>
        <v>0.01995627425</v>
      </c>
      <c r="AN84" s="311">
        <f t="shared" si="22"/>
        <v>0.01580155889</v>
      </c>
      <c r="AO84" s="311">
        <f t="shared" si="22"/>
        <v>0.01400965343</v>
      </c>
      <c r="AP84" s="311">
        <f t="shared" si="22"/>
        <v>0.02076767071</v>
      </c>
      <c r="AQ84" s="311">
        <f t="shared" si="22"/>
        <v>0.01642748897</v>
      </c>
      <c r="AR84" s="311">
        <f t="shared" si="22"/>
        <v>0.0273916355</v>
      </c>
      <c r="AS84" s="311">
        <f t="shared" si="22"/>
        <v>0.04923131187</v>
      </c>
      <c r="AT84" s="163"/>
    </row>
    <row r="85">
      <c r="A85" s="80"/>
      <c r="B85" s="81"/>
      <c r="C85" s="90"/>
      <c r="D85" s="90"/>
      <c r="E85" s="140" t="s">
        <v>242</v>
      </c>
      <c r="F85" s="215" t="str">
        <f>Inputs!F229</f>
        <v>%</v>
      </c>
      <c r="G85" s="277" t="str">
        <f>Inputs!G229</f>
        <v>input</v>
      </c>
      <c r="H85" s="217">
        <f>Inputs!H229</f>
        <v>1</v>
      </c>
      <c r="I85" s="232" t="str">
        <f>Inputs!I229</f>
        <v>-</v>
      </c>
      <c r="J85" s="232" t="str">
        <f>Inputs!J229</f>
        <v>-</v>
      </c>
      <c r="K85" s="232" t="str">
        <f>Inputs!K229</f>
        <v>-</v>
      </c>
      <c r="L85" s="232" t="str">
        <f>Inputs!L229</f>
        <v>-</v>
      </c>
      <c r="M85" s="232" t="str">
        <f>Inputs!M229</f>
        <v>-</v>
      </c>
      <c r="N85" s="232" t="str">
        <f>Inputs!N229</f>
        <v>-</v>
      </c>
      <c r="O85" s="232" t="str">
        <f>Inputs!O229</f>
        <v>-</v>
      </c>
      <c r="P85" s="232" t="str">
        <f>Inputs!P229</f>
        <v>-</v>
      </c>
      <c r="Q85" s="232" t="str">
        <f>Inputs!Q229</f>
        <v>-</v>
      </c>
      <c r="R85" s="232" t="str">
        <f>Inputs!R229</f>
        <v>-</v>
      </c>
      <c r="S85" s="232" t="str">
        <f>Inputs!S229</f>
        <v>-</v>
      </c>
      <c r="T85" s="232" t="str">
        <f>Inputs!T229</f>
        <v>-</v>
      </c>
      <c r="U85" s="232" t="str">
        <f>Inputs!U229</f>
        <v>-</v>
      </c>
      <c r="V85" s="232" t="str">
        <f>Inputs!V229</f>
        <v>-</v>
      </c>
      <c r="W85" s="232" t="str">
        <f>Inputs!W229</f>
        <v>-</v>
      </c>
      <c r="X85" s="232" t="str">
        <f>Inputs!X229</f>
        <v>-</v>
      </c>
      <c r="Y85" s="232" t="str">
        <f>Inputs!Y229</f>
        <v>-</v>
      </c>
      <c r="Z85" s="232" t="str">
        <f>Inputs!Z229</f>
        <v>-</v>
      </c>
      <c r="AA85" s="232" t="str">
        <f>Inputs!AA229</f>
        <v>-</v>
      </c>
      <c r="AB85" s="232" t="str">
        <f>Inputs!AB229</f>
        <v>-</v>
      </c>
      <c r="AC85" s="232" t="str">
        <f>Inputs!AC229</f>
        <v>-</v>
      </c>
      <c r="AD85" s="232" t="str">
        <f>Inputs!AD229</f>
        <v>-</v>
      </c>
      <c r="AE85" s="232" t="str">
        <f>Inputs!AE229</f>
        <v>-</v>
      </c>
      <c r="AF85" s="232" t="str">
        <f>Inputs!AF229</f>
        <v>-</v>
      </c>
      <c r="AG85" s="232" t="str">
        <f>Inputs!AG229</f>
        <v>-</v>
      </c>
      <c r="AH85" s="232" t="str">
        <f>Inputs!AH229</f>
        <v>-</v>
      </c>
      <c r="AI85" s="232" t="str">
        <f>Inputs!AI229</f>
        <v>-</v>
      </c>
      <c r="AJ85" s="232" t="str">
        <f>Inputs!AJ229</f>
        <v>-</v>
      </c>
      <c r="AK85" s="232" t="str">
        <f>Inputs!AK229</f>
        <v>-</v>
      </c>
      <c r="AL85" s="232" t="str">
        <f>Inputs!AL229</f>
        <v>-</v>
      </c>
      <c r="AM85" s="232" t="str">
        <f>Inputs!AM229</f>
        <v>-</v>
      </c>
      <c r="AN85" s="232" t="str">
        <f>Inputs!AN229</f>
        <v>-</v>
      </c>
      <c r="AO85" s="232" t="str">
        <f>Inputs!AO229</f>
        <v>-</v>
      </c>
      <c r="AP85" s="232" t="str">
        <f>Inputs!AP229</f>
        <v>-</v>
      </c>
      <c r="AQ85" s="232" t="str">
        <f>Inputs!AQ229</f>
        <v>-</v>
      </c>
      <c r="AR85" s="232" t="str">
        <f>Inputs!AR229</f>
        <v>-</v>
      </c>
      <c r="AS85" s="232" t="str">
        <f>Inputs!AS229</f>
        <v>-</v>
      </c>
      <c r="AT85" s="163"/>
    </row>
    <row r="86">
      <c r="A86" s="80"/>
      <c r="B86" s="81"/>
      <c r="C86" s="90"/>
      <c r="D86" s="90"/>
      <c r="E86" s="140" t="s">
        <v>365</v>
      </c>
      <c r="F86" s="215" t="s">
        <v>111</v>
      </c>
      <c r="G86" s="277" t="s">
        <v>149</v>
      </c>
      <c r="H86" s="187" t="s">
        <v>150</v>
      </c>
      <c r="I86" s="312">
        <f t="shared" ref="I86:AS86" si="23">I$38*I81*I84*$H85</f>
        <v>125.0929821</v>
      </c>
      <c r="J86" s="312">
        <f t="shared" si="23"/>
        <v>52.38768816</v>
      </c>
      <c r="K86" s="312">
        <f t="shared" si="23"/>
        <v>99.54441586</v>
      </c>
      <c r="L86" s="312">
        <f t="shared" si="23"/>
        <v>23.33447354</v>
      </c>
      <c r="M86" s="312">
        <f t="shared" si="23"/>
        <v>55.15169204</v>
      </c>
      <c r="N86" s="312">
        <f t="shared" si="23"/>
        <v>119.9376902</v>
      </c>
      <c r="O86" s="312">
        <f t="shared" si="23"/>
        <v>207.5351906</v>
      </c>
      <c r="P86" s="312">
        <f t="shared" si="23"/>
        <v>264.7971478</v>
      </c>
      <c r="Q86" s="312">
        <f t="shared" si="23"/>
        <v>199.3084483</v>
      </c>
      <c r="R86" s="312">
        <f t="shared" si="23"/>
        <v>7.021966461</v>
      </c>
      <c r="S86" s="312">
        <f t="shared" si="23"/>
        <v>16.05058678</v>
      </c>
      <c r="T86" s="312">
        <f t="shared" si="23"/>
        <v>9.80169391</v>
      </c>
      <c r="U86" s="312">
        <f t="shared" si="23"/>
        <v>11.31679639</v>
      </c>
      <c r="V86" s="312">
        <f t="shared" si="23"/>
        <v>16.87188374</v>
      </c>
      <c r="W86" s="312">
        <f t="shared" si="23"/>
        <v>22.25841222</v>
      </c>
      <c r="X86" s="312">
        <f t="shared" si="23"/>
        <v>60.13557628</v>
      </c>
      <c r="Y86" s="312">
        <f t="shared" si="23"/>
        <v>6.645183877</v>
      </c>
      <c r="Z86" s="312">
        <f t="shared" si="23"/>
        <v>11.95644936</v>
      </c>
      <c r="AA86" s="312">
        <f t="shared" si="23"/>
        <v>0.67396859</v>
      </c>
      <c r="AB86" s="312">
        <f t="shared" si="23"/>
        <v>5.178390158</v>
      </c>
      <c r="AC86" s="312">
        <f t="shared" si="23"/>
        <v>3.05032145</v>
      </c>
      <c r="AD86" s="312">
        <f t="shared" si="23"/>
        <v>1.868455342</v>
      </c>
      <c r="AE86" s="312">
        <f t="shared" si="23"/>
        <v>3.920089941</v>
      </c>
      <c r="AF86" s="312">
        <f t="shared" si="23"/>
        <v>3.522804447</v>
      </c>
      <c r="AG86" s="312">
        <f t="shared" si="23"/>
        <v>14.17830723</v>
      </c>
      <c r="AH86" s="312">
        <f t="shared" si="23"/>
        <v>24.67390045</v>
      </c>
      <c r="AI86" s="312">
        <f t="shared" si="23"/>
        <v>2.919690028</v>
      </c>
      <c r="AJ86" s="312">
        <f t="shared" si="23"/>
        <v>22.48161609</v>
      </c>
      <c r="AK86" s="312">
        <f t="shared" si="23"/>
        <v>54.20769342</v>
      </c>
      <c r="AL86" s="312">
        <f t="shared" si="23"/>
        <v>30.06927528</v>
      </c>
      <c r="AM86" s="312">
        <f t="shared" si="23"/>
        <v>20.42715856</v>
      </c>
      <c r="AN86" s="312">
        <f t="shared" si="23"/>
        <v>5.910840081</v>
      </c>
      <c r="AO86" s="312">
        <f t="shared" si="23"/>
        <v>14.16938042</v>
      </c>
      <c r="AP86" s="312">
        <f t="shared" si="23"/>
        <v>15.40425203</v>
      </c>
      <c r="AQ86" s="312">
        <f t="shared" si="23"/>
        <v>6.054721562</v>
      </c>
      <c r="AR86" s="312">
        <f t="shared" si="23"/>
        <v>28.24317234</v>
      </c>
      <c r="AS86" s="312">
        <f t="shared" si="23"/>
        <v>47.34746885</v>
      </c>
      <c r="AT86" s="163"/>
    </row>
    <row r="87">
      <c r="A87" s="80"/>
      <c r="B87" s="81"/>
      <c r="C87" s="90"/>
      <c r="D87" s="90"/>
      <c r="E87" s="188" t="s">
        <v>272</v>
      </c>
      <c r="F87" s="189" t="str">
        <f>Inputs!F$232</f>
        <v>%</v>
      </c>
      <c r="G87" s="263" t="str">
        <f>Inputs!G$232</f>
        <v>input</v>
      </c>
      <c r="H87" s="313">
        <f>Inputs!H$232</f>
        <v>0.005</v>
      </c>
      <c r="I87" s="213" t="str">
        <f>Inputs!I$232</f>
        <v>-</v>
      </c>
      <c r="J87" s="213" t="str">
        <f>Inputs!J$232</f>
        <v>-</v>
      </c>
      <c r="K87" s="213" t="str">
        <f>Inputs!K$232</f>
        <v>-</v>
      </c>
      <c r="L87" s="213" t="str">
        <f>Inputs!L$232</f>
        <v>-</v>
      </c>
      <c r="M87" s="213" t="str">
        <f>Inputs!M$232</f>
        <v>-</v>
      </c>
      <c r="N87" s="213" t="str">
        <f>Inputs!N$232</f>
        <v>-</v>
      </c>
      <c r="O87" s="213" t="str">
        <f>Inputs!O$232</f>
        <v>-</v>
      </c>
      <c r="P87" s="213" t="str">
        <f>Inputs!P$232</f>
        <v>-</v>
      </c>
      <c r="Q87" s="213" t="str">
        <f>Inputs!Q$232</f>
        <v>-</v>
      </c>
      <c r="R87" s="213" t="str">
        <f>Inputs!R$232</f>
        <v>-</v>
      </c>
      <c r="S87" s="213" t="str">
        <f>Inputs!S$232</f>
        <v>-</v>
      </c>
      <c r="T87" s="213" t="str">
        <f>Inputs!T$232</f>
        <v>-</v>
      </c>
      <c r="U87" s="213" t="str">
        <f>Inputs!U$232</f>
        <v>-</v>
      </c>
      <c r="V87" s="213" t="str">
        <f>Inputs!V$232</f>
        <v>-</v>
      </c>
      <c r="W87" s="213" t="str">
        <f>Inputs!W$232</f>
        <v>-</v>
      </c>
      <c r="X87" s="213" t="str">
        <f>Inputs!X$232</f>
        <v>-</v>
      </c>
      <c r="Y87" s="213" t="str">
        <f>Inputs!Y$232</f>
        <v>-</v>
      </c>
      <c r="Z87" s="213" t="str">
        <f>Inputs!Z$232</f>
        <v>-</v>
      </c>
      <c r="AA87" s="213" t="str">
        <f>Inputs!AA$232</f>
        <v>-</v>
      </c>
      <c r="AB87" s="213" t="str">
        <f>Inputs!AB$232</f>
        <v>-</v>
      </c>
      <c r="AC87" s="213" t="str">
        <f>Inputs!AC$232</f>
        <v>-</v>
      </c>
      <c r="AD87" s="213" t="str">
        <f>Inputs!AD$232</f>
        <v>-</v>
      </c>
      <c r="AE87" s="213" t="str">
        <f>Inputs!AE$232</f>
        <v>-</v>
      </c>
      <c r="AF87" s="213" t="str">
        <f>Inputs!AF$232</f>
        <v>-</v>
      </c>
      <c r="AG87" s="213" t="str">
        <f>Inputs!AG$232</f>
        <v>-</v>
      </c>
      <c r="AH87" s="213" t="str">
        <f>Inputs!AH$232</f>
        <v>-</v>
      </c>
      <c r="AI87" s="213" t="str">
        <f>Inputs!AI$232</f>
        <v>-</v>
      </c>
      <c r="AJ87" s="213" t="str">
        <f>Inputs!AJ$232</f>
        <v>-</v>
      </c>
      <c r="AK87" s="213" t="str">
        <f>Inputs!AK$232</f>
        <v>-</v>
      </c>
      <c r="AL87" s="213" t="str">
        <f>Inputs!AL$232</f>
        <v>-</v>
      </c>
      <c r="AM87" s="213" t="str">
        <f>Inputs!AM$232</f>
        <v>-</v>
      </c>
      <c r="AN87" s="213" t="str">
        <f>Inputs!AN$232</f>
        <v>-</v>
      </c>
      <c r="AO87" s="213" t="str">
        <f>Inputs!AO$232</f>
        <v>-</v>
      </c>
      <c r="AP87" s="213" t="str">
        <f>Inputs!AP$232</f>
        <v>-</v>
      </c>
      <c r="AQ87" s="213" t="str">
        <f>Inputs!AQ$232</f>
        <v>-</v>
      </c>
      <c r="AR87" s="213" t="str">
        <f>Inputs!AR$232</f>
        <v>-</v>
      </c>
      <c r="AS87" s="213" t="str">
        <f>Inputs!AS$232</f>
        <v>-</v>
      </c>
      <c r="AT87" s="163"/>
    </row>
    <row r="88">
      <c r="A88" s="80"/>
      <c r="B88" s="81"/>
      <c r="C88" s="90"/>
      <c r="D88" s="90"/>
      <c r="E88" s="347" t="s">
        <v>372</v>
      </c>
      <c r="F88" s="318" t="str">
        <f>Inputs!F235</f>
        <v>#</v>
      </c>
      <c r="G88" s="319" t="str">
        <f>Inputs!G235</f>
        <v>input</v>
      </c>
      <c r="H88" s="348">
        <f>Inputs!H235</f>
        <v>62.5</v>
      </c>
      <c r="I88" s="349" t="str">
        <f>Inputs!I235</f>
        <v>-</v>
      </c>
      <c r="J88" s="349" t="str">
        <f>Inputs!J235</f>
        <v>-</v>
      </c>
      <c r="K88" s="349" t="str">
        <f>Inputs!K235</f>
        <v>-</v>
      </c>
      <c r="L88" s="349" t="str">
        <f>Inputs!L235</f>
        <v>-</v>
      </c>
      <c r="M88" s="349" t="str">
        <f>Inputs!M235</f>
        <v>-</v>
      </c>
      <c r="N88" s="349" t="str">
        <f>Inputs!N235</f>
        <v>-</v>
      </c>
      <c r="O88" s="349" t="str">
        <f>Inputs!O235</f>
        <v>-</v>
      </c>
      <c r="P88" s="349" t="str">
        <f>Inputs!P235</f>
        <v>-</v>
      </c>
      <c r="Q88" s="349" t="str">
        <f>Inputs!Q235</f>
        <v>-</v>
      </c>
      <c r="R88" s="349" t="str">
        <f>Inputs!R235</f>
        <v>-</v>
      </c>
      <c r="S88" s="349" t="str">
        <f>Inputs!S235</f>
        <v>-</v>
      </c>
      <c r="T88" s="349" t="str">
        <f>Inputs!T235</f>
        <v>-</v>
      </c>
      <c r="U88" s="349" t="str">
        <f>Inputs!U235</f>
        <v>-</v>
      </c>
      <c r="V88" s="349" t="str">
        <f>Inputs!V235</f>
        <v>-</v>
      </c>
      <c r="W88" s="349" t="str">
        <f>Inputs!W235</f>
        <v>-</v>
      </c>
      <c r="X88" s="349" t="str">
        <f>Inputs!X235</f>
        <v>-</v>
      </c>
      <c r="Y88" s="349" t="str">
        <f>Inputs!Y235</f>
        <v>-</v>
      </c>
      <c r="Z88" s="349" t="str">
        <f>Inputs!Z235</f>
        <v>-</v>
      </c>
      <c r="AA88" s="349" t="str">
        <f>Inputs!AA235</f>
        <v>-</v>
      </c>
      <c r="AB88" s="349" t="str">
        <f>Inputs!AB235</f>
        <v>-</v>
      </c>
      <c r="AC88" s="349" t="str">
        <f>Inputs!AC235</f>
        <v>-</v>
      </c>
      <c r="AD88" s="349" t="str">
        <f>Inputs!AD235</f>
        <v>-</v>
      </c>
      <c r="AE88" s="349" t="str">
        <f>Inputs!AE235</f>
        <v>-</v>
      </c>
      <c r="AF88" s="349" t="str">
        <f>Inputs!AF235</f>
        <v>-</v>
      </c>
      <c r="AG88" s="349" t="str">
        <f>Inputs!AG235</f>
        <v>-</v>
      </c>
      <c r="AH88" s="349" t="str">
        <f>Inputs!AH235</f>
        <v>-</v>
      </c>
      <c r="AI88" s="349" t="str">
        <f>Inputs!AI235</f>
        <v>-</v>
      </c>
      <c r="AJ88" s="349" t="str">
        <f>Inputs!AJ235</f>
        <v>-</v>
      </c>
      <c r="AK88" s="349" t="str">
        <f>Inputs!AK235</f>
        <v>-</v>
      </c>
      <c r="AL88" s="349" t="str">
        <f>Inputs!AL235</f>
        <v>-</v>
      </c>
      <c r="AM88" s="349" t="str">
        <f>Inputs!AM235</f>
        <v>-</v>
      </c>
      <c r="AN88" s="349" t="str">
        <f>Inputs!AN235</f>
        <v>-</v>
      </c>
      <c r="AO88" s="349" t="str">
        <f>Inputs!AO235</f>
        <v>-</v>
      </c>
      <c r="AP88" s="349" t="str">
        <f>Inputs!AP235</f>
        <v>-</v>
      </c>
      <c r="AQ88" s="349" t="str">
        <f>Inputs!AQ235</f>
        <v>-</v>
      </c>
      <c r="AR88" s="349" t="str">
        <f>Inputs!AR235</f>
        <v>-</v>
      </c>
      <c r="AS88" s="349" t="str">
        <f>Inputs!AS235</f>
        <v>-</v>
      </c>
      <c r="AT88" s="236"/>
    </row>
    <row r="89">
      <c r="A89" s="80"/>
      <c r="B89" s="81"/>
      <c r="C89" s="90"/>
      <c r="D89" s="90"/>
      <c r="E89" s="237" t="s">
        <v>379</v>
      </c>
      <c r="F89" s="195" t="s">
        <v>111</v>
      </c>
      <c r="G89" s="316" t="s">
        <v>149</v>
      </c>
      <c r="H89" s="197" t="s">
        <v>150</v>
      </c>
      <c r="I89" s="198">
        <f t="shared" ref="I89:AS89" si="24">I86*((1/(1+$H87))^$H88)</f>
        <v>91.59127109</v>
      </c>
      <c r="J89" s="198">
        <f t="shared" si="24"/>
        <v>38.35750708</v>
      </c>
      <c r="K89" s="198">
        <f t="shared" si="24"/>
        <v>72.88498062</v>
      </c>
      <c r="L89" s="198">
        <f t="shared" si="24"/>
        <v>17.08516382</v>
      </c>
      <c r="M89" s="198">
        <f t="shared" si="24"/>
        <v>40.38127072</v>
      </c>
      <c r="N89" s="198">
        <f t="shared" si="24"/>
        <v>87.81664098</v>
      </c>
      <c r="O89" s="198">
        <f t="shared" si="24"/>
        <v>151.954263</v>
      </c>
      <c r="P89" s="198">
        <f t="shared" si="24"/>
        <v>193.8806393</v>
      </c>
      <c r="Q89" s="198">
        <f t="shared" si="24"/>
        <v>145.9307613</v>
      </c>
      <c r="R89" s="198">
        <f t="shared" si="24"/>
        <v>5.141382216</v>
      </c>
      <c r="S89" s="198">
        <f t="shared" si="24"/>
        <v>11.75200735</v>
      </c>
      <c r="T89" s="198">
        <f t="shared" si="24"/>
        <v>7.176658424</v>
      </c>
      <c r="U89" s="198">
        <f t="shared" si="24"/>
        <v>8.285994535</v>
      </c>
      <c r="V89" s="198">
        <f t="shared" si="24"/>
        <v>12.3533491</v>
      </c>
      <c r="W89" s="198">
        <f t="shared" si="24"/>
        <v>16.29728729</v>
      </c>
      <c r="X89" s="198">
        <f t="shared" si="24"/>
        <v>44.03039863</v>
      </c>
      <c r="Y89" s="198">
        <f t="shared" si="24"/>
        <v>4.865507461</v>
      </c>
      <c r="Z89" s="198">
        <f t="shared" si="24"/>
        <v>8.754339178</v>
      </c>
      <c r="AA89" s="198">
        <f t="shared" si="24"/>
        <v>0.4934700475</v>
      </c>
      <c r="AB89" s="198">
        <f t="shared" si="24"/>
        <v>3.791542329</v>
      </c>
      <c r="AC89" s="198">
        <f t="shared" si="24"/>
        <v>2.233401219</v>
      </c>
      <c r="AD89" s="198">
        <f t="shared" si="24"/>
        <v>1.36805596</v>
      </c>
      <c r="AE89" s="198">
        <f t="shared" si="24"/>
        <v>2.870233121</v>
      </c>
      <c r="AF89" s="198">
        <f t="shared" si="24"/>
        <v>2.579346432</v>
      </c>
      <c r="AG89" s="198">
        <f t="shared" si="24"/>
        <v>10.38115136</v>
      </c>
      <c r="AH89" s="198">
        <f t="shared" si="24"/>
        <v>18.06587281</v>
      </c>
      <c r="AI89" s="198">
        <f t="shared" si="24"/>
        <v>2.137754783</v>
      </c>
      <c r="AJ89" s="198">
        <f t="shared" si="24"/>
        <v>16.46071393</v>
      </c>
      <c r="AK89" s="198">
        <f t="shared" si="24"/>
        <v>39.69008859</v>
      </c>
      <c r="AL89" s="198">
        <f t="shared" si="24"/>
        <v>22.01628818</v>
      </c>
      <c r="AM89" s="198">
        <f t="shared" si="24"/>
        <v>14.95646986</v>
      </c>
      <c r="AN89" s="198">
        <f t="shared" si="24"/>
        <v>4.327831562</v>
      </c>
      <c r="AO89" s="198">
        <f t="shared" si="24"/>
        <v>10.37461527</v>
      </c>
      <c r="AP89" s="198">
        <f t="shared" si="24"/>
        <v>11.27877039</v>
      </c>
      <c r="AQ89" s="198">
        <f t="shared" si="24"/>
        <v>4.4331795</v>
      </c>
      <c r="AR89" s="198">
        <f t="shared" si="24"/>
        <v>20.67924203</v>
      </c>
      <c r="AS89" s="198">
        <f t="shared" si="24"/>
        <v>34.66713145</v>
      </c>
      <c r="AT89" s="248"/>
    </row>
    <row r="90">
      <c r="A90" s="80"/>
      <c r="B90" s="81"/>
      <c r="C90" s="322"/>
      <c r="D90" s="81"/>
      <c r="E90" s="121"/>
      <c r="F90" s="108"/>
      <c r="G90" s="108"/>
      <c r="H90" s="323"/>
      <c r="I90" s="245"/>
      <c r="J90" s="245"/>
      <c r="K90" s="245"/>
      <c r="L90" s="245"/>
      <c r="M90" s="245"/>
      <c r="N90" s="245"/>
      <c r="O90" s="245"/>
      <c r="P90" s="245"/>
      <c r="Q90" s="245"/>
      <c r="R90" s="245"/>
      <c r="S90" s="245"/>
      <c r="T90" s="245"/>
      <c r="U90" s="245"/>
      <c r="V90" s="245"/>
      <c r="W90" s="245"/>
      <c r="X90" s="245"/>
      <c r="Y90" s="245"/>
      <c r="Z90" s="245"/>
      <c r="AA90" s="245"/>
      <c r="AB90" s="245"/>
      <c r="AC90" s="245"/>
      <c r="AD90" s="245"/>
      <c r="AE90" s="245"/>
      <c r="AF90" s="245"/>
      <c r="AG90" s="245"/>
      <c r="AH90" s="245"/>
      <c r="AI90" s="245"/>
      <c r="AJ90" s="245"/>
      <c r="AK90" s="245"/>
      <c r="AL90" s="245"/>
      <c r="AM90" s="245"/>
      <c r="AN90" s="245"/>
      <c r="AO90" s="245"/>
      <c r="AP90" s="245"/>
      <c r="AQ90" s="245"/>
      <c r="AR90" s="245"/>
      <c r="AS90" s="245"/>
      <c r="AT90" s="185"/>
    </row>
    <row r="91">
      <c r="A91" s="80"/>
      <c r="B91" s="81"/>
      <c r="C91" s="90" t="s">
        <v>383</v>
      </c>
      <c r="F91" s="108"/>
      <c r="G91" s="108"/>
      <c r="H91" s="323"/>
      <c r="I91" s="245"/>
      <c r="J91" s="245"/>
      <c r="K91" s="245"/>
      <c r="L91" s="245"/>
      <c r="M91" s="245"/>
      <c r="N91" s="245"/>
      <c r="O91" s="245"/>
      <c r="P91" s="245"/>
      <c r="Q91" s="245"/>
      <c r="R91" s="245"/>
      <c r="S91" s="245"/>
      <c r="T91" s="245"/>
      <c r="U91" s="245"/>
      <c r="V91" s="245"/>
      <c r="W91" s="245"/>
      <c r="X91" s="245"/>
      <c r="Y91" s="245"/>
      <c r="Z91" s="245"/>
      <c r="AA91" s="245"/>
      <c r="AB91" s="245"/>
      <c r="AC91" s="245"/>
      <c r="AD91" s="245"/>
      <c r="AE91" s="245"/>
      <c r="AF91" s="245"/>
      <c r="AG91" s="245"/>
      <c r="AH91" s="245"/>
      <c r="AI91" s="245"/>
      <c r="AJ91" s="245"/>
      <c r="AK91" s="245"/>
      <c r="AL91" s="245"/>
      <c r="AM91" s="245"/>
      <c r="AN91" s="245"/>
      <c r="AO91" s="245"/>
      <c r="AP91" s="245"/>
      <c r="AQ91" s="245"/>
      <c r="AR91" s="245"/>
      <c r="AS91" s="245"/>
      <c r="AT91" s="185"/>
    </row>
    <row r="92">
      <c r="A92" s="350"/>
      <c r="B92" s="351"/>
      <c r="C92" s="351"/>
      <c r="D92" s="351"/>
      <c r="E92" s="352" t="s">
        <v>384</v>
      </c>
      <c r="F92" s="353" t="str">
        <f>Inputs!F238</f>
        <v>#</v>
      </c>
      <c r="G92" s="354" t="str">
        <f>Inputs!G238</f>
        <v>input</v>
      </c>
      <c r="H92" s="355">
        <f>Inputs!H238</f>
        <v>0.30647</v>
      </c>
      <c r="I92" s="246" t="str">
        <f>Inputs!I238</f>
        <v>-</v>
      </c>
      <c r="J92" s="246" t="str">
        <f>Inputs!J238</f>
        <v>-</v>
      </c>
      <c r="K92" s="246" t="str">
        <f>Inputs!K238</f>
        <v>-</v>
      </c>
      <c r="L92" s="246" t="str">
        <f>Inputs!L238</f>
        <v>-</v>
      </c>
      <c r="M92" s="246" t="str">
        <f>Inputs!M238</f>
        <v>-</v>
      </c>
      <c r="N92" s="246" t="str">
        <f>Inputs!N238</f>
        <v>-</v>
      </c>
      <c r="O92" s="246" t="str">
        <f>Inputs!O238</f>
        <v>-</v>
      </c>
      <c r="P92" s="246" t="str">
        <f>Inputs!P238</f>
        <v>-</v>
      </c>
      <c r="Q92" s="246" t="str">
        <f>Inputs!Q238</f>
        <v>-</v>
      </c>
      <c r="R92" s="246" t="str">
        <f>Inputs!R238</f>
        <v>-</v>
      </c>
      <c r="S92" s="246" t="str">
        <f>Inputs!S238</f>
        <v>-</v>
      </c>
      <c r="T92" s="246" t="str">
        <f>Inputs!T238</f>
        <v>-</v>
      </c>
      <c r="U92" s="246" t="str">
        <f>Inputs!U238</f>
        <v>-</v>
      </c>
      <c r="V92" s="246" t="str">
        <f>Inputs!V238</f>
        <v>-</v>
      </c>
      <c r="W92" s="246" t="str">
        <f>Inputs!W238</f>
        <v>-</v>
      </c>
      <c r="X92" s="246" t="str">
        <f>Inputs!X238</f>
        <v>-</v>
      </c>
      <c r="Y92" s="246" t="str">
        <f>Inputs!Y238</f>
        <v>-</v>
      </c>
      <c r="Z92" s="246" t="str">
        <f>Inputs!Z238</f>
        <v>-</v>
      </c>
      <c r="AA92" s="246" t="str">
        <f>Inputs!AA238</f>
        <v>-</v>
      </c>
      <c r="AB92" s="246" t="str">
        <f>Inputs!AB238</f>
        <v>-</v>
      </c>
      <c r="AC92" s="246" t="str">
        <f>Inputs!AC238</f>
        <v>-</v>
      </c>
      <c r="AD92" s="246" t="str">
        <f>Inputs!AD238</f>
        <v>-</v>
      </c>
      <c r="AE92" s="246" t="str">
        <f>Inputs!AE238</f>
        <v>-</v>
      </c>
      <c r="AF92" s="246" t="str">
        <f>Inputs!AF238</f>
        <v>-</v>
      </c>
      <c r="AG92" s="246" t="str">
        <f>Inputs!AG238</f>
        <v>-</v>
      </c>
      <c r="AH92" s="246" t="str">
        <f>Inputs!AH238</f>
        <v>-</v>
      </c>
      <c r="AI92" s="246" t="str">
        <f>Inputs!AI238</f>
        <v>-</v>
      </c>
      <c r="AJ92" s="246" t="str">
        <f>Inputs!AJ238</f>
        <v>-</v>
      </c>
      <c r="AK92" s="246" t="str">
        <f>Inputs!AK238</f>
        <v>-</v>
      </c>
      <c r="AL92" s="246" t="str">
        <f>Inputs!AL238</f>
        <v>-</v>
      </c>
      <c r="AM92" s="246" t="str">
        <f>Inputs!AM238</f>
        <v>-</v>
      </c>
      <c r="AN92" s="246" t="str">
        <f>Inputs!AN238</f>
        <v>-</v>
      </c>
      <c r="AO92" s="246" t="str">
        <f>Inputs!AO238</f>
        <v>-</v>
      </c>
      <c r="AP92" s="246" t="str">
        <f>Inputs!AP238</f>
        <v>-</v>
      </c>
      <c r="AQ92" s="246" t="str">
        <f>Inputs!AQ238</f>
        <v>-</v>
      </c>
      <c r="AR92" s="246" t="str">
        <f>Inputs!AR238</f>
        <v>-</v>
      </c>
      <c r="AS92" s="246" t="str">
        <f>Inputs!AS238</f>
        <v>-</v>
      </c>
      <c r="AT92" s="356"/>
    </row>
    <row r="93">
      <c r="A93" s="350"/>
      <c r="B93" s="351"/>
      <c r="C93" s="351"/>
      <c r="D93" s="351"/>
      <c r="E93" s="357" t="s">
        <v>389</v>
      </c>
      <c r="F93" s="358" t="str">
        <f>Inputs!F239</f>
        <v>%</v>
      </c>
      <c r="G93" s="359" t="str">
        <f>Inputs!G239</f>
        <v>input</v>
      </c>
      <c r="H93" s="360">
        <f>Inputs!H239</f>
        <v>0</v>
      </c>
      <c r="I93" s="361" t="str">
        <f>Inputs!I239</f>
        <v>-</v>
      </c>
      <c r="J93" s="361" t="str">
        <f>Inputs!J239</f>
        <v>-</v>
      </c>
      <c r="K93" s="361" t="str">
        <f>Inputs!K239</f>
        <v>-</v>
      </c>
      <c r="L93" s="361" t="str">
        <f>Inputs!L239</f>
        <v>-</v>
      </c>
      <c r="M93" s="361" t="str">
        <f>Inputs!M239</f>
        <v>-</v>
      </c>
      <c r="N93" s="361" t="str">
        <f>Inputs!N239</f>
        <v>-</v>
      </c>
      <c r="O93" s="361" t="str">
        <f>Inputs!O239</f>
        <v>-</v>
      </c>
      <c r="P93" s="361" t="str">
        <f>Inputs!P239</f>
        <v>-</v>
      </c>
      <c r="Q93" s="361" t="str">
        <f>Inputs!Q239</f>
        <v>-</v>
      </c>
      <c r="R93" s="361" t="str">
        <f>Inputs!R239</f>
        <v>-</v>
      </c>
      <c r="S93" s="361" t="str">
        <f>Inputs!S239</f>
        <v>-</v>
      </c>
      <c r="T93" s="361" t="str">
        <f>Inputs!T239</f>
        <v>-</v>
      </c>
      <c r="U93" s="361" t="str">
        <f>Inputs!U239</f>
        <v>-</v>
      </c>
      <c r="V93" s="361" t="str">
        <f>Inputs!V239</f>
        <v>-</v>
      </c>
      <c r="W93" s="361" t="str">
        <f>Inputs!W239</f>
        <v>-</v>
      </c>
      <c r="X93" s="361" t="str">
        <f>Inputs!X239</f>
        <v>-</v>
      </c>
      <c r="Y93" s="361" t="str">
        <f>Inputs!Y239</f>
        <v>-</v>
      </c>
      <c r="Z93" s="361" t="str">
        <f>Inputs!Z239</f>
        <v>-</v>
      </c>
      <c r="AA93" s="361" t="str">
        <f>Inputs!AA239</f>
        <v>-</v>
      </c>
      <c r="AB93" s="361" t="str">
        <f>Inputs!AB239</f>
        <v>-</v>
      </c>
      <c r="AC93" s="361" t="str">
        <f>Inputs!AC239</f>
        <v>-</v>
      </c>
      <c r="AD93" s="361" t="str">
        <f>Inputs!AD239</f>
        <v>-</v>
      </c>
      <c r="AE93" s="361" t="str">
        <f>Inputs!AE239</f>
        <v>-</v>
      </c>
      <c r="AF93" s="361" t="str">
        <f>Inputs!AF239</f>
        <v>-</v>
      </c>
      <c r="AG93" s="361" t="str">
        <f>Inputs!AG239</f>
        <v>-</v>
      </c>
      <c r="AH93" s="361" t="str">
        <f>Inputs!AH239</f>
        <v>-</v>
      </c>
      <c r="AI93" s="361" t="str">
        <f>Inputs!AI239</f>
        <v>-</v>
      </c>
      <c r="AJ93" s="361" t="str">
        <f>Inputs!AJ239</f>
        <v>-</v>
      </c>
      <c r="AK93" s="361" t="str">
        <f>Inputs!AK239</f>
        <v>-</v>
      </c>
      <c r="AL93" s="361" t="str">
        <f>Inputs!AL239</f>
        <v>-</v>
      </c>
      <c r="AM93" s="361" t="str">
        <f>Inputs!AM239</f>
        <v>-</v>
      </c>
      <c r="AN93" s="361" t="str">
        <f>Inputs!AN239</f>
        <v>-</v>
      </c>
      <c r="AO93" s="361" t="str">
        <f>Inputs!AO239</f>
        <v>-</v>
      </c>
      <c r="AP93" s="361" t="str">
        <f>Inputs!AP239</f>
        <v>-</v>
      </c>
      <c r="AQ93" s="361" t="str">
        <f>Inputs!AQ239</f>
        <v>-</v>
      </c>
      <c r="AR93" s="361" t="str">
        <f>Inputs!AR239</f>
        <v>-</v>
      </c>
      <c r="AS93" s="361" t="str">
        <f>Inputs!AS239</f>
        <v>-</v>
      </c>
      <c r="AT93" s="362"/>
    </row>
    <row r="94">
      <c r="A94" s="350"/>
      <c r="B94" s="351"/>
      <c r="C94" s="351"/>
      <c r="D94" s="351"/>
      <c r="E94" s="363" t="s">
        <v>395</v>
      </c>
      <c r="F94" s="358" t="s">
        <v>111</v>
      </c>
      <c r="G94" s="359" t="s">
        <v>149</v>
      </c>
      <c r="H94" s="365">
        <f>H92*(1+H93)</f>
        <v>0.30647</v>
      </c>
      <c r="I94" s="361" t="s">
        <v>150</v>
      </c>
      <c r="J94" s="361" t="s">
        <v>150</v>
      </c>
      <c r="K94" s="361" t="s">
        <v>150</v>
      </c>
      <c r="L94" s="361" t="s">
        <v>150</v>
      </c>
      <c r="M94" s="361" t="s">
        <v>150</v>
      </c>
      <c r="N94" s="361" t="s">
        <v>150</v>
      </c>
      <c r="O94" s="361" t="s">
        <v>150</v>
      </c>
      <c r="P94" s="361" t="s">
        <v>150</v>
      </c>
      <c r="Q94" s="361" t="s">
        <v>150</v>
      </c>
      <c r="R94" s="361" t="s">
        <v>150</v>
      </c>
      <c r="S94" s="361" t="s">
        <v>150</v>
      </c>
      <c r="T94" s="361" t="s">
        <v>150</v>
      </c>
      <c r="U94" s="361" t="s">
        <v>150</v>
      </c>
      <c r="V94" s="361" t="s">
        <v>150</v>
      </c>
      <c r="W94" s="361" t="s">
        <v>150</v>
      </c>
      <c r="X94" s="361" t="s">
        <v>150</v>
      </c>
      <c r="Y94" s="361" t="s">
        <v>150</v>
      </c>
      <c r="Z94" s="361" t="s">
        <v>150</v>
      </c>
      <c r="AA94" s="361" t="s">
        <v>150</v>
      </c>
      <c r="AB94" s="361" t="s">
        <v>150</v>
      </c>
      <c r="AC94" s="361" t="s">
        <v>150</v>
      </c>
      <c r="AD94" s="361" t="s">
        <v>150</v>
      </c>
      <c r="AE94" s="361" t="s">
        <v>150</v>
      </c>
      <c r="AF94" s="361" t="s">
        <v>150</v>
      </c>
      <c r="AG94" s="361" t="s">
        <v>150</v>
      </c>
      <c r="AH94" s="361" t="s">
        <v>150</v>
      </c>
      <c r="AI94" s="361" t="s">
        <v>150</v>
      </c>
      <c r="AJ94" s="361" t="s">
        <v>150</v>
      </c>
      <c r="AK94" s="361" t="s">
        <v>150</v>
      </c>
      <c r="AL94" s="361" t="s">
        <v>150</v>
      </c>
      <c r="AM94" s="361" t="s">
        <v>150</v>
      </c>
      <c r="AN94" s="361" t="s">
        <v>150</v>
      </c>
      <c r="AO94" s="361" t="s">
        <v>150</v>
      </c>
      <c r="AP94" s="361" t="s">
        <v>150</v>
      </c>
      <c r="AQ94" s="361" t="s">
        <v>150</v>
      </c>
      <c r="AR94" s="361" t="s">
        <v>150</v>
      </c>
      <c r="AS94" s="361" t="s">
        <v>150</v>
      </c>
      <c r="AT94" s="362"/>
    </row>
    <row r="95">
      <c r="A95" s="80"/>
      <c r="B95" s="81"/>
      <c r="C95" s="322"/>
      <c r="D95" s="81"/>
      <c r="E95" s="366" t="s">
        <v>396</v>
      </c>
      <c r="F95" s="299" t="str">
        <f>Inputs!F256</f>
        <v>UoV</v>
      </c>
      <c r="G95" s="299" t="str">
        <f>Inputs!G256</f>
        <v>input</v>
      </c>
      <c r="H95" s="367">
        <f>Inputs!H256</f>
        <v>116.25262</v>
      </c>
      <c r="I95" s="312" t="str">
        <f>Inputs!I256</f>
        <v>-</v>
      </c>
      <c r="J95" s="312" t="str">
        <f>Inputs!J256</f>
        <v>-</v>
      </c>
      <c r="K95" s="312" t="str">
        <f>Inputs!K256</f>
        <v>-</v>
      </c>
      <c r="L95" s="312" t="str">
        <f>Inputs!L256</f>
        <v>-</v>
      </c>
      <c r="M95" s="312" t="str">
        <f>Inputs!M256</f>
        <v>-</v>
      </c>
      <c r="N95" s="312" t="str">
        <f>Inputs!N256</f>
        <v>-</v>
      </c>
      <c r="O95" s="312" t="str">
        <f>Inputs!O256</f>
        <v>-</v>
      </c>
      <c r="P95" s="312" t="str">
        <f>Inputs!P256</f>
        <v>-</v>
      </c>
      <c r="Q95" s="312" t="str">
        <f>Inputs!Q256</f>
        <v>-</v>
      </c>
      <c r="R95" s="312" t="str">
        <f>Inputs!R256</f>
        <v>-</v>
      </c>
      <c r="S95" s="312" t="str">
        <f>Inputs!S256</f>
        <v>-</v>
      </c>
      <c r="T95" s="312" t="str">
        <f>Inputs!T256</f>
        <v>-</v>
      </c>
      <c r="U95" s="312" t="str">
        <f>Inputs!U256</f>
        <v>-</v>
      </c>
      <c r="V95" s="312" t="str">
        <f>Inputs!V256</f>
        <v>-</v>
      </c>
      <c r="W95" s="312" t="str">
        <f>Inputs!W256</f>
        <v>-</v>
      </c>
      <c r="X95" s="312" t="str">
        <f>Inputs!X256</f>
        <v>-</v>
      </c>
      <c r="Y95" s="312" t="str">
        <f>Inputs!Y256</f>
        <v>-</v>
      </c>
      <c r="Z95" s="312" t="str">
        <f>Inputs!Z256</f>
        <v>-</v>
      </c>
      <c r="AA95" s="312" t="str">
        <f>Inputs!AA256</f>
        <v>-</v>
      </c>
      <c r="AB95" s="312" t="str">
        <f>Inputs!AB256</f>
        <v>-</v>
      </c>
      <c r="AC95" s="312" t="str">
        <f>Inputs!AC256</f>
        <v>-</v>
      </c>
      <c r="AD95" s="312" t="str">
        <f>Inputs!AD256</f>
        <v>-</v>
      </c>
      <c r="AE95" s="312" t="str">
        <f>Inputs!AE256</f>
        <v>-</v>
      </c>
      <c r="AF95" s="312" t="str">
        <f>Inputs!AF256</f>
        <v>-</v>
      </c>
      <c r="AG95" s="312" t="str">
        <f>Inputs!AG256</f>
        <v>-</v>
      </c>
      <c r="AH95" s="312" t="str">
        <f>Inputs!AH256</f>
        <v>-</v>
      </c>
      <c r="AI95" s="312" t="str">
        <f>Inputs!AI256</f>
        <v>-</v>
      </c>
      <c r="AJ95" s="312" t="str">
        <f>Inputs!AJ256</f>
        <v>-</v>
      </c>
      <c r="AK95" s="312" t="str">
        <f>Inputs!AK256</f>
        <v>-</v>
      </c>
      <c r="AL95" s="312" t="str">
        <f>Inputs!AL256</f>
        <v>-</v>
      </c>
      <c r="AM95" s="312" t="str">
        <f>Inputs!AM256</f>
        <v>-</v>
      </c>
      <c r="AN95" s="312" t="str">
        <f>Inputs!AN256</f>
        <v>-</v>
      </c>
      <c r="AO95" s="312" t="str">
        <f>Inputs!AO256</f>
        <v>-</v>
      </c>
      <c r="AP95" s="312" t="str">
        <f>Inputs!AP256</f>
        <v>-</v>
      </c>
      <c r="AQ95" s="312" t="str">
        <f>Inputs!AQ256</f>
        <v>-</v>
      </c>
      <c r="AR95" s="312" t="str">
        <f>Inputs!AR256</f>
        <v>-</v>
      </c>
      <c r="AS95" s="312" t="str">
        <f>Inputs!AS256</f>
        <v>-</v>
      </c>
      <c r="AT95" s="229"/>
    </row>
    <row r="96">
      <c r="A96" s="80"/>
      <c r="B96" s="81"/>
      <c r="C96" s="322"/>
      <c r="D96" s="81"/>
      <c r="E96" s="366" t="s">
        <v>403</v>
      </c>
      <c r="F96" s="299" t="str">
        <f>Inputs!F257</f>
        <v>UoV</v>
      </c>
      <c r="G96" s="299" t="str">
        <f>Inputs!G257</f>
        <v>input</v>
      </c>
      <c r="H96" s="367">
        <f>Inputs!H257</f>
        <v>133.7</v>
      </c>
      <c r="I96" s="312" t="str">
        <f>Inputs!I257</f>
        <v>-</v>
      </c>
      <c r="J96" s="312" t="str">
        <f>Inputs!J257</f>
        <v>-</v>
      </c>
      <c r="K96" s="312" t="str">
        <f>Inputs!K257</f>
        <v>-</v>
      </c>
      <c r="L96" s="312" t="str">
        <f>Inputs!L257</f>
        <v>-</v>
      </c>
      <c r="M96" s="312" t="str">
        <f>Inputs!M257</f>
        <v>-</v>
      </c>
      <c r="N96" s="312" t="str">
        <f>Inputs!N257</f>
        <v>-</v>
      </c>
      <c r="O96" s="312" t="str">
        <f>Inputs!O257</f>
        <v>-</v>
      </c>
      <c r="P96" s="312" t="str">
        <f>Inputs!P257</f>
        <v>-</v>
      </c>
      <c r="Q96" s="312" t="str">
        <f>Inputs!Q257</f>
        <v>-</v>
      </c>
      <c r="R96" s="312" t="str">
        <f>Inputs!R257</f>
        <v>-</v>
      </c>
      <c r="S96" s="312" t="str">
        <f>Inputs!S257</f>
        <v>-</v>
      </c>
      <c r="T96" s="312" t="str">
        <f>Inputs!T257</f>
        <v>-</v>
      </c>
      <c r="U96" s="312" t="str">
        <f>Inputs!U257</f>
        <v>-</v>
      </c>
      <c r="V96" s="312" t="str">
        <f>Inputs!V257</f>
        <v>-</v>
      </c>
      <c r="W96" s="312" t="str">
        <f>Inputs!W257</f>
        <v>-</v>
      </c>
      <c r="X96" s="312" t="str">
        <f>Inputs!X257</f>
        <v>-</v>
      </c>
      <c r="Y96" s="312" t="str">
        <f>Inputs!Y257</f>
        <v>-</v>
      </c>
      <c r="Z96" s="312" t="str">
        <f>Inputs!Z257</f>
        <v>-</v>
      </c>
      <c r="AA96" s="312" t="str">
        <f>Inputs!AA257</f>
        <v>-</v>
      </c>
      <c r="AB96" s="312" t="str">
        <f>Inputs!AB257</f>
        <v>-</v>
      </c>
      <c r="AC96" s="312" t="str">
        <f>Inputs!AC257</f>
        <v>-</v>
      </c>
      <c r="AD96" s="312" t="str">
        <f>Inputs!AD257</f>
        <v>-</v>
      </c>
      <c r="AE96" s="312" t="str">
        <f>Inputs!AE257</f>
        <v>-</v>
      </c>
      <c r="AF96" s="312" t="str">
        <f>Inputs!AF257</f>
        <v>-</v>
      </c>
      <c r="AG96" s="312" t="str">
        <f>Inputs!AG257</f>
        <v>-</v>
      </c>
      <c r="AH96" s="312" t="str">
        <f>Inputs!AH257</f>
        <v>-</v>
      </c>
      <c r="AI96" s="312" t="str">
        <f>Inputs!AI257</f>
        <v>-</v>
      </c>
      <c r="AJ96" s="312" t="str">
        <f>Inputs!AJ257</f>
        <v>-</v>
      </c>
      <c r="AK96" s="312" t="str">
        <f>Inputs!AK257</f>
        <v>-</v>
      </c>
      <c r="AL96" s="312" t="str">
        <f>Inputs!AL257</f>
        <v>-</v>
      </c>
      <c r="AM96" s="312" t="str">
        <f>Inputs!AM257</f>
        <v>-</v>
      </c>
      <c r="AN96" s="312" t="str">
        <f>Inputs!AN257</f>
        <v>-</v>
      </c>
      <c r="AO96" s="312" t="str">
        <f>Inputs!AO257</f>
        <v>-</v>
      </c>
      <c r="AP96" s="312" t="str">
        <f>Inputs!AP257</f>
        <v>-</v>
      </c>
      <c r="AQ96" s="312" t="str">
        <f>Inputs!AQ257</f>
        <v>-</v>
      </c>
      <c r="AR96" s="312" t="str">
        <f>Inputs!AR257</f>
        <v>-</v>
      </c>
      <c r="AS96" s="312" t="str">
        <f>Inputs!AS257</f>
        <v>-</v>
      </c>
      <c r="AT96" s="229"/>
    </row>
    <row r="97">
      <c r="A97" s="80"/>
      <c r="B97" s="81"/>
      <c r="C97" s="322"/>
      <c r="D97" s="81"/>
      <c r="E97" s="214" t="s">
        <v>408</v>
      </c>
      <c r="F97" s="215" t="s">
        <v>127</v>
      </c>
      <c r="G97" s="215" t="s">
        <v>149</v>
      </c>
      <c r="H97" s="372" t="s">
        <v>150</v>
      </c>
      <c r="I97" s="312">
        <f t="shared" ref="I97:AS97" si="25">(I50*$H95)+(I63*$H96)</f>
        <v>48584.50898</v>
      </c>
      <c r="J97" s="312">
        <f t="shared" si="25"/>
        <v>21972.55973</v>
      </c>
      <c r="K97" s="312">
        <f t="shared" si="25"/>
        <v>39938.23553</v>
      </c>
      <c r="L97" s="312">
        <f t="shared" si="25"/>
        <v>11068.65751</v>
      </c>
      <c r="M97" s="312">
        <f t="shared" si="25"/>
        <v>27457.33477</v>
      </c>
      <c r="N97" s="312">
        <f t="shared" si="25"/>
        <v>40781.36638</v>
      </c>
      <c r="O97" s="312">
        <f t="shared" si="25"/>
        <v>63518.24564</v>
      </c>
      <c r="P97" s="312">
        <f t="shared" si="25"/>
        <v>104330.9556</v>
      </c>
      <c r="Q97" s="312">
        <f t="shared" si="25"/>
        <v>78395.21832</v>
      </c>
      <c r="R97" s="312">
        <f t="shared" si="25"/>
        <v>2579.850874</v>
      </c>
      <c r="S97" s="312">
        <f t="shared" si="25"/>
        <v>7640.522188</v>
      </c>
      <c r="T97" s="312">
        <f t="shared" si="25"/>
        <v>2337.47533</v>
      </c>
      <c r="U97" s="312">
        <f t="shared" si="25"/>
        <v>3277.112212</v>
      </c>
      <c r="V97" s="312">
        <f t="shared" si="25"/>
        <v>5052.687634</v>
      </c>
      <c r="W97" s="312">
        <f t="shared" si="25"/>
        <v>6317.229727</v>
      </c>
      <c r="X97" s="312">
        <f t="shared" si="25"/>
        <v>14639.9313</v>
      </c>
      <c r="Y97" s="312">
        <f t="shared" si="25"/>
        <v>1496.182321</v>
      </c>
      <c r="Z97" s="312">
        <f t="shared" si="25"/>
        <v>4029.130981</v>
      </c>
      <c r="AA97" s="312">
        <f t="shared" si="25"/>
        <v>227.1463295</v>
      </c>
      <c r="AB97" s="312">
        <f t="shared" si="25"/>
        <v>2136.812899</v>
      </c>
      <c r="AC97" s="312">
        <f t="shared" si="25"/>
        <v>887.6847785</v>
      </c>
      <c r="AD97" s="312">
        <f t="shared" si="25"/>
        <v>352.9963756</v>
      </c>
      <c r="AE97" s="312">
        <f t="shared" si="25"/>
        <v>1621.699697</v>
      </c>
      <c r="AF97" s="312">
        <f t="shared" si="25"/>
        <v>798.380717</v>
      </c>
      <c r="AG97" s="312">
        <f t="shared" si="25"/>
        <v>3576.582845</v>
      </c>
      <c r="AH97" s="312">
        <f t="shared" si="25"/>
        <v>4168.51039</v>
      </c>
      <c r="AI97" s="312">
        <f t="shared" si="25"/>
        <v>754.8371491</v>
      </c>
      <c r="AJ97" s="312">
        <f t="shared" si="25"/>
        <v>7451.52864</v>
      </c>
      <c r="AK97" s="312">
        <f t="shared" si="25"/>
        <v>16187.30014</v>
      </c>
      <c r="AL97" s="312">
        <f t="shared" si="25"/>
        <v>5826.341546</v>
      </c>
      <c r="AM97" s="312">
        <f t="shared" si="25"/>
        <v>4944.313072</v>
      </c>
      <c r="AN97" s="312">
        <f t="shared" si="25"/>
        <v>882.0160627</v>
      </c>
      <c r="AO97" s="312">
        <f t="shared" si="25"/>
        <v>3220.259173</v>
      </c>
      <c r="AP97" s="312">
        <f t="shared" si="25"/>
        <v>4138.040135</v>
      </c>
      <c r="AQ97" s="312">
        <f t="shared" si="25"/>
        <v>2031.755279</v>
      </c>
      <c r="AR97" s="312">
        <f t="shared" si="25"/>
        <v>15215.27925</v>
      </c>
      <c r="AS97" s="312">
        <f t="shared" si="25"/>
        <v>11992.48489</v>
      </c>
      <c r="AT97" s="229"/>
    </row>
    <row r="98">
      <c r="A98" s="80"/>
      <c r="B98" s="81"/>
      <c r="C98" s="322"/>
      <c r="D98" s="81"/>
      <c r="E98" s="194" t="s">
        <v>412</v>
      </c>
      <c r="F98" s="195" t="s">
        <v>127</v>
      </c>
      <c r="G98" s="195" t="s">
        <v>149</v>
      </c>
      <c r="H98" s="376" t="s">
        <v>150</v>
      </c>
      <c r="I98" s="198">
        <f t="shared" ref="I98:AS98" si="26">I97*$H94</f>
        <v>14889.69447</v>
      </c>
      <c r="J98" s="198">
        <f t="shared" si="26"/>
        <v>6733.93038</v>
      </c>
      <c r="K98" s="198">
        <f t="shared" si="26"/>
        <v>12239.87104</v>
      </c>
      <c r="L98" s="198">
        <f t="shared" si="26"/>
        <v>3392.211468</v>
      </c>
      <c r="M98" s="198">
        <f t="shared" si="26"/>
        <v>8414.849388</v>
      </c>
      <c r="N98" s="198">
        <f t="shared" si="26"/>
        <v>12498.26535</v>
      </c>
      <c r="O98" s="198">
        <f t="shared" si="26"/>
        <v>19466.43674</v>
      </c>
      <c r="P98" s="198">
        <f t="shared" si="26"/>
        <v>31974.30796</v>
      </c>
      <c r="Q98" s="198">
        <f t="shared" si="26"/>
        <v>24025.78256</v>
      </c>
      <c r="R98" s="198">
        <f t="shared" si="26"/>
        <v>790.6468974</v>
      </c>
      <c r="S98" s="198">
        <f t="shared" si="26"/>
        <v>2341.590835</v>
      </c>
      <c r="T98" s="198">
        <f t="shared" si="26"/>
        <v>716.3660643</v>
      </c>
      <c r="U98" s="198">
        <f t="shared" si="26"/>
        <v>1004.33658</v>
      </c>
      <c r="V98" s="198">
        <f t="shared" si="26"/>
        <v>1548.497179</v>
      </c>
      <c r="W98" s="198">
        <f t="shared" si="26"/>
        <v>1936.041394</v>
      </c>
      <c r="X98" s="198">
        <f t="shared" si="26"/>
        <v>4486.699746</v>
      </c>
      <c r="Y98" s="198">
        <f t="shared" si="26"/>
        <v>458.5349959</v>
      </c>
      <c r="Z98" s="198">
        <f t="shared" si="26"/>
        <v>1234.807772</v>
      </c>
      <c r="AA98" s="198">
        <f t="shared" si="26"/>
        <v>69.6135356</v>
      </c>
      <c r="AB98" s="198">
        <f t="shared" si="26"/>
        <v>654.8690492</v>
      </c>
      <c r="AC98" s="198">
        <f t="shared" si="26"/>
        <v>272.0487541</v>
      </c>
      <c r="AD98" s="198">
        <f t="shared" si="26"/>
        <v>108.1827992</v>
      </c>
      <c r="AE98" s="198">
        <f t="shared" si="26"/>
        <v>497.0023061</v>
      </c>
      <c r="AF98" s="198">
        <f t="shared" si="26"/>
        <v>244.6797383</v>
      </c>
      <c r="AG98" s="198">
        <f t="shared" si="26"/>
        <v>1096.115344</v>
      </c>
      <c r="AH98" s="198">
        <f t="shared" si="26"/>
        <v>1277.523379</v>
      </c>
      <c r="AI98" s="198">
        <f t="shared" si="26"/>
        <v>231.3349411</v>
      </c>
      <c r="AJ98" s="198">
        <f t="shared" si="26"/>
        <v>2283.669982</v>
      </c>
      <c r="AK98" s="198">
        <f t="shared" si="26"/>
        <v>4960.921873</v>
      </c>
      <c r="AL98" s="198">
        <f t="shared" si="26"/>
        <v>1785.598893</v>
      </c>
      <c r="AM98" s="198">
        <f t="shared" si="26"/>
        <v>1515.283627</v>
      </c>
      <c r="AN98" s="198">
        <f t="shared" si="26"/>
        <v>270.3114627</v>
      </c>
      <c r="AO98" s="198">
        <f t="shared" si="26"/>
        <v>986.9128288</v>
      </c>
      <c r="AP98" s="198">
        <f t="shared" si="26"/>
        <v>1268.18516</v>
      </c>
      <c r="AQ98" s="198">
        <f t="shared" si="26"/>
        <v>622.6720404</v>
      </c>
      <c r="AR98" s="198">
        <f t="shared" si="26"/>
        <v>4663.026633</v>
      </c>
      <c r="AS98" s="198">
        <f t="shared" si="26"/>
        <v>3675.336845</v>
      </c>
      <c r="AT98" s="199"/>
    </row>
    <row r="99">
      <c r="A99" s="139"/>
      <c r="B99" s="21"/>
      <c r="C99" s="21"/>
      <c r="D99" s="21"/>
      <c r="E99" s="377"/>
      <c r="F99" s="378"/>
      <c r="G99" s="379"/>
      <c r="H99" s="85"/>
      <c r="I99" s="111"/>
      <c r="J99" s="86"/>
      <c r="K99" s="86"/>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c r="AQ99" s="86"/>
      <c r="AR99" s="86"/>
      <c r="AS99" s="86"/>
      <c r="AT99" s="88"/>
    </row>
    <row r="100">
      <c r="A100" s="139"/>
      <c r="B100" s="21"/>
      <c r="C100" s="101" t="s">
        <v>419</v>
      </c>
      <c r="F100" s="378"/>
      <c r="G100" s="378"/>
      <c r="H100" s="85"/>
      <c r="I100" s="111"/>
      <c r="J100" s="86"/>
      <c r="K100" s="86"/>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c r="AQ100" s="86"/>
      <c r="AR100" s="86"/>
      <c r="AS100" s="86"/>
      <c r="AT100" s="88"/>
    </row>
    <row r="101">
      <c r="A101" s="139"/>
      <c r="B101" s="21"/>
      <c r="C101" s="21"/>
      <c r="D101" s="21"/>
      <c r="E101" s="380" t="s">
        <v>420</v>
      </c>
      <c r="F101" s="381" t="str">
        <f>Inputs!F242</f>
        <v>₦</v>
      </c>
      <c r="G101" s="381" t="str">
        <f>Inputs!G242</f>
        <v>input</v>
      </c>
      <c r="H101" s="382">
        <f>Inputs!H242</f>
        <v>200</v>
      </c>
      <c r="I101" s="289" t="str">
        <f>Inputs!I242</f>
        <v>-</v>
      </c>
      <c r="J101" s="289" t="str">
        <f>Inputs!J242</f>
        <v>-</v>
      </c>
      <c r="K101" s="289" t="str">
        <f>Inputs!K242</f>
        <v>-</v>
      </c>
      <c r="L101" s="289" t="str">
        <f>Inputs!L242</f>
        <v>-</v>
      </c>
      <c r="M101" s="289" t="str">
        <f>Inputs!M242</f>
        <v>-</v>
      </c>
      <c r="N101" s="289" t="str">
        <f>Inputs!N242</f>
        <v>-</v>
      </c>
      <c r="O101" s="289" t="str">
        <f>Inputs!O242</f>
        <v>-</v>
      </c>
      <c r="P101" s="289" t="str">
        <f>Inputs!P242</f>
        <v>-</v>
      </c>
      <c r="Q101" s="289" t="str">
        <f>Inputs!Q242</f>
        <v>-</v>
      </c>
      <c r="R101" s="289" t="str">
        <f>Inputs!R242</f>
        <v>-</v>
      </c>
      <c r="S101" s="289" t="str">
        <f>Inputs!S242</f>
        <v>-</v>
      </c>
      <c r="T101" s="289" t="str">
        <f>Inputs!T242</f>
        <v>-</v>
      </c>
      <c r="U101" s="289" t="str">
        <f>Inputs!U242</f>
        <v>-</v>
      </c>
      <c r="V101" s="289" t="str">
        <f>Inputs!V242</f>
        <v>-</v>
      </c>
      <c r="W101" s="289" t="str">
        <f>Inputs!W242</f>
        <v>-</v>
      </c>
      <c r="X101" s="289" t="str">
        <f>Inputs!X242</f>
        <v>-</v>
      </c>
      <c r="Y101" s="289" t="str">
        <f>Inputs!Y242</f>
        <v>-</v>
      </c>
      <c r="Z101" s="289" t="str">
        <f>Inputs!Z242</f>
        <v>-</v>
      </c>
      <c r="AA101" s="289" t="str">
        <f>Inputs!AA242</f>
        <v>-</v>
      </c>
      <c r="AB101" s="289" t="str">
        <f>Inputs!AB242</f>
        <v>-</v>
      </c>
      <c r="AC101" s="289" t="str">
        <f>Inputs!AC242</f>
        <v>-</v>
      </c>
      <c r="AD101" s="289" t="str">
        <f>Inputs!AD242</f>
        <v>-</v>
      </c>
      <c r="AE101" s="289" t="str">
        <f>Inputs!AE242</f>
        <v>-</v>
      </c>
      <c r="AF101" s="289" t="str">
        <f>Inputs!AF242</f>
        <v>-</v>
      </c>
      <c r="AG101" s="289" t="str">
        <f>Inputs!AG242</f>
        <v>-</v>
      </c>
      <c r="AH101" s="289" t="str">
        <f>Inputs!AH242</f>
        <v>-</v>
      </c>
      <c r="AI101" s="289" t="str">
        <f>Inputs!AI242</f>
        <v>-</v>
      </c>
      <c r="AJ101" s="289" t="str">
        <f>Inputs!AJ242</f>
        <v>-</v>
      </c>
      <c r="AK101" s="289" t="str">
        <f>Inputs!AK242</f>
        <v>-</v>
      </c>
      <c r="AL101" s="289" t="str">
        <f>Inputs!AL242</f>
        <v>-</v>
      </c>
      <c r="AM101" s="289" t="str">
        <f>Inputs!AM242</f>
        <v>-</v>
      </c>
      <c r="AN101" s="289" t="str">
        <f>Inputs!AN242</f>
        <v>-</v>
      </c>
      <c r="AO101" s="289" t="str">
        <f>Inputs!AO242</f>
        <v>-</v>
      </c>
      <c r="AP101" s="289" t="str">
        <f>Inputs!AP242</f>
        <v>-</v>
      </c>
      <c r="AQ101" s="289" t="str">
        <f>Inputs!AQ242</f>
        <v>-</v>
      </c>
      <c r="AR101" s="289" t="str">
        <f>Inputs!AR242</f>
        <v>-</v>
      </c>
      <c r="AS101" s="289" t="str">
        <f>Inputs!AS242</f>
        <v>-</v>
      </c>
      <c r="AT101" s="136"/>
    </row>
    <row r="102">
      <c r="A102" s="139"/>
      <c r="B102" s="21"/>
      <c r="C102" s="21"/>
      <c r="D102" s="21"/>
      <c r="E102" s="383" t="s">
        <v>424</v>
      </c>
      <c r="F102" s="384" t="str">
        <f>Inputs!F243</f>
        <v>#</v>
      </c>
      <c r="G102" s="384" t="str">
        <f>Inputs!G243</f>
        <v>input</v>
      </c>
      <c r="H102" s="385">
        <f>Inputs!H243</f>
        <v>5</v>
      </c>
      <c r="I102" s="310" t="str">
        <f>Inputs!I243</f>
        <v>-</v>
      </c>
      <c r="J102" s="310" t="str">
        <f>Inputs!J243</f>
        <v>-</v>
      </c>
      <c r="K102" s="310" t="str">
        <f>Inputs!K243</f>
        <v>-</v>
      </c>
      <c r="L102" s="310" t="str">
        <f>Inputs!L243</f>
        <v>-</v>
      </c>
      <c r="M102" s="310" t="str">
        <f>Inputs!M243</f>
        <v>-</v>
      </c>
      <c r="N102" s="310" t="str">
        <f>Inputs!N243</f>
        <v>-</v>
      </c>
      <c r="O102" s="310" t="str">
        <f>Inputs!O243</f>
        <v>-</v>
      </c>
      <c r="P102" s="310" t="str">
        <f>Inputs!P243</f>
        <v>-</v>
      </c>
      <c r="Q102" s="310" t="str">
        <f>Inputs!Q243</f>
        <v>-</v>
      </c>
      <c r="R102" s="310" t="str">
        <f>Inputs!R243</f>
        <v>-</v>
      </c>
      <c r="S102" s="310" t="str">
        <f>Inputs!S243</f>
        <v>-</v>
      </c>
      <c r="T102" s="310" t="str">
        <f>Inputs!T243</f>
        <v>-</v>
      </c>
      <c r="U102" s="310" t="str">
        <f>Inputs!U243</f>
        <v>-</v>
      </c>
      <c r="V102" s="310" t="str">
        <f>Inputs!V243</f>
        <v>-</v>
      </c>
      <c r="W102" s="310" t="str">
        <f>Inputs!W243</f>
        <v>-</v>
      </c>
      <c r="X102" s="310" t="str">
        <f>Inputs!X243</f>
        <v>-</v>
      </c>
      <c r="Y102" s="310" t="str">
        <f>Inputs!Y243</f>
        <v>-</v>
      </c>
      <c r="Z102" s="310" t="str">
        <f>Inputs!Z243</f>
        <v>-</v>
      </c>
      <c r="AA102" s="310" t="str">
        <f>Inputs!AA243</f>
        <v>-</v>
      </c>
      <c r="AB102" s="310" t="str">
        <f>Inputs!AB243</f>
        <v>-</v>
      </c>
      <c r="AC102" s="310" t="str">
        <f>Inputs!AC243</f>
        <v>-</v>
      </c>
      <c r="AD102" s="310" t="str">
        <f>Inputs!AD243</f>
        <v>-</v>
      </c>
      <c r="AE102" s="310" t="str">
        <f>Inputs!AE243</f>
        <v>-</v>
      </c>
      <c r="AF102" s="310" t="str">
        <f>Inputs!AF243</f>
        <v>-</v>
      </c>
      <c r="AG102" s="310" t="str">
        <f>Inputs!AG243</f>
        <v>-</v>
      </c>
      <c r="AH102" s="310" t="str">
        <f>Inputs!AH243</f>
        <v>-</v>
      </c>
      <c r="AI102" s="310" t="str">
        <f>Inputs!AI243</f>
        <v>-</v>
      </c>
      <c r="AJ102" s="310" t="str">
        <f>Inputs!AJ243</f>
        <v>-</v>
      </c>
      <c r="AK102" s="310" t="str">
        <f>Inputs!AK243</f>
        <v>-</v>
      </c>
      <c r="AL102" s="310" t="str">
        <f>Inputs!AL243</f>
        <v>-</v>
      </c>
      <c r="AM102" s="310" t="str">
        <f>Inputs!AM243</f>
        <v>-</v>
      </c>
      <c r="AN102" s="310" t="str">
        <f>Inputs!AN243</f>
        <v>-</v>
      </c>
      <c r="AO102" s="310" t="str">
        <f>Inputs!AO243</f>
        <v>-</v>
      </c>
      <c r="AP102" s="310" t="str">
        <f>Inputs!AP243</f>
        <v>-</v>
      </c>
      <c r="AQ102" s="310" t="str">
        <f>Inputs!AQ243</f>
        <v>-</v>
      </c>
      <c r="AR102" s="310" t="str">
        <f>Inputs!AR243</f>
        <v>-</v>
      </c>
      <c r="AS102" s="310" t="str">
        <f>Inputs!AS243</f>
        <v>-</v>
      </c>
      <c r="AT102" s="163"/>
    </row>
    <row r="103">
      <c r="A103" s="139"/>
      <c r="B103" s="21"/>
      <c r="C103" s="21"/>
      <c r="D103" s="21"/>
      <c r="E103" s="386" t="s">
        <v>428</v>
      </c>
      <c r="F103" s="384" t="str">
        <f>Inputs!F244</f>
        <v>₦</v>
      </c>
      <c r="G103" s="387" t="s">
        <v>149</v>
      </c>
      <c r="H103" s="388">
        <f>H101*H102</f>
        <v>1000</v>
      </c>
      <c r="I103" s="310" t="str">
        <f>Inputs!I244</f>
        <v>-</v>
      </c>
      <c r="J103" s="310" t="str">
        <f>Inputs!J244</f>
        <v>-</v>
      </c>
      <c r="K103" s="310" t="str">
        <f>Inputs!K244</f>
        <v>-</v>
      </c>
      <c r="L103" s="310" t="str">
        <f>Inputs!L244</f>
        <v>-</v>
      </c>
      <c r="M103" s="310" t="str">
        <f>Inputs!M244</f>
        <v>-</v>
      </c>
      <c r="N103" s="310" t="str">
        <f>Inputs!N244</f>
        <v>-</v>
      </c>
      <c r="O103" s="310" t="str">
        <f>Inputs!O244</f>
        <v>-</v>
      </c>
      <c r="P103" s="310" t="str">
        <f>Inputs!P244</f>
        <v>-</v>
      </c>
      <c r="Q103" s="310" t="str">
        <f>Inputs!Q244</f>
        <v>-</v>
      </c>
      <c r="R103" s="310" t="str">
        <f>Inputs!R244</f>
        <v>-</v>
      </c>
      <c r="S103" s="310" t="str">
        <f>Inputs!S244</f>
        <v>-</v>
      </c>
      <c r="T103" s="310" t="str">
        <f>Inputs!T244</f>
        <v>-</v>
      </c>
      <c r="U103" s="310" t="str">
        <f>Inputs!U244</f>
        <v>-</v>
      </c>
      <c r="V103" s="310" t="str">
        <f>Inputs!V244</f>
        <v>-</v>
      </c>
      <c r="W103" s="310" t="str">
        <f>Inputs!W244</f>
        <v>-</v>
      </c>
      <c r="X103" s="310" t="str">
        <f>Inputs!X244</f>
        <v>-</v>
      </c>
      <c r="Y103" s="310" t="str">
        <f>Inputs!Y244</f>
        <v>-</v>
      </c>
      <c r="Z103" s="310" t="str">
        <f>Inputs!Z244</f>
        <v>-</v>
      </c>
      <c r="AA103" s="310" t="str">
        <f>Inputs!AA244</f>
        <v>-</v>
      </c>
      <c r="AB103" s="310" t="str">
        <f>Inputs!AB244</f>
        <v>-</v>
      </c>
      <c r="AC103" s="310" t="str">
        <f>Inputs!AC244</f>
        <v>-</v>
      </c>
      <c r="AD103" s="310" t="str">
        <f>Inputs!AD244</f>
        <v>-</v>
      </c>
      <c r="AE103" s="310" t="str">
        <f>Inputs!AE244</f>
        <v>-</v>
      </c>
      <c r="AF103" s="310" t="str">
        <f>Inputs!AF244</f>
        <v>-</v>
      </c>
      <c r="AG103" s="310" t="str">
        <f>Inputs!AG244</f>
        <v>-</v>
      </c>
      <c r="AH103" s="310" t="str">
        <f>Inputs!AH244</f>
        <v>-</v>
      </c>
      <c r="AI103" s="310" t="str">
        <f>Inputs!AI244</f>
        <v>-</v>
      </c>
      <c r="AJ103" s="310" t="str">
        <f>Inputs!AJ244</f>
        <v>-</v>
      </c>
      <c r="AK103" s="310" t="str">
        <f>Inputs!AK244</f>
        <v>-</v>
      </c>
      <c r="AL103" s="310" t="str">
        <f>Inputs!AL244</f>
        <v>-</v>
      </c>
      <c r="AM103" s="310" t="str">
        <f>Inputs!AM244</f>
        <v>-</v>
      </c>
      <c r="AN103" s="310" t="str">
        <f>Inputs!AN244</f>
        <v>-</v>
      </c>
      <c r="AO103" s="310" t="str">
        <f>Inputs!AO244</f>
        <v>-</v>
      </c>
      <c r="AP103" s="310" t="str">
        <f>Inputs!AP244</f>
        <v>-</v>
      </c>
      <c r="AQ103" s="310" t="str">
        <f>Inputs!AQ244</f>
        <v>-</v>
      </c>
      <c r="AR103" s="310" t="str">
        <f>Inputs!AR244</f>
        <v>-</v>
      </c>
      <c r="AS103" s="310" t="str">
        <f>Inputs!AS244</f>
        <v>-</v>
      </c>
      <c r="AT103" s="163"/>
    </row>
    <row r="104">
      <c r="A104" s="139"/>
      <c r="B104" s="21"/>
      <c r="C104" s="21"/>
      <c r="D104" s="21"/>
      <c r="E104" s="383" t="s">
        <v>433</v>
      </c>
      <c r="F104" s="384" t="str">
        <f>Inputs!F244</f>
        <v>₦</v>
      </c>
      <c r="G104" s="384" t="str">
        <f>Inputs!G244</f>
        <v>input</v>
      </c>
      <c r="H104" s="388">
        <f>Inputs!H244</f>
        <v>500</v>
      </c>
      <c r="I104" s="310" t="str">
        <f>Inputs!I244</f>
        <v>-</v>
      </c>
      <c r="J104" s="310" t="str">
        <f>Inputs!J244</f>
        <v>-</v>
      </c>
      <c r="K104" s="310" t="str">
        <f>Inputs!K244</f>
        <v>-</v>
      </c>
      <c r="L104" s="310" t="str">
        <f>Inputs!L244</f>
        <v>-</v>
      </c>
      <c r="M104" s="310" t="str">
        <f>Inputs!M244</f>
        <v>-</v>
      </c>
      <c r="N104" s="310" t="str">
        <f>Inputs!N244</f>
        <v>-</v>
      </c>
      <c r="O104" s="310" t="str">
        <f>Inputs!O244</f>
        <v>-</v>
      </c>
      <c r="P104" s="310" t="str">
        <f>Inputs!P244</f>
        <v>-</v>
      </c>
      <c r="Q104" s="310" t="str">
        <f>Inputs!Q244</f>
        <v>-</v>
      </c>
      <c r="R104" s="310" t="str">
        <f>Inputs!R244</f>
        <v>-</v>
      </c>
      <c r="S104" s="310" t="str">
        <f>Inputs!S244</f>
        <v>-</v>
      </c>
      <c r="T104" s="310" t="str">
        <f>Inputs!T244</f>
        <v>-</v>
      </c>
      <c r="U104" s="310" t="str">
        <f>Inputs!U244</f>
        <v>-</v>
      </c>
      <c r="V104" s="310" t="str">
        <f>Inputs!V244</f>
        <v>-</v>
      </c>
      <c r="W104" s="310" t="str">
        <f>Inputs!W244</f>
        <v>-</v>
      </c>
      <c r="X104" s="310" t="str">
        <f>Inputs!X244</f>
        <v>-</v>
      </c>
      <c r="Y104" s="310" t="str">
        <f>Inputs!Y244</f>
        <v>-</v>
      </c>
      <c r="Z104" s="310" t="str">
        <f>Inputs!Z244</f>
        <v>-</v>
      </c>
      <c r="AA104" s="310" t="str">
        <f>Inputs!AA244</f>
        <v>-</v>
      </c>
      <c r="AB104" s="310" t="str">
        <f>Inputs!AB244</f>
        <v>-</v>
      </c>
      <c r="AC104" s="310" t="str">
        <f>Inputs!AC244</f>
        <v>-</v>
      </c>
      <c r="AD104" s="310" t="str">
        <f>Inputs!AD244</f>
        <v>-</v>
      </c>
      <c r="AE104" s="310" t="str">
        <f>Inputs!AE244</f>
        <v>-</v>
      </c>
      <c r="AF104" s="310" t="str">
        <f>Inputs!AF244</f>
        <v>-</v>
      </c>
      <c r="AG104" s="310" t="str">
        <f>Inputs!AG244</f>
        <v>-</v>
      </c>
      <c r="AH104" s="310" t="str">
        <f>Inputs!AH244</f>
        <v>-</v>
      </c>
      <c r="AI104" s="310" t="str">
        <f>Inputs!AI244</f>
        <v>-</v>
      </c>
      <c r="AJ104" s="310" t="str">
        <f>Inputs!AJ244</f>
        <v>-</v>
      </c>
      <c r="AK104" s="310" t="str">
        <f>Inputs!AK244</f>
        <v>-</v>
      </c>
      <c r="AL104" s="310" t="str">
        <f>Inputs!AL244</f>
        <v>-</v>
      </c>
      <c r="AM104" s="310" t="str">
        <f>Inputs!AM244</f>
        <v>-</v>
      </c>
      <c r="AN104" s="310" t="str">
        <f>Inputs!AN244</f>
        <v>-</v>
      </c>
      <c r="AO104" s="310" t="str">
        <f>Inputs!AO244</f>
        <v>-</v>
      </c>
      <c r="AP104" s="310" t="str">
        <f>Inputs!AP244</f>
        <v>-</v>
      </c>
      <c r="AQ104" s="310" t="str">
        <f>Inputs!AQ244</f>
        <v>-</v>
      </c>
      <c r="AR104" s="310" t="str">
        <f>Inputs!AR244</f>
        <v>-</v>
      </c>
      <c r="AS104" s="310" t="str">
        <f>Inputs!AS244</f>
        <v>-</v>
      </c>
      <c r="AT104" s="163"/>
    </row>
    <row r="105">
      <c r="A105" s="139"/>
      <c r="B105" s="21"/>
      <c r="C105" s="21"/>
      <c r="D105" s="21"/>
      <c r="E105" s="383" t="s">
        <v>436</v>
      </c>
      <c r="F105" s="384" t="str">
        <f>Inputs!F245</f>
        <v>₦</v>
      </c>
      <c r="G105" s="384" t="str">
        <f>Inputs!G245</f>
        <v>input</v>
      </c>
      <c r="H105" s="388">
        <f>Inputs!H245</f>
        <v>500</v>
      </c>
      <c r="I105" s="310" t="str">
        <f>Inputs!I245</f>
        <v>-</v>
      </c>
      <c r="J105" s="310" t="str">
        <f>Inputs!J245</f>
        <v>-</v>
      </c>
      <c r="K105" s="310" t="str">
        <f>Inputs!K245</f>
        <v>-</v>
      </c>
      <c r="L105" s="310" t="str">
        <f>Inputs!L245</f>
        <v>-</v>
      </c>
      <c r="M105" s="310" t="str">
        <f>Inputs!M245</f>
        <v>-</v>
      </c>
      <c r="N105" s="310" t="str">
        <f>Inputs!N245</f>
        <v>-</v>
      </c>
      <c r="O105" s="310" t="str">
        <f>Inputs!O245</f>
        <v>-</v>
      </c>
      <c r="P105" s="310" t="str">
        <f>Inputs!P245</f>
        <v>-</v>
      </c>
      <c r="Q105" s="310" t="str">
        <f>Inputs!Q245</f>
        <v>-</v>
      </c>
      <c r="R105" s="310" t="str">
        <f>Inputs!R245</f>
        <v>-</v>
      </c>
      <c r="S105" s="310" t="str">
        <f>Inputs!S245</f>
        <v>-</v>
      </c>
      <c r="T105" s="310" t="str">
        <f>Inputs!T245</f>
        <v>-</v>
      </c>
      <c r="U105" s="310" t="str">
        <f>Inputs!U245</f>
        <v>-</v>
      </c>
      <c r="V105" s="310" t="str">
        <f>Inputs!V245</f>
        <v>-</v>
      </c>
      <c r="W105" s="310" t="str">
        <f>Inputs!W245</f>
        <v>-</v>
      </c>
      <c r="X105" s="310" t="str">
        <f>Inputs!X245</f>
        <v>-</v>
      </c>
      <c r="Y105" s="310" t="str">
        <f>Inputs!Y245</f>
        <v>-</v>
      </c>
      <c r="Z105" s="310" t="str">
        <f>Inputs!Z245</f>
        <v>-</v>
      </c>
      <c r="AA105" s="310" t="str">
        <f>Inputs!AA245</f>
        <v>-</v>
      </c>
      <c r="AB105" s="310" t="str">
        <f>Inputs!AB245</f>
        <v>-</v>
      </c>
      <c r="AC105" s="310" t="str">
        <f>Inputs!AC245</f>
        <v>-</v>
      </c>
      <c r="AD105" s="310" t="str">
        <f>Inputs!AD245</f>
        <v>-</v>
      </c>
      <c r="AE105" s="310" t="str">
        <f>Inputs!AE245</f>
        <v>-</v>
      </c>
      <c r="AF105" s="310" t="str">
        <f>Inputs!AF245</f>
        <v>-</v>
      </c>
      <c r="AG105" s="310" t="str">
        <f>Inputs!AG245</f>
        <v>-</v>
      </c>
      <c r="AH105" s="310" t="str">
        <f>Inputs!AH245</f>
        <v>-</v>
      </c>
      <c r="AI105" s="310" t="str">
        <f>Inputs!AI245</f>
        <v>-</v>
      </c>
      <c r="AJ105" s="310" t="str">
        <f>Inputs!AJ245</f>
        <v>-</v>
      </c>
      <c r="AK105" s="310" t="str">
        <f>Inputs!AK245</f>
        <v>-</v>
      </c>
      <c r="AL105" s="310" t="str">
        <f>Inputs!AL245</f>
        <v>-</v>
      </c>
      <c r="AM105" s="310" t="str">
        <f>Inputs!AM245</f>
        <v>-</v>
      </c>
      <c r="AN105" s="310" t="str">
        <f>Inputs!AN245</f>
        <v>-</v>
      </c>
      <c r="AO105" s="310" t="str">
        <f>Inputs!AO245</f>
        <v>-</v>
      </c>
      <c r="AP105" s="310" t="str">
        <f>Inputs!AP245</f>
        <v>-</v>
      </c>
      <c r="AQ105" s="310" t="str">
        <f>Inputs!AQ245</f>
        <v>-</v>
      </c>
      <c r="AR105" s="310" t="str">
        <f>Inputs!AR245</f>
        <v>-</v>
      </c>
      <c r="AS105" s="310" t="str">
        <f>Inputs!AS245</f>
        <v>-</v>
      </c>
      <c r="AT105" s="163"/>
    </row>
    <row r="106">
      <c r="A106" s="139"/>
      <c r="B106" s="21"/>
      <c r="C106" s="21"/>
      <c r="D106" s="21"/>
      <c r="E106" s="383" t="s">
        <v>439</v>
      </c>
      <c r="F106" s="384" t="str">
        <f>Inputs!F246</f>
        <v>₦</v>
      </c>
      <c r="G106" s="384" t="str">
        <f>Inputs!G246</f>
        <v>input</v>
      </c>
      <c r="H106" s="388">
        <f>Inputs!H246</f>
        <v>500</v>
      </c>
      <c r="I106" s="310" t="str">
        <f>Inputs!I246</f>
        <v>-</v>
      </c>
      <c r="J106" s="310" t="str">
        <f>Inputs!J246</f>
        <v>-</v>
      </c>
      <c r="K106" s="310" t="str">
        <f>Inputs!K246</f>
        <v>-</v>
      </c>
      <c r="L106" s="310" t="str">
        <f>Inputs!L246</f>
        <v>-</v>
      </c>
      <c r="M106" s="310" t="str">
        <f>Inputs!M246</f>
        <v>-</v>
      </c>
      <c r="N106" s="310" t="str">
        <f>Inputs!N246</f>
        <v>-</v>
      </c>
      <c r="O106" s="310" t="str">
        <f>Inputs!O246</f>
        <v>-</v>
      </c>
      <c r="P106" s="310" t="str">
        <f>Inputs!P246</f>
        <v>-</v>
      </c>
      <c r="Q106" s="310" t="str">
        <f>Inputs!Q246</f>
        <v>-</v>
      </c>
      <c r="R106" s="310" t="str">
        <f>Inputs!R246</f>
        <v>-</v>
      </c>
      <c r="S106" s="310" t="str">
        <f>Inputs!S246</f>
        <v>-</v>
      </c>
      <c r="T106" s="310" t="str">
        <f>Inputs!T246</f>
        <v>-</v>
      </c>
      <c r="U106" s="310" t="str">
        <f>Inputs!U246</f>
        <v>-</v>
      </c>
      <c r="V106" s="310" t="str">
        <f>Inputs!V246</f>
        <v>-</v>
      </c>
      <c r="W106" s="310" t="str">
        <f>Inputs!W246</f>
        <v>-</v>
      </c>
      <c r="X106" s="310" t="str">
        <f>Inputs!X246</f>
        <v>-</v>
      </c>
      <c r="Y106" s="310" t="str">
        <f>Inputs!Y246</f>
        <v>-</v>
      </c>
      <c r="Z106" s="310" t="str">
        <f>Inputs!Z246</f>
        <v>-</v>
      </c>
      <c r="AA106" s="310" t="str">
        <f>Inputs!AA246</f>
        <v>-</v>
      </c>
      <c r="AB106" s="310" t="str">
        <f>Inputs!AB246</f>
        <v>-</v>
      </c>
      <c r="AC106" s="310" t="str">
        <f>Inputs!AC246</f>
        <v>-</v>
      </c>
      <c r="AD106" s="310" t="str">
        <f>Inputs!AD246</f>
        <v>-</v>
      </c>
      <c r="AE106" s="310" t="str">
        <f>Inputs!AE246</f>
        <v>-</v>
      </c>
      <c r="AF106" s="310" t="str">
        <f>Inputs!AF246</f>
        <v>-</v>
      </c>
      <c r="AG106" s="310" t="str">
        <f>Inputs!AG246</f>
        <v>-</v>
      </c>
      <c r="AH106" s="310" t="str">
        <f>Inputs!AH246</f>
        <v>-</v>
      </c>
      <c r="AI106" s="310" t="str">
        <f>Inputs!AI246</f>
        <v>-</v>
      </c>
      <c r="AJ106" s="310" t="str">
        <f>Inputs!AJ246</f>
        <v>-</v>
      </c>
      <c r="AK106" s="310" t="str">
        <f>Inputs!AK246</f>
        <v>-</v>
      </c>
      <c r="AL106" s="310" t="str">
        <f>Inputs!AL246</f>
        <v>-</v>
      </c>
      <c r="AM106" s="310" t="str">
        <f>Inputs!AM246</f>
        <v>-</v>
      </c>
      <c r="AN106" s="310" t="str">
        <f>Inputs!AN246</f>
        <v>-</v>
      </c>
      <c r="AO106" s="310" t="str">
        <f>Inputs!AO246</f>
        <v>-</v>
      </c>
      <c r="AP106" s="310" t="str">
        <f>Inputs!AP246</f>
        <v>-</v>
      </c>
      <c r="AQ106" s="310" t="str">
        <f>Inputs!AQ246</f>
        <v>-</v>
      </c>
      <c r="AR106" s="310" t="str">
        <f>Inputs!AR246</f>
        <v>-</v>
      </c>
      <c r="AS106" s="310" t="str">
        <f>Inputs!AS246</f>
        <v>-</v>
      </c>
      <c r="AT106" s="163"/>
    </row>
    <row r="107">
      <c r="A107" s="139"/>
      <c r="B107" s="21"/>
      <c r="C107" s="21"/>
      <c r="D107" s="21"/>
      <c r="E107" s="383" t="s">
        <v>444</v>
      </c>
      <c r="F107" s="384" t="str">
        <f>Inputs!F247</f>
        <v>₦</v>
      </c>
      <c r="G107" s="384" t="str">
        <f>Inputs!G247</f>
        <v>input</v>
      </c>
      <c r="H107" s="388">
        <f>Inputs!H247</f>
        <v>500</v>
      </c>
      <c r="I107" s="310" t="str">
        <f>Inputs!I247</f>
        <v>-</v>
      </c>
      <c r="J107" s="310" t="str">
        <f>Inputs!J247</f>
        <v>-</v>
      </c>
      <c r="K107" s="310" t="str">
        <f>Inputs!K247</f>
        <v>-</v>
      </c>
      <c r="L107" s="310" t="str">
        <f>Inputs!L247</f>
        <v>-</v>
      </c>
      <c r="M107" s="310" t="str">
        <f>Inputs!M247</f>
        <v>-</v>
      </c>
      <c r="N107" s="310" t="str">
        <f>Inputs!N247</f>
        <v>-</v>
      </c>
      <c r="O107" s="310" t="str">
        <f>Inputs!O247</f>
        <v>-</v>
      </c>
      <c r="P107" s="310" t="str">
        <f>Inputs!P247</f>
        <v>-</v>
      </c>
      <c r="Q107" s="310" t="str">
        <f>Inputs!Q247</f>
        <v>-</v>
      </c>
      <c r="R107" s="310" t="str">
        <f>Inputs!R247</f>
        <v>-</v>
      </c>
      <c r="S107" s="310" t="str">
        <f>Inputs!S247</f>
        <v>-</v>
      </c>
      <c r="T107" s="310" t="str">
        <f>Inputs!T247</f>
        <v>-</v>
      </c>
      <c r="U107" s="310" t="str">
        <f>Inputs!U247</f>
        <v>-</v>
      </c>
      <c r="V107" s="310" t="str">
        <f>Inputs!V247</f>
        <v>-</v>
      </c>
      <c r="W107" s="310" t="str">
        <f>Inputs!W247</f>
        <v>-</v>
      </c>
      <c r="X107" s="310" t="str">
        <f>Inputs!X247</f>
        <v>-</v>
      </c>
      <c r="Y107" s="310" t="str">
        <f>Inputs!Y247</f>
        <v>-</v>
      </c>
      <c r="Z107" s="310" t="str">
        <f>Inputs!Z247</f>
        <v>-</v>
      </c>
      <c r="AA107" s="310" t="str">
        <f>Inputs!AA247</f>
        <v>-</v>
      </c>
      <c r="AB107" s="310" t="str">
        <f>Inputs!AB247</f>
        <v>-</v>
      </c>
      <c r="AC107" s="310" t="str">
        <f>Inputs!AC247</f>
        <v>-</v>
      </c>
      <c r="AD107" s="310" t="str">
        <f>Inputs!AD247</f>
        <v>-</v>
      </c>
      <c r="AE107" s="310" t="str">
        <f>Inputs!AE247</f>
        <v>-</v>
      </c>
      <c r="AF107" s="310" t="str">
        <f>Inputs!AF247</f>
        <v>-</v>
      </c>
      <c r="AG107" s="310" t="str">
        <f>Inputs!AG247</f>
        <v>-</v>
      </c>
      <c r="AH107" s="310" t="str">
        <f>Inputs!AH247</f>
        <v>-</v>
      </c>
      <c r="AI107" s="310" t="str">
        <f>Inputs!AI247</f>
        <v>-</v>
      </c>
      <c r="AJ107" s="310" t="str">
        <f>Inputs!AJ247</f>
        <v>-</v>
      </c>
      <c r="AK107" s="310" t="str">
        <f>Inputs!AK247</f>
        <v>-</v>
      </c>
      <c r="AL107" s="310" t="str">
        <f>Inputs!AL247</f>
        <v>-</v>
      </c>
      <c r="AM107" s="310" t="str">
        <f>Inputs!AM247</f>
        <v>-</v>
      </c>
      <c r="AN107" s="310" t="str">
        <f>Inputs!AN247</f>
        <v>-</v>
      </c>
      <c r="AO107" s="310" t="str">
        <f>Inputs!AO247</f>
        <v>-</v>
      </c>
      <c r="AP107" s="310" t="str">
        <f>Inputs!AP247</f>
        <v>-</v>
      </c>
      <c r="AQ107" s="310" t="str">
        <f>Inputs!AQ247</f>
        <v>-</v>
      </c>
      <c r="AR107" s="310" t="str">
        <f>Inputs!AR247</f>
        <v>-</v>
      </c>
      <c r="AS107" s="310" t="str">
        <f>Inputs!AS247</f>
        <v>-</v>
      </c>
      <c r="AT107" s="163"/>
    </row>
    <row r="108">
      <c r="A108" s="139"/>
      <c r="B108" s="21"/>
      <c r="C108" s="21"/>
      <c r="D108" s="21"/>
      <c r="E108" s="383" t="s">
        <v>447</v>
      </c>
      <c r="F108" s="384" t="str">
        <f>Inputs!F248</f>
        <v>₦</v>
      </c>
      <c r="G108" s="384" t="str">
        <f>Inputs!G248</f>
        <v>input</v>
      </c>
      <c r="H108" s="388">
        <f>Inputs!H248</f>
        <v>2000</v>
      </c>
      <c r="I108" s="310" t="str">
        <f>Inputs!I248</f>
        <v>-</v>
      </c>
      <c r="J108" s="310" t="str">
        <f>Inputs!J248</f>
        <v>-</v>
      </c>
      <c r="K108" s="310" t="str">
        <f>Inputs!K248</f>
        <v>-</v>
      </c>
      <c r="L108" s="310" t="str">
        <f>Inputs!L248</f>
        <v>-</v>
      </c>
      <c r="M108" s="310" t="str">
        <f>Inputs!M248</f>
        <v>-</v>
      </c>
      <c r="N108" s="310" t="str">
        <f>Inputs!N248</f>
        <v>-</v>
      </c>
      <c r="O108" s="310" t="str">
        <f>Inputs!O248</f>
        <v>-</v>
      </c>
      <c r="P108" s="310" t="str">
        <f>Inputs!P248</f>
        <v>-</v>
      </c>
      <c r="Q108" s="310" t="str">
        <f>Inputs!Q248</f>
        <v>-</v>
      </c>
      <c r="R108" s="310" t="str">
        <f>Inputs!R248</f>
        <v>-</v>
      </c>
      <c r="S108" s="310" t="str">
        <f>Inputs!S248</f>
        <v>-</v>
      </c>
      <c r="T108" s="310" t="str">
        <f>Inputs!T248</f>
        <v>-</v>
      </c>
      <c r="U108" s="310" t="str">
        <f>Inputs!U248</f>
        <v>-</v>
      </c>
      <c r="V108" s="310" t="str">
        <f>Inputs!V248</f>
        <v>-</v>
      </c>
      <c r="W108" s="310" t="str">
        <f>Inputs!W248</f>
        <v>-</v>
      </c>
      <c r="X108" s="310" t="str">
        <f>Inputs!X248</f>
        <v>-</v>
      </c>
      <c r="Y108" s="310" t="str">
        <f>Inputs!Y248</f>
        <v>-</v>
      </c>
      <c r="Z108" s="310" t="str">
        <f>Inputs!Z248</f>
        <v>-</v>
      </c>
      <c r="AA108" s="310" t="str">
        <f>Inputs!AA248</f>
        <v>-</v>
      </c>
      <c r="AB108" s="310" t="str">
        <f>Inputs!AB248</f>
        <v>-</v>
      </c>
      <c r="AC108" s="310" t="str">
        <f>Inputs!AC248</f>
        <v>-</v>
      </c>
      <c r="AD108" s="310" t="str">
        <f>Inputs!AD248</f>
        <v>-</v>
      </c>
      <c r="AE108" s="310" t="str">
        <f>Inputs!AE248</f>
        <v>-</v>
      </c>
      <c r="AF108" s="310" t="str">
        <f>Inputs!AF248</f>
        <v>-</v>
      </c>
      <c r="AG108" s="310" t="str">
        <f>Inputs!AG248</f>
        <v>-</v>
      </c>
      <c r="AH108" s="310" t="str">
        <f>Inputs!AH248</f>
        <v>-</v>
      </c>
      <c r="AI108" s="310" t="str">
        <f>Inputs!AI248</f>
        <v>-</v>
      </c>
      <c r="AJ108" s="310" t="str">
        <f>Inputs!AJ248</f>
        <v>-</v>
      </c>
      <c r="AK108" s="310" t="str">
        <f>Inputs!AK248</f>
        <v>-</v>
      </c>
      <c r="AL108" s="310" t="str">
        <f>Inputs!AL248</f>
        <v>-</v>
      </c>
      <c r="AM108" s="310" t="str">
        <f>Inputs!AM248</f>
        <v>-</v>
      </c>
      <c r="AN108" s="310" t="str">
        <f>Inputs!AN248</f>
        <v>-</v>
      </c>
      <c r="AO108" s="310" t="str">
        <f>Inputs!AO248</f>
        <v>-</v>
      </c>
      <c r="AP108" s="310" t="str">
        <f>Inputs!AP248</f>
        <v>-</v>
      </c>
      <c r="AQ108" s="310" t="str">
        <f>Inputs!AQ248</f>
        <v>-</v>
      </c>
      <c r="AR108" s="310" t="str">
        <f>Inputs!AR248</f>
        <v>-</v>
      </c>
      <c r="AS108" s="310" t="str">
        <f>Inputs!AS248</f>
        <v>-</v>
      </c>
      <c r="AT108" s="163"/>
    </row>
    <row r="109">
      <c r="A109" s="139"/>
      <c r="B109" s="21"/>
      <c r="C109" s="21"/>
      <c r="D109" s="21"/>
      <c r="E109" s="386" t="s">
        <v>452</v>
      </c>
      <c r="F109" s="384" t="s">
        <v>453</v>
      </c>
      <c r="G109" s="387" t="s">
        <v>149</v>
      </c>
      <c r="H109" s="388">
        <f>SUM(H104:H108)</f>
        <v>4000</v>
      </c>
      <c r="I109" s="232" t="s">
        <v>150</v>
      </c>
      <c r="J109" s="232" t="s">
        <v>150</v>
      </c>
      <c r="K109" s="232" t="s">
        <v>150</v>
      </c>
      <c r="L109" s="232" t="s">
        <v>150</v>
      </c>
      <c r="M109" s="232" t="s">
        <v>150</v>
      </c>
      <c r="N109" s="232" t="s">
        <v>150</v>
      </c>
      <c r="O109" s="232" t="s">
        <v>150</v>
      </c>
      <c r="P109" s="232" t="s">
        <v>150</v>
      </c>
      <c r="Q109" s="232" t="s">
        <v>150</v>
      </c>
      <c r="R109" s="232" t="s">
        <v>150</v>
      </c>
      <c r="S109" s="232" t="s">
        <v>150</v>
      </c>
      <c r="T109" s="232" t="s">
        <v>150</v>
      </c>
      <c r="U109" s="232" t="s">
        <v>150</v>
      </c>
      <c r="V109" s="232" t="s">
        <v>150</v>
      </c>
      <c r="W109" s="232" t="s">
        <v>150</v>
      </c>
      <c r="X109" s="232" t="s">
        <v>150</v>
      </c>
      <c r="Y109" s="232" t="s">
        <v>150</v>
      </c>
      <c r="Z109" s="232" t="s">
        <v>150</v>
      </c>
      <c r="AA109" s="232" t="s">
        <v>150</v>
      </c>
      <c r="AB109" s="232" t="s">
        <v>150</v>
      </c>
      <c r="AC109" s="232" t="s">
        <v>150</v>
      </c>
      <c r="AD109" s="232" t="s">
        <v>150</v>
      </c>
      <c r="AE109" s="232" t="s">
        <v>150</v>
      </c>
      <c r="AF109" s="232" t="s">
        <v>150</v>
      </c>
      <c r="AG109" s="232" t="s">
        <v>150</v>
      </c>
      <c r="AH109" s="232" t="s">
        <v>150</v>
      </c>
      <c r="AI109" s="232" t="s">
        <v>150</v>
      </c>
      <c r="AJ109" s="232" t="s">
        <v>150</v>
      </c>
      <c r="AK109" s="232" t="s">
        <v>150</v>
      </c>
      <c r="AL109" s="232" t="s">
        <v>150</v>
      </c>
      <c r="AM109" s="232" t="s">
        <v>150</v>
      </c>
      <c r="AN109" s="232" t="s">
        <v>150</v>
      </c>
      <c r="AO109" s="232" t="s">
        <v>150</v>
      </c>
      <c r="AP109" s="232" t="s">
        <v>150</v>
      </c>
      <c r="AQ109" s="232" t="s">
        <v>150</v>
      </c>
      <c r="AR109" s="232" t="s">
        <v>150</v>
      </c>
      <c r="AS109" s="232" t="s">
        <v>150</v>
      </c>
      <c r="AT109" s="163"/>
    </row>
    <row r="110">
      <c r="A110" s="139"/>
      <c r="B110" s="21"/>
      <c r="C110" s="21"/>
      <c r="D110" s="21"/>
      <c r="E110" s="383" t="s">
        <v>457</v>
      </c>
      <c r="F110" s="384" t="str">
        <f>Inputs!F249</f>
        <v>₦</v>
      </c>
      <c r="G110" s="384" t="str">
        <f>Inputs!G249</f>
        <v>input</v>
      </c>
      <c r="H110" s="388">
        <f>Inputs!H249</f>
        <v>362.3188406</v>
      </c>
      <c r="I110" s="310" t="str">
        <f>Inputs!I249</f>
        <v>-</v>
      </c>
      <c r="J110" s="310" t="str">
        <f>Inputs!J249</f>
        <v>-</v>
      </c>
      <c r="K110" s="310" t="str">
        <f>Inputs!K249</f>
        <v>-</v>
      </c>
      <c r="L110" s="310" t="str">
        <f>Inputs!L249</f>
        <v>-</v>
      </c>
      <c r="M110" s="310" t="str">
        <f>Inputs!M249</f>
        <v>-</v>
      </c>
      <c r="N110" s="310" t="str">
        <f>Inputs!N249</f>
        <v>-</v>
      </c>
      <c r="O110" s="310" t="str">
        <f>Inputs!O249</f>
        <v>-</v>
      </c>
      <c r="P110" s="310" t="str">
        <f>Inputs!P249</f>
        <v>-</v>
      </c>
      <c r="Q110" s="310" t="str">
        <f>Inputs!Q249</f>
        <v>-</v>
      </c>
      <c r="R110" s="310" t="str">
        <f>Inputs!R249</f>
        <v>-</v>
      </c>
      <c r="S110" s="310" t="str">
        <f>Inputs!S249</f>
        <v>-</v>
      </c>
      <c r="T110" s="310" t="str">
        <f>Inputs!T249</f>
        <v>-</v>
      </c>
      <c r="U110" s="310" t="str">
        <f>Inputs!U249</f>
        <v>-</v>
      </c>
      <c r="V110" s="310" t="str">
        <f>Inputs!V249</f>
        <v>-</v>
      </c>
      <c r="W110" s="310" t="str">
        <f>Inputs!W249</f>
        <v>-</v>
      </c>
      <c r="X110" s="310" t="str">
        <f>Inputs!X249</f>
        <v>-</v>
      </c>
      <c r="Y110" s="310" t="str">
        <f>Inputs!Y249</f>
        <v>-</v>
      </c>
      <c r="Z110" s="310" t="str">
        <f>Inputs!Z249</f>
        <v>-</v>
      </c>
      <c r="AA110" s="310" t="str">
        <f>Inputs!AA249</f>
        <v>-</v>
      </c>
      <c r="AB110" s="310" t="str">
        <f>Inputs!AB249</f>
        <v>-</v>
      </c>
      <c r="AC110" s="310" t="str">
        <f>Inputs!AC249</f>
        <v>-</v>
      </c>
      <c r="AD110" s="310" t="str">
        <f>Inputs!AD249</f>
        <v>-</v>
      </c>
      <c r="AE110" s="310" t="str">
        <f>Inputs!AE249</f>
        <v>-</v>
      </c>
      <c r="AF110" s="310" t="str">
        <f>Inputs!AF249</f>
        <v>-</v>
      </c>
      <c r="AG110" s="310" t="str">
        <f>Inputs!AG249</f>
        <v>-</v>
      </c>
      <c r="AH110" s="310" t="str">
        <f>Inputs!AH249</f>
        <v>-</v>
      </c>
      <c r="AI110" s="310" t="str">
        <f>Inputs!AI249</f>
        <v>-</v>
      </c>
      <c r="AJ110" s="310" t="str">
        <f>Inputs!AJ249</f>
        <v>-</v>
      </c>
      <c r="AK110" s="310" t="str">
        <f>Inputs!AK249</f>
        <v>-</v>
      </c>
      <c r="AL110" s="310" t="str">
        <f>Inputs!AL249</f>
        <v>-</v>
      </c>
      <c r="AM110" s="310" t="str">
        <f>Inputs!AM249</f>
        <v>-</v>
      </c>
      <c r="AN110" s="310" t="str">
        <f>Inputs!AN249</f>
        <v>-</v>
      </c>
      <c r="AO110" s="310" t="str">
        <f>Inputs!AO249</f>
        <v>-</v>
      </c>
      <c r="AP110" s="310" t="str">
        <f>Inputs!AP249</f>
        <v>-</v>
      </c>
      <c r="AQ110" s="310" t="str">
        <f>Inputs!AQ249</f>
        <v>-</v>
      </c>
      <c r="AR110" s="310" t="str">
        <f>Inputs!AR249</f>
        <v>-</v>
      </c>
      <c r="AS110" s="310" t="str">
        <f>Inputs!AS249</f>
        <v>-</v>
      </c>
      <c r="AT110" s="163"/>
    </row>
    <row r="111">
      <c r="A111" s="139"/>
      <c r="B111" s="21"/>
      <c r="C111" s="21"/>
      <c r="D111" s="21"/>
      <c r="E111" s="386" t="s">
        <v>460</v>
      </c>
      <c r="F111" s="387" t="s">
        <v>118</v>
      </c>
      <c r="G111" s="387" t="s">
        <v>149</v>
      </c>
      <c r="H111" s="390">
        <f>H103/H110</f>
        <v>2.76</v>
      </c>
      <c r="I111" s="232" t="s">
        <v>150</v>
      </c>
      <c r="J111" s="232" t="s">
        <v>150</v>
      </c>
      <c r="K111" s="232" t="s">
        <v>150</v>
      </c>
      <c r="L111" s="232" t="s">
        <v>150</v>
      </c>
      <c r="M111" s="232" t="s">
        <v>150</v>
      </c>
      <c r="N111" s="232" t="s">
        <v>150</v>
      </c>
      <c r="O111" s="232" t="s">
        <v>150</v>
      </c>
      <c r="P111" s="232" t="s">
        <v>150</v>
      </c>
      <c r="Q111" s="232" t="s">
        <v>150</v>
      </c>
      <c r="R111" s="232" t="s">
        <v>150</v>
      </c>
      <c r="S111" s="232" t="s">
        <v>150</v>
      </c>
      <c r="T111" s="232" t="s">
        <v>150</v>
      </c>
      <c r="U111" s="232" t="s">
        <v>150</v>
      </c>
      <c r="V111" s="232" t="s">
        <v>150</v>
      </c>
      <c r="W111" s="232" t="s">
        <v>150</v>
      </c>
      <c r="X111" s="232" t="s">
        <v>150</v>
      </c>
      <c r="Y111" s="232" t="s">
        <v>150</v>
      </c>
      <c r="Z111" s="232" t="s">
        <v>150</v>
      </c>
      <c r="AA111" s="232" t="s">
        <v>150</v>
      </c>
      <c r="AB111" s="232" t="s">
        <v>150</v>
      </c>
      <c r="AC111" s="232" t="s">
        <v>150</v>
      </c>
      <c r="AD111" s="232" t="s">
        <v>150</v>
      </c>
      <c r="AE111" s="232" t="s">
        <v>150</v>
      </c>
      <c r="AF111" s="232" t="s">
        <v>150</v>
      </c>
      <c r="AG111" s="232" t="s">
        <v>150</v>
      </c>
      <c r="AH111" s="232" t="s">
        <v>150</v>
      </c>
      <c r="AI111" s="232" t="s">
        <v>150</v>
      </c>
      <c r="AJ111" s="232" t="s">
        <v>150</v>
      </c>
      <c r="AK111" s="232" t="s">
        <v>150</v>
      </c>
      <c r="AL111" s="232" t="s">
        <v>150</v>
      </c>
      <c r="AM111" s="232" t="s">
        <v>150</v>
      </c>
      <c r="AN111" s="232" t="s">
        <v>150</v>
      </c>
      <c r="AO111" s="232" t="s">
        <v>150</v>
      </c>
      <c r="AP111" s="232" t="s">
        <v>150</v>
      </c>
      <c r="AQ111" s="232" t="s">
        <v>150</v>
      </c>
      <c r="AR111" s="232" t="s">
        <v>150</v>
      </c>
      <c r="AS111" s="232" t="s">
        <v>150</v>
      </c>
      <c r="AT111" s="163"/>
    </row>
    <row r="112">
      <c r="A112" s="139"/>
      <c r="B112" s="21"/>
      <c r="C112" s="21"/>
      <c r="D112" s="21"/>
      <c r="E112" s="386" t="s">
        <v>463</v>
      </c>
      <c r="F112" s="387" t="s">
        <v>118</v>
      </c>
      <c r="G112" s="387" t="s">
        <v>149</v>
      </c>
      <c r="H112" s="390">
        <f>H109/H110</f>
        <v>11.04</v>
      </c>
      <c r="I112" s="232" t="s">
        <v>150</v>
      </c>
      <c r="J112" s="232" t="s">
        <v>150</v>
      </c>
      <c r="K112" s="232" t="s">
        <v>150</v>
      </c>
      <c r="L112" s="232" t="s">
        <v>150</v>
      </c>
      <c r="M112" s="232" t="s">
        <v>150</v>
      </c>
      <c r="N112" s="232" t="s">
        <v>150</v>
      </c>
      <c r="O112" s="232" t="s">
        <v>150</v>
      </c>
      <c r="P112" s="232" t="s">
        <v>150</v>
      </c>
      <c r="Q112" s="232" t="s">
        <v>150</v>
      </c>
      <c r="R112" s="232" t="s">
        <v>150</v>
      </c>
      <c r="S112" s="232" t="s">
        <v>150</v>
      </c>
      <c r="T112" s="232" t="s">
        <v>150</v>
      </c>
      <c r="U112" s="232" t="s">
        <v>150</v>
      </c>
      <c r="V112" s="232" t="s">
        <v>150</v>
      </c>
      <c r="W112" s="232" t="s">
        <v>150</v>
      </c>
      <c r="X112" s="232" t="s">
        <v>150</v>
      </c>
      <c r="Y112" s="232" t="s">
        <v>150</v>
      </c>
      <c r="Z112" s="232" t="s">
        <v>150</v>
      </c>
      <c r="AA112" s="232" t="s">
        <v>150</v>
      </c>
      <c r="AB112" s="232" t="s">
        <v>150</v>
      </c>
      <c r="AC112" s="232" t="s">
        <v>150</v>
      </c>
      <c r="AD112" s="232" t="s">
        <v>150</v>
      </c>
      <c r="AE112" s="232" t="s">
        <v>150</v>
      </c>
      <c r="AF112" s="232" t="s">
        <v>150</v>
      </c>
      <c r="AG112" s="232" t="s">
        <v>150</v>
      </c>
      <c r="AH112" s="232" t="s">
        <v>150</v>
      </c>
      <c r="AI112" s="232" t="s">
        <v>150</v>
      </c>
      <c r="AJ112" s="232" t="s">
        <v>150</v>
      </c>
      <c r="AK112" s="232" t="s">
        <v>150</v>
      </c>
      <c r="AL112" s="232" t="s">
        <v>150</v>
      </c>
      <c r="AM112" s="232" t="s">
        <v>150</v>
      </c>
      <c r="AN112" s="232" t="s">
        <v>150</v>
      </c>
      <c r="AO112" s="232" t="s">
        <v>150</v>
      </c>
      <c r="AP112" s="232" t="s">
        <v>150</v>
      </c>
      <c r="AQ112" s="232" t="s">
        <v>150</v>
      </c>
      <c r="AR112" s="232" t="s">
        <v>150</v>
      </c>
      <c r="AS112" s="232" t="s">
        <v>150</v>
      </c>
      <c r="AT112" s="163"/>
    </row>
    <row r="113">
      <c r="A113" s="139"/>
      <c r="B113" s="21"/>
      <c r="C113" s="21"/>
      <c r="D113" s="21"/>
      <c r="E113" s="386" t="s">
        <v>464</v>
      </c>
      <c r="F113" s="387" t="s">
        <v>118</v>
      </c>
      <c r="G113" s="387" t="s">
        <v>149</v>
      </c>
      <c r="H113" s="390">
        <f>H112-H111</f>
        <v>8.28</v>
      </c>
      <c r="I113" s="232" t="s">
        <v>150</v>
      </c>
      <c r="J113" s="232" t="s">
        <v>150</v>
      </c>
      <c r="K113" s="232" t="s">
        <v>150</v>
      </c>
      <c r="L113" s="232" t="s">
        <v>150</v>
      </c>
      <c r="M113" s="232" t="s">
        <v>150</v>
      </c>
      <c r="N113" s="232" t="s">
        <v>150</v>
      </c>
      <c r="O113" s="232" t="s">
        <v>150</v>
      </c>
      <c r="P113" s="232" t="s">
        <v>150</v>
      </c>
      <c r="Q113" s="232" t="s">
        <v>150</v>
      </c>
      <c r="R113" s="232" t="s">
        <v>150</v>
      </c>
      <c r="S113" s="232" t="s">
        <v>150</v>
      </c>
      <c r="T113" s="232" t="s">
        <v>150</v>
      </c>
      <c r="U113" s="232" t="s">
        <v>150</v>
      </c>
      <c r="V113" s="232" t="s">
        <v>150</v>
      </c>
      <c r="W113" s="232" t="s">
        <v>150</v>
      </c>
      <c r="X113" s="232" t="s">
        <v>150</v>
      </c>
      <c r="Y113" s="232" t="s">
        <v>150</v>
      </c>
      <c r="Z113" s="232" t="s">
        <v>150</v>
      </c>
      <c r="AA113" s="232" t="s">
        <v>150</v>
      </c>
      <c r="AB113" s="232" t="s">
        <v>150</v>
      </c>
      <c r="AC113" s="232" t="s">
        <v>150</v>
      </c>
      <c r="AD113" s="232" t="s">
        <v>150</v>
      </c>
      <c r="AE113" s="232" t="s">
        <v>150</v>
      </c>
      <c r="AF113" s="232" t="s">
        <v>150</v>
      </c>
      <c r="AG113" s="232" t="s">
        <v>150</v>
      </c>
      <c r="AH113" s="232" t="s">
        <v>150</v>
      </c>
      <c r="AI113" s="232" t="s">
        <v>150</v>
      </c>
      <c r="AJ113" s="232" t="s">
        <v>150</v>
      </c>
      <c r="AK113" s="232" t="s">
        <v>150</v>
      </c>
      <c r="AL113" s="232" t="s">
        <v>150</v>
      </c>
      <c r="AM113" s="232" t="s">
        <v>150</v>
      </c>
      <c r="AN113" s="232" t="s">
        <v>150</v>
      </c>
      <c r="AO113" s="232" t="s">
        <v>150</v>
      </c>
      <c r="AP113" s="232" t="s">
        <v>150</v>
      </c>
      <c r="AQ113" s="232" t="s">
        <v>150</v>
      </c>
      <c r="AR113" s="232" t="s">
        <v>150</v>
      </c>
      <c r="AS113" s="232" t="s">
        <v>150</v>
      </c>
      <c r="AT113" s="163"/>
    </row>
    <row r="114">
      <c r="A114" s="139"/>
      <c r="B114" s="21"/>
      <c r="C114" s="21"/>
      <c r="D114" s="21"/>
      <c r="E114" s="383" t="s">
        <v>465</v>
      </c>
      <c r="F114" s="384" t="str">
        <f>Inputs!F250</f>
        <v>#</v>
      </c>
      <c r="G114" s="384" t="str">
        <f>Inputs!G250</f>
        <v>input</v>
      </c>
      <c r="H114" s="274">
        <f>Inputs!H250</f>
        <v>6.8</v>
      </c>
      <c r="I114" s="310" t="str">
        <f>Inputs!I250</f>
        <v>-</v>
      </c>
      <c r="J114" s="310" t="str">
        <f>Inputs!J250</f>
        <v>-</v>
      </c>
      <c r="K114" s="310" t="str">
        <f>Inputs!K250</f>
        <v>-</v>
      </c>
      <c r="L114" s="310" t="str">
        <f>Inputs!L250</f>
        <v>-</v>
      </c>
      <c r="M114" s="310" t="str">
        <f>Inputs!M250</f>
        <v>-</v>
      </c>
      <c r="N114" s="310" t="str">
        <f>Inputs!N250</f>
        <v>-</v>
      </c>
      <c r="O114" s="310" t="str">
        <f>Inputs!O250</f>
        <v>-</v>
      </c>
      <c r="P114" s="310" t="str">
        <f>Inputs!P250</f>
        <v>-</v>
      </c>
      <c r="Q114" s="310" t="str">
        <f>Inputs!Q250</f>
        <v>-</v>
      </c>
      <c r="R114" s="310" t="str">
        <f>Inputs!R250</f>
        <v>-</v>
      </c>
      <c r="S114" s="310" t="str">
        <f>Inputs!S250</f>
        <v>-</v>
      </c>
      <c r="T114" s="310" t="str">
        <f>Inputs!T250</f>
        <v>-</v>
      </c>
      <c r="U114" s="310" t="str">
        <f>Inputs!U250</f>
        <v>-</v>
      </c>
      <c r="V114" s="310" t="str">
        <f>Inputs!V250</f>
        <v>-</v>
      </c>
      <c r="W114" s="310" t="str">
        <f>Inputs!W250</f>
        <v>-</v>
      </c>
      <c r="X114" s="310" t="str">
        <f>Inputs!X250</f>
        <v>-</v>
      </c>
      <c r="Y114" s="310" t="str">
        <f>Inputs!Y250</f>
        <v>-</v>
      </c>
      <c r="Z114" s="310" t="str">
        <f>Inputs!Z250</f>
        <v>-</v>
      </c>
      <c r="AA114" s="310" t="str">
        <f>Inputs!AA250</f>
        <v>-</v>
      </c>
      <c r="AB114" s="310" t="str">
        <f>Inputs!AB250</f>
        <v>-</v>
      </c>
      <c r="AC114" s="310" t="str">
        <f>Inputs!AC250</f>
        <v>-</v>
      </c>
      <c r="AD114" s="310" t="str">
        <f>Inputs!AD250</f>
        <v>-</v>
      </c>
      <c r="AE114" s="310" t="str">
        <f>Inputs!AE250</f>
        <v>-</v>
      </c>
      <c r="AF114" s="310" t="str">
        <f>Inputs!AF250</f>
        <v>-</v>
      </c>
      <c r="AG114" s="310" t="str">
        <f>Inputs!AG250</f>
        <v>-</v>
      </c>
      <c r="AH114" s="310" t="str">
        <f>Inputs!AH250</f>
        <v>-</v>
      </c>
      <c r="AI114" s="310" t="str">
        <f>Inputs!AI250</f>
        <v>-</v>
      </c>
      <c r="AJ114" s="310" t="str">
        <f>Inputs!AJ250</f>
        <v>-</v>
      </c>
      <c r="AK114" s="310" t="str">
        <f>Inputs!AK250</f>
        <v>-</v>
      </c>
      <c r="AL114" s="310" t="str">
        <f>Inputs!AL250</f>
        <v>-</v>
      </c>
      <c r="AM114" s="310" t="str">
        <f>Inputs!AM250</f>
        <v>-</v>
      </c>
      <c r="AN114" s="310" t="str">
        <f>Inputs!AN250</f>
        <v>-</v>
      </c>
      <c r="AO114" s="310" t="str">
        <f>Inputs!AO250</f>
        <v>-</v>
      </c>
      <c r="AP114" s="310" t="str">
        <f>Inputs!AP250</f>
        <v>-</v>
      </c>
      <c r="AQ114" s="310" t="str">
        <f>Inputs!AQ250</f>
        <v>-</v>
      </c>
      <c r="AR114" s="310" t="str">
        <f>Inputs!AR250</f>
        <v>-</v>
      </c>
      <c r="AS114" s="310" t="str">
        <f>Inputs!AS250</f>
        <v>-</v>
      </c>
      <c r="AT114" s="163"/>
    </row>
    <row r="115">
      <c r="A115" s="139"/>
      <c r="B115" s="21"/>
      <c r="C115" s="21"/>
      <c r="D115" s="21"/>
      <c r="E115" s="386" t="s">
        <v>471</v>
      </c>
      <c r="F115" s="387" t="s">
        <v>118</v>
      </c>
      <c r="G115" s="387" t="s">
        <v>149</v>
      </c>
      <c r="H115" s="390">
        <f>H113/H114</f>
        <v>1.217647059</v>
      </c>
      <c r="I115" s="232" t="s">
        <v>150</v>
      </c>
      <c r="J115" s="232" t="s">
        <v>150</v>
      </c>
      <c r="K115" s="232" t="s">
        <v>150</v>
      </c>
      <c r="L115" s="232" t="s">
        <v>150</v>
      </c>
      <c r="M115" s="232" t="s">
        <v>150</v>
      </c>
      <c r="N115" s="232" t="s">
        <v>150</v>
      </c>
      <c r="O115" s="232" t="s">
        <v>150</v>
      </c>
      <c r="P115" s="232" t="s">
        <v>150</v>
      </c>
      <c r="Q115" s="232" t="s">
        <v>150</v>
      </c>
      <c r="R115" s="232" t="s">
        <v>150</v>
      </c>
      <c r="S115" s="232" t="s">
        <v>150</v>
      </c>
      <c r="T115" s="232" t="s">
        <v>150</v>
      </c>
      <c r="U115" s="232" t="s">
        <v>150</v>
      </c>
      <c r="V115" s="232" t="s">
        <v>150</v>
      </c>
      <c r="W115" s="232" t="s">
        <v>150</v>
      </c>
      <c r="X115" s="232" t="s">
        <v>150</v>
      </c>
      <c r="Y115" s="232" t="s">
        <v>150</v>
      </c>
      <c r="Z115" s="232" t="s">
        <v>150</v>
      </c>
      <c r="AA115" s="232" t="s">
        <v>150</v>
      </c>
      <c r="AB115" s="232" t="s">
        <v>150</v>
      </c>
      <c r="AC115" s="232" t="s">
        <v>150</v>
      </c>
      <c r="AD115" s="232" t="s">
        <v>150</v>
      </c>
      <c r="AE115" s="232" t="s">
        <v>150</v>
      </c>
      <c r="AF115" s="232" t="s">
        <v>150</v>
      </c>
      <c r="AG115" s="232" t="s">
        <v>150</v>
      </c>
      <c r="AH115" s="232" t="s">
        <v>150</v>
      </c>
      <c r="AI115" s="232" t="s">
        <v>150</v>
      </c>
      <c r="AJ115" s="232" t="s">
        <v>150</v>
      </c>
      <c r="AK115" s="232" t="s">
        <v>150</v>
      </c>
      <c r="AL115" s="232" t="s">
        <v>150</v>
      </c>
      <c r="AM115" s="232" t="s">
        <v>150</v>
      </c>
      <c r="AN115" s="232" t="s">
        <v>150</v>
      </c>
      <c r="AO115" s="232" t="s">
        <v>150</v>
      </c>
      <c r="AP115" s="232" t="s">
        <v>150</v>
      </c>
      <c r="AQ115" s="232" t="s">
        <v>150</v>
      </c>
      <c r="AR115" s="232" t="s">
        <v>150</v>
      </c>
      <c r="AS115" s="232" t="s">
        <v>150</v>
      </c>
      <c r="AT115" s="163"/>
    </row>
    <row r="116">
      <c r="A116" s="139"/>
      <c r="B116" s="21"/>
      <c r="C116" s="21"/>
      <c r="D116" s="21"/>
      <c r="E116" s="383" t="s">
        <v>473</v>
      </c>
      <c r="F116" s="392" t="str">
        <f>Inputs!F251</f>
        <v>$</v>
      </c>
      <c r="G116" s="392" t="str">
        <f>Inputs!G251</f>
        <v>input</v>
      </c>
      <c r="H116" s="393">
        <f>Inputs!H251</f>
        <v>285.92</v>
      </c>
      <c r="I116" s="310" t="str">
        <f>Inputs!I251</f>
        <v>-</v>
      </c>
      <c r="J116" s="310" t="str">
        <f>Inputs!J251</f>
        <v>-</v>
      </c>
      <c r="K116" s="310" t="str">
        <f>Inputs!K251</f>
        <v>-</v>
      </c>
      <c r="L116" s="310" t="str">
        <f>Inputs!L251</f>
        <v>-</v>
      </c>
      <c r="M116" s="310" t="str">
        <f>Inputs!M251</f>
        <v>-</v>
      </c>
      <c r="N116" s="310" t="str">
        <f>Inputs!N251</f>
        <v>-</v>
      </c>
      <c r="O116" s="310" t="str">
        <f>Inputs!O251</f>
        <v>-</v>
      </c>
      <c r="P116" s="310" t="str">
        <f>Inputs!P251</f>
        <v>-</v>
      </c>
      <c r="Q116" s="310" t="str">
        <f>Inputs!Q251</f>
        <v>-</v>
      </c>
      <c r="R116" s="310" t="str">
        <f>Inputs!R251</f>
        <v>-</v>
      </c>
      <c r="S116" s="310" t="str">
        <f>Inputs!S251</f>
        <v>-</v>
      </c>
      <c r="T116" s="310" t="str">
        <f>Inputs!T251</f>
        <v>-</v>
      </c>
      <c r="U116" s="310" t="str">
        <f>Inputs!U251</f>
        <v>-</v>
      </c>
      <c r="V116" s="310" t="str">
        <f>Inputs!V251</f>
        <v>-</v>
      </c>
      <c r="W116" s="310" t="str">
        <f>Inputs!W251</f>
        <v>-</v>
      </c>
      <c r="X116" s="310" t="str">
        <f>Inputs!X251</f>
        <v>-</v>
      </c>
      <c r="Y116" s="310" t="str">
        <f>Inputs!Y251</f>
        <v>-</v>
      </c>
      <c r="Z116" s="310" t="str">
        <f>Inputs!Z251</f>
        <v>-</v>
      </c>
      <c r="AA116" s="310" t="str">
        <f>Inputs!AA251</f>
        <v>-</v>
      </c>
      <c r="AB116" s="310" t="str">
        <f>Inputs!AB251</f>
        <v>-</v>
      </c>
      <c r="AC116" s="310" t="str">
        <f>Inputs!AC251</f>
        <v>-</v>
      </c>
      <c r="AD116" s="310" t="str">
        <f>Inputs!AD251</f>
        <v>-</v>
      </c>
      <c r="AE116" s="310" t="str">
        <f>Inputs!AE251</f>
        <v>-</v>
      </c>
      <c r="AF116" s="310" t="str">
        <f>Inputs!AF251</f>
        <v>-</v>
      </c>
      <c r="AG116" s="310" t="str">
        <f>Inputs!AG251</f>
        <v>-</v>
      </c>
      <c r="AH116" s="310" t="str">
        <f>Inputs!AH251</f>
        <v>-</v>
      </c>
      <c r="AI116" s="310" t="str">
        <f>Inputs!AI251</f>
        <v>-</v>
      </c>
      <c r="AJ116" s="310" t="str">
        <f>Inputs!AJ251</f>
        <v>-</v>
      </c>
      <c r="AK116" s="310" t="str">
        <f>Inputs!AK251</f>
        <v>-</v>
      </c>
      <c r="AL116" s="310" t="str">
        <f>Inputs!AL251</f>
        <v>-</v>
      </c>
      <c r="AM116" s="310" t="str">
        <f>Inputs!AM251</f>
        <v>-</v>
      </c>
      <c r="AN116" s="310" t="str">
        <f>Inputs!AN251</f>
        <v>-</v>
      </c>
      <c r="AO116" s="310" t="str">
        <f>Inputs!AO251</f>
        <v>-</v>
      </c>
      <c r="AP116" s="310" t="str">
        <f>Inputs!AP251</f>
        <v>-</v>
      </c>
      <c r="AQ116" s="310" t="str">
        <f>Inputs!AQ251</f>
        <v>-</v>
      </c>
      <c r="AR116" s="310" t="str">
        <f>Inputs!AR251</f>
        <v>-</v>
      </c>
      <c r="AS116" s="310" t="str">
        <f>Inputs!AS251</f>
        <v>-</v>
      </c>
      <c r="AT116" s="163"/>
    </row>
    <row r="117">
      <c r="A117" s="139"/>
      <c r="B117" s="21"/>
      <c r="C117" s="21"/>
      <c r="D117" s="21"/>
      <c r="E117" s="386" t="s">
        <v>480</v>
      </c>
      <c r="F117" s="387" t="s">
        <v>120</v>
      </c>
      <c r="G117" s="387" t="s">
        <v>149</v>
      </c>
      <c r="H117" s="394">
        <f>LN(SUM(H115:H116))-LN(H116)</f>
        <v>0.004249655851</v>
      </c>
      <c r="I117" s="232" t="s">
        <v>150</v>
      </c>
      <c r="J117" s="232" t="s">
        <v>150</v>
      </c>
      <c r="K117" s="232" t="s">
        <v>150</v>
      </c>
      <c r="L117" s="232" t="s">
        <v>150</v>
      </c>
      <c r="M117" s="232" t="s">
        <v>150</v>
      </c>
      <c r="N117" s="232" t="s">
        <v>150</v>
      </c>
      <c r="O117" s="232" t="s">
        <v>150</v>
      </c>
      <c r="P117" s="232" t="s">
        <v>150</v>
      </c>
      <c r="Q117" s="232" t="s">
        <v>150</v>
      </c>
      <c r="R117" s="232" t="s">
        <v>150</v>
      </c>
      <c r="S117" s="232" t="s">
        <v>150</v>
      </c>
      <c r="T117" s="232" t="s">
        <v>150</v>
      </c>
      <c r="U117" s="232" t="s">
        <v>150</v>
      </c>
      <c r="V117" s="232" t="s">
        <v>150</v>
      </c>
      <c r="W117" s="232" t="s">
        <v>150</v>
      </c>
      <c r="X117" s="232" t="s">
        <v>150</v>
      </c>
      <c r="Y117" s="232" t="s">
        <v>150</v>
      </c>
      <c r="Z117" s="232" t="s">
        <v>150</v>
      </c>
      <c r="AA117" s="232" t="s">
        <v>150</v>
      </c>
      <c r="AB117" s="232" t="s">
        <v>150</v>
      </c>
      <c r="AC117" s="232" t="s">
        <v>150</v>
      </c>
      <c r="AD117" s="232" t="s">
        <v>150</v>
      </c>
      <c r="AE117" s="232" t="s">
        <v>150</v>
      </c>
      <c r="AF117" s="232" t="s">
        <v>150</v>
      </c>
      <c r="AG117" s="232" t="s">
        <v>150</v>
      </c>
      <c r="AH117" s="232" t="s">
        <v>150</v>
      </c>
      <c r="AI117" s="232" t="s">
        <v>150</v>
      </c>
      <c r="AJ117" s="232" t="s">
        <v>150</v>
      </c>
      <c r="AK117" s="232" t="s">
        <v>150</v>
      </c>
      <c r="AL117" s="232" t="s">
        <v>150</v>
      </c>
      <c r="AM117" s="232" t="s">
        <v>150</v>
      </c>
      <c r="AN117" s="232" t="s">
        <v>150</v>
      </c>
      <c r="AO117" s="232" t="s">
        <v>150</v>
      </c>
      <c r="AP117" s="232" t="s">
        <v>150</v>
      </c>
      <c r="AQ117" s="232" t="s">
        <v>150</v>
      </c>
      <c r="AR117" s="232" t="s">
        <v>150</v>
      </c>
      <c r="AS117" s="232" t="s">
        <v>150</v>
      </c>
      <c r="AT117" s="163"/>
    </row>
    <row r="118">
      <c r="A118" s="139"/>
      <c r="B118" s="21"/>
      <c r="C118" s="21"/>
      <c r="D118" s="21"/>
      <c r="E118" s="395" t="s">
        <v>482</v>
      </c>
      <c r="F118" s="396" t="s">
        <v>120</v>
      </c>
      <c r="G118" s="396" t="s">
        <v>149</v>
      </c>
      <c r="H118" s="197" t="s">
        <v>150</v>
      </c>
      <c r="I118" s="397">
        <f t="shared" ref="I118:AS118" si="27">I19*$H114*$H117</f>
        <v>1358.320612</v>
      </c>
      <c r="J118" s="397">
        <f t="shared" si="27"/>
        <v>1358.320612</v>
      </c>
      <c r="K118" s="397">
        <f t="shared" si="27"/>
        <v>1358.320612</v>
      </c>
      <c r="L118" s="397">
        <f t="shared" si="27"/>
        <v>1358.320612</v>
      </c>
      <c r="M118" s="397">
        <f t="shared" si="27"/>
        <v>1358.320612</v>
      </c>
      <c r="N118" s="397">
        <f t="shared" si="27"/>
        <v>1358.320612</v>
      </c>
      <c r="O118" s="397">
        <f t="shared" si="27"/>
        <v>1358.320612</v>
      </c>
      <c r="P118" s="397">
        <f t="shared" si="27"/>
        <v>1358.320612</v>
      </c>
      <c r="Q118" s="397">
        <f t="shared" si="27"/>
        <v>1358.320612</v>
      </c>
      <c r="R118" s="397">
        <f t="shared" si="27"/>
        <v>1358.320612</v>
      </c>
      <c r="S118" s="397">
        <f t="shared" si="27"/>
        <v>1358.320612</v>
      </c>
      <c r="T118" s="397">
        <f t="shared" si="27"/>
        <v>1358.320612</v>
      </c>
      <c r="U118" s="397">
        <f t="shared" si="27"/>
        <v>1358.320612</v>
      </c>
      <c r="V118" s="397">
        <f t="shared" si="27"/>
        <v>1358.320612</v>
      </c>
      <c r="W118" s="397">
        <f t="shared" si="27"/>
        <v>1358.320612</v>
      </c>
      <c r="X118" s="397">
        <f t="shared" si="27"/>
        <v>1358.320612</v>
      </c>
      <c r="Y118" s="397">
        <f t="shared" si="27"/>
        <v>1358.320612</v>
      </c>
      <c r="Z118" s="397">
        <f t="shared" si="27"/>
        <v>1358.320612</v>
      </c>
      <c r="AA118" s="397">
        <f t="shared" si="27"/>
        <v>1358.320612</v>
      </c>
      <c r="AB118" s="397">
        <f t="shared" si="27"/>
        <v>1358.320612</v>
      </c>
      <c r="AC118" s="397">
        <f t="shared" si="27"/>
        <v>1358.320612</v>
      </c>
      <c r="AD118" s="397">
        <f t="shared" si="27"/>
        <v>1358.320612</v>
      </c>
      <c r="AE118" s="397">
        <f t="shared" si="27"/>
        <v>1358.320612</v>
      </c>
      <c r="AF118" s="397">
        <f t="shared" si="27"/>
        <v>1358.320612</v>
      </c>
      <c r="AG118" s="397">
        <f t="shared" si="27"/>
        <v>1358.320612</v>
      </c>
      <c r="AH118" s="397">
        <f t="shared" si="27"/>
        <v>1358.320612</v>
      </c>
      <c r="AI118" s="397">
        <f t="shared" si="27"/>
        <v>1358.320612</v>
      </c>
      <c r="AJ118" s="397">
        <f t="shared" si="27"/>
        <v>1358.320612</v>
      </c>
      <c r="AK118" s="397">
        <f t="shared" si="27"/>
        <v>1358.320612</v>
      </c>
      <c r="AL118" s="397">
        <f t="shared" si="27"/>
        <v>1358.320612</v>
      </c>
      <c r="AM118" s="397">
        <f t="shared" si="27"/>
        <v>1358.320612</v>
      </c>
      <c r="AN118" s="397">
        <f t="shared" si="27"/>
        <v>1358.320612</v>
      </c>
      <c r="AO118" s="397">
        <f t="shared" si="27"/>
        <v>1358.320612</v>
      </c>
      <c r="AP118" s="397">
        <f t="shared" si="27"/>
        <v>1358.320612</v>
      </c>
      <c r="AQ118" s="397">
        <f t="shared" si="27"/>
        <v>1358.320612</v>
      </c>
      <c r="AR118" s="397">
        <f t="shared" si="27"/>
        <v>1358.320612</v>
      </c>
      <c r="AS118" s="397">
        <f t="shared" si="27"/>
        <v>1358.320612</v>
      </c>
      <c r="AT118" s="248"/>
    </row>
    <row r="119">
      <c r="A119" s="139"/>
      <c r="B119" s="21"/>
      <c r="C119" s="21"/>
      <c r="D119" s="21"/>
      <c r="E119" s="377"/>
      <c r="F119" s="378"/>
      <c r="G119" s="378"/>
      <c r="H119" s="85"/>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8"/>
    </row>
    <row r="120">
      <c r="A120" s="72" t="s">
        <v>485</v>
      </c>
      <c r="B120" s="14"/>
      <c r="C120" s="14"/>
      <c r="D120" s="14"/>
      <c r="E120" s="14"/>
      <c r="F120" s="14"/>
      <c r="G120" s="14"/>
      <c r="H120" s="73"/>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7"/>
      <c r="AJ120" s="97"/>
      <c r="AK120" s="97"/>
      <c r="AL120" s="97"/>
      <c r="AM120" s="97"/>
      <c r="AN120" s="97"/>
      <c r="AO120" s="97"/>
      <c r="AP120" s="97"/>
      <c r="AQ120" s="97"/>
      <c r="AR120" s="97"/>
      <c r="AS120" s="97"/>
      <c r="AT120" s="79"/>
    </row>
    <row r="121">
      <c r="A121" s="80"/>
      <c r="B121" s="81"/>
      <c r="C121" s="81"/>
      <c r="D121" s="81"/>
      <c r="E121" s="82"/>
      <c r="F121" s="83"/>
      <c r="G121" s="84"/>
      <c r="H121" s="85"/>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8"/>
    </row>
    <row r="122">
      <c r="A122" s="80"/>
      <c r="B122" s="81"/>
      <c r="C122" s="325" t="s">
        <v>486</v>
      </c>
      <c r="F122" s="83"/>
      <c r="G122" s="84"/>
      <c r="H122" s="85"/>
      <c r="I122" s="86"/>
      <c r="J122" s="86"/>
      <c r="K122" s="86"/>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c r="AQ122" s="86"/>
      <c r="AR122" s="86"/>
      <c r="AS122" s="86"/>
      <c r="AT122" s="88"/>
    </row>
    <row r="123">
      <c r="A123" s="80"/>
      <c r="B123" s="81"/>
      <c r="C123" s="81"/>
      <c r="D123" s="81"/>
      <c r="E123" s="188" t="s">
        <v>396</v>
      </c>
      <c r="F123" s="189" t="str">
        <f>Inputs!F256</f>
        <v>UoV</v>
      </c>
      <c r="G123" s="263" t="str">
        <f>Inputs!G256</f>
        <v>input</v>
      </c>
      <c r="H123" s="344">
        <f>Inputs!H256</f>
        <v>116.25262</v>
      </c>
      <c r="I123" s="289" t="str">
        <f>Inputs!I256</f>
        <v>-</v>
      </c>
      <c r="J123" s="289" t="str">
        <f>Inputs!J256</f>
        <v>-</v>
      </c>
      <c r="K123" s="289" t="str">
        <f>Inputs!K256</f>
        <v>-</v>
      </c>
      <c r="L123" s="289" t="str">
        <f>Inputs!L256</f>
        <v>-</v>
      </c>
      <c r="M123" s="289" t="str">
        <f>Inputs!M256</f>
        <v>-</v>
      </c>
      <c r="N123" s="289" t="str">
        <f>Inputs!N256</f>
        <v>-</v>
      </c>
      <c r="O123" s="289" t="str">
        <f>Inputs!O256</f>
        <v>-</v>
      </c>
      <c r="P123" s="289" t="str">
        <f>Inputs!P256</f>
        <v>-</v>
      </c>
      <c r="Q123" s="289" t="str">
        <f>Inputs!Q256</f>
        <v>-</v>
      </c>
      <c r="R123" s="289" t="str">
        <f>Inputs!R256</f>
        <v>-</v>
      </c>
      <c r="S123" s="289" t="str">
        <f>Inputs!S256</f>
        <v>-</v>
      </c>
      <c r="T123" s="289" t="str">
        <f>Inputs!T256</f>
        <v>-</v>
      </c>
      <c r="U123" s="289" t="str">
        <f>Inputs!U256</f>
        <v>-</v>
      </c>
      <c r="V123" s="289" t="str">
        <f>Inputs!V256</f>
        <v>-</v>
      </c>
      <c r="W123" s="289" t="str">
        <f>Inputs!W256</f>
        <v>-</v>
      </c>
      <c r="X123" s="289" t="str">
        <f>Inputs!X256</f>
        <v>-</v>
      </c>
      <c r="Y123" s="289" t="str">
        <f>Inputs!Y256</f>
        <v>-</v>
      </c>
      <c r="Z123" s="289" t="str">
        <f>Inputs!Z256</f>
        <v>-</v>
      </c>
      <c r="AA123" s="289" t="str">
        <f>Inputs!AA256</f>
        <v>-</v>
      </c>
      <c r="AB123" s="289" t="str">
        <f>Inputs!AB256</f>
        <v>-</v>
      </c>
      <c r="AC123" s="289" t="str">
        <f>Inputs!AC256</f>
        <v>-</v>
      </c>
      <c r="AD123" s="289" t="str">
        <f>Inputs!AD256</f>
        <v>-</v>
      </c>
      <c r="AE123" s="289" t="str">
        <f>Inputs!AE256</f>
        <v>-</v>
      </c>
      <c r="AF123" s="289" t="str">
        <f>Inputs!AF256</f>
        <v>-</v>
      </c>
      <c r="AG123" s="289" t="str">
        <f>Inputs!AG256</f>
        <v>-</v>
      </c>
      <c r="AH123" s="289" t="str">
        <f>Inputs!AH256</f>
        <v>-</v>
      </c>
      <c r="AI123" s="289" t="str">
        <f>Inputs!AI256</f>
        <v>-</v>
      </c>
      <c r="AJ123" s="289" t="str">
        <f>Inputs!AJ256</f>
        <v>-</v>
      </c>
      <c r="AK123" s="289" t="str">
        <f>Inputs!AK256</f>
        <v>-</v>
      </c>
      <c r="AL123" s="289" t="str">
        <f>Inputs!AL256</f>
        <v>-</v>
      </c>
      <c r="AM123" s="289" t="str">
        <f>Inputs!AM256</f>
        <v>-</v>
      </c>
      <c r="AN123" s="289" t="str">
        <f>Inputs!AN256</f>
        <v>-</v>
      </c>
      <c r="AO123" s="289" t="str">
        <f>Inputs!AO256</f>
        <v>-</v>
      </c>
      <c r="AP123" s="289" t="str">
        <f>Inputs!AP256</f>
        <v>-</v>
      </c>
      <c r="AQ123" s="289" t="str">
        <f>Inputs!AQ256</f>
        <v>-</v>
      </c>
      <c r="AR123" s="289" t="str">
        <f>Inputs!AR256</f>
        <v>-</v>
      </c>
      <c r="AS123" s="289" t="str">
        <f>Inputs!AS256</f>
        <v>-</v>
      </c>
      <c r="AT123" s="136"/>
    </row>
    <row r="124">
      <c r="A124" s="80"/>
      <c r="B124" s="81"/>
      <c r="C124" s="81"/>
      <c r="D124" s="81"/>
      <c r="E124" s="194" t="s">
        <v>495</v>
      </c>
      <c r="F124" s="195" t="s">
        <v>127</v>
      </c>
      <c r="G124" s="316" t="s">
        <v>149</v>
      </c>
      <c r="H124" s="400" t="s">
        <v>150</v>
      </c>
      <c r="I124" s="397">
        <f t="shared" ref="I124:AS124" si="28">I50*$H123</f>
        <v>44983.54241</v>
      </c>
      <c r="J124" s="397">
        <f t="shared" si="28"/>
        <v>20395.42765</v>
      </c>
      <c r="K124" s="397">
        <f t="shared" si="28"/>
        <v>36956.44271</v>
      </c>
      <c r="L124" s="397">
        <f t="shared" si="28"/>
        <v>10242.40225</v>
      </c>
      <c r="M124" s="397">
        <f t="shared" si="28"/>
        <v>25380.03673</v>
      </c>
      <c r="N124" s="397">
        <f t="shared" si="28"/>
        <v>37448.0903</v>
      </c>
      <c r="O124" s="397">
        <f t="shared" si="28"/>
        <v>58244.39314</v>
      </c>
      <c r="P124" s="397">
        <f t="shared" si="28"/>
        <v>95980.67777</v>
      </c>
      <c r="Q124" s="397">
        <f t="shared" si="28"/>
        <v>72542.99856</v>
      </c>
      <c r="R124" s="397">
        <f t="shared" si="28"/>
        <v>2408.128545</v>
      </c>
      <c r="S124" s="397">
        <f t="shared" si="28"/>
        <v>7124.091186</v>
      </c>
      <c r="T124" s="397">
        <f t="shared" si="28"/>
        <v>2147.802756</v>
      </c>
      <c r="U124" s="397">
        <f t="shared" si="28"/>
        <v>3010.413655</v>
      </c>
      <c r="V124" s="397">
        <f t="shared" si="28"/>
        <v>4671.723824</v>
      </c>
      <c r="W124" s="397">
        <f t="shared" si="28"/>
        <v>5748.12512</v>
      </c>
      <c r="X124" s="397">
        <f t="shared" si="28"/>
        <v>13230.78936</v>
      </c>
      <c r="Y124" s="397">
        <f t="shared" si="28"/>
        <v>1364.53808</v>
      </c>
      <c r="Z124" s="397">
        <f t="shared" si="28"/>
        <v>3694.238286</v>
      </c>
      <c r="AA124" s="397">
        <f t="shared" si="28"/>
        <v>208.8621263</v>
      </c>
      <c r="AB124" s="397">
        <f t="shared" si="28"/>
        <v>2007.581497</v>
      </c>
      <c r="AC124" s="397">
        <f t="shared" si="28"/>
        <v>824.4349878</v>
      </c>
      <c r="AD124" s="397">
        <f t="shared" si="28"/>
        <v>320.0366077</v>
      </c>
      <c r="AE124" s="397">
        <f t="shared" si="28"/>
        <v>1488.194172</v>
      </c>
      <c r="AF124" s="397">
        <f t="shared" si="28"/>
        <v>728.8291266</v>
      </c>
      <c r="AG124" s="397">
        <f t="shared" si="28"/>
        <v>3239.731391</v>
      </c>
      <c r="AH124" s="397">
        <f t="shared" si="28"/>
        <v>3709.064964</v>
      </c>
      <c r="AI124" s="397">
        <f t="shared" si="28"/>
        <v>674.6774731</v>
      </c>
      <c r="AJ124" s="397">
        <f t="shared" si="28"/>
        <v>6756.835306</v>
      </c>
      <c r="AK124" s="397">
        <f t="shared" si="28"/>
        <v>14797.3377</v>
      </c>
      <c r="AL124" s="397">
        <f t="shared" si="28"/>
        <v>5251.240169</v>
      </c>
      <c r="AM124" s="397">
        <f t="shared" si="28"/>
        <v>4502.053596</v>
      </c>
      <c r="AN124" s="397">
        <f t="shared" si="28"/>
        <v>794.4973815</v>
      </c>
      <c r="AO124" s="397">
        <f t="shared" si="28"/>
        <v>2929.929956</v>
      </c>
      <c r="AP124" s="397">
        <f t="shared" si="28"/>
        <v>3703.343898</v>
      </c>
      <c r="AQ124" s="397">
        <f t="shared" si="28"/>
        <v>1885.729775</v>
      </c>
      <c r="AR124" s="397">
        <f t="shared" si="28"/>
        <v>14113.70898</v>
      </c>
      <c r="AS124" s="397">
        <f t="shared" si="28"/>
        <v>10863.60244</v>
      </c>
      <c r="AT124" s="401"/>
    </row>
    <row r="125">
      <c r="A125" s="80"/>
      <c r="B125" s="81"/>
      <c r="C125" s="81"/>
      <c r="D125" s="81"/>
      <c r="E125" s="121"/>
      <c r="F125" s="108"/>
      <c r="G125" s="127"/>
      <c r="H125" s="402"/>
      <c r="I125" s="403"/>
      <c r="J125" s="403"/>
      <c r="K125" s="403"/>
      <c r="L125" s="403"/>
      <c r="M125" s="403"/>
      <c r="N125" s="403"/>
      <c r="O125" s="403"/>
      <c r="P125" s="403"/>
      <c r="Q125" s="403"/>
      <c r="R125" s="403"/>
      <c r="S125" s="403"/>
      <c r="T125" s="403"/>
      <c r="U125" s="403"/>
      <c r="V125" s="403"/>
      <c r="W125" s="403"/>
      <c r="X125" s="403"/>
      <c r="Y125" s="403"/>
      <c r="Z125" s="403"/>
      <c r="AA125" s="403"/>
      <c r="AB125" s="403"/>
      <c r="AC125" s="403"/>
      <c r="AD125" s="403"/>
      <c r="AE125" s="403"/>
      <c r="AF125" s="403"/>
      <c r="AG125" s="403"/>
      <c r="AH125" s="403"/>
      <c r="AI125" s="403"/>
      <c r="AJ125" s="403"/>
      <c r="AK125" s="403"/>
      <c r="AL125" s="403"/>
      <c r="AM125" s="403"/>
      <c r="AN125" s="403"/>
      <c r="AO125" s="403"/>
      <c r="AP125" s="403"/>
      <c r="AQ125" s="403"/>
      <c r="AR125" s="403"/>
      <c r="AS125" s="403"/>
      <c r="AT125" s="88"/>
    </row>
    <row r="126">
      <c r="A126" s="80"/>
      <c r="B126" s="81"/>
      <c r="C126" s="186" t="s">
        <v>496</v>
      </c>
      <c r="F126" s="351"/>
      <c r="G126" s="404"/>
      <c r="H126" s="405"/>
      <c r="I126" s="406"/>
      <c r="J126" s="406"/>
      <c r="K126" s="406"/>
      <c r="L126" s="406"/>
      <c r="M126" s="406"/>
      <c r="N126" s="406"/>
      <c r="O126" s="406"/>
      <c r="P126" s="406"/>
      <c r="Q126" s="406"/>
      <c r="R126" s="406"/>
      <c r="S126" s="406"/>
      <c r="T126" s="406"/>
      <c r="U126" s="406"/>
      <c r="V126" s="406"/>
      <c r="W126" s="406"/>
      <c r="X126" s="406"/>
      <c r="Y126" s="406"/>
      <c r="Z126" s="406"/>
      <c r="AA126" s="406"/>
      <c r="AB126" s="406"/>
      <c r="AC126" s="406"/>
      <c r="AD126" s="406"/>
      <c r="AE126" s="406"/>
      <c r="AF126" s="406"/>
      <c r="AG126" s="406"/>
      <c r="AH126" s="406"/>
      <c r="AI126" s="406"/>
      <c r="AJ126" s="406"/>
      <c r="AK126" s="406"/>
      <c r="AL126" s="406"/>
      <c r="AM126" s="406"/>
      <c r="AN126" s="406"/>
      <c r="AO126" s="406"/>
      <c r="AP126" s="406"/>
      <c r="AQ126" s="406"/>
      <c r="AR126" s="406"/>
      <c r="AS126" s="406"/>
      <c r="AT126" s="88"/>
    </row>
    <row r="127">
      <c r="A127" s="80"/>
      <c r="B127" s="81"/>
      <c r="C127" s="81"/>
      <c r="D127" s="81"/>
      <c r="E127" s="188" t="s">
        <v>403</v>
      </c>
      <c r="F127" s="189" t="str">
        <f>Inputs!F257</f>
        <v>UoV</v>
      </c>
      <c r="G127" s="263" t="str">
        <f>Inputs!G257</f>
        <v>input</v>
      </c>
      <c r="H127" s="344">
        <f>Inputs!H257</f>
        <v>133.7</v>
      </c>
      <c r="I127" s="289" t="str">
        <f>Inputs!I257</f>
        <v>-</v>
      </c>
      <c r="J127" s="289" t="str">
        <f>Inputs!J257</f>
        <v>-</v>
      </c>
      <c r="K127" s="289" t="str">
        <f>Inputs!K257</f>
        <v>-</v>
      </c>
      <c r="L127" s="289" t="str">
        <f>Inputs!L257</f>
        <v>-</v>
      </c>
      <c r="M127" s="289" t="str">
        <f>Inputs!M257</f>
        <v>-</v>
      </c>
      <c r="N127" s="289" t="str">
        <f>Inputs!N257</f>
        <v>-</v>
      </c>
      <c r="O127" s="289" t="str">
        <f>Inputs!O257</f>
        <v>-</v>
      </c>
      <c r="P127" s="289" t="str">
        <f>Inputs!P257</f>
        <v>-</v>
      </c>
      <c r="Q127" s="289" t="str">
        <f>Inputs!Q257</f>
        <v>-</v>
      </c>
      <c r="R127" s="289" t="str">
        <f>Inputs!R257</f>
        <v>-</v>
      </c>
      <c r="S127" s="289" t="str">
        <f>Inputs!S257</f>
        <v>-</v>
      </c>
      <c r="T127" s="289" t="str">
        <f>Inputs!T257</f>
        <v>-</v>
      </c>
      <c r="U127" s="289" t="str">
        <f>Inputs!U257</f>
        <v>-</v>
      </c>
      <c r="V127" s="289" t="str">
        <f>Inputs!V257</f>
        <v>-</v>
      </c>
      <c r="W127" s="289" t="str">
        <f>Inputs!W257</f>
        <v>-</v>
      </c>
      <c r="X127" s="289" t="str">
        <f>Inputs!X257</f>
        <v>-</v>
      </c>
      <c r="Y127" s="289" t="str">
        <f>Inputs!Y257</f>
        <v>-</v>
      </c>
      <c r="Z127" s="289" t="str">
        <f>Inputs!Z257</f>
        <v>-</v>
      </c>
      <c r="AA127" s="289" t="str">
        <f>Inputs!AA257</f>
        <v>-</v>
      </c>
      <c r="AB127" s="289" t="str">
        <f>Inputs!AB257</f>
        <v>-</v>
      </c>
      <c r="AC127" s="289" t="str">
        <f>Inputs!AC257</f>
        <v>-</v>
      </c>
      <c r="AD127" s="289" t="str">
        <f>Inputs!AD257</f>
        <v>-</v>
      </c>
      <c r="AE127" s="289" t="str">
        <f>Inputs!AE257</f>
        <v>-</v>
      </c>
      <c r="AF127" s="289" t="str">
        <f>Inputs!AF257</f>
        <v>-</v>
      </c>
      <c r="AG127" s="289" t="str">
        <f>Inputs!AG257</f>
        <v>-</v>
      </c>
      <c r="AH127" s="289" t="str">
        <f>Inputs!AH257</f>
        <v>-</v>
      </c>
      <c r="AI127" s="289" t="str">
        <f>Inputs!AI257</f>
        <v>-</v>
      </c>
      <c r="AJ127" s="289" t="str">
        <f>Inputs!AJ257</f>
        <v>-</v>
      </c>
      <c r="AK127" s="289" t="str">
        <f>Inputs!AK257</f>
        <v>-</v>
      </c>
      <c r="AL127" s="289" t="str">
        <f>Inputs!AL257</f>
        <v>-</v>
      </c>
      <c r="AM127" s="289" t="str">
        <f>Inputs!AM257</f>
        <v>-</v>
      </c>
      <c r="AN127" s="289" t="str">
        <f>Inputs!AN257</f>
        <v>-</v>
      </c>
      <c r="AO127" s="289" t="str">
        <f>Inputs!AO257</f>
        <v>-</v>
      </c>
      <c r="AP127" s="289" t="str">
        <f>Inputs!AP257</f>
        <v>-</v>
      </c>
      <c r="AQ127" s="289" t="str">
        <f>Inputs!AQ257</f>
        <v>-</v>
      </c>
      <c r="AR127" s="289" t="str">
        <f>Inputs!AR257</f>
        <v>-</v>
      </c>
      <c r="AS127" s="289" t="str">
        <f>Inputs!AS257</f>
        <v>-</v>
      </c>
      <c r="AT127" s="136"/>
    </row>
    <row r="128">
      <c r="A128" s="80"/>
      <c r="B128" s="81"/>
      <c r="C128" s="81"/>
      <c r="D128" s="81"/>
      <c r="E128" s="194" t="s">
        <v>500</v>
      </c>
      <c r="F128" s="195" t="s">
        <v>127</v>
      </c>
      <c r="G128" s="316" t="s">
        <v>149</v>
      </c>
      <c r="H128" s="400" t="s">
        <v>150</v>
      </c>
      <c r="I128" s="397">
        <f t="shared" ref="I128:AS128" si="29">I63*$H127</f>
        <v>3600.96657</v>
      </c>
      <c r="J128" s="397">
        <f t="shared" si="29"/>
        <v>1577.132079</v>
      </c>
      <c r="K128" s="397">
        <f t="shared" si="29"/>
        <v>2981.792814</v>
      </c>
      <c r="L128" s="397">
        <f t="shared" si="29"/>
        <v>826.2552649</v>
      </c>
      <c r="M128" s="397">
        <f t="shared" si="29"/>
        <v>2077.298043</v>
      </c>
      <c r="N128" s="397">
        <f t="shared" si="29"/>
        <v>3333.276078</v>
      </c>
      <c r="O128" s="397">
        <f t="shared" si="29"/>
        <v>5273.852498</v>
      </c>
      <c r="P128" s="397">
        <f t="shared" si="29"/>
        <v>8350.277822</v>
      </c>
      <c r="Q128" s="397">
        <f t="shared" si="29"/>
        <v>5852.219757</v>
      </c>
      <c r="R128" s="397">
        <f t="shared" si="29"/>
        <v>171.7223294</v>
      </c>
      <c r="S128" s="397">
        <f t="shared" si="29"/>
        <v>516.4310022</v>
      </c>
      <c r="T128" s="397">
        <f t="shared" si="29"/>
        <v>189.6725734</v>
      </c>
      <c r="U128" s="397">
        <f t="shared" si="29"/>
        <v>266.6985566</v>
      </c>
      <c r="V128" s="397">
        <f t="shared" si="29"/>
        <v>380.9638101</v>
      </c>
      <c r="W128" s="397">
        <f t="shared" si="29"/>
        <v>569.1046067</v>
      </c>
      <c r="X128" s="397">
        <f t="shared" si="29"/>
        <v>1409.141942</v>
      </c>
      <c r="Y128" s="397">
        <f t="shared" si="29"/>
        <v>131.6442407</v>
      </c>
      <c r="Z128" s="397">
        <f t="shared" si="29"/>
        <v>334.892695</v>
      </c>
      <c r="AA128" s="397">
        <f t="shared" si="29"/>
        <v>18.28420321</v>
      </c>
      <c r="AB128" s="397">
        <f t="shared" si="29"/>
        <v>129.2314017</v>
      </c>
      <c r="AC128" s="397">
        <f t="shared" si="29"/>
        <v>63.24979074</v>
      </c>
      <c r="AD128" s="397">
        <f t="shared" si="29"/>
        <v>32.95976795</v>
      </c>
      <c r="AE128" s="397">
        <f t="shared" si="29"/>
        <v>133.5055249</v>
      </c>
      <c r="AF128" s="397">
        <f t="shared" si="29"/>
        <v>69.5515904</v>
      </c>
      <c r="AG128" s="397">
        <f t="shared" si="29"/>
        <v>336.8514535</v>
      </c>
      <c r="AH128" s="397">
        <f t="shared" si="29"/>
        <v>459.445426</v>
      </c>
      <c r="AI128" s="397">
        <f t="shared" si="29"/>
        <v>80.15967601</v>
      </c>
      <c r="AJ128" s="397">
        <f t="shared" si="29"/>
        <v>694.6933349</v>
      </c>
      <c r="AK128" s="397">
        <f t="shared" si="29"/>
        <v>1389.962435</v>
      </c>
      <c r="AL128" s="397">
        <f t="shared" si="29"/>
        <v>575.1013764</v>
      </c>
      <c r="AM128" s="397">
        <f t="shared" si="29"/>
        <v>442.2594762</v>
      </c>
      <c r="AN128" s="397">
        <f t="shared" si="29"/>
        <v>87.51868114</v>
      </c>
      <c r="AO128" s="397">
        <f t="shared" si="29"/>
        <v>290.3292169</v>
      </c>
      <c r="AP128" s="397">
        <f t="shared" si="29"/>
        <v>434.6962377</v>
      </c>
      <c r="AQ128" s="397">
        <f t="shared" si="29"/>
        <v>146.0255042</v>
      </c>
      <c r="AR128" s="397">
        <f t="shared" si="29"/>
        <v>1101.570273</v>
      </c>
      <c r="AS128" s="397">
        <f t="shared" si="29"/>
        <v>1128.882454</v>
      </c>
      <c r="AT128" s="401"/>
    </row>
    <row r="129">
      <c r="A129" s="80"/>
      <c r="B129" s="81"/>
      <c r="C129" s="325"/>
      <c r="D129" s="325"/>
      <c r="E129" s="408"/>
      <c r="F129" s="83"/>
      <c r="G129" s="84"/>
      <c r="H129" s="405"/>
      <c r="I129" s="406"/>
      <c r="J129" s="406"/>
      <c r="K129" s="406"/>
      <c r="L129" s="406"/>
      <c r="M129" s="406"/>
      <c r="N129" s="406"/>
      <c r="O129" s="406"/>
      <c r="P129" s="406"/>
      <c r="Q129" s="406"/>
      <c r="R129" s="406"/>
      <c r="S129" s="406"/>
      <c r="T129" s="406"/>
      <c r="U129" s="406"/>
      <c r="V129" s="406"/>
      <c r="W129" s="406"/>
      <c r="X129" s="406"/>
      <c r="Y129" s="406"/>
      <c r="Z129" s="406"/>
      <c r="AA129" s="406"/>
      <c r="AB129" s="406"/>
      <c r="AC129" s="406"/>
      <c r="AD129" s="406"/>
      <c r="AE129" s="406"/>
      <c r="AF129" s="406"/>
      <c r="AG129" s="406"/>
      <c r="AH129" s="406"/>
      <c r="AI129" s="406"/>
      <c r="AJ129" s="406"/>
      <c r="AK129" s="406"/>
      <c r="AL129" s="406"/>
      <c r="AM129" s="406"/>
      <c r="AN129" s="406"/>
      <c r="AO129" s="406"/>
      <c r="AP129" s="406"/>
      <c r="AQ129" s="406"/>
      <c r="AR129" s="406"/>
      <c r="AS129" s="406"/>
      <c r="AT129" s="88"/>
    </row>
    <row r="130">
      <c r="A130" s="80"/>
      <c r="B130" s="81"/>
      <c r="C130" s="186" t="s">
        <v>502</v>
      </c>
      <c r="F130" s="351"/>
      <c r="G130" s="404"/>
      <c r="H130" s="405"/>
      <c r="I130" s="406"/>
      <c r="J130" s="406"/>
      <c r="K130" s="406"/>
      <c r="L130" s="406"/>
      <c r="M130" s="406"/>
      <c r="N130" s="406"/>
      <c r="O130" s="406"/>
      <c r="P130" s="406"/>
      <c r="Q130" s="406"/>
      <c r="R130" s="406"/>
      <c r="S130" s="406"/>
      <c r="T130" s="406"/>
      <c r="U130" s="406"/>
      <c r="V130" s="406"/>
      <c r="W130" s="406"/>
      <c r="X130" s="406"/>
      <c r="Y130" s="406"/>
      <c r="Z130" s="406"/>
      <c r="AA130" s="406"/>
      <c r="AB130" s="406"/>
      <c r="AC130" s="406"/>
      <c r="AD130" s="406"/>
      <c r="AE130" s="406"/>
      <c r="AF130" s="406"/>
      <c r="AG130" s="406"/>
      <c r="AH130" s="406"/>
      <c r="AI130" s="406"/>
      <c r="AJ130" s="406"/>
      <c r="AK130" s="406"/>
      <c r="AL130" s="406"/>
      <c r="AM130" s="406"/>
      <c r="AN130" s="406"/>
      <c r="AO130" s="406"/>
      <c r="AP130" s="406"/>
      <c r="AQ130" s="406"/>
      <c r="AR130" s="406"/>
      <c r="AS130" s="406"/>
      <c r="AT130" s="88"/>
    </row>
    <row r="131">
      <c r="A131" s="80"/>
      <c r="B131" s="81"/>
      <c r="C131" s="81"/>
      <c r="D131" s="81"/>
      <c r="E131" s="188" t="s">
        <v>503</v>
      </c>
      <c r="F131" s="189" t="str">
        <f>Inputs!F258</f>
        <v>UoV</v>
      </c>
      <c r="G131" s="263" t="str">
        <f>Inputs!G258</f>
        <v>input</v>
      </c>
      <c r="H131" s="344">
        <f>Inputs!H258</f>
        <v>103.58571</v>
      </c>
      <c r="I131" s="289" t="str">
        <f>Inputs!I258</f>
        <v>-</v>
      </c>
      <c r="J131" s="289" t="str">
        <f>Inputs!J258</f>
        <v>-</v>
      </c>
      <c r="K131" s="289" t="str">
        <f>Inputs!K258</f>
        <v>-</v>
      </c>
      <c r="L131" s="289" t="str">
        <f>Inputs!L258</f>
        <v>-</v>
      </c>
      <c r="M131" s="289" t="str">
        <f>Inputs!M258</f>
        <v>-</v>
      </c>
      <c r="N131" s="289" t="str">
        <f>Inputs!N258</f>
        <v>-</v>
      </c>
      <c r="O131" s="289" t="str">
        <f>Inputs!O258</f>
        <v>-</v>
      </c>
      <c r="P131" s="289" t="str">
        <f>Inputs!P258</f>
        <v>-</v>
      </c>
      <c r="Q131" s="289" t="str">
        <f>Inputs!Q258</f>
        <v>-</v>
      </c>
      <c r="R131" s="289" t="str">
        <f>Inputs!R258</f>
        <v>-</v>
      </c>
      <c r="S131" s="289" t="str">
        <f>Inputs!S258</f>
        <v>-</v>
      </c>
      <c r="T131" s="289" t="str">
        <f>Inputs!T258</f>
        <v>-</v>
      </c>
      <c r="U131" s="289" t="str">
        <f>Inputs!U258</f>
        <v>-</v>
      </c>
      <c r="V131" s="289" t="str">
        <f>Inputs!V258</f>
        <v>-</v>
      </c>
      <c r="W131" s="289" t="str">
        <f>Inputs!W258</f>
        <v>-</v>
      </c>
      <c r="X131" s="289" t="str">
        <f>Inputs!X258</f>
        <v>-</v>
      </c>
      <c r="Y131" s="289" t="str">
        <f>Inputs!Y258</f>
        <v>-</v>
      </c>
      <c r="Z131" s="289" t="str">
        <f>Inputs!Z258</f>
        <v>-</v>
      </c>
      <c r="AA131" s="289" t="str">
        <f>Inputs!AA258</f>
        <v>-</v>
      </c>
      <c r="AB131" s="289" t="str">
        <f>Inputs!AB258</f>
        <v>-</v>
      </c>
      <c r="AC131" s="289" t="str">
        <f>Inputs!AC258</f>
        <v>-</v>
      </c>
      <c r="AD131" s="289" t="str">
        <f>Inputs!AD258</f>
        <v>-</v>
      </c>
      <c r="AE131" s="289" t="str">
        <f>Inputs!AE258</f>
        <v>-</v>
      </c>
      <c r="AF131" s="289" t="str">
        <f>Inputs!AF258</f>
        <v>-</v>
      </c>
      <c r="AG131" s="289" t="str">
        <f>Inputs!AG258</f>
        <v>-</v>
      </c>
      <c r="AH131" s="289" t="str">
        <f>Inputs!AH258</f>
        <v>-</v>
      </c>
      <c r="AI131" s="289" t="str">
        <f>Inputs!AI258</f>
        <v>-</v>
      </c>
      <c r="AJ131" s="289" t="str">
        <f>Inputs!AJ258</f>
        <v>-</v>
      </c>
      <c r="AK131" s="289" t="str">
        <f>Inputs!AK258</f>
        <v>-</v>
      </c>
      <c r="AL131" s="289" t="str">
        <f>Inputs!AL258</f>
        <v>-</v>
      </c>
      <c r="AM131" s="289" t="str">
        <f>Inputs!AM258</f>
        <v>-</v>
      </c>
      <c r="AN131" s="289" t="str">
        <f>Inputs!AN258</f>
        <v>-</v>
      </c>
      <c r="AO131" s="289" t="str">
        <f>Inputs!AO258</f>
        <v>-</v>
      </c>
      <c r="AP131" s="289" t="str">
        <f>Inputs!AP258</f>
        <v>-</v>
      </c>
      <c r="AQ131" s="289" t="str">
        <f>Inputs!AQ258</f>
        <v>-</v>
      </c>
      <c r="AR131" s="289" t="str">
        <f>Inputs!AR258</f>
        <v>-</v>
      </c>
      <c r="AS131" s="289" t="str">
        <f>Inputs!AS258</f>
        <v>-</v>
      </c>
      <c r="AT131" s="136"/>
    </row>
    <row r="132">
      <c r="A132" s="80"/>
      <c r="B132" s="81"/>
      <c r="C132" s="81"/>
      <c r="D132" s="81"/>
      <c r="E132" s="194" t="s">
        <v>506</v>
      </c>
      <c r="F132" s="195" t="s">
        <v>127</v>
      </c>
      <c r="G132" s="316" t="s">
        <v>149</v>
      </c>
      <c r="H132" s="400" t="s">
        <v>150</v>
      </c>
      <c r="I132" s="397">
        <f t="shared" ref="I132:AS132" si="30">I76*$H131</f>
        <v>5705.618039</v>
      </c>
      <c r="J132" s="397">
        <f t="shared" si="30"/>
        <v>2089.387655</v>
      </c>
      <c r="K132" s="397">
        <f t="shared" si="30"/>
        <v>5246.202625</v>
      </c>
      <c r="L132" s="397">
        <f t="shared" si="30"/>
        <v>1193.752588</v>
      </c>
      <c r="M132" s="397">
        <f t="shared" si="30"/>
        <v>2675.642803</v>
      </c>
      <c r="N132" s="397">
        <f t="shared" si="30"/>
        <v>6013.97953</v>
      </c>
      <c r="O132" s="397">
        <f t="shared" si="30"/>
        <v>9035.958154</v>
      </c>
      <c r="P132" s="397">
        <f t="shared" si="30"/>
        <v>15042.83435</v>
      </c>
      <c r="Q132" s="397">
        <f t="shared" si="30"/>
        <v>8485.786955</v>
      </c>
      <c r="R132" s="397">
        <f t="shared" si="30"/>
        <v>312.4726292</v>
      </c>
      <c r="S132" s="397">
        <f t="shared" si="30"/>
        <v>718.6180343</v>
      </c>
      <c r="T132" s="397">
        <f t="shared" si="30"/>
        <v>451.3248224</v>
      </c>
      <c r="U132" s="397">
        <f t="shared" si="30"/>
        <v>551.7118967</v>
      </c>
      <c r="V132" s="397">
        <f t="shared" si="30"/>
        <v>787.2310975</v>
      </c>
      <c r="W132" s="397">
        <f t="shared" si="30"/>
        <v>1082.606653</v>
      </c>
      <c r="X132" s="397">
        <f t="shared" si="30"/>
        <v>2491.027178</v>
      </c>
      <c r="Y132" s="397">
        <f t="shared" si="30"/>
        <v>298.6153904</v>
      </c>
      <c r="Z132" s="397">
        <f t="shared" si="30"/>
        <v>666.2420947</v>
      </c>
      <c r="AA132" s="397">
        <f t="shared" si="30"/>
        <v>33.03184828</v>
      </c>
      <c r="AB132" s="397">
        <f t="shared" si="30"/>
        <v>301.2684634</v>
      </c>
      <c r="AC132" s="397">
        <f t="shared" si="30"/>
        <v>144.6919456</v>
      </c>
      <c r="AD132" s="397">
        <f t="shared" si="30"/>
        <v>83.38417002</v>
      </c>
      <c r="AE132" s="397">
        <f t="shared" si="30"/>
        <v>232.4717534</v>
      </c>
      <c r="AF132" s="397">
        <f t="shared" si="30"/>
        <v>165.3360376</v>
      </c>
      <c r="AG132" s="397">
        <f t="shared" si="30"/>
        <v>600.6823394</v>
      </c>
      <c r="AH132" s="397">
        <f t="shared" si="30"/>
        <v>1312.093818</v>
      </c>
      <c r="AI132" s="397">
        <f t="shared" si="30"/>
        <v>153.2499809</v>
      </c>
      <c r="AJ132" s="397">
        <f t="shared" si="30"/>
        <v>1430.968637</v>
      </c>
      <c r="AK132" s="397">
        <f t="shared" si="30"/>
        <v>2730.189224</v>
      </c>
      <c r="AL132" s="397">
        <f t="shared" si="30"/>
        <v>1419.055377</v>
      </c>
      <c r="AM132" s="397">
        <f t="shared" si="30"/>
        <v>934.4035537</v>
      </c>
      <c r="AN132" s="397">
        <f t="shared" si="30"/>
        <v>217.1824883</v>
      </c>
      <c r="AO132" s="397">
        <f t="shared" si="30"/>
        <v>712.5054545</v>
      </c>
      <c r="AP132" s="397">
        <f t="shared" si="30"/>
        <v>994.7573658</v>
      </c>
      <c r="AQ132" s="397">
        <f t="shared" si="30"/>
        <v>301.6819179</v>
      </c>
      <c r="AR132" s="397">
        <f t="shared" si="30"/>
        <v>1813.671894</v>
      </c>
      <c r="AS132" s="397">
        <f t="shared" si="30"/>
        <v>2293.443278</v>
      </c>
      <c r="AT132" s="401"/>
    </row>
    <row r="133">
      <c r="A133" s="80"/>
      <c r="B133" s="81"/>
      <c r="C133" s="325"/>
      <c r="D133" s="325"/>
      <c r="E133" s="408"/>
      <c r="F133" s="83"/>
      <c r="G133" s="84"/>
      <c r="H133" s="405"/>
      <c r="I133" s="406"/>
      <c r="J133" s="406"/>
      <c r="K133" s="406"/>
      <c r="L133" s="406"/>
      <c r="M133" s="406"/>
      <c r="N133" s="406"/>
      <c r="O133" s="406"/>
      <c r="P133" s="406"/>
      <c r="Q133" s="406"/>
      <c r="R133" s="406"/>
      <c r="S133" s="406"/>
      <c r="T133" s="406"/>
      <c r="U133" s="406"/>
      <c r="V133" s="406"/>
      <c r="W133" s="406"/>
      <c r="X133" s="406"/>
      <c r="Y133" s="406"/>
      <c r="Z133" s="406"/>
      <c r="AA133" s="406"/>
      <c r="AB133" s="406"/>
      <c r="AC133" s="406"/>
      <c r="AD133" s="406"/>
      <c r="AE133" s="406"/>
      <c r="AF133" s="406"/>
      <c r="AG133" s="406"/>
      <c r="AH133" s="406"/>
      <c r="AI133" s="406"/>
      <c r="AJ133" s="406"/>
      <c r="AK133" s="406"/>
      <c r="AL133" s="406"/>
      <c r="AM133" s="406"/>
      <c r="AN133" s="406"/>
      <c r="AO133" s="406"/>
      <c r="AP133" s="406"/>
      <c r="AQ133" s="406"/>
      <c r="AR133" s="406"/>
      <c r="AS133" s="406"/>
      <c r="AT133" s="88"/>
    </row>
    <row r="134">
      <c r="A134" s="80"/>
      <c r="B134" s="81"/>
      <c r="C134" s="186" t="s">
        <v>507</v>
      </c>
      <c r="F134" s="351"/>
      <c r="G134" s="404"/>
      <c r="H134" s="405"/>
      <c r="I134" s="406"/>
      <c r="J134" s="406"/>
      <c r="K134" s="406"/>
      <c r="L134" s="406"/>
      <c r="M134" s="406"/>
      <c r="N134" s="406"/>
      <c r="O134" s="406"/>
      <c r="P134" s="406"/>
      <c r="Q134" s="406"/>
      <c r="R134" s="406"/>
      <c r="S134" s="406"/>
      <c r="T134" s="406"/>
      <c r="U134" s="406"/>
      <c r="V134" s="406"/>
      <c r="W134" s="406"/>
      <c r="X134" s="406"/>
      <c r="Y134" s="406"/>
      <c r="Z134" s="406"/>
      <c r="AA134" s="406"/>
      <c r="AB134" s="406"/>
      <c r="AC134" s="406"/>
      <c r="AD134" s="406"/>
      <c r="AE134" s="406"/>
      <c r="AF134" s="406"/>
      <c r="AG134" s="406"/>
      <c r="AH134" s="406"/>
      <c r="AI134" s="406"/>
      <c r="AJ134" s="406"/>
      <c r="AK134" s="406"/>
      <c r="AL134" s="406"/>
      <c r="AM134" s="406"/>
      <c r="AN134" s="406"/>
      <c r="AO134" s="406"/>
      <c r="AP134" s="406"/>
      <c r="AQ134" s="406"/>
      <c r="AR134" s="406"/>
      <c r="AS134" s="406"/>
      <c r="AT134" s="88"/>
    </row>
    <row r="135">
      <c r="A135" s="80"/>
      <c r="B135" s="81"/>
      <c r="C135" s="81"/>
      <c r="D135" s="81"/>
      <c r="E135" s="188" t="s">
        <v>509</v>
      </c>
      <c r="F135" s="189" t="str">
        <f>Inputs!F259</f>
        <v>UoV</v>
      </c>
      <c r="G135" s="263" t="str">
        <f>Inputs!G259</f>
        <v>input</v>
      </c>
      <c r="H135" s="344">
        <f>Inputs!H259</f>
        <v>42.44</v>
      </c>
      <c r="I135" s="289" t="str">
        <f>Inputs!I259</f>
        <v>-</v>
      </c>
      <c r="J135" s="289" t="str">
        <f>Inputs!J259</f>
        <v>-</v>
      </c>
      <c r="K135" s="289" t="str">
        <f>Inputs!K259</f>
        <v>-</v>
      </c>
      <c r="L135" s="289" t="str">
        <f>Inputs!L259</f>
        <v>-</v>
      </c>
      <c r="M135" s="289" t="str">
        <f>Inputs!M259</f>
        <v>-</v>
      </c>
      <c r="N135" s="289" t="str">
        <f>Inputs!N259</f>
        <v>-</v>
      </c>
      <c r="O135" s="289" t="str">
        <f>Inputs!O259</f>
        <v>-</v>
      </c>
      <c r="P135" s="289" t="str">
        <f>Inputs!P259</f>
        <v>-</v>
      </c>
      <c r="Q135" s="289" t="str">
        <f>Inputs!Q259</f>
        <v>-</v>
      </c>
      <c r="R135" s="289" t="str">
        <f>Inputs!R259</f>
        <v>-</v>
      </c>
      <c r="S135" s="289" t="str">
        <f>Inputs!S259</f>
        <v>-</v>
      </c>
      <c r="T135" s="289" t="str">
        <f>Inputs!T259</f>
        <v>-</v>
      </c>
      <c r="U135" s="289" t="str">
        <f>Inputs!U259</f>
        <v>-</v>
      </c>
      <c r="V135" s="289" t="str">
        <f>Inputs!V259</f>
        <v>-</v>
      </c>
      <c r="W135" s="289" t="str">
        <f>Inputs!W259</f>
        <v>-</v>
      </c>
      <c r="X135" s="289" t="str">
        <f>Inputs!X259</f>
        <v>-</v>
      </c>
      <c r="Y135" s="289" t="str">
        <f>Inputs!Y259</f>
        <v>-</v>
      </c>
      <c r="Z135" s="289" t="str">
        <f>Inputs!Z259</f>
        <v>-</v>
      </c>
      <c r="AA135" s="289" t="str">
        <f>Inputs!AA259</f>
        <v>-</v>
      </c>
      <c r="AB135" s="289" t="str">
        <f>Inputs!AB259</f>
        <v>-</v>
      </c>
      <c r="AC135" s="289" t="str">
        <f>Inputs!AC259</f>
        <v>-</v>
      </c>
      <c r="AD135" s="289" t="str">
        <f>Inputs!AD259</f>
        <v>-</v>
      </c>
      <c r="AE135" s="289" t="str">
        <f>Inputs!AE259</f>
        <v>-</v>
      </c>
      <c r="AF135" s="289" t="str">
        <f>Inputs!AF259</f>
        <v>-</v>
      </c>
      <c r="AG135" s="289" t="str">
        <f>Inputs!AG259</f>
        <v>-</v>
      </c>
      <c r="AH135" s="289" t="str">
        <f>Inputs!AH259</f>
        <v>-</v>
      </c>
      <c r="AI135" s="289" t="str">
        <f>Inputs!AI259</f>
        <v>-</v>
      </c>
      <c r="AJ135" s="289" t="str">
        <f>Inputs!AJ259</f>
        <v>-</v>
      </c>
      <c r="AK135" s="289" t="str">
        <f>Inputs!AK259</f>
        <v>-</v>
      </c>
      <c r="AL135" s="289" t="str">
        <f>Inputs!AL259</f>
        <v>-</v>
      </c>
      <c r="AM135" s="289" t="str">
        <f>Inputs!AM259</f>
        <v>-</v>
      </c>
      <c r="AN135" s="289" t="str">
        <f>Inputs!AN259</f>
        <v>-</v>
      </c>
      <c r="AO135" s="289" t="str">
        <f>Inputs!AO259</f>
        <v>-</v>
      </c>
      <c r="AP135" s="289" t="str">
        <f>Inputs!AP259</f>
        <v>-</v>
      </c>
      <c r="AQ135" s="289" t="str">
        <f>Inputs!AQ259</f>
        <v>-</v>
      </c>
      <c r="AR135" s="289" t="str">
        <f>Inputs!AR259</f>
        <v>-</v>
      </c>
      <c r="AS135" s="289" t="str">
        <f>Inputs!AS259</f>
        <v>-</v>
      </c>
      <c r="AT135" s="136"/>
    </row>
    <row r="136">
      <c r="A136" s="80"/>
      <c r="B136" s="81"/>
      <c r="C136" s="81"/>
      <c r="D136" s="81"/>
      <c r="E136" s="194" t="s">
        <v>513</v>
      </c>
      <c r="F136" s="195" t="s">
        <v>127</v>
      </c>
      <c r="G136" s="316" t="s">
        <v>149</v>
      </c>
      <c r="H136" s="400" t="s">
        <v>150</v>
      </c>
      <c r="I136" s="397">
        <f t="shared" ref="I136:AS136" si="31">I89*$H135</f>
        <v>3887.133545</v>
      </c>
      <c r="J136" s="397">
        <f t="shared" si="31"/>
        <v>1627.892601</v>
      </c>
      <c r="K136" s="397">
        <f t="shared" si="31"/>
        <v>3093.238578</v>
      </c>
      <c r="L136" s="397">
        <f t="shared" si="31"/>
        <v>725.0943523</v>
      </c>
      <c r="M136" s="397">
        <f t="shared" si="31"/>
        <v>1713.781129</v>
      </c>
      <c r="N136" s="397">
        <f t="shared" si="31"/>
        <v>3726.938243</v>
      </c>
      <c r="O136" s="397">
        <f t="shared" si="31"/>
        <v>6448.938921</v>
      </c>
      <c r="P136" s="397">
        <f t="shared" si="31"/>
        <v>8228.294333</v>
      </c>
      <c r="Q136" s="397">
        <f t="shared" si="31"/>
        <v>6193.301512</v>
      </c>
      <c r="R136" s="397">
        <f t="shared" si="31"/>
        <v>218.2002613</v>
      </c>
      <c r="S136" s="397">
        <f t="shared" si="31"/>
        <v>498.7551917</v>
      </c>
      <c r="T136" s="397">
        <f t="shared" si="31"/>
        <v>304.5773835</v>
      </c>
      <c r="U136" s="397">
        <f t="shared" si="31"/>
        <v>351.6576081</v>
      </c>
      <c r="V136" s="397">
        <f t="shared" si="31"/>
        <v>524.2761356</v>
      </c>
      <c r="W136" s="397">
        <f t="shared" si="31"/>
        <v>691.6568724</v>
      </c>
      <c r="X136" s="397">
        <f t="shared" si="31"/>
        <v>1868.650118</v>
      </c>
      <c r="Y136" s="397">
        <f t="shared" si="31"/>
        <v>206.4921367</v>
      </c>
      <c r="Z136" s="397">
        <f t="shared" si="31"/>
        <v>371.5341547</v>
      </c>
      <c r="AA136" s="397">
        <f t="shared" si="31"/>
        <v>20.94286881</v>
      </c>
      <c r="AB136" s="397">
        <f t="shared" si="31"/>
        <v>160.9130564</v>
      </c>
      <c r="AC136" s="397">
        <f t="shared" si="31"/>
        <v>94.78554775</v>
      </c>
      <c r="AD136" s="397">
        <f t="shared" si="31"/>
        <v>58.06029493</v>
      </c>
      <c r="AE136" s="397">
        <f t="shared" si="31"/>
        <v>121.8126936</v>
      </c>
      <c r="AF136" s="397">
        <f t="shared" si="31"/>
        <v>109.4674626</v>
      </c>
      <c r="AG136" s="397">
        <f t="shared" si="31"/>
        <v>440.5760637</v>
      </c>
      <c r="AH136" s="397">
        <f t="shared" si="31"/>
        <v>766.7156422</v>
      </c>
      <c r="AI136" s="397">
        <f t="shared" si="31"/>
        <v>90.72631299</v>
      </c>
      <c r="AJ136" s="397">
        <f t="shared" si="31"/>
        <v>698.5926993</v>
      </c>
      <c r="AK136" s="397">
        <f t="shared" si="31"/>
        <v>1684.44736</v>
      </c>
      <c r="AL136" s="397">
        <f t="shared" si="31"/>
        <v>934.3712702</v>
      </c>
      <c r="AM136" s="397">
        <f t="shared" si="31"/>
        <v>634.7525809</v>
      </c>
      <c r="AN136" s="397">
        <f t="shared" si="31"/>
        <v>183.6731715</v>
      </c>
      <c r="AO136" s="397">
        <f t="shared" si="31"/>
        <v>440.2986722</v>
      </c>
      <c r="AP136" s="397">
        <f t="shared" si="31"/>
        <v>478.6710155</v>
      </c>
      <c r="AQ136" s="397">
        <f t="shared" si="31"/>
        <v>188.144138</v>
      </c>
      <c r="AR136" s="397">
        <f t="shared" si="31"/>
        <v>877.6270319</v>
      </c>
      <c r="AS136" s="397">
        <f t="shared" si="31"/>
        <v>1471.273059</v>
      </c>
      <c r="AT136" s="401"/>
    </row>
    <row r="137">
      <c r="A137" s="80"/>
      <c r="B137" s="81"/>
      <c r="C137" s="325"/>
      <c r="D137" s="325"/>
      <c r="E137" s="408"/>
      <c r="F137" s="83"/>
      <c r="G137" s="84"/>
      <c r="H137" s="405"/>
      <c r="I137" s="406"/>
      <c r="J137" s="406"/>
      <c r="K137" s="406"/>
      <c r="L137" s="406"/>
      <c r="M137" s="406"/>
      <c r="N137" s="406"/>
      <c r="O137" s="406"/>
      <c r="P137" s="406"/>
      <c r="Q137" s="406"/>
      <c r="R137" s="406"/>
      <c r="S137" s="406"/>
      <c r="T137" s="406"/>
      <c r="U137" s="406"/>
      <c r="V137" s="406"/>
      <c r="W137" s="406"/>
      <c r="X137" s="406"/>
      <c r="Y137" s="406"/>
      <c r="Z137" s="406"/>
      <c r="AA137" s="406"/>
      <c r="AB137" s="406"/>
      <c r="AC137" s="406"/>
      <c r="AD137" s="406"/>
      <c r="AE137" s="406"/>
      <c r="AF137" s="406"/>
      <c r="AG137" s="406"/>
      <c r="AH137" s="406"/>
      <c r="AI137" s="406"/>
      <c r="AJ137" s="406"/>
      <c r="AK137" s="406"/>
      <c r="AL137" s="406"/>
      <c r="AM137" s="406"/>
      <c r="AN137" s="406"/>
      <c r="AO137" s="406"/>
      <c r="AP137" s="406"/>
      <c r="AQ137" s="406"/>
      <c r="AR137" s="406"/>
      <c r="AS137" s="406"/>
      <c r="AT137" s="88"/>
    </row>
    <row r="138">
      <c r="A138" s="80"/>
      <c r="B138" s="81"/>
      <c r="C138" s="325" t="s">
        <v>514</v>
      </c>
      <c r="F138" s="83"/>
      <c r="G138" s="84"/>
      <c r="H138" s="405"/>
      <c r="I138" s="403"/>
      <c r="J138" s="403"/>
      <c r="K138" s="403"/>
      <c r="L138" s="403"/>
      <c r="M138" s="403"/>
      <c r="N138" s="403"/>
      <c r="O138" s="403"/>
      <c r="P138" s="403"/>
      <c r="Q138" s="403"/>
      <c r="R138" s="403"/>
      <c r="S138" s="403"/>
      <c r="T138" s="403"/>
      <c r="U138" s="403"/>
      <c r="V138" s="403"/>
      <c r="W138" s="403"/>
      <c r="X138" s="403"/>
      <c r="Y138" s="403"/>
      <c r="Z138" s="403"/>
      <c r="AA138" s="403"/>
      <c r="AB138" s="403"/>
      <c r="AC138" s="403"/>
      <c r="AD138" s="403"/>
      <c r="AE138" s="403"/>
      <c r="AF138" s="403"/>
      <c r="AG138" s="403"/>
      <c r="AH138" s="403"/>
      <c r="AI138" s="403"/>
      <c r="AJ138" s="403"/>
      <c r="AK138" s="403"/>
      <c r="AL138" s="403"/>
      <c r="AM138" s="403"/>
      <c r="AN138" s="403"/>
      <c r="AO138" s="403"/>
      <c r="AP138" s="403"/>
      <c r="AQ138" s="403"/>
      <c r="AR138" s="403"/>
      <c r="AS138" s="403"/>
      <c r="AT138" s="88"/>
    </row>
    <row r="139">
      <c r="A139" s="80"/>
      <c r="B139" s="81"/>
      <c r="C139" s="81"/>
      <c r="D139" s="81"/>
      <c r="E139" s="188" t="s">
        <v>515</v>
      </c>
      <c r="F139" s="189" t="s">
        <v>127</v>
      </c>
      <c r="G139" s="263" t="s">
        <v>149</v>
      </c>
      <c r="H139" s="200" t="s">
        <v>150</v>
      </c>
      <c r="I139" s="409">
        <f t="shared" ref="I139:AS139" si="32">I98/I38</f>
        <v>1.231804642</v>
      </c>
      <c r="J139" s="409">
        <f t="shared" si="32"/>
        <v>0.9087094187</v>
      </c>
      <c r="K139" s="409">
        <f t="shared" si="32"/>
        <v>1.288179179</v>
      </c>
      <c r="L139" s="409">
        <f t="shared" si="32"/>
        <v>0.5960950833</v>
      </c>
      <c r="M139" s="409">
        <f t="shared" si="32"/>
        <v>0.8341295288</v>
      </c>
      <c r="N139" s="409">
        <f t="shared" si="32"/>
        <v>0.9268397854</v>
      </c>
      <c r="O139" s="409">
        <f t="shared" si="32"/>
        <v>1.029541863</v>
      </c>
      <c r="P139" s="409">
        <f t="shared" si="32"/>
        <v>1.367106994</v>
      </c>
      <c r="Q139" s="409">
        <f t="shared" si="32"/>
        <v>1.607246462</v>
      </c>
      <c r="R139" s="409">
        <f t="shared" si="32"/>
        <v>0.3524839127</v>
      </c>
      <c r="S139" s="409">
        <f t="shared" si="32"/>
        <v>0.8228517786</v>
      </c>
      <c r="T139" s="409">
        <f t="shared" si="32"/>
        <v>0.2440939848</v>
      </c>
      <c r="U139" s="409">
        <f t="shared" si="32"/>
        <v>0.2741296538</v>
      </c>
      <c r="V139" s="409">
        <f t="shared" si="32"/>
        <v>0.3620221499</v>
      </c>
      <c r="W139" s="409">
        <f t="shared" si="32"/>
        <v>0.4536980259</v>
      </c>
      <c r="X139" s="409">
        <f t="shared" si="32"/>
        <v>0.3957208259</v>
      </c>
      <c r="Y139" s="409">
        <f t="shared" si="32"/>
        <v>0.3170151144</v>
      </c>
      <c r="Z139" s="409">
        <f t="shared" si="32"/>
        <v>0.3124593922</v>
      </c>
      <c r="AA139" s="409">
        <f t="shared" si="32"/>
        <v>0.4574759139</v>
      </c>
      <c r="AB139" s="409">
        <f t="shared" si="32"/>
        <v>0.3483634475</v>
      </c>
      <c r="AC139" s="409">
        <f t="shared" si="32"/>
        <v>0.2733771663</v>
      </c>
      <c r="AD139" s="409">
        <f t="shared" si="32"/>
        <v>0.1995875467</v>
      </c>
      <c r="AE139" s="409">
        <f t="shared" si="32"/>
        <v>0.2987564877</v>
      </c>
      <c r="AF139" s="409">
        <f t="shared" si="32"/>
        <v>0.1988749419</v>
      </c>
      <c r="AG139" s="409">
        <f t="shared" si="32"/>
        <v>0.2995415223</v>
      </c>
      <c r="AH139" s="409">
        <f t="shared" si="32"/>
        <v>0.1809929738</v>
      </c>
      <c r="AI139" s="409">
        <f t="shared" si="32"/>
        <v>0.1544271686</v>
      </c>
      <c r="AJ139" s="409">
        <f t="shared" si="32"/>
        <v>0.3760706982</v>
      </c>
      <c r="AK139" s="409">
        <f t="shared" si="32"/>
        <v>0.5281352741</v>
      </c>
      <c r="AL139" s="409">
        <f t="shared" si="32"/>
        <v>0.2279322493</v>
      </c>
      <c r="AM139" s="409">
        <f t="shared" si="32"/>
        <v>0.2672641351</v>
      </c>
      <c r="AN139" s="409">
        <f t="shared" si="32"/>
        <v>0.1319973495</v>
      </c>
      <c r="AO139" s="409">
        <f t="shared" si="32"/>
        <v>0.1710044673</v>
      </c>
      <c r="AP139" s="409">
        <f t="shared" si="32"/>
        <v>0.3084818633</v>
      </c>
      <c r="AQ139" s="409">
        <f t="shared" si="32"/>
        <v>0.3079967167</v>
      </c>
      <c r="AR139" s="409">
        <f t="shared" si="32"/>
        <v>0.8160975809</v>
      </c>
      <c r="AS139" s="409">
        <f t="shared" si="32"/>
        <v>0.713929528</v>
      </c>
      <c r="AT139" s="193"/>
    </row>
    <row r="140">
      <c r="A140" s="80"/>
      <c r="B140" s="81"/>
      <c r="C140" s="81"/>
      <c r="D140" s="81"/>
      <c r="E140" s="92" t="s">
        <v>520</v>
      </c>
      <c r="F140" s="93" t="s">
        <v>127</v>
      </c>
      <c r="G140" s="128" t="s">
        <v>149</v>
      </c>
      <c r="H140" s="129" t="s">
        <v>150</v>
      </c>
      <c r="I140" s="183">
        <f t="shared" ref="I140:AS140" si="33">I38*I139</f>
        <v>14889.69447</v>
      </c>
      <c r="J140" s="183">
        <f t="shared" si="33"/>
        <v>6733.93038</v>
      </c>
      <c r="K140" s="183">
        <f t="shared" si="33"/>
        <v>12239.87104</v>
      </c>
      <c r="L140" s="183">
        <f t="shared" si="33"/>
        <v>3392.211468</v>
      </c>
      <c r="M140" s="183">
        <f t="shared" si="33"/>
        <v>8414.849388</v>
      </c>
      <c r="N140" s="183">
        <f t="shared" si="33"/>
        <v>12498.26535</v>
      </c>
      <c r="O140" s="183">
        <f t="shared" si="33"/>
        <v>19466.43674</v>
      </c>
      <c r="P140" s="183">
        <f t="shared" si="33"/>
        <v>31974.30796</v>
      </c>
      <c r="Q140" s="183">
        <f t="shared" si="33"/>
        <v>24025.78256</v>
      </c>
      <c r="R140" s="183">
        <f t="shared" si="33"/>
        <v>790.6468974</v>
      </c>
      <c r="S140" s="183">
        <f t="shared" si="33"/>
        <v>2341.590835</v>
      </c>
      <c r="T140" s="183">
        <f t="shared" si="33"/>
        <v>716.3660643</v>
      </c>
      <c r="U140" s="183">
        <f t="shared" si="33"/>
        <v>1004.33658</v>
      </c>
      <c r="V140" s="183">
        <f t="shared" si="33"/>
        <v>1548.497179</v>
      </c>
      <c r="W140" s="183">
        <f t="shared" si="33"/>
        <v>1936.041394</v>
      </c>
      <c r="X140" s="183">
        <f t="shared" si="33"/>
        <v>4486.699746</v>
      </c>
      <c r="Y140" s="183">
        <f t="shared" si="33"/>
        <v>458.5349959</v>
      </c>
      <c r="Z140" s="183">
        <f t="shared" si="33"/>
        <v>1234.807772</v>
      </c>
      <c r="AA140" s="183">
        <f t="shared" si="33"/>
        <v>69.6135356</v>
      </c>
      <c r="AB140" s="183">
        <f t="shared" si="33"/>
        <v>654.8690492</v>
      </c>
      <c r="AC140" s="183">
        <f t="shared" si="33"/>
        <v>272.0487541</v>
      </c>
      <c r="AD140" s="183">
        <f t="shared" si="33"/>
        <v>108.1827992</v>
      </c>
      <c r="AE140" s="183">
        <f t="shared" si="33"/>
        <v>497.0023061</v>
      </c>
      <c r="AF140" s="183">
        <f t="shared" si="33"/>
        <v>244.6797383</v>
      </c>
      <c r="AG140" s="183">
        <f t="shared" si="33"/>
        <v>1096.115344</v>
      </c>
      <c r="AH140" s="183">
        <f t="shared" si="33"/>
        <v>1277.523379</v>
      </c>
      <c r="AI140" s="183">
        <f t="shared" si="33"/>
        <v>231.3349411</v>
      </c>
      <c r="AJ140" s="183">
        <f t="shared" si="33"/>
        <v>2283.669982</v>
      </c>
      <c r="AK140" s="183">
        <f t="shared" si="33"/>
        <v>4960.921873</v>
      </c>
      <c r="AL140" s="183">
        <f t="shared" si="33"/>
        <v>1785.598893</v>
      </c>
      <c r="AM140" s="183">
        <f t="shared" si="33"/>
        <v>1515.283627</v>
      </c>
      <c r="AN140" s="183">
        <f t="shared" si="33"/>
        <v>270.3114627</v>
      </c>
      <c r="AO140" s="183">
        <f t="shared" si="33"/>
        <v>986.9128288</v>
      </c>
      <c r="AP140" s="183">
        <f t="shared" si="33"/>
        <v>1268.18516</v>
      </c>
      <c r="AQ140" s="183">
        <f t="shared" si="33"/>
        <v>622.6720404</v>
      </c>
      <c r="AR140" s="183">
        <f t="shared" si="33"/>
        <v>4663.026633</v>
      </c>
      <c r="AS140" s="183">
        <f t="shared" si="33"/>
        <v>3675.336845</v>
      </c>
      <c r="AT140" s="120"/>
    </row>
    <row r="141">
      <c r="A141" s="80"/>
      <c r="B141" s="81"/>
      <c r="C141" s="325"/>
      <c r="D141" s="81"/>
      <c r="E141" s="82"/>
      <c r="F141" s="83"/>
      <c r="G141" s="84"/>
      <c r="H141" s="85"/>
      <c r="I141" s="86"/>
      <c r="J141" s="86"/>
      <c r="K141" s="86"/>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c r="AQ141" s="86"/>
      <c r="AR141" s="86"/>
      <c r="AS141" s="86"/>
      <c r="AT141" s="88"/>
    </row>
    <row r="142">
      <c r="A142" s="80"/>
      <c r="B142" s="81"/>
      <c r="C142" s="325" t="s">
        <v>522</v>
      </c>
      <c r="F142" s="83"/>
      <c r="G142" s="83"/>
      <c r="H142" s="85"/>
      <c r="I142" s="86"/>
      <c r="J142" s="86"/>
      <c r="K142" s="86"/>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c r="AQ142" s="86"/>
      <c r="AR142" s="86"/>
      <c r="AS142" s="86"/>
      <c r="AT142" s="88"/>
    </row>
    <row r="143">
      <c r="A143" s="80"/>
      <c r="B143" s="81"/>
      <c r="C143" s="325"/>
      <c r="D143" s="81"/>
      <c r="E143" s="188" t="s">
        <v>523</v>
      </c>
      <c r="F143" s="151" t="str">
        <f>Inputs!F261</f>
        <v>UoV</v>
      </c>
      <c r="G143" s="151" t="str">
        <f>Inputs!G261</f>
        <v>input</v>
      </c>
      <c r="H143" s="410">
        <f>Inputs!H261</f>
        <v>1.442695041</v>
      </c>
      <c r="I143" s="289" t="str">
        <f>Inputs!I261</f>
        <v>-</v>
      </c>
      <c r="J143" s="289" t="str">
        <f>Inputs!J261</f>
        <v>-</v>
      </c>
      <c r="K143" s="289" t="str">
        <f>Inputs!K261</f>
        <v>-</v>
      </c>
      <c r="L143" s="289" t="str">
        <f>Inputs!L261</f>
        <v>-</v>
      </c>
      <c r="M143" s="289" t="str">
        <f>Inputs!M261</f>
        <v>-</v>
      </c>
      <c r="N143" s="289" t="str">
        <f>Inputs!N261</f>
        <v>-</v>
      </c>
      <c r="O143" s="289" t="str">
        <f>Inputs!O261</f>
        <v>-</v>
      </c>
      <c r="P143" s="289" t="str">
        <f>Inputs!P261</f>
        <v>-</v>
      </c>
      <c r="Q143" s="289" t="str">
        <f>Inputs!Q261</f>
        <v>-</v>
      </c>
      <c r="R143" s="289" t="str">
        <f>Inputs!R261</f>
        <v>-</v>
      </c>
      <c r="S143" s="289" t="str">
        <f>Inputs!S261</f>
        <v>-</v>
      </c>
      <c r="T143" s="289" t="str">
        <f>Inputs!T261</f>
        <v>-</v>
      </c>
      <c r="U143" s="289" t="str">
        <f>Inputs!U261</f>
        <v>-</v>
      </c>
      <c r="V143" s="289" t="str">
        <f>Inputs!V261</f>
        <v>-</v>
      </c>
      <c r="W143" s="289" t="str">
        <f>Inputs!W261</f>
        <v>-</v>
      </c>
      <c r="X143" s="289" t="str">
        <f>Inputs!X261</f>
        <v>-</v>
      </c>
      <c r="Y143" s="289" t="str">
        <f>Inputs!Y261</f>
        <v>-</v>
      </c>
      <c r="Z143" s="289" t="str">
        <f>Inputs!Z261</f>
        <v>-</v>
      </c>
      <c r="AA143" s="289" t="str">
        <f>Inputs!AA261</f>
        <v>-</v>
      </c>
      <c r="AB143" s="289" t="str">
        <f>Inputs!AB261</f>
        <v>-</v>
      </c>
      <c r="AC143" s="289" t="str">
        <f>Inputs!AC261</f>
        <v>-</v>
      </c>
      <c r="AD143" s="289" t="str">
        <f>Inputs!AD261</f>
        <v>-</v>
      </c>
      <c r="AE143" s="289" t="str">
        <f>Inputs!AE261</f>
        <v>-</v>
      </c>
      <c r="AF143" s="289" t="str">
        <f>Inputs!AF261</f>
        <v>-</v>
      </c>
      <c r="AG143" s="289" t="str">
        <f>Inputs!AG261</f>
        <v>-</v>
      </c>
      <c r="AH143" s="289" t="str">
        <f>Inputs!AH261</f>
        <v>-</v>
      </c>
      <c r="AI143" s="289" t="str">
        <f>Inputs!AI261</f>
        <v>-</v>
      </c>
      <c r="AJ143" s="289" t="str">
        <f>Inputs!AJ261</f>
        <v>-</v>
      </c>
      <c r="AK143" s="289" t="str">
        <f>Inputs!AK261</f>
        <v>-</v>
      </c>
      <c r="AL143" s="289" t="str">
        <f>Inputs!AL261</f>
        <v>-</v>
      </c>
      <c r="AM143" s="289" t="str">
        <f>Inputs!AM261</f>
        <v>-</v>
      </c>
      <c r="AN143" s="289" t="str">
        <f>Inputs!AN261</f>
        <v>-</v>
      </c>
      <c r="AO143" s="289" t="str">
        <f>Inputs!AO261</f>
        <v>-</v>
      </c>
      <c r="AP143" s="289" t="str">
        <f>Inputs!AP261</f>
        <v>-</v>
      </c>
      <c r="AQ143" s="289" t="str">
        <f>Inputs!AQ261</f>
        <v>-</v>
      </c>
      <c r="AR143" s="289" t="str">
        <f>Inputs!AR261</f>
        <v>-</v>
      </c>
      <c r="AS143" s="289" t="str">
        <f>Inputs!AS261</f>
        <v>-</v>
      </c>
      <c r="AT143" s="136"/>
    </row>
    <row r="144">
      <c r="A144" s="80"/>
      <c r="B144" s="81"/>
      <c r="C144" s="325"/>
      <c r="D144" s="81"/>
      <c r="E144" s="194" t="s">
        <v>530</v>
      </c>
      <c r="F144" s="195" t="s">
        <v>127</v>
      </c>
      <c r="G144" s="195" t="s">
        <v>149</v>
      </c>
      <c r="H144" s="197" t="s">
        <v>150</v>
      </c>
      <c r="I144" s="397">
        <f t="shared" ref="I144:AS144" si="34">I118*$H143</f>
        <v>1959.642412</v>
      </c>
      <c r="J144" s="397">
        <f t="shared" si="34"/>
        <v>1959.642412</v>
      </c>
      <c r="K144" s="397">
        <f t="shared" si="34"/>
        <v>1959.642412</v>
      </c>
      <c r="L144" s="397">
        <f t="shared" si="34"/>
        <v>1959.642412</v>
      </c>
      <c r="M144" s="397">
        <f t="shared" si="34"/>
        <v>1959.642412</v>
      </c>
      <c r="N144" s="397">
        <f t="shared" si="34"/>
        <v>1959.642412</v>
      </c>
      <c r="O144" s="397">
        <f t="shared" si="34"/>
        <v>1959.642412</v>
      </c>
      <c r="P144" s="397">
        <f t="shared" si="34"/>
        <v>1959.642412</v>
      </c>
      <c r="Q144" s="397">
        <f t="shared" si="34"/>
        <v>1959.642412</v>
      </c>
      <c r="R144" s="397">
        <f t="shared" si="34"/>
        <v>1959.642412</v>
      </c>
      <c r="S144" s="397">
        <f t="shared" si="34"/>
        <v>1959.642412</v>
      </c>
      <c r="T144" s="397">
        <f t="shared" si="34"/>
        <v>1959.642412</v>
      </c>
      <c r="U144" s="397">
        <f t="shared" si="34"/>
        <v>1959.642412</v>
      </c>
      <c r="V144" s="397">
        <f t="shared" si="34"/>
        <v>1959.642412</v>
      </c>
      <c r="W144" s="397">
        <f t="shared" si="34"/>
        <v>1959.642412</v>
      </c>
      <c r="X144" s="397">
        <f t="shared" si="34"/>
        <v>1959.642412</v>
      </c>
      <c r="Y144" s="397">
        <f t="shared" si="34"/>
        <v>1959.642412</v>
      </c>
      <c r="Z144" s="397">
        <f t="shared" si="34"/>
        <v>1959.642412</v>
      </c>
      <c r="AA144" s="397">
        <f t="shared" si="34"/>
        <v>1959.642412</v>
      </c>
      <c r="AB144" s="397">
        <f t="shared" si="34"/>
        <v>1959.642412</v>
      </c>
      <c r="AC144" s="397">
        <f t="shared" si="34"/>
        <v>1959.642412</v>
      </c>
      <c r="AD144" s="397">
        <f t="shared" si="34"/>
        <v>1959.642412</v>
      </c>
      <c r="AE144" s="397">
        <f t="shared" si="34"/>
        <v>1959.642412</v>
      </c>
      <c r="AF144" s="397">
        <f t="shared" si="34"/>
        <v>1959.642412</v>
      </c>
      <c r="AG144" s="397">
        <f t="shared" si="34"/>
        <v>1959.642412</v>
      </c>
      <c r="AH144" s="397">
        <f t="shared" si="34"/>
        <v>1959.642412</v>
      </c>
      <c r="AI144" s="397">
        <f t="shared" si="34"/>
        <v>1959.642412</v>
      </c>
      <c r="AJ144" s="397">
        <f t="shared" si="34"/>
        <v>1959.642412</v>
      </c>
      <c r="AK144" s="397">
        <f t="shared" si="34"/>
        <v>1959.642412</v>
      </c>
      <c r="AL144" s="397">
        <f t="shared" si="34"/>
        <v>1959.642412</v>
      </c>
      <c r="AM144" s="397">
        <f t="shared" si="34"/>
        <v>1959.642412</v>
      </c>
      <c r="AN144" s="397">
        <f t="shared" si="34"/>
        <v>1959.642412</v>
      </c>
      <c r="AO144" s="397">
        <f t="shared" si="34"/>
        <v>1959.642412</v>
      </c>
      <c r="AP144" s="397">
        <f t="shared" si="34"/>
        <v>1959.642412</v>
      </c>
      <c r="AQ144" s="397">
        <f t="shared" si="34"/>
        <v>1959.642412</v>
      </c>
      <c r="AR144" s="397">
        <f t="shared" si="34"/>
        <v>1959.642412</v>
      </c>
      <c r="AS144" s="397">
        <f t="shared" si="34"/>
        <v>1959.642412</v>
      </c>
      <c r="AT144" s="248"/>
    </row>
    <row r="145">
      <c r="A145" s="80"/>
      <c r="B145" s="81"/>
      <c r="C145" s="325"/>
      <c r="D145" s="81"/>
      <c r="E145" s="82"/>
      <c r="F145" s="83"/>
      <c r="G145" s="83"/>
      <c r="H145" s="85"/>
      <c r="I145" s="86"/>
      <c r="J145" s="86"/>
      <c r="K145" s="86"/>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c r="AQ145" s="86"/>
      <c r="AR145" s="86"/>
      <c r="AS145" s="86"/>
      <c r="AT145" s="88"/>
    </row>
    <row r="146">
      <c r="A146" s="72" t="s">
        <v>532</v>
      </c>
      <c r="B146" s="14"/>
      <c r="C146" s="14"/>
      <c r="D146" s="14"/>
      <c r="E146" s="14"/>
      <c r="F146" s="14"/>
      <c r="G146" s="14"/>
      <c r="H146" s="73"/>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c r="AG146" s="97"/>
      <c r="AH146" s="97"/>
      <c r="AI146" s="97"/>
      <c r="AJ146" s="97"/>
      <c r="AK146" s="97"/>
      <c r="AL146" s="97"/>
      <c r="AM146" s="97"/>
      <c r="AN146" s="97"/>
      <c r="AO146" s="97"/>
      <c r="AP146" s="97"/>
      <c r="AQ146" s="97"/>
      <c r="AR146" s="97"/>
      <c r="AS146" s="97"/>
      <c r="AT146" s="79"/>
    </row>
    <row r="147">
      <c r="A147" s="80"/>
      <c r="B147" s="81"/>
      <c r="C147" s="81"/>
      <c r="D147" s="81"/>
      <c r="E147" s="82"/>
      <c r="F147" s="83"/>
      <c r="G147" s="84"/>
      <c r="H147" s="85"/>
      <c r="I147" s="86"/>
      <c r="J147" s="86"/>
      <c r="K147" s="86"/>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c r="AQ147" s="86"/>
      <c r="AR147" s="86"/>
      <c r="AS147" s="86"/>
      <c r="AT147" s="88"/>
    </row>
    <row r="148">
      <c r="A148" s="80"/>
      <c r="B148" s="81"/>
      <c r="C148" s="325" t="s">
        <v>534</v>
      </c>
      <c r="F148" s="83"/>
      <c r="G148" s="84"/>
      <c r="H148" s="85"/>
      <c r="I148" s="86"/>
      <c r="J148" s="86"/>
      <c r="K148" s="86"/>
      <c r="L148" s="86"/>
      <c r="M148" s="86"/>
      <c r="N148" s="86"/>
      <c r="O148" s="86"/>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c r="AQ148" s="86"/>
      <c r="AR148" s="86"/>
      <c r="AS148" s="86"/>
      <c r="AT148" s="88"/>
    </row>
    <row r="149">
      <c r="A149" s="80"/>
      <c r="B149" s="81"/>
      <c r="C149" s="81"/>
      <c r="D149" s="81"/>
      <c r="E149" s="188" t="s">
        <v>245</v>
      </c>
      <c r="F149" s="189" t="str">
        <f>F50</f>
        <v>#</v>
      </c>
      <c r="G149" s="263" t="s">
        <v>71</v>
      </c>
      <c r="H149" s="200" t="str">
        <f t="shared" ref="H149:AS149" si="35">H50</f>
        <v>-</v>
      </c>
      <c r="I149" s="418">
        <f t="shared" si="35"/>
        <v>386.9464827</v>
      </c>
      <c r="J149" s="418">
        <f t="shared" si="35"/>
        <v>175.4405849</v>
      </c>
      <c r="K149" s="418">
        <f t="shared" si="35"/>
        <v>317.8977189</v>
      </c>
      <c r="L149" s="418">
        <f t="shared" si="35"/>
        <v>88.10470035</v>
      </c>
      <c r="M149" s="418">
        <f t="shared" si="35"/>
        <v>218.3179762</v>
      </c>
      <c r="N149" s="418">
        <f t="shared" si="35"/>
        <v>322.1268501</v>
      </c>
      <c r="O149" s="418">
        <f t="shared" si="35"/>
        <v>501.0157461</v>
      </c>
      <c r="P149" s="418">
        <f t="shared" si="35"/>
        <v>825.6216313</v>
      </c>
      <c r="Q149" s="418">
        <f t="shared" si="35"/>
        <v>624.0117303</v>
      </c>
      <c r="R149" s="418">
        <f t="shared" si="35"/>
        <v>20.7146174</v>
      </c>
      <c r="S149" s="418">
        <f t="shared" si="35"/>
        <v>61.28112369</v>
      </c>
      <c r="T149" s="418">
        <f t="shared" si="35"/>
        <v>18.47530624</v>
      </c>
      <c r="U149" s="418">
        <f t="shared" si="35"/>
        <v>25.89544782</v>
      </c>
      <c r="V149" s="418">
        <f t="shared" si="35"/>
        <v>40.18596591</v>
      </c>
      <c r="W149" s="418">
        <f t="shared" si="35"/>
        <v>49.44512322</v>
      </c>
      <c r="X149" s="418">
        <f t="shared" si="35"/>
        <v>113.8106768</v>
      </c>
      <c r="Y149" s="418">
        <f t="shared" si="35"/>
        <v>11.73769744</v>
      </c>
      <c r="Z149" s="418">
        <f t="shared" si="35"/>
        <v>31.77767767</v>
      </c>
      <c r="AA149" s="418">
        <f t="shared" si="35"/>
        <v>1.79662296</v>
      </c>
      <c r="AB149" s="418">
        <f t="shared" si="35"/>
        <v>17.26912905</v>
      </c>
      <c r="AC149" s="418">
        <f t="shared" si="35"/>
        <v>7.091754042</v>
      </c>
      <c r="AD149" s="418">
        <f t="shared" si="35"/>
        <v>2.752941032</v>
      </c>
      <c r="AE149" s="418">
        <f t="shared" si="35"/>
        <v>12.80138178</v>
      </c>
      <c r="AF149" s="418">
        <f t="shared" si="35"/>
        <v>6.269356567</v>
      </c>
      <c r="AG149" s="418">
        <f t="shared" si="35"/>
        <v>27.86802905</v>
      </c>
      <c r="AH149" s="418">
        <f t="shared" si="35"/>
        <v>31.90521611</v>
      </c>
      <c r="AI149" s="418">
        <f t="shared" si="35"/>
        <v>5.80354639</v>
      </c>
      <c r="AJ149" s="418">
        <f t="shared" si="35"/>
        <v>58.12200452</v>
      </c>
      <c r="AK149" s="418">
        <f t="shared" si="35"/>
        <v>127.2860577</v>
      </c>
      <c r="AL149" s="418">
        <f t="shared" si="35"/>
        <v>45.1709404</v>
      </c>
      <c r="AM149" s="418">
        <f t="shared" si="35"/>
        <v>38.72646996</v>
      </c>
      <c r="AN149" s="418">
        <f t="shared" si="35"/>
        <v>6.83423205</v>
      </c>
      <c r="AO149" s="418">
        <f t="shared" si="35"/>
        <v>25.20313053</v>
      </c>
      <c r="AP149" s="418">
        <f t="shared" si="35"/>
        <v>31.85600374</v>
      </c>
      <c r="AQ149" s="418">
        <f t="shared" si="35"/>
        <v>16.22096581</v>
      </c>
      <c r="AR149" s="418">
        <f t="shared" si="35"/>
        <v>121.4055131</v>
      </c>
      <c r="AS149" s="418">
        <f t="shared" si="35"/>
        <v>93.44823746</v>
      </c>
      <c r="AT149" s="419"/>
    </row>
    <row r="150">
      <c r="A150" s="80"/>
      <c r="B150" s="81"/>
      <c r="C150" s="81"/>
      <c r="D150" s="81"/>
      <c r="E150" s="214" t="s">
        <v>280</v>
      </c>
      <c r="F150" s="215" t="str">
        <f>F63</f>
        <v>#</v>
      </c>
      <c r="G150" s="263" t="s">
        <v>71</v>
      </c>
      <c r="H150" s="187" t="str">
        <f t="shared" ref="H150:AS150" si="36">H63</f>
        <v>-</v>
      </c>
      <c r="I150" s="420">
        <f t="shared" si="36"/>
        <v>26.93318302</v>
      </c>
      <c r="J150" s="420">
        <f t="shared" si="36"/>
        <v>11.79605145</v>
      </c>
      <c r="K150" s="420">
        <f t="shared" si="36"/>
        <v>22.30211528</v>
      </c>
      <c r="L150" s="420">
        <f t="shared" si="36"/>
        <v>6.179919708</v>
      </c>
      <c r="M150" s="420">
        <f t="shared" si="36"/>
        <v>15.53700855</v>
      </c>
      <c r="N150" s="420">
        <f t="shared" si="36"/>
        <v>24.9310103</v>
      </c>
      <c r="O150" s="420">
        <f t="shared" si="36"/>
        <v>39.44541883</v>
      </c>
      <c r="P150" s="420">
        <f t="shared" si="36"/>
        <v>62.4553315</v>
      </c>
      <c r="Q150" s="420">
        <f t="shared" si="36"/>
        <v>43.77127716</v>
      </c>
      <c r="R150" s="420">
        <f t="shared" si="36"/>
        <v>1.284385411</v>
      </c>
      <c r="S150" s="420">
        <f t="shared" si="36"/>
        <v>3.862610338</v>
      </c>
      <c r="T150" s="420">
        <f t="shared" si="36"/>
        <v>1.418643032</v>
      </c>
      <c r="U150" s="420">
        <f t="shared" si="36"/>
        <v>1.994753602</v>
      </c>
      <c r="V150" s="420">
        <f t="shared" si="36"/>
        <v>2.849392745</v>
      </c>
      <c r="W150" s="420">
        <f t="shared" si="36"/>
        <v>4.256578958</v>
      </c>
      <c r="X150" s="420">
        <f t="shared" si="36"/>
        <v>10.53958072</v>
      </c>
      <c r="Y150" s="420">
        <f t="shared" si="36"/>
        <v>0.984624089</v>
      </c>
      <c r="Z150" s="420">
        <f t="shared" si="36"/>
        <v>2.504806994</v>
      </c>
      <c r="AA150" s="420">
        <f t="shared" si="36"/>
        <v>0.1367554466</v>
      </c>
      <c r="AB150" s="420">
        <f t="shared" si="36"/>
        <v>0.9665774248</v>
      </c>
      <c r="AC150" s="420">
        <f t="shared" si="36"/>
        <v>0.4730724812</v>
      </c>
      <c r="AD150" s="420">
        <f t="shared" si="36"/>
        <v>0.2465203287</v>
      </c>
      <c r="AE150" s="420">
        <f t="shared" si="36"/>
        <v>0.9985454368</v>
      </c>
      <c r="AF150" s="420">
        <f t="shared" si="36"/>
        <v>0.5202063605</v>
      </c>
      <c r="AG150" s="420">
        <f t="shared" si="36"/>
        <v>2.519457394</v>
      </c>
      <c r="AH150" s="420">
        <f t="shared" si="36"/>
        <v>3.436390621</v>
      </c>
      <c r="AI150" s="420">
        <f t="shared" si="36"/>
        <v>0.5995488108</v>
      </c>
      <c r="AJ150" s="420">
        <f t="shared" si="36"/>
        <v>5.195911256</v>
      </c>
      <c r="AK150" s="420">
        <f t="shared" si="36"/>
        <v>10.39612891</v>
      </c>
      <c r="AL150" s="420">
        <f t="shared" si="36"/>
        <v>4.301431387</v>
      </c>
      <c r="AM150" s="420">
        <f t="shared" si="36"/>
        <v>3.307849486</v>
      </c>
      <c r="AN150" s="420">
        <f t="shared" si="36"/>
        <v>0.6545899861</v>
      </c>
      <c r="AO150" s="420">
        <f t="shared" si="36"/>
        <v>2.171497509</v>
      </c>
      <c r="AP150" s="420">
        <f t="shared" si="36"/>
        <v>3.25128076</v>
      </c>
      <c r="AQ150" s="420">
        <f t="shared" si="36"/>
        <v>1.092187765</v>
      </c>
      <c r="AR150" s="420">
        <f t="shared" si="36"/>
        <v>8.239119468</v>
      </c>
      <c r="AS150" s="420">
        <f t="shared" si="36"/>
        <v>8.443399061</v>
      </c>
      <c r="AT150" s="421"/>
    </row>
    <row r="151">
      <c r="A151" s="80"/>
      <c r="B151" s="81"/>
      <c r="C151" s="81"/>
      <c r="D151" s="81"/>
      <c r="E151" s="214" t="s">
        <v>330</v>
      </c>
      <c r="F151" s="215" t="str">
        <f>F76</f>
        <v>#</v>
      </c>
      <c r="G151" s="263" t="s">
        <v>71</v>
      </c>
      <c r="H151" s="187" t="str">
        <f t="shared" ref="H151:AS151" si="37">H76</f>
        <v>-</v>
      </c>
      <c r="I151" s="420">
        <f t="shared" si="37"/>
        <v>55.08113078</v>
      </c>
      <c r="J151" s="420">
        <f t="shared" si="37"/>
        <v>20.17061673</v>
      </c>
      <c r="K151" s="420">
        <f t="shared" si="37"/>
        <v>50.6460073</v>
      </c>
      <c r="L151" s="420">
        <f t="shared" si="37"/>
        <v>11.52429798</v>
      </c>
      <c r="M151" s="420">
        <f t="shared" si="37"/>
        <v>25.83023086</v>
      </c>
      <c r="N151" s="420">
        <f t="shared" si="37"/>
        <v>58.05800365</v>
      </c>
      <c r="O151" s="420">
        <f t="shared" si="37"/>
        <v>87.23170555</v>
      </c>
      <c r="P151" s="420">
        <f t="shared" si="37"/>
        <v>145.2211348</v>
      </c>
      <c r="Q151" s="420">
        <f t="shared" si="37"/>
        <v>81.92044014</v>
      </c>
      <c r="R151" s="420">
        <f t="shared" si="37"/>
        <v>3.016561157</v>
      </c>
      <c r="S151" s="420">
        <f t="shared" si="37"/>
        <v>6.937424422</v>
      </c>
      <c r="T151" s="420">
        <f t="shared" si="37"/>
        <v>4.357018188</v>
      </c>
      <c r="U151" s="420">
        <f t="shared" si="37"/>
        <v>5.326139065</v>
      </c>
      <c r="V151" s="420">
        <f t="shared" si="37"/>
        <v>7.599804041</v>
      </c>
      <c r="W151" s="420">
        <f t="shared" si="37"/>
        <v>10.45131276</v>
      </c>
      <c r="X151" s="420">
        <f t="shared" si="37"/>
        <v>24.04798093</v>
      </c>
      <c r="Y151" s="420">
        <f t="shared" si="37"/>
        <v>2.882785574</v>
      </c>
      <c r="Z151" s="420">
        <f t="shared" si="37"/>
        <v>6.431795416</v>
      </c>
      <c r="AA151" s="420">
        <f t="shared" si="37"/>
        <v>0.3188842195</v>
      </c>
      <c r="AB151" s="420">
        <f t="shared" si="37"/>
        <v>2.908397919</v>
      </c>
      <c r="AC151" s="420">
        <f t="shared" si="37"/>
        <v>1.396833073</v>
      </c>
      <c r="AD151" s="420">
        <f t="shared" si="37"/>
        <v>0.8049775401</v>
      </c>
      <c r="AE151" s="420">
        <f t="shared" si="37"/>
        <v>2.244245402</v>
      </c>
      <c r="AF151" s="420">
        <f t="shared" si="37"/>
        <v>1.59612786</v>
      </c>
      <c r="AG151" s="420">
        <f t="shared" si="37"/>
        <v>5.798891946</v>
      </c>
      <c r="AH151" s="420">
        <f t="shared" si="37"/>
        <v>12.66674542</v>
      </c>
      <c r="AI151" s="420">
        <f t="shared" si="37"/>
        <v>1.479450987</v>
      </c>
      <c r="AJ151" s="420">
        <f t="shared" si="37"/>
        <v>13.81434406</v>
      </c>
      <c r="AK151" s="420">
        <f t="shared" si="37"/>
        <v>26.35681335</v>
      </c>
      <c r="AL151" s="420">
        <f t="shared" si="37"/>
        <v>13.69933533</v>
      </c>
      <c r="AM151" s="420">
        <f t="shared" si="37"/>
        <v>9.02058357</v>
      </c>
      <c r="AN151" s="420">
        <f t="shared" si="37"/>
        <v>2.096645264</v>
      </c>
      <c r="AO151" s="420">
        <f t="shared" si="37"/>
        <v>6.878414547</v>
      </c>
      <c r="AP151" s="420">
        <f t="shared" si="37"/>
        <v>9.603229691</v>
      </c>
      <c r="AQ151" s="420">
        <f t="shared" si="37"/>
        <v>2.912389343</v>
      </c>
      <c r="AR151" s="420">
        <f t="shared" si="37"/>
        <v>17.50890055</v>
      </c>
      <c r="AS151" s="420">
        <f t="shared" si="37"/>
        <v>22.14053732</v>
      </c>
      <c r="AT151" s="421"/>
    </row>
    <row r="152">
      <c r="A152" s="80"/>
      <c r="B152" s="81"/>
      <c r="C152" s="81"/>
      <c r="D152" s="81"/>
      <c r="E152" s="214" t="s">
        <v>379</v>
      </c>
      <c r="F152" s="215" t="str">
        <f>F89</f>
        <v>#</v>
      </c>
      <c r="G152" s="263" t="s">
        <v>71</v>
      </c>
      <c r="H152" s="187" t="str">
        <f t="shared" ref="H152:AS152" si="38">H89</f>
        <v>-</v>
      </c>
      <c r="I152" s="420">
        <f t="shared" si="38"/>
        <v>91.59127109</v>
      </c>
      <c r="J152" s="420">
        <f t="shared" si="38"/>
        <v>38.35750708</v>
      </c>
      <c r="K152" s="420">
        <f t="shared" si="38"/>
        <v>72.88498062</v>
      </c>
      <c r="L152" s="420">
        <f t="shared" si="38"/>
        <v>17.08516382</v>
      </c>
      <c r="M152" s="420">
        <f t="shared" si="38"/>
        <v>40.38127072</v>
      </c>
      <c r="N152" s="420">
        <f t="shared" si="38"/>
        <v>87.81664098</v>
      </c>
      <c r="O152" s="420">
        <f t="shared" si="38"/>
        <v>151.954263</v>
      </c>
      <c r="P152" s="420">
        <f t="shared" si="38"/>
        <v>193.8806393</v>
      </c>
      <c r="Q152" s="420">
        <f t="shared" si="38"/>
        <v>145.9307613</v>
      </c>
      <c r="R152" s="420">
        <f t="shared" si="38"/>
        <v>5.141382216</v>
      </c>
      <c r="S152" s="420">
        <f t="shared" si="38"/>
        <v>11.75200735</v>
      </c>
      <c r="T152" s="420">
        <f t="shared" si="38"/>
        <v>7.176658424</v>
      </c>
      <c r="U152" s="420">
        <f t="shared" si="38"/>
        <v>8.285994535</v>
      </c>
      <c r="V152" s="420">
        <f t="shared" si="38"/>
        <v>12.3533491</v>
      </c>
      <c r="W152" s="420">
        <f t="shared" si="38"/>
        <v>16.29728729</v>
      </c>
      <c r="X152" s="420">
        <f t="shared" si="38"/>
        <v>44.03039863</v>
      </c>
      <c r="Y152" s="420">
        <f t="shared" si="38"/>
        <v>4.865507461</v>
      </c>
      <c r="Z152" s="420">
        <f t="shared" si="38"/>
        <v>8.754339178</v>
      </c>
      <c r="AA152" s="420">
        <f t="shared" si="38"/>
        <v>0.4934700475</v>
      </c>
      <c r="AB152" s="420">
        <f t="shared" si="38"/>
        <v>3.791542329</v>
      </c>
      <c r="AC152" s="420">
        <f t="shared" si="38"/>
        <v>2.233401219</v>
      </c>
      <c r="AD152" s="420">
        <f t="shared" si="38"/>
        <v>1.36805596</v>
      </c>
      <c r="AE152" s="420">
        <f t="shared" si="38"/>
        <v>2.870233121</v>
      </c>
      <c r="AF152" s="420">
        <f t="shared" si="38"/>
        <v>2.579346432</v>
      </c>
      <c r="AG152" s="420">
        <f t="shared" si="38"/>
        <v>10.38115136</v>
      </c>
      <c r="AH152" s="420">
        <f t="shared" si="38"/>
        <v>18.06587281</v>
      </c>
      <c r="AI152" s="420">
        <f t="shared" si="38"/>
        <v>2.137754783</v>
      </c>
      <c r="AJ152" s="420">
        <f t="shared" si="38"/>
        <v>16.46071393</v>
      </c>
      <c r="AK152" s="420">
        <f t="shared" si="38"/>
        <v>39.69008859</v>
      </c>
      <c r="AL152" s="420">
        <f t="shared" si="38"/>
        <v>22.01628818</v>
      </c>
      <c r="AM152" s="420">
        <f t="shared" si="38"/>
        <v>14.95646986</v>
      </c>
      <c r="AN152" s="420">
        <f t="shared" si="38"/>
        <v>4.327831562</v>
      </c>
      <c r="AO152" s="420">
        <f t="shared" si="38"/>
        <v>10.37461527</v>
      </c>
      <c r="AP152" s="420">
        <f t="shared" si="38"/>
        <v>11.27877039</v>
      </c>
      <c r="AQ152" s="420">
        <f t="shared" si="38"/>
        <v>4.4331795</v>
      </c>
      <c r="AR152" s="420">
        <f t="shared" si="38"/>
        <v>20.67924203</v>
      </c>
      <c r="AS152" s="420">
        <f t="shared" si="38"/>
        <v>34.66713145</v>
      </c>
      <c r="AT152" s="421"/>
    </row>
    <row r="153">
      <c r="A153" s="80"/>
      <c r="B153" s="81"/>
      <c r="C153" s="81"/>
      <c r="D153" s="81"/>
      <c r="E153" s="214" t="s">
        <v>208</v>
      </c>
      <c r="F153" s="215" t="str">
        <f>F38</f>
        <v>#</v>
      </c>
      <c r="G153" s="263" t="s">
        <v>71</v>
      </c>
      <c r="H153" s="187" t="str">
        <f t="shared" ref="H153:AS153" si="39">H38</f>
        <v>-</v>
      </c>
      <c r="I153" s="420">
        <f t="shared" si="39"/>
        <v>12087.70771</v>
      </c>
      <c r="J153" s="420">
        <f t="shared" si="39"/>
        <v>7410.433128</v>
      </c>
      <c r="K153" s="420">
        <f t="shared" si="39"/>
        <v>9501.68365</v>
      </c>
      <c r="L153" s="420">
        <f t="shared" si="39"/>
        <v>5690.722107</v>
      </c>
      <c r="M153" s="420">
        <f t="shared" si="39"/>
        <v>10088.18067</v>
      </c>
      <c r="N153" s="420">
        <f t="shared" si="39"/>
        <v>13484.8175</v>
      </c>
      <c r="O153" s="420">
        <f t="shared" si="39"/>
        <v>18907.86324</v>
      </c>
      <c r="P153" s="420">
        <f t="shared" si="39"/>
        <v>23388.2996</v>
      </c>
      <c r="Q153" s="420">
        <f t="shared" si="39"/>
        <v>14948.41216</v>
      </c>
      <c r="R153" s="420">
        <f t="shared" si="39"/>
        <v>2243.072291</v>
      </c>
      <c r="S153" s="420">
        <f t="shared" si="39"/>
        <v>2845.701858</v>
      </c>
      <c r="T153" s="420">
        <f t="shared" si="39"/>
        <v>2934.796058</v>
      </c>
      <c r="U153" s="420">
        <f t="shared" si="39"/>
        <v>3663.728334</v>
      </c>
      <c r="V153" s="420">
        <f t="shared" si="39"/>
        <v>4277.354796</v>
      </c>
      <c r="W153" s="420">
        <f t="shared" si="39"/>
        <v>4267.246679</v>
      </c>
      <c r="X153" s="420">
        <f t="shared" si="39"/>
        <v>11338.04302</v>
      </c>
      <c r="Y153" s="420">
        <f t="shared" si="39"/>
        <v>1446.413673</v>
      </c>
      <c r="Z153" s="420">
        <f t="shared" si="39"/>
        <v>3951.898399</v>
      </c>
      <c r="AA153" s="420">
        <f t="shared" si="39"/>
        <v>152.1687448</v>
      </c>
      <c r="AB153" s="420">
        <f t="shared" si="39"/>
        <v>1879.844323</v>
      </c>
      <c r="AC153" s="420">
        <f t="shared" si="39"/>
        <v>995.1407344</v>
      </c>
      <c r="AD153" s="420">
        <f t="shared" si="39"/>
        <v>542.0318103</v>
      </c>
      <c r="AE153" s="420">
        <f t="shared" si="39"/>
        <v>1663.569919</v>
      </c>
      <c r="AF153" s="420">
        <f t="shared" si="39"/>
        <v>1230.319597</v>
      </c>
      <c r="AG153" s="420">
        <f t="shared" si="39"/>
        <v>3659.310189</v>
      </c>
      <c r="AH153" s="420">
        <f t="shared" si="39"/>
        <v>7058.414215</v>
      </c>
      <c r="AI153" s="420">
        <f t="shared" si="39"/>
        <v>1498.019702</v>
      </c>
      <c r="AJ153" s="420">
        <f t="shared" si="39"/>
        <v>6072.448593</v>
      </c>
      <c r="AK153" s="420">
        <f t="shared" si="39"/>
        <v>9393.278799</v>
      </c>
      <c r="AL153" s="420">
        <f t="shared" si="39"/>
        <v>7833.901957</v>
      </c>
      <c r="AM153" s="420">
        <f t="shared" si="39"/>
        <v>5669.610801</v>
      </c>
      <c r="AN153" s="420">
        <f t="shared" si="39"/>
        <v>2047.855231</v>
      </c>
      <c r="AO153" s="420">
        <f t="shared" si="39"/>
        <v>5771.269278</v>
      </c>
      <c r="AP153" s="420">
        <f t="shared" si="39"/>
        <v>4111.05258</v>
      </c>
      <c r="AQ153" s="420">
        <f t="shared" si="39"/>
        <v>2021.68402</v>
      </c>
      <c r="AR153" s="420">
        <f t="shared" si="39"/>
        <v>5713.81014</v>
      </c>
      <c r="AS153" s="420">
        <f t="shared" si="39"/>
        <v>5148.038709</v>
      </c>
      <c r="AT153" s="421"/>
    </row>
    <row r="154">
      <c r="A154" s="80"/>
      <c r="B154" s="81"/>
      <c r="C154" s="81"/>
      <c r="D154" s="81"/>
      <c r="E154" s="194" t="s">
        <v>544</v>
      </c>
      <c r="F154" s="195" t="s">
        <v>111</v>
      </c>
      <c r="G154" s="316" t="s">
        <v>149</v>
      </c>
      <c r="H154" s="197" t="s">
        <v>150</v>
      </c>
      <c r="I154" s="397">
        <f t="shared" ref="I154:AS154" si="40">I19*$H114</f>
        <v>319630.7325</v>
      </c>
      <c r="J154" s="397">
        <f t="shared" si="40"/>
        <v>319630.7325</v>
      </c>
      <c r="K154" s="397">
        <f t="shared" si="40"/>
        <v>319630.7325</v>
      </c>
      <c r="L154" s="397">
        <f t="shared" si="40"/>
        <v>319630.7325</v>
      </c>
      <c r="M154" s="397">
        <f t="shared" si="40"/>
        <v>319630.7325</v>
      </c>
      <c r="N154" s="397">
        <f t="shared" si="40"/>
        <v>319630.7325</v>
      </c>
      <c r="O154" s="397">
        <f t="shared" si="40"/>
        <v>319630.7325</v>
      </c>
      <c r="P154" s="397">
        <f t="shared" si="40"/>
        <v>319630.7325</v>
      </c>
      <c r="Q154" s="397">
        <f t="shared" si="40"/>
        <v>319630.7325</v>
      </c>
      <c r="R154" s="397">
        <f t="shared" si="40"/>
        <v>319630.7325</v>
      </c>
      <c r="S154" s="397">
        <f t="shared" si="40"/>
        <v>319630.7325</v>
      </c>
      <c r="T154" s="397">
        <f t="shared" si="40"/>
        <v>319630.7325</v>
      </c>
      <c r="U154" s="397">
        <f t="shared" si="40"/>
        <v>319630.7325</v>
      </c>
      <c r="V154" s="397">
        <f t="shared" si="40"/>
        <v>319630.7325</v>
      </c>
      <c r="W154" s="397">
        <f t="shared" si="40"/>
        <v>319630.7325</v>
      </c>
      <c r="X154" s="397">
        <f t="shared" si="40"/>
        <v>319630.7325</v>
      </c>
      <c r="Y154" s="397">
        <f t="shared" si="40"/>
        <v>319630.7325</v>
      </c>
      <c r="Z154" s="397">
        <f t="shared" si="40"/>
        <v>319630.7325</v>
      </c>
      <c r="AA154" s="397">
        <f t="shared" si="40"/>
        <v>319630.7325</v>
      </c>
      <c r="AB154" s="397">
        <f t="shared" si="40"/>
        <v>319630.7325</v>
      </c>
      <c r="AC154" s="397">
        <f t="shared" si="40"/>
        <v>319630.7325</v>
      </c>
      <c r="AD154" s="397">
        <f t="shared" si="40"/>
        <v>319630.7325</v>
      </c>
      <c r="AE154" s="397">
        <f t="shared" si="40"/>
        <v>319630.7325</v>
      </c>
      <c r="AF154" s="397">
        <f t="shared" si="40"/>
        <v>319630.7325</v>
      </c>
      <c r="AG154" s="397">
        <f t="shared" si="40"/>
        <v>319630.7325</v>
      </c>
      <c r="AH154" s="397">
        <f t="shared" si="40"/>
        <v>319630.7325</v>
      </c>
      <c r="AI154" s="397">
        <f t="shared" si="40"/>
        <v>319630.7325</v>
      </c>
      <c r="AJ154" s="397">
        <f t="shared" si="40"/>
        <v>319630.7325</v>
      </c>
      <c r="AK154" s="397">
        <f t="shared" si="40"/>
        <v>319630.7325</v>
      </c>
      <c r="AL154" s="397">
        <f t="shared" si="40"/>
        <v>319630.7325</v>
      </c>
      <c r="AM154" s="397">
        <f t="shared" si="40"/>
        <v>319630.7325</v>
      </c>
      <c r="AN154" s="397">
        <f t="shared" si="40"/>
        <v>319630.7325</v>
      </c>
      <c r="AO154" s="397">
        <f t="shared" si="40"/>
        <v>319630.7325</v>
      </c>
      <c r="AP154" s="397">
        <f t="shared" si="40"/>
        <v>319630.7325</v>
      </c>
      <c r="AQ154" s="397">
        <f t="shared" si="40"/>
        <v>319630.7325</v>
      </c>
      <c r="AR154" s="397">
        <f t="shared" si="40"/>
        <v>319630.7325</v>
      </c>
      <c r="AS154" s="397">
        <f t="shared" si="40"/>
        <v>319630.7325</v>
      </c>
      <c r="AT154" s="401"/>
    </row>
    <row r="155">
      <c r="A155" s="80"/>
      <c r="B155" s="81"/>
      <c r="C155" s="81"/>
      <c r="D155" s="81"/>
      <c r="E155" s="82"/>
      <c r="F155" s="83"/>
      <c r="G155" s="84"/>
      <c r="H155" s="85"/>
      <c r="I155" s="86"/>
      <c r="J155" s="86"/>
      <c r="K155" s="86"/>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c r="AQ155" s="86"/>
      <c r="AR155" s="86"/>
      <c r="AS155" s="86"/>
      <c r="AT155" s="88"/>
    </row>
    <row r="156">
      <c r="A156" s="80"/>
      <c r="B156" s="81"/>
      <c r="C156" s="325" t="s">
        <v>546</v>
      </c>
      <c r="F156" s="83"/>
      <c r="G156" s="84"/>
      <c r="H156" s="85"/>
      <c r="I156" s="86"/>
      <c r="J156" s="86"/>
      <c r="K156" s="86"/>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c r="AQ156" s="86"/>
      <c r="AR156" s="86"/>
      <c r="AS156" s="86"/>
      <c r="AT156" s="88"/>
    </row>
    <row r="157">
      <c r="A157" s="80"/>
      <c r="B157" s="81"/>
      <c r="C157" s="81"/>
      <c r="D157" s="81"/>
      <c r="E157" s="188" t="s">
        <v>396</v>
      </c>
      <c r="F157" s="189" t="s">
        <v>127</v>
      </c>
      <c r="G157" s="263" t="s">
        <v>71</v>
      </c>
      <c r="H157" s="118">
        <f t="shared" ref="H157:AS157" si="41">H123</f>
        <v>116.25262</v>
      </c>
      <c r="I157" s="273" t="str">
        <f t="shared" si="41"/>
        <v>-</v>
      </c>
      <c r="J157" s="273" t="str">
        <f t="shared" si="41"/>
        <v>-</v>
      </c>
      <c r="K157" s="273" t="str">
        <f t="shared" si="41"/>
        <v>-</v>
      </c>
      <c r="L157" s="273" t="str">
        <f t="shared" si="41"/>
        <v>-</v>
      </c>
      <c r="M157" s="273" t="str">
        <f t="shared" si="41"/>
        <v>-</v>
      </c>
      <c r="N157" s="273" t="str">
        <f t="shared" si="41"/>
        <v>-</v>
      </c>
      <c r="O157" s="273" t="str">
        <f t="shared" si="41"/>
        <v>-</v>
      </c>
      <c r="P157" s="273" t="str">
        <f t="shared" si="41"/>
        <v>-</v>
      </c>
      <c r="Q157" s="273" t="str">
        <f t="shared" si="41"/>
        <v>-</v>
      </c>
      <c r="R157" s="273" t="str">
        <f t="shared" si="41"/>
        <v>-</v>
      </c>
      <c r="S157" s="273" t="str">
        <f t="shared" si="41"/>
        <v>-</v>
      </c>
      <c r="T157" s="273" t="str">
        <f t="shared" si="41"/>
        <v>-</v>
      </c>
      <c r="U157" s="273" t="str">
        <f t="shared" si="41"/>
        <v>-</v>
      </c>
      <c r="V157" s="273" t="str">
        <f t="shared" si="41"/>
        <v>-</v>
      </c>
      <c r="W157" s="273" t="str">
        <f t="shared" si="41"/>
        <v>-</v>
      </c>
      <c r="X157" s="273" t="str">
        <f t="shared" si="41"/>
        <v>-</v>
      </c>
      <c r="Y157" s="273" t="str">
        <f t="shared" si="41"/>
        <v>-</v>
      </c>
      <c r="Z157" s="273" t="str">
        <f t="shared" si="41"/>
        <v>-</v>
      </c>
      <c r="AA157" s="273" t="str">
        <f t="shared" si="41"/>
        <v>-</v>
      </c>
      <c r="AB157" s="273" t="str">
        <f t="shared" si="41"/>
        <v>-</v>
      </c>
      <c r="AC157" s="273" t="str">
        <f t="shared" si="41"/>
        <v>-</v>
      </c>
      <c r="AD157" s="273" t="str">
        <f t="shared" si="41"/>
        <v>-</v>
      </c>
      <c r="AE157" s="273" t="str">
        <f t="shared" si="41"/>
        <v>-</v>
      </c>
      <c r="AF157" s="273" t="str">
        <f t="shared" si="41"/>
        <v>-</v>
      </c>
      <c r="AG157" s="273" t="str">
        <f t="shared" si="41"/>
        <v>-</v>
      </c>
      <c r="AH157" s="273" t="str">
        <f t="shared" si="41"/>
        <v>-</v>
      </c>
      <c r="AI157" s="273" t="str">
        <f t="shared" si="41"/>
        <v>-</v>
      </c>
      <c r="AJ157" s="273" t="str">
        <f t="shared" si="41"/>
        <v>-</v>
      </c>
      <c r="AK157" s="273" t="str">
        <f t="shared" si="41"/>
        <v>-</v>
      </c>
      <c r="AL157" s="273" t="str">
        <f t="shared" si="41"/>
        <v>-</v>
      </c>
      <c r="AM157" s="273" t="str">
        <f t="shared" si="41"/>
        <v>-</v>
      </c>
      <c r="AN157" s="273" t="str">
        <f t="shared" si="41"/>
        <v>-</v>
      </c>
      <c r="AO157" s="273" t="str">
        <f t="shared" si="41"/>
        <v>-</v>
      </c>
      <c r="AP157" s="273" t="str">
        <f t="shared" si="41"/>
        <v>-</v>
      </c>
      <c r="AQ157" s="273" t="str">
        <f t="shared" si="41"/>
        <v>-</v>
      </c>
      <c r="AR157" s="273" t="str">
        <f t="shared" si="41"/>
        <v>-</v>
      </c>
      <c r="AS157" s="273" t="str">
        <f t="shared" si="41"/>
        <v>-</v>
      </c>
      <c r="AT157" s="193"/>
    </row>
    <row r="158">
      <c r="A158" s="80"/>
      <c r="B158" s="81"/>
      <c r="C158" s="81"/>
      <c r="D158" s="81"/>
      <c r="E158" s="214" t="s">
        <v>403</v>
      </c>
      <c r="F158" s="215" t="str">
        <f>Inputs!F257</f>
        <v>UoV</v>
      </c>
      <c r="G158" s="277" t="str">
        <f>Inputs!G257</f>
        <v>input</v>
      </c>
      <c r="H158" s="146">
        <f>Inputs!H257</f>
        <v>133.7</v>
      </c>
      <c r="I158" s="232" t="str">
        <f>Inputs!I257</f>
        <v>-</v>
      </c>
      <c r="J158" s="232" t="str">
        <f>Inputs!J257</f>
        <v>-</v>
      </c>
      <c r="K158" s="232" t="str">
        <f>Inputs!K257</f>
        <v>-</v>
      </c>
      <c r="L158" s="232" t="str">
        <f>Inputs!L257</f>
        <v>-</v>
      </c>
      <c r="M158" s="232" t="str">
        <f>Inputs!M257</f>
        <v>-</v>
      </c>
      <c r="N158" s="232" t="str">
        <f>Inputs!N257</f>
        <v>-</v>
      </c>
      <c r="O158" s="232" t="str">
        <f>Inputs!O257</f>
        <v>-</v>
      </c>
      <c r="P158" s="232" t="str">
        <f>Inputs!P257</f>
        <v>-</v>
      </c>
      <c r="Q158" s="232" t="str">
        <f>Inputs!Q257</f>
        <v>-</v>
      </c>
      <c r="R158" s="232" t="str">
        <f>Inputs!R257</f>
        <v>-</v>
      </c>
      <c r="S158" s="232" t="str">
        <f>Inputs!S257</f>
        <v>-</v>
      </c>
      <c r="T158" s="232" t="str">
        <f>Inputs!T257</f>
        <v>-</v>
      </c>
      <c r="U158" s="232" t="str">
        <f>Inputs!U257</f>
        <v>-</v>
      </c>
      <c r="V158" s="232" t="str">
        <f>Inputs!V257</f>
        <v>-</v>
      </c>
      <c r="W158" s="232" t="str">
        <f>Inputs!W257</f>
        <v>-</v>
      </c>
      <c r="X158" s="232" t="str">
        <f>Inputs!X257</f>
        <v>-</v>
      </c>
      <c r="Y158" s="232" t="str">
        <f>Inputs!Y257</f>
        <v>-</v>
      </c>
      <c r="Z158" s="232" t="str">
        <f>Inputs!Z257</f>
        <v>-</v>
      </c>
      <c r="AA158" s="232" t="str">
        <f>Inputs!AA257</f>
        <v>-</v>
      </c>
      <c r="AB158" s="232" t="str">
        <f>Inputs!AB257</f>
        <v>-</v>
      </c>
      <c r="AC158" s="232" t="str">
        <f>Inputs!AC257</f>
        <v>-</v>
      </c>
      <c r="AD158" s="232" t="str">
        <f>Inputs!AD257</f>
        <v>-</v>
      </c>
      <c r="AE158" s="232" t="str">
        <f>Inputs!AE257</f>
        <v>-</v>
      </c>
      <c r="AF158" s="232" t="str">
        <f>Inputs!AF257</f>
        <v>-</v>
      </c>
      <c r="AG158" s="232" t="str">
        <f>Inputs!AG257</f>
        <v>-</v>
      </c>
      <c r="AH158" s="232" t="str">
        <f>Inputs!AH257</f>
        <v>-</v>
      </c>
      <c r="AI158" s="232" t="str">
        <f>Inputs!AI257</f>
        <v>-</v>
      </c>
      <c r="AJ158" s="232" t="str">
        <f>Inputs!AJ257</f>
        <v>-</v>
      </c>
      <c r="AK158" s="232" t="str">
        <f>Inputs!AK257</f>
        <v>-</v>
      </c>
      <c r="AL158" s="232" t="str">
        <f>Inputs!AL257</f>
        <v>-</v>
      </c>
      <c r="AM158" s="232" t="str">
        <f>Inputs!AM257</f>
        <v>-</v>
      </c>
      <c r="AN158" s="232" t="str">
        <f>Inputs!AN257</f>
        <v>-</v>
      </c>
      <c r="AO158" s="232" t="str">
        <f>Inputs!AO257</f>
        <v>-</v>
      </c>
      <c r="AP158" s="232" t="str">
        <f>Inputs!AP257</f>
        <v>-</v>
      </c>
      <c r="AQ158" s="232" t="str">
        <f>Inputs!AQ257</f>
        <v>-</v>
      </c>
      <c r="AR158" s="232" t="str">
        <f>Inputs!AR257</f>
        <v>-</v>
      </c>
      <c r="AS158" s="232" t="str">
        <f>Inputs!AS257</f>
        <v>-</v>
      </c>
      <c r="AT158" s="421"/>
    </row>
    <row r="159">
      <c r="A159" s="80"/>
      <c r="B159" s="81"/>
      <c r="C159" s="81"/>
      <c r="D159" s="81"/>
      <c r="E159" s="214" t="s">
        <v>503</v>
      </c>
      <c r="F159" s="215" t="str">
        <f>Inputs!F258</f>
        <v>UoV</v>
      </c>
      <c r="G159" s="277" t="str">
        <f>Inputs!G258</f>
        <v>input</v>
      </c>
      <c r="H159" s="146">
        <f>Inputs!H258</f>
        <v>103.58571</v>
      </c>
      <c r="I159" s="232" t="str">
        <f>Inputs!I258</f>
        <v>-</v>
      </c>
      <c r="J159" s="232" t="str">
        <f>Inputs!J258</f>
        <v>-</v>
      </c>
      <c r="K159" s="232" t="str">
        <f>Inputs!K258</f>
        <v>-</v>
      </c>
      <c r="L159" s="232" t="str">
        <f>Inputs!L258</f>
        <v>-</v>
      </c>
      <c r="M159" s="232" t="str">
        <f>Inputs!M258</f>
        <v>-</v>
      </c>
      <c r="N159" s="232" t="str">
        <f>Inputs!N258</f>
        <v>-</v>
      </c>
      <c r="O159" s="232" t="str">
        <f>Inputs!O258</f>
        <v>-</v>
      </c>
      <c r="P159" s="232" t="str">
        <f>Inputs!P258</f>
        <v>-</v>
      </c>
      <c r="Q159" s="232" t="str">
        <f>Inputs!Q258</f>
        <v>-</v>
      </c>
      <c r="R159" s="232" t="str">
        <f>Inputs!R258</f>
        <v>-</v>
      </c>
      <c r="S159" s="232" t="str">
        <f>Inputs!S258</f>
        <v>-</v>
      </c>
      <c r="T159" s="232" t="str">
        <f>Inputs!T258</f>
        <v>-</v>
      </c>
      <c r="U159" s="232" t="str">
        <f>Inputs!U258</f>
        <v>-</v>
      </c>
      <c r="V159" s="232" t="str">
        <f>Inputs!V258</f>
        <v>-</v>
      </c>
      <c r="W159" s="232" t="str">
        <f>Inputs!W258</f>
        <v>-</v>
      </c>
      <c r="X159" s="232" t="str">
        <f>Inputs!X258</f>
        <v>-</v>
      </c>
      <c r="Y159" s="232" t="str">
        <f>Inputs!Y258</f>
        <v>-</v>
      </c>
      <c r="Z159" s="232" t="str">
        <f>Inputs!Z258</f>
        <v>-</v>
      </c>
      <c r="AA159" s="232" t="str">
        <f>Inputs!AA258</f>
        <v>-</v>
      </c>
      <c r="AB159" s="232" t="str">
        <f>Inputs!AB258</f>
        <v>-</v>
      </c>
      <c r="AC159" s="232" t="str">
        <f>Inputs!AC258</f>
        <v>-</v>
      </c>
      <c r="AD159" s="232" t="str">
        <f>Inputs!AD258</f>
        <v>-</v>
      </c>
      <c r="AE159" s="232" t="str">
        <f>Inputs!AE258</f>
        <v>-</v>
      </c>
      <c r="AF159" s="232" t="str">
        <f>Inputs!AF258</f>
        <v>-</v>
      </c>
      <c r="AG159" s="232" t="str">
        <f>Inputs!AG258</f>
        <v>-</v>
      </c>
      <c r="AH159" s="232" t="str">
        <f>Inputs!AH258</f>
        <v>-</v>
      </c>
      <c r="AI159" s="232" t="str">
        <f>Inputs!AI258</f>
        <v>-</v>
      </c>
      <c r="AJ159" s="232" t="str">
        <f>Inputs!AJ258</f>
        <v>-</v>
      </c>
      <c r="AK159" s="232" t="str">
        <f>Inputs!AK258</f>
        <v>-</v>
      </c>
      <c r="AL159" s="232" t="str">
        <f>Inputs!AL258</f>
        <v>-</v>
      </c>
      <c r="AM159" s="232" t="str">
        <f>Inputs!AM258</f>
        <v>-</v>
      </c>
      <c r="AN159" s="232" t="str">
        <f>Inputs!AN258</f>
        <v>-</v>
      </c>
      <c r="AO159" s="232" t="str">
        <f>Inputs!AO258</f>
        <v>-</v>
      </c>
      <c r="AP159" s="232" t="str">
        <f>Inputs!AP258</f>
        <v>-</v>
      </c>
      <c r="AQ159" s="232" t="str">
        <f>Inputs!AQ258</f>
        <v>-</v>
      </c>
      <c r="AR159" s="232" t="str">
        <f>Inputs!AR258</f>
        <v>-</v>
      </c>
      <c r="AS159" s="232" t="str">
        <f>Inputs!AS258</f>
        <v>-</v>
      </c>
      <c r="AT159" s="421"/>
    </row>
    <row r="160">
      <c r="A160" s="80"/>
      <c r="B160" s="81"/>
      <c r="C160" s="81"/>
      <c r="D160" s="81"/>
      <c r="E160" s="214" t="s">
        <v>509</v>
      </c>
      <c r="F160" s="215" t="str">
        <f>Inputs!F259</f>
        <v>UoV</v>
      </c>
      <c r="G160" s="277" t="str">
        <f>Inputs!G259</f>
        <v>input</v>
      </c>
      <c r="H160" s="146">
        <f>Inputs!H259</f>
        <v>42.44</v>
      </c>
      <c r="I160" s="232" t="str">
        <f>Inputs!I259</f>
        <v>-</v>
      </c>
      <c r="J160" s="232" t="str">
        <f>Inputs!J259</f>
        <v>-</v>
      </c>
      <c r="K160" s="232" t="str">
        <f>Inputs!K259</f>
        <v>-</v>
      </c>
      <c r="L160" s="232" t="str">
        <f>Inputs!L259</f>
        <v>-</v>
      </c>
      <c r="M160" s="232" t="str">
        <f>Inputs!M259</f>
        <v>-</v>
      </c>
      <c r="N160" s="232" t="str">
        <f>Inputs!N259</f>
        <v>-</v>
      </c>
      <c r="O160" s="232" t="str">
        <f>Inputs!O259</f>
        <v>-</v>
      </c>
      <c r="P160" s="232" t="str">
        <f>Inputs!P259</f>
        <v>-</v>
      </c>
      <c r="Q160" s="232" t="str">
        <f>Inputs!Q259</f>
        <v>-</v>
      </c>
      <c r="R160" s="232" t="str">
        <f>Inputs!R259</f>
        <v>-</v>
      </c>
      <c r="S160" s="232" t="str">
        <f>Inputs!S259</f>
        <v>-</v>
      </c>
      <c r="T160" s="232" t="str">
        <f>Inputs!T259</f>
        <v>-</v>
      </c>
      <c r="U160" s="232" t="str">
        <f>Inputs!U259</f>
        <v>-</v>
      </c>
      <c r="V160" s="232" t="str">
        <f>Inputs!V259</f>
        <v>-</v>
      </c>
      <c r="W160" s="232" t="str">
        <f>Inputs!W259</f>
        <v>-</v>
      </c>
      <c r="X160" s="232" t="str">
        <f>Inputs!X259</f>
        <v>-</v>
      </c>
      <c r="Y160" s="232" t="str">
        <f>Inputs!Y259</f>
        <v>-</v>
      </c>
      <c r="Z160" s="232" t="str">
        <f>Inputs!Z259</f>
        <v>-</v>
      </c>
      <c r="AA160" s="232" t="str">
        <f>Inputs!AA259</f>
        <v>-</v>
      </c>
      <c r="AB160" s="232" t="str">
        <f>Inputs!AB259</f>
        <v>-</v>
      </c>
      <c r="AC160" s="232" t="str">
        <f>Inputs!AC259</f>
        <v>-</v>
      </c>
      <c r="AD160" s="232" t="str">
        <f>Inputs!AD259</f>
        <v>-</v>
      </c>
      <c r="AE160" s="232" t="str">
        <f>Inputs!AE259</f>
        <v>-</v>
      </c>
      <c r="AF160" s="232" t="str">
        <f>Inputs!AF259</f>
        <v>-</v>
      </c>
      <c r="AG160" s="232" t="str">
        <f>Inputs!AG259</f>
        <v>-</v>
      </c>
      <c r="AH160" s="232" t="str">
        <f>Inputs!AH259</f>
        <v>-</v>
      </c>
      <c r="AI160" s="232" t="str">
        <f>Inputs!AI259</f>
        <v>-</v>
      </c>
      <c r="AJ160" s="232" t="str">
        <f>Inputs!AJ259</f>
        <v>-</v>
      </c>
      <c r="AK160" s="232" t="str">
        <f>Inputs!AK259</f>
        <v>-</v>
      </c>
      <c r="AL160" s="232" t="str">
        <f>Inputs!AL259</f>
        <v>-</v>
      </c>
      <c r="AM160" s="232" t="str">
        <f>Inputs!AM259</f>
        <v>-</v>
      </c>
      <c r="AN160" s="232" t="str">
        <f>Inputs!AN259</f>
        <v>-</v>
      </c>
      <c r="AO160" s="232" t="str">
        <f>Inputs!AO259</f>
        <v>-</v>
      </c>
      <c r="AP160" s="232" t="str">
        <f>Inputs!AP259</f>
        <v>-</v>
      </c>
      <c r="AQ160" s="232" t="str">
        <f>Inputs!AQ259</f>
        <v>-</v>
      </c>
      <c r="AR160" s="232" t="str">
        <f>Inputs!AR259</f>
        <v>-</v>
      </c>
      <c r="AS160" s="232" t="str">
        <f>Inputs!AS259</f>
        <v>-</v>
      </c>
      <c r="AT160" s="421"/>
    </row>
    <row r="161">
      <c r="A161" s="80"/>
      <c r="B161" s="81"/>
      <c r="C161" s="81"/>
      <c r="D161" s="81"/>
      <c r="E161" s="214" t="s">
        <v>515</v>
      </c>
      <c r="F161" s="215" t="str">
        <f>F139</f>
        <v>UoV</v>
      </c>
      <c r="G161" s="277" t="s">
        <v>71</v>
      </c>
      <c r="H161" s="428" t="str">
        <f t="shared" ref="H161:AS161" si="42">H139</f>
        <v>-</v>
      </c>
      <c r="I161" s="429">
        <f t="shared" si="42"/>
        <v>1.231804642</v>
      </c>
      <c r="J161" s="429">
        <f t="shared" si="42"/>
        <v>0.9087094187</v>
      </c>
      <c r="K161" s="429">
        <f t="shared" si="42"/>
        <v>1.288179179</v>
      </c>
      <c r="L161" s="429">
        <f t="shared" si="42"/>
        <v>0.5960950833</v>
      </c>
      <c r="M161" s="429">
        <f t="shared" si="42"/>
        <v>0.8341295288</v>
      </c>
      <c r="N161" s="429">
        <f t="shared" si="42"/>
        <v>0.9268397854</v>
      </c>
      <c r="O161" s="429">
        <f t="shared" si="42"/>
        <v>1.029541863</v>
      </c>
      <c r="P161" s="429">
        <f t="shared" si="42"/>
        <v>1.367106994</v>
      </c>
      <c r="Q161" s="429">
        <f t="shared" si="42"/>
        <v>1.607246462</v>
      </c>
      <c r="R161" s="429">
        <f t="shared" si="42"/>
        <v>0.3524839127</v>
      </c>
      <c r="S161" s="429">
        <f t="shared" si="42"/>
        <v>0.8228517786</v>
      </c>
      <c r="T161" s="429">
        <f t="shared" si="42"/>
        <v>0.2440939848</v>
      </c>
      <c r="U161" s="429">
        <f t="shared" si="42"/>
        <v>0.2741296538</v>
      </c>
      <c r="V161" s="429">
        <f t="shared" si="42"/>
        <v>0.3620221499</v>
      </c>
      <c r="W161" s="429">
        <f t="shared" si="42"/>
        <v>0.4536980259</v>
      </c>
      <c r="X161" s="429">
        <f t="shared" si="42"/>
        <v>0.3957208259</v>
      </c>
      <c r="Y161" s="429">
        <f t="shared" si="42"/>
        <v>0.3170151144</v>
      </c>
      <c r="Z161" s="429">
        <f t="shared" si="42"/>
        <v>0.3124593922</v>
      </c>
      <c r="AA161" s="429">
        <f t="shared" si="42"/>
        <v>0.4574759139</v>
      </c>
      <c r="AB161" s="429">
        <f t="shared" si="42"/>
        <v>0.3483634475</v>
      </c>
      <c r="AC161" s="429">
        <f t="shared" si="42"/>
        <v>0.2733771663</v>
      </c>
      <c r="AD161" s="429">
        <f t="shared" si="42"/>
        <v>0.1995875467</v>
      </c>
      <c r="AE161" s="429">
        <f t="shared" si="42"/>
        <v>0.2987564877</v>
      </c>
      <c r="AF161" s="429">
        <f t="shared" si="42"/>
        <v>0.1988749419</v>
      </c>
      <c r="AG161" s="429">
        <f t="shared" si="42"/>
        <v>0.2995415223</v>
      </c>
      <c r="AH161" s="429">
        <f t="shared" si="42"/>
        <v>0.1809929738</v>
      </c>
      <c r="AI161" s="429">
        <f t="shared" si="42"/>
        <v>0.1544271686</v>
      </c>
      <c r="AJ161" s="429">
        <f t="shared" si="42"/>
        <v>0.3760706982</v>
      </c>
      <c r="AK161" s="429">
        <f t="shared" si="42"/>
        <v>0.5281352741</v>
      </c>
      <c r="AL161" s="429">
        <f t="shared" si="42"/>
        <v>0.2279322493</v>
      </c>
      <c r="AM161" s="429">
        <f t="shared" si="42"/>
        <v>0.2672641351</v>
      </c>
      <c r="AN161" s="429">
        <f t="shared" si="42"/>
        <v>0.1319973495</v>
      </c>
      <c r="AO161" s="429">
        <f t="shared" si="42"/>
        <v>0.1710044673</v>
      </c>
      <c r="AP161" s="429">
        <f t="shared" si="42"/>
        <v>0.3084818633</v>
      </c>
      <c r="AQ161" s="429">
        <f t="shared" si="42"/>
        <v>0.3079967167</v>
      </c>
      <c r="AR161" s="429">
        <f t="shared" si="42"/>
        <v>0.8160975809</v>
      </c>
      <c r="AS161" s="429">
        <f t="shared" si="42"/>
        <v>0.713929528</v>
      </c>
      <c r="AT161" s="421"/>
    </row>
    <row r="162">
      <c r="A162" s="80"/>
      <c r="B162" s="81"/>
      <c r="C162" s="81"/>
      <c r="D162" s="81"/>
      <c r="E162" s="194" t="s">
        <v>563</v>
      </c>
      <c r="F162" s="195" t="s">
        <v>127</v>
      </c>
      <c r="G162" s="316" t="s">
        <v>149</v>
      </c>
      <c r="H162" s="431">
        <f>H117*H143</f>
        <v>0.006130957421</v>
      </c>
      <c r="I162" s="198" t="s">
        <v>150</v>
      </c>
      <c r="J162" s="198" t="s">
        <v>150</v>
      </c>
      <c r="K162" s="198" t="s">
        <v>150</v>
      </c>
      <c r="L162" s="198" t="s">
        <v>150</v>
      </c>
      <c r="M162" s="198" t="s">
        <v>150</v>
      </c>
      <c r="N162" s="198" t="s">
        <v>150</v>
      </c>
      <c r="O162" s="198" t="s">
        <v>150</v>
      </c>
      <c r="P162" s="198" t="s">
        <v>150</v>
      </c>
      <c r="Q162" s="198" t="s">
        <v>150</v>
      </c>
      <c r="R162" s="198" t="s">
        <v>150</v>
      </c>
      <c r="S162" s="198" t="s">
        <v>150</v>
      </c>
      <c r="T162" s="198" t="s">
        <v>150</v>
      </c>
      <c r="U162" s="198" t="s">
        <v>150</v>
      </c>
      <c r="V162" s="198" t="s">
        <v>150</v>
      </c>
      <c r="W162" s="198" t="s">
        <v>150</v>
      </c>
      <c r="X162" s="198" t="s">
        <v>150</v>
      </c>
      <c r="Y162" s="198" t="s">
        <v>150</v>
      </c>
      <c r="Z162" s="198" t="s">
        <v>150</v>
      </c>
      <c r="AA162" s="198" t="s">
        <v>150</v>
      </c>
      <c r="AB162" s="198" t="s">
        <v>150</v>
      </c>
      <c r="AC162" s="198" t="s">
        <v>150</v>
      </c>
      <c r="AD162" s="198" t="s">
        <v>150</v>
      </c>
      <c r="AE162" s="198" t="s">
        <v>150</v>
      </c>
      <c r="AF162" s="198" t="s">
        <v>150</v>
      </c>
      <c r="AG162" s="198" t="s">
        <v>150</v>
      </c>
      <c r="AH162" s="198" t="s">
        <v>150</v>
      </c>
      <c r="AI162" s="198" t="s">
        <v>150</v>
      </c>
      <c r="AJ162" s="198" t="s">
        <v>150</v>
      </c>
      <c r="AK162" s="198" t="s">
        <v>150</v>
      </c>
      <c r="AL162" s="198" t="s">
        <v>150</v>
      </c>
      <c r="AM162" s="198" t="s">
        <v>150</v>
      </c>
      <c r="AN162" s="198" t="s">
        <v>150</v>
      </c>
      <c r="AO162" s="198" t="s">
        <v>150</v>
      </c>
      <c r="AP162" s="198" t="s">
        <v>150</v>
      </c>
      <c r="AQ162" s="198" t="s">
        <v>150</v>
      </c>
      <c r="AR162" s="198" t="s">
        <v>150</v>
      </c>
      <c r="AS162" s="198" t="s">
        <v>150</v>
      </c>
      <c r="AT162" s="401"/>
    </row>
    <row r="163">
      <c r="A163" s="80"/>
      <c r="B163" s="81"/>
      <c r="C163" s="81"/>
      <c r="D163" s="81"/>
      <c r="E163" s="82"/>
      <c r="F163" s="83"/>
      <c r="G163" s="84"/>
      <c r="H163" s="85"/>
      <c r="I163" s="86"/>
      <c r="J163" s="86"/>
      <c r="K163" s="86"/>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c r="AQ163" s="86"/>
      <c r="AR163" s="86"/>
      <c r="AS163" s="86"/>
      <c r="AT163" s="88"/>
    </row>
    <row r="164">
      <c r="A164" s="80"/>
      <c r="B164" s="81"/>
      <c r="C164" s="325" t="s">
        <v>564</v>
      </c>
      <c r="F164" s="83"/>
      <c r="G164" s="84"/>
      <c r="H164" s="85"/>
      <c r="I164" s="86"/>
      <c r="J164" s="86"/>
      <c r="K164" s="86"/>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c r="AQ164" s="86"/>
      <c r="AR164" s="86"/>
      <c r="AS164" s="86"/>
      <c r="AT164" s="88"/>
    </row>
    <row r="165">
      <c r="A165" s="80"/>
      <c r="B165" s="81"/>
      <c r="C165" s="81"/>
      <c r="D165" s="81"/>
      <c r="E165" s="188" t="s">
        <v>566</v>
      </c>
      <c r="F165" s="189" t="s">
        <v>127</v>
      </c>
      <c r="G165" s="263" t="s">
        <v>149</v>
      </c>
      <c r="H165" s="200" t="s">
        <v>150</v>
      </c>
      <c r="I165" s="418">
        <f t="shared" ref="I165:AS165" si="43">I149*$H157</f>
        <v>44983.54241</v>
      </c>
      <c r="J165" s="418">
        <f t="shared" si="43"/>
        <v>20395.42765</v>
      </c>
      <c r="K165" s="418">
        <f t="shared" si="43"/>
        <v>36956.44271</v>
      </c>
      <c r="L165" s="418">
        <f t="shared" si="43"/>
        <v>10242.40225</v>
      </c>
      <c r="M165" s="418">
        <f t="shared" si="43"/>
        <v>25380.03673</v>
      </c>
      <c r="N165" s="418">
        <f t="shared" si="43"/>
        <v>37448.0903</v>
      </c>
      <c r="O165" s="418">
        <f t="shared" si="43"/>
        <v>58244.39314</v>
      </c>
      <c r="P165" s="418">
        <f t="shared" si="43"/>
        <v>95980.67777</v>
      </c>
      <c r="Q165" s="418">
        <f t="shared" si="43"/>
        <v>72542.99856</v>
      </c>
      <c r="R165" s="418">
        <f t="shared" si="43"/>
        <v>2408.128545</v>
      </c>
      <c r="S165" s="418">
        <f t="shared" si="43"/>
        <v>7124.091186</v>
      </c>
      <c r="T165" s="418">
        <f t="shared" si="43"/>
        <v>2147.802756</v>
      </c>
      <c r="U165" s="418">
        <f t="shared" si="43"/>
        <v>3010.413655</v>
      </c>
      <c r="V165" s="418">
        <f t="shared" si="43"/>
        <v>4671.723824</v>
      </c>
      <c r="W165" s="418">
        <f t="shared" si="43"/>
        <v>5748.12512</v>
      </c>
      <c r="X165" s="418">
        <f t="shared" si="43"/>
        <v>13230.78936</v>
      </c>
      <c r="Y165" s="418">
        <f t="shared" si="43"/>
        <v>1364.53808</v>
      </c>
      <c r="Z165" s="418">
        <f t="shared" si="43"/>
        <v>3694.238286</v>
      </c>
      <c r="AA165" s="418">
        <f t="shared" si="43"/>
        <v>208.8621263</v>
      </c>
      <c r="AB165" s="418">
        <f t="shared" si="43"/>
        <v>2007.581497</v>
      </c>
      <c r="AC165" s="418">
        <f t="shared" si="43"/>
        <v>824.4349878</v>
      </c>
      <c r="AD165" s="418">
        <f t="shared" si="43"/>
        <v>320.0366077</v>
      </c>
      <c r="AE165" s="418">
        <f t="shared" si="43"/>
        <v>1488.194172</v>
      </c>
      <c r="AF165" s="418">
        <f t="shared" si="43"/>
        <v>728.8291266</v>
      </c>
      <c r="AG165" s="418">
        <f t="shared" si="43"/>
        <v>3239.731391</v>
      </c>
      <c r="AH165" s="418">
        <f t="shared" si="43"/>
        <v>3709.064964</v>
      </c>
      <c r="AI165" s="418">
        <f t="shared" si="43"/>
        <v>674.6774731</v>
      </c>
      <c r="AJ165" s="418">
        <f t="shared" si="43"/>
        <v>6756.835306</v>
      </c>
      <c r="AK165" s="418">
        <f t="shared" si="43"/>
        <v>14797.3377</v>
      </c>
      <c r="AL165" s="418">
        <f t="shared" si="43"/>
        <v>5251.240169</v>
      </c>
      <c r="AM165" s="418">
        <f t="shared" si="43"/>
        <v>4502.053596</v>
      </c>
      <c r="AN165" s="418">
        <f t="shared" si="43"/>
        <v>794.4973815</v>
      </c>
      <c r="AO165" s="418">
        <f t="shared" si="43"/>
        <v>2929.929956</v>
      </c>
      <c r="AP165" s="418">
        <f t="shared" si="43"/>
        <v>3703.343898</v>
      </c>
      <c r="AQ165" s="418">
        <f t="shared" si="43"/>
        <v>1885.729775</v>
      </c>
      <c r="AR165" s="418">
        <f t="shared" si="43"/>
        <v>14113.70898</v>
      </c>
      <c r="AS165" s="418">
        <f t="shared" si="43"/>
        <v>10863.60244</v>
      </c>
      <c r="AT165" s="419"/>
    </row>
    <row r="166">
      <c r="A166" s="80"/>
      <c r="B166" s="81"/>
      <c r="C166" s="81"/>
      <c r="D166" s="81"/>
      <c r="E166" s="214" t="s">
        <v>568</v>
      </c>
      <c r="F166" s="215" t="s">
        <v>127</v>
      </c>
      <c r="G166" s="277" t="s">
        <v>149</v>
      </c>
      <c r="H166" s="187" t="s">
        <v>150</v>
      </c>
      <c r="I166" s="420">
        <f t="shared" ref="I166:AS166" si="44">I150*$H158</f>
        <v>3600.96657</v>
      </c>
      <c r="J166" s="420">
        <f t="shared" si="44"/>
        <v>1577.132079</v>
      </c>
      <c r="K166" s="420">
        <f t="shared" si="44"/>
        <v>2981.792814</v>
      </c>
      <c r="L166" s="420">
        <f t="shared" si="44"/>
        <v>826.2552649</v>
      </c>
      <c r="M166" s="420">
        <f t="shared" si="44"/>
        <v>2077.298043</v>
      </c>
      <c r="N166" s="420">
        <f t="shared" si="44"/>
        <v>3333.276078</v>
      </c>
      <c r="O166" s="420">
        <f t="shared" si="44"/>
        <v>5273.852498</v>
      </c>
      <c r="P166" s="420">
        <f t="shared" si="44"/>
        <v>8350.277822</v>
      </c>
      <c r="Q166" s="420">
        <f t="shared" si="44"/>
        <v>5852.219757</v>
      </c>
      <c r="R166" s="420">
        <f t="shared" si="44"/>
        <v>171.7223294</v>
      </c>
      <c r="S166" s="420">
        <f t="shared" si="44"/>
        <v>516.4310022</v>
      </c>
      <c r="T166" s="420">
        <f t="shared" si="44"/>
        <v>189.6725734</v>
      </c>
      <c r="U166" s="420">
        <f t="shared" si="44"/>
        <v>266.6985566</v>
      </c>
      <c r="V166" s="420">
        <f t="shared" si="44"/>
        <v>380.9638101</v>
      </c>
      <c r="W166" s="420">
        <f t="shared" si="44"/>
        <v>569.1046067</v>
      </c>
      <c r="X166" s="420">
        <f t="shared" si="44"/>
        <v>1409.141942</v>
      </c>
      <c r="Y166" s="420">
        <f t="shared" si="44"/>
        <v>131.6442407</v>
      </c>
      <c r="Z166" s="420">
        <f t="shared" si="44"/>
        <v>334.892695</v>
      </c>
      <c r="AA166" s="420">
        <f t="shared" si="44"/>
        <v>18.28420321</v>
      </c>
      <c r="AB166" s="420">
        <f t="shared" si="44"/>
        <v>129.2314017</v>
      </c>
      <c r="AC166" s="420">
        <f t="shared" si="44"/>
        <v>63.24979074</v>
      </c>
      <c r="AD166" s="420">
        <f t="shared" si="44"/>
        <v>32.95976795</v>
      </c>
      <c r="AE166" s="420">
        <f t="shared" si="44"/>
        <v>133.5055249</v>
      </c>
      <c r="AF166" s="420">
        <f t="shared" si="44"/>
        <v>69.5515904</v>
      </c>
      <c r="AG166" s="420">
        <f t="shared" si="44"/>
        <v>336.8514535</v>
      </c>
      <c r="AH166" s="420">
        <f t="shared" si="44"/>
        <v>459.445426</v>
      </c>
      <c r="AI166" s="420">
        <f t="shared" si="44"/>
        <v>80.15967601</v>
      </c>
      <c r="AJ166" s="420">
        <f t="shared" si="44"/>
        <v>694.6933349</v>
      </c>
      <c r="AK166" s="420">
        <f t="shared" si="44"/>
        <v>1389.962435</v>
      </c>
      <c r="AL166" s="420">
        <f t="shared" si="44"/>
        <v>575.1013764</v>
      </c>
      <c r="AM166" s="420">
        <f t="shared" si="44"/>
        <v>442.2594762</v>
      </c>
      <c r="AN166" s="420">
        <f t="shared" si="44"/>
        <v>87.51868114</v>
      </c>
      <c r="AO166" s="420">
        <f t="shared" si="44"/>
        <v>290.3292169</v>
      </c>
      <c r="AP166" s="420">
        <f t="shared" si="44"/>
        <v>434.6962377</v>
      </c>
      <c r="AQ166" s="420">
        <f t="shared" si="44"/>
        <v>146.0255042</v>
      </c>
      <c r="AR166" s="420">
        <f t="shared" si="44"/>
        <v>1101.570273</v>
      </c>
      <c r="AS166" s="420">
        <f t="shared" si="44"/>
        <v>1128.882454</v>
      </c>
      <c r="AT166" s="421"/>
    </row>
    <row r="167">
      <c r="A167" s="80"/>
      <c r="B167" s="81"/>
      <c r="C167" s="81"/>
      <c r="D167" s="81"/>
      <c r="E167" s="214" t="s">
        <v>570</v>
      </c>
      <c r="F167" s="215" t="s">
        <v>127</v>
      </c>
      <c r="G167" s="277" t="s">
        <v>149</v>
      </c>
      <c r="H167" s="187" t="s">
        <v>150</v>
      </c>
      <c r="I167" s="420">
        <f t="shared" ref="I167:AS167" si="45">I151*$H159</f>
        <v>5705.618039</v>
      </c>
      <c r="J167" s="420">
        <f t="shared" si="45"/>
        <v>2089.387655</v>
      </c>
      <c r="K167" s="420">
        <f t="shared" si="45"/>
        <v>5246.202625</v>
      </c>
      <c r="L167" s="420">
        <f t="shared" si="45"/>
        <v>1193.752588</v>
      </c>
      <c r="M167" s="420">
        <f t="shared" si="45"/>
        <v>2675.642803</v>
      </c>
      <c r="N167" s="420">
        <f t="shared" si="45"/>
        <v>6013.97953</v>
      </c>
      <c r="O167" s="420">
        <f t="shared" si="45"/>
        <v>9035.958154</v>
      </c>
      <c r="P167" s="420">
        <f t="shared" si="45"/>
        <v>15042.83435</v>
      </c>
      <c r="Q167" s="420">
        <f t="shared" si="45"/>
        <v>8485.786955</v>
      </c>
      <c r="R167" s="420">
        <f t="shared" si="45"/>
        <v>312.4726292</v>
      </c>
      <c r="S167" s="420">
        <f t="shared" si="45"/>
        <v>718.6180343</v>
      </c>
      <c r="T167" s="420">
        <f t="shared" si="45"/>
        <v>451.3248224</v>
      </c>
      <c r="U167" s="420">
        <f t="shared" si="45"/>
        <v>551.7118967</v>
      </c>
      <c r="V167" s="420">
        <f t="shared" si="45"/>
        <v>787.2310975</v>
      </c>
      <c r="W167" s="420">
        <f t="shared" si="45"/>
        <v>1082.606653</v>
      </c>
      <c r="X167" s="420">
        <f t="shared" si="45"/>
        <v>2491.027178</v>
      </c>
      <c r="Y167" s="420">
        <f t="shared" si="45"/>
        <v>298.6153904</v>
      </c>
      <c r="Z167" s="420">
        <f t="shared" si="45"/>
        <v>666.2420947</v>
      </c>
      <c r="AA167" s="420">
        <f t="shared" si="45"/>
        <v>33.03184828</v>
      </c>
      <c r="AB167" s="420">
        <f t="shared" si="45"/>
        <v>301.2684634</v>
      </c>
      <c r="AC167" s="420">
        <f t="shared" si="45"/>
        <v>144.6919456</v>
      </c>
      <c r="AD167" s="420">
        <f t="shared" si="45"/>
        <v>83.38417002</v>
      </c>
      <c r="AE167" s="420">
        <f t="shared" si="45"/>
        <v>232.4717534</v>
      </c>
      <c r="AF167" s="420">
        <f t="shared" si="45"/>
        <v>165.3360376</v>
      </c>
      <c r="AG167" s="420">
        <f t="shared" si="45"/>
        <v>600.6823394</v>
      </c>
      <c r="AH167" s="420">
        <f t="shared" si="45"/>
        <v>1312.093818</v>
      </c>
      <c r="AI167" s="420">
        <f t="shared" si="45"/>
        <v>153.2499809</v>
      </c>
      <c r="AJ167" s="420">
        <f t="shared" si="45"/>
        <v>1430.968637</v>
      </c>
      <c r="AK167" s="420">
        <f t="shared" si="45"/>
        <v>2730.189224</v>
      </c>
      <c r="AL167" s="420">
        <f t="shared" si="45"/>
        <v>1419.055377</v>
      </c>
      <c r="AM167" s="420">
        <f t="shared" si="45"/>
        <v>934.4035537</v>
      </c>
      <c r="AN167" s="420">
        <f t="shared" si="45"/>
        <v>217.1824883</v>
      </c>
      <c r="AO167" s="420">
        <f t="shared" si="45"/>
        <v>712.5054545</v>
      </c>
      <c r="AP167" s="420">
        <f t="shared" si="45"/>
        <v>994.7573658</v>
      </c>
      <c r="AQ167" s="420">
        <f t="shared" si="45"/>
        <v>301.6819179</v>
      </c>
      <c r="AR167" s="420">
        <f t="shared" si="45"/>
        <v>1813.671894</v>
      </c>
      <c r="AS167" s="420">
        <f t="shared" si="45"/>
        <v>2293.443278</v>
      </c>
      <c r="AT167" s="421"/>
    </row>
    <row r="168">
      <c r="A168" s="80"/>
      <c r="B168" s="81"/>
      <c r="C168" s="81"/>
      <c r="D168" s="81"/>
      <c r="E168" s="214" t="s">
        <v>572</v>
      </c>
      <c r="F168" s="215" t="s">
        <v>127</v>
      </c>
      <c r="G168" s="277" t="s">
        <v>149</v>
      </c>
      <c r="H168" s="187" t="s">
        <v>150</v>
      </c>
      <c r="I168" s="420">
        <f t="shared" ref="I168:AS168" si="46">I152*$H160</f>
        <v>3887.133545</v>
      </c>
      <c r="J168" s="420">
        <f t="shared" si="46"/>
        <v>1627.892601</v>
      </c>
      <c r="K168" s="420">
        <f t="shared" si="46"/>
        <v>3093.238578</v>
      </c>
      <c r="L168" s="420">
        <f t="shared" si="46"/>
        <v>725.0943523</v>
      </c>
      <c r="M168" s="420">
        <f t="shared" si="46"/>
        <v>1713.781129</v>
      </c>
      <c r="N168" s="420">
        <f t="shared" si="46"/>
        <v>3726.938243</v>
      </c>
      <c r="O168" s="420">
        <f t="shared" si="46"/>
        <v>6448.938921</v>
      </c>
      <c r="P168" s="420">
        <f t="shared" si="46"/>
        <v>8228.294333</v>
      </c>
      <c r="Q168" s="420">
        <f t="shared" si="46"/>
        <v>6193.301512</v>
      </c>
      <c r="R168" s="420">
        <f t="shared" si="46"/>
        <v>218.2002613</v>
      </c>
      <c r="S168" s="420">
        <f t="shared" si="46"/>
        <v>498.7551917</v>
      </c>
      <c r="T168" s="420">
        <f t="shared" si="46"/>
        <v>304.5773835</v>
      </c>
      <c r="U168" s="420">
        <f t="shared" si="46"/>
        <v>351.6576081</v>
      </c>
      <c r="V168" s="420">
        <f t="shared" si="46"/>
        <v>524.2761356</v>
      </c>
      <c r="W168" s="420">
        <f t="shared" si="46"/>
        <v>691.6568724</v>
      </c>
      <c r="X168" s="420">
        <f t="shared" si="46"/>
        <v>1868.650118</v>
      </c>
      <c r="Y168" s="420">
        <f t="shared" si="46"/>
        <v>206.4921367</v>
      </c>
      <c r="Z168" s="420">
        <f t="shared" si="46"/>
        <v>371.5341547</v>
      </c>
      <c r="AA168" s="420">
        <f t="shared" si="46"/>
        <v>20.94286881</v>
      </c>
      <c r="AB168" s="420">
        <f t="shared" si="46"/>
        <v>160.9130564</v>
      </c>
      <c r="AC168" s="420">
        <f t="shared" si="46"/>
        <v>94.78554775</v>
      </c>
      <c r="AD168" s="420">
        <f t="shared" si="46"/>
        <v>58.06029493</v>
      </c>
      <c r="AE168" s="420">
        <f t="shared" si="46"/>
        <v>121.8126936</v>
      </c>
      <c r="AF168" s="420">
        <f t="shared" si="46"/>
        <v>109.4674626</v>
      </c>
      <c r="AG168" s="420">
        <f t="shared" si="46"/>
        <v>440.5760637</v>
      </c>
      <c r="AH168" s="420">
        <f t="shared" si="46"/>
        <v>766.7156422</v>
      </c>
      <c r="AI168" s="420">
        <f t="shared" si="46"/>
        <v>90.72631299</v>
      </c>
      <c r="AJ168" s="420">
        <f t="shared" si="46"/>
        <v>698.5926993</v>
      </c>
      <c r="AK168" s="420">
        <f t="shared" si="46"/>
        <v>1684.44736</v>
      </c>
      <c r="AL168" s="420">
        <f t="shared" si="46"/>
        <v>934.3712702</v>
      </c>
      <c r="AM168" s="420">
        <f t="shared" si="46"/>
        <v>634.7525809</v>
      </c>
      <c r="AN168" s="420">
        <f t="shared" si="46"/>
        <v>183.6731715</v>
      </c>
      <c r="AO168" s="420">
        <f t="shared" si="46"/>
        <v>440.2986722</v>
      </c>
      <c r="AP168" s="420">
        <f t="shared" si="46"/>
        <v>478.6710155</v>
      </c>
      <c r="AQ168" s="420">
        <f t="shared" si="46"/>
        <v>188.144138</v>
      </c>
      <c r="AR168" s="420">
        <f t="shared" si="46"/>
        <v>877.6270319</v>
      </c>
      <c r="AS168" s="420">
        <f t="shared" si="46"/>
        <v>1471.273059</v>
      </c>
      <c r="AT168" s="421"/>
    </row>
    <row r="169">
      <c r="A169" s="80"/>
      <c r="B169" s="81"/>
      <c r="C169" s="81"/>
      <c r="D169" s="81"/>
      <c r="E169" s="214" t="s">
        <v>573</v>
      </c>
      <c r="F169" s="215" t="s">
        <v>127</v>
      </c>
      <c r="G169" s="277" t="s">
        <v>149</v>
      </c>
      <c r="H169" s="187" t="s">
        <v>150</v>
      </c>
      <c r="I169" s="420">
        <f t="shared" ref="I169:AS169" si="47">I153*I161</f>
        <v>14889.69447</v>
      </c>
      <c r="J169" s="420">
        <f t="shared" si="47"/>
        <v>6733.93038</v>
      </c>
      <c r="K169" s="420">
        <f t="shared" si="47"/>
        <v>12239.87104</v>
      </c>
      <c r="L169" s="420">
        <f t="shared" si="47"/>
        <v>3392.211468</v>
      </c>
      <c r="M169" s="420">
        <f t="shared" si="47"/>
        <v>8414.849388</v>
      </c>
      <c r="N169" s="420">
        <f t="shared" si="47"/>
        <v>12498.26535</v>
      </c>
      <c r="O169" s="420">
        <f t="shared" si="47"/>
        <v>19466.43674</v>
      </c>
      <c r="P169" s="420">
        <f t="shared" si="47"/>
        <v>31974.30796</v>
      </c>
      <c r="Q169" s="420">
        <f t="shared" si="47"/>
        <v>24025.78256</v>
      </c>
      <c r="R169" s="420">
        <f t="shared" si="47"/>
        <v>790.6468974</v>
      </c>
      <c r="S169" s="420">
        <f t="shared" si="47"/>
        <v>2341.590835</v>
      </c>
      <c r="T169" s="420">
        <f t="shared" si="47"/>
        <v>716.3660643</v>
      </c>
      <c r="U169" s="420">
        <f t="shared" si="47"/>
        <v>1004.33658</v>
      </c>
      <c r="V169" s="420">
        <f t="shared" si="47"/>
        <v>1548.497179</v>
      </c>
      <c r="W169" s="420">
        <f t="shared" si="47"/>
        <v>1936.041394</v>
      </c>
      <c r="X169" s="420">
        <f t="shared" si="47"/>
        <v>4486.699746</v>
      </c>
      <c r="Y169" s="420">
        <f t="shared" si="47"/>
        <v>458.5349959</v>
      </c>
      <c r="Z169" s="420">
        <f t="shared" si="47"/>
        <v>1234.807772</v>
      </c>
      <c r="AA169" s="420">
        <f t="shared" si="47"/>
        <v>69.6135356</v>
      </c>
      <c r="AB169" s="420">
        <f t="shared" si="47"/>
        <v>654.8690492</v>
      </c>
      <c r="AC169" s="420">
        <f t="shared" si="47"/>
        <v>272.0487541</v>
      </c>
      <c r="AD169" s="420">
        <f t="shared" si="47"/>
        <v>108.1827992</v>
      </c>
      <c r="AE169" s="420">
        <f t="shared" si="47"/>
        <v>497.0023061</v>
      </c>
      <c r="AF169" s="420">
        <f t="shared" si="47"/>
        <v>244.6797383</v>
      </c>
      <c r="AG169" s="420">
        <f t="shared" si="47"/>
        <v>1096.115344</v>
      </c>
      <c r="AH169" s="420">
        <f t="shared" si="47"/>
        <v>1277.523379</v>
      </c>
      <c r="AI169" s="420">
        <f t="shared" si="47"/>
        <v>231.3349411</v>
      </c>
      <c r="AJ169" s="420">
        <f t="shared" si="47"/>
        <v>2283.669982</v>
      </c>
      <c r="AK169" s="420">
        <f t="shared" si="47"/>
        <v>4960.921873</v>
      </c>
      <c r="AL169" s="420">
        <f t="shared" si="47"/>
        <v>1785.598893</v>
      </c>
      <c r="AM169" s="420">
        <f t="shared" si="47"/>
        <v>1515.283627</v>
      </c>
      <c r="AN169" s="420">
        <f t="shared" si="47"/>
        <v>270.3114627</v>
      </c>
      <c r="AO169" s="420">
        <f t="shared" si="47"/>
        <v>986.9128288</v>
      </c>
      <c r="AP169" s="420">
        <f t="shared" si="47"/>
        <v>1268.18516</v>
      </c>
      <c r="AQ169" s="420">
        <f t="shared" si="47"/>
        <v>622.6720404</v>
      </c>
      <c r="AR169" s="420">
        <f t="shared" si="47"/>
        <v>4663.026633</v>
      </c>
      <c r="AS169" s="420">
        <f t="shared" si="47"/>
        <v>3675.336845</v>
      </c>
      <c r="AT169" s="421"/>
    </row>
    <row r="170">
      <c r="A170" s="80"/>
      <c r="B170" s="81"/>
      <c r="C170" s="81"/>
      <c r="D170" s="81"/>
      <c r="E170" s="194" t="s">
        <v>576</v>
      </c>
      <c r="F170" s="195" t="s">
        <v>127</v>
      </c>
      <c r="G170" s="316" t="s">
        <v>149</v>
      </c>
      <c r="H170" s="197"/>
      <c r="I170" s="397">
        <f t="shared" ref="I170:AS170" si="48">I154*$H162</f>
        <v>1959.642412</v>
      </c>
      <c r="J170" s="397">
        <f t="shared" si="48"/>
        <v>1959.642412</v>
      </c>
      <c r="K170" s="397">
        <f t="shared" si="48"/>
        <v>1959.642412</v>
      </c>
      <c r="L170" s="397">
        <f t="shared" si="48"/>
        <v>1959.642412</v>
      </c>
      <c r="M170" s="397">
        <f t="shared" si="48"/>
        <v>1959.642412</v>
      </c>
      <c r="N170" s="397">
        <f t="shared" si="48"/>
        <v>1959.642412</v>
      </c>
      <c r="O170" s="397">
        <f t="shared" si="48"/>
        <v>1959.642412</v>
      </c>
      <c r="P170" s="397">
        <f t="shared" si="48"/>
        <v>1959.642412</v>
      </c>
      <c r="Q170" s="397">
        <f t="shared" si="48"/>
        <v>1959.642412</v>
      </c>
      <c r="R170" s="397">
        <f t="shared" si="48"/>
        <v>1959.642412</v>
      </c>
      <c r="S170" s="397">
        <f t="shared" si="48"/>
        <v>1959.642412</v>
      </c>
      <c r="T170" s="397">
        <f t="shared" si="48"/>
        <v>1959.642412</v>
      </c>
      <c r="U170" s="397">
        <f t="shared" si="48"/>
        <v>1959.642412</v>
      </c>
      <c r="V170" s="397">
        <f t="shared" si="48"/>
        <v>1959.642412</v>
      </c>
      <c r="W170" s="397">
        <f t="shared" si="48"/>
        <v>1959.642412</v>
      </c>
      <c r="X170" s="397">
        <f t="shared" si="48"/>
        <v>1959.642412</v>
      </c>
      <c r="Y170" s="397">
        <f t="shared" si="48"/>
        <v>1959.642412</v>
      </c>
      <c r="Z170" s="397">
        <f t="shared" si="48"/>
        <v>1959.642412</v>
      </c>
      <c r="AA170" s="397">
        <f t="shared" si="48"/>
        <v>1959.642412</v>
      </c>
      <c r="AB170" s="397">
        <f t="shared" si="48"/>
        <v>1959.642412</v>
      </c>
      <c r="AC170" s="397">
        <f t="shared" si="48"/>
        <v>1959.642412</v>
      </c>
      <c r="AD170" s="397">
        <f t="shared" si="48"/>
        <v>1959.642412</v>
      </c>
      <c r="AE170" s="397">
        <f t="shared" si="48"/>
        <v>1959.642412</v>
      </c>
      <c r="AF170" s="397">
        <f t="shared" si="48"/>
        <v>1959.642412</v>
      </c>
      <c r="AG170" s="397">
        <f t="shared" si="48"/>
        <v>1959.642412</v>
      </c>
      <c r="AH170" s="397">
        <f t="shared" si="48"/>
        <v>1959.642412</v>
      </c>
      <c r="AI170" s="397">
        <f t="shared" si="48"/>
        <v>1959.642412</v>
      </c>
      <c r="AJ170" s="397">
        <f t="shared" si="48"/>
        <v>1959.642412</v>
      </c>
      <c r="AK170" s="397">
        <f t="shared" si="48"/>
        <v>1959.642412</v>
      </c>
      <c r="AL170" s="397">
        <f t="shared" si="48"/>
        <v>1959.642412</v>
      </c>
      <c r="AM170" s="397">
        <f t="shared" si="48"/>
        <v>1959.642412</v>
      </c>
      <c r="AN170" s="397">
        <f t="shared" si="48"/>
        <v>1959.642412</v>
      </c>
      <c r="AO170" s="397">
        <f t="shared" si="48"/>
        <v>1959.642412</v>
      </c>
      <c r="AP170" s="397">
        <f t="shared" si="48"/>
        <v>1959.642412</v>
      </c>
      <c r="AQ170" s="397">
        <f t="shared" si="48"/>
        <v>1959.642412</v>
      </c>
      <c r="AR170" s="397">
        <f t="shared" si="48"/>
        <v>1959.642412</v>
      </c>
      <c r="AS170" s="397">
        <f t="shared" si="48"/>
        <v>1959.642412</v>
      </c>
      <c r="AT170" s="401"/>
    </row>
    <row r="171">
      <c r="A171" s="80"/>
      <c r="B171" s="81"/>
      <c r="C171" s="81"/>
      <c r="D171" s="81"/>
      <c r="E171" s="82"/>
      <c r="F171" s="83"/>
      <c r="G171" s="84"/>
      <c r="H171" s="85"/>
      <c r="I171" s="86"/>
      <c r="J171" s="86"/>
      <c r="K171" s="86"/>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c r="AQ171" s="86"/>
      <c r="AR171" s="86"/>
      <c r="AS171" s="86"/>
      <c r="AT171" s="88"/>
    </row>
    <row r="172">
      <c r="A172" s="80"/>
      <c r="B172" s="81"/>
      <c r="C172" s="325" t="s">
        <v>578</v>
      </c>
      <c r="F172" s="83"/>
      <c r="G172" s="84"/>
      <c r="H172" s="85"/>
      <c r="I172" s="86"/>
      <c r="J172" s="86"/>
      <c r="K172" s="86"/>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c r="AQ172" s="86"/>
      <c r="AR172" s="86"/>
      <c r="AS172" s="86"/>
      <c r="AT172" s="88"/>
    </row>
    <row r="173">
      <c r="A173" s="80"/>
      <c r="B173" s="81"/>
      <c r="C173" s="81"/>
      <c r="D173" s="81"/>
      <c r="E173" s="188" t="s">
        <v>148</v>
      </c>
      <c r="F173" s="189" t="str">
        <f>F11</f>
        <v>$</v>
      </c>
      <c r="G173" s="263" t="s">
        <v>71</v>
      </c>
      <c r="H173" s="200" t="str">
        <f t="shared" ref="H173:AS173" si="49">H11</f>
        <v>-</v>
      </c>
      <c r="I173" s="432">
        <f t="shared" si="49"/>
        <v>1000000</v>
      </c>
      <c r="J173" s="432">
        <f t="shared" si="49"/>
        <v>1000000</v>
      </c>
      <c r="K173" s="432">
        <f t="shared" si="49"/>
        <v>1000000</v>
      </c>
      <c r="L173" s="432">
        <f t="shared" si="49"/>
        <v>1000000</v>
      </c>
      <c r="M173" s="432">
        <f t="shared" si="49"/>
        <v>1000000</v>
      </c>
      <c r="N173" s="432">
        <f t="shared" si="49"/>
        <v>1000000</v>
      </c>
      <c r="O173" s="432">
        <f t="shared" si="49"/>
        <v>1000000</v>
      </c>
      <c r="P173" s="432">
        <f t="shared" si="49"/>
        <v>1000000</v>
      </c>
      <c r="Q173" s="432">
        <f t="shared" si="49"/>
        <v>1000000</v>
      </c>
      <c r="R173" s="432">
        <f t="shared" si="49"/>
        <v>1000000</v>
      </c>
      <c r="S173" s="432">
        <f t="shared" si="49"/>
        <v>1000000</v>
      </c>
      <c r="T173" s="432">
        <f t="shared" si="49"/>
        <v>1000000</v>
      </c>
      <c r="U173" s="432">
        <f t="shared" si="49"/>
        <v>1000000</v>
      </c>
      <c r="V173" s="432">
        <f t="shared" si="49"/>
        <v>1000000</v>
      </c>
      <c r="W173" s="432">
        <f t="shared" si="49"/>
        <v>1000000</v>
      </c>
      <c r="X173" s="432">
        <f t="shared" si="49"/>
        <v>1000000</v>
      </c>
      <c r="Y173" s="432">
        <f t="shared" si="49"/>
        <v>1000000</v>
      </c>
      <c r="Z173" s="432">
        <f t="shared" si="49"/>
        <v>1000000</v>
      </c>
      <c r="AA173" s="432">
        <f t="shared" si="49"/>
        <v>1000000</v>
      </c>
      <c r="AB173" s="432">
        <f t="shared" si="49"/>
        <v>1000000</v>
      </c>
      <c r="AC173" s="432">
        <f t="shared" si="49"/>
        <v>1000000</v>
      </c>
      <c r="AD173" s="432">
        <f t="shared" si="49"/>
        <v>1000000</v>
      </c>
      <c r="AE173" s="432">
        <f t="shared" si="49"/>
        <v>1000000</v>
      </c>
      <c r="AF173" s="432">
        <f t="shared" si="49"/>
        <v>1000000</v>
      </c>
      <c r="AG173" s="432">
        <f t="shared" si="49"/>
        <v>1000000</v>
      </c>
      <c r="AH173" s="432">
        <f t="shared" si="49"/>
        <v>1000000</v>
      </c>
      <c r="AI173" s="432">
        <f t="shared" si="49"/>
        <v>1000000</v>
      </c>
      <c r="AJ173" s="432">
        <f t="shared" si="49"/>
        <v>1000000</v>
      </c>
      <c r="AK173" s="432">
        <f t="shared" si="49"/>
        <v>1000000</v>
      </c>
      <c r="AL173" s="432">
        <f t="shared" si="49"/>
        <v>1000000</v>
      </c>
      <c r="AM173" s="432">
        <f t="shared" si="49"/>
        <v>1000000</v>
      </c>
      <c r="AN173" s="432">
        <f t="shared" si="49"/>
        <v>1000000</v>
      </c>
      <c r="AO173" s="432">
        <f t="shared" si="49"/>
        <v>1000000</v>
      </c>
      <c r="AP173" s="432">
        <f t="shared" si="49"/>
        <v>1000000</v>
      </c>
      <c r="AQ173" s="432">
        <f t="shared" si="49"/>
        <v>1000000</v>
      </c>
      <c r="AR173" s="432">
        <f t="shared" si="49"/>
        <v>1000000</v>
      </c>
      <c r="AS173" s="432">
        <f t="shared" si="49"/>
        <v>1000000</v>
      </c>
      <c r="AT173" s="193"/>
    </row>
    <row r="174">
      <c r="A174" s="80"/>
      <c r="B174" s="81"/>
      <c r="C174" s="81"/>
      <c r="D174" s="81"/>
      <c r="E174" s="214" t="s">
        <v>580</v>
      </c>
      <c r="F174" s="215" t="s">
        <v>127</v>
      </c>
      <c r="G174" s="277" t="s">
        <v>149</v>
      </c>
      <c r="H174" s="187" t="s">
        <v>150</v>
      </c>
      <c r="I174" s="420">
        <f t="shared" ref="I174:AS174" si="50">SUM(I165:I170)</f>
        <v>75026.59744</v>
      </c>
      <c r="J174" s="420">
        <f t="shared" si="50"/>
        <v>34383.41278</v>
      </c>
      <c r="K174" s="420">
        <f t="shared" si="50"/>
        <v>62477.19018</v>
      </c>
      <c r="L174" s="420">
        <f t="shared" si="50"/>
        <v>18339.35833</v>
      </c>
      <c r="M174" s="420">
        <f t="shared" si="50"/>
        <v>42221.25051</v>
      </c>
      <c r="N174" s="420">
        <f t="shared" si="50"/>
        <v>64980.19192</v>
      </c>
      <c r="O174" s="420">
        <f t="shared" si="50"/>
        <v>100429.2219</v>
      </c>
      <c r="P174" s="420">
        <f t="shared" si="50"/>
        <v>161536.0346</v>
      </c>
      <c r="Q174" s="420">
        <f t="shared" si="50"/>
        <v>119059.7318</v>
      </c>
      <c r="R174" s="420">
        <f t="shared" si="50"/>
        <v>5860.813074</v>
      </c>
      <c r="S174" s="420">
        <f t="shared" si="50"/>
        <v>13159.12866</v>
      </c>
      <c r="T174" s="420">
        <f t="shared" si="50"/>
        <v>5769.386011</v>
      </c>
      <c r="U174" s="420">
        <f t="shared" si="50"/>
        <v>7144.460708</v>
      </c>
      <c r="V174" s="420">
        <f t="shared" si="50"/>
        <v>9872.334458</v>
      </c>
      <c r="W174" s="420">
        <f t="shared" si="50"/>
        <v>11987.17706</v>
      </c>
      <c r="X174" s="420">
        <f t="shared" si="50"/>
        <v>25445.95076</v>
      </c>
      <c r="Y174" s="420">
        <f t="shared" si="50"/>
        <v>4419.467256</v>
      </c>
      <c r="Z174" s="420">
        <f t="shared" si="50"/>
        <v>8261.357414</v>
      </c>
      <c r="AA174" s="420">
        <f t="shared" si="50"/>
        <v>2310.376994</v>
      </c>
      <c r="AB174" s="420">
        <f t="shared" si="50"/>
        <v>5213.50588</v>
      </c>
      <c r="AC174" s="420">
        <f t="shared" si="50"/>
        <v>3358.853437</v>
      </c>
      <c r="AD174" s="420">
        <f t="shared" si="50"/>
        <v>2562.266051</v>
      </c>
      <c r="AE174" s="420">
        <f t="shared" si="50"/>
        <v>4432.628861</v>
      </c>
      <c r="AF174" s="420">
        <f t="shared" si="50"/>
        <v>3277.506367</v>
      </c>
      <c r="AG174" s="420">
        <f t="shared" si="50"/>
        <v>7673.599004</v>
      </c>
      <c r="AH174" s="420">
        <f t="shared" si="50"/>
        <v>9484.485641</v>
      </c>
      <c r="AI174" s="420">
        <f t="shared" si="50"/>
        <v>3189.790796</v>
      </c>
      <c r="AJ174" s="420">
        <f t="shared" si="50"/>
        <v>13824.40237</v>
      </c>
      <c r="AK174" s="420">
        <f t="shared" si="50"/>
        <v>27522.50101</v>
      </c>
      <c r="AL174" s="420">
        <f t="shared" si="50"/>
        <v>11925.0095</v>
      </c>
      <c r="AM174" s="420">
        <f t="shared" si="50"/>
        <v>9988.395246</v>
      </c>
      <c r="AN174" s="420">
        <f t="shared" si="50"/>
        <v>3512.825597</v>
      </c>
      <c r="AO174" s="420">
        <f t="shared" si="50"/>
        <v>7319.61854</v>
      </c>
      <c r="AP174" s="420">
        <f t="shared" si="50"/>
        <v>8839.296088</v>
      </c>
      <c r="AQ174" s="420">
        <f t="shared" si="50"/>
        <v>5103.895787</v>
      </c>
      <c r="AR174" s="420">
        <f t="shared" si="50"/>
        <v>24529.24722</v>
      </c>
      <c r="AS174" s="420">
        <f t="shared" si="50"/>
        <v>21392.18049</v>
      </c>
      <c r="AT174" s="421"/>
    </row>
    <row r="175">
      <c r="A175" s="80"/>
      <c r="B175" s="81"/>
      <c r="C175" s="81"/>
      <c r="D175" s="81"/>
      <c r="E175" s="347" t="s">
        <v>582</v>
      </c>
      <c r="F175" s="318" t="s">
        <v>127</v>
      </c>
      <c r="G175" s="319" t="s">
        <v>149</v>
      </c>
      <c r="H175" s="222" t="s">
        <v>150</v>
      </c>
      <c r="I175" s="433">
        <f t="shared" ref="I175:AS175" si="51">I174/I173</f>
        <v>0.07502659744</v>
      </c>
      <c r="J175" s="433">
        <f t="shared" si="51"/>
        <v>0.03438341278</v>
      </c>
      <c r="K175" s="433">
        <f t="shared" si="51"/>
        <v>0.06247719018</v>
      </c>
      <c r="L175" s="433">
        <f t="shared" si="51"/>
        <v>0.01833935833</v>
      </c>
      <c r="M175" s="433">
        <f t="shared" si="51"/>
        <v>0.04222125051</v>
      </c>
      <c r="N175" s="433">
        <f t="shared" si="51"/>
        <v>0.06498019192</v>
      </c>
      <c r="O175" s="433">
        <f t="shared" si="51"/>
        <v>0.1004292219</v>
      </c>
      <c r="P175" s="433">
        <f t="shared" si="51"/>
        <v>0.1615360346</v>
      </c>
      <c r="Q175" s="433">
        <f t="shared" si="51"/>
        <v>0.1190597318</v>
      </c>
      <c r="R175" s="433">
        <f t="shared" si="51"/>
        <v>0.005860813074</v>
      </c>
      <c r="S175" s="433">
        <f t="shared" si="51"/>
        <v>0.01315912866</v>
      </c>
      <c r="T175" s="433">
        <f t="shared" si="51"/>
        <v>0.005769386011</v>
      </c>
      <c r="U175" s="433">
        <f t="shared" si="51"/>
        <v>0.007144460708</v>
      </c>
      <c r="V175" s="433">
        <f t="shared" si="51"/>
        <v>0.009872334458</v>
      </c>
      <c r="W175" s="433">
        <f t="shared" si="51"/>
        <v>0.01198717706</v>
      </c>
      <c r="X175" s="433">
        <f t="shared" si="51"/>
        <v>0.02544595076</v>
      </c>
      <c r="Y175" s="433">
        <f t="shared" si="51"/>
        <v>0.004419467256</v>
      </c>
      <c r="Z175" s="433">
        <f t="shared" si="51"/>
        <v>0.008261357414</v>
      </c>
      <c r="AA175" s="433">
        <f t="shared" si="51"/>
        <v>0.002310376994</v>
      </c>
      <c r="AB175" s="433">
        <f t="shared" si="51"/>
        <v>0.00521350588</v>
      </c>
      <c r="AC175" s="433">
        <f t="shared" si="51"/>
        <v>0.003358853437</v>
      </c>
      <c r="AD175" s="433">
        <f t="shared" si="51"/>
        <v>0.002562266051</v>
      </c>
      <c r="AE175" s="433">
        <f t="shared" si="51"/>
        <v>0.004432628861</v>
      </c>
      <c r="AF175" s="433">
        <f t="shared" si="51"/>
        <v>0.003277506367</v>
      </c>
      <c r="AG175" s="433">
        <f t="shared" si="51"/>
        <v>0.007673599004</v>
      </c>
      <c r="AH175" s="433">
        <f t="shared" si="51"/>
        <v>0.009484485641</v>
      </c>
      <c r="AI175" s="433">
        <f t="shared" si="51"/>
        <v>0.003189790796</v>
      </c>
      <c r="AJ175" s="433">
        <f t="shared" si="51"/>
        <v>0.01382440237</v>
      </c>
      <c r="AK175" s="433">
        <f t="shared" si="51"/>
        <v>0.02752250101</v>
      </c>
      <c r="AL175" s="433">
        <f t="shared" si="51"/>
        <v>0.0119250095</v>
      </c>
      <c r="AM175" s="433">
        <f t="shared" si="51"/>
        <v>0.009988395246</v>
      </c>
      <c r="AN175" s="433">
        <f t="shared" si="51"/>
        <v>0.003512825597</v>
      </c>
      <c r="AO175" s="433">
        <f t="shared" si="51"/>
        <v>0.00731961854</v>
      </c>
      <c r="AP175" s="433">
        <f t="shared" si="51"/>
        <v>0.008839296088</v>
      </c>
      <c r="AQ175" s="433">
        <f t="shared" si="51"/>
        <v>0.005103895787</v>
      </c>
      <c r="AR175" s="433">
        <f t="shared" si="51"/>
        <v>0.02452924722</v>
      </c>
      <c r="AS175" s="433">
        <f t="shared" si="51"/>
        <v>0.02139218049</v>
      </c>
      <c r="AT175" s="434"/>
    </row>
    <row r="176">
      <c r="A176" s="80"/>
      <c r="B176" s="81"/>
      <c r="C176" s="81"/>
      <c r="D176" s="81"/>
      <c r="E176" s="347" t="s">
        <v>583</v>
      </c>
      <c r="F176" s="318" t="s">
        <v>127</v>
      </c>
      <c r="G176" s="319" t="s">
        <v>203</v>
      </c>
      <c r="H176" s="435">
        <f>Inputs!H266</f>
        <v>0.0033545</v>
      </c>
      <c r="I176" s="436" t="str">
        <f>Inputs!I266</f>
        <v>-</v>
      </c>
      <c r="J176" s="436" t="str">
        <f>Inputs!J266</f>
        <v>-</v>
      </c>
      <c r="K176" s="436" t="str">
        <f>Inputs!K266</f>
        <v>-</v>
      </c>
      <c r="L176" s="436" t="str">
        <f>Inputs!L266</f>
        <v>-</v>
      </c>
      <c r="M176" s="436" t="str">
        <f>Inputs!M266</f>
        <v>-</v>
      </c>
      <c r="N176" s="436" t="str">
        <f>Inputs!N266</f>
        <v>-</v>
      </c>
      <c r="O176" s="436" t="str">
        <f>Inputs!O266</f>
        <v>-</v>
      </c>
      <c r="P176" s="436" t="str">
        <f>Inputs!P266</f>
        <v>-</v>
      </c>
      <c r="Q176" s="436" t="str">
        <f>Inputs!Q266</f>
        <v>-</v>
      </c>
      <c r="R176" s="436" t="str">
        <f>Inputs!R266</f>
        <v>-</v>
      </c>
      <c r="S176" s="436" t="str">
        <f>Inputs!S266</f>
        <v>-</v>
      </c>
      <c r="T176" s="436" t="str">
        <f>Inputs!T266</f>
        <v>-</v>
      </c>
      <c r="U176" s="436" t="str">
        <f>Inputs!U266</f>
        <v>-</v>
      </c>
      <c r="V176" s="436" t="str">
        <f>Inputs!V266</f>
        <v>-</v>
      </c>
      <c r="W176" s="436" t="str">
        <f>Inputs!W266</f>
        <v>-</v>
      </c>
      <c r="X176" s="436" t="str">
        <f>Inputs!X266</f>
        <v>-</v>
      </c>
      <c r="Y176" s="436" t="str">
        <f>Inputs!Y266</f>
        <v>-</v>
      </c>
      <c r="Z176" s="436" t="str">
        <f>Inputs!Z266</f>
        <v>-</v>
      </c>
      <c r="AA176" s="436" t="str">
        <f>Inputs!AA266</f>
        <v>-</v>
      </c>
      <c r="AB176" s="436" t="str">
        <f>Inputs!AB266</f>
        <v>-</v>
      </c>
      <c r="AC176" s="436" t="str">
        <f>Inputs!AC266</f>
        <v>-</v>
      </c>
      <c r="AD176" s="436" t="str">
        <f>Inputs!AD266</f>
        <v>-</v>
      </c>
      <c r="AE176" s="436" t="str">
        <f>Inputs!AE266</f>
        <v>-</v>
      </c>
      <c r="AF176" s="436" t="str">
        <f>Inputs!AF266</f>
        <v>-</v>
      </c>
      <c r="AG176" s="436" t="str">
        <f>Inputs!AG266</f>
        <v>-</v>
      </c>
      <c r="AH176" s="436" t="str">
        <f>Inputs!AH266</f>
        <v>-</v>
      </c>
      <c r="AI176" s="436" t="str">
        <f>Inputs!AI266</f>
        <v>-</v>
      </c>
      <c r="AJ176" s="436" t="str">
        <f>Inputs!AJ266</f>
        <v>-</v>
      </c>
      <c r="AK176" s="436" t="str">
        <f>Inputs!AK266</f>
        <v>-</v>
      </c>
      <c r="AL176" s="436" t="str">
        <f>Inputs!AL266</f>
        <v>-</v>
      </c>
      <c r="AM176" s="436" t="str">
        <f>Inputs!AM266</f>
        <v>-</v>
      </c>
      <c r="AN176" s="436" t="str">
        <f>Inputs!AN266</f>
        <v>-</v>
      </c>
      <c r="AO176" s="436" t="str">
        <f>Inputs!AO266</f>
        <v>-</v>
      </c>
      <c r="AP176" s="436" t="str">
        <f>Inputs!AP266</f>
        <v>-</v>
      </c>
      <c r="AQ176" s="436" t="str">
        <f>Inputs!AQ266</f>
        <v>-</v>
      </c>
      <c r="AR176" s="436" t="str">
        <f>Inputs!AR266</f>
        <v>-</v>
      </c>
      <c r="AS176" s="436" t="str">
        <f>Inputs!AS266</f>
        <v>-</v>
      </c>
      <c r="AT176" s="434"/>
    </row>
    <row r="177">
      <c r="A177" s="80"/>
      <c r="B177" s="81"/>
      <c r="C177" s="81"/>
      <c r="D177" s="81"/>
      <c r="E177" s="194" t="s">
        <v>130</v>
      </c>
      <c r="F177" s="195" t="s">
        <v>129</v>
      </c>
      <c r="G177" s="316" t="s">
        <v>149</v>
      </c>
      <c r="H177" s="197" t="s">
        <v>150</v>
      </c>
      <c r="I177" s="438">
        <f t="shared" ref="I177:AS177" si="52">I175/$H176</f>
        <v>22.36595542</v>
      </c>
      <c r="J177" s="438">
        <f t="shared" si="52"/>
        <v>10.24993673</v>
      </c>
      <c r="K177" s="438">
        <f t="shared" si="52"/>
        <v>18.62488901</v>
      </c>
      <c r="L177" s="438">
        <f t="shared" si="52"/>
        <v>5.46709147</v>
      </c>
      <c r="M177" s="438">
        <f t="shared" si="52"/>
        <v>12.58645119</v>
      </c>
      <c r="N177" s="438">
        <f t="shared" si="52"/>
        <v>19.3710514</v>
      </c>
      <c r="O177" s="438">
        <f t="shared" si="52"/>
        <v>29.93865609</v>
      </c>
      <c r="P177" s="438">
        <f t="shared" si="52"/>
        <v>48.15502598</v>
      </c>
      <c r="Q177" s="438">
        <f t="shared" si="52"/>
        <v>35.49254188</v>
      </c>
      <c r="R177" s="438">
        <f t="shared" si="52"/>
        <v>1.747149523</v>
      </c>
      <c r="S177" s="438">
        <f t="shared" si="52"/>
        <v>3.922828636</v>
      </c>
      <c r="T177" s="438">
        <f t="shared" si="52"/>
        <v>1.719894474</v>
      </c>
      <c r="U177" s="438">
        <f t="shared" si="52"/>
        <v>2.129813894</v>
      </c>
      <c r="V177" s="438">
        <f t="shared" si="52"/>
        <v>2.94301221</v>
      </c>
      <c r="W177" s="438">
        <f t="shared" si="52"/>
        <v>3.573461636</v>
      </c>
      <c r="X177" s="438">
        <f t="shared" si="52"/>
        <v>7.585616562</v>
      </c>
      <c r="Y177" s="438">
        <f t="shared" si="52"/>
        <v>1.317474215</v>
      </c>
      <c r="Z177" s="438">
        <f t="shared" si="52"/>
        <v>2.462768643</v>
      </c>
      <c r="AA177" s="438">
        <f t="shared" si="52"/>
        <v>0.6887396016</v>
      </c>
      <c r="AB177" s="438">
        <f t="shared" si="52"/>
        <v>1.554182704</v>
      </c>
      <c r="AC177" s="438">
        <f t="shared" si="52"/>
        <v>1.00129779</v>
      </c>
      <c r="AD177" s="438">
        <f t="shared" si="52"/>
        <v>0.7638294981</v>
      </c>
      <c r="AE177" s="438">
        <f t="shared" si="52"/>
        <v>1.321397782</v>
      </c>
      <c r="AF177" s="438">
        <f t="shared" si="52"/>
        <v>0.9770476575</v>
      </c>
      <c r="AG177" s="438">
        <f t="shared" si="52"/>
        <v>2.287553735</v>
      </c>
      <c r="AH177" s="438">
        <f t="shared" si="52"/>
        <v>2.827391755</v>
      </c>
      <c r="AI177" s="438">
        <f t="shared" si="52"/>
        <v>0.9508990298</v>
      </c>
      <c r="AJ177" s="438">
        <f t="shared" si="52"/>
        <v>4.1211514</v>
      </c>
      <c r="AK177" s="438">
        <f t="shared" si="52"/>
        <v>8.204650769</v>
      </c>
      <c r="AL177" s="438">
        <f t="shared" si="52"/>
        <v>3.55492905</v>
      </c>
      <c r="AM177" s="438">
        <f t="shared" si="52"/>
        <v>2.977610745</v>
      </c>
      <c r="AN177" s="438">
        <f t="shared" si="52"/>
        <v>1.047197972</v>
      </c>
      <c r="AO177" s="438">
        <f t="shared" si="52"/>
        <v>2.182029674</v>
      </c>
      <c r="AP177" s="438">
        <f t="shared" si="52"/>
        <v>2.635056219</v>
      </c>
      <c r="AQ177" s="438">
        <f t="shared" si="52"/>
        <v>1.521507166</v>
      </c>
      <c r="AR177" s="438">
        <f t="shared" si="52"/>
        <v>7.312340803</v>
      </c>
      <c r="AS177" s="438">
        <f t="shared" si="52"/>
        <v>6.377159185</v>
      </c>
      <c r="AT177" s="401"/>
    </row>
    <row r="178">
      <c r="A178" s="80"/>
      <c r="B178" s="81"/>
      <c r="C178" s="81"/>
      <c r="D178" s="81"/>
      <c r="E178" s="82"/>
      <c r="F178" s="83"/>
      <c r="G178" s="84"/>
      <c r="H178" s="85"/>
      <c r="I178" s="86"/>
      <c r="J178" s="86"/>
      <c r="K178" s="86"/>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c r="AQ178" s="86"/>
      <c r="AR178" s="86"/>
      <c r="AS178" s="86"/>
      <c r="AT178" s="88"/>
    </row>
    <row r="179">
      <c r="A179" s="80"/>
      <c r="B179" s="81"/>
      <c r="C179" s="325" t="s">
        <v>592</v>
      </c>
      <c r="F179" s="108"/>
      <c r="G179" s="84"/>
      <c r="H179" s="85"/>
      <c r="I179" s="86"/>
      <c r="J179" s="86"/>
      <c r="K179" s="86"/>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c r="AQ179" s="86"/>
      <c r="AR179" s="86"/>
      <c r="AS179" s="86"/>
      <c r="AT179" s="88"/>
    </row>
    <row r="180">
      <c r="A180" s="80"/>
      <c r="B180" s="81"/>
      <c r="C180" s="325"/>
      <c r="D180" s="81"/>
      <c r="E180" s="188" t="s">
        <v>593</v>
      </c>
      <c r="F180" s="189" t="s">
        <v>122</v>
      </c>
      <c r="G180" s="263" t="s">
        <v>149</v>
      </c>
      <c r="H180" s="200" t="s">
        <v>150</v>
      </c>
      <c r="I180" s="119">
        <f t="shared" ref="I180:AS180" si="53">I165/I$174</f>
        <v>0.5995679391</v>
      </c>
      <c r="J180" s="119">
        <f t="shared" si="53"/>
        <v>0.5931763604</v>
      </c>
      <c r="K180" s="119">
        <f t="shared" si="53"/>
        <v>0.5915189624</v>
      </c>
      <c r="L180" s="119">
        <f t="shared" si="53"/>
        <v>0.5584929452</v>
      </c>
      <c r="M180" s="119">
        <f t="shared" si="53"/>
        <v>0.6011199675</v>
      </c>
      <c r="N180" s="119">
        <f t="shared" si="53"/>
        <v>0.5763000877</v>
      </c>
      <c r="O180" s="119">
        <f t="shared" si="53"/>
        <v>0.5799546393</v>
      </c>
      <c r="P180" s="119">
        <f t="shared" si="53"/>
        <v>0.5941750271</v>
      </c>
      <c r="Q180" s="119">
        <f t="shared" si="53"/>
        <v>0.6092991937</v>
      </c>
      <c r="R180" s="119">
        <f t="shared" si="53"/>
        <v>0.4108864273</v>
      </c>
      <c r="S180" s="119">
        <f t="shared" si="53"/>
        <v>0.5413801605</v>
      </c>
      <c r="T180" s="119">
        <f t="shared" si="53"/>
        <v>0.3722757936</v>
      </c>
      <c r="U180" s="119">
        <f t="shared" si="53"/>
        <v>0.4213633161</v>
      </c>
      <c r="V180" s="119">
        <f t="shared" si="53"/>
        <v>0.4732136906</v>
      </c>
      <c r="W180" s="119">
        <f t="shared" si="53"/>
        <v>0.4795228345</v>
      </c>
      <c r="X180" s="119">
        <f t="shared" si="53"/>
        <v>0.5199565733</v>
      </c>
      <c r="Y180" s="119">
        <f t="shared" si="53"/>
        <v>0.3087562372</v>
      </c>
      <c r="Z180" s="119">
        <f t="shared" si="53"/>
        <v>0.4471708584</v>
      </c>
      <c r="AA180" s="119">
        <f t="shared" si="53"/>
        <v>0.09040175126</v>
      </c>
      <c r="AB180" s="119">
        <f t="shared" si="53"/>
        <v>0.3850732202</v>
      </c>
      <c r="AC180" s="119">
        <f t="shared" si="53"/>
        <v>0.2454513134</v>
      </c>
      <c r="AD180" s="119">
        <f t="shared" si="53"/>
        <v>0.124903738</v>
      </c>
      <c r="AE180" s="119">
        <f t="shared" si="53"/>
        <v>0.3357362455</v>
      </c>
      <c r="AF180" s="119">
        <f t="shared" si="53"/>
        <v>0.222373062</v>
      </c>
      <c r="AG180" s="119">
        <f t="shared" si="53"/>
        <v>0.4221919063</v>
      </c>
      <c r="AH180" s="119">
        <f t="shared" si="53"/>
        <v>0.391066538</v>
      </c>
      <c r="AI180" s="119">
        <f t="shared" si="53"/>
        <v>0.2115115117</v>
      </c>
      <c r="AJ180" s="119">
        <f t="shared" si="53"/>
        <v>0.4887614758</v>
      </c>
      <c r="AK180" s="119">
        <f t="shared" si="53"/>
        <v>0.5376450962</v>
      </c>
      <c r="AL180" s="119">
        <f t="shared" si="53"/>
        <v>0.440355219</v>
      </c>
      <c r="AM180" s="119">
        <f t="shared" si="53"/>
        <v>0.4507284189</v>
      </c>
      <c r="AN180" s="119">
        <f t="shared" si="53"/>
        <v>0.2261704601</v>
      </c>
      <c r="AO180" s="119">
        <f t="shared" si="53"/>
        <v>0.4002845148</v>
      </c>
      <c r="AP180" s="119">
        <f t="shared" si="53"/>
        <v>0.4189636664</v>
      </c>
      <c r="AQ180" s="119">
        <f t="shared" si="53"/>
        <v>0.3694687066</v>
      </c>
      <c r="AR180" s="119">
        <f t="shared" si="53"/>
        <v>0.5753828828</v>
      </c>
      <c r="AS180" s="119">
        <f t="shared" si="53"/>
        <v>0.5078305339</v>
      </c>
      <c r="AT180" s="193"/>
    </row>
    <row r="181">
      <c r="A181" s="80"/>
      <c r="B181" s="81"/>
      <c r="C181" s="325"/>
      <c r="D181" s="81"/>
      <c r="E181" s="214" t="s">
        <v>596</v>
      </c>
      <c r="F181" s="189" t="s">
        <v>122</v>
      </c>
      <c r="G181" s="263" t="s">
        <v>149</v>
      </c>
      <c r="H181" s="200" t="s">
        <v>150</v>
      </c>
      <c r="I181" s="149">
        <f t="shared" ref="I181:AS181" si="54">I166/I$174</f>
        <v>0.0479958667</v>
      </c>
      <c r="J181" s="149">
        <f t="shared" si="54"/>
        <v>0.04586898019</v>
      </c>
      <c r="K181" s="149">
        <f t="shared" si="54"/>
        <v>0.047726103</v>
      </c>
      <c r="L181" s="149">
        <f t="shared" si="54"/>
        <v>0.04505366272</v>
      </c>
      <c r="M181" s="149">
        <f t="shared" si="54"/>
        <v>0.04920029649</v>
      </c>
      <c r="N181" s="149">
        <f t="shared" si="54"/>
        <v>0.0512968026</v>
      </c>
      <c r="O181" s="149">
        <f t="shared" si="54"/>
        <v>0.05251312716</v>
      </c>
      <c r="P181" s="149">
        <f t="shared" si="54"/>
        <v>0.05169297265</v>
      </c>
      <c r="Q181" s="149">
        <f t="shared" si="54"/>
        <v>0.04915364474</v>
      </c>
      <c r="R181" s="149">
        <f t="shared" si="54"/>
        <v>0.0293000864</v>
      </c>
      <c r="S181" s="149">
        <f t="shared" si="54"/>
        <v>0.03924507583</v>
      </c>
      <c r="T181" s="149">
        <f t="shared" si="54"/>
        <v>0.03287569475</v>
      </c>
      <c r="U181" s="149">
        <f t="shared" si="54"/>
        <v>0.03732941751</v>
      </c>
      <c r="V181" s="149">
        <f t="shared" si="54"/>
        <v>0.03858902995</v>
      </c>
      <c r="W181" s="149">
        <f t="shared" si="54"/>
        <v>0.04747611585</v>
      </c>
      <c r="X181" s="149">
        <f t="shared" si="54"/>
        <v>0.055377846</v>
      </c>
      <c r="Y181" s="149">
        <f t="shared" si="54"/>
        <v>0.02978735515</v>
      </c>
      <c r="Z181" s="149">
        <f t="shared" si="54"/>
        <v>0.04053724809</v>
      </c>
      <c r="AA181" s="149">
        <f t="shared" si="54"/>
        <v>0.007913947923</v>
      </c>
      <c r="AB181" s="149">
        <f t="shared" si="54"/>
        <v>0.02478781163</v>
      </c>
      <c r="AC181" s="149">
        <f t="shared" si="54"/>
        <v>0.01883076827</v>
      </c>
      <c r="AD181" s="149">
        <f t="shared" si="54"/>
        <v>0.01286352287</v>
      </c>
      <c r="AE181" s="149">
        <f t="shared" si="54"/>
        <v>0.03011881416</v>
      </c>
      <c r="AF181" s="149">
        <f t="shared" si="54"/>
        <v>0.02122088643</v>
      </c>
      <c r="AG181" s="149">
        <f t="shared" si="54"/>
        <v>0.04389745325</v>
      </c>
      <c r="AH181" s="149">
        <f t="shared" si="54"/>
        <v>0.04844178623</v>
      </c>
      <c r="AI181" s="149">
        <f t="shared" si="54"/>
        <v>0.02513007315</v>
      </c>
      <c r="AJ181" s="149">
        <f t="shared" si="54"/>
        <v>0.05025123808</v>
      </c>
      <c r="AK181" s="149">
        <f t="shared" si="54"/>
        <v>0.05050276627</v>
      </c>
      <c r="AL181" s="149">
        <f t="shared" si="54"/>
        <v>0.04822649211</v>
      </c>
      <c r="AM181" s="149">
        <f t="shared" si="54"/>
        <v>0.04427733038</v>
      </c>
      <c r="AN181" s="149">
        <f t="shared" si="54"/>
        <v>0.02491404106</v>
      </c>
      <c r="AO181" s="149">
        <f t="shared" si="54"/>
        <v>0.03966452833</v>
      </c>
      <c r="AP181" s="149">
        <f t="shared" si="54"/>
        <v>0.04917769846</v>
      </c>
      <c r="AQ181" s="149">
        <f t="shared" si="54"/>
        <v>0.02861059675</v>
      </c>
      <c r="AR181" s="149">
        <f t="shared" si="54"/>
        <v>0.04490844186</v>
      </c>
      <c r="AS181" s="149">
        <f t="shared" si="54"/>
        <v>0.0527707989</v>
      </c>
      <c r="AT181" s="229"/>
    </row>
    <row r="182">
      <c r="A182" s="80"/>
      <c r="B182" s="81"/>
      <c r="C182" s="325"/>
      <c r="D182" s="81"/>
      <c r="E182" s="214" t="s">
        <v>598</v>
      </c>
      <c r="F182" s="189" t="s">
        <v>122</v>
      </c>
      <c r="G182" s="263" t="s">
        <v>149</v>
      </c>
      <c r="H182" s="200" t="s">
        <v>150</v>
      </c>
      <c r="I182" s="149">
        <f t="shared" ref="I182:AS182" si="55">I167/I$174</f>
        <v>0.07604793812</v>
      </c>
      <c r="J182" s="149">
        <f t="shared" si="55"/>
        <v>0.06076731442</v>
      </c>
      <c r="K182" s="149">
        <f t="shared" si="55"/>
        <v>0.08396988741</v>
      </c>
      <c r="L182" s="149">
        <f t="shared" si="55"/>
        <v>0.06509238581</v>
      </c>
      <c r="M182" s="149">
        <f t="shared" si="55"/>
        <v>0.0633719459</v>
      </c>
      <c r="N182" s="149">
        <f t="shared" si="55"/>
        <v>0.09255096595</v>
      </c>
      <c r="O182" s="149">
        <f t="shared" si="55"/>
        <v>0.08997339605</v>
      </c>
      <c r="P182" s="149">
        <f t="shared" si="55"/>
        <v>0.09312370696</v>
      </c>
      <c r="Q182" s="149">
        <f t="shared" si="55"/>
        <v>0.0712733586</v>
      </c>
      <c r="R182" s="149">
        <f t="shared" si="55"/>
        <v>0.05331557675</v>
      </c>
      <c r="S182" s="149">
        <f t="shared" si="55"/>
        <v>0.05460984939</v>
      </c>
      <c r="T182" s="149">
        <f t="shared" si="55"/>
        <v>0.07822753089</v>
      </c>
      <c r="U182" s="149">
        <f t="shared" si="55"/>
        <v>0.07722232919</v>
      </c>
      <c r="V182" s="149">
        <f t="shared" si="55"/>
        <v>0.0797411292</v>
      </c>
      <c r="W182" s="149">
        <f t="shared" si="55"/>
        <v>0.09031372835</v>
      </c>
      <c r="X182" s="149">
        <f t="shared" si="55"/>
        <v>0.09789483609</v>
      </c>
      <c r="Y182" s="149">
        <f t="shared" si="55"/>
        <v>0.0675681871</v>
      </c>
      <c r="Z182" s="149">
        <f t="shared" si="55"/>
        <v>0.08064559628</v>
      </c>
      <c r="AA182" s="149">
        <f t="shared" si="55"/>
        <v>0.01429716811</v>
      </c>
      <c r="AB182" s="149">
        <f t="shared" si="55"/>
        <v>0.05778615587</v>
      </c>
      <c r="AC182" s="149">
        <f t="shared" si="55"/>
        <v>0.04307777885</v>
      </c>
      <c r="AD182" s="149">
        <f t="shared" si="55"/>
        <v>0.032543135</v>
      </c>
      <c r="AE182" s="149">
        <f t="shared" si="55"/>
        <v>0.05244557139</v>
      </c>
      <c r="AF182" s="149">
        <f t="shared" si="55"/>
        <v>0.05044568007</v>
      </c>
      <c r="AG182" s="149">
        <f t="shared" si="55"/>
        <v>0.07827908901</v>
      </c>
      <c r="AH182" s="149">
        <f t="shared" si="55"/>
        <v>0.1383410622</v>
      </c>
      <c r="AI182" s="149">
        <f t="shared" si="55"/>
        <v>0.04804389714</v>
      </c>
      <c r="AJ182" s="149">
        <f t="shared" si="55"/>
        <v>0.1035103434</v>
      </c>
      <c r="AK182" s="149">
        <f t="shared" si="55"/>
        <v>0.09919844217</v>
      </c>
      <c r="AL182" s="149">
        <f t="shared" si="55"/>
        <v>0.1189982597</v>
      </c>
      <c r="AM182" s="149">
        <f t="shared" si="55"/>
        <v>0.09354891659</v>
      </c>
      <c r="AN182" s="149">
        <f t="shared" si="55"/>
        <v>0.06182558236</v>
      </c>
      <c r="AO182" s="149">
        <f t="shared" si="55"/>
        <v>0.0973418834</v>
      </c>
      <c r="AP182" s="149">
        <f t="shared" si="55"/>
        <v>0.112538075</v>
      </c>
      <c r="AQ182" s="149">
        <f t="shared" si="55"/>
        <v>0.05910816571</v>
      </c>
      <c r="AR182" s="149">
        <f t="shared" si="55"/>
        <v>0.07393915833</v>
      </c>
      <c r="AS182" s="149">
        <f t="shared" si="55"/>
        <v>0.1072094207</v>
      </c>
      <c r="AT182" s="229"/>
    </row>
    <row r="183">
      <c r="A183" s="80"/>
      <c r="B183" s="81"/>
      <c r="C183" s="325"/>
      <c r="D183" s="81"/>
      <c r="E183" s="214" t="s">
        <v>602</v>
      </c>
      <c r="F183" s="189" t="s">
        <v>122</v>
      </c>
      <c r="G183" s="263" t="s">
        <v>149</v>
      </c>
      <c r="H183" s="200" t="s">
        <v>150</v>
      </c>
      <c r="I183" s="149">
        <f t="shared" ref="I183:AS183" si="56">I168/I$174</f>
        <v>0.05181007373</v>
      </c>
      <c r="J183" s="149">
        <f t="shared" si="56"/>
        <v>0.04734528859</v>
      </c>
      <c r="K183" s="149">
        <f t="shared" si="56"/>
        <v>0.04950988623</v>
      </c>
      <c r="L183" s="149">
        <f t="shared" si="56"/>
        <v>0.03953760754</v>
      </c>
      <c r="M183" s="149">
        <f t="shared" si="56"/>
        <v>0.04059048723</v>
      </c>
      <c r="N183" s="149">
        <f t="shared" si="56"/>
        <v>0.05735498978</v>
      </c>
      <c r="O183" s="149">
        <f t="shared" si="56"/>
        <v>0.06421376966</v>
      </c>
      <c r="P183" s="149">
        <f t="shared" si="56"/>
        <v>0.05093782542</v>
      </c>
      <c r="Q183" s="149">
        <f t="shared" si="56"/>
        <v>0.05201843999</v>
      </c>
      <c r="R183" s="149">
        <f t="shared" si="56"/>
        <v>0.03723037376</v>
      </c>
      <c r="S183" s="149">
        <f t="shared" si="56"/>
        <v>0.0379018402</v>
      </c>
      <c r="T183" s="149">
        <f t="shared" si="56"/>
        <v>0.05279199258</v>
      </c>
      <c r="U183" s="149">
        <f t="shared" si="56"/>
        <v>0.04922101506</v>
      </c>
      <c r="V183" s="149">
        <f t="shared" si="56"/>
        <v>0.05310558894</v>
      </c>
      <c r="W183" s="149">
        <f t="shared" si="56"/>
        <v>0.05769972939</v>
      </c>
      <c r="X183" s="149">
        <f t="shared" si="56"/>
        <v>0.07343605023</v>
      </c>
      <c r="Y183" s="149">
        <f t="shared" si="56"/>
        <v>0.04672330956</v>
      </c>
      <c r="Z183" s="149">
        <f t="shared" si="56"/>
        <v>0.04497253128</v>
      </c>
      <c r="AA183" s="149">
        <f t="shared" si="56"/>
        <v>0.009064697611</v>
      </c>
      <c r="AB183" s="149">
        <f t="shared" si="56"/>
        <v>0.03086465426</v>
      </c>
      <c r="AC183" s="149">
        <f t="shared" si="56"/>
        <v>0.02821961408</v>
      </c>
      <c r="AD183" s="149">
        <f t="shared" si="56"/>
        <v>0.02265974484</v>
      </c>
      <c r="AE183" s="149">
        <f t="shared" si="56"/>
        <v>0.02748091425</v>
      </c>
      <c r="AF183" s="149">
        <f t="shared" si="56"/>
        <v>0.03339961858</v>
      </c>
      <c r="AG183" s="149">
        <f t="shared" si="56"/>
        <v>0.05741452784</v>
      </c>
      <c r="AH183" s="149">
        <f t="shared" si="56"/>
        <v>0.08083892698</v>
      </c>
      <c r="AI183" s="149">
        <f t="shared" si="56"/>
        <v>0.02844271578</v>
      </c>
      <c r="AJ183" s="149">
        <f t="shared" si="56"/>
        <v>0.05053330195</v>
      </c>
      <c r="AK183" s="149">
        <f t="shared" si="56"/>
        <v>0.06120255421</v>
      </c>
      <c r="AL183" s="149">
        <f t="shared" si="56"/>
        <v>0.07835392252</v>
      </c>
      <c r="AM183" s="149">
        <f t="shared" si="56"/>
        <v>0.06354900515</v>
      </c>
      <c r="AN183" s="149">
        <f t="shared" si="56"/>
        <v>0.0522864476</v>
      </c>
      <c r="AO183" s="149">
        <f t="shared" si="56"/>
        <v>0.06015322654</v>
      </c>
      <c r="AP183" s="149">
        <f t="shared" si="56"/>
        <v>0.05415261698</v>
      </c>
      <c r="AQ183" s="149">
        <f t="shared" si="56"/>
        <v>0.03686284866</v>
      </c>
      <c r="AR183" s="149">
        <f t="shared" si="56"/>
        <v>0.03577880005</v>
      </c>
      <c r="AS183" s="149">
        <f t="shared" si="56"/>
        <v>0.06877620819</v>
      </c>
      <c r="AT183" s="229"/>
    </row>
    <row r="184">
      <c r="A184" s="80"/>
      <c r="B184" s="81"/>
      <c r="C184" s="325"/>
      <c r="D184" s="81"/>
      <c r="E184" s="214" t="s">
        <v>604</v>
      </c>
      <c r="F184" s="215" t="s">
        <v>122</v>
      </c>
      <c r="G184" s="277" t="s">
        <v>149</v>
      </c>
      <c r="H184" s="187" t="s">
        <v>150</v>
      </c>
      <c r="I184" s="149">
        <f t="shared" ref="I184:AS184" si="57">I169/I$174</f>
        <v>0.1984588796</v>
      </c>
      <c r="J184" s="149">
        <f t="shared" si="57"/>
        <v>0.1958482255</v>
      </c>
      <c r="K184" s="149">
        <f t="shared" si="57"/>
        <v>0.1959094352</v>
      </c>
      <c r="L184" s="149">
        <f t="shared" si="57"/>
        <v>0.1849689289</v>
      </c>
      <c r="M184" s="149">
        <f t="shared" si="57"/>
        <v>0.1993036513</v>
      </c>
      <c r="N184" s="149">
        <f t="shared" si="57"/>
        <v>0.192339619</v>
      </c>
      <c r="O184" s="149">
        <f t="shared" si="57"/>
        <v>0.1938323964</v>
      </c>
      <c r="P184" s="149">
        <f t="shared" si="57"/>
        <v>0.1979391659</v>
      </c>
      <c r="Q184" s="149">
        <f t="shared" si="57"/>
        <v>0.2017960414</v>
      </c>
      <c r="R184" s="149">
        <f t="shared" si="57"/>
        <v>0.1349039608</v>
      </c>
      <c r="S184" s="149">
        <f t="shared" si="57"/>
        <v>0.1779442162</v>
      </c>
      <c r="T184" s="149">
        <f t="shared" si="57"/>
        <v>0.1241667766</v>
      </c>
      <c r="U184" s="149">
        <f t="shared" si="57"/>
        <v>0.1405755621</v>
      </c>
      <c r="V184" s="149">
        <f t="shared" si="57"/>
        <v>0.1568521798</v>
      </c>
      <c r="W184" s="149">
        <f t="shared" si="57"/>
        <v>0.1615093683</v>
      </c>
      <c r="X184" s="149">
        <f t="shared" si="57"/>
        <v>0.1763227395</v>
      </c>
      <c r="Y184" s="149">
        <f t="shared" si="57"/>
        <v>0.1037534548</v>
      </c>
      <c r="Z184" s="149">
        <f t="shared" si="57"/>
        <v>0.1494679034</v>
      </c>
      <c r="AA184" s="149">
        <f t="shared" si="57"/>
        <v>0.03013081233</v>
      </c>
      <c r="AB184" s="149">
        <f t="shared" si="57"/>
        <v>0.1256101104</v>
      </c>
      <c r="AC184" s="149">
        <f t="shared" si="57"/>
        <v>0.08099452958</v>
      </c>
      <c r="AD184" s="149">
        <f t="shared" si="57"/>
        <v>0.04222153245</v>
      </c>
      <c r="AE184" s="149">
        <f t="shared" si="57"/>
        <v>0.1121236001</v>
      </c>
      <c r="AF184" s="149">
        <f t="shared" si="57"/>
        <v>0.07465423738</v>
      </c>
      <c r="AG184" s="149">
        <f t="shared" si="57"/>
        <v>0.142842406</v>
      </c>
      <c r="AH184" s="149">
        <f t="shared" si="57"/>
        <v>0.1346961161</v>
      </c>
      <c r="AI184" s="149">
        <f t="shared" si="57"/>
        <v>0.0725235465</v>
      </c>
      <c r="AJ184" s="149">
        <f t="shared" si="57"/>
        <v>0.1651912264</v>
      </c>
      <c r="AK184" s="149">
        <f t="shared" si="57"/>
        <v>0.1802496754</v>
      </c>
      <c r="AL184" s="149">
        <f t="shared" si="57"/>
        <v>0.149735637</v>
      </c>
      <c r="AM184" s="149">
        <f t="shared" si="57"/>
        <v>0.151704412</v>
      </c>
      <c r="AN184" s="149">
        <f t="shared" si="57"/>
        <v>0.07694986708</v>
      </c>
      <c r="AO184" s="149">
        <f t="shared" si="57"/>
        <v>0.1348311833</v>
      </c>
      <c r="AP184" s="149">
        <f t="shared" si="57"/>
        <v>0.1434712841</v>
      </c>
      <c r="AQ184" s="149">
        <f t="shared" si="57"/>
        <v>0.1219993641</v>
      </c>
      <c r="AR184" s="149">
        <f t="shared" si="57"/>
        <v>0.1901006823</v>
      </c>
      <c r="AS184" s="149">
        <f t="shared" si="57"/>
        <v>0.1718074905</v>
      </c>
      <c r="AT184" s="229"/>
    </row>
    <row r="185">
      <c r="A185" s="80"/>
      <c r="B185" s="81"/>
      <c r="C185" s="325"/>
      <c r="D185" s="81"/>
      <c r="E185" s="194" t="s">
        <v>606</v>
      </c>
      <c r="F185" s="195" t="s">
        <v>122</v>
      </c>
      <c r="G185" s="316" t="s">
        <v>149</v>
      </c>
      <c r="H185" s="197" t="s">
        <v>150</v>
      </c>
      <c r="I185" s="240">
        <f t="shared" ref="I185:AS185" si="58">I170/I$174</f>
        <v>0.02611930273</v>
      </c>
      <c r="J185" s="240">
        <f t="shared" si="58"/>
        <v>0.05699383084</v>
      </c>
      <c r="K185" s="240">
        <f t="shared" si="58"/>
        <v>0.03136572573</v>
      </c>
      <c r="L185" s="240">
        <f t="shared" si="58"/>
        <v>0.1068544698</v>
      </c>
      <c r="M185" s="240">
        <f t="shared" si="58"/>
        <v>0.04641365161</v>
      </c>
      <c r="N185" s="240">
        <f t="shared" si="58"/>
        <v>0.03015753499</v>
      </c>
      <c r="O185" s="240">
        <f t="shared" si="58"/>
        <v>0.01951267146</v>
      </c>
      <c r="P185" s="240">
        <f t="shared" si="58"/>
        <v>0.01213130195</v>
      </c>
      <c r="Q185" s="240">
        <f t="shared" si="58"/>
        <v>0.01645932157</v>
      </c>
      <c r="R185" s="240">
        <f t="shared" si="58"/>
        <v>0.334363575</v>
      </c>
      <c r="S185" s="240">
        <f t="shared" si="58"/>
        <v>0.1489188579</v>
      </c>
      <c r="T185" s="240">
        <f t="shared" si="58"/>
        <v>0.3396622115</v>
      </c>
      <c r="U185" s="240">
        <f t="shared" si="58"/>
        <v>0.2742883601</v>
      </c>
      <c r="V185" s="240">
        <f t="shared" si="58"/>
        <v>0.1984983815</v>
      </c>
      <c r="W185" s="240">
        <f t="shared" si="58"/>
        <v>0.1634782236</v>
      </c>
      <c r="X185" s="240">
        <f t="shared" si="58"/>
        <v>0.07701195488</v>
      </c>
      <c r="Y185" s="240">
        <f t="shared" si="58"/>
        <v>0.4434114562</v>
      </c>
      <c r="Z185" s="240">
        <f t="shared" si="58"/>
        <v>0.2372058626</v>
      </c>
      <c r="AA185" s="240">
        <f t="shared" si="58"/>
        <v>0.8481916228</v>
      </c>
      <c r="AB185" s="240">
        <f t="shared" si="58"/>
        <v>0.3758780477</v>
      </c>
      <c r="AC185" s="240">
        <f t="shared" si="58"/>
        <v>0.5834259958</v>
      </c>
      <c r="AD185" s="240">
        <f t="shared" si="58"/>
        <v>0.7648083268</v>
      </c>
      <c r="AE185" s="240">
        <f t="shared" si="58"/>
        <v>0.4420948545</v>
      </c>
      <c r="AF185" s="240">
        <f t="shared" si="58"/>
        <v>0.5979065155</v>
      </c>
      <c r="AG185" s="240">
        <f t="shared" si="58"/>
        <v>0.2553746176</v>
      </c>
      <c r="AH185" s="240">
        <f t="shared" si="58"/>
        <v>0.2066155705</v>
      </c>
      <c r="AI185" s="240">
        <f t="shared" si="58"/>
        <v>0.6143482558</v>
      </c>
      <c r="AJ185" s="240">
        <f t="shared" si="58"/>
        <v>0.1417524142</v>
      </c>
      <c r="AK185" s="240">
        <f t="shared" si="58"/>
        <v>0.07120146571</v>
      </c>
      <c r="AL185" s="240">
        <f t="shared" si="58"/>
        <v>0.1643304697</v>
      </c>
      <c r="AM185" s="240">
        <f t="shared" si="58"/>
        <v>0.1961919171</v>
      </c>
      <c r="AN185" s="240">
        <f t="shared" si="58"/>
        <v>0.5578536018</v>
      </c>
      <c r="AO185" s="240">
        <f t="shared" si="58"/>
        <v>0.2677246636</v>
      </c>
      <c r="AP185" s="240">
        <f t="shared" si="58"/>
        <v>0.2216966591</v>
      </c>
      <c r="AQ185" s="240">
        <f t="shared" si="58"/>
        <v>0.3839503182</v>
      </c>
      <c r="AR185" s="240">
        <f t="shared" si="58"/>
        <v>0.07989003468</v>
      </c>
      <c r="AS185" s="240">
        <f t="shared" si="58"/>
        <v>0.09160554777</v>
      </c>
      <c r="AT185" s="199"/>
    </row>
    <row r="186">
      <c r="A186" s="80"/>
      <c r="B186" s="81"/>
      <c r="C186" s="325"/>
      <c r="D186" s="81"/>
      <c r="E186" s="82"/>
      <c r="F186" s="83"/>
      <c r="G186" s="84"/>
      <c r="H186" s="85"/>
      <c r="I186" s="86"/>
      <c r="J186" s="86"/>
      <c r="K186" s="86"/>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c r="AQ186" s="86"/>
      <c r="AR186" s="86"/>
      <c r="AS186" s="86"/>
      <c r="AT186" s="88"/>
    </row>
    <row r="187">
      <c r="A187" s="80"/>
      <c r="B187" s="81"/>
      <c r="C187" s="325" t="s">
        <v>607</v>
      </c>
      <c r="F187" s="83"/>
      <c r="G187" s="84"/>
      <c r="H187" s="85"/>
      <c r="I187" s="86"/>
      <c r="J187" s="86"/>
      <c r="K187" s="86"/>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c r="AQ187" s="86"/>
      <c r="AR187" s="86"/>
      <c r="AS187" s="86"/>
      <c r="AT187" s="88"/>
    </row>
    <row r="188">
      <c r="A188" s="80"/>
      <c r="B188" s="81"/>
      <c r="C188" s="81"/>
      <c r="D188" s="81"/>
      <c r="E188" s="188" t="s">
        <v>148</v>
      </c>
      <c r="F188" s="439" t="s">
        <v>118</v>
      </c>
      <c r="G188" s="440" t="s">
        <v>71</v>
      </c>
      <c r="H188" s="295" t="str">
        <f t="shared" ref="H188:AS188" si="59">H11</f>
        <v>-</v>
      </c>
      <c r="I188" s="432">
        <f t="shared" si="59"/>
        <v>1000000</v>
      </c>
      <c r="J188" s="432">
        <f t="shared" si="59"/>
        <v>1000000</v>
      </c>
      <c r="K188" s="432">
        <f t="shared" si="59"/>
        <v>1000000</v>
      </c>
      <c r="L188" s="432">
        <f t="shared" si="59"/>
        <v>1000000</v>
      </c>
      <c r="M188" s="432">
        <f t="shared" si="59"/>
        <v>1000000</v>
      </c>
      <c r="N188" s="432">
        <f t="shared" si="59"/>
        <v>1000000</v>
      </c>
      <c r="O188" s="432">
        <f t="shared" si="59"/>
        <v>1000000</v>
      </c>
      <c r="P188" s="432">
        <f t="shared" si="59"/>
        <v>1000000</v>
      </c>
      <c r="Q188" s="432">
        <f t="shared" si="59"/>
        <v>1000000</v>
      </c>
      <c r="R188" s="432">
        <f t="shared" si="59"/>
        <v>1000000</v>
      </c>
      <c r="S188" s="432">
        <f t="shared" si="59"/>
        <v>1000000</v>
      </c>
      <c r="T188" s="432">
        <f t="shared" si="59"/>
        <v>1000000</v>
      </c>
      <c r="U188" s="432">
        <f t="shared" si="59"/>
        <v>1000000</v>
      </c>
      <c r="V188" s="432">
        <f t="shared" si="59"/>
        <v>1000000</v>
      </c>
      <c r="W188" s="432">
        <f t="shared" si="59"/>
        <v>1000000</v>
      </c>
      <c r="X188" s="432">
        <f t="shared" si="59"/>
        <v>1000000</v>
      </c>
      <c r="Y188" s="432">
        <f t="shared" si="59"/>
        <v>1000000</v>
      </c>
      <c r="Z188" s="432">
        <f t="shared" si="59"/>
        <v>1000000</v>
      </c>
      <c r="AA188" s="432">
        <f t="shared" si="59"/>
        <v>1000000</v>
      </c>
      <c r="AB188" s="432">
        <f t="shared" si="59"/>
        <v>1000000</v>
      </c>
      <c r="AC188" s="432">
        <f t="shared" si="59"/>
        <v>1000000</v>
      </c>
      <c r="AD188" s="432">
        <f t="shared" si="59"/>
        <v>1000000</v>
      </c>
      <c r="AE188" s="432">
        <f t="shared" si="59"/>
        <v>1000000</v>
      </c>
      <c r="AF188" s="432">
        <f t="shared" si="59"/>
        <v>1000000</v>
      </c>
      <c r="AG188" s="432">
        <f t="shared" si="59"/>
        <v>1000000</v>
      </c>
      <c r="AH188" s="432">
        <f t="shared" si="59"/>
        <v>1000000</v>
      </c>
      <c r="AI188" s="432">
        <f t="shared" si="59"/>
        <v>1000000</v>
      </c>
      <c r="AJ188" s="432">
        <f t="shared" si="59"/>
        <v>1000000</v>
      </c>
      <c r="AK188" s="432">
        <f t="shared" si="59"/>
        <v>1000000</v>
      </c>
      <c r="AL188" s="432">
        <f t="shared" si="59"/>
        <v>1000000</v>
      </c>
      <c r="AM188" s="432">
        <f t="shared" si="59"/>
        <v>1000000</v>
      </c>
      <c r="AN188" s="432">
        <f t="shared" si="59"/>
        <v>1000000</v>
      </c>
      <c r="AO188" s="432">
        <f t="shared" si="59"/>
        <v>1000000</v>
      </c>
      <c r="AP188" s="432">
        <f t="shared" si="59"/>
        <v>1000000</v>
      </c>
      <c r="AQ188" s="432">
        <f t="shared" si="59"/>
        <v>1000000</v>
      </c>
      <c r="AR188" s="432">
        <f t="shared" si="59"/>
        <v>1000000</v>
      </c>
      <c r="AS188" s="432">
        <f t="shared" si="59"/>
        <v>1000000</v>
      </c>
      <c r="AT188" s="193"/>
    </row>
    <row r="189">
      <c r="A189" s="80"/>
      <c r="B189" s="81"/>
      <c r="C189" s="81"/>
      <c r="D189" s="81"/>
      <c r="E189" s="214" t="s">
        <v>608</v>
      </c>
      <c r="F189" s="215" t="s">
        <v>111</v>
      </c>
      <c r="G189" s="277" t="s">
        <v>149</v>
      </c>
      <c r="H189" s="187" t="s">
        <v>150</v>
      </c>
      <c r="I189" s="420">
        <f t="shared" ref="I189:AS189" si="60">SUM(I149:I152)</f>
        <v>560.5520676</v>
      </c>
      <c r="J189" s="420">
        <f t="shared" si="60"/>
        <v>245.7647602</v>
      </c>
      <c r="K189" s="420">
        <f t="shared" si="60"/>
        <v>463.7308221</v>
      </c>
      <c r="L189" s="420">
        <f t="shared" si="60"/>
        <v>122.8940818</v>
      </c>
      <c r="M189" s="420">
        <f t="shared" si="60"/>
        <v>300.0664864</v>
      </c>
      <c r="N189" s="420">
        <f t="shared" si="60"/>
        <v>492.9325051</v>
      </c>
      <c r="O189" s="420">
        <f t="shared" si="60"/>
        <v>779.6471334</v>
      </c>
      <c r="P189" s="420">
        <f t="shared" si="60"/>
        <v>1227.178737</v>
      </c>
      <c r="Q189" s="420">
        <f t="shared" si="60"/>
        <v>895.634209</v>
      </c>
      <c r="R189" s="420">
        <f t="shared" si="60"/>
        <v>30.15694618</v>
      </c>
      <c r="S189" s="420">
        <f t="shared" si="60"/>
        <v>83.8331658</v>
      </c>
      <c r="T189" s="420">
        <f t="shared" si="60"/>
        <v>31.42762589</v>
      </c>
      <c r="U189" s="420">
        <f t="shared" si="60"/>
        <v>41.50233502</v>
      </c>
      <c r="V189" s="420">
        <f t="shared" si="60"/>
        <v>62.98851179</v>
      </c>
      <c r="W189" s="420">
        <f t="shared" si="60"/>
        <v>80.45030222</v>
      </c>
      <c r="X189" s="420">
        <f t="shared" si="60"/>
        <v>192.4286371</v>
      </c>
      <c r="Y189" s="420">
        <f t="shared" si="60"/>
        <v>20.47061457</v>
      </c>
      <c r="Z189" s="420">
        <f t="shared" si="60"/>
        <v>49.46861925</v>
      </c>
      <c r="AA189" s="420">
        <f t="shared" si="60"/>
        <v>2.745732674</v>
      </c>
      <c r="AB189" s="420">
        <f t="shared" si="60"/>
        <v>24.93564672</v>
      </c>
      <c r="AC189" s="420">
        <f t="shared" si="60"/>
        <v>11.19506082</v>
      </c>
      <c r="AD189" s="420">
        <f t="shared" si="60"/>
        <v>5.17249486</v>
      </c>
      <c r="AE189" s="420">
        <f t="shared" si="60"/>
        <v>18.91440574</v>
      </c>
      <c r="AF189" s="420">
        <f t="shared" si="60"/>
        <v>10.96503722</v>
      </c>
      <c r="AG189" s="420">
        <f t="shared" si="60"/>
        <v>46.56752975</v>
      </c>
      <c r="AH189" s="420">
        <f t="shared" si="60"/>
        <v>66.07422496</v>
      </c>
      <c r="AI189" s="420">
        <f t="shared" si="60"/>
        <v>10.02030097</v>
      </c>
      <c r="AJ189" s="420">
        <f t="shared" si="60"/>
        <v>93.59297377</v>
      </c>
      <c r="AK189" s="420">
        <f t="shared" si="60"/>
        <v>203.7290886</v>
      </c>
      <c r="AL189" s="420">
        <f t="shared" si="60"/>
        <v>85.18799529</v>
      </c>
      <c r="AM189" s="420">
        <f t="shared" si="60"/>
        <v>66.01137287</v>
      </c>
      <c r="AN189" s="420">
        <f t="shared" si="60"/>
        <v>13.91329886</v>
      </c>
      <c r="AO189" s="420">
        <f t="shared" si="60"/>
        <v>44.62765786</v>
      </c>
      <c r="AP189" s="420">
        <f t="shared" si="60"/>
        <v>55.98928458</v>
      </c>
      <c r="AQ189" s="420">
        <f t="shared" si="60"/>
        <v>24.65872242</v>
      </c>
      <c r="AR189" s="420">
        <f t="shared" si="60"/>
        <v>167.8327752</v>
      </c>
      <c r="AS189" s="420">
        <f t="shared" si="60"/>
        <v>158.6993053</v>
      </c>
      <c r="AT189" s="421"/>
    </row>
    <row r="190">
      <c r="A190" s="80"/>
      <c r="B190" s="81"/>
      <c r="C190" s="81"/>
      <c r="D190" s="81"/>
      <c r="E190" s="194" t="s">
        <v>607</v>
      </c>
      <c r="F190" s="195" t="s">
        <v>118</v>
      </c>
      <c r="G190" s="316" t="s">
        <v>149</v>
      </c>
      <c r="H190" s="197" t="s">
        <v>150</v>
      </c>
      <c r="I190" s="441">
        <f t="shared" ref="I190:AS190" si="61">I188/I189</f>
        <v>1783.9556</v>
      </c>
      <c r="J190" s="441">
        <f t="shared" si="61"/>
        <v>4068.931605</v>
      </c>
      <c r="K190" s="441">
        <f t="shared" si="61"/>
        <v>2156.423408</v>
      </c>
      <c r="L190" s="441">
        <f t="shared" si="61"/>
        <v>8137.088336</v>
      </c>
      <c r="M190" s="441">
        <f t="shared" si="61"/>
        <v>3332.59476</v>
      </c>
      <c r="N190" s="441">
        <f t="shared" si="61"/>
        <v>2028.675305</v>
      </c>
      <c r="O190" s="441">
        <f t="shared" si="61"/>
        <v>1282.631536</v>
      </c>
      <c r="P190" s="441">
        <f t="shared" si="61"/>
        <v>814.877222</v>
      </c>
      <c r="Q190" s="441">
        <f t="shared" si="61"/>
        <v>1116.52725</v>
      </c>
      <c r="R190" s="441">
        <f t="shared" si="61"/>
        <v>33159.85624</v>
      </c>
      <c r="S190" s="441">
        <f t="shared" si="61"/>
        <v>11928.45326</v>
      </c>
      <c r="T190" s="441">
        <f t="shared" si="61"/>
        <v>31819.13911</v>
      </c>
      <c r="U190" s="441">
        <f t="shared" si="61"/>
        <v>24095.02982</v>
      </c>
      <c r="V190" s="441">
        <f t="shared" si="61"/>
        <v>15875.91089</v>
      </c>
      <c r="W190" s="441">
        <f t="shared" si="61"/>
        <v>12430.0341</v>
      </c>
      <c r="X190" s="441">
        <f t="shared" si="61"/>
        <v>5196.731709</v>
      </c>
      <c r="Y190" s="441">
        <f t="shared" si="61"/>
        <v>48850.51188</v>
      </c>
      <c r="Z190" s="441">
        <f t="shared" si="61"/>
        <v>20214.83549</v>
      </c>
      <c r="AA190" s="441">
        <f t="shared" si="61"/>
        <v>364201.5151</v>
      </c>
      <c r="AB190" s="441">
        <f t="shared" si="61"/>
        <v>40103.23097</v>
      </c>
      <c r="AC190" s="441">
        <f t="shared" si="61"/>
        <v>89325.10654</v>
      </c>
      <c r="AD190" s="441">
        <f t="shared" si="61"/>
        <v>193330.3033</v>
      </c>
      <c r="AE190" s="441">
        <f t="shared" si="61"/>
        <v>52869.75513</v>
      </c>
      <c r="AF190" s="441">
        <f t="shared" si="61"/>
        <v>91198.96085</v>
      </c>
      <c r="AG190" s="441">
        <f t="shared" si="61"/>
        <v>21474.19039</v>
      </c>
      <c r="AH190" s="441">
        <f t="shared" si="61"/>
        <v>15134.49459</v>
      </c>
      <c r="AI190" s="441">
        <f t="shared" si="61"/>
        <v>99797.40159</v>
      </c>
      <c r="AJ190" s="441">
        <f t="shared" si="61"/>
        <v>10684.56274</v>
      </c>
      <c r="AK190" s="441">
        <f t="shared" si="61"/>
        <v>4908.47923</v>
      </c>
      <c r="AL190" s="441">
        <f t="shared" si="61"/>
        <v>11738.74319</v>
      </c>
      <c r="AM190" s="441">
        <f t="shared" si="61"/>
        <v>15148.90475</v>
      </c>
      <c r="AN190" s="441">
        <f t="shared" si="61"/>
        <v>71873.68071</v>
      </c>
      <c r="AO190" s="441">
        <f t="shared" si="61"/>
        <v>22407.62899</v>
      </c>
      <c r="AP190" s="441">
        <f t="shared" si="61"/>
        <v>17860.56042</v>
      </c>
      <c r="AQ190" s="441">
        <f t="shared" si="61"/>
        <v>40553.60139</v>
      </c>
      <c r="AR190" s="441">
        <f t="shared" si="61"/>
        <v>5958.311773</v>
      </c>
      <c r="AS190" s="441">
        <f t="shared" si="61"/>
        <v>6301.224811</v>
      </c>
      <c r="AT190" s="199"/>
    </row>
    <row r="191">
      <c r="A191" s="80"/>
      <c r="B191" s="81"/>
      <c r="C191" s="81"/>
      <c r="D191" s="81"/>
      <c r="E191" s="82"/>
      <c r="F191" s="83"/>
      <c r="G191" s="84"/>
      <c r="H191" s="85"/>
      <c r="I191" s="86"/>
      <c r="J191" s="86"/>
      <c r="K191" s="86"/>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c r="AQ191" s="86"/>
      <c r="AR191" s="86"/>
      <c r="AS191" s="86"/>
      <c r="AT191" s="88"/>
    </row>
    <row r="192">
      <c r="A192" s="72" t="s">
        <v>612</v>
      </c>
      <c r="B192" s="14"/>
      <c r="C192" s="14"/>
      <c r="D192" s="14"/>
      <c r="E192" s="14"/>
      <c r="F192" s="14"/>
      <c r="G192" s="14"/>
      <c r="H192" s="73"/>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97"/>
      <c r="AH192" s="97"/>
      <c r="AI192" s="97"/>
      <c r="AJ192" s="97"/>
      <c r="AK192" s="97"/>
      <c r="AL192" s="97"/>
      <c r="AM192" s="97"/>
      <c r="AN192" s="97"/>
      <c r="AO192" s="97"/>
      <c r="AP192" s="97"/>
      <c r="AQ192" s="97"/>
      <c r="AR192" s="97"/>
      <c r="AS192" s="97"/>
      <c r="AT192" s="79"/>
    </row>
    <row r="193">
      <c r="A193" s="80"/>
      <c r="B193" s="81"/>
      <c r="C193" s="81"/>
      <c r="D193" s="81"/>
      <c r="E193" s="82"/>
      <c r="F193" s="83"/>
      <c r="G193" s="84"/>
      <c r="H193" s="85"/>
      <c r="I193" s="111"/>
      <c r="J193" s="111"/>
      <c r="K193" s="111"/>
      <c r="L193" s="111"/>
      <c r="M193" s="111"/>
      <c r="N193" s="111"/>
      <c r="O193" s="111"/>
      <c r="P193" s="111"/>
      <c r="Q193" s="111"/>
      <c r="R193" s="111"/>
      <c r="S193" s="111"/>
      <c r="T193" s="111"/>
      <c r="U193" s="111"/>
      <c r="V193" s="111"/>
      <c r="W193" s="111"/>
      <c r="X193" s="111"/>
      <c r="Y193" s="111"/>
      <c r="Z193" s="111"/>
      <c r="AA193" s="111"/>
      <c r="AB193" s="111"/>
      <c r="AC193" s="111"/>
      <c r="AD193" s="111"/>
      <c r="AE193" s="111"/>
      <c r="AF193" s="111"/>
      <c r="AG193" s="111"/>
      <c r="AH193" s="111"/>
      <c r="AI193" s="111"/>
      <c r="AJ193" s="111"/>
      <c r="AK193" s="111"/>
      <c r="AL193" s="111"/>
      <c r="AM193" s="111"/>
      <c r="AN193" s="111"/>
      <c r="AO193" s="111"/>
      <c r="AP193" s="111"/>
      <c r="AQ193" s="111"/>
      <c r="AR193" s="111"/>
      <c r="AS193" s="111"/>
      <c r="AT193" s="88"/>
    </row>
    <row r="194">
      <c r="A194" s="80"/>
      <c r="B194" s="81"/>
      <c r="C194" s="325" t="s">
        <v>616</v>
      </c>
      <c r="F194" s="83"/>
      <c r="G194" s="84"/>
      <c r="H194" s="85"/>
      <c r="I194" s="111"/>
      <c r="J194" s="111"/>
      <c r="K194" s="111"/>
      <c r="L194" s="111"/>
      <c r="M194" s="111"/>
      <c r="N194" s="111"/>
      <c r="O194" s="111"/>
      <c r="P194" s="111"/>
      <c r="Q194" s="111"/>
      <c r="R194" s="111"/>
      <c r="S194" s="111"/>
      <c r="T194" s="111"/>
      <c r="U194" s="111"/>
      <c r="V194" s="111"/>
      <c r="W194" s="111"/>
      <c r="X194" s="111"/>
      <c r="Y194" s="111"/>
      <c r="Z194" s="111"/>
      <c r="AA194" s="111"/>
      <c r="AB194" s="111"/>
      <c r="AC194" s="111"/>
      <c r="AD194" s="111"/>
      <c r="AE194" s="111"/>
      <c r="AF194" s="111"/>
      <c r="AG194" s="111"/>
      <c r="AH194" s="111"/>
      <c r="AI194" s="111"/>
      <c r="AJ194" s="111"/>
      <c r="AK194" s="111"/>
      <c r="AL194" s="111"/>
      <c r="AM194" s="111"/>
      <c r="AN194" s="111"/>
      <c r="AO194" s="111"/>
      <c r="AP194" s="111"/>
      <c r="AQ194" s="111"/>
      <c r="AR194" s="111"/>
      <c r="AS194" s="111"/>
      <c r="AT194" s="88"/>
    </row>
    <row r="195">
      <c r="A195" s="80"/>
      <c r="B195" s="81"/>
      <c r="C195" s="81"/>
      <c r="D195" s="442" t="s">
        <v>618</v>
      </c>
      <c r="E195" s="70"/>
      <c r="F195" s="151"/>
      <c r="G195" s="443"/>
      <c r="H195" s="295"/>
      <c r="I195" s="289"/>
      <c r="J195" s="289"/>
      <c r="K195" s="289"/>
      <c r="L195" s="289"/>
      <c r="M195" s="289"/>
      <c r="N195" s="289"/>
      <c r="O195" s="289"/>
      <c r="P195" s="289"/>
      <c r="Q195" s="289"/>
      <c r="R195" s="289"/>
      <c r="S195" s="289"/>
      <c r="T195" s="289"/>
      <c r="U195" s="289"/>
      <c r="V195" s="289"/>
      <c r="W195" s="289"/>
      <c r="X195" s="289"/>
      <c r="Y195" s="289"/>
      <c r="Z195" s="289"/>
      <c r="AA195" s="289"/>
      <c r="AB195" s="289"/>
      <c r="AC195" s="289"/>
      <c r="AD195" s="289"/>
      <c r="AE195" s="289"/>
      <c r="AF195" s="289"/>
      <c r="AG195" s="289"/>
      <c r="AH195" s="289"/>
      <c r="AI195" s="289"/>
      <c r="AJ195" s="289"/>
      <c r="AK195" s="289"/>
      <c r="AL195" s="289"/>
      <c r="AM195" s="289"/>
      <c r="AN195" s="289"/>
      <c r="AO195" s="289"/>
      <c r="AP195" s="289"/>
      <c r="AQ195" s="289"/>
      <c r="AR195" s="289"/>
      <c r="AS195" s="289"/>
      <c r="AT195" s="136"/>
    </row>
    <row r="196">
      <c r="A196" s="80"/>
      <c r="B196" s="81"/>
      <c r="C196" s="81"/>
      <c r="D196" s="81"/>
      <c r="E196" s="188" t="s">
        <v>619</v>
      </c>
      <c r="F196" s="189" t="s">
        <v>122</v>
      </c>
      <c r="G196" s="263" t="s">
        <v>203</v>
      </c>
      <c r="H196" s="156">
        <f>Inputs!H272</f>
        <v>0</v>
      </c>
      <c r="I196" s="192" t="str">
        <f>Inputs!I272</f>
        <v>-</v>
      </c>
      <c r="J196" s="192" t="str">
        <f>Inputs!J272</f>
        <v>-</v>
      </c>
      <c r="K196" s="192" t="str">
        <f>Inputs!K272</f>
        <v>-</v>
      </c>
      <c r="L196" s="192" t="str">
        <f>Inputs!L272</f>
        <v>-</v>
      </c>
      <c r="M196" s="192" t="str">
        <f>Inputs!M272</f>
        <v>-</v>
      </c>
      <c r="N196" s="192" t="str">
        <f>Inputs!N272</f>
        <v>-</v>
      </c>
      <c r="O196" s="192" t="str">
        <f>Inputs!O272</f>
        <v>-</v>
      </c>
      <c r="P196" s="192" t="str">
        <f>Inputs!P272</f>
        <v>-</v>
      </c>
      <c r="Q196" s="192" t="str">
        <f>Inputs!Q272</f>
        <v>-</v>
      </c>
      <c r="R196" s="192" t="str">
        <f>Inputs!R272</f>
        <v>-</v>
      </c>
      <c r="S196" s="192" t="str">
        <f>Inputs!S272</f>
        <v>-</v>
      </c>
      <c r="T196" s="192" t="str">
        <f>Inputs!T272</f>
        <v>-</v>
      </c>
      <c r="U196" s="192" t="str">
        <f>Inputs!U272</f>
        <v>-</v>
      </c>
      <c r="V196" s="192" t="str">
        <f>Inputs!V272</f>
        <v>-</v>
      </c>
      <c r="W196" s="192" t="str">
        <f>Inputs!W272</f>
        <v>-</v>
      </c>
      <c r="X196" s="192" t="str">
        <f>Inputs!X272</f>
        <v>-</v>
      </c>
      <c r="Y196" s="192" t="str">
        <f>Inputs!Y272</f>
        <v>-</v>
      </c>
      <c r="Z196" s="192" t="str">
        <f>Inputs!Z272</f>
        <v>-</v>
      </c>
      <c r="AA196" s="192" t="str">
        <f>Inputs!AA272</f>
        <v>-</v>
      </c>
      <c r="AB196" s="192" t="str">
        <f>Inputs!AB272</f>
        <v>-</v>
      </c>
      <c r="AC196" s="192" t="str">
        <f>Inputs!AC272</f>
        <v>-</v>
      </c>
      <c r="AD196" s="192" t="str">
        <f>Inputs!AD272</f>
        <v>-</v>
      </c>
      <c r="AE196" s="192" t="str">
        <f>Inputs!AE272</f>
        <v>-</v>
      </c>
      <c r="AF196" s="192" t="str">
        <f>Inputs!AF272</f>
        <v>-</v>
      </c>
      <c r="AG196" s="192" t="str">
        <f>Inputs!AG272</f>
        <v>-</v>
      </c>
      <c r="AH196" s="192" t="str">
        <f>Inputs!AH272</f>
        <v>-</v>
      </c>
      <c r="AI196" s="192" t="str">
        <f>Inputs!AI272</f>
        <v>-</v>
      </c>
      <c r="AJ196" s="192" t="str">
        <f>Inputs!AJ272</f>
        <v>-</v>
      </c>
      <c r="AK196" s="192" t="str">
        <f>Inputs!AK272</f>
        <v>-</v>
      </c>
      <c r="AL196" s="192" t="str">
        <f>Inputs!AL272</f>
        <v>-</v>
      </c>
      <c r="AM196" s="192" t="str">
        <f>Inputs!AM272</f>
        <v>-</v>
      </c>
      <c r="AN196" s="192" t="str">
        <f>Inputs!AN272</f>
        <v>-</v>
      </c>
      <c r="AO196" s="192" t="str">
        <f>Inputs!AO272</f>
        <v>-</v>
      </c>
      <c r="AP196" s="192" t="str">
        <f>Inputs!AP272</f>
        <v>-</v>
      </c>
      <c r="AQ196" s="192" t="str">
        <f>Inputs!AQ272</f>
        <v>-</v>
      </c>
      <c r="AR196" s="192" t="str">
        <f>Inputs!AR272</f>
        <v>-</v>
      </c>
      <c r="AS196" s="192" t="str">
        <f>Inputs!AS272</f>
        <v>-</v>
      </c>
      <c r="AT196" s="193"/>
    </row>
    <row r="197">
      <c r="A197" s="80"/>
      <c r="B197" s="81"/>
      <c r="C197" s="81"/>
      <c r="D197" s="81"/>
      <c r="E197" s="188" t="s">
        <v>623</v>
      </c>
      <c r="F197" s="215" t="s">
        <v>122</v>
      </c>
      <c r="G197" s="277" t="s">
        <v>203</v>
      </c>
      <c r="H197" s="176">
        <f>Inputs!H273</f>
        <v>0</v>
      </c>
      <c r="I197" s="218" t="str">
        <f>Inputs!I273</f>
        <v>-</v>
      </c>
      <c r="J197" s="218" t="str">
        <f>Inputs!J273</f>
        <v>-</v>
      </c>
      <c r="K197" s="218" t="str">
        <f>Inputs!K273</f>
        <v>-</v>
      </c>
      <c r="L197" s="218" t="str">
        <f>Inputs!L273</f>
        <v>-</v>
      </c>
      <c r="M197" s="218" t="str">
        <f>Inputs!M273</f>
        <v>-</v>
      </c>
      <c r="N197" s="218" t="str">
        <f>Inputs!N273</f>
        <v>-</v>
      </c>
      <c r="O197" s="218" t="str">
        <f>Inputs!O273</f>
        <v>-</v>
      </c>
      <c r="P197" s="218" t="str">
        <f>Inputs!P273</f>
        <v>-</v>
      </c>
      <c r="Q197" s="218" t="str">
        <f>Inputs!Q273</f>
        <v>-</v>
      </c>
      <c r="R197" s="218" t="str">
        <f>Inputs!R273</f>
        <v>-</v>
      </c>
      <c r="S197" s="218" t="str">
        <f>Inputs!S273</f>
        <v>-</v>
      </c>
      <c r="T197" s="218" t="str">
        <f>Inputs!T273</f>
        <v>-</v>
      </c>
      <c r="U197" s="218" t="str">
        <f>Inputs!U273</f>
        <v>-</v>
      </c>
      <c r="V197" s="218" t="str">
        <f>Inputs!V273</f>
        <v>-</v>
      </c>
      <c r="W197" s="218" t="str">
        <f>Inputs!W273</f>
        <v>-</v>
      </c>
      <c r="X197" s="218" t="str">
        <f>Inputs!X273</f>
        <v>-</v>
      </c>
      <c r="Y197" s="218" t="str">
        <f>Inputs!Y273</f>
        <v>-</v>
      </c>
      <c r="Z197" s="218" t="str">
        <f>Inputs!Z273</f>
        <v>-</v>
      </c>
      <c r="AA197" s="218" t="str">
        <f>Inputs!AA273</f>
        <v>-</v>
      </c>
      <c r="AB197" s="218" t="str">
        <f>Inputs!AB273</f>
        <v>-</v>
      </c>
      <c r="AC197" s="218" t="str">
        <f>Inputs!AC273</f>
        <v>-</v>
      </c>
      <c r="AD197" s="218" t="str">
        <f>Inputs!AD273</f>
        <v>-</v>
      </c>
      <c r="AE197" s="218" t="str">
        <f>Inputs!AE273</f>
        <v>-</v>
      </c>
      <c r="AF197" s="218" t="str">
        <f>Inputs!AF273</f>
        <v>-</v>
      </c>
      <c r="AG197" s="218" t="str">
        <f>Inputs!AG273</f>
        <v>-</v>
      </c>
      <c r="AH197" s="218" t="str">
        <f>Inputs!AH273</f>
        <v>-</v>
      </c>
      <c r="AI197" s="218" t="str">
        <f>Inputs!AI273</f>
        <v>-</v>
      </c>
      <c r="AJ197" s="218" t="str">
        <f>Inputs!AJ273</f>
        <v>-</v>
      </c>
      <c r="AK197" s="218" t="str">
        <f>Inputs!AK273</f>
        <v>-</v>
      </c>
      <c r="AL197" s="218" t="str">
        <f>Inputs!AL273</f>
        <v>-</v>
      </c>
      <c r="AM197" s="218" t="str">
        <f>Inputs!AM273</f>
        <v>-</v>
      </c>
      <c r="AN197" s="218" t="str">
        <f>Inputs!AN273</f>
        <v>-</v>
      </c>
      <c r="AO197" s="218" t="str">
        <f>Inputs!AO273</f>
        <v>-</v>
      </c>
      <c r="AP197" s="218" t="str">
        <f>Inputs!AP273</f>
        <v>-</v>
      </c>
      <c r="AQ197" s="218" t="str">
        <f>Inputs!AQ273</f>
        <v>-</v>
      </c>
      <c r="AR197" s="218" t="str">
        <f>Inputs!AR273</f>
        <v>-</v>
      </c>
      <c r="AS197" s="218" t="str">
        <f>Inputs!AS273</f>
        <v>-</v>
      </c>
      <c r="AT197" s="229"/>
    </row>
    <row r="198">
      <c r="A198" s="80"/>
      <c r="B198" s="81"/>
      <c r="C198" s="81"/>
      <c r="D198" s="81"/>
      <c r="E198" s="188" t="s">
        <v>627</v>
      </c>
      <c r="F198" s="215" t="s">
        <v>122</v>
      </c>
      <c r="G198" s="277" t="s">
        <v>203</v>
      </c>
      <c r="H198" s="176">
        <f>Inputs!H274</f>
        <v>0</v>
      </c>
      <c r="I198" s="218" t="str">
        <f>Inputs!I274</f>
        <v>-</v>
      </c>
      <c r="J198" s="218" t="str">
        <f>Inputs!J274</f>
        <v>-</v>
      </c>
      <c r="K198" s="218" t="str">
        <f>Inputs!K274</f>
        <v>-</v>
      </c>
      <c r="L198" s="218" t="str">
        <f>Inputs!L274</f>
        <v>-</v>
      </c>
      <c r="M198" s="218" t="str">
        <f>Inputs!M274</f>
        <v>-</v>
      </c>
      <c r="N198" s="218" t="str">
        <f>Inputs!N274</f>
        <v>-</v>
      </c>
      <c r="O198" s="218" t="str">
        <f>Inputs!O274</f>
        <v>-</v>
      </c>
      <c r="P198" s="218" t="str">
        <f>Inputs!P274</f>
        <v>-</v>
      </c>
      <c r="Q198" s="218" t="str">
        <f>Inputs!Q274</f>
        <v>-</v>
      </c>
      <c r="R198" s="218" t="str">
        <f>Inputs!R274</f>
        <v>-</v>
      </c>
      <c r="S198" s="218" t="str">
        <f>Inputs!S274</f>
        <v>-</v>
      </c>
      <c r="T198" s="218" t="str">
        <f>Inputs!T274</f>
        <v>-</v>
      </c>
      <c r="U198" s="218" t="str">
        <f>Inputs!U274</f>
        <v>-</v>
      </c>
      <c r="V198" s="218" t="str">
        <f>Inputs!V274</f>
        <v>-</v>
      </c>
      <c r="W198" s="218" t="str">
        <f>Inputs!W274</f>
        <v>-</v>
      </c>
      <c r="X198" s="218" t="str">
        <f>Inputs!X274</f>
        <v>-</v>
      </c>
      <c r="Y198" s="218" t="str">
        <f>Inputs!Y274</f>
        <v>-</v>
      </c>
      <c r="Z198" s="218" t="str">
        <f>Inputs!Z274</f>
        <v>-</v>
      </c>
      <c r="AA198" s="218" t="str">
        <f>Inputs!AA274</f>
        <v>-</v>
      </c>
      <c r="AB198" s="218" t="str">
        <f>Inputs!AB274</f>
        <v>-</v>
      </c>
      <c r="AC198" s="218" t="str">
        <f>Inputs!AC274</f>
        <v>-</v>
      </c>
      <c r="AD198" s="218" t="str">
        <f>Inputs!AD274</f>
        <v>-</v>
      </c>
      <c r="AE198" s="218" t="str">
        <f>Inputs!AE274</f>
        <v>-</v>
      </c>
      <c r="AF198" s="218" t="str">
        <f>Inputs!AF274</f>
        <v>-</v>
      </c>
      <c r="AG198" s="218" t="str">
        <f>Inputs!AG274</f>
        <v>-</v>
      </c>
      <c r="AH198" s="218" t="str">
        <f>Inputs!AH274</f>
        <v>-</v>
      </c>
      <c r="AI198" s="218" t="str">
        <f>Inputs!AI274</f>
        <v>-</v>
      </c>
      <c r="AJ198" s="218" t="str">
        <f>Inputs!AJ274</f>
        <v>-</v>
      </c>
      <c r="AK198" s="218" t="str">
        <f>Inputs!AK274</f>
        <v>-</v>
      </c>
      <c r="AL198" s="218" t="str">
        <f>Inputs!AL274</f>
        <v>-</v>
      </c>
      <c r="AM198" s="218" t="str">
        <f>Inputs!AM274</f>
        <v>-</v>
      </c>
      <c r="AN198" s="218" t="str">
        <f>Inputs!AN274</f>
        <v>-</v>
      </c>
      <c r="AO198" s="218" t="str">
        <f>Inputs!AO274</f>
        <v>-</v>
      </c>
      <c r="AP198" s="218" t="str">
        <f>Inputs!AP274</f>
        <v>-</v>
      </c>
      <c r="AQ198" s="218" t="str">
        <f>Inputs!AQ274</f>
        <v>-</v>
      </c>
      <c r="AR198" s="218" t="str">
        <f>Inputs!AR274</f>
        <v>-</v>
      </c>
      <c r="AS198" s="218" t="str">
        <f>Inputs!AS274</f>
        <v>-</v>
      </c>
      <c r="AT198" s="229"/>
    </row>
    <row r="199">
      <c r="A199" s="80"/>
      <c r="B199" s="81"/>
      <c r="C199" s="81"/>
      <c r="D199" s="442" t="s">
        <v>630</v>
      </c>
      <c r="E199" s="70"/>
      <c r="F199" s="172"/>
      <c r="G199" s="444"/>
      <c r="H199" s="176"/>
      <c r="I199" s="149"/>
      <c r="J199" s="149"/>
      <c r="K199" s="149"/>
      <c r="L199" s="149"/>
      <c r="M199" s="149"/>
      <c r="N199" s="149"/>
      <c r="O199" s="149"/>
      <c r="P199" s="149"/>
      <c r="Q199" s="149"/>
      <c r="R199" s="149"/>
      <c r="S199" s="149"/>
      <c r="T199" s="149"/>
      <c r="U199" s="149"/>
      <c r="V199" s="149"/>
      <c r="W199" s="149"/>
      <c r="X199" s="149"/>
      <c r="Y199" s="149"/>
      <c r="Z199" s="149"/>
      <c r="AA199" s="149"/>
      <c r="AB199" s="149"/>
      <c r="AC199" s="149"/>
      <c r="AD199" s="149"/>
      <c r="AE199" s="149"/>
      <c r="AF199" s="149"/>
      <c r="AG199" s="149"/>
      <c r="AH199" s="149"/>
      <c r="AI199" s="149"/>
      <c r="AJ199" s="149"/>
      <c r="AK199" s="149"/>
      <c r="AL199" s="149"/>
      <c r="AM199" s="149"/>
      <c r="AN199" s="149"/>
      <c r="AO199" s="149"/>
      <c r="AP199" s="149"/>
      <c r="AQ199" s="149"/>
      <c r="AR199" s="149"/>
      <c r="AS199" s="149"/>
      <c r="AT199" s="163"/>
    </row>
    <row r="200">
      <c r="A200" s="80"/>
      <c r="B200" s="81"/>
      <c r="C200" s="81"/>
      <c r="D200" s="81"/>
      <c r="E200" s="188" t="s">
        <v>632</v>
      </c>
      <c r="F200" s="215" t="s">
        <v>122</v>
      </c>
      <c r="G200" s="277" t="s">
        <v>203</v>
      </c>
      <c r="H200" s="176">
        <f>Inputs!H276</f>
        <v>0</v>
      </c>
      <c r="I200" s="218" t="str">
        <f>Inputs!I276</f>
        <v>-</v>
      </c>
      <c r="J200" s="218" t="str">
        <f>Inputs!J276</f>
        <v>-</v>
      </c>
      <c r="K200" s="218" t="str">
        <f>Inputs!K276</f>
        <v>-</v>
      </c>
      <c r="L200" s="218" t="str">
        <f>Inputs!L276</f>
        <v>-</v>
      </c>
      <c r="M200" s="218" t="str">
        <f>Inputs!M276</f>
        <v>-</v>
      </c>
      <c r="N200" s="218" t="str">
        <f>Inputs!N276</f>
        <v>-</v>
      </c>
      <c r="O200" s="218" t="str">
        <f>Inputs!O276</f>
        <v>-</v>
      </c>
      <c r="P200" s="218" t="str">
        <f>Inputs!P276</f>
        <v>-</v>
      </c>
      <c r="Q200" s="218" t="str">
        <f>Inputs!Q276</f>
        <v>-</v>
      </c>
      <c r="R200" s="218" t="str">
        <f>Inputs!R276</f>
        <v>-</v>
      </c>
      <c r="S200" s="218" t="str">
        <f>Inputs!S276</f>
        <v>-</v>
      </c>
      <c r="T200" s="218" t="str">
        <f>Inputs!T276</f>
        <v>-</v>
      </c>
      <c r="U200" s="218" t="str">
        <f>Inputs!U276</f>
        <v>-</v>
      </c>
      <c r="V200" s="218" t="str">
        <f>Inputs!V276</f>
        <v>-</v>
      </c>
      <c r="W200" s="218" t="str">
        <f>Inputs!W276</f>
        <v>-</v>
      </c>
      <c r="X200" s="218" t="str">
        <f>Inputs!X276</f>
        <v>-</v>
      </c>
      <c r="Y200" s="218" t="str">
        <f>Inputs!Y276</f>
        <v>-</v>
      </c>
      <c r="Z200" s="218" t="str">
        <f>Inputs!Z276</f>
        <v>-</v>
      </c>
      <c r="AA200" s="218" t="str">
        <f>Inputs!AA276</f>
        <v>-</v>
      </c>
      <c r="AB200" s="218" t="str">
        <f>Inputs!AB276</f>
        <v>-</v>
      </c>
      <c r="AC200" s="218" t="str">
        <f>Inputs!AC276</f>
        <v>-</v>
      </c>
      <c r="AD200" s="218" t="str">
        <f>Inputs!AD276</f>
        <v>-</v>
      </c>
      <c r="AE200" s="218" t="str">
        <f>Inputs!AE276</f>
        <v>-</v>
      </c>
      <c r="AF200" s="218" t="str">
        <f>Inputs!AF276</f>
        <v>-</v>
      </c>
      <c r="AG200" s="218" t="str">
        <f>Inputs!AG276</f>
        <v>-</v>
      </c>
      <c r="AH200" s="218" t="str">
        <f>Inputs!AH276</f>
        <v>-</v>
      </c>
      <c r="AI200" s="218" t="str">
        <f>Inputs!AI276</f>
        <v>-</v>
      </c>
      <c r="AJ200" s="218" t="str">
        <f>Inputs!AJ276</f>
        <v>-</v>
      </c>
      <c r="AK200" s="218" t="str">
        <f>Inputs!AK276</f>
        <v>-</v>
      </c>
      <c r="AL200" s="218" t="str">
        <f>Inputs!AL276</f>
        <v>-</v>
      </c>
      <c r="AM200" s="218" t="str">
        <f>Inputs!AM276</f>
        <v>-</v>
      </c>
      <c r="AN200" s="218" t="str">
        <f>Inputs!AN276</f>
        <v>-</v>
      </c>
      <c r="AO200" s="218" t="str">
        <f>Inputs!AO276</f>
        <v>-</v>
      </c>
      <c r="AP200" s="218" t="str">
        <f>Inputs!AP276</f>
        <v>-</v>
      </c>
      <c r="AQ200" s="218" t="str">
        <f>Inputs!AQ276</f>
        <v>-</v>
      </c>
      <c r="AR200" s="218" t="str">
        <f>Inputs!AR276</f>
        <v>-</v>
      </c>
      <c r="AS200" s="218" t="str">
        <f>Inputs!AS276</f>
        <v>-</v>
      </c>
      <c r="AT200" s="229"/>
    </row>
    <row r="201">
      <c r="A201" s="80"/>
      <c r="B201" s="81"/>
      <c r="C201" s="81"/>
      <c r="D201" s="81"/>
      <c r="E201" s="188" t="s">
        <v>636</v>
      </c>
      <c r="F201" s="215" t="s">
        <v>122</v>
      </c>
      <c r="G201" s="277" t="s">
        <v>203</v>
      </c>
      <c r="H201" s="176">
        <f>Inputs!H277</f>
        <v>-0.02</v>
      </c>
      <c r="I201" s="218" t="str">
        <f>Inputs!I277</f>
        <v>-</v>
      </c>
      <c r="J201" s="218" t="str">
        <f>Inputs!J277</f>
        <v>-</v>
      </c>
      <c r="K201" s="218" t="str">
        <f>Inputs!K277</f>
        <v>-</v>
      </c>
      <c r="L201" s="218" t="str">
        <f>Inputs!L277</f>
        <v>-</v>
      </c>
      <c r="M201" s="218" t="str">
        <f>Inputs!M277</f>
        <v>-</v>
      </c>
      <c r="N201" s="218" t="str">
        <f>Inputs!N277</f>
        <v>-</v>
      </c>
      <c r="O201" s="218" t="str">
        <f>Inputs!O277</f>
        <v>-</v>
      </c>
      <c r="P201" s="218" t="str">
        <f>Inputs!P277</f>
        <v>-</v>
      </c>
      <c r="Q201" s="218" t="str">
        <f>Inputs!Q277</f>
        <v>-</v>
      </c>
      <c r="R201" s="218" t="str">
        <f>Inputs!R277</f>
        <v>-</v>
      </c>
      <c r="S201" s="218" t="str">
        <f>Inputs!S277</f>
        <v>-</v>
      </c>
      <c r="T201" s="218" t="str">
        <f>Inputs!T277</f>
        <v>-</v>
      </c>
      <c r="U201" s="218" t="str">
        <f>Inputs!U277</f>
        <v>-</v>
      </c>
      <c r="V201" s="218" t="str">
        <f>Inputs!V277</f>
        <v>-</v>
      </c>
      <c r="W201" s="218" t="str">
        <f>Inputs!W277</f>
        <v>-</v>
      </c>
      <c r="X201" s="218" t="str">
        <f>Inputs!X277</f>
        <v>-</v>
      </c>
      <c r="Y201" s="218" t="str">
        <f>Inputs!Y277</f>
        <v>-</v>
      </c>
      <c r="Z201" s="218" t="str">
        <f>Inputs!Z277</f>
        <v>-</v>
      </c>
      <c r="AA201" s="218" t="str">
        <f>Inputs!AA277</f>
        <v>-</v>
      </c>
      <c r="AB201" s="218" t="str">
        <f>Inputs!AB277</f>
        <v>-</v>
      </c>
      <c r="AC201" s="218" t="str">
        <f>Inputs!AC277</f>
        <v>-</v>
      </c>
      <c r="AD201" s="218" t="str">
        <f>Inputs!AD277</f>
        <v>-</v>
      </c>
      <c r="AE201" s="218" t="str">
        <f>Inputs!AE277</f>
        <v>-</v>
      </c>
      <c r="AF201" s="218" t="str">
        <f>Inputs!AF277</f>
        <v>-</v>
      </c>
      <c r="AG201" s="218" t="str">
        <f>Inputs!AG277</f>
        <v>-</v>
      </c>
      <c r="AH201" s="218" t="str">
        <f>Inputs!AH277</f>
        <v>-</v>
      </c>
      <c r="AI201" s="218" t="str">
        <f>Inputs!AI277</f>
        <v>-</v>
      </c>
      <c r="AJ201" s="218" t="str">
        <f>Inputs!AJ277</f>
        <v>-</v>
      </c>
      <c r="AK201" s="218" t="str">
        <f>Inputs!AK277</f>
        <v>-</v>
      </c>
      <c r="AL201" s="218" t="str">
        <f>Inputs!AL277</f>
        <v>-</v>
      </c>
      <c r="AM201" s="218" t="str">
        <f>Inputs!AM277</f>
        <v>-</v>
      </c>
      <c r="AN201" s="218" t="str">
        <f>Inputs!AN277</f>
        <v>-</v>
      </c>
      <c r="AO201" s="218" t="str">
        <f>Inputs!AO277</f>
        <v>-</v>
      </c>
      <c r="AP201" s="218" t="str">
        <f>Inputs!AP277</f>
        <v>-</v>
      </c>
      <c r="AQ201" s="218" t="str">
        <f>Inputs!AQ277</f>
        <v>-</v>
      </c>
      <c r="AR201" s="218" t="str">
        <f>Inputs!AR277</f>
        <v>-</v>
      </c>
      <c r="AS201" s="218" t="str">
        <f>Inputs!AS277</f>
        <v>-</v>
      </c>
      <c r="AT201" s="229"/>
    </row>
    <row r="202">
      <c r="A202" s="80"/>
      <c r="B202" s="81"/>
      <c r="C202" s="81"/>
      <c r="D202" s="442" t="s">
        <v>641</v>
      </c>
      <c r="E202" s="70"/>
      <c r="F202" s="172"/>
      <c r="G202" s="444"/>
      <c r="H202" s="176"/>
      <c r="I202" s="149"/>
      <c r="J202" s="149"/>
      <c r="K202" s="149"/>
      <c r="L202" s="149"/>
      <c r="M202" s="149"/>
      <c r="N202" s="149"/>
      <c r="O202" s="149"/>
      <c r="P202" s="149"/>
      <c r="Q202" s="149"/>
      <c r="R202" s="149"/>
      <c r="S202" s="149"/>
      <c r="T202" s="149"/>
      <c r="U202" s="149"/>
      <c r="V202" s="149"/>
      <c r="W202" s="149"/>
      <c r="X202" s="149"/>
      <c r="Y202" s="149"/>
      <c r="Z202" s="149"/>
      <c r="AA202" s="149"/>
      <c r="AB202" s="149"/>
      <c r="AC202" s="149"/>
      <c r="AD202" s="149"/>
      <c r="AE202" s="149"/>
      <c r="AF202" s="149"/>
      <c r="AG202" s="149"/>
      <c r="AH202" s="149"/>
      <c r="AI202" s="149"/>
      <c r="AJ202" s="149"/>
      <c r="AK202" s="149"/>
      <c r="AL202" s="149"/>
      <c r="AM202" s="149"/>
      <c r="AN202" s="149"/>
      <c r="AO202" s="149"/>
      <c r="AP202" s="149"/>
      <c r="AQ202" s="149"/>
      <c r="AR202" s="149"/>
      <c r="AS202" s="149"/>
      <c r="AT202" s="163"/>
    </row>
    <row r="203">
      <c r="A203" s="80"/>
      <c r="B203" s="81"/>
      <c r="C203" s="81"/>
      <c r="D203" s="81"/>
      <c r="E203" s="188" t="s">
        <v>642</v>
      </c>
      <c r="F203" s="215" t="s">
        <v>122</v>
      </c>
      <c r="G203" s="277" t="s">
        <v>203</v>
      </c>
      <c r="H203" s="176">
        <f>Inputs!H279</f>
        <v>0</v>
      </c>
      <c r="I203" s="218" t="str">
        <f>Inputs!I279</f>
        <v>-</v>
      </c>
      <c r="J203" s="218" t="str">
        <f>Inputs!J279</f>
        <v>-</v>
      </c>
      <c r="K203" s="218" t="str">
        <f>Inputs!K279</f>
        <v>-</v>
      </c>
      <c r="L203" s="218" t="str">
        <f>Inputs!L279</f>
        <v>-</v>
      </c>
      <c r="M203" s="218" t="str">
        <f>Inputs!M279</f>
        <v>-</v>
      </c>
      <c r="N203" s="218" t="str">
        <f>Inputs!N279</f>
        <v>-</v>
      </c>
      <c r="O203" s="218" t="str">
        <f>Inputs!O279</f>
        <v>-</v>
      </c>
      <c r="P203" s="218" t="str">
        <f>Inputs!P279</f>
        <v>-</v>
      </c>
      <c r="Q203" s="218" t="str">
        <f>Inputs!Q279</f>
        <v>-</v>
      </c>
      <c r="R203" s="218" t="str">
        <f>Inputs!R279</f>
        <v>-</v>
      </c>
      <c r="S203" s="218" t="str">
        <f>Inputs!S279</f>
        <v>-</v>
      </c>
      <c r="T203" s="218" t="str">
        <f>Inputs!T279</f>
        <v>-</v>
      </c>
      <c r="U203" s="218" t="str">
        <f>Inputs!U279</f>
        <v>-</v>
      </c>
      <c r="V203" s="218" t="str">
        <f>Inputs!V279</f>
        <v>-</v>
      </c>
      <c r="W203" s="218" t="str">
        <f>Inputs!W279</f>
        <v>-</v>
      </c>
      <c r="X203" s="218" t="str">
        <f>Inputs!X279</f>
        <v>-</v>
      </c>
      <c r="Y203" s="218" t="str">
        <f>Inputs!Y279</f>
        <v>-</v>
      </c>
      <c r="Z203" s="218" t="str">
        <f>Inputs!Z279</f>
        <v>-</v>
      </c>
      <c r="AA203" s="218" t="str">
        <f>Inputs!AA279</f>
        <v>-</v>
      </c>
      <c r="AB203" s="218" t="str">
        <f>Inputs!AB279</f>
        <v>-</v>
      </c>
      <c r="AC203" s="218" t="str">
        <f>Inputs!AC279</f>
        <v>-</v>
      </c>
      <c r="AD203" s="218" t="str">
        <f>Inputs!AD279</f>
        <v>-</v>
      </c>
      <c r="AE203" s="218" t="str">
        <f>Inputs!AE279</f>
        <v>-</v>
      </c>
      <c r="AF203" s="218" t="str">
        <f>Inputs!AF279</f>
        <v>-</v>
      </c>
      <c r="AG203" s="218" t="str">
        <f>Inputs!AG279</f>
        <v>-</v>
      </c>
      <c r="AH203" s="218" t="str">
        <f>Inputs!AH279</f>
        <v>-</v>
      </c>
      <c r="AI203" s="218" t="str">
        <f>Inputs!AI279</f>
        <v>-</v>
      </c>
      <c r="AJ203" s="218" t="str">
        <f>Inputs!AJ279</f>
        <v>-</v>
      </c>
      <c r="AK203" s="218" t="str">
        <f>Inputs!AK279</f>
        <v>-</v>
      </c>
      <c r="AL203" s="218" t="str">
        <f>Inputs!AL279</f>
        <v>-</v>
      </c>
      <c r="AM203" s="218" t="str">
        <f>Inputs!AM279</f>
        <v>-</v>
      </c>
      <c r="AN203" s="218" t="str">
        <f>Inputs!AN279</f>
        <v>-</v>
      </c>
      <c r="AO203" s="218" t="str">
        <f>Inputs!AO279</f>
        <v>-</v>
      </c>
      <c r="AP203" s="218" t="str">
        <f>Inputs!AP279</f>
        <v>-</v>
      </c>
      <c r="AQ203" s="218" t="str">
        <f>Inputs!AQ279</f>
        <v>-</v>
      </c>
      <c r="AR203" s="218" t="str">
        <f>Inputs!AR279</f>
        <v>-</v>
      </c>
      <c r="AS203" s="218" t="str">
        <f>Inputs!AS279</f>
        <v>-</v>
      </c>
      <c r="AT203" s="229"/>
    </row>
    <row r="204">
      <c r="A204" s="80"/>
      <c r="B204" s="81"/>
      <c r="C204" s="81"/>
      <c r="D204" s="81"/>
      <c r="E204" s="188" t="s">
        <v>645</v>
      </c>
      <c r="F204" s="215" t="s">
        <v>122</v>
      </c>
      <c r="G204" s="277" t="s">
        <v>203</v>
      </c>
      <c r="H204" s="176">
        <f>Inputs!H280</f>
        <v>-0.05</v>
      </c>
      <c r="I204" s="218" t="str">
        <f>Inputs!I280</f>
        <v>-</v>
      </c>
      <c r="J204" s="218" t="str">
        <f>Inputs!J280</f>
        <v>-</v>
      </c>
      <c r="K204" s="218" t="str">
        <f>Inputs!K280</f>
        <v>-</v>
      </c>
      <c r="L204" s="218" t="str">
        <f>Inputs!L280</f>
        <v>-</v>
      </c>
      <c r="M204" s="218" t="str">
        <f>Inputs!M280</f>
        <v>-</v>
      </c>
      <c r="N204" s="218" t="str">
        <f>Inputs!N280</f>
        <v>-</v>
      </c>
      <c r="O204" s="218" t="str">
        <f>Inputs!O280</f>
        <v>-</v>
      </c>
      <c r="P204" s="218" t="str">
        <f>Inputs!P280</f>
        <v>-</v>
      </c>
      <c r="Q204" s="218" t="str">
        <f>Inputs!Q280</f>
        <v>-</v>
      </c>
      <c r="R204" s="218" t="str">
        <f>Inputs!R280</f>
        <v>-</v>
      </c>
      <c r="S204" s="218" t="str">
        <f>Inputs!S280</f>
        <v>-</v>
      </c>
      <c r="T204" s="218" t="str">
        <f>Inputs!T280</f>
        <v>-</v>
      </c>
      <c r="U204" s="218" t="str">
        <f>Inputs!U280</f>
        <v>-</v>
      </c>
      <c r="V204" s="218" t="str">
        <f>Inputs!V280</f>
        <v>-</v>
      </c>
      <c r="W204" s="218" t="str">
        <f>Inputs!W280</f>
        <v>-</v>
      </c>
      <c r="X204" s="218" t="str">
        <f>Inputs!X280</f>
        <v>-</v>
      </c>
      <c r="Y204" s="218" t="str">
        <f>Inputs!Y280</f>
        <v>-</v>
      </c>
      <c r="Z204" s="218" t="str">
        <f>Inputs!Z280</f>
        <v>-</v>
      </c>
      <c r="AA204" s="218" t="str">
        <f>Inputs!AA280</f>
        <v>-</v>
      </c>
      <c r="AB204" s="218" t="str">
        <f>Inputs!AB280</f>
        <v>-</v>
      </c>
      <c r="AC204" s="218" t="str">
        <f>Inputs!AC280</f>
        <v>-</v>
      </c>
      <c r="AD204" s="218" t="str">
        <f>Inputs!AD280</f>
        <v>-</v>
      </c>
      <c r="AE204" s="218" t="str">
        <f>Inputs!AE280</f>
        <v>-</v>
      </c>
      <c r="AF204" s="218" t="str">
        <f>Inputs!AF280</f>
        <v>-</v>
      </c>
      <c r="AG204" s="218" t="str">
        <f>Inputs!AG280</f>
        <v>-</v>
      </c>
      <c r="AH204" s="218" t="str">
        <f>Inputs!AH280</f>
        <v>-</v>
      </c>
      <c r="AI204" s="218" t="str">
        <f>Inputs!AI280</f>
        <v>-</v>
      </c>
      <c r="AJ204" s="218" t="str">
        <f>Inputs!AJ280</f>
        <v>-</v>
      </c>
      <c r="AK204" s="218" t="str">
        <f>Inputs!AK280</f>
        <v>-</v>
      </c>
      <c r="AL204" s="218" t="str">
        <f>Inputs!AL280</f>
        <v>-</v>
      </c>
      <c r="AM204" s="218" t="str">
        <f>Inputs!AM280</f>
        <v>-</v>
      </c>
      <c r="AN204" s="218" t="str">
        <f>Inputs!AN280</f>
        <v>-</v>
      </c>
      <c r="AO204" s="218" t="str">
        <f>Inputs!AO280</f>
        <v>-</v>
      </c>
      <c r="AP204" s="218" t="str">
        <f>Inputs!AP280</f>
        <v>-</v>
      </c>
      <c r="AQ204" s="218" t="str">
        <f>Inputs!AQ280</f>
        <v>-</v>
      </c>
      <c r="AR204" s="218" t="str">
        <f>Inputs!AR280</f>
        <v>-</v>
      </c>
      <c r="AS204" s="218" t="str">
        <f>Inputs!AS280</f>
        <v>-</v>
      </c>
      <c r="AT204" s="229"/>
    </row>
    <row r="205">
      <c r="A205" s="80"/>
      <c r="B205" s="81"/>
      <c r="C205" s="81"/>
      <c r="D205" s="81"/>
      <c r="E205" s="188" t="s">
        <v>649</v>
      </c>
      <c r="F205" s="215" t="s">
        <v>122</v>
      </c>
      <c r="G205" s="277" t="s">
        <v>203</v>
      </c>
      <c r="H205" s="176">
        <f>Inputs!H281</f>
        <v>0</v>
      </c>
      <c r="I205" s="218" t="str">
        <f>Inputs!I281</f>
        <v>-</v>
      </c>
      <c r="J205" s="218" t="str">
        <f>Inputs!J281</f>
        <v>-</v>
      </c>
      <c r="K205" s="218" t="str">
        <f>Inputs!K281</f>
        <v>-</v>
      </c>
      <c r="L205" s="218" t="str">
        <f>Inputs!L281</f>
        <v>-</v>
      </c>
      <c r="M205" s="218" t="str">
        <f>Inputs!M281</f>
        <v>-</v>
      </c>
      <c r="N205" s="218" t="str">
        <f>Inputs!N281</f>
        <v>-</v>
      </c>
      <c r="O205" s="218" t="str">
        <f>Inputs!O281</f>
        <v>-</v>
      </c>
      <c r="P205" s="218" t="str">
        <f>Inputs!P281</f>
        <v>-</v>
      </c>
      <c r="Q205" s="218" t="str">
        <f>Inputs!Q281</f>
        <v>-</v>
      </c>
      <c r="R205" s="218" t="str">
        <f>Inputs!R281</f>
        <v>-</v>
      </c>
      <c r="S205" s="218" t="str">
        <f>Inputs!S281</f>
        <v>-</v>
      </c>
      <c r="T205" s="218" t="str">
        <f>Inputs!T281</f>
        <v>-</v>
      </c>
      <c r="U205" s="218" t="str">
        <f>Inputs!U281</f>
        <v>-</v>
      </c>
      <c r="V205" s="218" t="str">
        <f>Inputs!V281</f>
        <v>-</v>
      </c>
      <c r="W205" s="218" t="str">
        <f>Inputs!W281</f>
        <v>-</v>
      </c>
      <c r="X205" s="218" t="str">
        <f>Inputs!X281</f>
        <v>-</v>
      </c>
      <c r="Y205" s="218" t="str">
        <f>Inputs!Y281</f>
        <v>-</v>
      </c>
      <c r="Z205" s="218" t="str">
        <f>Inputs!Z281</f>
        <v>-</v>
      </c>
      <c r="AA205" s="218" t="str">
        <f>Inputs!AA281</f>
        <v>-</v>
      </c>
      <c r="AB205" s="218" t="str">
        <f>Inputs!AB281</f>
        <v>-</v>
      </c>
      <c r="AC205" s="218" t="str">
        <f>Inputs!AC281</f>
        <v>-</v>
      </c>
      <c r="AD205" s="218" t="str">
        <f>Inputs!AD281</f>
        <v>-</v>
      </c>
      <c r="AE205" s="218" t="str">
        <f>Inputs!AE281</f>
        <v>-</v>
      </c>
      <c r="AF205" s="218" t="str">
        <f>Inputs!AF281</f>
        <v>-</v>
      </c>
      <c r="AG205" s="218" t="str">
        <f>Inputs!AG281</f>
        <v>-</v>
      </c>
      <c r="AH205" s="218" t="str">
        <f>Inputs!AH281</f>
        <v>-</v>
      </c>
      <c r="AI205" s="218" t="str">
        <f>Inputs!AI281</f>
        <v>-</v>
      </c>
      <c r="AJ205" s="218" t="str">
        <f>Inputs!AJ281</f>
        <v>-</v>
      </c>
      <c r="AK205" s="218" t="str">
        <f>Inputs!AK281</f>
        <v>-</v>
      </c>
      <c r="AL205" s="218" t="str">
        <f>Inputs!AL281</f>
        <v>-</v>
      </c>
      <c r="AM205" s="218" t="str">
        <f>Inputs!AM281</f>
        <v>-</v>
      </c>
      <c r="AN205" s="218" t="str">
        <f>Inputs!AN281</f>
        <v>-</v>
      </c>
      <c r="AO205" s="218" t="str">
        <f>Inputs!AO281</f>
        <v>-</v>
      </c>
      <c r="AP205" s="218" t="str">
        <f>Inputs!AP281</f>
        <v>-</v>
      </c>
      <c r="AQ205" s="218" t="str">
        <f>Inputs!AQ281</f>
        <v>-</v>
      </c>
      <c r="AR205" s="218" t="str">
        <f>Inputs!AR281</f>
        <v>-</v>
      </c>
      <c r="AS205" s="218" t="str">
        <f>Inputs!AS281</f>
        <v>-</v>
      </c>
      <c r="AT205" s="229"/>
    </row>
    <row r="206">
      <c r="A206" s="80"/>
      <c r="B206" s="81"/>
      <c r="C206" s="81"/>
      <c r="D206" s="445"/>
      <c r="E206" s="121"/>
      <c r="F206" s="108"/>
      <c r="G206" s="127"/>
      <c r="H206" s="301"/>
      <c r="I206" s="245"/>
      <c r="J206" s="245"/>
      <c r="K206" s="245"/>
      <c r="L206" s="245"/>
      <c r="M206" s="245"/>
      <c r="N206" s="245"/>
      <c r="O206" s="245"/>
      <c r="P206" s="245"/>
      <c r="Q206" s="245"/>
      <c r="R206" s="245"/>
      <c r="S206" s="245"/>
      <c r="T206" s="245"/>
      <c r="U206" s="245"/>
      <c r="V206" s="245"/>
      <c r="W206" s="245"/>
      <c r="X206" s="245"/>
      <c r="Y206" s="245"/>
      <c r="Z206" s="245"/>
      <c r="AA206" s="245"/>
      <c r="AB206" s="245"/>
      <c r="AC206" s="245"/>
      <c r="AD206" s="245"/>
      <c r="AE206" s="245"/>
      <c r="AF206" s="245"/>
      <c r="AG206" s="245"/>
      <c r="AH206" s="245"/>
      <c r="AI206" s="245"/>
      <c r="AJ206" s="245"/>
      <c r="AK206" s="245"/>
      <c r="AL206" s="245"/>
      <c r="AM206" s="245"/>
      <c r="AN206" s="245"/>
      <c r="AO206" s="245"/>
      <c r="AP206" s="245"/>
      <c r="AQ206" s="245"/>
      <c r="AR206" s="245"/>
      <c r="AS206" s="245"/>
      <c r="AT206" s="185"/>
    </row>
    <row r="207">
      <c r="A207" s="80"/>
      <c r="B207" s="81"/>
      <c r="C207" s="81"/>
      <c r="D207" s="446" t="s">
        <v>654</v>
      </c>
      <c r="E207" s="12"/>
      <c r="F207" s="93" t="s">
        <v>122</v>
      </c>
      <c r="G207" s="128" t="s">
        <v>149</v>
      </c>
      <c r="H207" s="330">
        <f>SUM(H196:H205)</f>
        <v>-0.07</v>
      </c>
      <c r="I207" s="331" t="s">
        <v>150</v>
      </c>
      <c r="J207" s="331" t="s">
        <v>150</v>
      </c>
      <c r="K207" s="331" t="s">
        <v>150</v>
      </c>
      <c r="L207" s="331" t="s">
        <v>150</v>
      </c>
      <c r="M207" s="331" t="s">
        <v>150</v>
      </c>
      <c r="N207" s="331" t="s">
        <v>150</v>
      </c>
      <c r="O207" s="331" t="s">
        <v>150</v>
      </c>
      <c r="P207" s="331" t="s">
        <v>150</v>
      </c>
      <c r="Q207" s="331" t="s">
        <v>150</v>
      </c>
      <c r="R207" s="331" t="s">
        <v>150</v>
      </c>
      <c r="S207" s="331" t="s">
        <v>150</v>
      </c>
      <c r="T207" s="331" t="s">
        <v>150</v>
      </c>
      <c r="U207" s="331" t="s">
        <v>150</v>
      </c>
      <c r="V207" s="331" t="s">
        <v>150</v>
      </c>
      <c r="W207" s="331" t="s">
        <v>150</v>
      </c>
      <c r="X207" s="331" t="s">
        <v>150</v>
      </c>
      <c r="Y207" s="331" t="s">
        <v>150</v>
      </c>
      <c r="Z207" s="331" t="s">
        <v>150</v>
      </c>
      <c r="AA207" s="331" t="s">
        <v>150</v>
      </c>
      <c r="AB207" s="331" t="s">
        <v>150</v>
      </c>
      <c r="AC207" s="331" t="s">
        <v>150</v>
      </c>
      <c r="AD207" s="331" t="s">
        <v>150</v>
      </c>
      <c r="AE207" s="331" t="s">
        <v>150</v>
      </c>
      <c r="AF207" s="331" t="s">
        <v>150</v>
      </c>
      <c r="AG207" s="331" t="s">
        <v>150</v>
      </c>
      <c r="AH207" s="331" t="s">
        <v>150</v>
      </c>
      <c r="AI207" s="331" t="s">
        <v>150</v>
      </c>
      <c r="AJ207" s="331" t="s">
        <v>150</v>
      </c>
      <c r="AK207" s="331" t="s">
        <v>150</v>
      </c>
      <c r="AL207" s="331" t="s">
        <v>150</v>
      </c>
      <c r="AM207" s="331" t="s">
        <v>150</v>
      </c>
      <c r="AN207" s="331" t="s">
        <v>150</v>
      </c>
      <c r="AO207" s="331" t="s">
        <v>150</v>
      </c>
      <c r="AP207" s="331" t="s">
        <v>150</v>
      </c>
      <c r="AQ207" s="331" t="s">
        <v>150</v>
      </c>
      <c r="AR207" s="331" t="s">
        <v>150</v>
      </c>
      <c r="AS207" s="331" t="s">
        <v>150</v>
      </c>
      <c r="AT207" s="120"/>
    </row>
    <row r="208">
      <c r="A208" s="80"/>
      <c r="B208" s="81"/>
      <c r="C208" s="81"/>
      <c r="D208" s="81"/>
      <c r="E208" s="82"/>
      <c r="F208" s="83"/>
      <c r="G208" s="84"/>
      <c r="H208" s="85"/>
      <c r="I208" s="86"/>
      <c r="J208" s="86"/>
      <c r="K208" s="86"/>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c r="AQ208" s="86"/>
      <c r="AR208" s="86"/>
      <c r="AS208" s="86"/>
      <c r="AT208" s="88"/>
    </row>
    <row r="209">
      <c r="A209" s="80"/>
      <c r="B209" s="81"/>
      <c r="C209" s="126" t="s">
        <v>657</v>
      </c>
      <c r="F209" s="83"/>
      <c r="G209" s="84"/>
      <c r="H209" s="85"/>
      <c r="I209" s="86"/>
      <c r="J209" s="86"/>
      <c r="K209" s="86"/>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c r="AQ209" s="86"/>
      <c r="AR209" s="86"/>
      <c r="AS209" s="86"/>
      <c r="AT209" s="88"/>
    </row>
    <row r="210">
      <c r="A210" s="80"/>
      <c r="B210" s="81"/>
      <c r="C210" s="81"/>
      <c r="D210" s="442" t="s">
        <v>659</v>
      </c>
      <c r="E210" s="70"/>
      <c r="F210" s="189"/>
      <c r="G210" s="263"/>
      <c r="H210" s="191"/>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c r="AG210" s="192"/>
      <c r="AH210" s="192"/>
      <c r="AI210" s="192"/>
      <c r="AJ210" s="192"/>
      <c r="AK210" s="192"/>
      <c r="AL210" s="192"/>
      <c r="AM210" s="192"/>
      <c r="AN210" s="192"/>
      <c r="AO210" s="192"/>
      <c r="AP210" s="192"/>
      <c r="AQ210" s="192"/>
      <c r="AR210" s="192"/>
      <c r="AS210" s="192"/>
      <c r="AT210" s="193"/>
    </row>
    <row r="211">
      <c r="A211" s="80"/>
      <c r="B211" s="81"/>
      <c r="C211" s="81"/>
      <c r="D211" s="81"/>
      <c r="E211" s="188" t="s">
        <v>661</v>
      </c>
      <c r="F211" s="189" t="str">
        <f>Inputs!F284</f>
        <v>%</v>
      </c>
      <c r="G211" s="263" t="str">
        <f>Inputs!G284</f>
        <v>input</v>
      </c>
      <c r="H211" s="191">
        <f>Inputs!H284</f>
        <v>0.06</v>
      </c>
      <c r="I211" s="192" t="str">
        <f>Inputs!I284</f>
        <v>-</v>
      </c>
      <c r="J211" s="192" t="str">
        <f>Inputs!J284</f>
        <v>-</v>
      </c>
      <c r="K211" s="192" t="str">
        <f>Inputs!K284</f>
        <v>-</v>
      </c>
      <c r="L211" s="192" t="str">
        <f>Inputs!L284</f>
        <v>-</v>
      </c>
      <c r="M211" s="192" t="str">
        <f>Inputs!M284</f>
        <v>-</v>
      </c>
      <c r="N211" s="192" t="str">
        <f>Inputs!N284</f>
        <v>-</v>
      </c>
      <c r="O211" s="192" t="str">
        <f>Inputs!O284</f>
        <v>-</v>
      </c>
      <c r="P211" s="192" t="str">
        <f>Inputs!P284</f>
        <v>-</v>
      </c>
      <c r="Q211" s="192" t="str">
        <f>Inputs!Q284</f>
        <v>-</v>
      </c>
      <c r="R211" s="192" t="str">
        <f>Inputs!R284</f>
        <v>-</v>
      </c>
      <c r="S211" s="192" t="str">
        <f>Inputs!S284</f>
        <v>-</v>
      </c>
      <c r="T211" s="192" t="str">
        <f>Inputs!T284</f>
        <v>-</v>
      </c>
      <c r="U211" s="192" t="str">
        <f>Inputs!U284</f>
        <v>-</v>
      </c>
      <c r="V211" s="192" t="str">
        <f>Inputs!V284</f>
        <v>-</v>
      </c>
      <c r="W211" s="192" t="str">
        <f>Inputs!W284</f>
        <v>-</v>
      </c>
      <c r="X211" s="192" t="str">
        <f>Inputs!X284</f>
        <v>-</v>
      </c>
      <c r="Y211" s="192" t="str">
        <f>Inputs!Y284</f>
        <v>-</v>
      </c>
      <c r="Z211" s="192" t="str">
        <f>Inputs!Z284</f>
        <v>-</v>
      </c>
      <c r="AA211" s="192" t="str">
        <f>Inputs!AA284</f>
        <v>-</v>
      </c>
      <c r="AB211" s="192" t="str">
        <f>Inputs!AB284</f>
        <v>-</v>
      </c>
      <c r="AC211" s="192" t="str">
        <f>Inputs!AC284</f>
        <v>-</v>
      </c>
      <c r="AD211" s="192" t="str">
        <f>Inputs!AD284</f>
        <v>-</v>
      </c>
      <c r="AE211" s="192" t="str">
        <f>Inputs!AE284</f>
        <v>-</v>
      </c>
      <c r="AF211" s="192" t="str">
        <f>Inputs!AF284</f>
        <v>-</v>
      </c>
      <c r="AG211" s="192" t="str">
        <f>Inputs!AG284</f>
        <v>-</v>
      </c>
      <c r="AH211" s="192" t="str">
        <f>Inputs!AH284</f>
        <v>-</v>
      </c>
      <c r="AI211" s="192" t="str">
        <f>Inputs!AI284</f>
        <v>-</v>
      </c>
      <c r="AJ211" s="192" t="str">
        <f>Inputs!AJ284</f>
        <v>-</v>
      </c>
      <c r="AK211" s="192" t="str">
        <f>Inputs!AK284</f>
        <v>-</v>
      </c>
      <c r="AL211" s="192" t="str">
        <f>Inputs!AL284</f>
        <v>-</v>
      </c>
      <c r="AM211" s="192" t="str">
        <f>Inputs!AM284</f>
        <v>-</v>
      </c>
      <c r="AN211" s="192" t="str">
        <f>Inputs!AN284</f>
        <v>-</v>
      </c>
      <c r="AO211" s="192" t="str">
        <f>Inputs!AO284</f>
        <v>-</v>
      </c>
      <c r="AP211" s="192" t="str">
        <f>Inputs!AP284</f>
        <v>-</v>
      </c>
      <c r="AQ211" s="192" t="str">
        <f>Inputs!AQ284</f>
        <v>-</v>
      </c>
      <c r="AR211" s="192" t="str">
        <f>Inputs!AR284</f>
        <v>-</v>
      </c>
      <c r="AS211" s="192" t="str">
        <f>Inputs!AS284</f>
        <v>-</v>
      </c>
      <c r="AT211" s="229"/>
    </row>
    <row r="212">
      <c r="A212" s="80"/>
      <c r="B212" s="81"/>
      <c r="C212" s="81"/>
      <c r="D212" s="81"/>
      <c r="E212" s="188" t="s">
        <v>667</v>
      </c>
      <c r="F212" s="189" t="str">
        <f>Inputs!F285</f>
        <v>%</v>
      </c>
      <c r="G212" s="263" t="str">
        <f>Inputs!G285</f>
        <v>input</v>
      </c>
      <c r="H212" s="191">
        <f>Inputs!H285</f>
        <v>0.007</v>
      </c>
      <c r="I212" s="192" t="str">
        <f>Inputs!I285</f>
        <v>-</v>
      </c>
      <c r="J212" s="192" t="str">
        <f>Inputs!J285</f>
        <v>-</v>
      </c>
      <c r="K212" s="192" t="str">
        <f>Inputs!K285</f>
        <v>-</v>
      </c>
      <c r="L212" s="192" t="str">
        <f>Inputs!L285</f>
        <v>-</v>
      </c>
      <c r="M212" s="192" t="str">
        <f>Inputs!M285</f>
        <v>-</v>
      </c>
      <c r="N212" s="192" t="str">
        <f>Inputs!N285</f>
        <v>-</v>
      </c>
      <c r="O212" s="192" t="str">
        <f>Inputs!O285</f>
        <v>-</v>
      </c>
      <c r="P212" s="192" t="str">
        <f>Inputs!P285</f>
        <v>-</v>
      </c>
      <c r="Q212" s="192" t="str">
        <f>Inputs!Q285</f>
        <v>-</v>
      </c>
      <c r="R212" s="192" t="str">
        <f>Inputs!R285</f>
        <v>-</v>
      </c>
      <c r="S212" s="192" t="str">
        <f>Inputs!S285</f>
        <v>-</v>
      </c>
      <c r="T212" s="192" t="str">
        <f>Inputs!T285</f>
        <v>-</v>
      </c>
      <c r="U212" s="192" t="str">
        <f>Inputs!U285</f>
        <v>-</v>
      </c>
      <c r="V212" s="192" t="str">
        <f>Inputs!V285</f>
        <v>-</v>
      </c>
      <c r="W212" s="192" t="str">
        <f>Inputs!W285</f>
        <v>-</v>
      </c>
      <c r="X212" s="192" t="str">
        <f>Inputs!X285</f>
        <v>-</v>
      </c>
      <c r="Y212" s="192" t="str">
        <f>Inputs!Y285</f>
        <v>-</v>
      </c>
      <c r="Z212" s="192" t="str">
        <f>Inputs!Z285</f>
        <v>-</v>
      </c>
      <c r="AA212" s="192" t="str">
        <f>Inputs!AA285</f>
        <v>-</v>
      </c>
      <c r="AB212" s="192" t="str">
        <f>Inputs!AB285</f>
        <v>-</v>
      </c>
      <c r="AC212" s="192" t="str">
        <f>Inputs!AC285</f>
        <v>-</v>
      </c>
      <c r="AD212" s="192" t="str">
        <f>Inputs!AD285</f>
        <v>-</v>
      </c>
      <c r="AE212" s="192" t="str">
        <f>Inputs!AE285</f>
        <v>-</v>
      </c>
      <c r="AF212" s="192" t="str">
        <f>Inputs!AF285</f>
        <v>-</v>
      </c>
      <c r="AG212" s="192" t="str">
        <f>Inputs!AG285</f>
        <v>-</v>
      </c>
      <c r="AH212" s="192" t="str">
        <f>Inputs!AH285</f>
        <v>-</v>
      </c>
      <c r="AI212" s="192" t="str">
        <f>Inputs!AI285</f>
        <v>-</v>
      </c>
      <c r="AJ212" s="192" t="str">
        <f>Inputs!AJ285</f>
        <v>-</v>
      </c>
      <c r="AK212" s="192" t="str">
        <f>Inputs!AK285</f>
        <v>-</v>
      </c>
      <c r="AL212" s="192" t="str">
        <f>Inputs!AL285</f>
        <v>-</v>
      </c>
      <c r="AM212" s="192" t="str">
        <f>Inputs!AM285</f>
        <v>-</v>
      </c>
      <c r="AN212" s="192" t="str">
        <f>Inputs!AN285</f>
        <v>-</v>
      </c>
      <c r="AO212" s="192" t="str">
        <f>Inputs!AO285</f>
        <v>-</v>
      </c>
      <c r="AP212" s="192" t="str">
        <f>Inputs!AP285</f>
        <v>-</v>
      </c>
      <c r="AQ212" s="192" t="str">
        <f>Inputs!AQ285</f>
        <v>-</v>
      </c>
      <c r="AR212" s="192" t="str">
        <f>Inputs!AR285</f>
        <v>-</v>
      </c>
      <c r="AS212" s="192" t="str">
        <f>Inputs!AS285</f>
        <v>-</v>
      </c>
      <c r="AT212" s="229"/>
    </row>
    <row r="213">
      <c r="A213" s="80"/>
      <c r="B213" s="81"/>
      <c r="C213" s="81"/>
      <c r="D213" s="81"/>
      <c r="E213" s="188" t="s">
        <v>672</v>
      </c>
      <c r="F213" s="189" t="str">
        <f>Inputs!F286</f>
        <v>%</v>
      </c>
      <c r="G213" s="263" t="str">
        <f>Inputs!G286</f>
        <v>input</v>
      </c>
      <c r="H213" s="191">
        <f>Inputs!H286</f>
        <v>-0.05</v>
      </c>
      <c r="I213" s="192" t="str">
        <f>Inputs!I286</f>
        <v>-</v>
      </c>
      <c r="J213" s="192" t="str">
        <f>Inputs!J286</f>
        <v>-</v>
      </c>
      <c r="K213" s="192" t="str">
        <f>Inputs!K286</f>
        <v>-</v>
      </c>
      <c r="L213" s="192" t="str">
        <f>Inputs!L286</f>
        <v>-</v>
      </c>
      <c r="M213" s="192" t="str">
        <f>Inputs!M286</f>
        <v>-</v>
      </c>
      <c r="N213" s="192" t="str">
        <f>Inputs!N286</f>
        <v>-</v>
      </c>
      <c r="O213" s="192" t="str">
        <f>Inputs!O286</f>
        <v>-</v>
      </c>
      <c r="P213" s="192" t="str">
        <f>Inputs!P286</f>
        <v>-</v>
      </c>
      <c r="Q213" s="192" t="str">
        <f>Inputs!Q286</f>
        <v>-</v>
      </c>
      <c r="R213" s="192" t="str">
        <f>Inputs!R286</f>
        <v>-</v>
      </c>
      <c r="S213" s="192" t="str">
        <f>Inputs!S286</f>
        <v>-</v>
      </c>
      <c r="T213" s="192" t="str">
        <f>Inputs!T286</f>
        <v>-</v>
      </c>
      <c r="U213" s="192" t="str">
        <f>Inputs!U286</f>
        <v>-</v>
      </c>
      <c r="V213" s="192" t="str">
        <f>Inputs!V286</f>
        <v>-</v>
      </c>
      <c r="W213" s="192" t="str">
        <f>Inputs!W286</f>
        <v>-</v>
      </c>
      <c r="X213" s="192" t="str">
        <f>Inputs!X286</f>
        <v>-</v>
      </c>
      <c r="Y213" s="192" t="str">
        <f>Inputs!Y286</f>
        <v>-</v>
      </c>
      <c r="Z213" s="192" t="str">
        <f>Inputs!Z286</f>
        <v>-</v>
      </c>
      <c r="AA213" s="192" t="str">
        <f>Inputs!AA286</f>
        <v>-</v>
      </c>
      <c r="AB213" s="192" t="str">
        <f>Inputs!AB286</f>
        <v>-</v>
      </c>
      <c r="AC213" s="192" t="str">
        <f>Inputs!AC286</f>
        <v>-</v>
      </c>
      <c r="AD213" s="192" t="str">
        <f>Inputs!AD286</f>
        <v>-</v>
      </c>
      <c r="AE213" s="192" t="str">
        <f>Inputs!AE286</f>
        <v>-</v>
      </c>
      <c r="AF213" s="192" t="str">
        <f>Inputs!AF286</f>
        <v>-</v>
      </c>
      <c r="AG213" s="192" t="str">
        <f>Inputs!AG286</f>
        <v>-</v>
      </c>
      <c r="AH213" s="192" t="str">
        <f>Inputs!AH286</f>
        <v>-</v>
      </c>
      <c r="AI213" s="192" t="str">
        <f>Inputs!AI286</f>
        <v>-</v>
      </c>
      <c r="AJ213" s="192" t="str">
        <f>Inputs!AJ286</f>
        <v>-</v>
      </c>
      <c r="AK213" s="192" t="str">
        <f>Inputs!AK286</f>
        <v>-</v>
      </c>
      <c r="AL213" s="192" t="str">
        <f>Inputs!AL286</f>
        <v>-</v>
      </c>
      <c r="AM213" s="192" t="str">
        <f>Inputs!AM286</f>
        <v>-</v>
      </c>
      <c r="AN213" s="192" t="str">
        <f>Inputs!AN286</f>
        <v>-</v>
      </c>
      <c r="AO213" s="192" t="str">
        <f>Inputs!AO286</f>
        <v>-</v>
      </c>
      <c r="AP213" s="192" t="str">
        <f>Inputs!AP286</f>
        <v>-</v>
      </c>
      <c r="AQ213" s="192" t="str">
        <f>Inputs!AQ286</f>
        <v>-</v>
      </c>
      <c r="AR213" s="192" t="str">
        <f>Inputs!AR286</f>
        <v>-</v>
      </c>
      <c r="AS213" s="192" t="str">
        <f>Inputs!AS286</f>
        <v>-</v>
      </c>
      <c r="AT213" s="229"/>
    </row>
    <row r="214">
      <c r="A214" s="80"/>
      <c r="B214" s="81"/>
      <c r="C214" s="81"/>
      <c r="D214" s="81"/>
      <c r="E214" s="188" t="s">
        <v>678</v>
      </c>
      <c r="F214" s="189" t="str">
        <f>Inputs!F287</f>
        <v>%</v>
      </c>
      <c r="G214" s="263" t="str">
        <f>Inputs!G287</f>
        <v>input</v>
      </c>
      <c r="H214" s="191">
        <f>Inputs!H287</f>
        <v>0.2</v>
      </c>
      <c r="I214" s="192" t="str">
        <f>Inputs!I287</f>
        <v>-</v>
      </c>
      <c r="J214" s="192" t="str">
        <f>Inputs!J287</f>
        <v>-</v>
      </c>
      <c r="K214" s="192" t="str">
        <f>Inputs!K287</f>
        <v>-</v>
      </c>
      <c r="L214" s="192" t="str">
        <f>Inputs!L287</f>
        <v>-</v>
      </c>
      <c r="M214" s="192" t="str">
        <f>Inputs!M287</f>
        <v>-</v>
      </c>
      <c r="N214" s="192" t="str">
        <f>Inputs!N287</f>
        <v>-</v>
      </c>
      <c r="O214" s="192" t="str">
        <f>Inputs!O287</f>
        <v>-</v>
      </c>
      <c r="P214" s="192" t="str">
        <f>Inputs!P287</f>
        <v>-</v>
      </c>
      <c r="Q214" s="192" t="str">
        <f>Inputs!Q287</f>
        <v>-</v>
      </c>
      <c r="R214" s="192" t="str">
        <f>Inputs!R287</f>
        <v>-</v>
      </c>
      <c r="S214" s="192" t="str">
        <f>Inputs!S287</f>
        <v>-</v>
      </c>
      <c r="T214" s="192" t="str">
        <f>Inputs!T287</f>
        <v>-</v>
      </c>
      <c r="U214" s="192" t="str">
        <f>Inputs!U287</f>
        <v>-</v>
      </c>
      <c r="V214" s="192" t="str">
        <f>Inputs!V287</f>
        <v>-</v>
      </c>
      <c r="W214" s="192" t="str">
        <f>Inputs!W287</f>
        <v>-</v>
      </c>
      <c r="X214" s="192" t="str">
        <f>Inputs!X287</f>
        <v>-</v>
      </c>
      <c r="Y214" s="192" t="str">
        <f>Inputs!Y287</f>
        <v>-</v>
      </c>
      <c r="Z214" s="192" t="str">
        <f>Inputs!Z287</f>
        <v>-</v>
      </c>
      <c r="AA214" s="192" t="str">
        <f>Inputs!AA287</f>
        <v>-</v>
      </c>
      <c r="AB214" s="192" t="str">
        <f>Inputs!AB287</f>
        <v>-</v>
      </c>
      <c r="AC214" s="192" t="str">
        <f>Inputs!AC287</f>
        <v>-</v>
      </c>
      <c r="AD214" s="192" t="str">
        <f>Inputs!AD287</f>
        <v>-</v>
      </c>
      <c r="AE214" s="192" t="str">
        <f>Inputs!AE287</f>
        <v>-</v>
      </c>
      <c r="AF214" s="192" t="str">
        <f>Inputs!AF287</f>
        <v>-</v>
      </c>
      <c r="AG214" s="192" t="str">
        <f>Inputs!AG287</f>
        <v>-</v>
      </c>
      <c r="AH214" s="192" t="str">
        <f>Inputs!AH287</f>
        <v>-</v>
      </c>
      <c r="AI214" s="192" t="str">
        <f>Inputs!AI287</f>
        <v>-</v>
      </c>
      <c r="AJ214" s="192" t="str">
        <f>Inputs!AJ287</f>
        <v>-</v>
      </c>
      <c r="AK214" s="192" t="str">
        <f>Inputs!AK287</f>
        <v>-</v>
      </c>
      <c r="AL214" s="192" t="str">
        <f>Inputs!AL287</f>
        <v>-</v>
      </c>
      <c r="AM214" s="192" t="str">
        <f>Inputs!AM287</f>
        <v>-</v>
      </c>
      <c r="AN214" s="192" t="str">
        <f>Inputs!AN287</f>
        <v>-</v>
      </c>
      <c r="AO214" s="192" t="str">
        <f>Inputs!AO287</f>
        <v>-</v>
      </c>
      <c r="AP214" s="192" t="str">
        <f>Inputs!AP287</f>
        <v>-</v>
      </c>
      <c r="AQ214" s="192" t="str">
        <f>Inputs!AQ287</f>
        <v>-</v>
      </c>
      <c r="AR214" s="192" t="str">
        <f>Inputs!AR287</f>
        <v>-</v>
      </c>
      <c r="AS214" s="192" t="str">
        <f>Inputs!AS287</f>
        <v>-</v>
      </c>
      <c r="AT214" s="229"/>
    </row>
    <row r="215">
      <c r="A215" s="80"/>
      <c r="B215" s="81"/>
      <c r="C215" s="81"/>
      <c r="D215" s="81"/>
      <c r="E215" s="188" t="s">
        <v>683</v>
      </c>
      <c r="F215" s="189" t="str">
        <f>Inputs!F288</f>
        <v>%</v>
      </c>
      <c r="G215" s="263" t="str">
        <f>Inputs!G288</f>
        <v>input</v>
      </c>
      <c r="H215" s="191">
        <f>Inputs!H288</f>
        <v>0.05</v>
      </c>
      <c r="I215" s="192" t="str">
        <f>Inputs!I288</f>
        <v>-</v>
      </c>
      <c r="J215" s="192" t="str">
        <f>Inputs!J288</f>
        <v>-</v>
      </c>
      <c r="K215" s="192" t="str">
        <f>Inputs!K288</f>
        <v>-</v>
      </c>
      <c r="L215" s="192" t="str">
        <f>Inputs!L288</f>
        <v>-</v>
      </c>
      <c r="M215" s="192" t="str">
        <f>Inputs!M288</f>
        <v>-</v>
      </c>
      <c r="N215" s="192" t="str">
        <f>Inputs!N288</f>
        <v>-</v>
      </c>
      <c r="O215" s="192" t="str">
        <f>Inputs!O288</f>
        <v>-</v>
      </c>
      <c r="P215" s="192" t="str">
        <f>Inputs!P288</f>
        <v>-</v>
      </c>
      <c r="Q215" s="192" t="str">
        <f>Inputs!Q288</f>
        <v>-</v>
      </c>
      <c r="R215" s="192" t="str">
        <f>Inputs!R288</f>
        <v>-</v>
      </c>
      <c r="S215" s="192" t="str">
        <f>Inputs!S288</f>
        <v>-</v>
      </c>
      <c r="T215" s="192" t="str">
        <f>Inputs!T288</f>
        <v>-</v>
      </c>
      <c r="U215" s="192" t="str">
        <f>Inputs!U288</f>
        <v>-</v>
      </c>
      <c r="V215" s="192" t="str">
        <f>Inputs!V288</f>
        <v>-</v>
      </c>
      <c r="W215" s="192" t="str">
        <f>Inputs!W288</f>
        <v>-</v>
      </c>
      <c r="X215" s="192" t="str">
        <f>Inputs!X288</f>
        <v>-</v>
      </c>
      <c r="Y215" s="192" t="str">
        <f>Inputs!Y288</f>
        <v>-</v>
      </c>
      <c r="Z215" s="192" t="str">
        <f>Inputs!Z288</f>
        <v>-</v>
      </c>
      <c r="AA215" s="192" t="str">
        <f>Inputs!AA288</f>
        <v>-</v>
      </c>
      <c r="AB215" s="192" t="str">
        <f>Inputs!AB288</f>
        <v>-</v>
      </c>
      <c r="AC215" s="192" t="str">
        <f>Inputs!AC288</f>
        <v>-</v>
      </c>
      <c r="AD215" s="192" t="str">
        <f>Inputs!AD288</f>
        <v>-</v>
      </c>
      <c r="AE215" s="192" t="str">
        <f>Inputs!AE288</f>
        <v>-</v>
      </c>
      <c r="AF215" s="192" t="str">
        <f>Inputs!AF288</f>
        <v>-</v>
      </c>
      <c r="AG215" s="192" t="str">
        <f>Inputs!AG288</f>
        <v>-</v>
      </c>
      <c r="AH215" s="192" t="str">
        <f>Inputs!AH288</f>
        <v>-</v>
      </c>
      <c r="AI215" s="192" t="str">
        <f>Inputs!AI288</f>
        <v>-</v>
      </c>
      <c r="AJ215" s="192" t="str">
        <f>Inputs!AJ288</f>
        <v>-</v>
      </c>
      <c r="AK215" s="192" t="str">
        <f>Inputs!AK288</f>
        <v>-</v>
      </c>
      <c r="AL215" s="192" t="str">
        <f>Inputs!AL288</f>
        <v>-</v>
      </c>
      <c r="AM215" s="192" t="str">
        <f>Inputs!AM288</f>
        <v>-</v>
      </c>
      <c r="AN215" s="192" t="str">
        <f>Inputs!AN288</f>
        <v>-</v>
      </c>
      <c r="AO215" s="192" t="str">
        <f>Inputs!AO288</f>
        <v>-</v>
      </c>
      <c r="AP215" s="192" t="str">
        <f>Inputs!AP288</f>
        <v>-</v>
      </c>
      <c r="AQ215" s="192" t="str">
        <f>Inputs!AQ288</f>
        <v>-</v>
      </c>
      <c r="AR215" s="192" t="str">
        <f>Inputs!AR288</f>
        <v>-</v>
      </c>
      <c r="AS215" s="192" t="str">
        <f>Inputs!AS288</f>
        <v>-</v>
      </c>
      <c r="AT215" s="229"/>
    </row>
    <row r="216">
      <c r="A216" s="80"/>
      <c r="B216" s="81"/>
      <c r="C216" s="81"/>
      <c r="D216" s="81"/>
      <c r="E216" s="188" t="s">
        <v>687</v>
      </c>
      <c r="F216" s="189" t="str">
        <f>Inputs!F289</f>
        <v>%</v>
      </c>
      <c r="G216" s="263" t="str">
        <f>Inputs!G289</f>
        <v>input</v>
      </c>
      <c r="H216" s="191">
        <f>Inputs!H289</f>
        <v>0</v>
      </c>
      <c r="I216" s="192" t="str">
        <f>Inputs!I289</f>
        <v>-</v>
      </c>
      <c r="J216" s="192" t="str">
        <f>Inputs!J289</f>
        <v>-</v>
      </c>
      <c r="K216" s="192" t="str">
        <f>Inputs!K289</f>
        <v>-</v>
      </c>
      <c r="L216" s="192" t="str">
        <f>Inputs!L289</f>
        <v>-</v>
      </c>
      <c r="M216" s="192" t="str">
        <f>Inputs!M289</f>
        <v>-</v>
      </c>
      <c r="N216" s="192" t="str">
        <f>Inputs!N289</f>
        <v>-</v>
      </c>
      <c r="O216" s="192" t="str">
        <f>Inputs!O289</f>
        <v>-</v>
      </c>
      <c r="P216" s="192" t="str">
        <f>Inputs!P289</f>
        <v>-</v>
      </c>
      <c r="Q216" s="192" t="str">
        <f>Inputs!Q289</f>
        <v>-</v>
      </c>
      <c r="R216" s="192" t="str">
        <f>Inputs!R289</f>
        <v>-</v>
      </c>
      <c r="S216" s="192" t="str">
        <f>Inputs!S289</f>
        <v>-</v>
      </c>
      <c r="T216" s="192" t="str">
        <f>Inputs!T289</f>
        <v>-</v>
      </c>
      <c r="U216" s="192" t="str">
        <f>Inputs!U289</f>
        <v>-</v>
      </c>
      <c r="V216" s="192" t="str">
        <f>Inputs!V289</f>
        <v>-</v>
      </c>
      <c r="W216" s="192" t="str">
        <f>Inputs!W289</f>
        <v>-</v>
      </c>
      <c r="X216" s="192" t="str">
        <f>Inputs!X289</f>
        <v>-</v>
      </c>
      <c r="Y216" s="192" t="str">
        <f>Inputs!Y289</f>
        <v>-</v>
      </c>
      <c r="Z216" s="192" t="str">
        <f>Inputs!Z289</f>
        <v>-</v>
      </c>
      <c r="AA216" s="192" t="str">
        <f>Inputs!AA289</f>
        <v>-</v>
      </c>
      <c r="AB216" s="192" t="str">
        <f>Inputs!AB289</f>
        <v>-</v>
      </c>
      <c r="AC216" s="192" t="str">
        <f>Inputs!AC289</f>
        <v>-</v>
      </c>
      <c r="AD216" s="192" t="str">
        <f>Inputs!AD289</f>
        <v>-</v>
      </c>
      <c r="AE216" s="192" t="str">
        <f>Inputs!AE289</f>
        <v>-</v>
      </c>
      <c r="AF216" s="192" t="str">
        <f>Inputs!AF289</f>
        <v>-</v>
      </c>
      <c r="AG216" s="192" t="str">
        <f>Inputs!AG289</f>
        <v>-</v>
      </c>
      <c r="AH216" s="192" t="str">
        <f>Inputs!AH289</f>
        <v>-</v>
      </c>
      <c r="AI216" s="192" t="str">
        <f>Inputs!AI289</f>
        <v>-</v>
      </c>
      <c r="AJ216" s="192" t="str">
        <f>Inputs!AJ289</f>
        <v>-</v>
      </c>
      <c r="AK216" s="192" t="str">
        <f>Inputs!AK289</f>
        <v>-</v>
      </c>
      <c r="AL216" s="192" t="str">
        <f>Inputs!AL289</f>
        <v>-</v>
      </c>
      <c r="AM216" s="192" t="str">
        <f>Inputs!AM289</f>
        <v>-</v>
      </c>
      <c r="AN216" s="192" t="str">
        <f>Inputs!AN289</f>
        <v>-</v>
      </c>
      <c r="AO216" s="192" t="str">
        <f>Inputs!AO289</f>
        <v>-</v>
      </c>
      <c r="AP216" s="192" t="str">
        <f>Inputs!AP289</f>
        <v>-</v>
      </c>
      <c r="AQ216" s="192" t="str">
        <f>Inputs!AQ289</f>
        <v>-</v>
      </c>
      <c r="AR216" s="192" t="str">
        <f>Inputs!AR289</f>
        <v>-</v>
      </c>
      <c r="AS216" s="192" t="str">
        <f>Inputs!AS289</f>
        <v>-</v>
      </c>
      <c r="AT216" s="229"/>
    </row>
    <row r="217">
      <c r="A217" s="80"/>
      <c r="B217" s="81"/>
      <c r="C217" s="81"/>
      <c r="D217" s="442" t="s">
        <v>692</v>
      </c>
      <c r="E217" s="70"/>
      <c r="F217" s="189"/>
      <c r="G217" s="263"/>
      <c r="H217" s="191"/>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c r="AF217" s="192"/>
      <c r="AG217" s="192"/>
      <c r="AH217" s="192"/>
      <c r="AI217" s="192"/>
      <c r="AJ217" s="192"/>
      <c r="AK217" s="192"/>
      <c r="AL217" s="192"/>
      <c r="AM217" s="192"/>
      <c r="AN217" s="192"/>
      <c r="AO217" s="192"/>
      <c r="AP217" s="192"/>
      <c r="AQ217" s="192"/>
      <c r="AR217" s="192"/>
      <c r="AS217" s="192"/>
      <c r="AT217" s="229"/>
    </row>
    <row r="218">
      <c r="A218" s="80"/>
      <c r="B218" s="81"/>
      <c r="C218" s="81"/>
      <c r="D218" s="81"/>
      <c r="E218" s="188" t="s">
        <v>693</v>
      </c>
      <c r="F218" s="189" t="str">
        <f>Inputs!F290</f>
        <v>%</v>
      </c>
      <c r="G218" s="263" t="str">
        <f>Inputs!G290</f>
        <v>input</v>
      </c>
      <c r="H218" s="191">
        <f>Inputs!H290</f>
        <v>0.06</v>
      </c>
      <c r="I218" s="192" t="str">
        <f>Inputs!I290</f>
        <v>-</v>
      </c>
      <c r="J218" s="192" t="str">
        <f>Inputs!J290</f>
        <v>-</v>
      </c>
      <c r="K218" s="192" t="str">
        <f>Inputs!K290</f>
        <v>-</v>
      </c>
      <c r="L218" s="192" t="str">
        <f>Inputs!L290</f>
        <v>-</v>
      </c>
      <c r="M218" s="192" t="str">
        <f>Inputs!M290</f>
        <v>-</v>
      </c>
      <c r="N218" s="192" t="str">
        <f>Inputs!N290</f>
        <v>-</v>
      </c>
      <c r="O218" s="192" t="str">
        <f>Inputs!O290</f>
        <v>-</v>
      </c>
      <c r="P218" s="192" t="str">
        <f>Inputs!P290</f>
        <v>-</v>
      </c>
      <c r="Q218" s="192" t="str">
        <f>Inputs!Q290</f>
        <v>-</v>
      </c>
      <c r="R218" s="192" t="str">
        <f>Inputs!R290</f>
        <v>-</v>
      </c>
      <c r="S218" s="192" t="str">
        <f>Inputs!S290</f>
        <v>-</v>
      </c>
      <c r="T218" s="192" t="str">
        <f>Inputs!T290</f>
        <v>-</v>
      </c>
      <c r="U218" s="192" t="str">
        <f>Inputs!U290</f>
        <v>-</v>
      </c>
      <c r="V218" s="192" t="str">
        <f>Inputs!V290</f>
        <v>-</v>
      </c>
      <c r="W218" s="192" t="str">
        <f>Inputs!W290</f>
        <v>-</v>
      </c>
      <c r="X218" s="192" t="str">
        <f>Inputs!X290</f>
        <v>-</v>
      </c>
      <c r="Y218" s="192" t="str">
        <f>Inputs!Y290</f>
        <v>-</v>
      </c>
      <c r="Z218" s="192" t="str">
        <f>Inputs!Z290</f>
        <v>-</v>
      </c>
      <c r="AA218" s="192" t="str">
        <f>Inputs!AA290</f>
        <v>-</v>
      </c>
      <c r="AB218" s="192" t="str">
        <f>Inputs!AB290</f>
        <v>-</v>
      </c>
      <c r="AC218" s="192" t="str">
        <f>Inputs!AC290</f>
        <v>-</v>
      </c>
      <c r="AD218" s="192" t="str">
        <f>Inputs!AD290</f>
        <v>-</v>
      </c>
      <c r="AE218" s="192" t="str">
        <f>Inputs!AE290</f>
        <v>-</v>
      </c>
      <c r="AF218" s="192" t="str">
        <f>Inputs!AF290</f>
        <v>-</v>
      </c>
      <c r="AG218" s="192" t="str">
        <f>Inputs!AG290</f>
        <v>-</v>
      </c>
      <c r="AH218" s="192" t="str">
        <f>Inputs!AH290</f>
        <v>-</v>
      </c>
      <c r="AI218" s="192" t="str">
        <f>Inputs!AI290</f>
        <v>-</v>
      </c>
      <c r="AJ218" s="192" t="str">
        <f>Inputs!AJ290</f>
        <v>-</v>
      </c>
      <c r="AK218" s="192" t="str">
        <f>Inputs!AK290</f>
        <v>-</v>
      </c>
      <c r="AL218" s="192" t="str">
        <f>Inputs!AL290</f>
        <v>-</v>
      </c>
      <c r="AM218" s="192" t="str">
        <f>Inputs!AM290</f>
        <v>-</v>
      </c>
      <c r="AN218" s="192" t="str">
        <f>Inputs!AN290</f>
        <v>-</v>
      </c>
      <c r="AO218" s="192" t="str">
        <f>Inputs!AO290</f>
        <v>-</v>
      </c>
      <c r="AP218" s="192" t="str">
        <f>Inputs!AP290</f>
        <v>-</v>
      </c>
      <c r="AQ218" s="192" t="str">
        <f>Inputs!AQ290</f>
        <v>-</v>
      </c>
      <c r="AR218" s="192" t="str">
        <f>Inputs!AR290</f>
        <v>-</v>
      </c>
      <c r="AS218" s="192" t="str">
        <f>Inputs!AS290</f>
        <v>-</v>
      </c>
      <c r="AT218" s="229"/>
    </row>
    <row r="219">
      <c r="A219" s="80"/>
      <c r="B219" s="81"/>
      <c r="C219" s="81"/>
      <c r="D219" s="81"/>
      <c r="E219" s="188" t="s">
        <v>697</v>
      </c>
      <c r="F219" s="189" t="str">
        <f>Inputs!F291</f>
        <v>%</v>
      </c>
      <c r="G219" s="263" t="str">
        <f>Inputs!G291</f>
        <v>input</v>
      </c>
      <c r="H219" s="191">
        <f>Inputs!H291</f>
        <v>0.125</v>
      </c>
      <c r="I219" s="192" t="str">
        <f>Inputs!I291</f>
        <v>-</v>
      </c>
      <c r="J219" s="192" t="str">
        <f>Inputs!J291</f>
        <v>-</v>
      </c>
      <c r="K219" s="192" t="str">
        <f>Inputs!K291</f>
        <v>-</v>
      </c>
      <c r="L219" s="192" t="str">
        <f>Inputs!L291</f>
        <v>-</v>
      </c>
      <c r="M219" s="192" t="str">
        <f>Inputs!M291</f>
        <v>-</v>
      </c>
      <c r="N219" s="192" t="str">
        <f>Inputs!N291</f>
        <v>-</v>
      </c>
      <c r="O219" s="192" t="str">
        <f>Inputs!O291</f>
        <v>-</v>
      </c>
      <c r="P219" s="192" t="str">
        <f>Inputs!P291</f>
        <v>-</v>
      </c>
      <c r="Q219" s="192" t="str">
        <f>Inputs!Q291</f>
        <v>-</v>
      </c>
      <c r="R219" s="192" t="str">
        <f>Inputs!R291</f>
        <v>-</v>
      </c>
      <c r="S219" s="192" t="str">
        <f>Inputs!S291</f>
        <v>-</v>
      </c>
      <c r="T219" s="192" t="str">
        <f>Inputs!T291</f>
        <v>-</v>
      </c>
      <c r="U219" s="192" t="str">
        <f>Inputs!U291</f>
        <v>-</v>
      </c>
      <c r="V219" s="192" t="str">
        <f>Inputs!V291</f>
        <v>-</v>
      </c>
      <c r="W219" s="192" t="str">
        <f>Inputs!W291</f>
        <v>-</v>
      </c>
      <c r="X219" s="192" t="str">
        <f>Inputs!X291</f>
        <v>-</v>
      </c>
      <c r="Y219" s="192" t="str">
        <f>Inputs!Y291</f>
        <v>-</v>
      </c>
      <c r="Z219" s="192" t="str">
        <f>Inputs!Z291</f>
        <v>-</v>
      </c>
      <c r="AA219" s="192" t="str">
        <f>Inputs!AA291</f>
        <v>-</v>
      </c>
      <c r="AB219" s="192" t="str">
        <f>Inputs!AB291</f>
        <v>-</v>
      </c>
      <c r="AC219" s="192" t="str">
        <f>Inputs!AC291</f>
        <v>-</v>
      </c>
      <c r="AD219" s="192" t="str">
        <f>Inputs!AD291</f>
        <v>-</v>
      </c>
      <c r="AE219" s="192" t="str">
        <f>Inputs!AE291</f>
        <v>-</v>
      </c>
      <c r="AF219" s="192" t="str">
        <f>Inputs!AF291</f>
        <v>-</v>
      </c>
      <c r="AG219" s="192" t="str">
        <f>Inputs!AG291</f>
        <v>-</v>
      </c>
      <c r="AH219" s="192" t="str">
        <f>Inputs!AH291</f>
        <v>-</v>
      </c>
      <c r="AI219" s="192" t="str">
        <f>Inputs!AI291</f>
        <v>-</v>
      </c>
      <c r="AJ219" s="192" t="str">
        <f>Inputs!AJ291</f>
        <v>-</v>
      </c>
      <c r="AK219" s="192" t="str">
        <f>Inputs!AK291</f>
        <v>-</v>
      </c>
      <c r="AL219" s="192" t="str">
        <f>Inputs!AL291</f>
        <v>-</v>
      </c>
      <c r="AM219" s="192" t="str">
        <f>Inputs!AM291</f>
        <v>-</v>
      </c>
      <c r="AN219" s="192" t="str">
        <f>Inputs!AN291</f>
        <v>-</v>
      </c>
      <c r="AO219" s="192" t="str">
        <f>Inputs!AO291</f>
        <v>-</v>
      </c>
      <c r="AP219" s="192" t="str">
        <f>Inputs!AP291</f>
        <v>-</v>
      </c>
      <c r="AQ219" s="192" t="str">
        <f>Inputs!AQ291</f>
        <v>-</v>
      </c>
      <c r="AR219" s="192" t="str">
        <f>Inputs!AR291</f>
        <v>-</v>
      </c>
      <c r="AS219" s="192" t="str">
        <f>Inputs!AS291</f>
        <v>-</v>
      </c>
      <c r="AT219" s="229"/>
    </row>
    <row r="220">
      <c r="A220" s="80"/>
      <c r="B220" s="81"/>
      <c r="C220" s="81"/>
      <c r="D220" s="81"/>
      <c r="E220" s="188" t="s">
        <v>702</v>
      </c>
      <c r="F220" s="189" t="str">
        <f>Inputs!F292</f>
        <v>%</v>
      </c>
      <c r="G220" s="263" t="str">
        <f>Inputs!G292</f>
        <v>input</v>
      </c>
      <c r="H220" s="191">
        <f>Inputs!H292</f>
        <v>0.036</v>
      </c>
      <c r="I220" s="192" t="str">
        <f>Inputs!I292</f>
        <v>-</v>
      </c>
      <c r="J220" s="192" t="str">
        <f>Inputs!J292</f>
        <v>-</v>
      </c>
      <c r="K220" s="192" t="str">
        <f>Inputs!K292</f>
        <v>-</v>
      </c>
      <c r="L220" s="192" t="str">
        <f>Inputs!L292</f>
        <v>-</v>
      </c>
      <c r="M220" s="192" t="str">
        <f>Inputs!M292</f>
        <v>-</v>
      </c>
      <c r="N220" s="192" t="str">
        <f>Inputs!N292</f>
        <v>-</v>
      </c>
      <c r="O220" s="192" t="str">
        <f>Inputs!O292</f>
        <v>-</v>
      </c>
      <c r="P220" s="192" t="str">
        <f>Inputs!P292</f>
        <v>-</v>
      </c>
      <c r="Q220" s="192" t="str">
        <f>Inputs!Q292</f>
        <v>-</v>
      </c>
      <c r="R220" s="192" t="str">
        <f>Inputs!R292</f>
        <v>-</v>
      </c>
      <c r="S220" s="192" t="str">
        <f>Inputs!S292</f>
        <v>-</v>
      </c>
      <c r="T220" s="192" t="str">
        <f>Inputs!T292</f>
        <v>-</v>
      </c>
      <c r="U220" s="192" t="str">
        <f>Inputs!U292</f>
        <v>-</v>
      </c>
      <c r="V220" s="192" t="str">
        <f>Inputs!V292</f>
        <v>-</v>
      </c>
      <c r="W220" s="192" t="str">
        <f>Inputs!W292</f>
        <v>-</v>
      </c>
      <c r="X220" s="192" t="str">
        <f>Inputs!X292</f>
        <v>-</v>
      </c>
      <c r="Y220" s="192" t="str">
        <f>Inputs!Y292</f>
        <v>-</v>
      </c>
      <c r="Z220" s="192" t="str">
        <f>Inputs!Z292</f>
        <v>-</v>
      </c>
      <c r="AA220" s="192" t="str">
        <f>Inputs!AA292</f>
        <v>-</v>
      </c>
      <c r="AB220" s="192" t="str">
        <f>Inputs!AB292</f>
        <v>-</v>
      </c>
      <c r="AC220" s="192" t="str">
        <f>Inputs!AC292</f>
        <v>-</v>
      </c>
      <c r="AD220" s="192" t="str">
        <f>Inputs!AD292</f>
        <v>-</v>
      </c>
      <c r="AE220" s="192" t="str">
        <f>Inputs!AE292</f>
        <v>-</v>
      </c>
      <c r="AF220" s="192" t="str">
        <f>Inputs!AF292</f>
        <v>-</v>
      </c>
      <c r="AG220" s="192" t="str">
        <f>Inputs!AG292</f>
        <v>-</v>
      </c>
      <c r="AH220" s="192" t="str">
        <f>Inputs!AH292</f>
        <v>-</v>
      </c>
      <c r="AI220" s="192" t="str">
        <f>Inputs!AI292</f>
        <v>-</v>
      </c>
      <c r="AJ220" s="192" t="str">
        <f>Inputs!AJ292</f>
        <v>-</v>
      </c>
      <c r="AK220" s="192" t="str">
        <f>Inputs!AK292</f>
        <v>-</v>
      </c>
      <c r="AL220" s="192" t="str">
        <f>Inputs!AL292</f>
        <v>-</v>
      </c>
      <c r="AM220" s="192" t="str">
        <f>Inputs!AM292</f>
        <v>-</v>
      </c>
      <c r="AN220" s="192" t="str">
        <f>Inputs!AN292</f>
        <v>-</v>
      </c>
      <c r="AO220" s="192" t="str">
        <f>Inputs!AO292</f>
        <v>-</v>
      </c>
      <c r="AP220" s="192" t="str">
        <f>Inputs!AP292</f>
        <v>-</v>
      </c>
      <c r="AQ220" s="192" t="str">
        <f>Inputs!AQ292</f>
        <v>-</v>
      </c>
      <c r="AR220" s="192" t="str">
        <f>Inputs!AR292</f>
        <v>-</v>
      </c>
      <c r="AS220" s="192" t="str">
        <f>Inputs!AS292</f>
        <v>-</v>
      </c>
      <c r="AT220" s="229"/>
    </row>
    <row r="221">
      <c r="A221" s="80"/>
      <c r="B221" s="81"/>
      <c r="C221" s="81"/>
      <c r="D221" s="81"/>
      <c r="E221" s="188" t="s">
        <v>704</v>
      </c>
      <c r="F221" s="189" t="str">
        <f>Inputs!F293</f>
        <v>%</v>
      </c>
      <c r="G221" s="263" t="str">
        <f>Inputs!G293</f>
        <v>input</v>
      </c>
      <c r="H221" s="191">
        <f>Inputs!H293</f>
        <v>0.04</v>
      </c>
      <c r="I221" s="192" t="str">
        <f>Inputs!I293</f>
        <v>-</v>
      </c>
      <c r="J221" s="192" t="str">
        <f>Inputs!J293</f>
        <v>-</v>
      </c>
      <c r="K221" s="192" t="str">
        <f>Inputs!K293</f>
        <v>-</v>
      </c>
      <c r="L221" s="192" t="str">
        <f>Inputs!L293</f>
        <v>-</v>
      </c>
      <c r="M221" s="192" t="str">
        <f>Inputs!M293</f>
        <v>-</v>
      </c>
      <c r="N221" s="192" t="str">
        <f>Inputs!N293</f>
        <v>-</v>
      </c>
      <c r="O221" s="192" t="str">
        <f>Inputs!O293</f>
        <v>-</v>
      </c>
      <c r="P221" s="192" t="str">
        <f>Inputs!P293</f>
        <v>-</v>
      </c>
      <c r="Q221" s="192" t="str">
        <f>Inputs!Q293</f>
        <v>-</v>
      </c>
      <c r="R221" s="192" t="str">
        <f>Inputs!R293</f>
        <v>-</v>
      </c>
      <c r="S221" s="192" t="str">
        <f>Inputs!S293</f>
        <v>-</v>
      </c>
      <c r="T221" s="192" t="str">
        <f>Inputs!T293</f>
        <v>-</v>
      </c>
      <c r="U221" s="192" t="str">
        <f>Inputs!U293</f>
        <v>-</v>
      </c>
      <c r="V221" s="192" t="str">
        <f>Inputs!V293</f>
        <v>-</v>
      </c>
      <c r="W221" s="192" t="str">
        <f>Inputs!W293</f>
        <v>-</v>
      </c>
      <c r="X221" s="192" t="str">
        <f>Inputs!X293</f>
        <v>-</v>
      </c>
      <c r="Y221" s="192" t="str">
        <f>Inputs!Y293</f>
        <v>-</v>
      </c>
      <c r="Z221" s="192" t="str">
        <f>Inputs!Z293</f>
        <v>-</v>
      </c>
      <c r="AA221" s="192" t="str">
        <f>Inputs!AA293</f>
        <v>-</v>
      </c>
      <c r="AB221" s="192" t="str">
        <f>Inputs!AB293</f>
        <v>-</v>
      </c>
      <c r="AC221" s="192" t="str">
        <f>Inputs!AC293</f>
        <v>-</v>
      </c>
      <c r="AD221" s="192" t="str">
        <f>Inputs!AD293</f>
        <v>-</v>
      </c>
      <c r="AE221" s="192" t="str">
        <f>Inputs!AE293</f>
        <v>-</v>
      </c>
      <c r="AF221" s="192" t="str">
        <f>Inputs!AF293</f>
        <v>-</v>
      </c>
      <c r="AG221" s="192" t="str">
        <f>Inputs!AG293</f>
        <v>-</v>
      </c>
      <c r="AH221" s="192" t="str">
        <f>Inputs!AH293</f>
        <v>-</v>
      </c>
      <c r="AI221" s="192" t="str">
        <f>Inputs!AI293</f>
        <v>-</v>
      </c>
      <c r="AJ221" s="192" t="str">
        <f>Inputs!AJ293</f>
        <v>-</v>
      </c>
      <c r="AK221" s="192" t="str">
        <f>Inputs!AK293</f>
        <v>-</v>
      </c>
      <c r="AL221" s="192" t="str">
        <f>Inputs!AL293</f>
        <v>-</v>
      </c>
      <c r="AM221" s="192" t="str">
        <f>Inputs!AM293</f>
        <v>-</v>
      </c>
      <c r="AN221" s="192" t="str">
        <f>Inputs!AN293</f>
        <v>-</v>
      </c>
      <c r="AO221" s="192" t="str">
        <f>Inputs!AO293</f>
        <v>-</v>
      </c>
      <c r="AP221" s="192" t="str">
        <f>Inputs!AP293</f>
        <v>-</v>
      </c>
      <c r="AQ221" s="192" t="str">
        <f>Inputs!AQ293</f>
        <v>-</v>
      </c>
      <c r="AR221" s="192" t="str">
        <f>Inputs!AR293</f>
        <v>-</v>
      </c>
      <c r="AS221" s="192" t="str">
        <f>Inputs!AS293</f>
        <v>-</v>
      </c>
      <c r="AT221" s="229"/>
    </row>
    <row r="222">
      <c r="A222" s="80"/>
      <c r="B222" s="81"/>
      <c r="C222" s="81"/>
      <c r="D222" s="81"/>
      <c r="E222" s="188" t="s">
        <v>708</v>
      </c>
      <c r="F222" s="189" t="str">
        <f>Inputs!F294</f>
        <v>%</v>
      </c>
      <c r="G222" s="263" t="str">
        <f>Inputs!G294</f>
        <v>input</v>
      </c>
      <c r="H222" s="191">
        <f>Inputs!H294</f>
        <v>-0.175</v>
      </c>
      <c r="I222" s="192" t="str">
        <f>Inputs!I294</f>
        <v>-</v>
      </c>
      <c r="J222" s="192" t="str">
        <f>Inputs!J294</f>
        <v>-</v>
      </c>
      <c r="K222" s="192" t="str">
        <f>Inputs!K294</f>
        <v>-</v>
      </c>
      <c r="L222" s="192" t="str">
        <f>Inputs!L294</f>
        <v>-</v>
      </c>
      <c r="M222" s="192" t="str">
        <f>Inputs!M294</f>
        <v>-</v>
      </c>
      <c r="N222" s="192" t="str">
        <f>Inputs!N294</f>
        <v>-</v>
      </c>
      <c r="O222" s="192" t="str">
        <f>Inputs!O294</f>
        <v>-</v>
      </c>
      <c r="P222" s="192" t="str">
        <f>Inputs!P294</f>
        <v>-</v>
      </c>
      <c r="Q222" s="192" t="str">
        <f>Inputs!Q294</f>
        <v>-</v>
      </c>
      <c r="R222" s="192" t="str">
        <f>Inputs!R294</f>
        <v>-</v>
      </c>
      <c r="S222" s="192" t="str">
        <f>Inputs!S294</f>
        <v>-</v>
      </c>
      <c r="T222" s="192" t="str">
        <f>Inputs!T294</f>
        <v>-</v>
      </c>
      <c r="U222" s="192" t="str">
        <f>Inputs!U294</f>
        <v>-</v>
      </c>
      <c r="V222" s="192" t="str">
        <f>Inputs!V294</f>
        <v>-</v>
      </c>
      <c r="W222" s="192" t="str">
        <f>Inputs!W294</f>
        <v>-</v>
      </c>
      <c r="X222" s="192" t="str">
        <f>Inputs!X294</f>
        <v>-</v>
      </c>
      <c r="Y222" s="192" t="str">
        <f>Inputs!Y294</f>
        <v>-</v>
      </c>
      <c r="Z222" s="192" t="str">
        <f>Inputs!Z294</f>
        <v>-</v>
      </c>
      <c r="AA222" s="192" t="str">
        <f>Inputs!AA294</f>
        <v>-</v>
      </c>
      <c r="AB222" s="192" t="str">
        <f>Inputs!AB294</f>
        <v>-</v>
      </c>
      <c r="AC222" s="192" t="str">
        <f>Inputs!AC294</f>
        <v>-</v>
      </c>
      <c r="AD222" s="192" t="str">
        <f>Inputs!AD294</f>
        <v>-</v>
      </c>
      <c r="AE222" s="192" t="str">
        <f>Inputs!AE294</f>
        <v>-</v>
      </c>
      <c r="AF222" s="192" t="str">
        <f>Inputs!AF294</f>
        <v>-</v>
      </c>
      <c r="AG222" s="192" t="str">
        <f>Inputs!AG294</f>
        <v>-</v>
      </c>
      <c r="AH222" s="192" t="str">
        <f>Inputs!AH294</f>
        <v>-</v>
      </c>
      <c r="AI222" s="192" t="str">
        <f>Inputs!AI294</f>
        <v>-</v>
      </c>
      <c r="AJ222" s="192" t="str">
        <f>Inputs!AJ294</f>
        <v>-</v>
      </c>
      <c r="AK222" s="192" t="str">
        <f>Inputs!AK294</f>
        <v>-</v>
      </c>
      <c r="AL222" s="192" t="str">
        <f>Inputs!AL294</f>
        <v>-</v>
      </c>
      <c r="AM222" s="192" t="str">
        <f>Inputs!AM294</f>
        <v>-</v>
      </c>
      <c r="AN222" s="192" t="str">
        <f>Inputs!AN294</f>
        <v>-</v>
      </c>
      <c r="AO222" s="192" t="str">
        <f>Inputs!AO294</f>
        <v>-</v>
      </c>
      <c r="AP222" s="192" t="str">
        <f>Inputs!AP294</f>
        <v>-</v>
      </c>
      <c r="AQ222" s="192" t="str">
        <f>Inputs!AQ294</f>
        <v>-</v>
      </c>
      <c r="AR222" s="192" t="str">
        <f>Inputs!AR294</f>
        <v>-</v>
      </c>
      <c r="AS222" s="192" t="str">
        <f>Inputs!AS294</f>
        <v>-</v>
      </c>
      <c r="AT222" s="229"/>
    </row>
    <row r="223">
      <c r="A223" s="80"/>
      <c r="B223" s="81"/>
      <c r="C223" s="81"/>
      <c r="D223" s="81"/>
      <c r="E223" s="188" t="s">
        <v>710</v>
      </c>
      <c r="F223" s="189" t="str">
        <f>Inputs!F295</f>
        <v>%</v>
      </c>
      <c r="G223" s="263" t="str">
        <f>Inputs!G295</f>
        <v>input</v>
      </c>
      <c r="H223" s="191">
        <f>Inputs!H295</f>
        <v>-0.02</v>
      </c>
      <c r="I223" s="192" t="str">
        <f>Inputs!I295</f>
        <v>-</v>
      </c>
      <c r="J223" s="192" t="str">
        <f>Inputs!J295</f>
        <v>-</v>
      </c>
      <c r="K223" s="192" t="str">
        <f>Inputs!K295</f>
        <v>-</v>
      </c>
      <c r="L223" s="192" t="str">
        <f>Inputs!L295</f>
        <v>-</v>
      </c>
      <c r="M223" s="192" t="str">
        <f>Inputs!M295</f>
        <v>-</v>
      </c>
      <c r="N223" s="192" t="str">
        <f>Inputs!N295</f>
        <v>-</v>
      </c>
      <c r="O223" s="192" t="str">
        <f>Inputs!O295</f>
        <v>-</v>
      </c>
      <c r="P223" s="192" t="str">
        <f>Inputs!P295</f>
        <v>-</v>
      </c>
      <c r="Q223" s="192" t="str">
        <f>Inputs!Q295</f>
        <v>-</v>
      </c>
      <c r="R223" s="192" t="str">
        <f>Inputs!R295</f>
        <v>-</v>
      </c>
      <c r="S223" s="192" t="str">
        <f>Inputs!S295</f>
        <v>-</v>
      </c>
      <c r="T223" s="192" t="str">
        <f>Inputs!T295</f>
        <v>-</v>
      </c>
      <c r="U223" s="192" t="str">
        <f>Inputs!U295</f>
        <v>-</v>
      </c>
      <c r="V223" s="192" t="str">
        <f>Inputs!V295</f>
        <v>-</v>
      </c>
      <c r="W223" s="192" t="str">
        <f>Inputs!W295</f>
        <v>-</v>
      </c>
      <c r="X223" s="192" t="str">
        <f>Inputs!X295</f>
        <v>-</v>
      </c>
      <c r="Y223" s="192" t="str">
        <f>Inputs!Y295</f>
        <v>-</v>
      </c>
      <c r="Z223" s="192" t="str">
        <f>Inputs!Z295</f>
        <v>-</v>
      </c>
      <c r="AA223" s="192" t="str">
        <f>Inputs!AA295</f>
        <v>-</v>
      </c>
      <c r="AB223" s="192" t="str">
        <f>Inputs!AB295</f>
        <v>-</v>
      </c>
      <c r="AC223" s="192" t="str">
        <f>Inputs!AC295</f>
        <v>-</v>
      </c>
      <c r="AD223" s="192" t="str">
        <f>Inputs!AD295</f>
        <v>-</v>
      </c>
      <c r="AE223" s="192" t="str">
        <f>Inputs!AE295</f>
        <v>-</v>
      </c>
      <c r="AF223" s="192" t="str">
        <f>Inputs!AF295</f>
        <v>-</v>
      </c>
      <c r="AG223" s="192" t="str">
        <f>Inputs!AG295</f>
        <v>-</v>
      </c>
      <c r="AH223" s="192" t="str">
        <f>Inputs!AH295</f>
        <v>-</v>
      </c>
      <c r="AI223" s="192" t="str">
        <f>Inputs!AI295</f>
        <v>-</v>
      </c>
      <c r="AJ223" s="192" t="str">
        <f>Inputs!AJ295</f>
        <v>-</v>
      </c>
      <c r="AK223" s="192" t="str">
        <f>Inputs!AK295</f>
        <v>-</v>
      </c>
      <c r="AL223" s="192" t="str">
        <f>Inputs!AL295</f>
        <v>-</v>
      </c>
      <c r="AM223" s="192" t="str">
        <f>Inputs!AM295</f>
        <v>-</v>
      </c>
      <c r="AN223" s="192" t="str">
        <f>Inputs!AN295</f>
        <v>-</v>
      </c>
      <c r="AO223" s="192" t="str">
        <f>Inputs!AO295</f>
        <v>-</v>
      </c>
      <c r="AP223" s="192" t="str">
        <f>Inputs!AP295</f>
        <v>-</v>
      </c>
      <c r="AQ223" s="192" t="str">
        <f>Inputs!AQ295</f>
        <v>-</v>
      </c>
      <c r="AR223" s="192" t="str">
        <f>Inputs!AR295</f>
        <v>-</v>
      </c>
      <c r="AS223" s="192" t="str">
        <f>Inputs!AS295</f>
        <v>-</v>
      </c>
      <c r="AT223" s="229"/>
    </row>
    <row r="224">
      <c r="A224" s="80"/>
      <c r="B224" s="81"/>
      <c r="C224" s="81"/>
      <c r="D224" s="81"/>
      <c r="E224" s="188" t="s">
        <v>715</v>
      </c>
      <c r="F224" s="189" t="str">
        <f>Inputs!F296</f>
        <v>%</v>
      </c>
      <c r="G224" s="263" t="str">
        <f>Inputs!G296</f>
        <v>input</v>
      </c>
      <c r="H224" s="191">
        <f>Inputs!H296</f>
        <v>-0.04</v>
      </c>
      <c r="I224" s="192" t="str">
        <f>Inputs!I296</f>
        <v>-</v>
      </c>
      <c r="J224" s="192" t="str">
        <f>Inputs!J296</f>
        <v>-</v>
      </c>
      <c r="K224" s="192" t="str">
        <f>Inputs!K296</f>
        <v>-</v>
      </c>
      <c r="L224" s="192" t="str">
        <f>Inputs!L296</f>
        <v>-</v>
      </c>
      <c r="M224" s="192" t="str">
        <f>Inputs!M296</f>
        <v>-</v>
      </c>
      <c r="N224" s="192" t="str">
        <f>Inputs!N296</f>
        <v>-</v>
      </c>
      <c r="O224" s="192" t="str">
        <f>Inputs!O296</f>
        <v>-</v>
      </c>
      <c r="P224" s="192" t="str">
        <f>Inputs!P296</f>
        <v>-</v>
      </c>
      <c r="Q224" s="192" t="str">
        <f>Inputs!Q296</f>
        <v>-</v>
      </c>
      <c r="R224" s="192" t="str">
        <f>Inputs!R296</f>
        <v>-</v>
      </c>
      <c r="S224" s="192" t="str">
        <f>Inputs!S296</f>
        <v>-</v>
      </c>
      <c r="T224" s="192" t="str">
        <f>Inputs!T296</f>
        <v>-</v>
      </c>
      <c r="U224" s="192" t="str">
        <f>Inputs!U296</f>
        <v>-</v>
      </c>
      <c r="V224" s="192" t="str">
        <f>Inputs!V296</f>
        <v>-</v>
      </c>
      <c r="W224" s="192" t="str">
        <f>Inputs!W296</f>
        <v>-</v>
      </c>
      <c r="X224" s="192" t="str">
        <f>Inputs!X296</f>
        <v>-</v>
      </c>
      <c r="Y224" s="192" t="str">
        <f>Inputs!Y296</f>
        <v>-</v>
      </c>
      <c r="Z224" s="192" t="str">
        <f>Inputs!Z296</f>
        <v>-</v>
      </c>
      <c r="AA224" s="192" t="str">
        <f>Inputs!AA296</f>
        <v>-</v>
      </c>
      <c r="AB224" s="192" t="str">
        <f>Inputs!AB296</f>
        <v>-</v>
      </c>
      <c r="AC224" s="192" t="str">
        <f>Inputs!AC296</f>
        <v>-</v>
      </c>
      <c r="AD224" s="192" t="str">
        <f>Inputs!AD296</f>
        <v>-</v>
      </c>
      <c r="AE224" s="192" t="str">
        <f>Inputs!AE296</f>
        <v>-</v>
      </c>
      <c r="AF224" s="192" t="str">
        <f>Inputs!AF296</f>
        <v>-</v>
      </c>
      <c r="AG224" s="192" t="str">
        <f>Inputs!AG296</f>
        <v>-</v>
      </c>
      <c r="AH224" s="192" t="str">
        <f>Inputs!AH296</f>
        <v>-</v>
      </c>
      <c r="AI224" s="192" t="str">
        <f>Inputs!AI296</f>
        <v>-</v>
      </c>
      <c r="AJ224" s="192" t="str">
        <f>Inputs!AJ296</f>
        <v>-</v>
      </c>
      <c r="AK224" s="192" t="str">
        <f>Inputs!AK296</f>
        <v>-</v>
      </c>
      <c r="AL224" s="192" t="str">
        <f>Inputs!AL296</f>
        <v>-</v>
      </c>
      <c r="AM224" s="192" t="str">
        <f>Inputs!AM296</f>
        <v>-</v>
      </c>
      <c r="AN224" s="192" t="str">
        <f>Inputs!AN296</f>
        <v>-</v>
      </c>
      <c r="AO224" s="192" t="str">
        <f>Inputs!AO296</f>
        <v>-</v>
      </c>
      <c r="AP224" s="192" t="str">
        <f>Inputs!AP296</f>
        <v>-</v>
      </c>
      <c r="AQ224" s="192" t="str">
        <f>Inputs!AQ296</f>
        <v>-</v>
      </c>
      <c r="AR224" s="192" t="str">
        <f>Inputs!AR296</f>
        <v>-</v>
      </c>
      <c r="AS224" s="192" t="str">
        <f>Inputs!AS296</f>
        <v>-</v>
      </c>
      <c r="AT224" s="229"/>
    </row>
    <row r="225">
      <c r="A225" s="80"/>
      <c r="B225" s="81"/>
      <c r="C225" s="81"/>
      <c r="D225" s="81"/>
      <c r="E225" s="188" t="s">
        <v>719</v>
      </c>
      <c r="F225" s="189" t="str">
        <f>Inputs!F297</f>
        <v>%</v>
      </c>
      <c r="G225" s="263" t="str">
        <f>Inputs!G297</f>
        <v>input</v>
      </c>
      <c r="H225" s="191">
        <f>Inputs!H297</f>
        <v>0.035</v>
      </c>
      <c r="I225" s="192" t="str">
        <f>Inputs!I297</f>
        <v>-</v>
      </c>
      <c r="J225" s="192" t="str">
        <f>Inputs!J297</f>
        <v>-</v>
      </c>
      <c r="K225" s="192" t="str">
        <f>Inputs!K297</f>
        <v>-</v>
      </c>
      <c r="L225" s="192" t="str">
        <f>Inputs!L297</f>
        <v>-</v>
      </c>
      <c r="M225" s="192" t="str">
        <f>Inputs!M297</f>
        <v>-</v>
      </c>
      <c r="N225" s="192" t="str">
        <f>Inputs!N297</f>
        <v>-</v>
      </c>
      <c r="O225" s="192" t="str">
        <f>Inputs!O297</f>
        <v>-</v>
      </c>
      <c r="P225" s="192" t="str">
        <f>Inputs!P297</f>
        <v>-</v>
      </c>
      <c r="Q225" s="192" t="str">
        <f>Inputs!Q297</f>
        <v>-</v>
      </c>
      <c r="R225" s="192" t="str">
        <f>Inputs!R297</f>
        <v>-</v>
      </c>
      <c r="S225" s="192" t="str">
        <f>Inputs!S297</f>
        <v>-</v>
      </c>
      <c r="T225" s="192" t="str">
        <f>Inputs!T297</f>
        <v>-</v>
      </c>
      <c r="U225" s="192" t="str">
        <f>Inputs!U297</f>
        <v>-</v>
      </c>
      <c r="V225" s="192" t="str">
        <f>Inputs!V297</f>
        <v>-</v>
      </c>
      <c r="W225" s="192" t="str">
        <f>Inputs!W297</f>
        <v>-</v>
      </c>
      <c r="X225" s="192" t="str">
        <f>Inputs!X297</f>
        <v>-</v>
      </c>
      <c r="Y225" s="192" t="str">
        <f>Inputs!Y297</f>
        <v>-</v>
      </c>
      <c r="Z225" s="192" t="str">
        <f>Inputs!Z297</f>
        <v>-</v>
      </c>
      <c r="AA225" s="192" t="str">
        <f>Inputs!AA297</f>
        <v>-</v>
      </c>
      <c r="AB225" s="192" t="str">
        <f>Inputs!AB297</f>
        <v>-</v>
      </c>
      <c r="AC225" s="192" t="str">
        <f>Inputs!AC297</f>
        <v>-</v>
      </c>
      <c r="AD225" s="192" t="str">
        <f>Inputs!AD297</f>
        <v>-</v>
      </c>
      <c r="AE225" s="192" t="str">
        <f>Inputs!AE297</f>
        <v>-</v>
      </c>
      <c r="AF225" s="192" t="str">
        <f>Inputs!AF297</f>
        <v>-</v>
      </c>
      <c r="AG225" s="192" t="str">
        <f>Inputs!AG297</f>
        <v>-</v>
      </c>
      <c r="AH225" s="192" t="str">
        <f>Inputs!AH297</f>
        <v>-</v>
      </c>
      <c r="AI225" s="192" t="str">
        <f>Inputs!AI297</f>
        <v>-</v>
      </c>
      <c r="AJ225" s="192" t="str">
        <f>Inputs!AJ297</f>
        <v>-</v>
      </c>
      <c r="AK225" s="192" t="str">
        <f>Inputs!AK297</f>
        <v>-</v>
      </c>
      <c r="AL225" s="192" t="str">
        <f>Inputs!AL297</f>
        <v>-</v>
      </c>
      <c r="AM225" s="192" t="str">
        <f>Inputs!AM297</f>
        <v>-</v>
      </c>
      <c r="AN225" s="192" t="str">
        <f>Inputs!AN297</f>
        <v>-</v>
      </c>
      <c r="AO225" s="192" t="str">
        <f>Inputs!AO297</f>
        <v>-</v>
      </c>
      <c r="AP225" s="192" t="str">
        <f>Inputs!AP297</f>
        <v>-</v>
      </c>
      <c r="AQ225" s="192" t="str">
        <f>Inputs!AQ297</f>
        <v>-</v>
      </c>
      <c r="AR225" s="192" t="str">
        <f>Inputs!AR297</f>
        <v>-</v>
      </c>
      <c r="AS225" s="192" t="str">
        <f>Inputs!AS297</f>
        <v>-</v>
      </c>
      <c r="AT225" s="229"/>
    </row>
    <row r="226">
      <c r="A226" s="80"/>
      <c r="B226" s="81"/>
      <c r="C226" s="81"/>
      <c r="D226" s="445"/>
      <c r="E226" s="121"/>
      <c r="F226" s="108"/>
      <c r="G226" s="127"/>
      <c r="H226" s="110"/>
      <c r="I226" s="86"/>
      <c r="J226" s="86"/>
      <c r="K226" s="86"/>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c r="AQ226" s="86"/>
      <c r="AR226" s="86"/>
      <c r="AS226" s="86"/>
      <c r="AT226" s="185"/>
    </row>
    <row r="227">
      <c r="A227" s="80"/>
      <c r="B227" s="81"/>
      <c r="C227" s="81"/>
      <c r="D227" s="446" t="s">
        <v>727</v>
      </c>
      <c r="E227" s="12"/>
      <c r="F227" s="93" t="s">
        <v>122</v>
      </c>
      <c r="G227" s="128" t="s">
        <v>149</v>
      </c>
      <c r="H227" s="330">
        <f>SUM(H211:H226)</f>
        <v>0.328</v>
      </c>
      <c r="I227" s="331" t="s">
        <v>150</v>
      </c>
      <c r="J227" s="331" t="s">
        <v>150</v>
      </c>
      <c r="K227" s="331" t="s">
        <v>150</v>
      </c>
      <c r="L227" s="331" t="s">
        <v>150</v>
      </c>
      <c r="M227" s="331" t="s">
        <v>150</v>
      </c>
      <c r="N227" s="331" t="s">
        <v>150</v>
      </c>
      <c r="O227" s="331" t="s">
        <v>150</v>
      </c>
      <c r="P227" s="331" t="s">
        <v>150</v>
      </c>
      <c r="Q227" s="331" t="s">
        <v>150</v>
      </c>
      <c r="R227" s="331" t="s">
        <v>150</v>
      </c>
      <c r="S227" s="331" t="s">
        <v>150</v>
      </c>
      <c r="T227" s="331" t="s">
        <v>150</v>
      </c>
      <c r="U227" s="331" t="s">
        <v>150</v>
      </c>
      <c r="V227" s="331" t="s">
        <v>150</v>
      </c>
      <c r="W227" s="331" t="s">
        <v>150</v>
      </c>
      <c r="X227" s="331" t="s">
        <v>150</v>
      </c>
      <c r="Y227" s="331" t="s">
        <v>150</v>
      </c>
      <c r="Z227" s="331" t="s">
        <v>150</v>
      </c>
      <c r="AA227" s="331" t="s">
        <v>150</v>
      </c>
      <c r="AB227" s="331" t="s">
        <v>150</v>
      </c>
      <c r="AC227" s="331" t="s">
        <v>150</v>
      </c>
      <c r="AD227" s="331" t="s">
        <v>150</v>
      </c>
      <c r="AE227" s="331" t="s">
        <v>150</v>
      </c>
      <c r="AF227" s="331" t="s">
        <v>150</v>
      </c>
      <c r="AG227" s="331" t="s">
        <v>150</v>
      </c>
      <c r="AH227" s="331" t="s">
        <v>150</v>
      </c>
      <c r="AI227" s="331" t="s">
        <v>150</v>
      </c>
      <c r="AJ227" s="331" t="s">
        <v>150</v>
      </c>
      <c r="AK227" s="331" t="s">
        <v>150</v>
      </c>
      <c r="AL227" s="331" t="s">
        <v>150</v>
      </c>
      <c r="AM227" s="331" t="s">
        <v>150</v>
      </c>
      <c r="AN227" s="331" t="s">
        <v>150</v>
      </c>
      <c r="AO227" s="331" t="s">
        <v>150</v>
      </c>
      <c r="AP227" s="331" t="s">
        <v>150</v>
      </c>
      <c r="AQ227" s="331" t="s">
        <v>150</v>
      </c>
      <c r="AR227" s="331" t="s">
        <v>150</v>
      </c>
      <c r="AS227" s="331" t="s">
        <v>150</v>
      </c>
      <c r="AT227" s="120"/>
    </row>
    <row r="228">
      <c r="A228" s="80"/>
      <c r="B228" s="81"/>
      <c r="C228" s="81"/>
      <c r="D228" s="81"/>
      <c r="E228" s="82"/>
      <c r="F228" s="368"/>
      <c r="G228" s="84"/>
      <c r="H228" s="85"/>
      <c r="I228" s="86"/>
      <c r="J228" s="86"/>
      <c r="K228" s="86"/>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c r="AQ228" s="86"/>
      <c r="AR228" s="86"/>
      <c r="AS228" s="86"/>
      <c r="AT228" s="88"/>
    </row>
    <row r="229">
      <c r="A229" s="80"/>
      <c r="B229" s="81"/>
      <c r="C229" s="325" t="s">
        <v>731</v>
      </c>
      <c r="F229" s="368"/>
      <c r="G229" s="84"/>
      <c r="H229" s="85"/>
      <c r="I229" s="86"/>
      <c r="J229" s="86"/>
      <c r="K229" s="86"/>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c r="AQ229" s="86"/>
      <c r="AR229" s="86"/>
      <c r="AS229" s="86"/>
      <c r="AT229" s="88"/>
    </row>
    <row r="230">
      <c r="A230" s="80"/>
      <c r="B230" s="81"/>
      <c r="C230" s="81"/>
      <c r="D230" s="81"/>
      <c r="E230" s="188" t="s">
        <v>732</v>
      </c>
      <c r="F230" s="189" t="s">
        <v>122</v>
      </c>
      <c r="G230" s="263" t="s">
        <v>131</v>
      </c>
      <c r="H230" s="295" t="str">
        <f>LeverageFunging!H95</f>
        <v>-</v>
      </c>
      <c r="I230" s="119">
        <f>LeverageFunging!I95</f>
        <v>-0.04389222939</v>
      </c>
      <c r="J230" s="119">
        <f>LeverageFunging!J95</f>
        <v>-0.05871560674</v>
      </c>
      <c r="K230" s="119">
        <f>LeverageFunging!K95</f>
        <v>-0.04143220233</v>
      </c>
      <c r="L230" s="119">
        <f>LeverageFunging!L95</f>
        <v>-0.08453609522</v>
      </c>
      <c r="M230" s="119">
        <f>LeverageFunging!M95</f>
        <v>-0.06509396122</v>
      </c>
      <c r="N230" s="119">
        <f>LeverageFunging!N95</f>
        <v>-0.05653573269</v>
      </c>
      <c r="O230" s="119">
        <f>LeverageFunging!O95</f>
        <v>-0.05129101533</v>
      </c>
      <c r="P230" s="119">
        <f>LeverageFunging!P95</f>
        <v>-0.03944465594</v>
      </c>
      <c r="Q230" s="119">
        <f>LeverageFunging!Q95</f>
        <v>-0.03420496148</v>
      </c>
      <c r="R230" s="119">
        <f>LeverageFunging!R95</f>
        <v>-0.1042663911</v>
      </c>
      <c r="S230" s="119">
        <f>LeverageFunging!S95</f>
        <v>-0.05891436564</v>
      </c>
      <c r="T230" s="119">
        <f>LeverageFunging!T95</f>
        <v>-0.1385821425</v>
      </c>
      <c r="U230" s="119">
        <f>LeverageFunging!U95</f>
        <v>-0.1397052583</v>
      </c>
      <c r="V230" s="119">
        <f>LeverageFunging!V95</f>
        <v>-0.1180359655</v>
      </c>
      <c r="W230" s="119">
        <f>LeverageFunging!W95</f>
        <v>-0.09698169505</v>
      </c>
      <c r="X230" s="119">
        <f>LeverageFunging!X95</f>
        <v>-0.1213887277</v>
      </c>
      <c r="Y230" s="119">
        <f>LeverageFunging!Y95</f>
        <v>-0.08916235679</v>
      </c>
      <c r="Z230" s="119">
        <f>LeverageFunging!Z95</f>
        <v>-0.130320669</v>
      </c>
      <c r="AA230" s="119">
        <f>LeverageFunging!AA95</f>
        <v>-0.0179432682</v>
      </c>
      <c r="AB230" s="119">
        <f>LeverageFunging!AB95</f>
        <v>-0.09823154147</v>
      </c>
      <c r="AC230" s="119">
        <f>LeverageFunging!AC95</f>
        <v>-0.08071465435</v>
      </c>
      <c r="AD230" s="119">
        <f>LeverageFunging!AD95</f>
        <v>-0.05763144302</v>
      </c>
      <c r="AE230" s="119">
        <f>LeverageFunging!AE95</f>
        <v>-0.1022441881</v>
      </c>
      <c r="AF230" s="119">
        <f>LeverageFunging!AF95</f>
        <v>-0.1022664874</v>
      </c>
      <c r="AG230" s="119">
        <f>LeverageFunging!AG95</f>
        <v>-0.1299149306</v>
      </c>
      <c r="AH230" s="119">
        <f>LeverageFunging!AH95</f>
        <v>-0.202746002</v>
      </c>
      <c r="AI230" s="119">
        <f>LeverageFunging!AI95</f>
        <v>-0.1279423332</v>
      </c>
      <c r="AJ230" s="119">
        <f>LeverageFunging!AJ95</f>
        <v>-0.1196675563</v>
      </c>
      <c r="AK230" s="119">
        <f>LeverageFunging!AK95</f>
        <v>-0.09297972513</v>
      </c>
      <c r="AL230" s="119">
        <f>LeverageFunging!AL95</f>
        <v>-0.1789692178</v>
      </c>
      <c r="AM230" s="119">
        <f>LeverageFunging!AM95</f>
        <v>-0.1546380873</v>
      </c>
      <c r="AN230" s="119">
        <f>LeverageFunging!AN95</f>
        <v>-0.1588186883</v>
      </c>
      <c r="AO230" s="119">
        <f>LeverageFunging!AO95</f>
        <v>-0.2148037363</v>
      </c>
      <c r="AP230" s="119">
        <f>LeverageFunging!AP95</f>
        <v>-0.126705157</v>
      </c>
      <c r="AQ230" s="119">
        <f>LeverageFunging!AQ95</f>
        <v>-0.107912169</v>
      </c>
      <c r="AR230" s="119">
        <f>LeverageFunging!AR95</f>
        <v>-0.06346006704</v>
      </c>
      <c r="AS230" s="119">
        <f>LeverageFunging!AS95</f>
        <v>-0.06556101841</v>
      </c>
      <c r="AT230" s="136"/>
    </row>
    <row r="231">
      <c r="A231" s="80"/>
      <c r="B231" s="81"/>
      <c r="C231" s="81"/>
      <c r="D231" s="81"/>
      <c r="E231" s="214" t="s">
        <v>737</v>
      </c>
      <c r="F231" s="215" t="s">
        <v>122</v>
      </c>
      <c r="G231" s="277" t="s">
        <v>131</v>
      </c>
      <c r="H231" s="274" t="str">
        <f>LeverageFunging!H96</f>
        <v>-</v>
      </c>
      <c r="I231" s="149">
        <f>LeverageFunging!I96</f>
        <v>-0.09454246312</v>
      </c>
      <c r="J231" s="149">
        <f>LeverageFunging!J96</f>
        <v>-0.08809133855</v>
      </c>
      <c r="K231" s="149">
        <f>LeverageFunging!K96</f>
        <v>-0.0934462414</v>
      </c>
      <c r="L231" s="149">
        <f>LeverageFunging!L96</f>
        <v>-0.07767313257</v>
      </c>
      <c r="M231" s="149">
        <f>LeverageFunging!M96</f>
        <v>-0.09030202996</v>
      </c>
      <c r="N231" s="149">
        <f>LeverageFunging!N96</f>
        <v>-0.09369868863</v>
      </c>
      <c r="O231" s="149">
        <f>LeverageFunging!O96</f>
        <v>-0.0959228956</v>
      </c>
      <c r="P231" s="149">
        <f>LeverageFunging!P96</f>
        <v>-0.09746520692</v>
      </c>
      <c r="Q231" s="149">
        <f>LeverageFunging!Q96</f>
        <v>-0.09656088237</v>
      </c>
      <c r="R231" s="149">
        <f>LeverageFunging!R96</f>
        <v>-0.03013590142</v>
      </c>
      <c r="S231" s="149">
        <f>LeverageFunging!S96</f>
        <v>-0.06888392591</v>
      </c>
      <c r="T231" s="149">
        <f>LeverageFunging!T96</f>
        <v>-0.02902876987</v>
      </c>
      <c r="U231" s="149">
        <f>LeverageFunging!U96</f>
        <v>-0.04268840727</v>
      </c>
      <c r="V231" s="149">
        <f>LeverageFunging!V96</f>
        <v>-0.05852445801</v>
      </c>
      <c r="W231" s="149">
        <f>LeverageFunging!W96</f>
        <v>-0.06584179742</v>
      </c>
      <c r="X231" s="149">
        <f>LeverageFunging!X96</f>
        <v>-0.0839086216</v>
      </c>
      <c r="Y231" s="149">
        <f>LeverageFunging!Y96</f>
        <v>-0.007350728345</v>
      </c>
      <c r="Z231" s="149">
        <f>LeverageFunging!Z96</f>
        <v>-0.05043666533</v>
      </c>
      <c r="AA231" s="149">
        <f>LeverageFunging!AA96</f>
        <v>0.07722667056</v>
      </c>
      <c r="AB231" s="149">
        <f>LeverageFunging!AB96</f>
        <v>-0.02146159767</v>
      </c>
      <c r="AC231" s="149">
        <f>LeverageFunging!AC96</f>
        <v>0.02190481959</v>
      </c>
      <c r="AD231" s="149">
        <f>LeverageFunging!AD96</f>
        <v>0.05980402274</v>
      </c>
      <c r="AE231" s="149">
        <f>LeverageFunging!AE96</f>
        <v>-0.007625827666</v>
      </c>
      <c r="AF231" s="149">
        <f>LeverageFunging!AF96</f>
        <v>0.0249304735</v>
      </c>
      <c r="AG231" s="149">
        <f>LeverageFunging!AG96</f>
        <v>-0.04664036756</v>
      </c>
      <c r="AH231" s="149">
        <f>LeverageFunging!AH96</f>
        <v>-0.05682839979</v>
      </c>
      <c r="AI231" s="149">
        <f>LeverageFunging!AI96</f>
        <v>0.02836591757</v>
      </c>
      <c r="AJ231" s="149">
        <f>LeverageFunging!AJ96</f>
        <v>-0.07038132924</v>
      </c>
      <c r="AK231" s="149">
        <f>LeverageFunging!AK96</f>
        <v>-0.08512270297</v>
      </c>
      <c r="AL231" s="149">
        <f>LeverageFunging!AL96</f>
        <v>-0.06566372359</v>
      </c>
      <c r="AM231" s="149">
        <f>LeverageFunging!AM96</f>
        <v>-0.05900638568</v>
      </c>
      <c r="AN231" s="149">
        <f>LeverageFunging!AN96</f>
        <v>0.01656155738</v>
      </c>
      <c r="AO231" s="149">
        <f>LeverageFunging!AO96</f>
        <v>-0.04405986868</v>
      </c>
      <c r="AP231" s="149">
        <f>LeverageFunging!AP96</f>
        <v>-0.05367725911</v>
      </c>
      <c r="AQ231" s="149">
        <f>LeverageFunging!AQ96</f>
        <v>-0.01977492499</v>
      </c>
      <c r="AR231" s="149">
        <f>LeverageFunging!AR96</f>
        <v>-0.0833072569</v>
      </c>
      <c r="AS231" s="149">
        <f>LeverageFunging!AS96</f>
        <v>-0.08085934145</v>
      </c>
      <c r="AT231" s="163"/>
    </row>
    <row r="232">
      <c r="A232" s="80"/>
      <c r="B232" s="81"/>
      <c r="C232" s="81"/>
      <c r="D232" s="81"/>
      <c r="E232" s="121"/>
      <c r="F232" s="108"/>
      <c r="G232" s="127"/>
      <c r="H232" s="85"/>
      <c r="I232" s="111"/>
      <c r="J232" s="111"/>
      <c r="K232" s="111"/>
      <c r="L232" s="111"/>
      <c r="M232" s="111"/>
      <c r="N232" s="111"/>
      <c r="O232" s="111"/>
      <c r="P232" s="111"/>
      <c r="Q232" s="111"/>
      <c r="R232" s="111"/>
      <c r="S232" s="111"/>
      <c r="T232" s="111"/>
      <c r="U232" s="111"/>
      <c r="V232" s="111"/>
      <c r="W232" s="111"/>
      <c r="X232" s="111"/>
      <c r="Y232" s="111"/>
      <c r="Z232" s="111"/>
      <c r="AA232" s="111"/>
      <c r="AB232" s="111"/>
      <c r="AC232" s="111"/>
      <c r="AD232" s="111"/>
      <c r="AE232" s="111"/>
      <c r="AF232" s="111"/>
      <c r="AG232" s="111"/>
      <c r="AH232" s="111"/>
      <c r="AI232" s="111"/>
      <c r="AJ232" s="111"/>
      <c r="AK232" s="111"/>
      <c r="AL232" s="111"/>
      <c r="AM232" s="111"/>
      <c r="AN232" s="111"/>
      <c r="AO232" s="111"/>
      <c r="AP232" s="111"/>
      <c r="AQ232" s="111"/>
      <c r="AR232" s="111"/>
      <c r="AS232" s="111"/>
      <c r="AT232" s="88"/>
    </row>
    <row r="233">
      <c r="A233" s="80"/>
      <c r="B233" s="81"/>
      <c r="C233" s="81"/>
      <c r="D233" s="92" t="s">
        <v>741</v>
      </c>
      <c r="E233" s="12"/>
      <c r="F233" s="93" t="s">
        <v>122</v>
      </c>
      <c r="G233" s="128" t="s">
        <v>131</v>
      </c>
      <c r="H233" s="337" t="str">
        <f>LeverageFunging!H97</f>
        <v>-</v>
      </c>
      <c r="I233" s="308">
        <f>LeverageFunging!I97</f>
        <v>-0.1384346925</v>
      </c>
      <c r="J233" s="308">
        <f>LeverageFunging!J97</f>
        <v>-0.1468069453</v>
      </c>
      <c r="K233" s="308">
        <f>LeverageFunging!K97</f>
        <v>-0.1348784437</v>
      </c>
      <c r="L233" s="308">
        <f>LeverageFunging!L97</f>
        <v>-0.1622092278</v>
      </c>
      <c r="M233" s="308">
        <f>LeverageFunging!M97</f>
        <v>-0.1553959912</v>
      </c>
      <c r="N233" s="308">
        <f>LeverageFunging!N97</f>
        <v>-0.1502344213</v>
      </c>
      <c r="O233" s="308">
        <f>LeverageFunging!O97</f>
        <v>-0.1472139109</v>
      </c>
      <c r="P233" s="308">
        <f>LeverageFunging!P97</f>
        <v>-0.1369098629</v>
      </c>
      <c r="Q233" s="308">
        <f>LeverageFunging!Q97</f>
        <v>-0.1307658439</v>
      </c>
      <c r="R233" s="308">
        <f>LeverageFunging!R97</f>
        <v>-0.1344022925</v>
      </c>
      <c r="S233" s="308">
        <f>LeverageFunging!S97</f>
        <v>-0.1277982916</v>
      </c>
      <c r="T233" s="308">
        <f>LeverageFunging!T97</f>
        <v>-0.1676109124</v>
      </c>
      <c r="U233" s="308">
        <f>LeverageFunging!U97</f>
        <v>-0.1823936656</v>
      </c>
      <c r="V233" s="308">
        <f>LeverageFunging!V97</f>
        <v>-0.1765604235</v>
      </c>
      <c r="W233" s="308">
        <f>LeverageFunging!W97</f>
        <v>-0.1628234925</v>
      </c>
      <c r="X233" s="308">
        <f>LeverageFunging!X97</f>
        <v>-0.2052973493</v>
      </c>
      <c r="Y233" s="308">
        <f>LeverageFunging!Y97</f>
        <v>-0.09651308513</v>
      </c>
      <c r="Z233" s="308">
        <f>LeverageFunging!Z97</f>
        <v>-0.1807573343</v>
      </c>
      <c r="AA233" s="308">
        <f>LeverageFunging!AA97</f>
        <v>0.05928340236</v>
      </c>
      <c r="AB233" s="308">
        <f>LeverageFunging!AB97</f>
        <v>-0.1196931391</v>
      </c>
      <c r="AC233" s="308">
        <f>LeverageFunging!AC97</f>
        <v>-0.05880983476</v>
      </c>
      <c r="AD233" s="308">
        <f>LeverageFunging!AD97</f>
        <v>0.002172579726</v>
      </c>
      <c r="AE233" s="308">
        <f>LeverageFunging!AE97</f>
        <v>-0.1098700157</v>
      </c>
      <c r="AF233" s="308">
        <f>LeverageFunging!AF97</f>
        <v>-0.07733601386</v>
      </c>
      <c r="AG233" s="308">
        <f>LeverageFunging!AG97</f>
        <v>-0.1765552982</v>
      </c>
      <c r="AH233" s="308">
        <f>LeverageFunging!AH97</f>
        <v>-0.2595744018</v>
      </c>
      <c r="AI233" s="308">
        <f>LeverageFunging!AI97</f>
        <v>-0.09957641561</v>
      </c>
      <c r="AJ233" s="308">
        <f>LeverageFunging!AJ97</f>
        <v>-0.1900488856</v>
      </c>
      <c r="AK233" s="308">
        <f>LeverageFunging!AK97</f>
        <v>-0.1781024281</v>
      </c>
      <c r="AL233" s="308">
        <f>LeverageFunging!AL97</f>
        <v>-0.2446329413</v>
      </c>
      <c r="AM233" s="308">
        <f>LeverageFunging!AM97</f>
        <v>-0.213644473</v>
      </c>
      <c r="AN233" s="308">
        <f>LeverageFunging!AN97</f>
        <v>-0.1422571309</v>
      </c>
      <c r="AO233" s="308">
        <f>LeverageFunging!AO97</f>
        <v>-0.258863605</v>
      </c>
      <c r="AP233" s="308">
        <f>LeverageFunging!AP97</f>
        <v>-0.1803824161</v>
      </c>
      <c r="AQ233" s="308">
        <f>LeverageFunging!AQ97</f>
        <v>-0.127687094</v>
      </c>
      <c r="AR233" s="308">
        <f>LeverageFunging!AR97</f>
        <v>-0.1467673239</v>
      </c>
      <c r="AS233" s="308">
        <f>LeverageFunging!AS97</f>
        <v>-0.1464203599</v>
      </c>
      <c r="AT233" s="265"/>
    </row>
    <row r="234">
      <c r="A234" s="80"/>
      <c r="B234" s="81"/>
      <c r="C234" s="81"/>
      <c r="D234" s="81"/>
      <c r="E234" s="82"/>
      <c r="F234" s="368"/>
      <c r="G234" s="84"/>
      <c r="H234" s="85"/>
      <c r="I234" s="86"/>
      <c r="J234" s="86"/>
      <c r="K234" s="86"/>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c r="AQ234" s="86"/>
      <c r="AR234" s="86"/>
      <c r="AS234" s="86"/>
      <c r="AT234" s="88"/>
    </row>
    <row r="235">
      <c r="A235" s="72" t="s">
        <v>742</v>
      </c>
      <c r="B235" s="14"/>
      <c r="C235" s="14"/>
      <c r="D235" s="14"/>
      <c r="E235" s="14"/>
      <c r="F235" s="14"/>
      <c r="G235" s="14"/>
      <c r="H235" s="73"/>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c r="AF235" s="97"/>
      <c r="AG235" s="97"/>
      <c r="AH235" s="97"/>
      <c r="AI235" s="97"/>
      <c r="AJ235" s="97"/>
      <c r="AK235" s="97"/>
      <c r="AL235" s="97"/>
      <c r="AM235" s="97"/>
      <c r="AN235" s="97"/>
      <c r="AO235" s="97"/>
      <c r="AP235" s="97"/>
      <c r="AQ235" s="97"/>
      <c r="AR235" s="97"/>
      <c r="AS235" s="97"/>
      <c r="AT235" s="79"/>
    </row>
    <row r="236">
      <c r="A236" s="80"/>
      <c r="B236" s="81"/>
      <c r="C236" s="81"/>
      <c r="D236" s="81"/>
      <c r="E236" s="82"/>
      <c r="F236" s="368"/>
      <c r="G236" s="84"/>
      <c r="H236" s="85"/>
      <c r="I236" s="86"/>
      <c r="J236" s="86"/>
      <c r="K236" s="86"/>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c r="AQ236" s="86"/>
      <c r="AR236" s="86"/>
      <c r="AS236" s="86"/>
      <c r="AT236" s="88"/>
    </row>
    <row r="237">
      <c r="A237" s="80"/>
      <c r="B237" s="81"/>
      <c r="C237" s="101" t="s">
        <v>743</v>
      </c>
      <c r="F237" s="108"/>
      <c r="G237" s="459"/>
      <c r="H237" s="405"/>
      <c r="I237" s="403"/>
      <c r="J237" s="403"/>
      <c r="K237" s="403"/>
      <c r="L237" s="403"/>
      <c r="M237" s="403"/>
      <c r="N237" s="403"/>
      <c r="O237" s="403"/>
      <c r="P237" s="403"/>
      <c r="Q237" s="403"/>
      <c r="R237" s="403"/>
      <c r="S237" s="403"/>
      <c r="T237" s="403"/>
      <c r="U237" s="403"/>
      <c r="V237" s="403"/>
      <c r="W237" s="403"/>
      <c r="X237" s="403"/>
      <c r="Y237" s="403"/>
      <c r="Z237" s="403"/>
      <c r="AA237" s="403"/>
      <c r="AB237" s="403"/>
      <c r="AC237" s="403"/>
      <c r="AD237" s="403"/>
      <c r="AE237" s="403"/>
      <c r="AF237" s="403"/>
      <c r="AG237" s="403"/>
      <c r="AH237" s="403"/>
      <c r="AI237" s="403"/>
      <c r="AJ237" s="403"/>
      <c r="AK237" s="403"/>
      <c r="AL237" s="403"/>
      <c r="AM237" s="403"/>
      <c r="AN237" s="403"/>
      <c r="AO237" s="403"/>
      <c r="AP237" s="403"/>
      <c r="AQ237" s="403"/>
      <c r="AR237" s="403"/>
      <c r="AS237" s="403"/>
      <c r="AT237" s="88"/>
    </row>
    <row r="238">
      <c r="A238" s="80"/>
      <c r="B238" s="81"/>
      <c r="C238" s="21"/>
      <c r="D238" s="81"/>
      <c r="E238" s="188" t="s">
        <v>744</v>
      </c>
      <c r="F238" s="189" t="s">
        <v>127</v>
      </c>
      <c r="G238" s="460" t="s">
        <v>131</v>
      </c>
      <c r="H238" s="118" t="str">
        <f>LeverageFunging!H92</f>
        <v>-</v>
      </c>
      <c r="I238" s="418">
        <f t="shared" ref="I238:AS238" si="62">I174*(1+$H207)*(1+$H227)*(1+I233)</f>
        <v>79833.37278</v>
      </c>
      <c r="J238" s="418">
        <f t="shared" si="62"/>
        <v>36230.74932</v>
      </c>
      <c r="K238" s="418">
        <f t="shared" si="62"/>
        <v>66754.36156</v>
      </c>
      <c r="L238" s="418">
        <f t="shared" si="62"/>
        <v>18975.82788</v>
      </c>
      <c r="M238" s="418">
        <f t="shared" si="62"/>
        <v>44041.81964</v>
      </c>
      <c r="N238" s="418">
        <f t="shared" si="62"/>
        <v>68196.35274</v>
      </c>
      <c r="O238" s="418">
        <f t="shared" si="62"/>
        <v>105774.5603</v>
      </c>
      <c r="P238" s="418">
        <f t="shared" si="62"/>
        <v>172189.4723</v>
      </c>
      <c r="Q238" s="418">
        <f t="shared" si="62"/>
        <v>127815.2597</v>
      </c>
      <c r="R238" s="418">
        <f t="shared" si="62"/>
        <v>6265.489279</v>
      </c>
      <c r="S238" s="418">
        <f t="shared" si="62"/>
        <v>14175.066</v>
      </c>
      <c r="T238" s="418">
        <f t="shared" si="62"/>
        <v>5931.123933</v>
      </c>
      <c r="U238" s="418">
        <f t="shared" si="62"/>
        <v>7214.308723</v>
      </c>
      <c r="V238" s="418">
        <f t="shared" si="62"/>
        <v>10039.97474</v>
      </c>
      <c r="W238" s="418">
        <f t="shared" si="62"/>
        <v>12394.09945</v>
      </c>
      <c r="X238" s="418">
        <f t="shared" si="62"/>
        <v>24974.93506</v>
      </c>
      <c r="Y238" s="418">
        <f t="shared" si="62"/>
        <v>4931.4293</v>
      </c>
      <c r="Z238" s="418">
        <f t="shared" si="62"/>
        <v>8358.820463</v>
      </c>
      <c r="AA238" s="418">
        <f t="shared" si="62"/>
        <v>3022.567737</v>
      </c>
      <c r="AB238" s="418">
        <f t="shared" si="62"/>
        <v>5668.197548</v>
      </c>
      <c r="AC238" s="418">
        <f t="shared" si="62"/>
        <v>3904.356433</v>
      </c>
      <c r="AD238" s="418">
        <f t="shared" si="62"/>
        <v>3171.376195</v>
      </c>
      <c r="AE238" s="418">
        <f t="shared" si="62"/>
        <v>4872.99341</v>
      </c>
      <c r="AF238" s="418">
        <f t="shared" si="62"/>
        <v>3734.806767</v>
      </c>
      <c r="AG238" s="418">
        <f t="shared" si="62"/>
        <v>7803.951539</v>
      </c>
      <c r="AH238" s="418">
        <f t="shared" si="62"/>
        <v>8673.137506</v>
      </c>
      <c r="AI238" s="418">
        <f t="shared" si="62"/>
        <v>3547.236021</v>
      </c>
      <c r="AJ238" s="418">
        <f t="shared" si="62"/>
        <v>13828.85417</v>
      </c>
      <c r="AK238" s="418">
        <f t="shared" si="62"/>
        <v>27937.44061</v>
      </c>
      <c r="AL238" s="418">
        <f t="shared" si="62"/>
        <v>11124.94311</v>
      </c>
      <c r="AM238" s="418">
        <f t="shared" si="62"/>
        <v>9700.534989</v>
      </c>
      <c r="AN238" s="418">
        <f t="shared" si="62"/>
        <v>3721.30039</v>
      </c>
      <c r="AO238" s="418">
        <f t="shared" si="62"/>
        <v>6699.88908</v>
      </c>
      <c r="AP238" s="418">
        <f t="shared" si="62"/>
        <v>8947.670285</v>
      </c>
      <c r="AQ238" s="418">
        <f t="shared" si="62"/>
        <v>5498.637883</v>
      </c>
      <c r="AR238" s="418">
        <f t="shared" si="62"/>
        <v>25848.3439</v>
      </c>
      <c r="AS238" s="418">
        <f t="shared" si="62"/>
        <v>22551.7436</v>
      </c>
      <c r="AT238" s="136"/>
    </row>
    <row r="239">
      <c r="A239" s="80"/>
      <c r="B239" s="81"/>
      <c r="C239" s="81"/>
      <c r="D239" s="81"/>
      <c r="E239" s="188" t="str">
        <f>E11</f>
        <v>Total spending contributed by grantee</v>
      </c>
      <c r="F239" s="189" t="s">
        <v>118</v>
      </c>
      <c r="G239" s="263" t="s">
        <v>71</v>
      </c>
      <c r="H239" s="461" t="str">
        <f t="shared" ref="H239:AS239" si="63">H11</f>
        <v>-</v>
      </c>
      <c r="I239" s="432">
        <f t="shared" si="63"/>
        <v>1000000</v>
      </c>
      <c r="J239" s="432">
        <f t="shared" si="63"/>
        <v>1000000</v>
      </c>
      <c r="K239" s="432">
        <f t="shared" si="63"/>
        <v>1000000</v>
      </c>
      <c r="L239" s="432">
        <f t="shared" si="63"/>
        <v>1000000</v>
      </c>
      <c r="M239" s="432">
        <f t="shared" si="63"/>
        <v>1000000</v>
      </c>
      <c r="N239" s="432">
        <f t="shared" si="63"/>
        <v>1000000</v>
      </c>
      <c r="O239" s="432">
        <f t="shared" si="63"/>
        <v>1000000</v>
      </c>
      <c r="P239" s="432">
        <f t="shared" si="63"/>
        <v>1000000</v>
      </c>
      <c r="Q239" s="432">
        <f t="shared" si="63"/>
        <v>1000000</v>
      </c>
      <c r="R239" s="432">
        <f t="shared" si="63"/>
        <v>1000000</v>
      </c>
      <c r="S239" s="432">
        <f t="shared" si="63"/>
        <v>1000000</v>
      </c>
      <c r="T239" s="432">
        <f t="shared" si="63"/>
        <v>1000000</v>
      </c>
      <c r="U239" s="432">
        <f t="shared" si="63"/>
        <v>1000000</v>
      </c>
      <c r="V239" s="432">
        <f t="shared" si="63"/>
        <v>1000000</v>
      </c>
      <c r="W239" s="432">
        <f t="shared" si="63"/>
        <v>1000000</v>
      </c>
      <c r="X239" s="432">
        <f t="shared" si="63"/>
        <v>1000000</v>
      </c>
      <c r="Y239" s="432">
        <f t="shared" si="63"/>
        <v>1000000</v>
      </c>
      <c r="Z239" s="432">
        <f t="shared" si="63"/>
        <v>1000000</v>
      </c>
      <c r="AA239" s="432">
        <f t="shared" si="63"/>
        <v>1000000</v>
      </c>
      <c r="AB239" s="432">
        <f t="shared" si="63"/>
        <v>1000000</v>
      </c>
      <c r="AC239" s="432">
        <f t="shared" si="63"/>
        <v>1000000</v>
      </c>
      <c r="AD239" s="432">
        <f t="shared" si="63"/>
        <v>1000000</v>
      </c>
      <c r="AE239" s="432">
        <f t="shared" si="63"/>
        <v>1000000</v>
      </c>
      <c r="AF239" s="432">
        <f t="shared" si="63"/>
        <v>1000000</v>
      </c>
      <c r="AG239" s="432">
        <f t="shared" si="63"/>
        <v>1000000</v>
      </c>
      <c r="AH239" s="432">
        <f t="shared" si="63"/>
        <v>1000000</v>
      </c>
      <c r="AI239" s="432">
        <f t="shared" si="63"/>
        <v>1000000</v>
      </c>
      <c r="AJ239" s="432">
        <f t="shared" si="63"/>
        <v>1000000</v>
      </c>
      <c r="AK239" s="432">
        <f t="shared" si="63"/>
        <v>1000000</v>
      </c>
      <c r="AL239" s="432">
        <f t="shared" si="63"/>
        <v>1000000</v>
      </c>
      <c r="AM239" s="432">
        <f t="shared" si="63"/>
        <v>1000000</v>
      </c>
      <c r="AN239" s="432">
        <f t="shared" si="63"/>
        <v>1000000</v>
      </c>
      <c r="AO239" s="432">
        <f t="shared" si="63"/>
        <v>1000000</v>
      </c>
      <c r="AP239" s="432">
        <f t="shared" si="63"/>
        <v>1000000</v>
      </c>
      <c r="AQ239" s="432">
        <f t="shared" si="63"/>
        <v>1000000</v>
      </c>
      <c r="AR239" s="432">
        <f t="shared" si="63"/>
        <v>1000000</v>
      </c>
      <c r="AS239" s="432">
        <f t="shared" si="63"/>
        <v>1000000</v>
      </c>
      <c r="AT239" s="136"/>
    </row>
    <row r="240">
      <c r="A240" s="80"/>
      <c r="B240" s="81"/>
      <c r="C240" s="81"/>
      <c r="D240" s="81"/>
      <c r="E240" s="214" t="s">
        <v>745</v>
      </c>
      <c r="F240" s="215" t="s">
        <v>127</v>
      </c>
      <c r="G240" s="277" t="s">
        <v>149</v>
      </c>
      <c r="H240" s="462" t="s">
        <v>150</v>
      </c>
      <c r="I240" s="463">
        <f t="shared" ref="I240:AS240" si="64">I238/I239</f>
        <v>0.07983337278</v>
      </c>
      <c r="J240" s="463">
        <f t="shared" si="64"/>
        <v>0.03623074932</v>
      </c>
      <c r="K240" s="463">
        <f t="shared" si="64"/>
        <v>0.06675436156</v>
      </c>
      <c r="L240" s="463">
        <f t="shared" si="64"/>
        <v>0.01897582788</v>
      </c>
      <c r="M240" s="463">
        <f t="shared" si="64"/>
        <v>0.04404181964</v>
      </c>
      <c r="N240" s="463">
        <f t="shared" si="64"/>
        <v>0.06819635274</v>
      </c>
      <c r="O240" s="463">
        <f t="shared" si="64"/>
        <v>0.1057745603</v>
      </c>
      <c r="P240" s="463">
        <f t="shared" si="64"/>
        <v>0.1721894723</v>
      </c>
      <c r="Q240" s="463">
        <f t="shared" si="64"/>
        <v>0.1278152597</v>
      </c>
      <c r="R240" s="463">
        <f t="shared" si="64"/>
        <v>0.006265489279</v>
      </c>
      <c r="S240" s="463">
        <f t="shared" si="64"/>
        <v>0.014175066</v>
      </c>
      <c r="T240" s="463">
        <f t="shared" si="64"/>
        <v>0.005931123933</v>
      </c>
      <c r="U240" s="463">
        <f t="shared" si="64"/>
        <v>0.007214308723</v>
      </c>
      <c r="V240" s="463">
        <f t="shared" si="64"/>
        <v>0.01003997474</v>
      </c>
      <c r="W240" s="463">
        <f t="shared" si="64"/>
        <v>0.01239409945</v>
      </c>
      <c r="X240" s="463">
        <f t="shared" si="64"/>
        <v>0.02497493506</v>
      </c>
      <c r="Y240" s="463">
        <f t="shared" si="64"/>
        <v>0.0049314293</v>
      </c>
      <c r="Z240" s="463">
        <f t="shared" si="64"/>
        <v>0.008358820463</v>
      </c>
      <c r="AA240" s="463">
        <f t="shared" si="64"/>
        <v>0.003022567737</v>
      </c>
      <c r="AB240" s="463">
        <f t="shared" si="64"/>
        <v>0.005668197548</v>
      </c>
      <c r="AC240" s="463">
        <f t="shared" si="64"/>
        <v>0.003904356433</v>
      </c>
      <c r="AD240" s="463">
        <f t="shared" si="64"/>
        <v>0.003171376195</v>
      </c>
      <c r="AE240" s="463">
        <f t="shared" si="64"/>
        <v>0.00487299341</v>
      </c>
      <c r="AF240" s="463">
        <f t="shared" si="64"/>
        <v>0.003734806767</v>
      </c>
      <c r="AG240" s="463">
        <f t="shared" si="64"/>
        <v>0.007803951539</v>
      </c>
      <c r="AH240" s="463">
        <f t="shared" si="64"/>
        <v>0.008673137506</v>
      </c>
      <c r="AI240" s="463">
        <f t="shared" si="64"/>
        <v>0.003547236021</v>
      </c>
      <c r="AJ240" s="463">
        <f t="shared" si="64"/>
        <v>0.01382885417</v>
      </c>
      <c r="AK240" s="463">
        <f t="shared" si="64"/>
        <v>0.02793744061</v>
      </c>
      <c r="AL240" s="463">
        <f t="shared" si="64"/>
        <v>0.01112494311</v>
      </c>
      <c r="AM240" s="463">
        <f t="shared" si="64"/>
        <v>0.009700534989</v>
      </c>
      <c r="AN240" s="463">
        <f t="shared" si="64"/>
        <v>0.00372130039</v>
      </c>
      <c r="AO240" s="463">
        <f t="shared" si="64"/>
        <v>0.00669988908</v>
      </c>
      <c r="AP240" s="463">
        <f t="shared" si="64"/>
        <v>0.008947670285</v>
      </c>
      <c r="AQ240" s="463">
        <f t="shared" si="64"/>
        <v>0.005498637883</v>
      </c>
      <c r="AR240" s="463">
        <f t="shared" si="64"/>
        <v>0.0258483439</v>
      </c>
      <c r="AS240" s="463">
        <f t="shared" si="64"/>
        <v>0.0225517436</v>
      </c>
      <c r="AT240" s="163"/>
    </row>
    <row r="241">
      <c r="A241" s="80"/>
      <c r="B241" s="81"/>
      <c r="C241" s="81"/>
      <c r="D241" s="81"/>
      <c r="E241" s="466" t="s">
        <v>746</v>
      </c>
      <c r="F241" s="467" t="s">
        <v>129</v>
      </c>
      <c r="G241" s="468" t="s">
        <v>149</v>
      </c>
      <c r="H241" s="469" t="s">
        <v>150</v>
      </c>
      <c r="I241" s="471">
        <f t="shared" ref="I241:AS241" si="65">I240/$H176</f>
        <v>23.79888889</v>
      </c>
      <c r="J241" s="471">
        <f t="shared" si="65"/>
        <v>10.80064073</v>
      </c>
      <c r="K241" s="471">
        <f t="shared" si="65"/>
        <v>19.89994382</v>
      </c>
      <c r="L241" s="471">
        <f t="shared" si="65"/>
        <v>5.656827509</v>
      </c>
      <c r="M241" s="471">
        <f t="shared" si="65"/>
        <v>13.12917563</v>
      </c>
      <c r="N241" s="471">
        <f t="shared" si="65"/>
        <v>20.32981152</v>
      </c>
      <c r="O241" s="471">
        <f t="shared" si="65"/>
        <v>31.53213901</v>
      </c>
      <c r="P241" s="471">
        <f t="shared" si="65"/>
        <v>51.33089054</v>
      </c>
      <c r="Q241" s="471">
        <f t="shared" si="65"/>
        <v>38.10262623</v>
      </c>
      <c r="R241" s="471">
        <f t="shared" si="65"/>
        <v>1.867786341</v>
      </c>
      <c r="S241" s="471">
        <f t="shared" si="65"/>
        <v>4.225686691</v>
      </c>
      <c r="T241" s="471">
        <f t="shared" si="65"/>
        <v>1.768109683</v>
      </c>
      <c r="U241" s="471">
        <f t="shared" si="65"/>
        <v>2.150636078</v>
      </c>
      <c r="V241" s="471">
        <f t="shared" si="65"/>
        <v>2.992986954</v>
      </c>
      <c r="W241" s="471">
        <f t="shared" si="65"/>
        <v>3.694768058</v>
      </c>
      <c r="X241" s="471">
        <f t="shared" si="65"/>
        <v>7.445203475</v>
      </c>
      <c r="Y241" s="471">
        <f t="shared" si="65"/>
        <v>1.470093695</v>
      </c>
      <c r="Z241" s="471">
        <f t="shared" si="65"/>
        <v>2.491823062</v>
      </c>
      <c r="AA241" s="471">
        <f t="shared" si="65"/>
        <v>0.9010486621</v>
      </c>
      <c r="AB241" s="471">
        <f t="shared" si="65"/>
        <v>1.689729482</v>
      </c>
      <c r="AC241" s="471">
        <f t="shared" si="65"/>
        <v>1.163916063</v>
      </c>
      <c r="AD241" s="471">
        <f t="shared" si="65"/>
        <v>0.9454095081</v>
      </c>
      <c r="AE241" s="471">
        <f t="shared" si="65"/>
        <v>1.452673546</v>
      </c>
      <c r="AF241" s="471">
        <f t="shared" si="65"/>
        <v>1.113372117</v>
      </c>
      <c r="AG241" s="471">
        <f t="shared" si="65"/>
        <v>2.326412741</v>
      </c>
      <c r="AH241" s="471">
        <f t="shared" si="65"/>
        <v>2.58552318</v>
      </c>
      <c r="AI241" s="471">
        <f t="shared" si="65"/>
        <v>1.057455961</v>
      </c>
      <c r="AJ241" s="471">
        <f t="shared" si="65"/>
        <v>4.122478511</v>
      </c>
      <c r="AK241" s="471">
        <f t="shared" si="65"/>
        <v>8.328347179</v>
      </c>
      <c r="AL241" s="471">
        <f t="shared" si="65"/>
        <v>3.316423642</v>
      </c>
      <c r="AM241" s="471">
        <f t="shared" si="65"/>
        <v>2.891797582</v>
      </c>
      <c r="AN241" s="471">
        <f t="shared" si="65"/>
        <v>1.109345771</v>
      </c>
      <c r="AO241" s="471">
        <f t="shared" si="65"/>
        <v>1.997283971</v>
      </c>
      <c r="AP241" s="471">
        <f t="shared" si="65"/>
        <v>2.667363328</v>
      </c>
      <c r="AQ241" s="471">
        <f t="shared" si="65"/>
        <v>1.639182556</v>
      </c>
      <c r="AR241" s="471">
        <f t="shared" si="65"/>
        <v>7.705572783</v>
      </c>
      <c r="AS241" s="471">
        <f t="shared" si="65"/>
        <v>6.722833091</v>
      </c>
      <c r="AT241" s="248"/>
    </row>
    <row r="242">
      <c r="A242" s="80"/>
      <c r="B242" s="81"/>
      <c r="C242" s="81"/>
      <c r="D242" s="81"/>
      <c r="E242" s="473"/>
      <c r="F242" s="326"/>
      <c r="G242" s="327"/>
      <c r="H242" s="328"/>
      <c r="I242" s="474"/>
      <c r="J242" s="474"/>
      <c r="K242" s="474"/>
      <c r="L242" s="474"/>
      <c r="M242" s="474"/>
      <c r="N242" s="474"/>
      <c r="O242" s="474"/>
      <c r="P242" s="474"/>
      <c r="Q242" s="474"/>
      <c r="R242" s="474"/>
      <c r="S242" s="474"/>
      <c r="T242" s="474"/>
      <c r="U242" s="474"/>
      <c r="V242" s="474"/>
      <c r="W242" s="474"/>
      <c r="X242" s="474"/>
      <c r="Y242" s="474"/>
      <c r="Z242" s="474"/>
      <c r="AA242" s="474"/>
      <c r="AB242" s="474"/>
      <c r="AC242" s="474"/>
      <c r="AD242" s="474"/>
      <c r="AE242" s="474"/>
      <c r="AF242" s="474"/>
      <c r="AG242" s="474"/>
      <c r="AH242" s="474"/>
      <c r="AI242" s="474"/>
      <c r="AJ242" s="474"/>
      <c r="AK242" s="474"/>
      <c r="AL242" s="474"/>
      <c r="AM242" s="474"/>
      <c r="AN242" s="474"/>
      <c r="AO242" s="474"/>
      <c r="AP242" s="474"/>
      <c r="AQ242" s="474"/>
      <c r="AR242" s="474"/>
      <c r="AS242" s="474"/>
      <c r="AT242" s="88"/>
    </row>
    <row r="243">
      <c r="A243" s="72" t="s">
        <v>750</v>
      </c>
      <c r="B243" s="14"/>
      <c r="C243" s="14"/>
      <c r="D243" s="14"/>
      <c r="E243" s="14"/>
      <c r="F243" s="14"/>
      <c r="G243" s="14"/>
      <c r="H243" s="73"/>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c r="AF243" s="97"/>
      <c r="AG243" s="97"/>
      <c r="AH243" s="97"/>
      <c r="AI243" s="97"/>
      <c r="AJ243" s="97"/>
      <c r="AK243" s="97"/>
      <c r="AL243" s="97"/>
      <c r="AM243" s="97"/>
      <c r="AN243" s="97"/>
      <c r="AO243" s="97"/>
      <c r="AP243" s="97"/>
      <c r="AQ243" s="97"/>
      <c r="AR243" s="97"/>
      <c r="AS243" s="97"/>
      <c r="AT243" s="79"/>
    </row>
    <row r="244">
      <c r="A244" s="80"/>
      <c r="B244" s="81"/>
      <c r="C244" s="81"/>
      <c r="D244" s="81"/>
      <c r="E244" s="82"/>
      <c r="F244" s="83"/>
      <c r="G244" s="84"/>
      <c r="H244" s="85"/>
      <c r="I244" s="86"/>
      <c r="J244" s="86"/>
      <c r="K244" s="86"/>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c r="AP244" s="86"/>
      <c r="AQ244" s="86"/>
      <c r="AR244" s="86"/>
      <c r="AS244" s="86"/>
      <c r="AT244" s="88"/>
    </row>
    <row r="245">
      <c r="A245" s="80"/>
      <c r="B245" s="81"/>
      <c r="C245" s="325" t="s">
        <v>751</v>
      </c>
      <c r="F245" s="83"/>
      <c r="G245" s="84"/>
      <c r="H245" s="85"/>
      <c r="I245" s="86"/>
      <c r="J245" s="86"/>
      <c r="K245" s="86"/>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c r="AQ245" s="86"/>
      <c r="AR245" s="86"/>
      <c r="AS245" s="86"/>
      <c r="AT245" s="88"/>
    </row>
    <row r="246">
      <c r="A246" s="80"/>
      <c r="B246" s="81"/>
      <c r="C246" s="81"/>
      <c r="D246" s="81"/>
      <c r="E246" s="188" t="s">
        <v>654</v>
      </c>
      <c r="F246" s="189" t="s">
        <v>122</v>
      </c>
      <c r="G246" s="263" t="s">
        <v>71</v>
      </c>
      <c r="H246" s="156">
        <f t="shared" ref="H246:AS246" si="66">H207</f>
        <v>-0.07</v>
      </c>
      <c r="I246" s="119" t="str">
        <f t="shared" si="66"/>
        <v>-</v>
      </c>
      <c r="J246" s="119" t="str">
        <f t="shared" si="66"/>
        <v>-</v>
      </c>
      <c r="K246" s="119" t="str">
        <f t="shared" si="66"/>
        <v>-</v>
      </c>
      <c r="L246" s="119" t="str">
        <f t="shared" si="66"/>
        <v>-</v>
      </c>
      <c r="M246" s="119" t="str">
        <f t="shared" si="66"/>
        <v>-</v>
      </c>
      <c r="N246" s="119" t="str">
        <f t="shared" si="66"/>
        <v>-</v>
      </c>
      <c r="O246" s="119" t="str">
        <f t="shared" si="66"/>
        <v>-</v>
      </c>
      <c r="P246" s="119" t="str">
        <f t="shared" si="66"/>
        <v>-</v>
      </c>
      <c r="Q246" s="119" t="str">
        <f t="shared" si="66"/>
        <v>-</v>
      </c>
      <c r="R246" s="119" t="str">
        <f t="shared" si="66"/>
        <v>-</v>
      </c>
      <c r="S246" s="119" t="str">
        <f t="shared" si="66"/>
        <v>-</v>
      </c>
      <c r="T246" s="119" t="str">
        <f t="shared" si="66"/>
        <v>-</v>
      </c>
      <c r="U246" s="119" t="str">
        <f t="shared" si="66"/>
        <v>-</v>
      </c>
      <c r="V246" s="119" t="str">
        <f t="shared" si="66"/>
        <v>-</v>
      </c>
      <c r="W246" s="119" t="str">
        <f t="shared" si="66"/>
        <v>-</v>
      </c>
      <c r="X246" s="119" t="str">
        <f t="shared" si="66"/>
        <v>-</v>
      </c>
      <c r="Y246" s="119" t="str">
        <f t="shared" si="66"/>
        <v>-</v>
      </c>
      <c r="Z246" s="119" t="str">
        <f t="shared" si="66"/>
        <v>-</v>
      </c>
      <c r="AA246" s="119" t="str">
        <f t="shared" si="66"/>
        <v>-</v>
      </c>
      <c r="AB246" s="119" t="str">
        <f t="shared" si="66"/>
        <v>-</v>
      </c>
      <c r="AC246" s="119" t="str">
        <f t="shared" si="66"/>
        <v>-</v>
      </c>
      <c r="AD246" s="119" t="str">
        <f t="shared" si="66"/>
        <v>-</v>
      </c>
      <c r="AE246" s="119" t="str">
        <f t="shared" si="66"/>
        <v>-</v>
      </c>
      <c r="AF246" s="119" t="str">
        <f t="shared" si="66"/>
        <v>-</v>
      </c>
      <c r="AG246" s="119" t="str">
        <f t="shared" si="66"/>
        <v>-</v>
      </c>
      <c r="AH246" s="119" t="str">
        <f t="shared" si="66"/>
        <v>-</v>
      </c>
      <c r="AI246" s="119" t="str">
        <f t="shared" si="66"/>
        <v>-</v>
      </c>
      <c r="AJ246" s="119" t="str">
        <f t="shared" si="66"/>
        <v>-</v>
      </c>
      <c r="AK246" s="119" t="str">
        <f t="shared" si="66"/>
        <v>-</v>
      </c>
      <c r="AL246" s="119" t="str">
        <f t="shared" si="66"/>
        <v>-</v>
      </c>
      <c r="AM246" s="119" t="str">
        <f t="shared" si="66"/>
        <v>-</v>
      </c>
      <c r="AN246" s="119" t="str">
        <f t="shared" si="66"/>
        <v>-</v>
      </c>
      <c r="AO246" s="119" t="str">
        <f t="shared" si="66"/>
        <v>-</v>
      </c>
      <c r="AP246" s="119" t="str">
        <f t="shared" si="66"/>
        <v>-</v>
      </c>
      <c r="AQ246" s="119" t="str">
        <f t="shared" si="66"/>
        <v>-</v>
      </c>
      <c r="AR246" s="119" t="str">
        <f t="shared" si="66"/>
        <v>-</v>
      </c>
      <c r="AS246" s="119" t="str">
        <f t="shared" si="66"/>
        <v>-</v>
      </c>
      <c r="AT246" s="136"/>
    </row>
    <row r="247">
      <c r="A247" s="80"/>
      <c r="B247" s="81"/>
      <c r="C247" s="81"/>
      <c r="D247" s="81"/>
      <c r="E247" s="476" t="s">
        <v>752</v>
      </c>
      <c r="F247" s="215" t="s">
        <v>122</v>
      </c>
      <c r="G247" s="277" t="s">
        <v>131</v>
      </c>
      <c r="H247" s="187" t="str">
        <f>LeverageFunging!H100</f>
        <v>-</v>
      </c>
      <c r="I247" s="149">
        <f>LeverageFunging!I100</f>
        <v>-0.1384346925</v>
      </c>
      <c r="J247" s="149">
        <f>LeverageFunging!J100</f>
        <v>-0.1468069453</v>
      </c>
      <c r="K247" s="149">
        <f>LeverageFunging!K100</f>
        <v>-0.1348784437</v>
      </c>
      <c r="L247" s="149">
        <f>LeverageFunging!L100</f>
        <v>-0.1622092278</v>
      </c>
      <c r="M247" s="149">
        <f>LeverageFunging!M100</f>
        <v>-0.1553959912</v>
      </c>
      <c r="N247" s="149">
        <f>LeverageFunging!N100</f>
        <v>-0.1502344213</v>
      </c>
      <c r="O247" s="149">
        <f>LeverageFunging!O100</f>
        <v>-0.1472139109</v>
      </c>
      <c r="P247" s="149">
        <f>LeverageFunging!P100</f>
        <v>-0.1369098629</v>
      </c>
      <c r="Q247" s="149">
        <f>LeverageFunging!Q100</f>
        <v>-0.1307658439</v>
      </c>
      <c r="R247" s="149">
        <f>LeverageFunging!R100</f>
        <v>-0.1344022925</v>
      </c>
      <c r="S247" s="149">
        <f>LeverageFunging!S100</f>
        <v>-0.1277982916</v>
      </c>
      <c r="T247" s="149">
        <f>LeverageFunging!T100</f>
        <v>-0.1676109124</v>
      </c>
      <c r="U247" s="149">
        <f>LeverageFunging!U100</f>
        <v>-0.1823936656</v>
      </c>
      <c r="V247" s="149">
        <f>LeverageFunging!V100</f>
        <v>-0.1765604235</v>
      </c>
      <c r="W247" s="149">
        <f>LeverageFunging!W100</f>
        <v>-0.1628234925</v>
      </c>
      <c r="X247" s="149">
        <f>LeverageFunging!X100</f>
        <v>-0.2052973493</v>
      </c>
      <c r="Y247" s="149">
        <f>LeverageFunging!Y100</f>
        <v>-0.09651308513</v>
      </c>
      <c r="Z247" s="149">
        <f>LeverageFunging!Z100</f>
        <v>-0.1807573343</v>
      </c>
      <c r="AA247" s="149">
        <f>LeverageFunging!AA100</f>
        <v>-0.0179432682</v>
      </c>
      <c r="AB247" s="149">
        <f>LeverageFunging!AB100</f>
        <v>-0.1196931391</v>
      </c>
      <c r="AC247" s="149">
        <f>LeverageFunging!AC100</f>
        <v>-0.08071465435</v>
      </c>
      <c r="AD247" s="149">
        <f>LeverageFunging!AD100</f>
        <v>-0.05763144302</v>
      </c>
      <c r="AE247" s="149">
        <f>LeverageFunging!AE100</f>
        <v>-0.1098700157</v>
      </c>
      <c r="AF247" s="149">
        <f>LeverageFunging!AF100</f>
        <v>-0.1022664874</v>
      </c>
      <c r="AG247" s="149">
        <f>LeverageFunging!AG100</f>
        <v>-0.1765552982</v>
      </c>
      <c r="AH247" s="149">
        <f>LeverageFunging!AH100</f>
        <v>-0.2595744018</v>
      </c>
      <c r="AI247" s="149">
        <f>LeverageFunging!AI100</f>
        <v>-0.1279423332</v>
      </c>
      <c r="AJ247" s="149">
        <f>LeverageFunging!AJ100</f>
        <v>-0.1900488856</v>
      </c>
      <c r="AK247" s="149">
        <f>LeverageFunging!AK100</f>
        <v>-0.1781024281</v>
      </c>
      <c r="AL247" s="149">
        <f>LeverageFunging!AL100</f>
        <v>-0.2446329413</v>
      </c>
      <c r="AM247" s="149">
        <f>LeverageFunging!AM100</f>
        <v>-0.213644473</v>
      </c>
      <c r="AN247" s="149">
        <f>LeverageFunging!AN100</f>
        <v>-0.1588186883</v>
      </c>
      <c r="AO247" s="149">
        <f>LeverageFunging!AO100</f>
        <v>-0.258863605</v>
      </c>
      <c r="AP247" s="149">
        <f>LeverageFunging!AP100</f>
        <v>-0.1803824161</v>
      </c>
      <c r="AQ247" s="149">
        <f>LeverageFunging!AQ100</f>
        <v>-0.127687094</v>
      </c>
      <c r="AR247" s="149">
        <f>LeverageFunging!AR100</f>
        <v>-0.1467673239</v>
      </c>
      <c r="AS247" s="149">
        <f>LeverageFunging!AS100</f>
        <v>-0.1464203599</v>
      </c>
      <c r="AT247" s="163"/>
    </row>
    <row r="248">
      <c r="A248" s="80"/>
      <c r="B248" s="81"/>
      <c r="C248" s="81"/>
      <c r="D248" s="446" t="s">
        <v>755</v>
      </c>
      <c r="E248" s="12"/>
      <c r="F248" s="93" t="s">
        <v>122</v>
      </c>
      <c r="G248" s="128" t="s">
        <v>149</v>
      </c>
      <c r="H248" s="129" t="s">
        <v>150</v>
      </c>
      <c r="I248" s="308">
        <f t="shared" ref="I248:AS248" si="67">((1+$H246)*(1+I247))-1</f>
        <v>-0.198744264</v>
      </c>
      <c r="J248" s="308">
        <f t="shared" si="67"/>
        <v>-0.2065304591</v>
      </c>
      <c r="K248" s="308">
        <f t="shared" si="67"/>
        <v>-0.1954369527</v>
      </c>
      <c r="L248" s="308">
        <f t="shared" si="67"/>
        <v>-0.2208545818</v>
      </c>
      <c r="M248" s="308">
        <f t="shared" si="67"/>
        <v>-0.2145182718</v>
      </c>
      <c r="N248" s="308">
        <f t="shared" si="67"/>
        <v>-0.2097180118</v>
      </c>
      <c r="O248" s="308">
        <f t="shared" si="67"/>
        <v>-0.2069089372</v>
      </c>
      <c r="P248" s="308">
        <f t="shared" si="67"/>
        <v>-0.1973261725</v>
      </c>
      <c r="Q248" s="308">
        <f t="shared" si="67"/>
        <v>-0.1916122348</v>
      </c>
      <c r="R248" s="308">
        <f t="shared" si="67"/>
        <v>-0.194994132</v>
      </c>
      <c r="S248" s="308">
        <f t="shared" si="67"/>
        <v>-0.1888524111</v>
      </c>
      <c r="T248" s="308">
        <f t="shared" si="67"/>
        <v>-0.2258781485</v>
      </c>
      <c r="U248" s="308">
        <f t="shared" si="67"/>
        <v>-0.239626109</v>
      </c>
      <c r="V248" s="308">
        <f t="shared" si="67"/>
        <v>-0.2342011939</v>
      </c>
      <c r="W248" s="308">
        <f t="shared" si="67"/>
        <v>-0.221425848</v>
      </c>
      <c r="X248" s="308">
        <f t="shared" si="67"/>
        <v>-0.2609265349</v>
      </c>
      <c r="Y248" s="308">
        <f t="shared" si="67"/>
        <v>-0.1597571692</v>
      </c>
      <c r="Z248" s="308">
        <f t="shared" si="67"/>
        <v>-0.2381043209</v>
      </c>
      <c r="AA248" s="308">
        <f t="shared" si="67"/>
        <v>-0.08668723942</v>
      </c>
      <c r="AB248" s="308">
        <f t="shared" si="67"/>
        <v>-0.1813146194</v>
      </c>
      <c r="AC248" s="308">
        <f t="shared" si="67"/>
        <v>-0.1450646285</v>
      </c>
      <c r="AD248" s="308">
        <f t="shared" si="67"/>
        <v>-0.123597242</v>
      </c>
      <c r="AE248" s="308">
        <f t="shared" si="67"/>
        <v>-0.1721791146</v>
      </c>
      <c r="AF248" s="308">
        <f t="shared" si="67"/>
        <v>-0.1651078332</v>
      </c>
      <c r="AG248" s="308">
        <f t="shared" si="67"/>
        <v>-0.2341964273</v>
      </c>
      <c r="AH248" s="308">
        <f t="shared" si="67"/>
        <v>-0.3114041937</v>
      </c>
      <c r="AI248" s="308">
        <f t="shared" si="67"/>
        <v>-0.1889863699</v>
      </c>
      <c r="AJ248" s="308">
        <f t="shared" si="67"/>
        <v>-0.2467454636</v>
      </c>
      <c r="AK248" s="308">
        <f t="shared" si="67"/>
        <v>-0.2356352581</v>
      </c>
      <c r="AL248" s="308">
        <f t="shared" si="67"/>
        <v>-0.2975086355</v>
      </c>
      <c r="AM248" s="308">
        <f t="shared" si="67"/>
        <v>-0.2686893599</v>
      </c>
      <c r="AN248" s="308">
        <f t="shared" si="67"/>
        <v>-0.2177013801</v>
      </c>
      <c r="AO248" s="308">
        <f t="shared" si="67"/>
        <v>-0.3107431527</v>
      </c>
      <c r="AP248" s="308">
        <f t="shared" si="67"/>
        <v>-0.237755647</v>
      </c>
      <c r="AQ248" s="308">
        <f t="shared" si="67"/>
        <v>-0.1887489974</v>
      </c>
      <c r="AR248" s="308">
        <f t="shared" si="67"/>
        <v>-0.2064936113</v>
      </c>
      <c r="AS248" s="308">
        <f t="shared" si="67"/>
        <v>-0.2061709347</v>
      </c>
      <c r="AT248" s="265"/>
    </row>
    <row r="249">
      <c r="A249" s="80"/>
      <c r="B249" s="81"/>
      <c r="C249" s="81"/>
      <c r="D249" s="81"/>
      <c r="E249" s="82"/>
      <c r="F249" s="83"/>
      <c r="G249" s="84"/>
      <c r="H249" s="85"/>
      <c r="I249" s="86"/>
      <c r="J249" s="86"/>
      <c r="K249" s="86"/>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c r="AQ249" s="86"/>
      <c r="AR249" s="86"/>
      <c r="AS249" s="86"/>
      <c r="AT249" s="88"/>
    </row>
    <row r="250">
      <c r="A250" s="80"/>
      <c r="B250" s="81"/>
      <c r="C250" s="325" t="s">
        <v>757</v>
      </c>
      <c r="F250" s="83"/>
      <c r="G250" s="84"/>
      <c r="H250" s="85"/>
      <c r="I250" s="86"/>
      <c r="J250" s="86"/>
      <c r="K250" s="86"/>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c r="AQ250" s="86"/>
      <c r="AR250" s="86"/>
      <c r="AS250" s="86"/>
      <c r="AT250" s="88"/>
    </row>
    <row r="251">
      <c r="A251" s="80"/>
      <c r="B251" s="81"/>
      <c r="C251" s="81"/>
      <c r="D251" s="81"/>
      <c r="E251" s="188" t="s">
        <v>654</v>
      </c>
      <c r="F251" s="189" t="s">
        <v>122</v>
      </c>
      <c r="G251" s="263" t="s">
        <v>71</v>
      </c>
      <c r="H251" s="156">
        <f t="shared" ref="H251:AS251" si="68">H207</f>
        <v>-0.07</v>
      </c>
      <c r="I251" s="119" t="str">
        <f t="shared" si="68"/>
        <v>-</v>
      </c>
      <c r="J251" s="119" t="str">
        <f t="shared" si="68"/>
        <v>-</v>
      </c>
      <c r="K251" s="119" t="str">
        <f t="shared" si="68"/>
        <v>-</v>
      </c>
      <c r="L251" s="119" t="str">
        <f t="shared" si="68"/>
        <v>-</v>
      </c>
      <c r="M251" s="119" t="str">
        <f t="shared" si="68"/>
        <v>-</v>
      </c>
      <c r="N251" s="119" t="str">
        <f t="shared" si="68"/>
        <v>-</v>
      </c>
      <c r="O251" s="119" t="str">
        <f t="shared" si="68"/>
        <v>-</v>
      </c>
      <c r="P251" s="119" t="str">
        <f t="shared" si="68"/>
        <v>-</v>
      </c>
      <c r="Q251" s="119" t="str">
        <f t="shared" si="68"/>
        <v>-</v>
      </c>
      <c r="R251" s="119" t="str">
        <f t="shared" si="68"/>
        <v>-</v>
      </c>
      <c r="S251" s="119" t="str">
        <f t="shared" si="68"/>
        <v>-</v>
      </c>
      <c r="T251" s="119" t="str">
        <f t="shared" si="68"/>
        <v>-</v>
      </c>
      <c r="U251" s="119" t="str">
        <f t="shared" si="68"/>
        <v>-</v>
      </c>
      <c r="V251" s="119" t="str">
        <f t="shared" si="68"/>
        <v>-</v>
      </c>
      <c r="W251" s="119" t="str">
        <f t="shared" si="68"/>
        <v>-</v>
      </c>
      <c r="X251" s="119" t="str">
        <f t="shared" si="68"/>
        <v>-</v>
      </c>
      <c r="Y251" s="119" t="str">
        <f t="shared" si="68"/>
        <v>-</v>
      </c>
      <c r="Z251" s="119" t="str">
        <f t="shared" si="68"/>
        <v>-</v>
      </c>
      <c r="AA251" s="119" t="str">
        <f t="shared" si="68"/>
        <v>-</v>
      </c>
      <c r="AB251" s="119" t="str">
        <f t="shared" si="68"/>
        <v>-</v>
      </c>
      <c r="AC251" s="119" t="str">
        <f t="shared" si="68"/>
        <v>-</v>
      </c>
      <c r="AD251" s="119" t="str">
        <f t="shared" si="68"/>
        <v>-</v>
      </c>
      <c r="AE251" s="119" t="str">
        <f t="shared" si="68"/>
        <v>-</v>
      </c>
      <c r="AF251" s="119" t="str">
        <f t="shared" si="68"/>
        <v>-</v>
      </c>
      <c r="AG251" s="119" t="str">
        <f t="shared" si="68"/>
        <v>-</v>
      </c>
      <c r="AH251" s="119" t="str">
        <f t="shared" si="68"/>
        <v>-</v>
      </c>
      <c r="AI251" s="119" t="str">
        <f t="shared" si="68"/>
        <v>-</v>
      </c>
      <c r="AJ251" s="119" t="str">
        <f t="shared" si="68"/>
        <v>-</v>
      </c>
      <c r="AK251" s="119" t="str">
        <f t="shared" si="68"/>
        <v>-</v>
      </c>
      <c r="AL251" s="119" t="str">
        <f t="shared" si="68"/>
        <v>-</v>
      </c>
      <c r="AM251" s="119" t="str">
        <f t="shared" si="68"/>
        <v>-</v>
      </c>
      <c r="AN251" s="119" t="str">
        <f t="shared" si="68"/>
        <v>-</v>
      </c>
      <c r="AO251" s="119" t="str">
        <f t="shared" si="68"/>
        <v>-</v>
      </c>
      <c r="AP251" s="119" t="str">
        <f t="shared" si="68"/>
        <v>-</v>
      </c>
      <c r="AQ251" s="119" t="str">
        <f t="shared" si="68"/>
        <v>-</v>
      </c>
      <c r="AR251" s="119" t="str">
        <f t="shared" si="68"/>
        <v>-</v>
      </c>
      <c r="AS251" s="119" t="str">
        <f t="shared" si="68"/>
        <v>-</v>
      </c>
      <c r="AT251" s="136"/>
    </row>
    <row r="252">
      <c r="A252" s="80"/>
      <c r="B252" s="81"/>
      <c r="C252" s="81"/>
      <c r="D252" s="81"/>
      <c r="E252" s="214" t="s">
        <v>758</v>
      </c>
      <c r="F252" s="215" t="s">
        <v>122</v>
      </c>
      <c r="G252" s="277" t="s">
        <v>149</v>
      </c>
      <c r="H252" s="187" t="s">
        <v>150</v>
      </c>
      <c r="I252" s="149">
        <f t="shared" ref="I252:AS252" si="69">SUM($H218:$H226,I218:I226)</f>
        <v>0.061</v>
      </c>
      <c r="J252" s="149">
        <f t="shared" si="69"/>
        <v>0.061</v>
      </c>
      <c r="K252" s="149">
        <f t="shared" si="69"/>
        <v>0.061</v>
      </c>
      <c r="L252" s="149">
        <f t="shared" si="69"/>
        <v>0.061</v>
      </c>
      <c r="M252" s="149">
        <f t="shared" si="69"/>
        <v>0.061</v>
      </c>
      <c r="N252" s="149">
        <f t="shared" si="69"/>
        <v>0.061</v>
      </c>
      <c r="O252" s="149">
        <f t="shared" si="69"/>
        <v>0.061</v>
      </c>
      <c r="P252" s="149">
        <f t="shared" si="69"/>
        <v>0.061</v>
      </c>
      <c r="Q252" s="149">
        <f t="shared" si="69"/>
        <v>0.061</v>
      </c>
      <c r="R252" s="149">
        <f t="shared" si="69"/>
        <v>0.061</v>
      </c>
      <c r="S252" s="149">
        <f t="shared" si="69"/>
        <v>0.061</v>
      </c>
      <c r="T252" s="149">
        <f t="shared" si="69"/>
        <v>0.061</v>
      </c>
      <c r="U252" s="149">
        <f t="shared" si="69"/>
        <v>0.061</v>
      </c>
      <c r="V252" s="149">
        <f t="shared" si="69"/>
        <v>0.061</v>
      </c>
      <c r="W252" s="149">
        <f t="shared" si="69"/>
        <v>0.061</v>
      </c>
      <c r="X252" s="149">
        <f t="shared" si="69"/>
        <v>0.061</v>
      </c>
      <c r="Y252" s="149">
        <f t="shared" si="69"/>
        <v>0.061</v>
      </c>
      <c r="Z252" s="149">
        <f t="shared" si="69"/>
        <v>0.061</v>
      </c>
      <c r="AA252" s="149">
        <f t="shared" si="69"/>
        <v>0.061</v>
      </c>
      <c r="AB252" s="149">
        <f t="shared" si="69"/>
        <v>0.061</v>
      </c>
      <c r="AC252" s="149">
        <f t="shared" si="69"/>
        <v>0.061</v>
      </c>
      <c r="AD252" s="149">
        <f t="shared" si="69"/>
        <v>0.061</v>
      </c>
      <c r="AE252" s="149">
        <f t="shared" si="69"/>
        <v>0.061</v>
      </c>
      <c r="AF252" s="149">
        <f t="shared" si="69"/>
        <v>0.061</v>
      </c>
      <c r="AG252" s="149">
        <f t="shared" si="69"/>
        <v>0.061</v>
      </c>
      <c r="AH252" s="149">
        <f t="shared" si="69"/>
        <v>0.061</v>
      </c>
      <c r="AI252" s="149">
        <f t="shared" si="69"/>
        <v>0.061</v>
      </c>
      <c r="AJ252" s="149">
        <f t="shared" si="69"/>
        <v>0.061</v>
      </c>
      <c r="AK252" s="149">
        <f t="shared" si="69"/>
        <v>0.061</v>
      </c>
      <c r="AL252" s="149">
        <f t="shared" si="69"/>
        <v>0.061</v>
      </c>
      <c r="AM252" s="149">
        <f t="shared" si="69"/>
        <v>0.061</v>
      </c>
      <c r="AN252" s="149">
        <f t="shared" si="69"/>
        <v>0.061</v>
      </c>
      <c r="AO252" s="149">
        <f t="shared" si="69"/>
        <v>0.061</v>
      </c>
      <c r="AP252" s="149">
        <f t="shared" si="69"/>
        <v>0.061</v>
      </c>
      <c r="AQ252" s="149">
        <f t="shared" si="69"/>
        <v>0.061</v>
      </c>
      <c r="AR252" s="149">
        <f t="shared" si="69"/>
        <v>0.061</v>
      </c>
      <c r="AS252" s="149">
        <f t="shared" si="69"/>
        <v>0.061</v>
      </c>
      <c r="AT252" s="163"/>
    </row>
    <row r="253">
      <c r="A253" s="80"/>
      <c r="B253" s="81"/>
      <c r="C253" s="81"/>
      <c r="D253" s="81"/>
      <c r="E253" s="476" t="s">
        <v>752</v>
      </c>
      <c r="F253" s="215" t="str">
        <f>LeverageFunging!F100</f>
        <v>%</v>
      </c>
      <c r="G253" s="277" t="s">
        <v>131</v>
      </c>
      <c r="H253" s="187" t="str">
        <f>LeverageFunging!H100</f>
        <v>-</v>
      </c>
      <c r="I253" s="149">
        <f>LeverageFunging!I100</f>
        <v>-0.1384346925</v>
      </c>
      <c r="J253" s="149">
        <f>LeverageFunging!J100</f>
        <v>-0.1468069453</v>
      </c>
      <c r="K253" s="149">
        <f>LeverageFunging!K100</f>
        <v>-0.1348784437</v>
      </c>
      <c r="L253" s="149">
        <f>LeverageFunging!L100</f>
        <v>-0.1622092278</v>
      </c>
      <c r="M253" s="149">
        <f>LeverageFunging!M100</f>
        <v>-0.1553959912</v>
      </c>
      <c r="N253" s="149">
        <f>LeverageFunging!N100</f>
        <v>-0.1502344213</v>
      </c>
      <c r="O253" s="149">
        <f>LeverageFunging!O100</f>
        <v>-0.1472139109</v>
      </c>
      <c r="P253" s="149">
        <f>LeverageFunging!P100</f>
        <v>-0.1369098629</v>
      </c>
      <c r="Q253" s="149">
        <f>LeverageFunging!Q100</f>
        <v>-0.1307658439</v>
      </c>
      <c r="R253" s="149">
        <f>LeverageFunging!R100</f>
        <v>-0.1344022925</v>
      </c>
      <c r="S253" s="149">
        <f>LeverageFunging!S100</f>
        <v>-0.1277982916</v>
      </c>
      <c r="T253" s="149">
        <f>LeverageFunging!T100</f>
        <v>-0.1676109124</v>
      </c>
      <c r="U253" s="149">
        <f>LeverageFunging!U100</f>
        <v>-0.1823936656</v>
      </c>
      <c r="V253" s="149">
        <f>LeverageFunging!V100</f>
        <v>-0.1765604235</v>
      </c>
      <c r="W253" s="149">
        <f>LeverageFunging!W100</f>
        <v>-0.1628234925</v>
      </c>
      <c r="X253" s="149">
        <f>LeverageFunging!X100</f>
        <v>-0.2052973493</v>
      </c>
      <c r="Y253" s="149">
        <f>LeverageFunging!Y100</f>
        <v>-0.09651308513</v>
      </c>
      <c r="Z253" s="149">
        <f>LeverageFunging!Z100</f>
        <v>-0.1807573343</v>
      </c>
      <c r="AA253" s="149">
        <f>LeverageFunging!AA100</f>
        <v>-0.0179432682</v>
      </c>
      <c r="AB253" s="149">
        <f>LeverageFunging!AB100</f>
        <v>-0.1196931391</v>
      </c>
      <c r="AC253" s="149">
        <f>LeverageFunging!AC100</f>
        <v>-0.08071465435</v>
      </c>
      <c r="AD253" s="149">
        <f>LeverageFunging!AD100</f>
        <v>-0.05763144302</v>
      </c>
      <c r="AE253" s="149">
        <f>LeverageFunging!AE100</f>
        <v>-0.1098700157</v>
      </c>
      <c r="AF253" s="149">
        <f>LeverageFunging!AF100</f>
        <v>-0.1022664874</v>
      </c>
      <c r="AG253" s="149">
        <f>LeverageFunging!AG100</f>
        <v>-0.1765552982</v>
      </c>
      <c r="AH253" s="149">
        <f>LeverageFunging!AH100</f>
        <v>-0.2595744018</v>
      </c>
      <c r="AI253" s="149">
        <f>LeverageFunging!AI100</f>
        <v>-0.1279423332</v>
      </c>
      <c r="AJ253" s="149">
        <f>LeverageFunging!AJ100</f>
        <v>-0.1900488856</v>
      </c>
      <c r="AK253" s="149">
        <f>LeverageFunging!AK100</f>
        <v>-0.1781024281</v>
      </c>
      <c r="AL253" s="149">
        <f>LeverageFunging!AL100</f>
        <v>-0.2446329413</v>
      </c>
      <c r="AM253" s="149">
        <f>LeverageFunging!AM100</f>
        <v>-0.213644473</v>
      </c>
      <c r="AN253" s="149">
        <f>LeverageFunging!AN100</f>
        <v>-0.1588186883</v>
      </c>
      <c r="AO253" s="149">
        <f>LeverageFunging!AO100</f>
        <v>-0.258863605</v>
      </c>
      <c r="AP253" s="149">
        <f>LeverageFunging!AP100</f>
        <v>-0.1803824161</v>
      </c>
      <c r="AQ253" s="149">
        <f>LeverageFunging!AQ100</f>
        <v>-0.127687094</v>
      </c>
      <c r="AR253" s="149">
        <f>LeverageFunging!AR100</f>
        <v>-0.1467673239</v>
      </c>
      <c r="AS253" s="149">
        <f>LeverageFunging!AS100</f>
        <v>-0.1464203599</v>
      </c>
      <c r="AT253" s="163"/>
    </row>
    <row r="254">
      <c r="A254" s="80"/>
      <c r="B254" s="81"/>
      <c r="C254" s="81"/>
      <c r="D254" s="446" t="s">
        <v>763</v>
      </c>
      <c r="E254" s="12"/>
      <c r="F254" s="93" t="s">
        <v>122</v>
      </c>
      <c r="G254" s="128" t="s">
        <v>149</v>
      </c>
      <c r="H254" s="129" t="s">
        <v>150</v>
      </c>
      <c r="I254" s="308">
        <f t="shared" ref="I254:AS254" si="70">((1+$H251)*(1+I252)*(1+I253))-1</f>
        <v>-0.1498676641</v>
      </c>
      <c r="J254" s="308">
        <f t="shared" si="70"/>
        <v>-0.1581288171</v>
      </c>
      <c r="K254" s="308">
        <f t="shared" si="70"/>
        <v>-0.1463586068</v>
      </c>
      <c r="L254" s="308">
        <f t="shared" si="70"/>
        <v>-0.1733267113</v>
      </c>
      <c r="M254" s="308">
        <f t="shared" si="70"/>
        <v>-0.1666038864</v>
      </c>
      <c r="N254" s="308">
        <f t="shared" si="70"/>
        <v>-0.1615108105</v>
      </c>
      <c r="O254" s="308">
        <f t="shared" si="70"/>
        <v>-0.1585303823</v>
      </c>
      <c r="P254" s="308">
        <f t="shared" si="70"/>
        <v>-0.148363069</v>
      </c>
      <c r="Q254" s="308">
        <f t="shared" si="70"/>
        <v>-0.1423005811</v>
      </c>
      <c r="R254" s="308">
        <f t="shared" si="70"/>
        <v>-0.1458887741</v>
      </c>
      <c r="S254" s="308">
        <f t="shared" si="70"/>
        <v>-0.1393724082</v>
      </c>
      <c r="T254" s="308">
        <f t="shared" si="70"/>
        <v>-0.1786567156</v>
      </c>
      <c r="U254" s="308">
        <f t="shared" si="70"/>
        <v>-0.1932433016</v>
      </c>
      <c r="V254" s="308">
        <f t="shared" si="70"/>
        <v>-0.1874874667</v>
      </c>
      <c r="W254" s="308">
        <f t="shared" si="70"/>
        <v>-0.1739328247</v>
      </c>
      <c r="X254" s="308">
        <f t="shared" si="70"/>
        <v>-0.2158430535</v>
      </c>
      <c r="Y254" s="308">
        <f t="shared" si="70"/>
        <v>-0.1085023565</v>
      </c>
      <c r="Z254" s="308">
        <f t="shared" si="70"/>
        <v>-0.1916286845</v>
      </c>
      <c r="AA254" s="308">
        <f t="shared" si="70"/>
        <v>-0.03097516103</v>
      </c>
      <c r="AB254" s="308">
        <f t="shared" si="70"/>
        <v>-0.1313748112</v>
      </c>
      <c r="AC254" s="308">
        <f t="shared" si="70"/>
        <v>-0.09291357089</v>
      </c>
      <c r="AD254" s="308">
        <f t="shared" si="70"/>
        <v>-0.07013667377</v>
      </c>
      <c r="AE254" s="308">
        <f t="shared" si="70"/>
        <v>-0.1216820406</v>
      </c>
      <c r="AF254" s="308">
        <f t="shared" si="70"/>
        <v>-0.1141794111</v>
      </c>
      <c r="AG254" s="308">
        <f t="shared" si="70"/>
        <v>-0.1874824094</v>
      </c>
      <c r="AH254" s="308">
        <f t="shared" si="70"/>
        <v>-0.2693998495</v>
      </c>
      <c r="AI254" s="308">
        <f t="shared" si="70"/>
        <v>-0.1395145384</v>
      </c>
      <c r="AJ254" s="308">
        <f t="shared" si="70"/>
        <v>-0.2007969369</v>
      </c>
      <c r="AK254" s="308">
        <f t="shared" si="70"/>
        <v>-0.1890090089</v>
      </c>
      <c r="AL254" s="308">
        <f t="shared" si="70"/>
        <v>-0.2546566622</v>
      </c>
      <c r="AM254" s="308">
        <f t="shared" si="70"/>
        <v>-0.2240794109</v>
      </c>
      <c r="AN254" s="308">
        <f t="shared" si="70"/>
        <v>-0.1699811643</v>
      </c>
      <c r="AO254" s="308">
        <f t="shared" si="70"/>
        <v>-0.268698485</v>
      </c>
      <c r="AP254" s="308">
        <f t="shared" si="70"/>
        <v>-0.1912587414</v>
      </c>
      <c r="AQ254" s="308">
        <f t="shared" si="70"/>
        <v>-0.1392626862</v>
      </c>
      <c r="AR254" s="308">
        <f t="shared" si="70"/>
        <v>-0.1580897216</v>
      </c>
      <c r="AS254" s="308">
        <f t="shared" si="70"/>
        <v>-0.1577473617</v>
      </c>
      <c r="AT254" s="265"/>
    </row>
    <row r="255">
      <c r="A255" s="80"/>
      <c r="B255" s="81"/>
      <c r="C255" s="81"/>
      <c r="D255" s="81"/>
      <c r="E255" s="82"/>
      <c r="F255" s="83"/>
      <c r="G255" s="84"/>
      <c r="H255" s="85"/>
      <c r="I255" s="86"/>
      <c r="J255" s="86"/>
      <c r="K255" s="86"/>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c r="AQ255" s="86"/>
      <c r="AR255" s="86"/>
      <c r="AS255" s="86"/>
      <c r="AT255" s="88"/>
    </row>
    <row r="256">
      <c r="A256" s="80"/>
      <c r="B256" s="81"/>
      <c r="C256" s="325" t="s">
        <v>765</v>
      </c>
      <c r="F256" s="83"/>
      <c r="G256" s="84"/>
      <c r="H256" s="85"/>
      <c r="I256" s="86"/>
      <c r="J256" s="86"/>
      <c r="K256" s="86"/>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c r="AQ256" s="86"/>
      <c r="AR256" s="86"/>
      <c r="AS256" s="86"/>
      <c r="AT256" s="88"/>
    </row>
    <row r="257">
      <c r="A257" s="80"/>
      <c r="B257" s="81"/>
      <c r="C257" s="81"/>
      <c r="D257" s="81"/>
      <c r="E257" s="188" t="s">
        <v>766</v>
      </c>
      <c r="F257" s="189" t="s">
        <v>111</v>
      </c>
      <c r="G257" s="263" t="s">
        <v>149</v>
      </c>
      <c r="H257" s="200" t="s">
        <v>150</v>
      </c>
      <c r="I257" s="418">
        <f t="shared" ref="I257:AS257" si="71">I38*(1+I$248)</f>
        <v>9685.345134</v>
      </c>
      <c r="J257" s="418">
        <f t="shared" si="71"/>
        <v>5879.952972</v>
      </c>
      <c r="K257" s="418">
        <f t="shared" si="71"/>
        <v>7644.703553</v>
      </c>
      <c r="L257" s="418">
        <f t="shared" si="71"/>
        <v>4433.900056</v>
      </c>
      <c r="M257" s="418">
        <f t="shared" si="71"/>
        <v>7924.081586</v>
      </c>
      <c r="N257" s="418">
        <f t="shared" si="71"/>
        <v>10656.80838</v>
      </c>
      <c r="O257" s="418">
        <f t="shared" si="71"/>
        <v>14995.65735</v>
      </c>
      <c r="P257" s="418">
        <f t="shared" si="71"/>
        <v>18773.17596</v>
      </c>
      <c r="Q257" s="418">
        <f t="shared" si="71"/>
        <v>12084.1135</v>
      </c>
      <c r="R257" s="418">
        <f t="shared" si="71"/>
        <v>1805.686356</v>
      </c>
      <c r="S257" s="418">
        <f t="shared" si="71"/>
        <v>2308.284201</v>
      </c>
      <c r="T257" s="418">
        <f t="shared" si="71"/>
        <v>2271.889758</v>
      </c>
      <c r="U257" s="418">
        <f t="shared" si="71"/>
        <v>2785.803369</v>
      </c>
      <c r="V257" s="418">
        <f t="shared" si="71"/>
        <v>3275.593196</v>
      </c>
      <c r="W257" s="418">
        <f t="shared" si="71"/>
        <v>3322.367965</v>
      </c>
      <c r="X257" s="418">
        <f t="shared" si="71"/>
        <v>8379.646741</v>
      </c>
      <c r="Y257" s="418">
        <f t="shared" si="71"/>
        <v>1215.338719</v>
      </c>
      <c r="Z257" s="418">
        <f t="shared" si="71"/>
        <v>3010.934315</v>
      </c>
      <c r="AA257" s="418">
        <f t="shared" si="71"/>
        <v>138.9776564</v>
      </c>
      <c r="AB257" s="418">
        <f t="shared" si="71"/>
        <v>1539.001065</v>
      </c>
      <c r="AC257" s="418">
        <f t="shared" si="71"/>
        <v>850.7810134</v>
      </c>
      <c r="AD257" s="418">
        <f t="shared" si="71"/>
        <v>475.0381735</v>
      </c>
      <c r="AE257" s="418">
        <f t="shared" si="71"/>
        <v>1377.137923</v>
      </c>
      <c r="AF257" s="418">
        <f t="shared" si="71"/>
        <v>1027.184194</v>
      </c>
      <c r="AG257" s="418">
        <f t="shared" si="71"/>
        <v>2802.312816</v>
      </c>
      <c r="AH257" s="418">
        <f t="shared" si="71"/>
        <v>4860.394428</v>
      </c>
      <c r="AI257" s="418">
        <f t="shared" si="71"/>
        <v>1214.914397</v>
      </c>
      <c r="AJ257" s="418">
        <f t="shared" si="71"/>
        <v>4574.09945</v>
      </c>
      <c r="AK257" s="418">
        <f t="shared" si="71"/>
        <v>7179.891125</v>
      </c>
      <c r="AL257" s="418">
        <f t="shared" si="71"/>
        <v>5503.248475</v>
      </c>
      <c r="AM257" s="418">
        <f t="shared" si="71"/>
        <v>4146.246704</v>
      </c>
      <c r="AN257" s="418">
        <f t="shared" si="71"/>
        <v>1602.034321</v>
      </c>
      <c r="AO257" s="418">
        <f t="shared" si="71"/>
        <v>3977.886868</v>
      </c>
      <c r="AP257" s="418">
        <f t="shared" si="71"/>
        <v>3133.626614</v>
      </c>
      <c r="AQ257" s="418">
        <f t="shared" si="71"/>
        <v>1640.093188</v>
      </c>
      <c r="AR257" s="418">
        <f t="shared" si="71"/>
        <v>4533.94485</v>
      </c>
      <c r="AS257" s="418">
        <f t="shared" si="71"/>
        <v>4086.662757</v>
      </c>
      <c r="AT257" s="136"/>
    </row>
    <row r="258">
      <c r="A258" s="80"/>
      <c r="B258" s="81"/>
      <c r="C258" s="81"/>
      <c r="D258" s="81"/>
      <c r="E258" s="92" t="s">
        <v>768</v>
      </c>
      <c r="F258" s="93" t="s">
        <v>118</v>
      </c>
      <c r="G258" s="128" t="s">
        <v>149</v>
      </c>
      <c r="H258" s="129" t="s">
        <v>150</v>
      </c>
      <c r="I258" s="131">
        <f t="shared" ref="I258:AS258" si="72">I11/I257</f>
        <v>103.2487729</v>
      </c>
      <c r="J258" s="131">
        <f t="shared" si="72"/>
        <v>170.0693874</v>
      </c>
      <c r="K258" s="131">
        <f t="shared" si="72"/>
        <v>130.8095197</v>
      </c>
      <c r="L258" s="131">
        <f t="shared" si="72"/>
        <v>225.5350791</v>
      </c>
      <c r="M258" s="131">
        <f t="shared" si="72"/>
        <v>126.1975901</v>
      </c>
      <c r="N258" s="131">
        <f t="shared" si="72"/>
        <v>93.83672525</v>
      </c>
      <c r="O258" s="131">
        <f t="shared" si="72"/>
        <v>66.68597291</v>
      </c>
      <c r="P258" s="131">
        <f t="shared" si="72"/>
        <v>53.26749199</v>
      </c>
      <c r="Q258" s="131">
        <f t="shared" si="72"/>
        <v>82.75327766</v>
      </c>
      <c r="R258" s="131">
        <f t="shared" si="72"/>
        <v>553.8060342</v>
      </c>
      <c r="S258" s="131">
        <f t="shared" si="72"/>
        <v>433.2222175</v>
      </c>
      <c r="T258" s="131">
        <f t="shared" si="72"/>
        <v>440.1622026</v>
      </c>
      <c r="U258" s="131">
        <f t="shared" si="72"/>
        <v>358.9628799</v>
      </c>
      <c r="V258" s="131">
        <f t="shared" si="72"/>
        <v>305.2882151</v>
      </c>
      <c r="W258" s="131">
        <f t="shared" si="72"/>
        <v>300.9901404</v>
      </c>
      <c r="X258" s="131">
        <f t="shared" si="72"/>
        <v>119.3367729</v>
      </c>
      <c r="Y258" s="131">
        <f t="shared" si="72"/>
        <v>822.8158821</v>
      </c>
      <c r="Z258" s="131">
        <f t="shared" si="72"/>
        <v>332.1228215</v>
      </c>
      <c r="AA258" s="131">
        <f t="shared" si="72"/>
        <v>7195.401231</v>
      </c>
      <c r="AB258" s="131">
        <f t="shared" si="72"/>
        <v>649.7721298</v>
      </c>
      <c r="AC258" s="131">
        <f t="shared" si="72"/>
        <v>1175.390593</v>
      </c>
      <c r="AD258" s="131">
        <f t="shared" si="72"/>
        <v>2105.093982</v>
      </c>
      <c r="AE258" s="131">
        <f t="shared" si="72"/>
        <v>726.1436803</v>
      </c>
      <c r="AF258" s="131">
        <f t="shared" si="72"/>
        <v>973.5352295</v>
      </c>
      <c r="AG258" s="131">
        <f t="shared" si="72"/>
        <v>356.8480986</v>
      </c>
      <c r="AH258" s="131">
        <f t="shared" si="72"/>
        <v>205.744619</v>
      </c>
      <c r="AI258" s="131">
        <f t="shared" si="72"/>
        <v>823.1032595</v>
      </c>
      <c r="AJ258" s="131">
        <f t="shared" si="72"/>
        <v>218.6222689</v>
      </c>
      <c r="AK258" s="131">
        <f t="shared" si="72"/>
        <v>139.277878</v>
      </c>
      <c r="AL258" s="131">
        <f t="shared" si="72"/>
        <v>181.7108576</v>
      </c>
      <c r="AM258" s="131">
        <f t="shared" si="72"/>
        <v>241.1819825</v>
      </c>
      <c r="AN258" s="131">
        <f t="shared" si="72"/>
        <v>624.2063524</v>
      </c>
      <c r="AO258" s="131">
        <f t="shared" si="72"/>
        <v>251.3897537</v>
      </c>
      <c r="AP258" s="131">
        <f t="shared" si="72"/>
        <v>319.1190665</v>
      </c>
      <c r="AQ258" s="131">
        <f t="shared" si="72"/>
        <v>609.7214518</v>
      </c>
      <c r="AR258" s="131">
        <f t="shared" si="72"/>
        <v>220.5584834</v>
      </c>
      <c r="AS258" s="131">
        <f t="shared" si="72"/>
        <v>244.6984397</v>
      </c>
      <c r="AT258" s="265"/>
    </row>
    <row r="259">
      <c r="A259" s="80"/>
      <c r="B259" s="81"/>
      <c r="C259" s="81"/>
      <c r="D259" s="81"/>
      <c r="E259" s="82"/>
      <c r="F259" s="83"/>
      <c r="G259" s="84"/>
      <c r="H259" s="85"/>
      <c r="I259" s="111"/>
      <c r="J259" s="111"/>
      <c r="K259" s="111"/>
      <c r="L259" s="111"/>
      <c r="M259" s="111"/>
      <c r="N259" s="111"/>
      <c r="O259" s="111"/>
      <c r="P259" s="111"/>
      <c r="Q259" s="111"/>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c r="AQ259" s="86"/>
      <c r="AR259" s="86"/>
      <c r="AS259" s="86"/>
      <c r="AT259" s="88"/>
    </row>
    <row r="260">
      <c r="A260" s="80"/>
      <c r="B260" s="81"/>
      <c r="C260" s="325" t="s">
        <v>770</v>
      </c>
      <c r="F260" s="83"/>
      <c r="G260" s="84"/>
      <c r="H260" s="85"/>
      <c r="I260" s="495"/>
      <c r="J260" s="495"/>
      <c r="K260" s="495"/>
      <c r="L260" s="495"/>
      <c r="M260" s="495"/>
      <c r="N260" s="495"/>
      <c r="O260" s="495"/>
      <c r="P260" s="495"/>
      <c r="Q260" s="495"/>
      <c r="R260" s="495"/>
      <c r="S260" s="495"/>
      <c r="T260" s="495"/>
      <c r="U260" s="495"/>
      <c r="V260" s="495"/>
      <c r="W260" s="495"/>
      <c r="X260" s="495"/>
      <c r="Y260" s="495"/>
      <c r="Z260" s="495"/>
      <c r="AA260" s="495"/>
      <c r="AB260" s="495"/>
      <c r="AC260" s="495"/>
      <c r="AD260" s="495"/>
      <c r="AE260" s="495"/>
      <c r="AF260" s="495"/>
      <c r="AG260" s="495"/>
      <c r="AH260" s="495"/>
      <c r="AI260" s="495"/>
      <c r="AJ260" s="495"/>
      <c r="AK260" s="495"/>
      <c r="AL260" s="495"/>
      <c r="AM260" s="495"/>
      <c r="AN260" s="495"/>
      <c r="AO260" s="495"/>
      <c r="AP260" s="495"/>
      <c r="AQ260" s="495"/>
      <c r="AR260" s="495"/>
      <c r="AS260" s="495"/>
      <c r="AT260" s="88"/>
    </row>
    <row r="261">
      <c r="A261" s="80"/>
      <c r="B261" s="81"/>
      <c r="C261" s="81"/>
      <c r="D261" s="81"/>
      <c r="E261" s="188" t="s">
        <v>771</v>
      </c>
      <c r="F261" s="189" t="s">
        <v>111</v>
      </c>
      <c r="G261" s="263" t="s">
        <v>149</v>
      </c>
      <c r="H261" s="200" t="s">
        <v>150</v>
      </c>
      <c r="I261" s="418">
        <f t="shared" ref="I261:AS261" si="73">I189*(1+I$254)</f>
        <v>476.5434386</v>
      </c>
      <c r="J261" s="418">
        <f t="shared" si="73"/>
        <v>206.9022694</v>
      </c>
      <c r="K261" s="418">
        <f t="shared" si="73"/>
        <v>395.859825</v>
      </c>
      <c r="L261" s="418">
        <f t="shared" si="73"/>
        <v>101.5932548</v>
      </c>
      <c r="M261" s="418">
        <f t="shared" si="73"/>
        <v>250.0742436</v>
      </c>
      <c r="N261" s="418">
        <f t="shared" si="73"/>
        <v>413.3185766</v>
      </c>
      <c r="O261" s="418">
        <f t="shared" si="73"/>
        <v>656.0493753</v>
      </c>
      <c r="P261" s="418">
        <f t="shared" si="73"/>
        <v>1045.110733</v>
      </c>
      <c r="Q261" s="418">
        <f t="shared" si="73"/>
        <v>768.1849406</v>
      </c>
      <c r="R261" s="418">
        <f t="shared" si="73"/>
        <v>25.75738627</v>
      </c>
      <c r="S261" s="418">
        <f t="shared" si="73"/>
        <v>72.14913559</v>
      </c>
      <c r="T261" s="418">
        <f t="shared" si="73"/>
        <v>25.81286947</v>
      </c>
      <c r="U261" s="418">
        <f t="shared" si="73"/>
        <v>33.48228678</v>
      </c>
      <c r="V261" s="418">
        <f t="shared" si="73"/>
        <v>51.17895528</v>
      </c>
      <c r="W261" s="418">
        <f t="shared" si="73"/>
        <v>66.45735391</v>
      </c>
      <c r="X261" s="418">
        <f t="shared" si="73"/>
        <v>150.8942525</v>
      </c>
      <c r="Y261" s="418">
        <f t="shared" si="73"/>
        <v>18.24950465</v>
      </c>
      <c r="Z261" s="418">
        <f t="shared" si="73"/>
        <v>39.98901282</v>
      </c>
      <c r="AA261" s="418">
        <f t="shared" si="73"/>
        <v>2.660683162</v>
      </c>
      <c r="AB261" s="418">
        <f t="shared" si="73"/>
        <v>21.65973084</v>
      </c>
      <c r="AC261" s="418">
        <f t="shared" si="73"/>
        <v>10.15488774</v>
      </c>
      <c r="AD261" s="418">
        <f t="shared" si="73"/>
        <v>4.809713276</v>
      </c>
      <c r="AE261" s="418">
        <f t="shared" si="73"/>
        <v>16.61286225</v>
      </c>
      <c r="AF261" s="418">
        <f t="shared" si="73"/>
        <v>9.713055727</v>
      </c>
      <c r="AG261" s="418">
        <f t="shared" si="73"/>
        <v>37.83693707</v>
      </c>
      <c r="AH261" s="418">
        <f t="shared" si="73"/>
        <v>48.2738387</v>
      </c>
      <c r="AI261" s="418">
        <f t="shared" si="73"/>
        <v>8.622323305</v>
      </c>
      <c r="AJ261" s="418">
        <f t="shared" si="73"/>
        <v>74.79979133</v>
      </c>
      <c r="AK261" s="418">
        <f t="shared" si="73"/>
        <v>165.2224555</v>
      </c>
      <c r="AL261" s="418">
        <f t="shared" si="73"/>
        <v>63.49430475</v>
      </c>
      <c r="AM261" s="418">
        <f t="shared" si="73"/>
        <v>51.21958333</v>
      </c>
      <c r="AN261" s="418">
        <f t="shared" si="73"/>
        <v>11.54830012</v>
      </c>
      <c r="AO261" s="418">
        <f t="shared" si="73"/>
        <v>32.6362738</v>
      </c>
      <c r="AP261" s="418">
        <f t="shared" si="73"/>
        <v>45.28084448</v>
      </c>
      <c r="AQ261" s="418">
        <f t="shared" si="73"/>
        <v>21.2246825</v>
      </c>
      <c r="AR261" s="418">
        <f t="shared" si="73"/>
        <v>141.3001385</v>
      </c>
      <c r="AS261" s="418">
        <f t="shared" si="73"/>
        <v>133.6649086</v>
      </c>
      <c r="AT261" s="136"/>
    </row>
    <row r="262">
      <c r="A262" s="80"/>
      <c r="B262" s="81"/>
      <c r="C262" s="81"/>
      <c r="D262" s="81"/>
      <c r="E262" s="92" t="s">
        <v>774</v>
      </c>
      <c r="F262" s="93" t="s">
        <v>118</v>
      </c>
      <c r="G262" s="128" t="s">
        <v>149</v>
      </c>
      <c r="H262" s="129" t="s">
        <v>150</v>
      </c>
      <c r="I262" s="131">
        <f t="shared" ref="I262:AS262" si="74">I11/I261</f>
        <v>2098.444589</v>
      </c>
      <c r="J262" s="131">
        <f t="shared" si="74"/>
        <v>4833.199767</v>
      </c>
      <c r="K262" s="131">
        <f t="shared" si="74"/>
        <v>2526.146723</v>
      </c>
      <c r="L262" s="131">
        <f t="shared" si="74"/>
        <v>9843.173171</v>
      </c>
      <c r="M262" s="131">
        <f t="shared" si="74"/>
        <v>3998.812456</v>
      </c>
      <c r="N262" s="131">
        <f t="shared" si="74"/>
        <v>2419.441217</v>
      </c>
      <c r="O262" s="131">
        <f t="shared" si="74"/>
        <v>1524.275516</v>
      </c>
      <c r="P262" s="131">
        <f t="shared" si="74"/>
        <v>956.836408</v>
      </c>
      <c r="Q262" s="131">
        <f t="shared" si="74"/>
        <v>1301.769857</v>
      </c>
      <c r="R262" s="131">
        <f t="shared" si="74"/>
        <v>38823.81502</v>
      </c>
      <c r="S262" s="131">
        <f t="shared" si="74"/>
        <v>13860.17991</v>
      </c>
      <c r="T262" s="131">
        <f t="shared" si="74"/>
        <v>38740.36558</v>
      </c>
      <c r="U262" s="131">
        <f t="shared" si="74"/>
        <v>29866.53829</v>
      </c>
      <c r="V262" s="131">
        <f t="shared" si="74"/>
        <v>19539.28122</v>
      </c>
      <c r="W262" s="131">
        <f t="shared" si="74"/>
        <v>15047.2437</v>
      </c>
      <c r="X262" s="131">
        <f t="shared" si="74"/>
        <v>6627.157653</v>
      </c>
      <c r="Y262" s="131">
        <f t="shared" si="74"/>
        <v>54796.00786</v>
      </c>
      <c r="Z262" s="131">
        <f t="shared" si="74"/>
        <v>25006.86887</v>
      </c>
      <c r="AA262" s="131">
        <f t="shared" si="74"/>
        <v>375843.3226</v>
      </c>
      <c r="AB262" s="131">
        <f t="shared" si="74"/>
        <v>46168.62542</v>
      </c>
      <c r="AC262" s="131">
        <f t="shared" si="74"/>
        <v>98474.74691</v>
      </c>
      <c r="AD262" s="131">
        <f t="shared" si="74"/>
        <v>207912.6016</v>
      </c>
      <c r="AE262" s="131">
        <f t="shared" si="74"/>
        <v>60194.32321</v>
      </c>
      <c r="AF262" s="131">
        <f t="shared" si="74"/>
        <v>102954.2122</v>
      </c>
      <c r="AG262" s="131">
        <f t="shared" si="74"/>
        <v>26429.2006</v>
      </c>
      <c r="AH262" s="131">
        <f t="shared" si="74"/>
        <v>20715.15394</v>
      </c>
      <c r="AI262" s="131">
        <f t="shared" si="74"/>
        <v>115978.0218</v>
      </c>
      <c r="AJ262" s="131">
        <f t="shared" si="74"/>
        <v>13369.02125</v>
      </c>
      <c r="AK262" s="131">
        <f t="shared" si="74"/>
        <v>6052.446062</v>
      </c>
      <c r="AL262" s="131">
        <f t="shared" si="74"/>
        <v>15749.44405</v>
      </c>
      <c r="AM262" s="131">
        <f t="shared" si="74"/>
        <v>19523.78241</v>
      </c>
      <c r="AN262" s="131">
        <f t="shared" si="74"/>
        <v>86592.83093</v>
      </c>
      <c r="AO262" s="131">
        <f t="shared" si="74"/>
        <v>30640.75286</v>
      </c>
      <c r="AP262" s="131">
        <f t="shared" si="74"/>
        <v>22084.39378</v>
      </c>
      <c r="AQ262" s="131">
        <f t="shared" si="74"/>
        <v>47114.95684</v>
      </c>
      <c r="AR262" s="131">
        <f t="shared" si="74"/>
        <v>7077.1339</v>
      </c>
      <c r="AS262" s="131">
        <f t="shared" si="74"/>
        <v>7481.395159</v>
      </c>
      <c r="AT262" s="265"/>
    </row>
    <row r="263">
      <c r="A263" s="333"/>
      <c r="B263" s="334"/>
      <c r="C263" s="334"/>
      <c r="D263" s="334"/>
      <c r="E263" s="335"/>
      <c r="F263" s="251"/>
      <c r="G263" s="336"/>
      <c r="H263" s="337"/>
      <c r="I263" s="131"/>
      <c r="J263" s="131"/>
      <c r="K263" s="131"/>
      <c r="L263" s="131"/>
      <c r="M263" s="131"/>
      <c r="N263" s="131"/>
      <c r="O263" s="131"/>
      <c r="P263" s="131"/>
      <c r="Q263" s="131"/>
      <c r="R263" s="131"/>
      <c r="S263" s="131"/>
      <c r="T263" s="131"/>
      <c r="U263" s="131"/>
      <c r="V263" s="131"/>
      <c r="W263" s="131"/>
      <c r="X263" s="131"/>
      <c r="Y263" s="131"/>
      <c r="Z263" s="131"/>
      <c r="AA263" s="131"/>
      <c r="AB263" s="131"/>
      <c r="AC263" s="131"/>
      <c r="AD263" s="131"/>
      <c r="AE263" s="131"/>
      <c r="AF263" s="131"/>
      <c r="AG263" s="131"/>
      <c r="AH263" s="131"/>
      <c r="AI263" s="131"/>
      <c r="AJ263" s="131"/>
      <c r="AK263" s="131"/>
      <c r="AL263" s="131"/>
      <c r="AM263" s="131"/>
      <c r="AN263" s="131"/>
      <c r="AO263" s="131"/>
      <c r="AP263" s="131"/>
      <c r="AQ263" s="131"/>
      <c r="AR263" s="131"/>
      <c r="AS263" s="131"/>
      <c r="AT263" s="265"/>
    </row>
  </sheetData>
  <mergeCells count="56">
    <mergeCell ref="I1:Q1"/>
    <mergeCell ref="R1:AE1"/>
    <mergeCell ref="AF1:AS1"/>
    <mergeCell ref="A3:E3"/>
    <mergeCell ref="A5:G5"/>
    <mergeCell ref="C7:E7"/>
    <mergeCell ref="C10:E10"/>
    <mergeCell ref="C13:E13"/>
    <mergeCell ref="A16:G16"/>
    <mergeCell ref="C18:E18"/>
    <mergeCell ref="C21:E21"/>
    <mergeCell ref="C25:E25"/>
    <mergeCell ref="C29:E29"/>
    <mergeCell ref="C36:E36"/>
    <mergeCell ref="A40:G40"/>
    <mergeCell ref="C42:E42"/>
    <mergeCell ref="C52:E52"/>
    <mergeCell ref="C65:E65"/>
    <mergeCell ref="C78:E78"/>
    <mergeCell ref="C91:E91"/>
    <mergeCell ref="C100:E100"/>
    <mergeCell ref="A120:G120"/>
    <mergeCell ref="C122:E122"/>
    <mergeCell ref="C126:E126"/>
    <mergeCell ref="C130:E130"/>
    <mergeCell ref="C134:E134"/>
    <mergeCell ref="C138:E138"/>
    <mergeCell ref="C142:E142"/>
    <mergeCell ref="A146:G146"/>
    <mergeCell ref="C148:E148"/>
    <mergeCell ref="C156:E156"/>
    <mergeCell ref="C164:E164"/>
    <mergeCell ref="C172:E172"/>
    <mergeCell ref="C179:E179"/>
    <mergeCell ref="C187:E187"/>
    <mergeCell ref="A192:G192"/>
    <mergeCell ref="C194:E194"/>
    <mergeCell ref="D195:E195"/>
    <mergeCell ref="D199:E199"/>
    <mergeCell ref="D202:E202"/>
    <mergeCell ref="D207:E207"/>
    <mergeCell ref="C209:E209"/>
    <mergeCell ref="A243:G243"/>
    <mergeCell ref="C245:E245"/>
    <mergeCell ref="D248:E248"/>
    <mergeCell ref="C250:E250"/>
    <mergeCell ref="D254:E254"/>
    <mergeCell ref="C256:E256"/>
    <mergeCell ref="C260:E260"/>
    <mergeCell ref="D210:E210"/>
    <mergeCell ref="D217:E217"/>
    <mergeCell ref="D227:E227"/>
    <mergeCell ref="C229:E229"/>
    <mergeCell ref="D233:E233"/>
    <mergeCell ref="A235:G235"/>
    <mergeCell ref="C237:E237"/>
  </mergeCells>
  <hyperlinks>
    <hyperlink display="Grant size" location="Inputs!E8" ref="E8"/>
    <hyperlink display="Cost per infant enrolled in the program" location="Inputs!E11" ref="E14"/>
    <hyperlink display="Proportion of vaccinated children who are enrolled in New Incentives' program" location="Inputs!E220" ref="E22"/>
    <hyperlink display="Proportion of children in the target population who would be vaccinated in the absence of the program, aggregated across vaccines" location="'Aggregation across vaccines'!E32" ref="E26"/>
    <hyperlink display="Reduction in the proportion of children who are unvaccinated as a result of New Incentives' program, based on GW's analysis of the New Incentives RCT, aggregated across vaccines" location="'Treatment effect'!E70" ref="E30"/>
    <hyperlink display="Internal validity adjustment" location="Inputs!E223" ref="E31"/>
    <hyperlink display="Probability that a person will die of a vaccine-preventable cause before reaching age 5, adjusted for deaths occurring before the age of vaccination" location="'Disease burden'!E184" ref="E43"/>
    <hyperlink display="Proportion of people under age 5 represented in GBD 2021 disease burden estimates who were vaccinated, aggregated across vaccines" location="'Aggregation across vaccines'!E64" ref="E44"/>
    <hyperlink display="Proportion of vaccine-preventable disease incidence averted by full vaccination among people under age 5, aggregated across vaccines" location="'Aggregation across vaccines'!E53" ref="E45"/>
    <hyperlink display="Mortalities indirectly attributable to vaccine-preventable disease per mortality directly caused by vaccine-preventable disease" location="Inputs!E228" ref="E47"/>
    <hyperlink display="Ratio of the reduction in vaccine-preventable disease mortality to the reduction in vaccine-preventable disease incidence" location="Inputs!E229" ref="E49"/>
    <hyperlink display="Probability that a 5-year-old will die of a vaccine-preventable cause before reaching age 15" location="'Disease burden'!E229" ref="E53"/>
    <hyperlink display="Proportion of 5-14-year-olds represented in GBD 2021 disease burden estimates who were vaccinated, aggregated across vaccines" location="'Aggregation across vaccines'!E97" ref="E54"/>
    <hyperlink display="Proportion of vaccine-preventable disease incidence averted by full vaccination among 5-14-year-olds, aggregated across vaccines" location="'Aggregation across vaccines'!E85" ref="E55"/>
    <hyperlink display="Mortalities indirectly attributable to vaccine-preventable disease per mortality directly caused by vaccine-preventable disease" location="Inputs!E228" ref="E57"/>
    <hyperlink display="Ratio of the reduction in vaccine-preventable disease mortality to the reduction in vaccine-preventable disease incidence" location="Inputs!E229" ref="E59"/>
    <hyperlink display="Discount rate for deaths averted in the future" location="Inputs!E232" ref="E61"/>
    <hyperlink display="Average years between vaccination and a mortality occuring among 5-15-year-olds" location="Inputs!E233" ref="E62"/>
    <hyperlink display="Probability that a 15-year-old will die of a vaccine-preventable cause before reaching age 50" location="'Disease burden'!E273" ref="E66"/>
    <hyperlink display="Proportion of 15-49-year-olds represented in GBD 2021 disease burden estimates who were vaccinated, aggregated across vaccines" location="'Aggregation across vaccines'!E128" ref="E67"/>
    <hyperlink display="Proportion of vaccine-preventable disease incidence averted by full vaccination among 15-49-year-olds, aggregated across vaccines" location="'Aggregation across vaccines'!E116" ref="E68"/>
    <hyperlink display="Mortalities indirectly attributable to vaccine-preventable disease per mortality directly caused by vaccine-preventable disease" location="Inputs!E228" ref="E70"/>
    <hyperlink display="Ratio of the reduction in vaccine-preventable disease mortality to the reduction in vaccine-preventable disease incidence" location="Inputs!E229" ref="E72"/>
    <hyperlink display="Discount rate for deaths averted in the future" location="Inputs!E232" ref="E74"/>
    <hyperlink display="Average years between vaccination and a mortality occuring among 15-49-year-olds" location="Inputs!E234" ref="E75"/>
    <hyperlink display="Probability that a 50-year-old will die of a vaccine-preventable cause before reaching age 75" location="'Disease burden'!E317" ref="E79"/>
    <hyperlink display="Proportion of 50-74-year-olds represented in GBD 2021 disease burden estimates who were vaccinated, aggregated across vaccines" location="'Aggregation across vaccines'!E159" ref="E80"/>
    <hyperlink display="Proportion of vaccine-preventable disease incidence averted by full vaccination among 50-74-year-olds, aggregated across vaccines" location="'Aggregation across vaccines'!E147" ref="E81"/>
    <hyperlink display="Mortalities indirectly attributable to vaccine-preventable disease per mortality directly caused by vaccine-preventable disease" location="Inputs!E228" ref="E83"/>
    <hyperlink display="Ratio of the reduction in vaccine-preventable disease mortality to the reduction in vaccine-preventable disease incidence" location="Inputs!E229" ref="E85"/>
    <hyperlink display="Discount rate for deaths averted in the future" location="Inputs!E232" ref="E87"/>
    <hyperlink display="Average years between vaccination and a mortality occuring among 50-74-year-olds" location="Inputs!E235" ref="E88"/>
    <hyperlink display="Ratio of value generated from income increases to value generated from mortalities averted among people under age 15 by seasonal malaria chemoprevention (SMC)" location="Inputs!E238" ref="E92"/>
    <hyperlink display="Adjustment for income increases generated by New Incentives' program compared to SMC" location="Inputs!E239" ref="E93"/>
    <hyperlink display="Value assigned to averting a death from vaccine-preventable disease of a person under age 5 " location="Inputs!E256" ref="E95"/>
    <hyperlink display="Value assigned to averting a death from vaccine-preventable disease of a person age 5-14" location="Inputs!E257" ref="E96"/>
    <hyperlink display="Travel cost of bringing a child to a health clinic for vaccination" location="Inputs!E242" ref="E101"/>
    <hyperlink display="Number of routine vaccination visits incentivized by New Incentives' program" location="Inputs!E243" ref="E102"/>
    <hyperlink display="Size of cash transfer disbursed for the routine vaccination visit at birth" location="Inputs!E244" ref="E104"/>
    <hyperlink display="Size of cash transfer disbursed for the routine vaccination visit at 6 weeks" location="Inputs!E245" ref="E105"/>
    <hyperlink display="Size of cash transfer disbursed for the routine vaccination visit at 10 weeks" location="Inputs!E246" ref="E106"/>
    <hyperlink display="Size of cash transfer disbursed for the routine vaccination visit at 14 weeks" location="Inputs!E247" ref="E107"/>
    <hyperlink display="Size of cash transfer disbursed for the routine vaccination visit at 9 months" location="Inputs!E248" ref="E108"/>
    <hyperlink display="Nigerian naira per U.S. dollar" location="Inputs!E249" ref="E110"/>
    <hyperlink display="Average number of people per household" location="Inputs!E250" ref="E114"/>
    <hyperlink display="Baseline annual consumption per capita" location="Inputs!E251" ref="E116"/>
    <hyperlink display="Value assigned to averting a death from vaccine-preventable disease of a person under age 5 " location="Inputs!E256" ref="E123"/>
    <hyperlink display="Value assigned to averting a death from vaccine-preventable disease of a person age 5-14" location="Inputs!E257" ref="E127"/>
    <hyperlink display="Value assigned to averting a death from vaccine-preventable disease of a person age 15-49" location="Inputs!E258" ref="E131"/>
    <hyperlink display="Value assigned to averting a death from vaccine-preventable disease of a person age 50-74" location="Inputs!E259" ref="E135"/>
    <hyperlink display="Value assigned to increasing ln(consumption) by one unit for one person for one year" location="Inputs!E261" ref="E143"/>
    <hyperlink display="Total deaths averted among people under age 5" location="'Main CEA'!E50" ref="E149"/>
    <hyperlink display="Discounted deaths averted among people age 5 through age 14" location="'Main CEA'!E63" ref="E150"/>
    <hyperlink display="Discounted deaths averted among people age 15 through age 49" location="'Main CEA'!E76" ref="E151"/>
    <hyperlink display="Discounted deaths averted among people age 50 through age 74" location="'Main CEA'!E89" ref="E152"/>
    <hyperlink display="Children counterfactually vaccinated" location="'Main CEA'!E38" ref="E153"/>
    <hyperlink display="Value assigned to averting a death from vaccine-preventable disease of a person under age 5 " location="Inputs!E256" ref="E157"/>
    <hyperlink display="Value assigned to averting a death from vaccine-preventable disease of a person age 5-14" location="'Main CEA'!E127" ref="E158"/>
    <hyperlink display="Value assigned to averting a death from vaccine-preventable disease of a person age 15-49" location="'Main CEA'!E131" ref="E159"/>
    <hyperlink display="Value assigned to averting a death from vaccine-preventable disease of a person age 50-74" location="'Main CEA'!E135" ref="E160"/>
    <hyperlink display="Units of value generated from long-term income increases per infant counterfactually vaccinated" location="'Main CEA'!E139" ref="E161"/>
    <hyperlink display="Total spending contributed by grantee" location="'Main CEA'!E11" ref="E173"/>
    <hyperlink display="Value generated per dollar donated to GiveDirectly's unconditional cash transfer program" location="Inputs!E266" ref="E176"/>
    <hyperlink display="Total spending contributed by grantee" location="'Main CEA'!E11" ref="E188"/>
    <hyperlink display="Double treatment" location="Inputs!E272" ref="E196"/>
    <hyperlink display="Ineffective goods" location="Inputs!E273" ref="E197"/>
    <hyperlink display="Goods purchased and left in storage until they expire / recipients don't receive cash or it is taken back from them inappropriately" location="Inputs!E274" ref="E198"/>
    <hyperlink display="Misappropriation without monitoring results" location="Inputs!E276" ref="E200"/>
    <hyperlink display="False monitoring results" location="Inputs!E277" ref="E201"/>
    <hyperlink display="Change of priorities" location="Inputs!E279" ref="E203"/>
    <hyperlink display="Non-funding bottlenecks" location="Inputs!E280" ref="E204"/>
    <hyperlink display="Within-org fungibility" location="Inputs!E281" ref="E205"/>
    <hyperlink display="Morbidity effects from directly incentivized vaccines and rotavirus" location="Inputs!E284" ref="E211"/>
    <hyperlink display="Morbidity effects of indirectly incentivized vaccines besides rotavirus (i.e., polio, yellow fever, rubella, mumps, varicella meningitis A)" location="Inputs!E285" ref="E212"/>
    <hyperlink display="Inflation" location="Inputs!E286" ref="E213"/>
    <hyperlink display="Treatment costs averted from prevention" location="Inputs!E287" ref="E214"/>
    <hyperlink display="Investment of income increases" location="Inputs!E288" ref="E215"/>
    <hyperlink display="Increased clinic utilization" location="Inputs!E289" ref="E216"/>
    <hyperlink display="Lower likelihood of infecting others" location="Inputs!E290" ref="E218"/>
    <hyperlink display="Herd immunity" location="Inputs!E291" ref="E219"/>
    <hyperlink display="Mortality effects of indirectly incentivized vaccines besides rotavirus (i.e., polio, yellow fever, rubella, mumps, varicella meningitis A)" location="Inputs!E292" ref="E220"/>
    <hyperlink display="Effects during outbreaks" location="Inputs!E293" ref="E221"/>
    <hyperlink display="Increasing vaccination rates independent of New Incentives' program" location="Inputs!E294" ref="E222"/>
    <hyperlink display="Vaccine-derived polio outbreaks" location="Inputs!E295" ref="E223"/>
    <hyperlink display="Serotype replacement" location="Inputs!E296" ref="E224"/>
    <hyperlink display="Increased timeliness of vaccination" location="Inputs!E297" ref="E225"/>
    <hyperlink display="Adjustment for the possibility of crowding funding into the program (leverage)" location="LeverageFunging!E95" ref="E230"/>
    <hyperlink display="Adjustment for the possibility of crowding funding out of the program (funging)" location="LeverageFunging!E96" ref="E231"/>
    <hyperlink display="Overall adjustment for leverage and funging" location="LeverageFunging!E97" ref="D233"/>
    <hyperlink display="Total value generated by grantee spending after adjusting for leverage and funging" location="LeverageFunging!E92" ref="E238"/>
    <hyperlink display="Total supplemental grantee-level adjustment" location="'Main CEA'!D207" ref="E246"/>
    <hyperlink display="Leverage and funging adjustment for counterfactual impact estimates" location="LeverageFunging!E100" ref="E247"/>
    <hyperlink display="Total supplemental grantee-level adjustment" location="'Main CEA'!D207" ref="E251"/>
    <hyperlink display="Leverage and funging adjustment for counterfactual impact estimates" location="LeverageFunging!E100" ref="E253"/>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45" width="12.13"/>
    <col customWidth="1" min="46" max="46" width="3.63"/>
  </cols>
  <sheetData>
    <row r="1">
      <c r="A1" s="1"/>
      <c r="B1" s="3"/>
      <c r="C1" s="3"/>
      <c r="D1" s="3"/>
      <c r="E1" s="5"/>
      <c r="F1" s="7"/>
      <c r="G1" s="8"/>
      <c r="H1" s="9"/>
      <c r="I1" s="11" t="s">
        <v>1</v>
      </c>
      <c r="J1" s="12"/>
      <c r="K1" s="12"/>
      <c r="L1" s="12"/>
      <c r="M1" s="12"/>
      <c r="N1" s="12"/>
      <c r="O1" s="12"/>
      <c r="P1" s="12"/>
      <c r="Q1" s="12"/>
      <c r="R1" s="16" t="s">
        <v>3</v>
      </c>
      <c r="S1" s="14"/>
      <c r="T1" s="14"/>
      <c r="U1" s="14"/>
      <c r="V1" s="14"/>
      <c r="W1" s="14"/>
      <c r="X1" s="14"/>
      <c r="Y1" s="14"/>
      <c r="Z1" s="14"/>
      <c r="AA1" s="14"/>
      <c r="AB1" s="14"/>
      <c r="AC1" s="14"/>
      <c r="AD1" s="14"/>
      <c r="AE1" s="14"/>
      <c r="AF1" s="20" t="s">
        <v>3</v>
      </c>
      <c r="AG1" s="14"/>
      <c r="AH1" s="14"/>
      <c r="AI1" s="14"/>
      <c r="AJ1" s="14"/>
      <c r="AK1" s="14"/>
      <c r="AL1" s="14"/>
      <c r="AM1" s="14"/>
      <c r="AN1" s="14"/>
      <c r="AO1" s="14"/>
      <c r="AP1" s="14"/>
      <c r="AQ1" s="14"/>
      <c r="AR1" s="14"/>
      <c r="AS1" s="14"/>
      <c r="AT1" s="23"/>
    </row>
    <row r="2">
      <c r="A2" s="24"/>
      <c r="B2" s="25"/>
      <c r="C2" s="26"/>
      <c r="D2" s="25"/>
      <c r="E2" s="27"/>
      <c r="F2" s="28"/>
      <c r="G2" s="29"/>
      <c r="H2" s="31"/>
      <c r="I2" s="35" t="s">
        <v>7</v>
      </c>
      <c r="J2" s="35" t="s">
        <v>7</v>
      </c>
      <c r="K2" s="35" t="s">
        <v>7</v>
      </c>
      <c r="L2" s="35" t="s">
        <v>7</v>
      </c>
      <c r="M2" s="35" t="s">
        <v>7</v>
      </c>
      <c r="N2" s="35" t="s">
        <v>7</v>
      </c>
      <c r="O2" s="35" t="s">
        <v>7</v>
      </c>
      <c r="P2" s="35" t="s">
        <v>7</v>
      </c>
      <c r="Q2" s="35" t="s">
        <v>7</v>
      </c>
      <c r="R2" s="41" t="s">
        <v>7</v>
      </c>
      <c r="S2" s="35" t="s">
        <v>7</v>
      </c>
      <c r="T2" s="35" t="s">
        <v>7</v>
      </c>
      <c r="U2" s="35" t="s">
        <v>7</v>
      </c>
      <c r="V2" s="35" t="s">
        <v>7</v>
      </c>
      <c r="W2" s="35" t="s">
        <v>7</v>
      </c>
      <c r="X2" s="35" t="s">
        <v>7</v>
      </c>
      <c r="Y2" s="35" t="s">
        <v>7</v>
      </c>
      <c r="Z2" s="35" t="s">
        <v>7</v>
      </c>
      <c r="AA2" s="35" t="s">
        <v>7</v>
      </c>
      <c r="AB2" s="35" t="s">
        <v>7</v>
      </c>
      <c r="AC2" s="35" t="s">
        <v>7</v>
      </c>
      <c r="AD2" s="35" t="s">
        <v>7</v>
      </c>
      <c r="AE2" s="35" t="s">
        <v>7</v>
      </c>
      <c r="AF2" s="35" t="s">
        <v>7</v>
      </c>
      <c r="AG2" s="35" t="s">
        <v>7</v>
      </c>
      <c r="AH2" s="35" t="s">
        <v>7</v>
      </c>
      <c r="AI2" s="35" t="s">
        <v>7</v>
      </c>
      <c r="AJ2" s="35" t="s">
        <v>7</v>
      </c>
      <c r="AK2" s="35" t="s">
        <v>7</v>
      </c>
      <c r="AL2" s="35" t="s">
        <v>7</v>
      </c>
      <c r="AM2" s="35" t="s">
        <v>7</v>
      </c>
      <c r="AN2" s="35" t="s">
        <v>7</v>
      </c>
      <c r="AO2" s="35" t="s">
        <v>7</v>
      </c>
      <c r="AP2" s="35" t="s">
        <v>7</v>
      </c>
      <c r="AQ2" s="35" t="s">
        <v>7</v>
      </c>
      <c r="AR2" s="35" t="s">
        <v>7</v>
      </c>
      <c r="AS2" s="35" t="s">
        <v>7</v>
      </c>
      <c r="AT2" s="42"/>
    </row>
    <row r="3">
      <c r="A3" s="43" t="s">
        <v>18</v>
      </c>
      <c r="B3" s="12"/>
      <c r="C3" s="12"/>
      <c r="D3" s="12"/>
      <c r="E3" s="12"/>
      <c r="F3" s="44" t="s">
        <v>21</v>
      </c>
      <c r="G3" s="45" t="s">
        <v>22</v>
      </c>
      <c r="H3" s="46" t="s">
        <v>24</v>
      </c>
      <c r="I3" s="47" t="s">
        <v>26</v>
      </c>
      <c r="J3" s="47" t="s">
        <v>28</v>
      </c>
      <c r="K3" s="47" t="s">
        <v>30</v>
      </c>
      <c r="L3" s="47" t="s">
        <v>31</v>
      </c>
      <c r="M3" s="47" t="s">
        <v>32</v>
      </c>
      <c r="N3" s="47" t="s">
        <v>33</v>
      </c>
      <c r="O3" s="47" t="s">
        <v>34</v>
      </c>
      <c r="P3" s="47" t="s">
        <v>35</v>
      </c>
      <c r="Q3" s="47" t="s">
        <v>37</v>
      </c>
      <c r="R3" s="49" t="s">
        <v>38</v>
      </c>
      <c r="S3" s="47" t="s">
        <v>39</v>
      </c>
      <c r="T3" s="47" t="s">
        <v>40</v>
      </c>
      <c r="U3" s="47" t="s">
        <v>41</v>
      </c>
      <c r="V3" s="47" t="s">
        <v>42</v>
      </c>
      <c r="W3" s="47" t="s">
        <v>44</v>
      </c>
      <c r="X3" s="47" t="s">
        <v>45</v>
      </c>
      <c r="Y3" s="47" t="s">
        <v>46</v>
      </c>
      <c r="Z3" s="47" t="s">
        <v>47</v>
      </c>
      <c r="AA3" s="47" t="s">
        <v>48</v>
      </c>
      <c r="AB3" s="47" t="s">
        <v>49</v>
      </c>
      <c r="AC3" s="47" t="s">
        <v>50</v>
      </c>
      <c r="AD3" s="47" t="s">
        <v>51</v>
      </c>
      <c r="AE3" s="47" t="s">
        <v>52</v>
      </c>
      <c r="AF3" s="47" t="s">
        <v>53</v>
      </c>
      <c r="AG3" s="47" t="s">
        <v>54</v>
      </c>
      <c r="AH3" s="47" t="s">
        <v>55</v>
      </c>
      <c r="AI3" s="47" t="s">
        <v>56</v>
      </c>
      <c r="AJ3" s="47" t="s">
        <v>57</v>
      </c>
      <c r="AK3" s="47" t="s">
        <v>58</v>
      </c>
      <c r="AL3" s="47" t="s">
        <v>59</v>
      </c>
      <c r="AM3" s="47" t="s">
        <v>60</v>
      </c>
      <c r="AN3" s="47" t="s">
        <v>61</v>
      </c>
      <c r="AO3" s="47" t="s">
        <v>63</v>
      </c>
      <c r="AP3" s="47" t="s">
        <v>64</v>
      </c>
      <c r="AQ3" s="47" t="s">
        <v>65</v>
      </c>
      <c r="AR3" s="47" t="s">
        <v>66</v>
      </c>
      <c r="AS3" s="47" t="s">
        <v>67</v>
      </c>
      <c r="AT3" s="53"/>
    </row>
    <row r="4">
      <c r="A4" s="54"/>
      <c r="B4" s="56"/>
      <c r="C4" s="59"/>
      <c r="D4" s="56"/>
      <c r="E4" s="57" t="s">
        <v>70</v>
      </c>
      <c r="F4" s="61" t="str">
        <f>'Main CEA'!F241</f>
        <v>xcash</v>
      </c>
      <c r="G4" s="62" t="str">
        <f>'Main CEA'!G241</f>
        <v>calc</v>
      </c>
      <c r="H4" s="65" t="str">
        <f>'Main CEA'!H241</f>
        <v>-</v>
      </c>
      <c r="I4" s="67">
        <f>'Main CEA'!I241</f>
        <v>23.79888889</v>
      </c>
      <c r="J4" s="67">
        <f>'Main CEA'!J241</f>
        <v>10.80064073</v>
      </c>
      <c r="K4" s="67">
        <f>'Main CEA'!K241</f>
        <v>19.89994382</v>
      </c>
      <c r="L4" s="67">
        <f>'Main CEA'!L241</f>
        <v>5.656827509</v>
      </c>
      <c r="M4" s="67">
        <f>'Main CEA'!M241</f>
        <v>13.12917563</v>
      </c>
      <c r="N4" s="67">
        <f>'Main CEA'!N241</f>
        <v>20.32981152</v>
      </c>
      <c r="O4" s="67">
        <f>'Main CEA'!O241</f>
        <v>31.53213901</v>
      </c>
      <c r="P4" s="67">
        <f>'Main CEA'!P241</f>
        <v>51.33089054</v>
      </c>
      <c r="Q4" s="67">
        <f>'Main CEA'!Q241</f>
        <v>38.10262623</v>
      </c>
      <c r="R4" s="67">
        <f>'Main CEA'!R241</f>
        <v>1.867786341</v>
      </c>
      <c r="S4" s="67">
        <f>'Main CEA'!S241</f>
        <v>4.225686691</v>
      </c>
      <c r="T4" s="67">
        <f>'Main CEA'!T241</f>
        <v>1.768109683</v>
      </c>
      <c r="U4" s="67">
        <f>'Main CEA'!U241</f>
        <v>2.150636078</v>
      </c>
      <c r="V4" s="67">
        <f>'Main CEA'!V241</f>
        <v>2.992986954</v>
      </c>
      <c r="W4" s="67">
        <f>'Main CEA'!W241</f>
        <v>3.694768058</v>
      </c>
      <c r="X4" s="67">
        <f>'Main CEA'!X241</f>
        <v>7.445203475</v>
      </c>
      <c r="Y4" s="67">
        <f>'Main CEA'!Y241</f>
        <v>1.470093695</v>
      </c>
      <c r="Z4" s="67">
        <f>'Main CEA'!Z241</f>
        <v>2.491823062</v>
      </c>
      <c r="AA4" s="67">
        <f>'Main CEA'!AA241</f>
        <v>0.9010486621</v>
      </c>
      <c r="AB4" s="67">
        <f>'Main CEA'!AB241</f>
        <v>1.689729482</v>
      </c>
      <c r="AC4" s="67">
        <f>'Main CEA'!AC241</f>
        <v>1.163916063</v>
      </c>
      <c r="AD4" s="67">
        <f>'Main CEA'!AD241</f>
        <v>0.9454095081</v>
      </c>
      <c r="AE4" s="67">
        <f>'Main CEA'!AE241</f>
        <v>1.452673546</v>
      </c>
      <c r="AF4" s="67">
        <f>'Main CEA'!AF241</f>
        <v>1.113372117</v>
      </c>
      <c r="AG4" s="67">
        <f>'Main CEA'!AG241</f>
        <v>2.326412741</v>
      </c>
      <c r="AH4" s="67">
        <f>'Main CEA'!AH241</f>
        <v>2.58552318</v>
      </c>
      <c r="AI4" s="67">
        <f>'Main CEA'!AI241</f>
        <v>1.057455961</v>
      </c>
      <c r="AJ4" s="67">
        <f>'Main CEA'!AJ241</f>
        <v>4.122478511</v>
      </c>
      <c r="AK4" s="67">
        <f>'Main CEA'!AK241</f>
        <v>8.328347179</v>
      </c>
      <c r="AL4" s="67">
        <f>'Main CEA'!AL241</f>
        <v>3.316423642</v>
      </c>
      <c r="AM4" s="67">
        <f>'Main CEA'!AM241</f>
        <v>2.891797582</v>
      </c>
      <c r="AN4" s="67">
        <f>'Main CEA'!AN241</f>
        <v>1.109345771</v>
      </c>
      <c r="AO4" s="67">
        <f>'Main CEA'!AO241</f>
        <v>1.997283971</v>
      </c>
      <c r="AP4" s="67">
        <f>'Main CEA'!AP241</f>
        <v>2.667363328</v>
      </c>
      <c r="AQ4" s="67">
        <f>'Main CEA'!AQ241</f>
        <v>1.639182556</v>
      </c>
      <c r="AR4" s="67">
        <f>'Main CEA'!AR241</f>
        <v>7.705572783</v>
      </c>
      <c r="AS4" s="67">
        <f>'Main CEA'!AS241</f>
        <v>6.722833091</v>
      </c>
      <c r="AT4" s="71"/>
    </row>
    <row r="5">
      <c r="A5" s="72" t="s">
        <v>108</v>
      </c>
      <c r="B5" s="14"/>
      <c r="C5" s="14"/>
      <c r="D5" s="14"/>
      <c r="E5" s="14"/>
      <c r="F5" s="14"/>
      <c r="G5" s="14"/>
      <c r="H5" s="73"/>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7"/>
      <c r="AP5" s="97"/>
      <c r="AQ5" s="97"/>
      <c r="AR5" s="97"/>
      <c r="AS5" s="97"/>
      <c r="AT5" s="79"/>
    </row>
    <row r="6">
      <c r="A6" s="80"/>
      <c r="B6" s="81"/>
      <c r="C6" s="102"/>
      <c r="D6" s="81"/>
      <c r="E6" s="82"/>
      <c r="F6" s="83"/>
      <c r="G6" s="84"/>
      <c r="H6" s="85"/>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8"/>
    </row>
    <row r="7">
      <c r="A7" s="80"/>
      <c r="B7" s="81"/>
      <c r="C7" s="107" t="s">
        <v>117</v>
      </c>
      <c r="F7" s="108"/>
      <c r="G7" s="109"/>
      <c r="H7" s="110"/>
      <c r="I7" s="111"/>
      <c r="J7" s="111"/>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88"/>
    </row>
    <row r="8">
      <c r="A8" s="80"/>
      <c r="B8" s="81"/>
      <c r="C8" s="112"/>
      <c r="D8" s="112"/>
      <c r="E8" s="113" t="s">
        <v>124</v>
      </c>
      <c r="F8" s="116" t="str">
        <f>'Vaccine coverage'!F91</f>
        <v>%</v>
      </c>
      <c r="G8" s="117" t="s">
        <v>131</v>
      </c>
      <c r="H8" s="118" t="str">
        <f>'Vaccine coverage'!H91</f>
        <v>-</v>
      </c>
      <c r="I8" s="119">
        <f>'Vaccine coverage'!I91</f>
        <v>0.5535377178</v>
      </c>
      <c r="J8" s="119">
        <f>'Vaccine coverage'!J91</f>
        <v>0.72328382</v>
      </c>
      <c r="K8" s="119">
        <f>'Vaccine coverage'!K91</f>
        <v>0.611188258</v>
      </c>
      <c r="L8" s="119">
        <f>'Vaccine coverage'!L91</f>
        <v>0.775689378</v>
      </c>
      <c r="M8" s="119">
        <f>'Vaccine coverage'!M91</f>
        <v>0.628925044</v>
      </c>
      <c r="N8" s="119">
        <f>'Vaccine coverage'!N91</f>
        <v>0.4945541583</v>
      </c>
      <c r="O8" s="119">
        <f>'Vaccine coverage'!O91</f>
        <v>0.392019086</v>
      </c>
      <c r="P8" s="119">
        <f>'Vaccine coverage'!P91</f>
        <v>0.3481595916</v>
      </c>
      <c r="Q8" s="119">
        <f>'Vaccine coverage'!Q91</f>
        <v>0.4767759004</v>
      </c>
      <c r="R8" s="119">
        <f>'Vaccine coverage'!R91</f>
        <v>0.9061792657</v>
      </c>
      <c r="S8" s="119">
        <f>'Vaccine coverage'!S91</f>
        <v>0.8969986928</v>
      </c>
      <c r="T8" s="119">
        <f>'Vaccine coverage'!T91</f>
        <v>0.8571154159</v>
      </c>
      <c r="U8" s="119">
        <f>'Vaccine coverage'!U91</f>
        <v>0.8450997793</v>
      </c>
      <c r="V8" s="119">
        <f>'Vaccine coverage'!V91</f>
        <v>0.7900281112</v>
      </c>
      <c r="W8" s="119">
        <f>'Vaccine coverage'!W91</f>
        <v>0.8180645968</v>
      </c>
      <c r="X8" s="119">
        <f>'Vaccine coverage'!X91</f>
        <v>0.6488443803</v>
      </c>
      <c r="Y8" s="119">
        <f>'Vaccine coverage'!Y91</f>
        <v>0.9322131451</v>
      </c>
      <c r="Z8" s="119">
        <f>'Vaccine coverage'!Z91</f>
        <v>0.8360880518</v>
      </c>
      <c r="AA8" s="119">
        <f>'Vaccine coverage'!AA91</f>
        <v>0.9942939346</v>
      </c>
      <c r="AB8" s="119">
        <f>'Vaccine coverage'!AB91</f>
        <v>0.9242027207</v>
      </c>
      <c r="AC8" s="119">
        <f>'Vaccine coverage'!AC91</f>
        <v>0.9912900254</v>
      </c>
      <c r="AD8" s="119">
        <f>'Vaccine coverage'!AD91</f>
        <v>0.9922913285</v>
      </c>
      <c r="AE8" s="119">
        <f>'Vaccine coverage'!AE91</f>
        <v>0.9532405093</v>
      </c>
      <c r="AF8" s="119">
        <f>'Vaccine coverage'!AF91</f>
        <v>0.948233994</v>
      </c>
      <c r="AG8" s="119">
        <f>'Vaccine coverage'!AG91</f>
        <v>0.9242027207</v>
      </c>
      <c r="AH8" s="119">
        <f>'Vaccine coverage'!AH91</f>
        <v>0.7239421095</v>
      </c>
      <c r="AI8" s="119">
        <f>'Vaccine coverage'!AI91</f>
        <v>0.9452300849</v>
      </c>
      <c r="AJ8" s="119">
        <f>'Vaccine coverage'!AJ91</f>
        <v>0.7930320204</v>
      </c>
      <c r="AK8" s="119">
        <f>'Vaccine coverage'!AK91</f>
        <v>0.6678691384</v>
      </c>
      <c r="AL8" s="119">
        <f>'Vaccine coverage'!AL91</f>
        <v>0.7239421095</v>
      </c>
      <c r="AM8" s="119">
        <f>'Vaccine coverage'!AM91</f>
        <v>0.7519785951</v>
      </c>
      <c r="AN8" s="119">
        <f>'Vaccine coverage'!AN91</f>
        <v>0.9312118421</v>
      </c>
      <c r="AO8" s="119">
        <f>'Vaccine coverage'!AO91</f>
        <v>0.8260750212</v>
      </c>
      <c r="AP8" s="119">
        <f>'Vaccine coverage'!AP91</f>
        <v>0.8781427801</v>
      </c>
      <c r="AQ8" s="119">
        <f>'Vaccine coverage'!AQ91</f>
        <v>0.9041766596</v>
      </c>
      <c r="AR8" s="119">
        <f>'Vaccine coverage'!AR91</f>
        <v>0.7637037039</v>
      </c>
      <c r="AS8" s="119">
        <f>'Vaccine coverage'!AS91</f>
        <v>0.7529798981</v>
      </c>
      <c r="AT8" s="136"/>
    </row>
    <row r="9">
      <c r="A9" s="80"/>
      <c r="B9" s="81"/>
      <c r="C9" s="112"/>
      <c r="D9" s="112"/>
      <c r="E9" s="140" t="s">
        <v>155</v>
      </c>
      <c r="F9" s="141" t="str">
        <f>'Vaccine coverage'!F92</f>
        <v>%</v>
      </c>
      <c r="G9" s="142" t="s">
        <v>131</v>
      </c>
      <c r="H9" s="146" t="str">
        <f>'Vaccine coverage'!H92</f>
        <v>-</v>
      </c>
      <c r="I9" s="149">
        <f>'Vaccine coverage'!I92</f>
        <v>0.495582762</v>
      </c>
      <c r="J9" s="149">
        <f>'Vaccine coverage'!J92</f>
        <v>0.673312782</v>
      </c>
      <c r="K9" s="149">
        <f>'Vaccine coverage'!K92</f>
        <v>0.573844532</v>
      </c>
      <c r="L9" s="149">
        <f>'Vaccine coverage'!L92</f>
        <v>0.74159805</v>
      </c>
      <c r="M9" s="149">
        <f>'Vaccine coverage'!M92</f>
        <v>0.579537486</v>
      </c>
      <c r="N9" s="149">
        <f>'Vaccine coverage'!N92</f>
        <v>0.4580575853</v>
      </c>
      <c r="O9" s="149">
        <f>'Vaccine coverage'!O92</f>
        <v>0.325885652</v>
      </c>
      <c r="P9" s="149">
        <f>'Vaccine coverage'!P92</f>
        <v>0.2706557576</v>
      </c>
      <c r="Q9" s="149">
        <f>'Vaccine coverage'!Q92</f>
        <v>0.4170435707</v>
      </c>
      <c r="R9" s="149">
        <f>'Vaccine coverage'!R92</f>
        <v>0.8831492954</v>
      </c>
      <c r="S9" s="149">
        <f>'Vaccine coverage'!S92</f>
        <v>0.8691092542</v>
      </c>
      <c r="T9" s="149">
        <f>'Vaccine coverage'!T92</f>
        <v>0.8631232343</v>
      </c>
      <c r="U9" s="149">
        <f>'Vaccine coverage'!U92</f>
        <v>0.8300802334</v>
      </c>
      <c r="V9" s="149">
        <f>'Vaccine coverage'!V92</f>
        <v>0.7760098684</v>
      </c>
      <c r="W9" s="149">
        <f>'Vaccine coverage'!W92</f>
        <v>0.8090528692</v>
      </c>
      <c r="X9" s="149">
        <f>'Vaccine coverage'!X92</f>
        <v>0.5797544694</v>
      </c>
      <c r="Y9" s="149">
        <f>'Vaccine coverage'!Y92</f>
        <v>0.9322131451</v>
      </c>
      <c r="Z9" s="149">
        <f>'Vaccine coverage'!Z92</f>
        <v>0.8110554754</v>
      </c>
      <c r="AA9" s="149">
        <f>'Vaccine coverage'!AA92</f>
        <v>0.9922913285</v>
      </c>
      <c r="AB9" s="149">
        <f>'Vaccine coverage'!AB92</f>
        <v>0.9232014176</v>
      </c>
      <c r="AC9" s="149">
        <f>'Vaccine coverage'!AC92</f>
        <v>0.947232691</v>
      </c>
      <c r="AD9" s="149">
        <f>'Vaccine coverage'!AD92</f>
        <v>0.9862835102</v>
      </c>
      <c r="AE9" s="149">
        <f>'Vaccine coverage'!AE92</f>
        <v>0.9061792657</v>
      </c>
      <c r="AF9" s="149">
        <f>'Vaccine coverage'!AF92</f>
        <v>0.9422261757</v>
      </c>
      <c r="AG9" s="149">
        <f>'Vaccine coverage'!AG92</f>
        <v>0.8631232343</v>
      </c>
      <c r="AH9" s="149">
        <f>'Vaccine coverage'!AH92</f>
        <v>0.6638639261</v>
      </c>
      <c r="AI9" s="149">
        <f>'Vaccine coverage'!AI92</f>
        <v>0.9252040237</v>
      </c>
      <c r="AJ9" s="149">
        <f>'Vaccine coverage'!AJ92</f>
        <v>0.7199368973</v>
      </c>
      <c r="AK9" s="149">
        <f>'Vaccine coverage'!AK92</f>
        <v>0.6218091978</v>
      </c>
      <c r="AL9" s="149">
        <f>'Vaccine coverage'!AL92</f>
        <v>0.6678691384</v>
      </c>
      <c r="AM9" s="149">
        <f>'Vaccine coverage'!AM92</f>
        <v>0.7349564431</v>
      </c>
      <c r="AN9" s="149">
        <f>'Vaccine coverage'!AN92</f>
        <v>0.9151909932</v>
      </c>
      <c r="AO9" s="149">
        <f>'Vaccine coverage'!AO92</f>
        <v>0.7569851103</v>
      </c>
      <c r="AP9" s="149">
        <f>'Vaccine coverage'!AP92</f>
        <v>0.8010424448</v>
      </c>
      <c r="AQ9" s="149">
        <f>'Vaccine coverage'!AQ92</f>
        <v>0.8971675382</v>
      </c>
      <c r="AR9" s="149">
        <f>'Vaccine coverage'!AR92</f>
        <v>0.737458661</v>
      </c>
      <c r="AS9" s="149">
        <f>'Vaccine coverage'!AS92</f>
        <v>0.7389616553</v>
      </c>
      <c r="AT9" s="163"/>
    </row>
    <row r="10">
      <c r="A10" s="80"/>
      <c r="B10" s="81"/>
      <c r="C10" s="112"/>
      <c r="D10" s="112"/>
      <c r="E10" s="140" t="s">
        <v>165</v>
      </c>
      <c r="F10" s="141" t="str">
        <f>'Vaccine coverage'!F93</f>
        <v>%</v>
      </c>
      <c r="G10" s="142" t="s">
        <v>131</v>
      </c>
      <c r="H10" s="146" t="str">
        <f>'Vaccine coverage'!H93</f>
        <v>-</v>
      </c>
      <c r="I10" s="149">
        <f>'Vaccine coverage'!I93</f>
        <v>0.4519370496</v>
      </c>
      <c r="J10" s="149">
        <f>'Vaccine coverage'!J93</f>
        <v>0.631494368</v>
      </c>
      <c r="K10" s="149">
        <f>'Vaccine coverage'!K93</f>
        <v>0.517475334</v>
      </c>
      <c r="L10" s="149">
        <f>'Vaccine coverage'!L93</f>
        <v>0.670351118</v>
      </c>
      <c r="M10" s="149">
        <f>'Vaccine coverage'!M93</f>
        <v>0.498605792</v>
      </c>
      <c r="N10" s="149">
        <f>'Vaccine coverage'!N93</f>
        <v>0.4193159035</v>
      </c>
      <c r="O10" s="149">
        <f>'Vaccine coverage'!O93</f>
        <v>0.234385928</v>
      </c>
      <c r="P10" s="149">
        <f>'Vaccine coverage'!P93</f>
        <v>0.251602386</v>
      </c>
      <c r="Q10" s="149">
        <f>'Vaccine coverage'!Q93</f>
        <v>0.3290409239</v>
      </c>
      <c r="R10" s="149">
        <f>'Vaccine coverage'!R93</f>
        <v>0.8611206282</v>
      </c>
      <c r="S10" s="149">
        <f>'Vaccine coverage'!S93</f>
        <v>0.7939166896</v>
      </c>
      <c r="T10" s="149">
        <f>'Vaccine coverage'!T93</f>
        <v>0.8240724151</v>
      </c>
      <c r="U10" s="149">
        <f>'Vaccine coverage'!U93</f>
        <v>0.7549825042</v>
      </c>
      <c r="V10" s="149">
        <f>'Vaccine coverage'!V93</f>
        <v>0.7609903226</v>
      </c>
      <c r="W10" s="149">
        <f>'Vaccine coverage'!W93</f>
        <v>0.7459707767</v>
      </c>
      <c r="X10" s="149">
        <f>'Vaccine coverage'!X93</f>
        <v>0.4535902844</v>
      </c>
      <c r="Y10" s="149">
        <f>'Vaccine coverage'!Y93</f>
        <v>0.9191962054</v>
      </c>
      <c r="Z10" s="149">
        <f>'Vaccine coverage'!Z93</f>
        <v>0.7559838073</v>
      </c>
      <c r="AA10" s="149">
        <f>'Vaccine coverage'!AA93</f>
        <v>0.9912900254</v>
      </c>
      <c r="AB10" s="149">
        <f>'Vaccine coverage'!AB93</f>
        <v>0.9091831748</v>
      </c>
      <c r="AC10" s="149">
        <f>'Vaccine coverage'!AC93</f>
        <v>0.9442287818</v>
      </c>
      <c r="AD10" s="149">
        <f>'Vaccine coverage'!AD93</f>
        <v>0.9682600552</v>
      </c>
      <c r="AE10" s="149">
        <f>'Vaccine coverage'!AE93</f>
        <v>0.8731362648</v>
      </c>
      <c r="AF10" s="149">
        <f>'Vaccine coverage'!AF93</f>
        <v>0.9332144482</v>
      </c>
      <c r="AG10" s="149">
        <f>'Vaccine coverage'!AG93</f>
        <v>0.7409642614</v>
      </c>
      <c r="AH10" s="149">
        <f>'Vaccine coverage'!AH93</f>
        <v>0.6418352589</v>
      </c>
      <c r="AI10" s="149">
        <f>'Vaccine coverage'!AI93</f>
        <v>0.9021740535</v>
      </c>
      <c r="AJ10" s="149">
        <f>'Vaccine coverage'!AJ93</f>
        <v>0.6478430772</v>
      </c>
      <c r="AK10" s="149">
        <f>'Vaccine coverage'!AK93</f>
        <v>0.4976476188</v>
      </c>
      <c r="AL10" s="149">
        <f>'Vaccine coverage'!AL93</f>
        <v>0.5807557725</v>
      </c>
      <c r="AM10" s="149">
        <f>'Vaccine coverage'!AM93</f>
        <v>0.6828886842</v>
      </c>
      <c r="AN10" s="149">
        <f>'Vaccine coverage'!AN93</f>
        <v>0.8831492954</v>
      </c>
      <c r="AO10" s="149">
        <f>'Vaccine coverage'!AO93</f>
        <v>0.642836562</v>
      </c>
      <c r="AP10" s="149">
        <f>'Vaccine coverage'!AP93</f>
        <v>0.7800150806</v>
      </c>
      <c r="AQ10" s="149">
        <f>'Vaccine coverage'!AQ93</f>
        <v>0.8721349618</v>
      </c>
      <c r="AR10" s="149">
        <f>'Vaccine coverage'!AR93</f>
        <v>0.6715484762</v>
      </c>
      <c r="AS10" s="149">
        <f>'Vaccine coverage'!AS93</f>
        <v>0.7129277759</v>
      </c>
      <c r="AT10" s="163"/>
    </row>
    <row r="11">
      <c r="A11" s="80"/>
      <c r="B11" s="81"/>
      <c r="C11" s="112"/>
      <c r="D11" s="112"/>
      <c r="E11" s="140" t="s">
        <v>171</v>
      </c>
      <c r="F11" s="141" t="str">
        <f>'Vaccine coverage'!F94</f>
        <v>%</v>
      </c>
      <c r="G11" s="142" t="s">
        <v>131</v>
      </c>
      <c r="H11" s="187" t="str">
        <f>'Vaccine coverage'!H94</f>
        <v>-</v>
      </c>
      <c r="I11" s="149">
        <f>'Vaccine coverage'!I94</f>
        <v>0.3613680768</v>
      </c>
      <c r="J11" s="149">
        <f>'Vaccine coverage'!J94</f>
        <v>0.501987964</v>
      </c>
      <c r="K11" s="149">
        <f>'Vaccine coverage'!K94</f>
        <v>0.396805634</v>
      </c>
      <c r="L11" s="149">
        <f>'Vaccine coverage'!L94</f>
        <v>0.579358418</v>
      </c>
      <c r="M11" s="149">
        <f>'Vaccine coverage'!M94</f>
        <v>0.38185245</v>
      </c>
      <c r="N11" s="149">
        <f>'Vaccine coverage'!N94</f>
        <v>0.3529426851</v>
      </c>
      <c r="O11" s="149">
        <f>'Vaccine coverage'!O94</f>
        <v>0.141295718</v>
      </c>
      <c r="P11" s="149">
        <f>'Vaccine coverage'!P94</f>
        <v>0.1796970626</v>
      </c>
      <c r="Q11" s="149">
        <f>'Vaccine coverage'!Q94</f>
        <v>0.231105241</v>
      </c>
      <c r="R11" s="149">
        <f>'Vaccine coverage'!R94</f>
        <v>0.750977292</v>
      </c>
      <c r="S11" s="149">
        <f>'Vaccine coverage'!S94</f>
        <v>0.700363116</v>
      </c>
      <c r="T11" s="149">
        <f>'Vaccine coverage'!T94</f>
        <v>0.7319525339</v>
      </c>
      <c r="U11" s="149">
        <f>'Vaccine coverage'!U94</f>
        <v>0.7369590492</v>
      </c>
      <c r="V11" s="149">
        <f>'Vaccine coverage'!V94</f>
        <v>0.7029147453</v>
      </c>
      <c r="W11" s="149">
        <f>'Vaccine coverage'!W94</f>
        <v>0.6288183192</v>
      </c>
      <c r="X11" s="149">
        <f>'Vaccine coverage'!X94</f>
        <v>0.3013922199</v>
      </c>
      <c r="Y11" s="149">
        <f>'Vaccine coverage'!Y94</f>
        <v>0.750977292</v>
      </c>
      <c r="Z11" s="149">
        <f>'Vaccine coverage'!Z94</f>
        <v>0.6999108361</v>
      </c>
      <c r="AA11" s="149">
        <f>'Vaccine coverage'!AA94</f>
        <v>0.9882861163</v>
      </c>
      <c r="AB11" s="149">
        <f>'Vaccine coverage'!AB94</f>
        <v>0.8280776273</v>
      </c>
      <c r="AC11" s="149">
        <f>'Vaccine coverage'!AC94</f>
        <v>0.8501062945</v>
      </c>
      <c r="AD11" s="149">
        <f>'Vaccine coverage'!AD94</f>
        <v>0.9091831748</v>
      </c>
      <c r="AE11" s="149">
        <f>'Vaccine coverage'!AE94</f>
        <v>0.7970372326</v>
      </c>
      <c r="AF11" s="149">
        <f>'Vaccine coverage'!AF94</f>
        <v>0.8891571137</v>
      </c>
      <c r="AG11" s="149">
        <f>'Vaccine coverage'!AG94</f>
        <v>0.6328235314</v>
      </c>
      <c r="AH11" s="149">
        <f>'Vaccine coverage'!AH94</f>
        <v>0.5517179839</v>
      </c>
      <c r="AI11" s="149">
        <f>'Vaccine coverage'!AI94</f>
        <v>0.8481036884</v>
      </c>
      <c r="AJ11" s="149">
        <f>'Vaccine coverage'!AJ94</f>
        <v>0.5407036502</v>
      </c>
      <c r="AK11" s="149">
        <f>'Vaccine coverage'!AK94</f>
        <v>0.3945134041</v>
      </c>
      <c r="AL11" s="149">
        <f>'Vaccine coverage'!AL94</f>
        <v>0.4135381621</v>
      </c>
      <c r="AM11" s="149">
        <f>'Vaccine coverage'!AM94</f>
        <v>0.6268157131</v>
      </c>
      <c r="AN11" s="149">
        <f>'Vaccine coverage'!AN94</f>
        <v>0.8160619906</v>
      </c>
      <c r="AO11" s="149">
        <f>'Vaccine coverage'!AO94</f>
        <v>0.5697414389</v>
      </c>
      <c r="AP11" s="149">
        <f>'Vaccine coverage'!AP94</f>
        <v>0.6548521986</v>
      </c>
      <c r="AQ11" s="149">
        <f>'Vaccine coverage'!AQ94</f>
        <v>0.7820176867</v>
      </c>
      <c r="AR11" s="149">
        <f>'Vaccine coverage'!AR94</f>
        <v>0.5656656075</v>
      </c>
      <c r="AS11" s="149">
        <f>'Vaccine coverage'!AS94</f>
        <v>0.642836562</v>
      </c>
      <c r="AT11" s="163"/>
    </row>
    <row r="12">
      <c r="A12" s="80"/>
      <c r="B12" s="81"/>
      <c r="C12" s="112"/>
      <c r="D12" s="112"/>
      <c r="E12" s="140" t="s">
        <v>174</v>
      </c>
      <c r="F12" s="141" t="str">
        <f>'Vaccine coverage'!F103</f>
        <v>%</v>
      </c>
      <c r="G12" s="142" t="s">
        <v>131</v>
      </c>
      <c r="H12" s="187" t="str">
        <f>'Vaccine coverage'!H103</f>
        <v>-</v>
      </c>
      <c r="I12" s="149">
        <f>'Vaccine coverage'!I103</f>
        <v>0.4938000902</v>
      </c>
      <c r="J12" s="149">
        <f>'Vaccine coverage'!J103</f>
        <v>0.6376281436</v>
      </c>
      <c r="K12" s="149">
        <f>'Vaccine coverage'!K103</f>
        <v>0.5662667531</v>
      </c>
      <c r="L12" s="149">
        <f>'Vaccine coverage'!L103</f>
        <v>0.7278372035</v>
      </c>
      <c r="M12" s="149">
        <f>'Vaccine coverage'!M103</f>
        <v>0.5658824101</v>
      </c>
      <c r="N12" s="149">
        <f>'Vaccine coverage'!N103</f>
        <v>0.4435258602</v>
      </c>
      <c r="O12" s="149">
        <f>'Vaccine coverage'!O103</f>
        <v>0.3209879486</v>
      </c>
      <c r="P12" s="149">
        <f>'Vaccine coverage'!P103</f>
        <v>0.2114286461</v>
      </c>
      <c r="Q12" s="149">
        <f>'Vaccine coverage'!Q103</f>
        <v>0.425524355</v>
      </c>
      <c r="R12" s="149">
        <f>'Vaccine coverage'!R103</f>
        <v>0.8891571137</v>
      </c>
      <c r="S12" s="149">
        <f>'Vaccine coverage'!S103</f>
        <v>0.868664697</v>
      </c>
      <c r="T12" s="149">
        <f>'Vaccine coverage'!T103</f>
        <v>0.8440984762</v>
      </c>
      <c r="U12" s="149">
        <f>'Vaccine coverage'!U103</f>
        <v>0.8300802334</v>
      </c>
      <c r="V12" s="149">
        <f>'Vaccine coverage'!V103</f>
        <v>0.7720046562</v>
      </c>
      <c r="W12" s="149">
        <f>'Vaccine coverage'!W103</f>
        <v>0.7890268081</v>
      </c>
      <c r="X12" s="149">
        <f>'Vaccine coverage'!X103</f>
        <v>0.5397023472</v>
      </c>
      <c r="Y12" s="149">
        <f>'Vaccine coverage'!Y103</f>
        <v>0.9322131451</v>
      </c>
      <c r="Z12" s="149">
        <f>'Vaccine coverage'!Z103</f>
        <v>0.7930320204</v>
      </c>
      <c r="AA12" s="149">
        <f>'Vaccine coverage'!AA103</f>
        <v>0.9932926316</v>
      </c>
      <c r="AB12" s="149">
        <f>'Vaccine coverage'!AB103</f>
        <v>0.8961662351</v>
      </c>
      <c r="AC12" s="149">
        <f>'Vaccine coverage'!AC103</f>
        <v>0.9572457215</v>
      </c>
      <c r="AD12" s="149">
        <f>'Vaccine coverage'!AD103</f>
        <v>0.9862835102</v>
      </c>
      <c r="AE12" s="149">
        <f>'Vaccine coverage'!AE103</f>
        <v>0.9141896901</v>
      </c>
      <c r="AF12" s="149">
        <f>'Vaccine coverage'!AF103</f>
        <v>0.9362183574</v>
      </c>
      <c r="AG12" s="149">
        <f>'Vaccine coverage'!AG103</f>
        <v>0.8481036884</v>
      </c>
      <c r="AH12" s="149">
        <f>'Vaccine coverage'!AH103</f>
        <v>0.6368287436</v>
      </c>
      <c r="AI12" s="149">
        <f>'Vaccine coverage'!AI103</f>
        <v>0.9252040237</v>
      </c>
      <c r="AJ12" s="149">
        <f>'Vaccine coverage'!AJ103</f>
        <v>0.7099238667</v>
      </c>
      <c r="AK12" s="149">
        <f>'Vaccine coverage'!AK103</f>
        <v>0.5757492572</v>
      </c>
      <c r="AL12" s="149">
        <f>'Vaccine coverage'!AL103</f>
        <v>0.6478430772</v>
      </c>
      <c r="AM12" s="149">
        <f>'Vaccine coverage'!AM103</f>
        <v>0.7219395034</v>
      </c>
      <c r="AN12" s="149">
        <f>'Vaccine coverage'!AN103</f>
        <v>0.9071805687</v>
      </c>
      <c r="AO12" s="149">
        <f>'Vaccine coverage'!AO103</f>
        <v>0.7519785951</v>
      </c>
      <c r="AP12" s="149">
        <f>'Vaccine coverage'!AP103</f>
        <v>0.787024202</v>
      </c>
      <c r="AQ12" s="149">
        <f>'Vaccine coverage'!AQ103</f>
        <v>0.8961662351</v>
      </c>
      <c r="AR12" s="149">
        <f>'Vaccine coverage'!AR103</f>
        <v>0.7161936895</v>
      </c>
      <c r="AS12" s="149">
        <f>'Vaccine coverage'!AS103</f>
        <v>0.7209382003</v>
      </c>
      <c r="AT12" s="163"/>
    </row>
    <row r="13">
      <c r="A13" s="80"/>
      <c r="B13" s="81"/>
      <c r="C13" s="112"/>
      <c r="D13" s="112"/>
      <c r="E13" s="140" t="s">
        <v>180</v>
      </c>
      <c r="F13" s="141" t="str">
        <f>'Vaccine coverage'!F104</f>
        <v>%</v>
      </c>
      <c r="G13" s="142" t="s">
        <v>131</v>
      </c>
      <c r="H13" s="187" t="str">
        <f>'Vaccine coverage'!H104</f>
        <v>-</v>
      </c>
      <c r="I13" s="149">
        <f>'Vaccine coverage'!I104</f>
        <v>0.4503113768</v>
      </c>
      <c r="J13" s="149">
        <f>'Vaccine coverage'!J104</f>
        <v>0.5980260472</v>
      </c>
      <c r="K13" s="149">
        <f>'Vaccine coverage'!K104</f>
        <v>0.5106419262</v>
      </c>
      <c r="L13" s="149">
        <f>'Vaccine coverage'!L104</f>
        <v>0.6579123059</v>
      </c>
      <c r="M13" s="149">
        <f>'Vaccine coverage'!M104</f>
        <v>0.4868576306</v>
      </c>
      <c r="N13" s="149">
        <f>'Vaccine coverage'!N104</f>
        <v>0.3980819859</v>
      </c>
      <c r="O13" s="149">
        <f>'Vaccine coverage'!O104</f>
        <v>0.2308633649</v>
      </c>
      <c r="P13" s="149">
        <f>'Vaccine coverage'!P104</f>
        <v>0.1969763642</v>
      </c>
      <c r="Q13" s="149">
        <f>'Vaccine coverage'!Q104</f>
        <v>0.3312257314</v>
      </c>
      <c r="R13" s="149">
        <f>'Vaccine coverage'!R104</f>
        <v>0.8521089007</v>
      </c>
      <c r="S13" s="149">
        <f>'Vaccine coverage'!S104</f>
        <v>0.7935105941</v>
      </c>
      <c r="T13" s="149">
        <f>'Vaccine coverage'!T104</f>
        <v>0.8170632937</v>
      </c>
      <c r="U13" s="149">
        <f>'Vaccine coverage'!U104</f>
        <v>0.750977292</v>
      </c>
      <c r="V13" s="149">
        <f>'Vaccine coverage'!V104</f>
        <v>0.7519785951</v>
      </c>
      <c r="W13" s="149">
        <f>'Vaccine coverage'!W104</f>
        <v>0.7119264728</v>
      </c>
      <c r="X13" s="149">
        <f>'Vaccine coverage'!X104</f>
        <v>0.3784925552</v>
      </c>
      <c r="Y13" s="149">
        <f>'Vaccine coverage'!Y104</f>
        <v>0.9191962054</v>
      </c>
      <c r="Z13" s="149">
        <f>'Vaccine coverage'!Z104</f>
        <v>0.7349564431</v>
      </c>
      <c r="AA13" s="149">
        <f>'Vaccine coverage'!AA104</f>
        <v>0.9912900254</v>
      </c>
      <c r="AB13" s="149">
        <f>'Vaccine coverage'!AB104</f>
        <v>0.8561141129</v>
      </c>
      <c r="AC13" s="149">
        <f>'Vaccine coverage'!AC104</f>
        <v>0.8961662351</v>
      </c>
      <c r="AD13" s="149">
        <f>'Vaccine coverage'!AD104</f>
        <v>0.9602496307</v>
      </c>
      <c r="AE13" s="149">
        <f>'Vaccine coverage'!AE104</f>
        <v>0.8731362648</v>
      </c>
      <c r="AF13" s="149">
        <f>'Vaccine coverage'!AF104</f>
        <v>0.9131883871</v>
      </c>
      <c r="AG13" s="149">
        <f>'Vaccine coverage'!AG104</f>
        <v>0.7199368973</v>
      </c>
      <c r="AH13" s="149">
        <f>'Vaccine coverage'!AH104</f>
        <v>0.607790955</v>
      </c>
      <c r="AI13" s="149">
        <f>'Vaccine coverage'!AI104</f>
        <v>0.8871545076</v>
      </c>
      <c r="AJ13" s="149">
        <f>'Vaccine coverage'!AJ104</f>
        <v>0.6348261375</v>
      </c>
      <c r="AK13" s="149">
        <f>'Vaccine coverage'!AK104</f>
        <v>0.4986489219</v>
      </c>
      <c r="AL13" s="149">
        <f>'Vaccine coverage'!AL104</f>
        <v>0.5667375297</v>
      </c>
      <c r="AM13" s="149">
        <f>'Vaccine coverage'!AM104</f>
        <v>0.6568548047</v>
      </c>
      <c r="AN13" s="149">
        <f>'Vaccine coverage'!AN104</f>
        <v>0.8290789304</v>
      </c>
      <c r="AO13" s="149">
        <f>'Vaccine coverage'!AO104</f>
        <v>0.6268157131</v>
      </c>
      <c r="AP13" s="149">
        <f>'Vaccine coverage'!AP104</f>
        <v>0.6878951995</v>
      </c>
      <c r="AQ13" s="149">
        <f>'Vaccine coverage'!AQ104</f>
        <v>0.8541115068</v>
      </c>
      <c r="AR13" s="149">
        <f>'Vaccine coverage'!AR104</f>
        <v>0.647871527</v>
      </c>
      <c r="AS13" s="149">
        <f>'Vaccine coverage'!AS104</f>
        <v>0.6818873811</v>
      </c>
      <c r="AT13" s="163"/>
    </row>
    <row r="14">
      <c r="A14" s="80"/>
      <c r="B14" s="81"/>
      <c r="C14" s="112"/>
      <c r="D14" s="112"/>
      <c r="E14" s="140" t="s">
        <v>184</v>
      </c>
      <c r="F14" s="141" t="str">
        <f>'Vaccine coverage'!F105</f>
        <v>%</v>
      </c>
      <c r="G14" s="142" t="s">
        <v>131</v>
      </c>
      <c r="H14" s="187" t="str">
        <f>'Vaccine coverage'!H105</f>
        <v>-</v>
      </c>
      <c r="I14" s="149">
        <f>'Vaccine coverage'!I105</f>
        <v>0.3600681916</v>
      </c>
      <c r="J14" s="149">
        <f>'Vaccine coverage'!J105</f>
        <v>0.475383302</v>
      </c>
      <c r="K14" s="149">
        <f>'Vaccine coverage'!K105</f>
        <v>0.3915657037</v>
      </c>
      <c r="L14" s="149">
        <f>'Vaccine coverage'!L105</f>
        <v>0.5686080361</v>
      </c>
      <c r="M14" s="149">
        <f>'Vaccine coverage'!M105</f>
        <v>0.3728552336</v>
      </c>
      <c r="N14" s="149">
        <f>'Vaccine coverage'!N105</f>
        <v>0.3362800816</v>
      </c>
      <c r="O14" s="149">
        <f>'Vaccine coverage'!O105</f>
        <v>0.1391721985</v>
      </c>
      <c r="P14" s="149">
        <f>'Vaccine coverage'!P105</f>
        <v>0.1416791376</v>
      </c>
      <c r="Q14" s="149">
        <f>'Vaccine coverage'!Q105</f>
        <v>0.2492625625</v>
      </c>
      <c r="R14" s="149">
        <f>'Vaccine coverage'!R105</f>
        <v>0.6658665322</v>
      </c>
      <c r="S14" s="149">
        <f>'Vaccine coverage'!S105</f>
        <v>0.700004874</v>
      </c>
      <c r="T14" s="149">
        <f>'Vaccine coverage'!T105</f>
        <v>0.7059186545</v>
      </c>
      <c r="U14" s="149">
        <f>'Vaccine coverage'!U105</f>
        <v>0.7369590492</v>
      </c>
      <c r="V14" s="149">
        <f>'Vaccine coverage'!V105</f>
        <v>0.6658665322</v>
      </c>
      <c r="W14" s="149">
        <f>'Vaccine coverage'!W105</f>
        <v>0.5637336205</v>
      </c>
      <c r="X14" s="149">
        <f>'Vaccine coverage'!X105</f>
        <v>0.3053974321</v>
      </c>
      <c r="Y14" s="149">
        <f>'Vaccine coverage'!Y105</f>
        <v>0.732953837</v>
      </c>
      <c r="Z14" s="149">
        <f>'Vaccine coverage'!Z105</f>
        <v>0.6939030178</v>
      </c>
      <c r="AA14" s="149">
        <f>'Vaccine coverage'!AA105</f>
        <v>0.9882861163</v>
      </c>
      <c r="AB14" s="149">
        <f>'Vaccine coverage'!AB105</f>
        <v>0.7750085653</v>
      </c>
      <c r="AC14" s="149">
        <f>'Vaccine coverage'!AC105</f>
        <v>0.8310815365</v>
      </c>
      <c r="AD14" s="149">
        <f>'Vaccine coverage'!AD105</f>
        <v>0.9071805687</v>
      </c>
      <c r="AE14" s="149">
        <f>'Vaccine coverage'!AE105</f>
        <v>0.7970372326</v>
      </c>
      <c r="AF14" s="149">
        <f>'Vaccine coverage'!AF105</f>
        <v>0.8561141129</v>
      </c>
      <c r="AG14" s="149">
        <f>'Vaccine coverage'!AG105</f>
        <v>0.6218091978</v>
      </c>
      <c r="AH14" s="149">
        <f>'Vaccine coverage'!AH105</f>
        <v>0.5326932258</v>
      </c>
      <c r="AI14" s="149">
        <f>'Vaccine coverage'!AI105</f>
        <v>0.8000411417</v>
      </c>
      <c r="AJ14" s="149">
        <f>'Vaccine coverage'!AJ105</f>
        <v>0.5076606494</v>
      </c>
      <c r="AK14" s="149">
        <f>'Vaccine coverage'!AK105</f>
        <v>0.3965160102</v>
      </c>
      <c r="AL14" s="149">
        <f>'Vaccine coverage'!AL105</f>
        <v>0.3965160102</v>
      </c>
      <c r="AM14" s="149">
        <f>'Vaccine coverage'!AM105</f>
        <v>0.6107948642</v>
      </c>
      <c r="AN14" s="149">
        <f>'Vaccine coverage'!AN105</f>
        <v>0.6898978056</v>
      </c>
      <c r="AO14" s="149">
        <f>'Vaccine coverage'!AO105</f>
        <v>0.5707427419</v>
      </c>
      <c r="AP14" s="149">
        <f>'Vaccine coverage'!AP105</f>
        <v>0.6107948642</v>
      </c>
      <c r="AQ14" s="149">
        <f>'Vaccine coverage'!AQ105</f>
        <v>0.7900281112</v>
      </c>
      <c r="AR14" s="149">
        <f>'Vaccine coverage'!AR105</f>
        <v>0.546942075</v>
      </c>
      <c r="AS14" s="149">
        <f>'Vaccine coverage'!AS105</f>
        <v>0.6318222283</v>
      </c>
      <c r="AT14" s="163"/>
    </row>
    <row r="15">
      <c r="A15" s="80"/>
      <c r="B15" s="81"/>
      <c r="C15" s="112"/>
      <c r="D15" s="112"/>
      <c r="E15" s="140" t="s">
        <v>190</v>
      </c>
      <c r="F15" s="141" t="str">
        <f>'Vaccine coverage'!F110</f>
        <v>%</v>
      </c>
      <c r="G15" s="142" t="s">
        <v>131</v>
      </c>
      <c r="H15" s="187" t="str">
        <f>'Vaccine coverage'!H110</f>
        <v>-</v>
      </c>
      <c r="I15" s="149">
        <f>'Vaccine coverage'!I110</f>
        <v>0.4946914261</v>
      </c>
      <c r="J15" s="149">
        <f>'Vaccine coverage'!J110</f>
        <v>0.6554704628</v>
      </c>
      <c r="K15" s="149">
        <f>'Vaccine coverage'!K110</f>
        <v>0.5700556425</v>
      </c>
      <c r="L15" s="149">
        <f>'Vaccine coverage'!L110</f>
        <v>0.7347176268</v>
      </c>
      <c r="M15" s="149">
        <f>'Vaccine coverage'!M110</f>
        <v>0.572709948</v>
      </c>
      <c r="N15" s="149">
        <f>'Vaccine coverage'!N110</f>
        <v>0.4507917227</v>
      </c>
      <c r="O15" s="149">
        <f>'Vaccine coverage'!O110</f>
        <v>0.3234368003</v>
      </c>
      <c r="P15" s="149">
        <f>'Vaccine coverage'!P110</f>
        <v>0.2410422018</v>
      </c>
      <c r="Q15" s="149">
        <f>'Vaccine coverage'!Q110</f>
        <v>0.4212839628</v>
      </c>
      <c r="R15" s="149">
        <f>'Vaccine coverage'!R110</f>
        <v>0.8861532046</v>
      </c>
      <c r="S15" s="149">
        <f>'Vaccine coverage'!S110</f>
        <v>0.8688869756</v>
      </c>
      <c r="T15" s="149">
        <f>'Vaccine coverage'!T110</f>
        <v>0.8536108552</v>
      </c>
      <c r="U15" s="149">
        <f>'Vaccine coverage'!U110</f>
        <v>0.8300802334</v>
      </c>
      <c r="V15" s="149">
        <f>'Vaccine coverage'!V110</f>
        <v>0.7740072623</v>
      </c>
      <c r="W15" s="149">
        <f>'Vaccine coverage'!W110</f>
        <v>0.7990398387</v>
      </c>
      <c r="X15" s="149">
        <f>'Vaccine coverage'!X110</f>
        <v>0.5597284083</v>
      </c>
      <c r="Y15" s="149">
        <f>'Vaccine coverage'!Y110</f>
        <v>0.9322131451</v>
      </c>
      <c r="Z15" s="149">
        <f>'Vaccine coverage'!Z110</f>
        <v>0.8020437479</v>
      </c>
      <c r="AA15" s="149">
        <f>'Vaccine coverage'!AA110</f>
        <v>0.99279198</v>
      </c>
      <c r="AB15" s="149">
        <f>'Vaccine coverage'!AB110</f>
        <v>0.9096838264</v>
      </c>
      <c r="AC15" s="149">
        <f>'Vaccine coverage'!AC110</f>
        <v>0.9522392063</v>
      </c>
      <c r="AD15" s="149">
        <f>'Vaccine coverage'!AD110</f>
        <v>0.9862835102</v>
      </c>
      <c r="AE15" s="149">
        <f>'Vaccine coverage'!AE110</f>
        <v>0.9101844779</v>
      </c>
      <c r="AF15" s="149">
        <f>'Vaccine coverage'!AF110</f>
        <v>0.9392222665</v>
      </c>
      <c r="AG15" s="149">
        <f>'Vaccine coverage'!AG110</f>
        <v>0.8556134614</v>
      </c>
      <c r="AH15" s="149">
        <f>'Vaccine coverage'!AH110</f>
        <v>0.6503463349</v>
      </c>
      <c r="AI15" s="149">
        <f>'Vaccine coverage'!AI110</f>
        <v>0.9252040237</v>
      </c>
      <c r="AJ15" s="149">
        <f>'Vaccine coverage'!AJ110</f>
        <v>0.714930382</v>
      </c>
      <c r="AK15" s="149">
        <f>'Vaccine coverage'!AK110</f>
        <v>0.5987792275</v>
      </c>
      <c r="AL15" s="149">
        <f>'Vaccine coverage'!AL110</f>
        <v>0.6578561078</v>
      </c>
      <c r="AM15" s="149">
        <f>'Vaccine coverage'!AM110</f>
        <v>0.7284479732</v>
      </c>
      <c r="AN15" s="149">
        <f>'Vaccine coverage'!AN110</f>
        <v>0.911185781</v>
      </c>
      <c r="AO15" s="149">
        <f>'Vaccine coverage'!AO110</f>
        <v>0.7544818527</v>
      </c>
      <c r="AP15" s="149">
        <f>'Vaccine coverage'!AP110</f>
        <v>0.7940333234</v>
      </c>
      <c r="AQ15" s="149">
        <f>'Vaccine coverage'!AQ110</f>
        <v>0.8966668866</v>
      </c>
      <c r="AR15" s="149">
        <f>'Vaccine coverage'!AR110</f>
        <v>0.7268261753</v>
      </c>
      <c r="AS15" s="149">
        <f>'Vaccine coverage'!AS110</f>
        <v>0.7299499278</v>
      </c>
      <c r="AT15" s="163"/>
    </row>
    <row r="16">
      <c r="A16" s="80"/>
      <c r="B16" s="81"/>
      <c r="C16" s="112"/>
      <c r="D16" s="112"/>
      <c r="E16" s="219" t="s">
        <v>194</v>
      </c>
      <c r="F16" s="220" t="str">
        <f>'Vaccine coverage'!F111</f>
        <v>%</v>
      </c>
      <c r="G16" s="221" t="s">
        <v>131</v>
      </c>
      <c r="H16" s="222" t="str">
        <f>'Vaccine coverage'!H111</f>
        <v>-</v>
      </c>
      <c r="I16" s="223">
        <f>'Vaccine coverage'!I111</f>
        <v>0.4511242132</v>
      </c>
      <c r="J16" s="223">
        <f>'Vaccine coverage'!J111</f>
        <v>0.6147602076</v>
      </c>
      <c r="K16" s="223">
        <f>'Vaccine coverage'!K111</f>
        <v>0.5140586301</v>
      </c>
      <c r="L16" s="223">
        <f>'Vaccine coverage'!L111</f>
        <v>0.6641317119</v>
      </c>
      <c r="M16" s="223">
        <f>'Vaccine coverage'!M111</f>
        <v>0.4927317113</v>
      </c>
      <c r="N16" s="223">
        <f>'Vaccine coverage'!N111</f>
        <v>0.4086989447</v>
      </c>
      <c r="O16" s="223">
        <f>'Vaccine coverage'!O111</f>
        <v>0.2326246465</v>
      </c>
      <c r="P16" s="223">
        <f>'Vaccine coverage'!P111</f>
        <v>0.2242893751</v>
      </c>
      <c r="Q16" s="223">
        <f>'Vaccine coverage'!Q111</f>
        <v>0.3301333276</v>
      </c>
      <c r="R16" s="223">
        <f>'Vaccine coverage'!R111</f>
        <v>0.8566147644</v>
      </c>
      <c r="S16" s="223">
        <f>'Vaccine coverage'!S111</f>
        <v>0.7937136419</v>
      </c>
      <c r="T16" s="223">
        <f>'Vaccine coverage'!T111</f>
        <v>0.8205678544</v>
      </c>
      <c r="U16" s="223">
        <f>'Vaccine coverage'!U111</f>
        <v>0.7529798981</v>
      </c>
      <c r="V16" s="223">
        <f>'Vaccine coverage'!V111</f>
        <v>0.7564844588</v>
      </c>
      <c r="W16" s="223">
        <f>'Vaccine coverage'!W111</f>
        <v>0.7289486248</v>
      </c>
      <c r="X16" s="223">
        <f>'Vaccine coverage'!X111</f>
        <v>0.4160414198</v>
      </c>
      <c r="Y16" s="223">
        <f>'Vaccine coverage'!Y111</f>
        <v>0.9191962054</v>
      </c>
      <c r="Z16" s="223">
        <f>'Vaccine coverage'!Z111</f>
        <v>0.7454701252</v>
      </c>
      <c r="AA16" s="223">
        <f>'Vaccine coverage'!AA111</f>
        <v>0.9912900254</v>
      </c>
      <c r="AB16" s="223">
        <f>'Vaccine coverage'!AB111</f>
        <v>0.8826486439</v>
      </c>
      <c r="AC16" s="223">
        <f>'Vaccine coverage'!AC111</f>
        <v>0.9201975085</v>
      </c>
      <c r="AD16" s="223">
        <f>'Vaccine coverage'!AD111</f>
        <v>0.9642548429</v>
      </c>
      <c r="AE16" s="223">
        <f>'Vaccine coverage'!AE111</f>
        <v>0.8731362648</v>
      </c>
      <c r="AF16" s="223">
        <f>'Vaccine coverage'!AF111</f>
        <v>0.9232014176</v>
      </c>
      <c r="AG16" s="223">
        <f>'Vaccine coverage'!AG111</f>
        <v>0.7304505794</v>
      </c>
      <c r="AH16" s="223">
        <f>'Vaccine coverage'!AH111</f>
        <v>0.6248131069</v>
      </c>
      <c r="AI16" s="223">
        <f>'Vaccine coverage'!AI111</f>
        <v>0.8946642805</v>
      </c>
      <c r="AJ16" s="223">
        <f>'Vaccine coverage'!AJ111</f>
        <v>0.6413346074</v>
      </c>
      <c r="AK16" s="223">
        <f>'Vaccine coverage'!AK111</f>
        <v>0.4981482704</v>
      </c>
      <c r="AL16" s="223">
        <f>'Vaccine coverage'!AL111</f>
        <v>0.5737466511</v>
      </c>
      <c r="AM16" s="223">
        <f>'Vaccine coverage'!AM111</f>
        <v>0.6698717445</v>
      </c>
      <c r="AN16" s="223">
        <f>'Vaccine coverage'!AN111</f>
        <v>0.8561141129</v>
      </c>
      <c r="AO16" s="223">
        <f>'Vaccine coverage'!AO111</f>
        <v>0.6348261375</v>
      </c>
      <c r="AP16" s="223">
        <f>'Vaccine coverage'!AP111</f>
        <v>0.73395514</v>
      </c>
      <c r="AQ16" s="223">
        <f>'Vaccine coverage'!AQ111</f>
        <v>0.8631232343</v>
      </c>
      <c r="AR16" s="223">
        <f>'Vaccine coverage'!AR111</f>
        <v>0.6597100016</v>
      </c>
      <c r="AS16" s="223">
        <f>'Vaccine coverage'!AS111</f>
        <v>0.6974075785</v>
      </c>
      <c r="AT16" s="236"/>
    </row>
    <row r="17">
      <c r="A17" s="80"/>
      <c r="B17" s="81"/>
      <c r="C17" s="112"/>
      <c r="D17" s="112"/>
      <c r="E17" s="237" t="s">
        <v>199</v>
      </c>
      <c r="F17" s="238" t="str">
        <f>'Vaccine coverage'!F118</f>
        <v>%</v>
      </c>
      <c r="G17" s="239" t="s">
        <v>131</v>
      </c>
      <c r="H17" s="197" t="str">
        <f>'Vaccine coverage'!H118</f>
        <v>-</v>
      </c>
      <c r="I17" s="240">
        <f>'Vaccine coverage'!I118</f>
        <v>0.3084013412</v>
      </c>
      <c r="J17" s="240">
        <f>'Vaccine coverage'!J118</f>
        <v>0.3674782216</v>
      </c>
      <c r="K17" s="240">
        <f>'Vaccine coverage'!K118</f>
        <v>0.5597284083</v>
      </c>
      <c r="L17" s="240">
        <f>'Vaccine coverage'!L118</f>
        <v>0.5677388328</v>
      </c>
      <c r="M17" s="240">
        <f>'Vaccine coverage'!M118</f>
        <v>0.4055277377</v>
      </c>
      <c r="N17" s="240">
        <f>'Vaccine coverage'!N118</f>
        <v>0.4375694355</v>
      </c>
      <c r="O17" s="240">
        <f>'Vaccine coverage'!O118</f>
        <v>0.6328235314</v>
      </c>
      <c r="P17" s="240">
        <f>'Vaccine coverage'!P118</f>
        <v>0.1912488837</v>
      </c>
      <c r="Q17" s="240">
        <f>'Vaccine coverage'!Q118</f>
        <v>0.4605994058</v>
      </c>
      <c r="R17" s="240">
        <f>'Vaccine coverage'!R118</f>
        <v>0.7499759889</v>
      </c>
      <c r="S17" s="240">
        <f>'Vaccine coverage'!S118</f>
        <v>0.6137987733</v>
      </c>
      <c r="T17" s="240">
        <f>'Vaccine coverage'!T118</f>
        <v>0.7209382003</v>
      </c>
      <c r="U17" s="240">
        <f>'Vaccine coverage'!U118</f>
        <v>0.6718743506</v>
      </c>
      <c r="V17" s="240">
        <f>'Vaccine coverage'!V118</f>
        <v>0.6648652292</v>
      </c>
      <c r="W17" s="240">
        <f>'Vaccine coverage'!W118</f>
        <v>0.6808860781</v>
      </c>
      <c r="X17" s="240">
        <f>'Vaccine coverage'!X118</f>
        <v>0.3875042827</v>
      </c>
      <c r="Y17" s="240">
        <f>'Vaccine coverage'!Y118</f>
        <v>0.7970372326</v>
      </c>
      <c r="Z17" s="240">
        <f>'Vaccine coverage'!Z118</f>
        <v>0.732953837</v>
      </c>
      <c r="AA17" s="240">
        <f>'Vaccine coverage'!AA118</f>
        <v>0.9242027207</v>
      </c>
      <c r="AB17" s="240">
        <f>'Vaccine coverage'!AB118</f>
        <v>0.7990398387</v>
      </c>
      <c r="AC17" s="240">
        <f>'Vaccine coverage'!AC118</f>
        <v>0.9462313879</v>
      </c>
      <c r="AD17" s="240">
        <f>'Vaccine coverage'!AD118</f>
        <v>0.7970372326</v>
      </c>
      <c r="AE17" s="240">
        <f>'Vaccine coverage'!AE118</f>
        <v>0.8961662351</v>
      </c>
      <c r="AF17" s="240">
        <f>'Vaccine coverage'!AF118</f>
        <v>0.7539812012</v>
      </c>
      <c r="AG17" s="240">
        <f>'Vaccine coverage'!AG118</f>
        <v>0.7239421095</v>
      </c>
      <c r="AH17" s="240">
        <f>'Vaccine coverage'!AH118</f>
        <v>0.642836562</v>
      </c>
      <c r="AI17" s="240">
        <f>'Vaccine coverage'!AI118</f>
        <v>0.8641245373</v>
      </c>
      <c r="AJ17" s="240">
        <f>'Vaccine coverage'!AJ118</f>
        <v>0.5667375297</v>
      </c>
      <c r="AK17" s="240">
        <f>'Vaccine coverage'!AK118</f>
        <v>0.5467114686</v>
      </c>
      <c r="AL17" s="240">
        <f>'Vaccine coverage'!AL118</f>
        <v>0.5607297114</v>
      </c>
      <c r="AM17" s="240">
        <f>'Vaccine coverage'!AM118</f>
        <v>0.660860017</v>
      </c>
      <c r="AN17" s="240">
        <f>'Vaccine coverage'!AN118</f>
        <v>0.805047657</v>
      </c>
      <c r="AO17" s="240">
        <f>'Vaccine coverage'!AO118</f>
        <v>0.6117961672</v>
      </c>
      <c r="AP17" s="240">
        <f>'Vaccine coverage'!AP118</f>
        <v>0.7039160484</v>
      </c>
      <c r="AQ17" s="240">
        <f>'Vaccine coverage'!AQ118</f>
        <v>0.8471023854</v>
      </c>
      <c r="AR17" s="240">
        <f>'Vaccine coverage'!AR118</f>
        <v>0.6548521986</v>
      </c>
      <c r="AS17" s="240">
        <f>'Vaccine coverage'!AS118</f>
        <v>0.7139290789</v>
      </c>
      <c r="AT17" s="248"/>
    </row>
    <row r="18">
      <c r="A18" s="80"/>
      <c r="B18" s="81"/>
      <c r="C18" s="112"/>
      <c r="D18" s="112"/>
      <c r="E18" s="253"/>
      <c r="F18" s="108"/>
      <c r="G18" s="109"/>
      <c r="H18" s="110"/>
      <c r="I18" s="111"/>
      <c r="J18" s="111"/>
      <c r="K18" s="111"/>
      <c r="L18" s="111"/>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88"/>
    </row>
    <row r="19">
      <c r="A19" s="80"/>
      <c r="B19" s="81"/>
      <c r="C19" s="112" t="s">
        <v>209</v>
      </c>
      <c r="F19" s="108"/>
      <c r="G19" s="109"/>
      <c r="H19" s="110"/>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88"/>
    </row>
    <row r="20">
      <c r="A20" s="80"/>
      <c r="B20" s="81"/>
      <c r="C20" s="102"/>
      <c r="D20" s="81"/>
      <c r="E20" s="113" t="s">
        <v>210</v>
      </c>
      <c r="F20" s="189" t="str">
        <f>'Disease burden'!F384</f>
        <v>%</v>
      </c>
      <c r="G20" s="257" t="str">
        <f>'Disease burden'!G384</f>
        <v>feed</v>
      </c>
      <c r="H20" s="258" t="str">
        <f>'Disease burden'!H384</f>
        <v>-</v>
      </c>
      <c r="I20" s="119">
        <f>'Disease burden'!I384</f>
        <v>0.2130494036</v>
      </c>
      <c r="J20" s="119">
        <f>'Disease burden'!J384</f>
        <v>0.1534772233</v>
      </c>
      <c r="K20" s="119">
        <f>'Disease burden'!K384</f>
        <v>0.2411274816</v>
      </c>
      <c r="L20" s="119">
        <f>'Disease burden'!L384</f>
        <v>0.1347125857</v>
      </c>
      <c r="M20" s="119">
        <f>'Disease burden'!M384</f>
        <v>0.152630811</v>
      </c>
      <c r="N20" s="119">
        <f>'Disease burden'!N384</f>
        <v>0.2059472805</v>
      </c>
      <c r="O20" s="119">
        <f>'Disease burden'!O384</f>
        <v>0.1911598856</v>
      </c>
      <c r="P20" s="119">
        <f>'Disease burden'!P384</f>
        <v>0.2052551751</v>
      </c>
      <c r="Q20" s="119">
        <f>'Disease burden'!Q384</f>
        <v>0.2399849055</v>
      </c>
      <c r="R20" s="119">
        <f>'Disease burden'!R384</f>
        <v>0.125972099</v>
      </c>
      <c r="S20" s="119">
        <f>'Disease burden'!S384</f>
        <v>0.1609025831</v>
      </c>
      <c r="T20" s="119">
        <f>'Disease burden'!T384</f>
        <v>0.1194079841</v>
      </c>
      <c r="U20" s="119">
        <f>'Disease burden'!U384</f>
        <v>0.1133233803</v>
      </c>
      <c r="V20" s="119">
        <f>'Disease burden'!V384</f>
        <v>0.09678427807</v>
      </c>
      <c r="W20" s="119">
        <f>'Disease burden'!W384</f>
        <v>0.13204095</v>
      </c>
      <c r="X20" s="119">
        <f>'Disease burden'!X384</f>
        <v>0.143871286</v>
      </c>
      <c r="Y20" s="119">
        <f>'Disease burden'!Y384</f>
        <v>0.1400925484</v>
      </c>
      <c r="Z20" s="119">
        <f>'Disease burden'!Z384</f>
        <v>0.1355051871</v>
      </c>
      <c r="AA20" s="119">
        <f>'Disease burden'!AA384</f>
        <v>0.1517847974</v>
      </c>
      <c r="AB20" s="119">
        <f>'Disease burden'!AB384</f>
        <v>0.1425932484</v>
      </c>
      <c r="AC20" s="119">
        <f>'Disease burden'!AC384</f>
        <v>0.1588164537</v>
      </c>
      <c r="AD20" s="119">
        <f>'Disease burden'!AD384</f>
        <v>0.1418972091</v>
      </c>
      <c r="AE20" s="119">
        <f>'Disease burden'!AE384</f>
        <v>0.1467348201</v>
      </c>
      <c r="AF20" s="119">
        <f>'Disease burden'!AF384</f>
        <v>0.14907855</v>
      </c>
      <c r="AG20" s="119">
        <f>'Disease burden'!AG384</f>
        <v>0.1011646743</v>
      </c>
      <c r="AH20" s="119">
        <f>'Disease burden'!AH384</f>
        <v>0.1110040628</v>
      </c>
      <c r="AI20" s="119">
        <f>'Disease burden'!AI384</f>
        <v>0.1273899107</v>
      </c>
      <c r="AJ20" s="119">
        <f>'Disease burden'!AJ384</f>
        <v>0.142383327</v>
      </c>
      <c r="AK20" s="119">
        <f>'Disease burden'!AK384</f>
        <v>0.1358118583</v>
      </c>
      <c r="AL20" s="119">
        <f>'Disease burden'!AL384</f>
        <v>0.1215179611</v>
      </c>
      <c r="AM20" s="119">
        <f>'Disease burden'!AM384</f>
        <v>0.1291942197</v>
      </c>
      <c r="AN20" s="119">
        <f>'Disease burden'!AN384</f>
        <v>0.1449623727</v>
      </c>
      <c r="AO20" s="119">
        <f>'Disease burden'!AO384</f>
        <v>0.09514353522</v>
      </c>
      <c r="AP20" s="119">
        <f>'Disease burden'!AP384</f>
        <v>0.1596005723</v>
      </c>
      <c r="AQ20" s="119">
        <f>'Disease burden'!AQ384</f>
        <v>0.1349291869</v>
      </c>
      <c r="AR20" s="119">
        <f>'Disease burden'!AR384</f>
        <v>0.1372147362</v>
      </c>
      <c r="AS20" s="119">
        <f>'Disease burden'!AS384</f>
        <v>0.1951505796</v>
      </c>
      <c r="AT20" s="193"/>
    </row>
    <row r="21">
      <c r="A21" s="80"/>
      <c r="B21" s="81"/>
      <c r="C21" s="107"/>
      <c r="D21" s="81"/>
      <c r="E21" s="214" t="s">
        <v>220</v>
      </c>
      <c r="F21" s="215" t="str">
        <f>'Disease burden'!F385</f>
        <v>%</v>
      </c>
      <c r="G21" s="272" t="s">
        <v>131</v>
      </c>
      <c r="H21" s="274" t="str">
        <f>'Disease burden'!H385</f>
        <v>-</v>
      </c>
      <c r="I21" s="149">
        <f>'Disease burden'!I385</f>
        <v>0.05313105104</v>
      </c>
      <c r="J21" s="149">
        <f>'Disease burden'!J385</f>
        <v>0.06606296044</v>
      </c>
      <c r="K21" s="149">
        <f>'Disease burden'!K385</f>
        <v>0.05930875644</v>
      </c>
      <c r="L21" s="149">
        <f>'Disease burden'!L385</f>
        <v>0.0706274082</v>
      </c>
      <c r="M21" s="149">
        <f>'Disease burden'!M385</f>
        <v>0.05782502308</v>
      </c>
      <c r="N21" s="149">
        <f>'Disease burden'!N385</f>
        <v>0.06288838781</v>
      </c>
      <c r="O21" s="149">
        <f>'Disease burden'!O385</f>
        <v>0.07047544167</v>
      </c>
      <c r="P21" s="149">
        <f>'Disease burden'!P385</f>
        <v>0.06018592048</v>
      </c>
      <c r="Q21" s="149">
        <f>'Disease burden'!Q385</f>
        <v>0.06243552596</v>
      </c>
      <c r="R21" s="149">
        <f>'Disease burden'!R385</f>
        <v>0.05286993322</v>
      </c>
      <c r="S21" s="149">
        <f>'Disease burden'!S385</f>
        <v>0.0541041895</v>
      </c>
      <c r="T21" s="149">
        <f>'Disease burden'!T385</f>
        <v>0.07431319738</v>
      </c>
      <c r="U21" s="149">
        <f>'Disease burden'!U385</f>
        <v>0.08685444157</v>
      </c>
      <c r="V21" s="149">
        <f>'Disease burden'!V385</f>
        <v>0.08135209325</v>
      </c>
      <c r="W21" s="149">
        <f>'Disease burden'!W385</f>
        <v>0.06096359258</v>
      </c>
      <c r="X21" s="149">
        <f>'Disease burden'!X385</f>
        <v>0.08323897138</v>
      </c>
      <c r="Y21" s="149">
        <f>'Disease burden'!Y385</f>
        <v>0.07562192639</v>
      </c>
      <c r="Z21" s="149">
        <f>'Disease burden'!Z385</f>
        <v>0.06869371938</v>
      </c>
      <c r="AA21" s="149">
        <f>'Disease burden'!AA385</f>
        <v>0.06164883059</v>
      </c>
      <c r="AB21" s="149">
        <f>'Disease burden'!AB385</f>
        <v>0.06469276266</v>
      </c>
      <c r="AC21" s="149">
        <f>'Disease burden'!AC385</f>
        <v>0.05619318085</v>
      </c>
      <c r="AD21" s="149">
        <f>'Disease burden'!AD385</f>
        <v>0.07846176605</v>
      </c>
      <c r="AE21" s="149">
        <f>'Disease burden'!AE385</f>
        <v>0.0650115952</v>
      </c>
      <c r="AF21" s="149">
        <f>'Disease burden'!AF385</f>
        <v>0.06112330919</v>
      </c>
      <c r="AG21" s="149">
        <f>'Disease burden'!AG385</f>
        <v>0.1228499249</v>
      </c>
      <c r="AH21" s="149">
        <f>'Disease burden'!AH385</f>
        <v>0.08352599765</v>
      </c>
      <c r="AI21" s="149">
        <f>'Disease burden'!AI385</f>
        <v>0.06878605486</v>
      </c>
      <c r="AJ21" s="149">
        <f>'Disease burden'!AJ385</f>
        <v>0.07266269474</v>
      </c>
      <c r="AK21" s="149">
        <f>'Disease burden'!AK385</f>
        <v>0.06765776003</v>
      </c>
      <c r="AL21" s="149">
        <f>'Disease burden'!AL385</f>
        <v>0.07779291999</v>
      </c>
      <c r="AM21" s="149">
        <f>'Disease burden'!AM385</f>
        <v>0.06099694221</v>
      </c>
      <c r="AN21" s="149">
        <f>'Disease burden'!AN385</f>
        <v>0.07257384224</v>
      </c>
      <c r="AO21" s="149">
        <f>'Disease burden'!AO385</f>
        <v>0.09628047141</v>
      </c>
      <c r="AP21" s="149">
        <f>'Disease burden'!AP385</f>
        <v>0.06131634697</v>
      </c>
      <c r="AQ21" s="149">
        <f>'Disease burden'!AQ385</f>
        <v>0.06576119412</v>
      </c>
      <c r="AR21" s="149">
        <f>'Disease burden'!AR385</f>
        <v>0.0539035682</v>
      </c>
      <c r="AS21" s="149">
        <f>'Disease burden'!AS385</f>
        <v>0.07107528351</v>
      </c>
      <c r="AT21" s="163"/>
    </row>
    <row r="22">
      <c r="A22" s="80"/>
      <c r="B22" s="81"/>
      <c r="C22" s="107"/>
      <c r="D22" s="81"/>
      <c r="E22" s="214" t="s">
        <v>227</v>
      </c>
      <c r="F22" s="215" t="str">
        <f>'Disease burden'!F386</f>
        <v>%</v>
      </c>
      <c r="G22" s="272" t="s">
        <v>131</v>
      </c>
      <c r="H22" s="274" t="str">
        <f>'Disease burden'!H386</f>
        <v>-</v>
      </c>
      <c r="I22" s="149">
        <f>'Disease burden'!I386</f>
        <v>0.08349165163</v>
      </c>
      <c r="J22" s="149">
        <f>'Disease burden'!J386</f>
        <v>0.1038132236</v>
      </c>
      <c r="K22" s="149">
        <f>'Disease burden'!K386</f>
        <v>0.0931994744</v>
      </c>
      <c r="L22" s="149">
        <f>'Disease burden'!L386</f>
        <v>0.1109859272</v>
      </c>
      <c r="M22" s="149">
        <f>'Disease burden'!M386</f>
        <v>0.09086789341</v>
      </c>
      <c r="N22" s="149">
        <f>'Disease burden'!N386</f>
        <v>0.09882460942</v>
      </c>
      <c r="O22" s="149">
        <f>'Disease burden'!O386</f>
        <v>0.1107471226</v>
      </c>
      <c r="P22" s="149">
        <f>'Disease burden'!P386</f>
        <v>0.09457787504</v>
      </c>
      <c r="Q22" s="149">
        <f>'Disease burden'!Q386</f>
        <v>0.09811296936</v>
      </c>
      <c r="R22" s="149">
        <f>'Disease burden'!R386</f>
        <v>0.08308132363</v>
      </c>
      <c r="S22" s="149">
        <f>'Disease burden'!S386</f>
        <v>0.08502086921</v>
      </c>
      <c r="T22" s="149">
        <f>'Disease burden'!T386</f>
        <v>0.1167778816</v>
      </c>
      <c r="U22" s="149">
        <f>'Disease burden'!U386</f>
        <v>0.136485551</v>
      </c>
      <c r="V22" s="149">
        <f>'Disease burden'!V386</f>
        <v>0.1278390037</v>
      </c>
      <c r="W22" s="149">
        <f>'Disease burden'!W386</f>
        <v>0.0957999312</v>
      </c>
      <c r="X22" s="149">
        <f>'Disease burden'!X386</f>
        <v>0.1308040979</v>
      </c>
      <c r="Y22" s="149">
        <f>'Disease burden'!Y386</f>
        <v>0.1188344558</v>
      </c>
      <c r="Z22" s="149">
        <f>'Disease burden'!Z386</f>
        <v>0.1079472733</v>
      </c>
      <c r="AA22" s="149">
        <f>'Disease burden'!AA386</f>
        <v>0.09687673379</v>
      </c>
      <c r="AB22" s="149">
        <f>'Disease burden'!AB386</f>
        <v>0.1016600556</v>
      </c>
      <c r="AC22" s="149">
        <f>'Disease burden'!AC386</f>
        <v>0.0883035699</v>
      </c>
      <c r="AD22" s="149">
        <f>'Disease burden'!AD386</f>
        <v>0.1232970609</v>
      </c>
      <c r="AE22" s="149">
        <f>'Disease burden'!AE386</f>
        <v>0.1021610782</v>
      </c>
      <c r="AF22" s="149">
        <f>'Disease burden'!AF386</f>
        <v>0.09605091444</v>
      </c>
      <c r="AG22" s="149">
        <f>'Disease burden'!AG386</f>
        <v>0.193049882</v>
      </c>
      <c r="AH22" s="149">
        <f>'Disease burden'!AH386</f>
        <v>0.1312551392</v>
      </c>
      <c r="AI22" s="149">
        <f>'Disease burden'!AI386</f>
        <v>0.1080923719</v>
      </c>
      <c r="AJ22" s="149">
        <f>'Disease burden'!AJ386</f>
        <v>0.1141842346</v>
      </c>
      <c r="AK22" s="149">
        <f>'Disease burden'!AK386</f>
        <v>0.1063193372</v>
      </c>
      <c r="AL22" s="149">
        <f>'Disease burden'!AL386</f>
        <v>0.1222460171</v>
      </c>
      <c r="AM22" s="149">
        <f>'Disease burden'!AM386</f>
        <v>0.09585233776</v>
      </c>
      <c r="AN22" s="149">
        <f>'Disease burden'!AN386</f>
        <v>0.1140446092</v>
      </c>
      <c r="AO22" s="149">
        <f>'Disease burden'!AO386</f>
        <v>0.1512978836</v>
      </c>
      <c r="AP22" s="149">
        <f>'Disease burden'!AP386</f>
        <v>0.09635425953</v>
      </c>
      <c r="AQ22" s="149">
        <f>'Disease burden'!AQ386</f>
        <v>0.1033390193</v>
      </c>
      <c r="AR22" s="149">
        <f>'Disease burden'!AR386</f>
        <v>0.08470560718</v>
      </c>
      <c r="AS22" s="149">
        <f>'Disease burden'!AS386</f>
        <v>0.1116897312</v>
      </c>
      <c r="AT22" s="163"/>
    </row>
    <row r="23">
      <c r="A23" s="80"/>
      <c r="B23" s="81"/>
      <c r="C23" s="107"/>
      <c r="D23" s="81"/>
      <c r="E23" s="214" t="s">
        <v>230</v>
      </c>
      <c r="F23" s="215" t="str">
        <f>'Disease burden'!F387</f>
        <v>%</v>
      </c>
      <c r="G23" s="272" t="s">
        <v>131</v>
      </c>
      <c r="H23" s="274" t="str">
        <f>'Disease burden'!H387</f>
        <v>-</v>
      </c>
      <c r="I23" s="149">
        <f>'Disease burden'!I387</f>
        <v>0.0151803003</v>
      </c>
      <c r="J23" s="149">
        <f>'Disease burden'!J387</f>
        <v>0.01887513156</v>
      </c>
      <c r="K23" s="149">
        <f>'Disease burden'!K387</f>
        <v>0.01694535898</v>
      </c>
      <c r="L23" s="149">
        <f>'Disease burden'!L387</f>
        <v>0.02017925949</v>
      </c>
      <c r="M23" s="149">
        <f>'Disease burden'!M387</f>
        <v>0.01652143517</v>
      </c>
      <c r="N23" s="149">
        <f>'Disease burden'!N387</f>
        <v>0.0179681108</v>
      </c>
      <c r="O23" s="149">
        <f>'Disease burden'!O387</f>
        <v>0.02013584048</v>
      </c>
      <c r="P23" s="149">
        <f>'Disease burden'!P387</f>
        <v>0.01719597728</v>
      </c>
      <c r="Q23" s="149">
        <f>'Disease burden'!Q387</f>
        <v>0.0178387217</v>
      </c>
      <c r="R23" s="149">
        <f>'Disease burden'!R387</f>
        <v>0.01510569521</v>
      </c>
      <c r="S23" s="149">
        <f>'Disease burden'!S387</f>
        <v>0.01545833986</v>
      </c>
      <c r="T23" s="149">
        <f>'Disease burden'!T387</f>
        <v>0.02123234211</v>
      </c>
      <c r="U23" s="149">
        <f>'Disease burden'!U387</f>
        <v>0.02481555473</v>
      </c>
      <c r="V23" s="149">
        <f>'Disease burden'!V387</f>
        <v>0.02324345522</v>
      </c>
      <c r="W23" s="149">
        <f>'Disease burden'!W387</f>
        <v>0.01741816931</v>
      </c>
      <c r="X23" s="149">
        <f>'Disease burden'!X387</f>
        <v>0.02378256325</v>
      </c>
      <c r="Y23" s="149">
        <f>'Disease burden'!Y387</f>
        <v>0.02160626468</v>
      </c>
      <c r="Z23" s="149">
        <f>'Disease burden'!Z387</f>
        <v>0.01962677697</v>
      </c>
      <c r="AA23" s="149">
        <f>'Disease burden'!AA387</f>
        <v>0.0176139516</v>
      </c>
      <c r="AB23" s="149">
        <f>'Disease burden'!AB387</f>
        <v>0.01848364647</v>
      </c>
      <c r="AC23" s="149">
        <f>'Disease burden'!AC387</f>
        <v>0.01605519453</v>
      </c>
      <c r="AD23" s="149">
        <f>'Disease burden'!AD387</f>
        <v>0.02241764744</v>
      </c>
      <c r="AE23" s="149">
        <f>'Disease burden'!AE387</f>
        <v>0.01857474148</v>
      </c>
      <c r="AF23" s="149">
        <f>'Disease burden'!AF387</f>
        <v>0.01746380263</v>
      </c>
      <c r="AG23" s="149">
        <f>'Disease burden'!AG387</f>
        <v>0.03509997855</v>
      </c>
      <c r="AH23" s="149">
        <f>'Disease burden'!AH387</f>
        <v>0.02386457076</v>
      </c>
      <c r="AI23" s="149">
        <f>'Disease burden'!AI387</f>
        <v>0.01965315853</v>
      </c>
      <c r="AJ23" s="149">
        <f>'Disease burden'!AJ387</f>
        <v>0.02076076993</v>
      </c>
      <c r="AK23" s="149">
        <f>'Disease burden'!AK387</f>
        <v>0.01933078858</v>
      </c>
      <c r="AL23" s="149">
        <f>'Disease burden'!AL387</f>
        <v>0.02222654857</v>
      </c>
      <c r="AM23" s="149">
        <f>'Disease burden'!AM387</f>
        <v>0.01742769777</v>
      </c>
      <c r="AN23" s="149">
        <f>'Disease burden'!AN387</f>
        <v>0.0207353835</v>
      </c>
      <c r="AO23" s="149">
        <f>'Disease burden'!AO387</f>
        <v>0.02750870612</v>
      </c>
      <c r="AP23" s="149">
        <f>'Disease burden'!AP387</f>
        <v>0.01751895628</v>
      </c>
      <c r="AQ23" s="149">
        <f>'Disease burden'!AQ387</f>
        <v>0.01878891261</v>
      </c>
      <c r="AR23" s="149">
        <f>'Disease burden'!AR387</f>
        <v>0.01540101949</v>
      </c>
      <c r="AS23" s="149">
        <f>'Disease burden'!AS387</f>
        <v>0.02030722386</v>
      </c>
      <c r="AT23" s="163"/>
    </row>
    <row r="24">
      <c r="A24" s="80"/>
      <c r="B24" s="81"/>
      <c r="C24" s="107"/>
      <c r="D24" s="81"/>
      <c r="E24" s="214" t="s">
        <v>236</v>
      </c>
      <c r="F24" s="215" t="str">
        <f>'Disease burden'!F388</f>
        <v>%</v>
      </c>
      <c r="G24" s="272" t="s">
        <v>131</v>
      </c>
      <c r="H24" s="274" t="str">
        <f>'Disease burden'!H388</f>
        <v>-</v>
      </c>
      <c r="I24" s="149">
        <f>'Disease burden'!I388</f>
        <v>0.1177932586</v>
      </c>
      <c r="J24" s="149">
        <f>'Disease burden'!J388</f>
        <v>0.1355054412</v>
      </c>
      <c r="K24" s="149">
        <f>'Disease burden'!K388</f>
        <v>0.1165614753</v>
      </c>
      <c r="L24" s="149">
        <f>'Disease burden'!L388</f>
        <v>0.1496414886</v>
      </c>
      <c r="M24" s="149">
        <f>'Disease burden'!M388</f>
        <v>0.1452454828</v>
      </c>
      <c r="N24" s="149">
        <f>'Disease burden'!N388</f>
        <v>0.1088722329</v>
      </c>
      <c r="O24" s="149">
        <f>'Disease burden'!O388</f>
        <v>0.1087302008</v>
      </c>
      <c r="P24" s="149">
        <f>'Disease burden'!P388</f>
        <v>0.110556421</v>
      </c>
      <c r="Q24" s="149">
        <f>'Disease burden'!Q388</f>
        <v>0.09126439138</v>
      </c>
      <c r="R24" s="149">
        <f>'Disease burden'!R388</f>
        <v>0.1683903934</v>
      </c>
      <c r="S24" s="149">
        <f>'Disease burden'!S388</f>
        <v>0.1517016283</v>
      </c>
      <c r="T24" s="149">
        <f>'Disease burden'!T388</f>
        <v>0.1642502774</v>
      </c>
      <c r="U24" s="149">
        <f>'Disease burden'!U388</f>
        <v>0.174794253</v>
      </c>
      <c r="V24" s="149">
        <f>'Disease burden'!V388</f>
        <v>0.1345991099</v>
      </c>
      <c r="W24" s="149">
        <f>'Disease burden'!W388</f>
        <v>0.1415562365</v>
      </c>
      <c r="X24" s="149">
        <f>'Disease burden'!X388</f>
        <v>0.1016502681</v>
      </c>
      <c r="Y24" s="149">
        <f>'Disease burden'!Y388</f>
        <v>0.1567861315</v>
      </c>
      <c r="Z24" s="149">
        <f>'Disease burden'!Z388</f>
        <v>0.1661982196</v>
      </c>
      <c r="AA24" s="149">
        <f>'Disease burden'!AA388</f>
        <v>0.1635058455</v>
      </c>
      <c r="AB24" s="149">
        <f>'Disease burden'!AB388</f>
        <v>0.1800078045</v>
      </c>
      <c r="AC24" s="149">
        <f>'Disease burden'!AC388</f>
        <v>0.1709022513</v>
      </c>
      <c r="AD24" s="149">
        <f>'Disease burden'!AD388</f>
        <v>0.1611456454</v>
      </c>
      <c r="AE24" s="149">
        <f>'Disease burden'!AE388</f>
        <v>0.1730560427</v>
      </c>
      <c r="AF24" s="149">
        <f>'Disease burden'!AF388</f>
        <v>0.1803411259</v>
      </c>
      <c r="AG24" s="149">
        <f>'Disease burden'!AG388</f>
        <v>0.1309207147</v>
      </c>
      <c r="AH24" s="149">
        <f>'Disease burden'!AH388</f>
        <v>0.14469534</v>
      </c>
      <c r="AI24" s="149">
        <f>'Disease burden'!AI388</f>
        <v>0.1702780438</v>
      </c>
      <c r="AJ24" s="149">
        <f>'Disease burden'!AJ388</f>
        <v>0.1492042019</v>
      </c>
      <c r="AK24" s="149">
        <f>'Disease burden'!AK388</f>
        <v>0.1368384264</v>
      </c>
      <c r="AL24" s="149">
        <f>'Disease burden'!AL388</f>
        <v>0.1559269674</v>
      </c>
      <c r="AM24" s="149">
        <f>'Disease burden'!AM388</f>
        <v>0.1776234878</v>
      </c>
      <c r="AN24" s="149">
        <f>'Disease burden'!AN388</f>
        <v>0.154028313</v>
      </c>
      <c r="AO24" s="149">
        <f>'Disease burden'!AO388</f>
        <v>0.1516427291</v>
      </c>
      <c r="AP24" s="149">
        <f>'Disease burden'!AP388</f>
        <v>0.1494287052</v>
      </c>
      <c r="AQ24" s="149">
        <f>'Disease burden'!AQ388</f>
        <v>0.1728088252</v>
      </c>
      <c r="AR24" s="149">
        <f>'Disease burden'!AR388</f>
        <v>0.1500882372</v>
      </c>
      <c r="AS24" s="149">
        <f>'Disease burden'!AS388</f>
        <v>0.1101612567</v>
      </c>
      <c r="AT24" s="163"/>
    </row>
    <row r="25">
      <c r="A25" s="80"/>
      <c r="B25" s="81"/>
      <c r="C25" s="107"/>
      <c r="D25" s="81"/>
      <c r="E25" s="214" t="s">
        <v>241</v>
      </c>
      <c r="F25" s="215" t="str">
        <f>'Disease burden'!F389</f>
        <v>%</v>
      </c>
      <c r="G25" s="272" t="s">
        <v>131</v>
      </c>
      <c r="H25" s="274" t="str">
        <f>'Disease burden'!H389</f>
        <v>-</v>
      </c>
      <c r="I25" s="149">
        <f>'Disease burden'!I389</f>
        <v>0.1851036921</v>
      </c>
      <c r="J25" s="149">
        <f>'Disease burden'!J389</f>
        <v>0.2129371218</v>
      </c>
      <c r="K25" s="149">
        <f>'Disease burden'!K389</f>
        <v>0.1831680326</v>
      </c>
      <c r="L25" s="149">
        <f>'Disease burden'!L389</f>
        <v>0.2351509106</v>
      </c>
      <c r="M25" s="149">
        <f>'Disease burden'!M389</f>
        <v>0.2282429015</v>
      </c>
      <c r="N25" s="149">
        <f>'Disease burden'!N389</f>
        <v>0.1710849375</v>
      </c>
      <c r="O25" s="149">
        <f>'Disease burden'!O389</f>
        <v>0.1708617441</v>
      </c>
      <c r="P25" s="149">
        <f>'Disease burden'!P389</f>
        <v>0.1737315186</v>
      </c>
      <c r="Q25" s="149">
        <f>'Disease burden'!Q389</f>
        <v>0.1434154722</v>
      </c>
      <c r="R25" s="149">
        <f>'Disease burden'!R389</f>
        <v>0.2646134753</v>
      </c>
      <c r="S25" s="149">
        <f>'Disease burden'!S389</f>
        <v>0.2383882731</v>
      </c>
      <c r="T25" s="149">
        <f>'Disease burden'!T389</f>
        <v>0.2581075787</v>
      </c>
      <c r="U25" s="149">
        <f>'Disease burden'!U389</f>
        <v>0.2746766832</v>
      </c>
      <c r="V25" s="149">
        <f>'Disease burden'!V389</f>
        <v>0.211512887</v>
      </c>
      <c r="W25" s="149">
        <f>'Disease burden'!W389</f>
        <v>0.2224455144</v>
      </c>
      <c r="X25" s="149">
        <f>'Disease burden'!X389</f>
        <v>0.1597361355</v>
      </c>
      <c r="Y25" s="149">
        <f>'Disease burden'!Y389</f>
        <v>0.2463782066</v>
      </c>
      <c r="Z25" s="149">
        <f>'Disease burden'!Z389</f>
        <v>0.2611686308</v>
      </c>
      <c r="AA25" s="149">
        <f>'Disease burden'!AA389</f>
        <v>0.2569377572</v>
      </c>
      <c r="AB25" s="149">
        <f>'Disease burden'!AB389</f>
        <v>0.2828694071</v>
      </c>
      <c r="AC25" s="149">
        <f>'Disease burden'!AC389</f>
        <v>0.2685606806</v>
      </c>
      <c r="AD25" s="149">
        <f>'Disease burden'!AD389</f>
        <v>0.2532288713</v>
      </c>
      <c r="AE25" s="149">
        <f>'Disease burden'!AE389</f>
        <v>0.27194521</v>
      </c>
      <c r="AF25" s="149">
        <f>'Disease burden'!AF389</f>
        <v>0.2833931979</v>
      </c>
      <c r="AG25" s="149">
        <f>'Disease burden'!AG389</f>
        <v>0.2057325517</v>
      </c>
      <c r="AH25" s="149">
        <f>'Disease burden'!AH389</f>
        <v>0.2273783915</v>
      </c>
      <c r="AI25" s="149">
        <f>'Disease burden'!AI389</f>
        <v>0.2675797831</v>
      </c>
      <c r="AJ25" s="149">
        <f>'Disease burden'!AJ389</f>
        <v>0.2344637459</v>
      </c>
      <c r="AK25" s="149">
        <f>'Disease burden'!AK389</f>
        <v>0.2150318129</v>
      </c>
      <c r="AL25" s="149">
        <f>'Disease burden'!AL389</f>
        <v>0.2450280917</v>
      </c>
      <c r="AM25" s="149">
        <f>'Disease burden'!AM389</f>
        <v>0.2791226236</v>
      </c>
      <c r="AN25" s="149">
        <f>'Disease burden'!AN389</f>
        <v>0.2420444919</v>
      </c>
      <c r="AO25" s="149">
        <f>'Disease burden'!AO389</f>
        <v>0.2382957171</v>
      </c>
      <c r="AP25" s="149">
        <f>'Disease burden'!AP389</f>
        <v>0.2348165368</v>
      </c>
      <c r="AQ25" s="149">
        <f>'Disease burden'!AQ389</f>
        <v>0.2715567253</v>
      </c>
      <c r="AR25" s="149">
        <f>'Disease burden'!AR389</f>
        <v>0.2358529441</v>
      </c>
      <c r="AS25" s="149">
        <f>'Disease burden'!AS389</f>
        <v>0.1731105463</v>
      </c>
      <c r="AT25" s="163"/>
    </row>
    <row r="26">
      <c r="A26" s="80"/>
      <c r="B26" s="81"/>
      <c r="C26" s="107"/>
      <c r="D26" s="81"/>
      <c r="E26" s="214" t="s">
        <v>244</v>
      </c>
      <c r="F26" s="215" t="str">
        <f>'Disease burden'!F390</f>
        <v>%</v>
      </c>
      <c r="G26" s="272" t="s">
        <v>131</v>
      </c>
      <c r="H26" s="274" t="str">
        <f>'Disease burden'!H390</f>
        <v>-</v>
      </c>
      <c r="I26" s="149">
        <f>'Disease burden'!I390</f>
        <v>0.03365521675</v>
      </c>
      <c r="J26" s="149">
        <f>'Disease burden'!J390</f>
        <v>0.03871584033</v>
      </c>
      <c r="K26" s="149">
        <f>'Disease burden'!K390</f>
        <v>0.03330327866</v>
      </c>
      <c r="L26" s="149">
        <f>'Disease burden'!L390</f>
        <v>0.04275471101</v>
      </c>
      <c r="M26" s="149">
        <f>'Disease burden'!M390</f>
        <v>0.04149870937</v>
      </c>
      <c r="N26" s="149">
        <f>'Disease burden'!N390</f>
        <v>0.03110635227</v>
      </c>
      <c r="O26" s="149">
        <f>'Disease burden'!O390</f>
        <v>0.03106577165</v>
      </c>
      <c r="P26" s="149">
        <f>'Disease burden'!P390</f>
        <v>0.03158754884</v>
      </c>
      <c r="Q26" s="149">
        <f>'Disease burden'!Q390</f>
        <v>0.02607554039</v>
      </c>
      <c r="R26" s="149">
        <f>'Disease burden'!R390</f>
        <v>0.04811154097</v>
      </c>
      <c r="S26" s="149">
        <f>'Disease burden'!S390</f>
        <v>0.04334332238</v>
      </c>
      <c r="T26" s="149">
        <f>'Disease burden'!T390</f>
        <v>0.04692865068</v>
      </c>
      <c r="U26" s="149">
        <f>'Disease burden'!U390</f>
        <v>0.04994121513</v>
      </c>
      <c r="V26" s="149">
        <f>'Disease burden'!V390</f>
        <v>0.03845688855</v>
      </c>
      <c r="W26" s="149">
        <f>'Disease burden'!W390</f>
        <v>0.04044463899</v>
      </c>
      <c r="X26" s="149">
        <f>'Disease burden'!X390</f>
        <v>0.02904293373</v>
      </c>
      <c r="Y26" s="149">
        <f>'Disease burden'!Y390</f>
        <v>0.04479603756</v>
      </c>
      <c r="Z26" s="149">
        <f>'Disease burden'!Z390</f>
        <v>0.0474852056</v>
      </c>
      <c r="AA26" s="149">
        <f>'Disease burden'!AA390</f>
        <v>0.04671595585</v>
      </c>
      <c r="AB26" s="149">
        <f>'Disease burden'!AB390</f>
        <v>0.0514308013</v>
      </c>
      <c r="AC26" s="149">
        <f>'Disease burden'!AC390</f>
        <v>0.04882921465</v>
      </c>
      <c r="AD26" s="149">
        <f>'Disease burden'!AD390</f>
        <v>0.04604161297</v>
      </c>
      <c r="AE26" s="149">
        <f>'Disease burden'!AE390</f>
        <v>0.04944458363</v>
      </c>
      <c r="AF26" s="149">
        <f>'Disease burden'!AF390</f>
        <v>0.05152603598</v>
      </c>
      <c r="AG26" s="149">
        <f>'Disease burden'!AG390</f>
        <v>0.03740591848</v>
      </c>
      <c r="AH26" s="149">
        <f>'Disease burden'!AH390</f>
        <v>0.04134152573</v>
      </c>
      <c r="AI26" s="149">
        <f>'Disease burden'!AI390</f>
        <v>0.04865086966</v>
      </c>
      <c r="AJ26" s="149">
        <f>'Disease burden'!AJ390</f>
        <v>0.04262977198</v>
      </c>
      <c r="AK26" s="149">
        <f>'Disease burden'!AK390</f>
        <v>0.03909669325</v>
      </c>
      <c r="AL26" s="149">
        <f>'Disease burden'!AL390</f>
        <v>0.04455056212</v>
      </c>
      <c r="AM26" s="149">
        <f>'Disease burden'!AM390</f>
        <v>0.05074956793</v>
      </c>
      <c r="AN26" s="149">
        <f>'Disease burden'!AN390</f>
        <v>0.04400808944</v>
      </c>
      <c r="AO26" s="149">
        <f>'Disease burden'!AO390</f>
        <v>0.04332649402</v>
      </c>
      <c r="AP26" s="149">
        <f>'Disease burden'!AP390</f>
        <v>0.04269391578</v>
      </c>
      <c r="AQ26" s="149">
        <f>'Disease burden'!AQ390</f>
        <v>0.04937395006</v>
      </c>
      <c r="AR26" s="149">
        <f>'Disease burden'!AR390</f>
        <v>0.04288235347</v>
      </c>
      <c r="AS26" s="149">
        <f>'Disease burden'!AS390</f>
        <v>0.03147464478</v>
      </c>
      <c r="AT26" s="163"/>
    </row>
    <row r="27">
      <c r="A27" s="80"/>
      <c r="B27" s="81"/>
      <c r="C27" s="107"/>
      <c r="D27" s="81"/>
      <c r="E27" s="214" t="s">
        <v>246</v>
      </c>
      <c r="F27" s="215" t="str">
        <f>'Disease burden'!F391</f>
        <v>%</v>
      </c>
      <c r="G27" s="272" t="s">
        <v>131</v>
      </c>
      <c r="H27" s="274" t="str">
        <f>'Disease burden'!H391</f>
        <v>-</v>
      </c>
      <c r="I27" s="149">
        <f>'Disease burden'!I391</f>
        <v>0.2029712524</v>
      </c>
      <c r="J27" s="149">
        <f>'Disease burden'!J391</f>
        <v>0.1901813077</v>
      </c>
      <c r="K27" s="149">
        <f>'Disease burden'!K391</f>
        <v>0.1618463596</v>
      </c>
      <c r="L27" s="149">
        <f>'Disease burden'!L391</f>
        <v>0.1547679787</v>
      </c>
      <c r="M27" s="149">
        <f>'Disease burden'!M391</f>
        <v>0.1973822491</v>
      </c>
      <c r="N27" s="149">
        <f>'Disease burden'!N391</f>
        <v>0.1886994582</v>
      </c>
      <c r="O27" s="149">
        <f>'Disease burden'!O391</f>
        <v>0.1872492276</v>
      </c>
      <c r="P27" s="149">
        <f>'Disease burden'!P391</f>
        <v>0.205828131</v>
      </c>
      <c r="Q27" s="149">
        <f>'Disease burden'!Q391</f>
        <v>0.2115901698</v>
      </c>
      <c r="R27" s="149">
        <f>'Disease burden'!R391</f>
        <v>0.1839268559</v>
      </c>
      <c r="S27" s="149">
        <f>'Disease burden'!S391</f>
        <v>0.1846126218</v>
      </c>
      <c r="T27" s="149">
        <f>'Disease burden'!T391</f>
        <v>0.1260314569</v>
      </c>
      <c r="U27" s="149">
        <f>'Disease burden'!U391</f>
        <v>0.08824838422</v>
      </c>
      <c r="V27" s="149">
        <f>'Disease burden'!V391</f>
        <v>0.1940251032</v>
      </c>
      <c r="W27" s="149">
        <f>'Disease burden'!W391</f>
        <v>0.2152115268</v>
      </c>
      <c r="X27" s="149">
        <f>'Disease burden'!X391</f>
        <v>0.2128594589</v>
      </c>
      <c r="Y27" s="149">
        <f>'Disease burden'!Y391</f>
        <v>0.1205843915</v>
      </c>
      <c r="Z27" s="149">
        <f>'Disease burden'!Z391</f>
        <v>0.1284375155</v>
      </c>
      <c r="AA27" s="149">
        <f>'Disease burden'!AA391</f>
        <v>0.1419284412</v>
      </c>
      <c r="AB27" s="149">
        <f>'Disease burden'!AB391</f>
        <v>0.09941507043</v>
      </c>
      <c r="AC27" s="149">
        <f>'Disease burden'!AC391</f>
        <v>0.1178386286</v>
      </c>
      <c r="AD27" s="149">
        <f>'Disease burden'!AD391</f>
        <v>0.1076887787</v>
      </c>
      <c r="AE27" s="149">
        <f>'Disease burden'!AE391</f>
        <v>0.1177510671</v>
      </c>
      <c r="AF27" s="149">
        <f>'Disease burden'!AF391</f>
        <v>0.1063455254</v>
      </c>
      <c r="AG27" s="149">
        <f>'Disease burden'!AG391</f>
        <v>0.0999884687</v>
      </c>
      <c r="AH27" s="149">
        <f>'Disease burden'!AH391</f>
        <v>0.1258109815</v>
      </c>
      <c r="AI27" s="149">
        <f>'Disease burden'!AI391</f>
        <v>0.1210369074</v>
      </c>
      <c r="AJ27" s="149">
        <f>'Disease burden'!AJ391</f>
        <v>0.1476443588</v>
      </c>
      <c r="AK27" s="149">
        <f>'Disease burden'!AK391</f>
        <v>0.1945273568</v>
      </c>
      <c r="AL27" s="149">
        <f>'Disease burden'!AL391</f>
        <v>0.1393605084</v>
      </c>
      <c r="AM27" s="149">
        <f>'Disease burden'!AM391</f>
        <v>0.1208602114</v>
      </c>
      <c r="AN27" s="149">
        <f>'Disease burden'!AN391</f>
        <v>0.1296936978</v>
      </c>
      <c r="AO27" s="149">
        <f>'Disease burden'!AO391</f>
        <v>0.1170641258</v>
      </c>
      <c r="AP27" s="149">
        <f>'Disease burden'!AP391</f>
        <v>0.1619686402</v>
      </c>
      <c r="AQ27" s="149">
        <f>'Disease burden'!AQ391</f>
        <v>0.1211559383</v>
      </c>
      <c r="AR27" s="149">
        <f>'Disease burden'!AR391</f>
        <v>0.2078882372</v>
      </c>
      <c r="AS27" s="149">
        <f>'Disease burden'!AS391</f>
        <v>0.176206937</v>
      </c>
      <c r="AT27" s="163"/>
    </row>
    <row r="28">
      <c r="A28" s="80"/>
      <c r="B28" s="81"/>
      <c r="C28" s="107"/>
      <c r="D28" s="81"/>
      <c r="E28" s="214" t="s">
        <v>250</v>
      </c>
      <c r="F28" s="215" t="str">
        <f>'Disease burden'!F392</f>
        <v>%</v>
      </c>
      <c r="G28" s="272" t="s">
        <v>131</v>
      </c>
      <c r="H28" s="274" t="str">
        <f>'Disease burden'!H392</f>
        <v>-</v>
      </c>
      <c r="I28" s="149">
        <f>'Disease burden'!I392</f>
        <v>0.03581845631</v>
      </c>
      <c r="J28" s="149">
        <f>'Disease burden'!J392</f>
        <v>0.03356140724</v>
      </c>
      <c r="K28" s="149">
        <f>'Disease burden'!K392</f>
        <v>0.02856112228</v>
      </c>
      <c r="L28" s="149">
        <f>'Disease burden'!L392</f>
        <v>0.02731199625</v>
      </c>
      <c r="M28" s="149">
        <f>'Disease burden'!M392</f>
        <v>0.03483216161</v>
      </c>
      <c r="N28" s="149">
        <f>'Disease burden'!N392</f>
        <v>0.03329990439</v>
      </c>
      <c r="O28" s="149">
        <f>'Disease burden'!O392</f>
        <v>0.03304398133</v>
      </c>
      <c r="P28" s="149">
        <f>'Disease burden'!P392</f>
        <v>0.03632261134</v>
      </c>
      <c r="Q28" s="149">
        <f>'Disease burden'!Q392</f>
        <v>0.03733944173</v>
      </c>
      <c r="R28" s="149">
        <f>'Disease burden'!R392</f>
        <v>0.03245768046</v>
      </c>
      <c r="S28" s="149">
        <f>'Disease burden'!S392</f>
        <v>0.03257869797</v>
      </c>
      <c r="T28" s="149">
        <f>'Disease burden'!T392</f>
        <v>0.02224084533</v>
      </c>
      <c r="U28" s="149">
        <f>'Disease burden'!U392</f>
        <v>0.01557324427</v>
      </c>
      <c r="V28" s="149">
        <f>'Disease burden'!V392</f>
        <v>0.03423972409</v>
      </c>
      <c r="W28" s="149">
        <f>'Disease burden'!W392</f>
        <v>0.03797850473</v>
      </c>
      <c r="X28" s="149">
        <f>'Disease burden'!X392</f>
        <v>0.03756343392</v>
      </c>
      <c r="Y28" s="149">
        <f>'Disease burden'!Y392</f>
        <v>0.0212795985</v>
      </c>
      <c r="Z28" s="149">
        <f>'Disease burden'!Z392</f>
        <v>0.02266544391</v>
      </c>
      <c r="AA28" s="149">
        <f>'Disease burden'!AA392</f>
        <v>0.02504619551</v>
      </c>
      <c r="AB28" s="149">
        <f>'Disease burden'!AB392</f>
        <v>0.01754383596</v>
      </c>
      <c r="AC28" s="149">
        <f>'Disease burden'!AC392</f>
        <v>0.0207950521</v>
      </c>
      <c r="AD28" s="149">
        <f>'Disease burden'!AD392</f>
        <v>0.01900390212</v>
      </c>
      <c r="AE28" s="149">
        <f>'Disease burden'!AE392</f>
        <v>0.02077960008</v>
      </c>
      <c r="AF28" s="149">
        <f>'Disease burden'!AF392</f>
        <v>0.01876685743</v>
      </c>
      <c r="AG28" s="149">
        <f>'Disease burden'!AG392</f>
        <v>0.01764502389</v>
      </c>
      <c r="AH28" s="149">
        <f>'Disease burden'!AH392</f>
        <v>0.02220193792</v>
      </c>
      <c r="AI28" s="149">
        <f>'Disease burden'!AI392</f>
        <v>0.02135945424</v>
      </c>
      <c r="AJ28" s="149">
        <f>'Disease burden'!AJ392</f>
        <v>0.02605488684</v>
      </c>
      <c r="AK28" s="149">
        <f>'Disease burden'!AK392</f>
        <v>0.03432835707</v>
      </c>
      <c r="AL28" s="149">
        <f>'Disease burden'!AL392</f>
        <v>0.02459303089</v>
      </c>
      <c r="AM28" s="149">
        <f>'Disease burden'!AM392</f>
        <v>0.02132827259</v>
      </c>
      <c r="AN28" s="149">
        <f>'Disease burden'!AN392</f>
        <v>0.02288712314</v>
      </c>
      <c r="AO28" s="149">
        <f>'Disease burden'!AO392</f>
        <v>0.02065837514</v>
      </c>
      <c r="AP28" s="149">
        <f>'Disease burden'!AP392</f>
        <v>0.02858270121</v>
      </c>
      <c r="AQ28" s="149">
        <f>'Disease burden'!AQ392</f>
        <v>0.0213804597</v>
      </c>
      <c r="AR28" s="149">
        <f>'Disease burden'!AR392</f>
        <v>0.0366861595</v>
      </c>
      <c r="AS28" s="149">
        <f>'Disease burden'!AS392</f>
        <v>0.03109534182</v>
      </c>
      <c r="AT28" s="163"/>
    </row>
    <row r="29">
      <c r="A29" s="80"/>
      <c r="B29" s="81"/>
      <c r="C29" s="107"/>
      <c r="D29" s="81"/>
      <c r="E29" s="194" t="s">
        <v>253</v>
      </c>
      <c r="F29" s="195" t="str">
        <f>'Disease burden'!F393</f>
        <v>%</v>
      </c>
      <c r="G29" s="304" t="s">
        <v>131</v>
      </c>
      <c r="H29" s="306" t="str">
        <f>'Disease burden'!H393</f>
        <v>-</v>
      </c>
      <c r="I29" s="240">
        <f>'Disease burden'!I393</f>
        <v>0.05980571719</v>
      </c>
      <c r="J29" s="240">
        <f>'Disease burden'!J393</f>
        <v>0.04687034295</v>
      </c>
      <c r="K29" s="240">
        <f>'Disease burden'!K393</f>
        <v>0.06597866013</v>
      </c>
      <c r="L29" s="240">
        <f>'Disease burden'!L393</f>
        <v>0.05386773431</v>
      </c>
      <c r="M29" s="240">
        <f>'Disease burden'!M393</f>
        <v>0.03495333291</v>
      </c>
      <c r="N29" s="240">
        <f>'Disease burden'!N393</f>
        <v>0.08130872617</v>
      </c>
      <c r="O29" s="240">
        <f>'Disease burden'!O393</f>
        <v>0.07653078417</v>
      </c>
      <c r="P29" s="240">
        <f>'Disease burden'!P393</f>
        <v>0.06475882135</v>
      </c>
      <c r="Q29" s="240">
        <f>'Disease burden'!Q393</f>
        <v>0.07194286203</v>
      </c>
      <c r="R29" s="240">
        <f>'Disease burden'!R393</f>
        <v>0.02547100281</v>
      </c>
      <c r="S29" s="240">
        <f>'Disease burden'!S393</f>
        <v>0.03388947478</v>
      </c>
      <c r="T29" s="240">
        <f>'Disease burden'!T393</f>
        <v>0.05070978582</v>
      </c>
      <c r="U29" s="240">
        <f>'Disease burden'!U393</f>
        <v>0.03528729256</v>
      </c>
      <c r="V29" s="240">
        <f>'Disease burden'!V393</f>
        <v>0.05794745695</v>
      </c>
      <c r="W29" s="240">
        <f>'Disease burden'!W393</f>
        <v>0.03614093555</v>
      </c>
      <c r="X29" s="240">
        <f>'Disease burden'!X393</f>
        <v>0.07745085134</v>
      </c>
      <c r="Y29" s="240">
        <f>'Disease burden'!Y393</f>
        <v>0.05402043912</v>
      </c>
      <c r="Z29" s="240">
        <f>'Disease burden'!Z393</f>
        <v>0.04227202779</v>
      </c>
      <c r="AA29" s="240">
        <f>'Disease burden'!AA393</f>
        <v>0.0379414913</v>
      </c>
      <c r="AB29" s="240">
        <f>'Disease burden'!AB393</f>
        <v>0.04130336744</v>
      </c>
      <c r="AC29" s="240">
        <f>'Disease burden'!AC393</f>
        <v>0.05370577388</v>
      </c>
      <c r="AD29" s="240">
        <f>'Disease burden'!AD393</f>
        <v>0.04681750596</v>
      </c>
      <c r="AE29" s="240">
        <f>'Disease burden'!AE393</f>
        <v>0.03454126151</v>
      </c>
      <c r="AF29" s="240">
        <f>'Disease burden'!AF393</f>
        <v>0.03591068113</v>
      </c>
      <c r="AG29" s="240">
        <f>'Disease burden'!AG393</f>
        <v>0.05614286278</v>
      </c>
      <c r="AH29" s="240">
        <f>'Disease burden'!AH393</f>
        <v>0.08892205291</v>
      </c>
      <c r="AI29" s="240">
        <f>'Disease burden'!AI393</f>
        <v>0.0471734457</v>
      </c>
      <c r="AJ29" s="240">
        <f>'Disease burden'!AJ393</f>
        <v>0.05001200826</v>
      </c>
      <c r="AK29" s="240">
        <f>'Disease burden'!AK393</f>
        <v>0.05105760957</v>
      </c>
      <c r="AL29" s="240">
        <f>'Disease burden'!AL393</f>
        <v>0.04675739277</v>
      </c>
      <c r="AM29" s="240">
        <f>'Disease burden'!AM393</f>
        <v>0.04684463929</v>
      </c>
      <c r="AN29" s="240">
        <f>'Disease burden'!AN393</f>
        <v>0.05502207695</v>
      </c>
      <c r="AO29" s="240">
        <f>'Disease burden'!AO393</f>
        <v>0.0587819625</v>
      </c>
      <c r="AP29" s="240">
        <f>'Disease burden'!AP393</f>
        <v>0.04771936573</v>
      </c>
      <c r="AQ29" s="240">
        <f>'Disease burden'!AQ393</f>
        <v>0.04090578849</v>
      </c>
      <c r="AR29" s="240">
        <f>'Disease burden'!AR393</f>
        <v>0.03537713748</v>
      </c>
      <c r="AS29" s="240">
        <f>'Disease burden'!AS393</f>
        <v>0.07972845517</v>
      </c>
      <c r="AT29" s="248"/>
    </row>
    <row r="30">
      <c r="A30" s="80"/>
      <c r="B30" s="81"/>
      <c r="C30" s="102"/>
      <c r="D30" s="81"/>
      <c r="E30" s="82"/>
      <c r="F30" s="83"/>
      <c r="G30" s="84"/>
      <c r="H30" s="85"/>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8"/>
    </row>
    <row r="31">
      <c r="A31" s="81"/>
      <c r="B31" s="81"/>
      <c r="C31" s="112" t="s">
        <v>257</v>
      </c>
      <c r="F31" s="83"/>
      <c r="G31" s="83"/>
      <c r="H31" s="85"/>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8"/>
    </row>
    <row r="32">
      <c r="A32" s="80"/>
      <c r="B32" s="81"/>
      <c r="C32" s="102"/>
      <c r="D32" s="81"/>
      <c r="E32" s="92" t="s">
        <v>178</v>
      </c>
      <c r="F32" s="93" t="s">
        <v>122</v>
      </c>
      <c r="G32" s="307" t="s">
        <v>149</v>
      </c>
      <c r="H32" s="129" t="s">
        <v>150</v>
      </c>
      <c r="I32" s="308">
        <f t="shared" ref="I32:AS32" si="1">SUMPRODUCT(I8:I17,I20:I29)</f>
        <v>0.4761300281</v>
      </c>
      <c r="J32" s="308">
        <f t="shared" si="1"/>
        <v>0.6251843528</v>
      </c>
      <c r="K32" s="308">
        <f t="shared" si="1"/>
        <v>0.5528129733</v>
      </c>
      <c r="L32" s="308">
        <f t="shared" si="1"/>
        <v>0.6933291563</v>
      </c>
      <c r="M32" s="308">
        <f t="shared" si="1"/>
        <v>0.5342880238</v>
      </c>
      <c r="N32" s="308">
        <f t="shared" si="1"/>
        <v>0.4395449628</v>
      </c>
      <c r="O32" s="308">
        <f t="shared" si="1"/>
        <v>0.3220588437</v>
      </c>
      <c r="P32" s="308">
        <f t="shared" si="1"/>
        <v>0.2468534974</v>
      </c>
      <c r="Q32" s="308">
        <f t="shared" si="1"/>
        <v>0.4043043091</v>
      </c>
      <c r="R32" s="308">
        <f t="shared" si="1"/>
        <v>0.8608670444</v>
      </c>
      <c r="S32" s="308">
        <f t="shared" si="1"/>
        <v>0.8280267804</v>
      </c>
      <c r="T32" s="308">
        <f t="shared" si="1"/>
        <v>0.8233143801</v>
      </c>
      <c r="U32" s="308">
        <f t="shared" si="1"/>
        <v>0.786060012</v>
      </c>
      <c r="V32" s="308">
        <f t="shared" si="1"/>
        <v>0.7563921052</v>
      </c>
      <c r="W32" s="308">
        <f t="shared" si="1"/>
        <v>0.75686895</v>
      </c>
      <c r="X32" s="308">
        <f t="shared" si="1"/>
        <v>0.4970810194</v>
      </c>
      <c r="Y32" s="308">
        <f t="shared" si="1"/>
        <v>0.9070380793</v>
      </c>
      <c r="Z32" s="308">
        <f t="shared" si="1"/>
        <v>0.7719426375</v>
      </c>
      <c r="AA32" s="308">
        <f t="shared" si="1"/>
        <v>0.9896096766</v>
      </c>
      <c r="AB32" s="308">
        <f t="shared" si="1"/>
        <v>0.8815121049</v>
      </c>
      <c r="AC32" s="308">
        <f t="shared" si="1"/>
        <v>0.9347043063</v>
      </c>
      <c r="AD32" s="308">
        <f t="shared" si="1"/>
        <v>0.9636721294</v>
      </c>
      <c r="AE32" s="308">
        <f t="shared" si="1"/>
        <v>0.8941248143</v>
      </c>
      <c r="AF32" s="308">
        <f t="shared" si="1"/>
        <v>0.920143366</v>
      </c>
      <c r="AG32" s="308">
        <f t="shared" si="1"/>
        <v>0.7862790677</v>
      </c>
      <c r="AH32" s="308">
        <f t="shared" si="1"/>
        <v>0.6384432525</v>
      </c>
      <c r="AI32" s="308">
        <f t="shared" si="1"/>
        <v>0.9039463062</v>
      </c>
      <c r="AJ32" s="308">
        <f t="shared" si="1"/>
        <v>0.6774437988</v>
      </c>
      <c r="AK32" s="308">
        <f t="shared" si="1"/>
        <v>0.5563163881</v>
      </c>
      <c r="AL32" s="308">
        <f t="shared" si="1"/>
        <v>0.6096694887</v>
      </c>
      <c r="AM32" s="308">
        <f t="shared" si="1"/>
        <v>0.6942211718</v>
      </c>
      <c r="AN32" s="308">
        <f t="shared" si="1"/>
        <v>0.8718803815</v>
      </c>
      <c r="AO32" s="308">
        <f t="shared" si="1"/>
        <v>0.6899389248</v>
      </c>
      <c r="AP32" s="308">
        <f t="shared" si="1"/>
        <v>0.7642869352</v>
      </c>
      <c r="AQ32" s="308">
        <f t="shared" si="1"/>
        <v>0.8733713109</v>
      </c>
      <c r="AR32" s="308">
        <f t="shared" si="1"/>
        <v>0.6923552577</v>
      </c>
      <c r="AS32" s="308">
        <f t="shared" si="1"/>
        <v>0.7167238763</v>
      </c>
      <c r="AT32" s="265"/>
    </row>
    <row r="33">
      <c r="A33" s="80"/>
      <c r="B33" s="81"/>
      <c r="C33" s="102"/>
      <c r="D33" s="81"/>
      <c r="E33" s="82"/>
      <c r="F33" s="83"/>
      <c r="G33" s="83"/>
      <c r="H33" s="85"/>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8"/>
    </row>
    <row r="34">
      <c r="A34" s="72" t="s">
        <v>260</v>
      </c>
      <c r="B34" s="14"/>
      <c r="C34" s="14"/>
      <c r="D34" s="14"/>
      <c r="E34" s="14"/>
      <c r="F34" s="14"/>
      <c r="G34" s="14"/>
      <c r="H34" s="73"/>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79"/>
    </row>
    <row r="35">
      <c r="A35" s="80"/>
      <c r="B35" s="81"/>
      <c r="C35" s="102"/>
      <c r="D35" s="81"/>
      <c r="E35" s="82"/>
      <c r="F35" s="83"/>
      <c r="G35" s="84"/>
      <c r="H35" s="85"/>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8"/>
    </row>
    <row r="36">
      <c r="A36" s="81"/>
      <c r="B36" s="81"/>
      <c r="C36" s="112" t="s">
        <v>262</v>
      </c>
      <c r="F36" s="83"/>
      <c r="G36" s="135"/>
      <c r="H36" s="85"/>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8"/>
    </row>
    <row r="37">
      <c r="A37" s="81"/>
      <c r="B37" s="81"/>
      <c r="C37" s="112"/>
      <c r="D37" s="90"/>
      <c r="E37" s="113" t="s">
        <v>263</v>
      </c>
      <c r="F37" s="189" t="str">
        <f>'Vaccine efficacy'!F49</f>
        <v>%</v>
      </c>
      <c r="G37" s="271" t="s">
        <v>131</v>
      </c>
      <c r="H37" s="156">
        <f>'Vaccine efficacy'!H49</f>
        <v>0.7226738</v>
      </c>
      <c r="I37" s="289" t="str">
        <f>'Vaccine efficacy'!I49</f>
        <v>-</v>
      </c>
      <c r="J37" s="289" t="str">
        <f>'Vaccine efficacy'!J49</f>
        <v>-</v>
      </c>
      <c r="K37" s="289" t="str">
        <f>'Vaccine efficacy'!K49</f>
        <v>-</v>
      </c>
      <c r="L37" s="289" t="str">
        <f>'Vaccine efficacy'!L49</f>
        <v>-</v>
      </c>
      <c r="M37" s="289" t="str">
        <f>'Vaccine efficacy'!M49</f>
        <v>-</v>
      </c>
      <c r="N37" s="289" t="str">
        <f>'Vaccine efficacy'!N49</f>
        <v>-</v>
      </c>
      <c r="O37" s="289" t="str">
        <f>'Vaccine efficacy'!O49</f>
        <v>-</v>
      </c>
      <c r="P37" s="289" t="str">
        <f>'Vaccine efficacy'!P49</f>
        <v>-</v>
      </c>
      <c r="Q37" s="289" t="str">
        <f>'Vaccine efficacy'!Q49</f>
        <v>-</v>
      </c>
      <c r="R37" s="289" t="str">
        <f>'Vaccine efficacy'!R49</f>
        <v>-</v>
      </c>
      <c r="S37" s="289" t="str">
        <f>'Vaccine efficacy'!S49</f>
        <v>-</v>
      </c>
      <c r="T37" s="289" t="str">
        <f>'Vaccine efficacy'!T49</f>
        <v>-</v>
      </c>
      <c r="U37" s="289" t="str">
        <f>'Vaccine efficacy'!U49</f>
        <v>-</v>
      </c>
      <c r="V37" s="289" t="str">
        <f>'Vaccine efficacy'!V49</f>
        <v>-</v>
      </c>
      <c r="W37" s="289" t="str">
        <f>'Vaccine efficacy'!W49</f>
        <v>-</v>
      </c>
      <c r="X37" s="289" t="str">
        <f>'Vaccine efficacy'!X49</f>
        <v>-</v>
      </c>
      <c r="Y37" s="289" t="str">
        <f>'Vaccine efficacy'!Y49</f>
        <v>-</v>
      </c>
      <c r="Z37" s="289" t="str">
        <f>'Vaccine efficacy'!Z49</f>
        <v>-</v>
      </c>
      <c r="AA37" s="289" t="str">
        <f>'Vaccine efficacy'!AA49</f>
        <v>-</v>
      </c>
      <c r="AB37" s="289" t="str">
        <f>'Vaccine efficacy'!AB49</f>
        <v>-</v>
      </c>
      <c r="AC37" s="289" t="str">
        <f>'Vaccine efficacy'!AC49</f>
        <v>-</v>
      </c>
      <c r="AD37" s="289" t="str">
        <f>'Vaccine efficacy'!AD49</f>
        <v>-</v>
      </c>
      <c r="AE37" s="289" t="str">
        <f>'Vaccine efficacy'!AE49</f>
        <v>-</v>
      </c>
      <c r="AF37" s="289" t="str">
        <f>'Vaccine efficacy'!AF49</f>
        <v>-</v>
      </c>
      <c r="AG37" s="289" t="str">
        <f>'Vaccine efficacy'!AG49</f>
        <v>-</v>
      </c>
      <c r="AH37" s="289" t="str">
        <f>'Vaccine efficacy'!AH49</f>
        <v>-</v>
      </c>
      <c r="AI37" s="289" t="str">
        <f>'Vaccine efficacy'!AI49</f>
        <v>-</v>
      </c>
      <c r="AJ37" s="289" t="str">
        <f>'Vaccine efficacy'!AJ49</f>
        <v>-</v>
      </c>
      <c r="AK37" s="289" t="str">
        <f>'Vaccine efficacy'!AK49</f>
        <v>-</v>
      </c>
      <c r="AL37" s="289" t="str">
        <f>'Vaccine efficacy'!AL49</f>
        <v>-</v>
      </c>
      <c r="AM37" s="289" t="str">
        <f>'Vaccine efficacy'!AM49</f>
        <v>-</v>
      </c>
      <c r="AN37" s="289" t="str">
        <f>'Vaccine efficacy'!AN49</f>
        <v>-</v>
      </c>
      <c r="AO37" s="289" t="str">
        <f>'Vaccine efficacy'!AO49</f>
        <v>-</v>
      </c>
      <c r="AP37" s="289" t="str">
        <f>'Vaccine efficacy'!AP49</f>
        <v>-</v>
      </c>
      <c r="AQ37" s="289" t="str">
        <f>'Vaccine efficacy'!AQ49</f>
        <v>-</v>
      </c>
      <c r="AR37" s="289" t="str">
        <f>'Vaccine efficacy'!AR49</f>
        <v>-</v>
      </c>
      <c r="AS37" s="289" t="str">
        <f>'Vaccine efficacy'!AS49</f>
        <v>-</v>
      </c>
      <c r="AT37" s="136" t="str">
        <f>'Vaccine efficacy'!AT49</f>
        <v/>
      </c>
    </row>
    <row r="38">
      <c r="A38" s="81"/>
      <c r="B38" s="81"/>
      <c r="C38" s="112"/>
      <c r="D38" s="90"/>
      <c r="E38" s="140" t="s">
        <v>266</v>
      </c>
      <c r="F38" s="215" t="str">
        <f>'Vaccine efficacy'!F50</f>
        <v>%</v>
      </c>
      <c r="G38" s="276" t="s">
        <v>131</v>
      </c>
      <c r="H38" s="176">
        <f>'Vaccine efficacy'!H50</f>
        <v>0.7141717553</v>
      </c>
      <c r="I38" s="310" t="str">
        <f>'Vaccine efficacy'!I50</f>
        <v>-</v>
      </c>
      <c r="J38" s="310" t="str">
        <f>'Vaccine efficacy'!J50</f>
        <v>-</v>
      </c>
      <c r="K38" s="310" t="str">
        <f>'Vaccine efficacy'!K50</f>
        <v>-</v>
      </c>
      <c r="L38" s="310" t="str">
        <f>'Vaccine efficacy'!L50</f>
        <v>-</v>
      </c>
      <c r="M38" s="310" t="str">
        <f>'Vaccine efficacy'!M50</f>
        <v>-</v>
      </c>
      <c r="N38" s="310" t="str">
        <f>'Vaccine efficacy'!N50</f>
        <v>-</v>
      </c>
      <c r="O38" s="310" t="str">
        <f>'Vaccine efficacy'!O50</f>
        <v>-</v>
      </c>
      <c r="P38" s="310" t="str">
        <f>'Vaccine efficacy'!P50</f>
        <v>-</v>
      </c>
      <c r="Q38" s="310" t="str">
        <f>'Vaccine efficacy'!Q50</f>
        <v>-</v>
      </c>
      <c r="R38" s="310" t="str">
        <f>'Vaccine efficacy'!R50</f>
        <v>-</v>
      </c>
      <c r="S38" s="310" t="str">
        <f>'Vaccine efficacy'!S50</f>
        <v>-</v>
      </c>
      <c r="T38" s="310" t="str">
        <f>'Vaccine efficacy'!T50</f>
        <v>-</v>
      </c>
      <c r="U38" s="310" t="str">
        <f>'Vaccine efficacy'!U50</f>
        <v>-</v>
      </c>
      <c r="V38" s="310" t="str">
        <f>'Vaccine efficacy'!V50</f>
        <v>-</v>
      </c>
      <c r="W38" s="310" t="str">
        <f>'Vaccine efficacy'!W50</f>
        <v>-</v>
      </c>
      <c r="X38" s="310" t="str">
        <f>'Vaccine efficacy'!X50</f>
        <v>-</v>
      </c>
      <c r="Y38" s="310" t="str">
        <f>'Vaccine efficacy'!Y50</f>
        <v>-</v>
      </c>
      <c r="Z38" s="310" t="str">
        <f>'Vaccine efficacy'!Z50</f>
        <v>-</v>
      </c>
      <c r="AA38" s="310" t="str">
        <f>'Vaccine efficacy'!AA50</f>
        <v>-</v>
      </c>
      <c r="AB38" s="310" t="str">
        <f>'Vaccine efficacy'!AB50</f>
        <v>-</v>
      </c>
      <c r="AC38" s="310" t="str">
        <f>'Vaccine efficacy'!AC50</f>
        <v>-</v>
      </c>
      <c r="AD38" s="310" t="str">
        <f>'Vaccine efficacy'!AD50</f>
        <v>-</v>
      </c>
      <c r="AE38" s="310" t="str">
        <f>'Vaccine efficacy'!AE50</f>
        <v>-</v>
      </c>
      <c r="AF38" s="310" t="str">
        <f>'Vaccine efficacy'!AF50</f>
        <v>-</v>
      </c>
      <c r="AG38" s="310" t="str">
        <f>'Vaccine efficacy'!AG50</f>
        <v>-</v>
      </c>
      <c r="AH38" s="310" t="str">
        <f>'Vaccine efficacy'!AH50</f>
        <v>-</v>
      </c>
      <c r="AI38" s="310" t="str">
        <f>'Vaccine efficacy'!AI50</f>
        <v>-</v>
      </c>
      <c r="AJ38" s="310" t="str">
        <f>'Vaccine efficacy'!AJ50</f>
        <v>-</v>
      </c>
      <c r="AK38" s="310" t="str">
        <f>'Vaccine efficacy'!AK50</f>
        <v>-</v>
      </c>
      <c r="AL38" s="310" t="str">
        <f>'Vaccine efficacy'!AL50</f>
        <v>-</v>
      </c>
      <c r="AM38" s="310" t="str">
        <f>'Vaccine efficacy'!AM50</f>
        <v>-</v>
      </c>
      <c r="AN38" s="310" t="str">
        <f>'Vaccine efficacy'!AN50</f>
        <v>-</v>
      </c>
      <c r="AO38" s="310" t="str">
        <f>'Vaccine efficacy'!AO50</f>
        <v>-</v>
      </c>
      <c r="AP38" s="310" t="str">
        <f>'Vaccine efficacy'!AP50</f>
        <v>-</v>
      </c>
      <c r="AQ38" s="310" t="str">
        <f>'Vaccine efficacy'!AQ50</f>
        <v>-</v>
      </c>
      <c r="AR38" s="310" t="str">
        <f>'Vaccine efficacy'!AR50</f>
        <v>-</v>
      </c>
      <c r="AS38" s="310" t="str">
        <f>'Vaccine efficacy'!AS50</f>
        <v>-</v>
      </c>
      <c r="AT38" s="163" t="str">
        <f>'Vaccine efficacy'!AT50</f>
        <v/>
      </c>
    </row>
    <row r="39">
      <c r="A39" s="81"/>
      <c r="B39" s="81"/>
      <c r="C39" s="112"/>
      <c r="D39" s="90"/>
      <c r="E39" s="140" t="s">
        <v>269</v>
      </c>
      <c r="F39" s="215" t="str">
        <f>'Vaccine efficacy'!F51</f>
        <v>%</v>
      </c>
      <c r="G39" s="276" t="s">
        <v>131</v>
      </c>
      <c r="H39" s="217">
        <f>'Vaccine efficacy'!H51</f>
        <v>0.6971676659</v>
      </c>
      <c r="I39" s="149" t="str">
        <f>'Vaccine efficacy'!I51</f>
        <v>-</v>
      </c>
      <c r="J39" s="149" t="str">
        <f>'Vaccine efficacy'!J51</f>
        <v>-</v>
      </c>
      <c r="K39" s="149" t="str">
        <f>'Vaccine efficacy'!K51</f>
        <v>-</v>
      </c>
      <c r="L39" s="149" t="str">
        <f>'Vaccine efficacy'!L51</f>
        <v>-</v>
      </c>
      <c r="M39" s="149" t="str">
        <f>'Vaccine efficacy'!M51</f>
        <v>-</v>
      </c>
      <c r="N39" s="149" t="str">
        <f>'Vaccine efficacy'!N51</f>
        <v>-</v>
      </c>
      <c r="O39" s="149" t="str">
        <f>'Vaccine efficacy'!O51</f>
        <v>-</v>
      </c>
      <c r="P39" s="149" t="str">
        <f>'Vaccine efficacy'!P51</f>
        <v>-</v>
      </c>
      <c r="Q39" s="149" t="str">
        <f>'Vaccine efficacy'!Q51</f>
        <v>-</v>
      </c>
      <c r="R39" s="149" t="str">
        <f>'Vaccine efficacy'!R51</f>
        <v>-</v>
      </c>
      <c r="S39" s="149" t="str">
        <f>'Vaccine efficacy'!S51</f>
        <v>-</v>
      </c>
      <c r="T39" s="149" t="str">
        <f>'Vaccine efficacy'!T51</f>
        <v>-</v>
      </c>
      <c r="U39" s="149" t="str">
        <f>'Vaccine efficacy'!U51</f>
        <v>-</v>
      </c>
      <c r="V39" s="149" t="str">
        <f>'Vaccine efficacy'!V51</f>
        <v>-</v>
      </c>
      <c r="W39" s="149" t="str">
        <f>'Vaccine efficacy'!W51</f>
        <v>-</v>
      </c>
      <c r="X39" s="149" t="str">
        <f>'Vaccine efficacy'!X51</f>
        <v>-</v>
      </c>
      <c r="Y39" s="149" t="str">
        <f>'Vaccine efficacy'!Y51</f>
        <v>-</v>
      </c>
      <c r="Z39" s="149" t="str">
        <f>'Vaccine efficacy'!Z51</f>
        <v>-</v>
      </c>
      <c r="AA39" s="149" t="str">
        <f>'Vaccine efficacy'!AA51</f>
        <v>-</v>
      </c>
      <c r="AB39" s="149" t="str">
        <f>'Vaccine efficacy'!AB51</f>
        <v>-</v>
      </c>
      <c r="AC39" s="149" t="str">
        <f>'Vaccine efficacy'!AC51</f>
        <v>-</v>
      </c>
      <c r="AD39" s="149" t="str">
        <f>'Vaccine efficacy'!AD51</f>
        <v>-</v>
      </c>
      <c r="AE39" s="149" t="str">
        <f>'Vaccine efficacy'!AE51</f>
        <v>-</v>
      </c>
      <c r="AF39" s="149" t="str">
        <f>'Vaccine efficacy'!AF51</f>
        <v>-</v>
      </c>
      <c r="AG39" s="149" t="str">
        <f>'Vaccine efficacy'!AG51</f>
        <v>-</v>
      </c>
      <c r="AH39" s="149" t="str">
        <f>'Vaccine efficacy'!AH51</f>
        <v>-</v>
      </c>
      <c r="AI39" s="149" t="str">
        <f>'Vaccine efficacy'!AI51</f>
        <v>-</v>
      </c>
      <c r="AJ39" s="149" t="str">
        <f>'Vaccine efficacy'!AJ51</f>
        <v>-</v>
      </c>
      <c r="AK39" s="149" t="str">
        <f>'Vaccine efficacy'!AK51</f>
        <v>-</v>
      </c>
      <c r="AL39" s="149" t="str">
        <f>'Vaccine efficacy'!AL51</f>
        <v>-</v>
      </c>
      <c r="AM39" s="149" t="str">
        <f>'Vaccine efficacy'!AM51</f>
        <v>-</v>
      </c>
      <c r="AN39" s="149" t="str">
        <f>'Vaccine efficacy'!AN51</f>
        <v>-</v>
      </c>
      <c r="AO39" s="149" t="str">
        <f>'Vaccine efficacy'!AO51</f>
        <v>-</v>
      </c>
      <c r="AP39" s="149" t="str">
        <f>'Vaccine efficacy'!AP51</f>
        <v>-</v>
      </c>
      <c r="AQ39" s="149" t="str">
        <f>'Vaccine efficacy'!AQ51</f>
        <v>-</v>
      </c>
      <c r="AR39" s="149" t="str">
        <f>'Vaccine efficacy'!AR51</f>
        <v>-</v>
      </c>
      <c r="AS39" s="149" t="str">
        <f>'Vaccine efficacy'!AS51</f>
        <v>-</v>
      </c>
      <c r="AT39" s="163" t="str">
        <f>'Vaccine efficacy'!AT51</f>
        <v/>
      </c>
    </row>
    <row r="40">
      <c r="A40" s="81"/>
      <c r="B40" s="81"/>
      <c r="C40" s="112"/>
      <c r="D40" s="90"/>
      <c r="E40" s="140" t="s">
        <v>273</v>
      </c>
      <c r="F40" s="215" t="str">
        <f>'Vaccine efficacy'!F52</f>
        <v>%</v>
      </c>
      <c r="G40" s="276" t="s">
        <v>131</v>
      </c>
      <c r="H40" s="217">
        <f>'Vaccine efficacy'!H52</f>
        <v>0.4931185929</v>
      </c>
      <c r="I40" s="149" t="str">
        <f>'Vaccine efficacy'!I52</f>
        <v>-</v>
      </c>
      <c r="J40" s="149" t="str">
        <f>'Vaccine efficacy'!J52</f>
        <v>-</v>
      </c>
      <c r="K40" s="149" t="str">
        <f>'Vaccine efficacy'!K52</f>
        <v>-</v>
      </c>
      <c r="L40" s="149" t="str">
        <f>'Vaccine efficacy'!L52</f>
        <v>-</v>
      </c>
      <c r="M40" s="149" t="str">
        <f>'Vaccine efficacy'!M52</f>
        <v>-</v>
      </c>
      <c r="N40" s="149" t="str">
        <f>'Vaccine efficacy'!N52</f>
        <v>-</v>
      </c>
      <c r="O40" s="149" t="str">
        <f>'Vaccine efficacy'!O52</f>
        <v>-</v>
      </c>
      <c r="P40" s="149" t="str">
        <f>'Vaccine efficacy'!P52</f>
        <v>-</v>
      </c>
      <c r="Q40" s="149" t="str">
        <f>'Vaccine efficacy'!Q52</f>
        <v>-</v>
      </c>
      <c r="R40" s="149" t="str">
        <f>'Vaccine efficacy'!R52</f>
        <v>-</v>
      </c>
      <c r="S40" s="149" t="str">
        <f>'Vaccine efficacy'!S52</f>
        <v>-</v>
      </c>
      <c r="T40" s="149" t="str">
        <f>'Vaccine efficacy'!T52</f>
        <v>-</v>
      </c>
      <c r="U40" s="149" t="str">
        <f>'Vaccine efficacy'!U52</f>
        <v>-</v>
      </c>
      <c r="V40" s="149" t="str">
        <f>'Vaccine efficacy'!V52</f>
        <v>-</v>
      </c>
      <c r="W40" s="149" t="str">
        <f>'Vaccine efficacy'!W52</f>
        <v>-</v>
      </c>
      <c r="X40" s="149" t="str">
        <f>'Vaccine efficacy'!X52</f>
        <v>-</v>
      </c>
      <c r="Y40" s="149" t="str">
        <f>'Vaccine efficacy'!Y52</f>
        <v>-</v>
      </c>
      <c r="Z40" s="149" t="str">
        <f>'Vaccine efficacy'!Z52</f>
        <v>-</v>
      </c>
      <c r="AA40" s="149" t="str">
        <f>'Vaccine efficacy'!AA52</f>
        <v>-</v>
      </c>
      <c r="AB40" s="149" t="str">
        <f>'Vaccine efficacy'!AB52</f>
        <v>-</v>
      </c>
      <c r="AC40" s="149" t="str">
        <f>'Vaccine efficacy'!AC52</f>
        <v>-</v>
      </c>
      <c r="AD40" s="149" t="str">
        <f>'Vaccine efficacy'!AD52</f>
        <v>-</v>
      </c>
      <c r="AE40" s="149" t="str">
        <f>'Vaccine efficacy'!AE52</f>
        <v>-</v>
      </c>
      <c r="AF40" s="149" t="str">
        <f>'Vaccine efficacy'!AF52</f>
        <v>-</v>
      </c>
      <c r="AG40" s="149" t="str">
        <f>'Vaccine efficacy'!AG52</f>
        <v>-</v>
      </c>
      <c r="AH40" s="149" t="str">
        <f>'Vaccine efficacy'!AH52</f>
        <v>-</v>
      </c>
      <c r="AI40" s="149" t="str">
        <f>'Vaccine efficacy'!AI52</f>
        <v>-</v>
      </c>
      <c r="AJ40" s="149" t="str">
        <f>'Vaccine efficacy'!AJ52</f>
        <v>-</v>
      </c>
      <c r="AK40" s="149" t="str">
        <f>'Vaccine efficacy'!AK52</f>
        <v>-</v>
      </c>
      <c r="AL40" s="149" t="str">
        <f>'Vaccine efficacy'!AL52</f>
        <v>-</v>
      </c>
      <c r="AM40" s="149" t="str">
        <f>'Vaccine efficacy'!AM52</f>
        <v>-</v>
      </c>
      <c r="AN40" s="149" t="str">
        <f>'Vaccine efficacy'!AN52</f>
        <v>-</v>
      </c>
      <c r="AO40" s="149" t="str">
        <f>'Vaccine efficacy'!AO52</f>
        <v>-</v>
      </c>
      <c r="AP40" s="149" t="str">
        <f>'Vaccine efficacy'!AP52</f>
        <v>-</v>
      </c>
      <c r="AQ40" s="149" t="str">
        <f>'Vaccine efficacy'!AQ52</f>
        <v>-</v>
      </c>
      <c r="AR40" s="149" t="str">
        <f>'Vaccine efficacy'!AR52</f>
        <v>-</v>
      </c>
      <c r="AS40" s="149" t="str">
        <f>'Vaccine efficacy'!AS52</f>
        <v>-</v>
      </c>
      <c r="AT40" s="163" t="str">
        <f>'Vaccine efficacy'!AT52</f>
        <v/>
      </c>
    </row>
    <row r="41">
      <c r="A41" s="81"/>
      <c r="B41" s="81"/>
      <c r="C41" s="112"/>
      <c r="D41" s="90"/>
      <c r="E41" s="140" t="s">
        <v>275</v>
      </c>
      <c r="F41" s="215" t="str">
        <f>'Vaccine efficacy'!F53</f>
        <v>%</v>
      </c>
      <c r="G41" s="276" t="s">
        <v>131</v>
      </c>
      <c r="H41" s="217">
        <f>'Vaccine efficacy'!H53</f>
        <v>0.3910940565</v>
      </c>
      <c r="I41" s="149" t="str">
        <f>'Vaccine efficacy'!I53</f>
        <v>-</v>
      </c>
      <c r="J41" s="149" t="str">
        <f>'Vaccine efficacy'!J53</f>
        <v>-</v>
      </c>
      <c r="K41" s="149" t="str">
        <f>'Vaccine efficacy'!K53</f>
        <v>-</v>
      </c>
      <c r="L41" s="149" t="str">
        <f>'Vaccine efficacy'!L53</f>
        <v>-</v>
      </c>
      <c r="M41" s="149" t="str">
        <f>'Vaccine efficacy'!M53</f>
        <v>-</v>
      </c>
      <c r="N41" s="149" t="str">
        <f>'Vaccine efficacy'!N53</f>
        <v>-</v>
      </c>
      <c r="O41" s="149" t="str">
        <f>'Vaccine efficacy'!O53</f>
        <v>-</v>
      </c>
      <c r="P41" s="149" t="str">
        <f>'Vaccine efficacy'!P53</f>
        <v>-</v>
      </c>
      <c r="Q41" s="149" t="str">
        <f>'Vaccine efficacy'!Q53</f>
        <v>-</v>
      </c>
      <c r="R41" s="149" t="str">
        <f>'Vaccine efficacy'!R53</f>
        <v>-</v>
      </c>
      <c r="S41" s="149" t="str">
        <f>'Vaccine efficacy'!S53</f>
        <v>-</v>
      </c>
      <c r="T41" s="149" t="str">
        <f>'Vaccine efficacy'!T53</f>
        <v>-</v>
      </c>
      <c r="U41" s="149" t="str">
        <f>'Vaccine efficacy'!U53</f>
        <v>-</v>
      </c>
      <c r="V41" s="149" t="str">
        <f>'Vaccine efficacy'!V53</f>
        <v>-</v>
      </c>
      <c r="W41" s="149" t="str">
        <f>'Vaccine efficacy'!W53</f>
        <v>-</v>
      </c>
      <c r="X41" s="149" t="str">
        <f>'Vaccine efficacy'!X53</f>
        <v>-</v>
      </c>
      <c r="Y41" s="149" t="str">
        <f>'Vaccine efficacy'!Y53</f>
        <v>-</v>
      </c>
      <c r="Z41" s="149" t="str">
        <f>'Vaccine efficacy'!Z53</f>
        <v>-</v>
      </c>
      <c r="AA41" s="149" t="str">
        <f>'Vaccine efficacy'!AA53</f>
        <v>-</v>
      </c>
      <c r="AB41" s="149" t="str">
        <f>'Vaccine efficacy'!AB53</f>
        <v>-</v>
      </c>
      <c r="AC41" s="149" t="str">
        <f>'Vaccine efficacy'!AC53</f>
        <v>-</v>
      </c>
      <c r="AD41" s="149" t="str">
        <f>'Vaccine efficacy'!AD53</f>
        <v>-</v>
      </c>
      <c r="AE41" s="149" t="str">
        <f>'Vaccine efficacy'!AE53</f>
        <v>-</v>
      </c>
      <c r="AF41" s="149" t="str">
        <f>'Vaccine efficacy'!AF53</f>
        <v>-</v>
      </c>
      <c r="AG41" s="149" t="str">
        <f>'Vaccine efficacy'!AG53</f>
        <v>-</v>
      </c>
      <c r="AH41" s="149" t="str">
        <f>'Vaccine efficacy'!AH53</f>
        <v>-</v>
      </c>
      <c r="AI41" s="149" t="str">
        <f>'Vaccine efficacy'!AI53</f>
        <v>-</v>
      </c>
      <c r="AJ41" s="149" t="str">
        <f>'Vaccine efficacy'!AJ53</f>
        <v>-</v>
      </c>
      <c r="AK41" s="149" t="str">
        <f>'Vaccine efficacy'!AK53</f>
        <v>-</v>
      </c>
      <c r="AL41" s="149" t="str">
        <f>'Vaccine efficacy'!AL53</f>
        <v>-</v>
      </c>
      <c r="AM41" s="149" t="str">
        <f>'Vaccine efficacy'!AM53</f>
        <v>-</v>
      </c>
      <c r="AN41" s="149" t="str">
        <f>'Vaccine efficacy'!AN53</f>
        <v>-</v>
      </c>
      <c r="AO41" s="149" t="str">
        <f>'Vaccine efficacy'!AO53</f>
        <v>-</v>
      </c>
      <c r="AP41" s="149" t="str">
        <f>'Vaccine efficacy'!AP53</f>
        <v>-</v>
      </c>
      <c r="AQ41" s="149" t="str">
        <f>'Vaccine efficacy'!AQ53</f>
        <v>-</v>
      </c>
      <c r="AR41" s="149" t="str">
        <f>'Vaccine efficacy'!AR53</f>
        <v>-</v>
      </c>
      <c r="AS41" s="149" t="str">
        <f>'Vaccine efficacy'!AS53</f>
        <v>-</v>
      </c>
      <c r="AT41" s="163" t="str">
        <f>'Vaccine efficacy'!AT53</f>
        <v/>
      </c>
    </row>
    <row r="42">
      <c r="A42" s="81"/>
      <c r="B42" s="81"/>
      <c r="C42" s="112"/>
      <c r="D42" s="90"/>
      <c r="E42" s="237" t="s">
        <v>279</v>
      </c>
      <c r="F42" s="195" t="str">
        <f>'Vaccine efficacy'!F54</f>
        <v>%</v>
      </c>
      <c r="G42" s="291" t="s">
        <v>131</v>
      </c>
      <c r="H42" s="315">
        <f>'Vaccine efficacy'!H54</f>
        <v>0.6653194526</v>
      </c>
      <c r="I42" s="240" t="str">
        <f>'Vaccine efficacy'!I54</f>
        <v>-</v>
      </c>
      <c r="J42" s="240" t="str">
        <f>'Vaccine efficacy'!J54</f>
        <v>-</v>
      </c>
      <c r="K42" s="240" t="str">
        <f>'Vaccine efficacy'!K54</f>
        <v>-</v>
      </c>
      <c r="L42" s="240" t="str">
        <f>'Vaccine efficacy'!L54</f>
        <v>-</v>
      </c>
      <c r="M42" s="240" t="str">
        <f>'Vaccine efficacy'!M54</f>
        <v>-</v>
      </c>
      <c r="N42" s="240" t="str">
        <f>'Vaccine efficacy'!N54</f>
        <v>-</v>
      </c>
      <c r="O42" s="240" t="str">
        <f>'Vaccine efficacy'!O54</f>
        <v>-</v>
      </c>
      <c r="P42" s="240" t="str">
        <f>'Vaccine efficacy'!P54</f>
        <v>-</v>
      </c>
      <c r="Q42" s="240" t="str">
        <f>'Vaccine efficacy'!Q54</f>
        <v>-</v>
      </c>
      <c r="R42" s="240" t="str">
        <f>'Vaccine efficacy'!R54</f>
        <v>-</v>
      </c>
      <c r="S42" s="240" t="str">
        <f>'Vaccine efficacy'!S54</f>
        <v>-</v>
      </c>
      <c r="T42" s="240" t="str">
        <f>'Vaccine efficacy'!T54</f>
        <v>-</v>
      </c>
      <c r="U42" s="240" t="str">
        <f>'Vaccine efficacy'!U54</f>
        <v>-</v>
      </c>
      <c r="V42" s="240" t="str">
        <f>'Vaccine efficacy'!V54</f>
        <v>-</v>
      </c>
      <c r="W42" s="240" t="str">
        <f>'Vaccine efficacy'!W54</f>
        <v>-</v>
      </c>
      <c r="X42" s="240" t="str">
        <f>'Vaccine efficacy'!X54</f>
        <v>-</v>
      </c>
      <c r="Y42" s="240" t="str">
        <f>'Vaccine efficacy'!Y54</f>
        <v>-</v>
      </c>
      <c r="Z42" s="240" t="str">
        <f>'Vaccine efficacy'!Z54</f>
        <v>-</v>
      </c>
      <c r="AA42" s="240" t="str">
        <f>'Vaccine efficacy'!AA54</f>
        <v>-</v>
      </c>
      <c r="AB42" s="240" t="str">
        <f>'Vaccine efficacy'!AB54</f>
        <v>-</v>
      </c>
      <c r="AC42" s="240" t="str">
        <f>'Vaccine efficacy'!AC54</f>
        <v>-</v>
      </c>
      <c r="AD42" s="240" t="str">
        <f>'Vaccine efficacy'!AD54</f>
        <v>-</v>
      </c>
      <c r="AE42" s="240" t="str">
        <f>'Vaccine efficacy'!AE54</f>
        <v>-</v>
      </c>
      <c r="AF42" s="240" t="str">
        <f>'Vaccine efficacy'!AF54</f>
        <v>-</v>
      </c>
      <c r="AG42" s="240" t="str">
        <f>'Vaccine efficacy'!AG54</f>
        <v>-</v>
      </c>
      <c r="AH42" s="240" t="str">
        <f>'Vaccine efficacy'!AH54</f>
        <v>-</v>
      </c>
      <c r="AI42" s="240" t="str">
        <f>'Vaccine efficacy'!AI54</f>
        <v>-</v>
      </c>
      <c r="AJ42" s="240" t="str">
        <f>'Vaccine efficacy'!AJ54</f>
        <v>-</v>
      </c>
      <c r="AK42" s="240" t="str">
        <f>'Vaccine efficacy'!AK54</f>
        <v>-</v>
      </c>
      <c r="AL42" s="240" t="str">
        <f>'Vaccine efficacy'!AL54</f>
        <v>-</v>
      </c>
      <c r="AM42" s="240" t="str">
        <f>'Vaccine efficacy'!AM54</f>
        <v>-</v>
      </c>
      <c r="AN42" s="240" t="str">
        <f>'Vaccine efficacy'!AN54</f>
        <v>-</v>
      </c>
      <c r="AO42" s="240" t="str">
        <f>'Vaccine efficacy'!AO54</f>
        <v>-</v>
      </c>
      <c r="AP42" s="240" t="str">
        <f>'Vaccine efficacy'!AP54</f>
        <v>-</v>
      </c>
      <c r="AQ42" s="240" t="str">
        <f>'Vaccine efficacy'!AQ54</f>
        <v>-</v>
      </c>
      <c r="AR42" s="240" t="str">
        <f>'Vaccine efficacy'!AR54</f>
        <v>-</v>
      </c>
      <c r="AS42" s="240" t="str">
        <f>'Vaccine efficacy'!AS54</f>
        <v>-</v>
      </c>
      <c r="AT42" s="248" t="str">
        <f>'Vaccine efficacy'!AT54</f>
        <v/>
      </c>
    </row>
    <row r="43">
      <c r="A43" s="81"/>
      <c r="B43" s="81"/>
      <c r="C43" s="112"/>
      <c r="D43" s="90"/>
      <c r="E43" s="253"/>
      <c r="F43" s="83"/>
      <c r="G43" s="135"/>
      <c r="H43" s="85"/>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8"/>
    </row>
    <row r="44">
      <c r="A44" s="81"/>
      <c r="B44" s="81"/>
      <c r="C44" s="112" t="s">
        <v>295</v>
      </c>
      <c r="F44" s="83"/>
      <c r="G44" s="135"/>
      <c r="H44" s="85"/>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8"/>
    </row>
    <row r="45">
      <c r="A45" s="80"/>
      <c r="B45" s="81"/>
      <c r="C45" s="112"/>
      <c r="D45" s="90"/>
      <c r="E45" s="113" t="s">
        <v>298</v>
      </c>
      <c r="F45" s="189" t="str">
        <f>'Disease burden'!F212</f>
        <v>%</v>
      </c>
      <c r="G45" s="271" t="s">
        <v>131</v>
      </c>
      <c r="H45" s="295" t="str">
        <f>'Disease burden'!H212</f>
        <v>-</v>
      </c>
      <c r="I45" s="119">
        <f>'Disease burden'!I212</f>
        <v>0.1558670414</v>
      </c>
      <c r="J45" s="119">
        <f>'Disease burden'!J212</f>
        <v>0.111446033</v>
      </c>
      <c r="K45" s="119">
        <f>'Disease burden'!K212</f>
        <v>0.1819900954</v>
      </c>
      <c r="L45" s="119">
        <f>'Disease burden'!L212</f>
        <v>0.09894387757</v>
      </c>
      <c r="M45" s="119">
        <f>'Disease burden'!M212</f>
        <v>0.109333246</v>
      </c>
      <c r="N45" s="119">
        <f>'Disease burden'!N212</f>
        <v>0.1533590805</v>
      </c>
      <c r="O45" s="119">
        <f>'Disease burden'!O212</f>
        <v>0.1425374223</v>
      </c>
      <c r="P45" s="119">
        <f>'Disease burden'!P212</f>
        <v>0.1508466979</v>
      </c>
      <c r="Q45" s="119">
        <f>'Disease burden'!Q212</f>
        <v>0.178910547</v>
      </c>
      <c r="R45" s="119">
        <f>'Disease burden'!R212</f>
        <v>0.08916603606</v>
      </c>
      <c r="S45" s="119">
        <f>'Disease burden'!S212</f>
        <v>0.1156092825</v>
      </c>
      <c r="T45" s="119">
        <f>'Disease burden'!T212</f>
        <v>0.08829190187</v>
      </c>
      <c r="U45" s="119">
        <f>'Disease burden'!U212</f>
        <v>0.0853377924</v>
      </c>
      <c r="V45" s="119">
        <f>'Disease burden'!V212</f>
        <v>0.07006643163</v>
      </c>
      <c r="W45" s="119">
        <f>'Disease burden'!W212</f>
        <v>0.09369704965</v>
      </c>
      <c r="X45" s="119">
        <f>'Disease burden'!X212</f>
        <v>0.1059599334</v>
      </c>
      <c r="Y45" s="119">
        <f>'Disease burden'!Y212</f>
        <v>0.1047535791</v>
      </c>
      <c r="Z45" s="119">
        <f>'Disease burden'!Z212</f>
        <v>0.09989688996</v>
      </c>
      <c r="AA45" s="119">
        <f>'Disease burden'!AA212</f>
        <v>0.1111326909</v>
      </c>
      <c r="AB45" s="119">
        <f>'Disease burden'!AB212</f>
        <v>0.1059417994</v>
      </c>
      <c r="AC45" s="119">
        <f>'Disease burden'!AC212</f>
        <v>0.1173885353</v>
      </c>
      <c r="AD45" s="119">
        <f>'Disease burden'!AD212</f>
        <v>0.1067022447</v>
      </c>
      <c r="AE45" s="119">
        <f>'Disease burden'!AE212</f>
        <v>0.1083502661</v>
      </c>
      <c r="AF45" s="119">
        <f>'Disease burden'!AF212</f>
        <v>0.1102137093</v>
      </c>
      <c r="AG45" s="119">
        <f>'Disease burden'!AG212</f>
        <v>0.0787978683</v>
      </c>
      <c r="AH45" s="119">
        <f>'Disease burden'!AH212</f>
        <v>0.08349009347</v>
      </c>
      <c r="AI45" s="119">
        <f>'Disease burden'!AI212</f>
        <v>0.09400501514</v>
      </c>
      <c r="AJ45" s="119">
        <f>'Disease burden'!AJ212</f>
        <v>0.1051903911</v>
      </c>
      <c r="AK45" s="119">
        <f>'Disease burden'!AK212</f>
        <v>0.09815270775</v>
      </c>
      <c r="AL45" s="119">
        <f>'Disease burden'!AL212</f>
        <v>0.08973276876</v>
      </c>
      <c r="AM45" s="119">
        <f>'Disease burden'!AM212</f>
        <v>0.09469704052</v>
      </c>
      <c r="AN45" s="119">
        <f>'Disease burden'!AN212</f>
        <v>0.1079607169</v>
      </c>
      <c r="AO45" s="119">
        <f>'Disease burden'!AO212</f>
        <v>0.07164622243</v>
      </c>
      <c r="AP45" s="119">
        <f>'Disease burden'!AP212</f>
        <v>0.1166944193</v>
      </c>
      <c r="AQ45" s="119">
        <f>'Disease burden'!AQ212</f>
        <v>0.09936603243</v>
      </c>
      <c r="AR45" s="119">
        <f>'Disease burden'!AR212</f>
        <v>0.09711579504</v>
      </c>
      <c r="AS45" s="119">
        <f>'Disease burden'!AS212</f>
        <v>0.1464734721</v>
      </c>
      <c r="AT45" s="136"/>
    </row>
    <row r="46">
      <c r="A46" s="80"/>
      <c r="B46" s="81"/>
      <c r="C46" s="112"/>
      <c r="D46" s="90"/>
      <c r="E46" s="140" t="s">
        <v>307</v>
      </c>
      <c r="F46" s="215" t="str">
        <f>'Disease burden'!F213</f>
        <v>%</v>
      </c>
      <c r="G46" s="276" t="s">
        <v>131</v>
      </c>
      <c r="H46" s="274" t="str">
        <f>'Disease burden'!H213</f>
        <v>-</v>
      </c>
      <c r="I46" s="149">
        <f>'Disease burden'!I213</f>
        <v>0.08896884937</v>
      </c>
      <c r="J46" s="149">
        <f>'Disease burden'!J213</f>
        <v>0.1109284451</v>
      </c>
      <c r="K46" s="149">
        <f>'Disease burden'!K213</f>
        <v>0.1053297754</v>
      </c>
      <c r="L46" s="149">
        <f>'Disease burden'!L213</f>
        <v>0.1181678126</v>
      </c>
      <c r="M46" s="149">
        <f>'Disease burden'!M213</f>
        <v>0.09116401454</v>
      </c>
      <c r="N46" s="149">
        <f>'Disease burden'!N213</f>
        <v>0.1128513452</v>
      </c>
      <c r="O46" s="149">
        <f>'Disease burden'!O213</f>
        <v>0.129327271</v>
      </c>
      <c r="P46" s="149">
        <f>'Disease burden'!P213</f>
        <v>0.1064788899</v>
      </c>
      <c r="Q46" s="149">
        <f>'Disease burden'!Q213</f>
        <v>0.1160056538</v>
      </c>
      <c r="R46" s="149">
        <f>'Disease burden'!R213</f>
        <v>0.06863405222</v>
      </c>
      <c r="S46" s="149">
        <f>'Disease burden'!S213</f>
        <v>0.07980254224</v>
      </c>
      <c r="T46" s="149">
        <f>'Disease burden'!T213</f>
        <v>0.117827734</v>
      </c>
      <c r="U46" s="149">
        <f>'Disease burden'!U213</f>
        <v>0.1447881688</v>
      </c>
      <c r="V46" s="149">
        <f>'Disease burden'!V213</f>
        <v>0.1403883056</v>
      </c>
      <c r="W46" s="149">
        <f>'Disease burden'!W213</f>
        <v>0.09290242488</v>
      </c>
      <c r="X46" s="149">
        <f>'Disease burden'!X213</f>
        <v>0.1540927292</v>
      </c>
      <c r="Y46" s="149">
        <f>'Disease burden'!Y213</f>
        <v>0.1231679002</v>
      </c>
      <c r="Z46" s="149">
        <f>'Disease burden'!Z213</f>
        <v>0.1068475488</v>
      </c>
      <c r="AA46" s="149">
        <f>'Disease burden'!AA213</f>
        <v>0.08865444052</v>
      </c>
      <c r="AB46" s="149">
        <f>'Disease burden'!AB213</f>
        <v>0.08969760482</v>
      </c>
      <c r="AC46" s="149">
        <f>'Disease burden'!AC213</f>
        <v>0.07383647934</v>
      </c>
      <c r="AD46" s="149">
        <f>'Disease burden'!AD213</f>
        <v>0.1276313529</v>
      </c>
      <c r="AE46" s="149">
        <f>'Disease burden'!AE213</f>
        <v>0.09484107876</v>
      </c>
      <c r="AF46" s="149">
        <f>'Disease burden'!AF213</f>
        <v>0.08454995567</v>
      </c>
      <c r="AG46" s="149">
        <f>'Disease burden'!AG213</f>
        <v>0.2457297692</v>
      </c>
      <c r="AH46" s="149">
        <f>'Disease burden'!AH213</f>
        <v>0.1477107216</v>
      </c>
      <c r="AI46" s="149">
        <f>'Disease burden'!AI213</f>
        <v>0.100532583</v>
      </c>
      <c r="AJ46" s="149">
        <f>'Disease burden'!AJ213</f>
        <v>0.1225265418</v>
      </c>
      <c r="AK46" s="149">
        <f>'Disease burden'!AK213</f>
        <v>0.1133749702</v>
      </c>
      <c r="AL46" s="149">
        <f>'Disease burden'!AL213</f>
        <v>0.1312902558</v>
      </c>
      <c r="AM46" s="149">
        <f>'Disease burden'!AM213</f>
        <v>0.08785534038</v>
      </c>
      <c r="AN46" s="149">
        <f>'Disease burden'!AN213</f>
        <v>0.1167646139</v>
      </c>
      <c r="AO46" s="149">
        <f>'Disease burden'!AO213</f>
        <v>0.1736834641</v>
      </c>
      <c r="AP46" s="149">
        <f>'Disease burden'!AP213</f>
        <v>0.09429308263</v>
      </c>
      <c r="AQ46" s="149">
        <f>'Disease burden'!AQ213</f>
        <v>0.09632127277</v>
      </c>
      <c r="AR46" s="149">
        <f>'Disease burden'!AR213</f>
        <v>0.08030224217</v>
      </c>
      <c r="AS46" s="149">
        <f>'Disease burden'!AS213</f>
        <v>0.1308347392</v>
      </c>
      <c r="AT46" s="163"/>
    </row>
    <row r="47">
      <c r="A47" s="80"/>
      <c r="B47" s="81"/>
      <c r="C47" s="112"/>
      <c r="D47" s="90"/>
      <c r="E47" s="140" t="s">
        <v>311</v>
      </c>
      <c r="F47" s="215" t="str">
        <f>'Disease burden'!F214</f>
        <v>%</v>
      </c>
      <c r="G47" s="276" t="s">
        <v>131</v>
      </c>
      <c r="H47" s="274" t="str">
        <f>'Disease burden'!H214</f>
        <v>-</v>
      </c>
      <c r="I47" s="149">
        <f>'Disease burden'!I214</f>
        <v>0.02398346483</v>
      </c>
      <c r="J47" s="149">
        <f>'Disease burden'!J214</f>
        <v>0.0284403539</v>
      </c>
      <c r="K47" s="149">
        <f>'Disease burden'!K214</f>
        <v>0.0246747568</v>
      </c>
      <c r="L47" s="149">
        <f>'Disease burden'!L214</f>
        <v>0.03258535962</v>
      </c>
      <c r="M47" s="149">
        <f>'Disease burden'!M214</f>
        <v>0.02928939572</v>
      </c>
      <c r="N47" s="149">
        <f>'Disease burden'!N214</f>
        <v>0.02309122122</v>
      </c>
      <c r="O47" s="149">
        <f>'Disease burden'!O214</f>
        <v>0.02315329921</v>
      </c>
      <c r="P47" s="149">
        <f>'Disease burden'!P214</f>
        <v>0.02192476747</v>
      </c>
      <c r="Q47" s="149">
        <f>'Disease burden'!Q214</f>
        <v>0.01901939976</v>
      </c>
      <c r="R47" s="149">
        <f>'Disease burden'!I214</f>
        <v>0.02398346483</v>
      </c>
      <c r="S47" s="149">
        <f>'Disease burden'!S214</f>
        <v>0.03338346927</v>
      </c>
      <c r="T47" s="149">
        <f>'Disease burden'!T214</f>
        <v>0.0420369838</v>
      </c>
      <c r="U47" s="149">
        <f>'Disease burden'!U214</f>
        <v>0.0453899234</v>
      </c>
      <c r="V47" s="149">
        <f>'Disease burden'!V214</f>
        <v>0.03061347883</v>
      </c>
      <c r="W47" s="149">
        <f>'Disease burden'!W214</f>
        <v>0.03295400081</v>
      </c>
      <c r="X47" s="149">
        <f>'Disease burden'!X214</f>
        <v>0.02371355659</v>
      </c>
      <c r="Y47" s="149">
        <f>'Disease burden'!Y214</f>
        <v>0.04129861385</v>
      </c>
      <c r="Z47" s="149">
        <f>'Disease burden'!Z214</f>
        <v>0.04053220107</v>
      </c>
      <c r="AA47" s="149">
        <f>'Disease burden'!AA214</f>
        <v>0.0428660232</v>
      </c>
      <c r="AB47" s="149">
        <f>'Disease burden'!AB214</f>
        <v>0.05046584095</v>
      </c>
      <c r="AC47" s="149">
        <f>'Disease burden'!AC214</f>
        <v>0.04737558134</v>
      </c>
      <c r="AD47" s="149">
        <f>'Disease burden'!AD214</f>
        <v>0.04399668458</v>
      </c>
      <c r="AE47" s="149">
        <f>'Disease burden'!AE214</f>
        <v>0.04502118665</v>
      </c>
      <c r="AF47" s="149">
        <f>'Disease burden'!AF214</f>
        <v>0.0472211996</v>
      </c>
      <c r="AG47" s="149">
        <f>'Disease burden'!AG214</f>
        <v>0.03167529441</v>
      </c>
      <c r="AH47" s="149">
        <f>'Disease burden'!AH214</f>
        <v>0.03474733049</v>
      </c>
      <c r="AI47" s="149">
        <f>'Disease burden'!AI214</f>
        <v>0.04734809014</v>
      </c>
      <c r="AJ47" s="149">
        <f>'Disease burden'!AJ214</f>
        <v>0.03347341442</v>
      </c>
      <c r="AK47" s="149">
        <f>'Disease burden'!AK214</f>
        <v>0.02867668372</v>
      </c>
      <c r="AL47" s="149">
        <f>'Disease burden'!AL214</f>
        <v>0.03564020457</v>
      </c>
      <c r="AM47" s="149">
        <f>'Disease burden'!AM214</f>
        <v>0.04241722203</v>
      </c>
      <c r="AN47" s="149">
        <f>'Disease burden'!AN214</f>
        <v>0.04046398201</v>
      </c>
      <c r="AO47" s="149">
        <f>'Disease burden'!AO214</f>
        <v>0.03680863594</v>
      </c>
      <c r="AP47" s="149">
        <f>'Disease burden'!AP214</f>
        <v>0.03618594899</v>
      </c>
      <c r="AQ47" s="149">
        <f>'Disease burden'!AQ214</f>
        <v>0.04475902081</v>
      </c>
      <c r="AR47" s="149">
        <f>'Disease burden'!AR214</f>
        <v>0.03073011613</v>
      </c>
      <c r="AS47" s="149">
        <f>'Disease burden'!AS214</f>
        <v>0.02396968527</v>
      </c>
      <c r="AT47" s="163"/>
    </row>
    <row r="48">
      <c r="A48" s="80"/>
      <c r="B48" s="81"/>
      <c r="C48" s="112"/>
      <c r="D48" s="90"/>
      <c r="E48" s="140" t="s">
        <v>316</v>
      </c>
      <c r="F48" s="215" t="str">
        <f>'Disease burden'!F215</f>
        <v>%</v>
      </c>
      <c r="G48" s="276" t="s">
        <v>131</v>
      </c>
      <c r="H48" s="274" t="str">
        <f>'Disease burden'!H215</f>
        <v>-</v>
      </c>
      <c r="I48" s="149">
        <f>'Disease burden'!I215</f>
        <v>0.3608421761</v>
      </c>
      <c r="J48" s="149">
        <f>'Disease burden'!J215</f>
        <v>0.4120029286</v>
      </c>
      <c r="K48" s="149">
        <f>'Disease burden'!K215</f>
        <v>0.3683655146</v>
      </c>
      <c r="L48" s="149">
        <f>'Disease burden'!L215</f>
        <v>0.460209587</v>
      </c>
      <c r="M48" s="149">
        <f>'Disease burden'!M215</f>
        <v>0.4356478272</v>
      </c>
      <c r="N48" s="149">
        <f>'Disease burden'!N215</f>
        <v>0.3394637875</v>
      </c>
      <c r="O48" s="149">
        <f>'Disease burden'!O215</f>
        <v>0.3394729828</v>
      </c>
      <c r="P48" s="149">
        <f>'Disease burden'!P215</f>
        <v>0.3402111559</v>
      </c>
      <c r="Q48" s="149">
        <f>'Disease burden'!Q215</f>
        <v>0.2848893844</v>
      </c>
      <c r="R48" s="149">
        <f>'Disease burden'!R215</f>
        <v>0.4990744003</v>
      </c>
      <c r="S48" s="149">
        <f>'Disease burden'!S215</f>
        <v>0.456397041</v>
      </c>
      <c r="T48" s="149">
        <f>'Disease burden'!T215</f>
        <v>0.5085299138</v>
      </c>
      <c r="U48" s="149">
        <f>'Disease burden'!U215</f>
        <v>0.5511526764</v>
      </c>
      <c r="V48" s="149">
        <f>'Disease burden'!V215</f>
        <v>0.4080094867</v>
      </c>
      <c r="W48" s="149">
        <f>'Disease burden'!W215</f>
        <v>0.4205999059</v>
      </c>
      <c r="X48" s="149">
        <f>'Disease burden'!X215</f>
        <v>0.3134721534</v>
      </c>
      <c r="Y48" s="149">
        <f>'Disease burden'!Y215</f>
        <v>0.4908902057</v>
      </c>
      <c r="Z48" s="149">
        <f>'Disease burden'!Z215</f>
        <v>0.5130330014</v>
      </c>
      <c r="AA48" s="149">
        <f>'Disease burden'!AA215</f>
        <v>0.5012677059</v>
      </c>
      <c r="AB48" s="149">
        <f>'Disease burden'!AB215</f>
        <v>0.5599930086</v>
      </c>
      <c r="AC48" s="149">
        <f>'Disease burden'!AC215</f>
        <v>0.5289332409</v>
      </c>
      <c r="AD48" s="149">
        <f>'Disease burden'!AD215</f>
        <v>0.5073891358</v>
      </c>
      <c r="AE48" s="149">
        <f>'Disease burden'!AE215</f>
        <v>0.5350648901</v>
      </c>
      <c r="AF48" s="149">
        <f>'Disease burden'!AF215</f>
        <v>0.5582620726</v>
      </c>
      <c r="AG48" s="149">
        <f>'Disease burden'!AG215</f>
        <v>0.4269891467</v>
      </c>
      <c r="AH48" s="149">
        <f>'Disease burden'!AH215</f>
        <v>0.4556942045</v>
      </c>
      <c r="AI48" s="149">
        <f>'Disease burden'!AI215</f>
        <v>0.5261354085</v>
      </c>
      <c r="AJ48" s="149">
        <f>'Disease burden'!AJ215</f>
        <v>0.4615522525</v>
      </c>
      <c r="AK48" s="149">
        <f>'Disease burden'!AK215</f>
        <v>0.4140907721</v>
      </c>
      <c r="AL48" s="149">
        <f>'Disease burden'!AL215</f>
        <v>0.4821195192</v>
      </c>
      <c r="AM48" s="149">
        <f>'Disease burden'!AM215</f>
        <v>0.5451507385</v>
      </c>
      <c r="AN48" s="149">
        <f>'Disease burden'!AN215</f>
        <v>0.4803235914</v>
      </c>
      <c r="AO48" s="149">
        <f>'Disease burden'!AO215</f>
        <v>0.4781437597</v>
      </c>
      <c r="AP48" s="149">
        <f>'Disease burden'!AP215</f>
        <v>0.4574804759</v>
      </c>
      <c r="AQ48" s="149">
        <f>'Disease burden'!AQ215</f>
        <v>0.5328694859</v>
      </c>
      <c r="AR48" s="149">
        <f>'Disease burden'!AR215</f>
        <v>0.4447937326</v>
      </c>
      <c r="AS48" s="149">
        <f>'Disease burden'!AS215</f>
        <v>0.3462110305</v>
      </c>
      <c r="AT48" s="163"/>
    </row>
    <row r="49">
      <c r="A49" s="80"/>
      <c r="B49" s="81"/>
      <c r="C49" s="112"/>
      <c r="D49" s="90"/>
      <c r="E49" s="140" t="s">
        <v>321</v>
      </c>
      <c r="F49" s="215" t="str">
        <f>'Disease burden'!F216</f>
        <v>%</v>
      </c>
      <c r="G49" s="276" t="s">
        <v>131</v>
      </c>
      <c r="H49" s="274" t="str">
        <f>'Disease burden'!H216</f>
        <v>-</v>
      </c>
      <c r="I49" s="149">
        <f>'Disease burden'!I216</f>
        <v>0.3228127422</v>
      </c>
      <c r="J49" s="149">
        <f>'Disease burden'!J216</f>
        <v>0.3002138185</v>
      </c>
      <c r="K49" s="149">
        <f>'Disease burden'!K216</f>
        <v>0.2655499024</v>
      </c>
      <c r="L49" s="149">
        <f>'Disease burden'!L216</f>
        <v>0.2471178024</v>
      </c>
      <c r="M49" s="149">
        <f>'Disease burden'!M216</f>
        <v>0.307369161</v>
      </c>
      <c r="N49" s="149">
        <f>'Disease burden'!N216</f>
        <v>0.3054683759</v>
      </c>
      <c r="O49" s="149">
        <f>'Disease burden'!O216</f>
        <v>0.3035249118</v>
      </c>
      <c r="P49" s="149">
        <f>'Disease burden'!P216</f>
        <v>0.3288429917</v>
      </c>
      <c r="Q49" s="149">
        <f>'Disease burden'!Q216</f>
        <v>0.3429175187</v>
      </c>
      <c r="R49" s="149">
        <f>'Disease burden'!R216</f>
        <v>0.283016926</v>
      </c>
      <c r="S49" s="149">
        <f>'Disease burden'!S216</f>
        <v>0.2883588257</v>
      </c>
      <c r="T49" s="149">
        <f>'Disease burden'!T216</f>
        <v>0.2025856273</v>
      </c>
      <c r="U49" s="149">
        <f>'Disease burden'!U216</f>
        <v>0.1444677185</v>
      </c>
      <c r="V49" s="149">
        <f>'Disease burden'!V216</f>
        <v>0.3053551694</v>
      </c>
      <c r="W49" s="149">
        <f>'Disease burden'!W216</f>
        <v>0.3319899773</v>
      </c>
      <c r="X49" s="149">
        <f>'Disease burden'!X216</f>
        <v>0.3408024225</v>
      </c>
      <c r="Y49" s="149">
        <f>'Disease burden'!Y216</f>
        <v>0.1960140036</v>
      </c>
      <c r="Z49" s="149">
        <f>'Disease burden'!Z216</f>
        <v>0.2058401605</v>
      </c>
      <c r="AA49" s="149">
        <f>'Disease burden'!AA216</f>
        <v>0.2259046425</v>
      </c>
      <c r="AB49" s="149">
        <f>'Disease burden'!AB216</f>
        <v>0.1605693964</v>
      </c>
      <c r="AC49" s="149">
        <f>'Disease burden'!AC216</f>
        <v>0.1893477015</v>
      </c>
      <c r="AD49" s="149">
        <f>'Disease burden'!AD216</f>
        <v>0.17604039</v>
      </c>
      <c r="AE49" s="149">
        <f>'Disease burden'!AE216</f>
        <v>0.1890182848</v>
      </c>
      <c r="AF49" s="149">
        <f>'Disease burden'!AF216</f>
        <v>0.170915657</v>
      </c>
      <c r="AG49" s="149">
        <f>'Disease burden'!AG216</f>
        <v>0.1693080729</v>
      </c>
      <c r="AH49" s="149">
        <f>'Disease burden'!AH216</f>
        <v>0.2057106572</v>
      </c>
      <c r="AI49" s="149">
        <f>'Disease burden'!AI216</f>
        <v>0.1941672489</v>
      </c>
      <c r="AJ49" s="149">
        <f>'Disease burden'!AJ216</f>
        <v>0.237124244</v>
      </c>
      <c r="AK49" s="149">
        <f>'Disease burden'!AK216</f>
        <v>0.3056239943</v>
      </c>
      <c r="AL49" s="149">
        <f>'Disease burden'!AL216</f>
        <v>0.2237136506</v>
      </c>
      <c r="AM49" s="149">
        <f>'Disease burden'!AM216</f>
        <v>0.1925833962</v>
      </c>
      <c r="AN49" s="149">
        <f>'Disease burden'!AN216</f>
        <v>0.2099768964</v>
      </c>
      <c r="AO49" s="149">
        <f>'Disease burden'!AO216</f>
        <v>0.1916372841</v>
      </c>
      <c r="AP49" s="149">
        <f>'Disease burden'!AP216</f>
        <v>0.2574475406</v>
      </c>
      <c r="AQ49" s="149">
        <f>'Disease burden'!AQ216</f>
        <v>0.1939630121</v>
      </c>
      <c r="AR49" s="149">
        <f>'Disease burden'!AR216</f>
        <v>0.319860933</v>
      </c>
      <c r="AS49" s="149">
        <f>'Disease burden'!AS216</f>
        <v>0.2875108914</v>
      </c>
      <c r="AT49" s="163"/>
    </row>
    <row r="50">
      <c r="A50" s="80"/>
      <c r="B50" s="81"/>
      <c r="C50" s="112"/>
      <c r="D50" s="90"/>
      <c r="E50" s="237" t="s">
        <v>326</v>
      </c>
      <c r="F50" s="231" t="str">
        <f>'Disease burden'!F217</f>
        <v>%</v>
      </c>
      <c r="G50" s="291" t="s">
        <v>131</v>
      </c>
      <c r="H50" s="306" t="str">
        <f>'Disease burden'!H217</f>
        <v>-</v>
      </c>
      <c r="I50" s="240">
        <f>'Disease burden'!I217</f>
        <v>0.04752572606</v>
      </c>
      <c r="J50" s="240">
        <f>'Disease burden'!J217</f>
        <v>0.03696842093</v>
      </c>
      <c r="K50" s="240">
        <f>'Disease burden'!K217</f>
        <v>0.05408995533</v>
      </c>
      <c r="L50" s="240">
        <f>'Disease burden'!L217</f>
        <v>0.04297556073</v>
      </c>
      <c r="M50" s="240">
        <f>'Disease burden'!M217</f>
        <v>0.02719635565</v>
      </c>
      <c r="N50" s="240">
        <f>'Disease burden'!N217</f>
        <v>0.06576618958</v>
      </c>
      <c r="O50" s="240">
        <f>'Disease burden'!O217</f>
        <v>0.06198411293</v>
      </c>
      <c r="P50" s="240">
        <f>'Disease burden'!P217</f>
        <v>0.05169549713</v>
      </c>
      <c r="Q50" s="240">
        <f>'Disease burden'!Q217</f>
        <v>0.05825749633</v>
      </c>
      <c r="R50" s="240">
        <f>'Disease burden'!R217</f>
        <v>0.01958318048</v>
      </c>
      <c r="S50" s="240">
        <f>'Disease burden'!S217</f>
        <v>0.02644883921</v>
      </c>
      <c r="T50" s="240">
        <f>'Disease burden'!T217</f>
        <v>0.04072783928</v>
      </c>
      <c r="U50" s="240">
        <f>'Disease burden'!U217</f>
        <v>0.02886372047</v>
      </c>
      <c r="V50" s="240">
        <f>'Disease burden'!V217</f>
        <v>0.04556712783</v>
      </c>
      <c r="W50" s="240">
        <f>'Disease burden'!W217</f>
        <v>0.02785664148</v>
      </c>
      <c r="X50" s="240">
        <f>'Disease burden'!X217</f>
        <v>0.06195920483</v>
      </c>
      <c r="Y50" s="240">
        <f>'Disease burden'!Y217</f>
        <v>0.04387569748</v>
      </c>
      <c r="Z50" s="240">
        <f>'Disease burden'!Z217</f>
        <v>0.03385019832</v>
      </c>
      <c r="AA50" s="240">
        <f>'Disease burden'!AA217</f>
        <v>0.03017449706</v>
      </c>
      <c r="AB50" s="240">
        <f>'Disease burden'!AB217</f>
        <v>0.03333234985</v>
      </c>
      <c r="AC50" s="240">
        <f>'Disease burden'!AC217</f>
        <v>0.04311846156</v>
      </c>
      <c r="AD50" s="240">
        <f>'Disease burden'!AD217</f>
        <v>0.03824019206</v>
      </c>
      <c r="AE50" s="240">
        <f>'Disease burden'!AE217</f>
        <v>0.02770429361</v>
      </c>
      <c r="AF50" s="240">
        <f>'Disease burden'!AF217</f>
        <v>0.02883740588</v>
      </c>
      <c r="AG50" s="240">
        <f>'Disease burden'!AG217</f>
        <v>0.04749984839</v>
      </c>
      <c r="AH50" s="240">
        <f>'Disease burden'!AH217</f>
        <v>0.07264699283</v>
      </c>
      <c r="AI50" s="240">
        <f>'Disease burden'!AI217</f>
        <v>0.03781165429</v>
      </c>
      <c r="AJ50" s="240">
        <f>'Disease burden'!AJ217</f>
        <v>0.04013315622</v>
      </c>
      <c r="AK50" s="240">
        <f>'Disease burden'!AK217</f>
        <v>0.04008087186</v>
      </c>
      <c r="AL50" s="240">
        <f>'Disease burden'!AL217</f>
        <v>0.03750360099</v>
      </c>
      <c r="AM50" s="240">
        <f>'Disease burden'!AM217</f>
        <v>0.03729626235</v>
      </c>
      <c r="AN50" s="240">
        <f>'Disease burden'!AN217</f>
        <v>0.04451019935</v>
      </c>
      <c r="AO50" s="240">
        <f>'Disease burden'!AO217</f>
        <v>0.04808063365</v>
      </c>
      <c r="AP50" s="240">
        <f>'Disease burden'!AP217</f>
        <v>0.03789853253</v>
      </c>
      <c r="AQ50" s="240">
        <f>'Disease burden'!AQ217</f>
        <v>0.03272117593</v>
      </c>
      <c r="AR50" s="240">
        <f>'Disease burden'!AR217</f>
        <v>0.02719718106</v>
      </c>
      <c r="AS50" s="240">
        <f>'Disease burden'!AS217</f>
        <v>0.06500018141</v>
      </c>
      <c r="AT50" s="248"/>
    </row>
    <row r="51">
      <c r="A51" s="80"/>
      <c r="B51" s="81"/>
      <c r="C51" s="112"/>
      <c r="D51" s="90"/>
      <c r="E51" s="243"/>
      <c r="F51" s="108"/>
      <c r="G51" s="109"/>
      <c r="H51" s="110"/>
      <c r="I51" s="111"/>
      <c r="J51" s="111"/>
      <c r="K51" s="111"/>
      <c r="L51" s="111"/>
      <c r="M51" s="111"/>
      <c r="N51" s="111"/>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88"/>
    </row>
    <row r="52">
      <c r="A52" s="80"/>
      <c r="B52" s="81"/>
      <c r="C52" s="112" t="s">
        <v>331</v>
      </c>
      <c r="F52" s="108"/>
      <c r="G52" s="109"/>
      <c r="H52" s="110"/>
      <c r="I52" s="111"/>
      <c r="J52" s="111"/>
      <c r="K52" s="111"/>
      <c r="L52" s="111"/>
      <c r="M52" s="111"/>
      <c r="N52" s="111"/>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88"/>
    </row>
    <row r="53">
      <c r="A53" s="80"/>
      <c r="B53" s="81"/>
      <c r="C53" s="112"/>
      <c r="D53" s="90"/>
      <c r="E53" s="224" t="s">
        <v>228</v>
      </c>
      <c r="F53" s="93" t="s">
        <v>122</v>
      </c>
      <c r="G53" s="321" t="s">
        <v>149</v>
      </c>
      <c r="H53" s="129" t="s">
        <v>150</v>
      </c>
      <c r="I53" s="308">
        <f t="shared" ref="I53:AS53" si="2">SUMPRODUCT($H$37:$H$42,I45:I50)</f>
        <v>0.5287084837</v>
      </c>
      <c r="J53" s="308">
        <f t="shared" si="2"/>
        <v>0.5247627397</v>
      </c>
      <c r="K53" s="308">
        <f t="shared" si="2"/>
        <v>0.5454354393</v>
      </c>
      <c r="L53" s="308">
        <f t="shared" si="2"/>
        <v>0.5307904056</v>
      </c>
      <c r="M53" s="308">
        <f t="shared" si="2"/>
        <v>0.5176692163</v>
      </c>
      <c r="N53" s="308">
        <f t="shared" si="2"/>
        <v>0.5381405824</v>
      </c>
      <c r="O53" s="308">
        <f t="shared" si="2"/>
        <v>0.538858141</v>
      </c>
      <c r="P53" s="308">
        <f t="shared" si="2"/>
        <v>0.531109417</v>
      </c>
      <c r="Q53" s="308">
        <f t="shared" si="2"/>
        <v>0.5387587382</v>
      </c>
      <c r="R53" s="308">
        <f t="shared" si="2"/>
        <v>0.4999931305</v>
      </c>
      <c r="S53" s="308">
        <f t="shared" si="2"/>
        <v>0.5192446133</v>
      </c>
      <c r="T53" s="308">
        <f t="shared" si="2"/>
        <v>0.5343549238</v>
      </c>
      <c r="U53" s="308">
        <f t="shared" si="2"/>
        <v>0.5442070874</v>
      </c>
      <c r="V53" s="308">
        <f t="shared" si="2"/>
        <v>0.523175617</v>
      </c>
      <c r="W53" s="308">
        <f t="shared" si="2"/>
        <v>0.5128136608</v>
      </c>
      <c r="X53" s="308">
        <f t="shared" si="2"/>
        <v>0.5322428809</v>
      </c>
      <c r="Y53" s="308">
        <f t="shared" si="2"/>
        <v>0.5403761152</v>
      </c>
      <c r="Z53" s="308">
        <f t="shared" si="2"/>
        <v>0.5327682771</v>
      </c>
      <c r="AA53" s="308">
        <f t="shared" si="2"/>
        <v>0.5291220554</v>
      </c>
      <c r="AB53" s="308">
        <f t="shared" si="2"/>
        <v>0.536921373</v>
      </c>
      <c r="AC53" s="308">
        <f t="shared" si="2"/>
        <v>0.5341613979</v>
      </c>
      <c r="AD53" s="308">
        <f t="shared" si="2"/>
        <v>0.5434280004</v>
      </c>
      <c r="AE53" s="308">
        <f t="shared" si="2"/>
        <v>0.5336286128</v>
      </c>
      <c r="AF53" s="308">
        <f t="shared" si="2"/>
        <v>0.5342724363</v>
      </c>
      <c r="AG53" s="308">
        <f t="shared" si="2"/>
        <v>0.562895648</v>
      </c>
      <c r="AH53" s="308">
        <f t="shared" si="2"/>
        <v>0.5435486015</v>
      </c>
      <c r="AI53" s="308">
        <f t="shared" si="2"/>
        <v>0.5332836888</v>
      </c>
      <c r="AJ53" s="308">
        <f t="shared" si="2"/>
        <v>0.5338991666</v>
      </c>
      <c r="AK53" s="308">
        <f t="shared" si="2"/>
        <v>0.5222842187</v>
      </c>
      <c r="AL53" s="308">
        <f t="shared" si="2"/>
        <v>0.533645565</v>
      </c>
      <c r="AM53" s="308">
        <f t="shared" si="2"/>
        <v>0.5297069041</v>
      </c>
      <c r="AN53" s="308">
        <f t="shared" si="2"/>
        <v>0.5382112619</v>
      </c>
      <c r="AO53" s="308">
        <f t="shared" si="2"/>
        <v>0.5441972248</v>
      </c>
      <c r="AP53" s="308">
        <f t="shared" si="2"/>
        <v>0.5283940919</v>
      </c>
      <c r="AQ53" s="308">
        <f t="shared" si="2"/>
        <v>0.53219937</v>
      </c>
      <c r="AR53" s="308">
        <f t="shared" si="2"/>
        <v>0.5114832602</v>
      </c>
      <c r="AS53" s="308">
        <f t="shared" si="2"/>
        <v>0.5424146878</v>
      </c>
      <c r="AT53" s="265"/>
    </row>
    <row r="54">
      <c r="A54" s="80"/>
      <c r="B54" s="81"/>
      <c r="C54" s="112"/>
      <c r="D54" s="90"/>
      <c r="E54" s="243"/>
      <c r="F54" s="108"/>
      <c r="G54" s="109"/>
      <c r="H54" s="110"/>
      <c r="I54" s="111"/>
      <c r="J54" s="111"/>
      <c r="K54" s="111"/>
      <c r="L54" s="111"/>
      <c r="M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88"/>
    </row>
    <row r="55">
      <c r="A55" s="80"/>
      <c r="B55" s="81"/>
      <c r="C55" s="107" t="s">
        <v>336</v>
      </c>
      <c r="F55" s="108"/>
      <c r="G55" s="109"/>
      <c r="H55" s="110"/>
      <c r="I55" s="111"/>
      <c r="J55" s="111"/>
      <c r="K55" s="111"/>
      <c r="L55" s="111"/>
      <c r="M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88"/>
    </row>
    <row r="56">
      <c r="A56" s="80"/>
      <c r="B56" s="81"/>
      <c r="C56" s="112"/>
      <c r="D56" s="90"/>
      <c r="E56" s="113" t="s">
        <v>337</v>
      </c>
      <c r="F56" s="189" t="str">
        <f>'Vaccine coverage'!F146</f>
        <v>%</v>
      </c>
      <c r="G56" s="271" t="s">
        <v>131</v>
      </c>
      <c r="H56" s="200" t="str">
        <f>'Vaccine coverage'!H146</f>
        <v>-</v>
      </c>
      <c r="I56" s="119">
        <f>'Vaccine coverage'!I146</f>
        <v>0.4523656027</v>
      </c>
      <c r="J56" s="119">
        <f>'Vaccine coverage'!J146</f>
        <v>0.5681049406</v>
      </c>
      <c r="K56" s="119">
        <f>'Vaccine coverage'!K146</f>
        <v>0.4462527975</v>
      </c>
      <c r="L56" s="119">
        <f>'Vaccine coverage'!L146</f>
        <v>0.6486896469</v>
      </c>
      <c r="M56" s="119">
        <f>'Vaccine coverage'!M146</f>
        <v>0.4708392348</v>
      </c>
      <c r="N56" s="119">
        <f>'Vaccine coverage'!N146</f>
        <v>0.4277482077</v>
      </c>
      <c r="O56" s="119">
        <f>'Vaccine coverage'!O146</f>
        <v>0.4317137134</v>
      </c>
      <c r="P56" s="119">
        <f>'Vaccine coverage'!P146</f>
        <v>0.2504354618</v>
      </c>
      <c r="Q56" s="119">
        <f>'Vaccine coverage'!Q146</f>
        <v>0.3495826351</v>
      </c>
      <c r="R56" s="119">
        <f>'Vaccine coverage'!R146</f>
        <v>0.8897432901</v>
      </c>
      <c r="S56" s="119">
        <f>'Vaccine coverage'!S146</f>
        <v>0.7564374042</v>
      </c>
      <c r="T56" s="119">
        <f>'Vaccine coverage'!T146</f>
        <v>0.8416491128</v>
      </c>
      <c r="U56" s="119">
        <f>'Vaccine coverage'!U146</f>
        <v>0.8662220902</v>
      </c>
      <c r="V56" s="119">
        <f>'Vaccine coverage'!V146</f>
        <v>0.7253869145</v>
      </c>
      <c r="W56" s="119">
        <f>'Vaccine coverage'!W146</f>
        <v>0.7419117799</v>
      </c>
      <c r="X56" s="119">
        <f>'Vaccine coverage'!X146</f>
        <v>0.7284897536</v>
      </c>
      <c r="Y56" s="119">
        <f>'Vaccine coverage'!Y146</f>
        <v>0.9082747996</v>
      </c>
      <c r="Z56" s="119">
        <f>'Vaccine coverage'!Z146</f>
        <v>0.8236155629</v>
      </c>
      <c r="AA56" s="119">
        <f>'Vaccine coverage'!AA146</f>
        <v>0.9107396966</v>
      </c>
      <c r="AB56" s="119">
        <f>'Vaccine coverage'!AB146</f>
        <v>0.9468821716</v>
      </c>
      <c r="AC56" s="119">
        <f>'Vaccine coverage'!AC146</f>
        <v>0.9292907229</v>
      </c>
      <c r="AD56" s="119">
        <f>'Vaccine coverage'!AD146</f>
        <v>0.9633801173</v>
      </c>
      <c r="AE56" s="119">
        <f>'Vaccine coverage'!AE146</f>
        <v>0.91527921</v>
      </c>
      <c r="AF56" s="119">
        <f>'Vaccine coverage'!AF146</f>
        <v>0.9533832385</v>
      </c>
      <c r="AG56" s="119">
        <f>'Vaccine coverage'!AG146</f>
        <v>0.8295722338</v>
      </c>
      <c r="AH56" s="119">
        <f>'Vaccine coverage'!AH146</f>
        <v>0.723426034</v>
      </c>
      <c r="AI56" s="119">
        <f>'Vaccine coverage'!AI146</f>
        <v>0.9383455219</v>
      </c>
      <c r="AJ56" s="119">
        <f>'Vaccine coverage'!AJ146</f>
        <v>0.7163610542</v>
      </c>
      <c r="AK56" s="119">
        <f>'Vaccine coverage'!AK146</f>
        <v>0.5249392114</v>
      </c>
      <c r="AL56" s="119">
        <f>'Vaccine coverage'!AL146</f>
        <v>0.7630306711</v>
      </c>
      <c r="AM56" s="119">
        <f>'Vaccine coverage'!AM146</f>
        <v>0.792589974</v>
      </c>
      <c r="AN56" s="119">
        <f>'Vaccine coverage'!AN146</f>
        <v>0.9042648764</v>
      </c>
      <c r="AO56" s="119">
        <f>'Vaccine coverage'!AO146</f>
        <v>0.7995587158</v>
      </c>
      <c r="AP56" s="119">
        <f>'Vaccine coverage'!AP146</f>
        <v>0.8406323309</v>
      </c>
      <c r="AQ56" s="119">
        <f>'Vaccine coverage'!AQ146</f>
        <v>0.8631744365</v>
      </c>
      <c r="AR56" s="119">
        <f>'Vaccine coverage'!AR146</f>
        <v>0.554989071</v>
      </c>
      <c r="AS56" s="119">
        <f>'Vaccine coverage'!AS146</f>
        <v>0.4582058459</v>
      </c>
      <c r="AT56" s="136"/>
    </row>
    <row r="57">
      <c r="A57" s="80"/>
      <c r="B57" s="81"/>
      <c r="C57" s="112"/>
      <c r="D57" s="90"/>
      <c r="E57" s="140" t="s">
        <v>343</v>
      </c>
      <c r="F57" s="215" t="str">
        <f>'Vaccine coverage'!F147</f>
        <v>%</v>
      </c>
      <c r="G57" s="276" t="s">
        <v>131</v>
      </c>
      <c r="H57" s="187" t="str">
        <f>'Vaccine coverage'!H147</f>
        <v>-</v>
      </c>
      <c r="I57" s="149">
        <f>'Vaccine coverage'!I147</f>
        <v>0.3340233142</v>
      </c>
      <c r="J57" s="149">
        <f>'Vaccine coverage'!J147</f>
        <v>0.4261841469</v>
      </c>
      <c r="K57" s="149">
        <f>'Vaccine coverage'!K147</f>
        <v>0.3499142783</v>
      </c>
      <c r="L57" s="149">
        <f>'Vaccine coverage'!L147</f>
        <v>0.5215965535</v>
      </c>
      <c r="M57" s="149">
        <f>'Vaccine coverage'!M147</f>
        <v>0.3613988888</v>
      </c>
      <c r="N57" s="149">
        <f>'Vaccine coverage'!N147</f>
        <v>0.3478197579</v>
      </c>
      <c r="O57" s="149">
        <f>'Vaccine coverage'!O147</f>
        <v>0.3798111186</v>
      </c>
      <c r="P57" s="149">
        <f>'Vaccine coverage'!P147</f>
        <v>0.1391744003</v>
      </c>
      <c r="Q57" s="149">
        <f>'Vaccine coverage'!Q147</f>
        <v>0.2449194087</v>
      </c>
      <c r="R57" s="149">
        <f>'Vaccine coverage'!R147</f>
        <v>0.7887087723</v>
      </c>
      <c r="S57" s="149">
        <f>'Vaccine coverage'!S147</f>
        <v>0.5987988135</v>
      </c>
      <c r="T57" s="149">
        <f>'Vaccine coverage'!T147</f>
        <v>0.7916612058</v>
      </c>
      <c r="U57" s="149">
        <f>'Vaccine coverage'!U147</f>
        <v>0.8121732891</v>
      </c>
      <c r="V57" s="149">
        <f>'Vaccine coverage'!V147</f>
        <v>0.6476513683</v>
      </c>
      <c r="W57" s="149">
        <f>'Vaccine coverage'!W147</f>
        <v>0.690843235</v>
      </c>
      <c r="X57" s="149">
        <f>'Vaccine coverage'!X147</f>
        <v>0.569280605</v>
      </c>
      <c r="Y57" s="149">
        <f>'Vaccine coverage'!Y147</f>
        <v>0.8468544726</v>
      </c>
      <c r="Z57" s="149">
        <f>'Vaccine coverage'!Z147</f>
        <v>0.721966537</v>
      </c>
      <c r="AA57" s="149">
        <f>'Vaccine coverage'!AA147</f>
        <v>0.845318832</v>
      </c>
      <c r="AB57" s="149">
        <f>'Vaccine coverage'!AB147</f>
        <v>0.8832011397</v>
      </c>
      <c r="AC57" s="149">
        <f>'Vaccine coverage'!AC147</f>
        <v>0.8778168785</v>
      </c>
      <c r="AD57" s="149">
        <f>'Vaccine coverage'!AD147</f>
        <v>0.8870192092</v>
      </c>
      <c r="AE57" s="149">
        <f>'Vaccine coverage'!AE147</f>
        <v>0.8236130701</v>
      </c>
      <c r="AF57" s="149">
        <f>'Vaccine coverage'!AF147</f>
        <v>0.8511490387</v>
      </c>
      <c r="AG57" s="149">
        <f>'Vaccine coverage'!AG147</f>
        <v>0.6487208373</v>
      </c>
      <c r="AH57" s="149">
        <f>'Vaccine coverage'!AH147</f>
        <v>0.6381315946</v>
      </c>
      <c r="AI57" s="149">
        <f>'Vaccine coverage'!AI147</f>
        <v>0.8928774769</v>
      </c>
      <c r="AJ57" s="149">
        <f>'Vaccine coverage'!AJ147</f>
        <v>0.5708893052</v>
      </c>
      <c r="AK57" s="149">
        <f>'Vaccine coverage'!AK147</f>
        <v>0.4234880625</v>
      </c>
      <c r="AL57" s="149">
        <f>'Vaccine coverage'!AL147</f>
        <v>0.6105395375</v>
      </c>
      <c r="AM57" s="149">
        <f>'Vaccine coverage'!AM147</f>
        <v>0.7118645505</v>
      </c>
      <c r="AN57" s="149">
        <f>'Vaccine coverage'!AN147</f>
        <v>0.800870903</v>
      </c>
      <c r="AO57" s="149">
        <f>'Vaccine coverage'!AO147</f>
        <v>0.6650543002</v>
      </c>
      <c r="AP57" s="149">
        <f>'Vaccine coverage'!AP147</f>
        <v>0.6901790628</v>
      </c>
      <c r="AQ57" s="149">
        <f>'Vaccine coverage'!AQ147</f>
        <v>0.8136402117</v>
      </c>
      <c r="AR57" s="149">
        <f>'Vaccine coverage'!AR147</f>
        <v>0.4576900266</v>
      </c>
      <c r="AS57" s="149">
        <f>'Vaccine coverage'!AS147</f>
        <v>0.4237402253</v>
      </c>
      <c r="AT57" s="163"/>
    </row>
    <row r="58">
      <c r="A58" s="80"/>
      <c r="B58" s="81"/>
      <c r="C58" s="112"/>
      <c r="D58" s="90"/>
      <c r="E58" s="140" t="s">
        <v>347</v>
      </c>
      <c r="F58" s="215" t="str">
        <f>'Vaccine coverage'!F148</f>
        <v>%</v>
      </c>
      <c r="G58" s="276" t="s">
        <v>131</v>
      </c>
      <c r="H58" s="187" t="str">
        <f>'Vaccine coverage'!H148</f>
        <v>-</v>
      </c>
      <c r="I58" s="149">
        <f>'Vaccine coverage'!I148</f>
        <v>0.3340233142</v>
      </c>
      <c r="J58" s="149">
        <f>'Vaccine coverage'!J148</f>
        <v>0.4261841469</v>
      </c>
      <c r="K58" s="149">
        <f>'Vaccine coverage'!K148</f>
        <v>0.3499142783</v>
      </c>
      <c r="L58" s="149">
        <f>'Vaccine coverage'!L148</f>
        <v>0.5215965535</v>
      </c>
      <c r="M58" s="149">
        <f>'Vaccine coverage'!M148</f>
        <v>0.3613988888</v>
      </c>
      <c r="N58" s="149">
        <f>'Vaccine coverage'!N148</f>
        <v>0.3478197579</v>
      </c>
      <c r="O58" s="149">
        <f>'Vaccine coverage'!O148</f>
        <v>0.3798111186</v>
      </c>
      <c r="P58" s="149">
        <f>'Vaccine coverage'!P148</f>
        <v>0.1391744003</v>
      </c>
      <c r="Q58" s="149">
        <f>'Vaccine coverage'!Q148</f>
        <v>0.2449194087</v>
      </c>
      <c r="R58" s="149">
        <f>'Vaccine coverage'!R148</f>
        <v>0.7887087723</v>
      </c>
      <c r="S58" s="149">
        <f>'Vaccine coverage'!S148</f>
        <v>0.5987988135</v>
      </c>
      <c r="T58" s="149">
        <f>'Vaccine coverage'!T148</f>
        <v>0.7916612058</v>
      </c>
      <c r="U58" s="149">
        <f>'Vaccine coverage'!U148</f>
        <v>0.8121732891</v>
      </c>
      <c r="V58" s="149">
        <f>'Vaccine coverage'!V148</f>
        <v>0.6476513683</v>
      </c>
      <c r="W58" s="149">
        <f>'Vaccine coverage'!W148</f>
        <v>0.690843235</v>
      </c>
      <c r="X58" s="149">
        <f>'Vaccine coverage'!X148</f>
        <v>0.569280605</v>
      </c>
      <c r="Y58" s="149">
        <f>'Vaccine coverage'!Y148</f>
        <v>0.8468544726</v>
      </c>
      <c r="Z58" s="149">
        <f>'Vaccine coverage'!Z148</f>
        <v>0.721966537</v>
      </c>
      <c r="AA58" s="149">
        <f>'Vaccine coverage'!AA148</f>
        <v>0.845318832</v>
      </c>
      <c r="AB58" s="149">
        <f>'Vaccine coverage'!AB148</f>
        <v>0.8832011397</v>
      </c>
      <c r="AC58" s="149">
        <f>'Vaccine coverage'!AC148</f>
        <v>0.8778168785</v>
      </c>
      <c r="AD58" s="149">
        <f>'Vaccine coverage'!AD148</f>
        <v>0.8870192092</v>
      </c>
      <c r="AE58" s="149">
        <f>'Vaccine coverage'!AE148</f>
        <v>0.8236130701</v>
      </c>
      <c r="AF58" s="149">
        <f>'Vaccine coverage'!AF148</f>
        <v>0.8511490387</v>
      </c>
      <c r="AG58" s="149">
        <f>'Vaccine coverage'!AG148</f>
        <v>0.6487208373</v>
      </c>
      <c r="AH58" s="149">
        <f>'Vaccine coverage'!AH148</f>
        <v>0.6381315946</v>
      </c>
      <c r="AI58" s="149">
        <f>'Vaccine coverage'!AI148</f>
        <v>0.8928774769</v>
      </c>
      <c r="AJ58" s="149">
        <f>'Vaccine coverage'!AJ148</f>
        <v>0.5708893052</v>
      </c>
      <c r="AK58" s="149">
        <f>'Vaccine coverage'!AK148</f>
        <v>0.4234880625</v>
      </c>
      <c r="AL58" s="149">
        <f>'Vaccine coverage'!AL148</f>
        <v>0.6105395375</v>
      </c>
      <c r="AM58" s="149">
        <f>'Vaccine coverage'!AM148</f>
        <v>0.7118645505</v>
      </c>
      <c r="AN58" s="149">
        <f>'Vaccine coverage'!AN148</f>
        <v>0.800870903</v>
      </c>
      <c r="AO58" s="149">
        <f>'Vaccine coverage'!AO148</f>
        <v>0.6650543002</v>
      </c>
      <c r="AP58" s="149">
        <f>'Vaccine coverage'!AP148</f>
        <v>0.6901790628</v>
      </c>
      <c r="AQ58" s="149">
        <f>'Vaccine coverage'!AQ148</f>
        <v>0.8136402117</v>
      </c>
      <c r="AR58" s="149">
        <f>'Vaccine coverage'!AR148</f>
        <v>0.4576900266</v>
      </c>
      <c r="AS58" s="149">
        <f>'Vaccine coverage'!AS148</f>
        <v>0.4237402253</v>
      </c>
      <c r="AT58" s="163"/>
    </row>
    <row r="59">
      <c r="A59" s="80"/>
      <c r="B59" s="81"/>
      <c r="C59" s="112"/>
      <c r="D59" s="90"/>
      <c r="E59" s="140" t="s">
        <v>350</v>
      </c>
      <c r="F59" s="215" t="str">
        <f>'Vaccine coverage'!F149</f>
        <v>%</v>
      </c>
      <c r="G59" s="276" t="s">
        <v>131</v>
      </c>
      <c r="H59" s="187" t="str">
        <f>'Vaccine coverage'!H149</f>
        <v>-</v>
      </c>
      <c r="I59" s="149">
        <f>'Vaccine coverage'!I149</f>
        <v>0.3343437483</v>
      </c>
      <c r="J59" s="149">
        <f>'Vaccine coverage'!J149</f>
        <v>0.4227338176</v>
      </c>
      <c r="K59" s="149">
        <f>'Vaccine coverage'!K149</f>
        <v>0.3519235308</v>
      </c>
      <c r="L59" s="149">
        <f>'Vaccine coverage'!L149</f>
        <v>0.5343202257</v>
      </c>
      <c r="M59" s="149">
        <f>'Vaccine coverage'!M149</f>
        <v>0.3647018976</v>
      </c>
      <c r="N59" s="149">
        <f>'Vaccine coverage'!N149</f>
        <v>0.333203247</v>
      </c>
      <c r="O59" s="149">
        <f>'Vaccine coverage'!O149</f>
        <v>0.3798021137</v>
      </c>
      <c r="P59" s="149">
        <f>'Vaccine coverage'!P149</f>
        <v>0.112932559</v>
      </c>
      <c r="Q59" s="149">
        <f>'Vaccine coverage'!Q149</f>
        <v>0.2560958376</v>
      </c>
      <c r="R59" s="149">
        <f>'Vaccine coverage'!R149</f>
        <v>0.7924239994</v>
      </c>
      <c r="S59" s="149">
        <f>'Vaccine coverage'!S149</f>
        <v>0.6034024596</v>
      </c>
      <c r="T59" s="149">
        <f>'Vaccine coverage'!T149</f>
        <v>0.7837314125</v>
      </c>
      <c r="U59" s="149">
        <f>'Vaccine coverage'!U149</f>
        <v>0.806899662</v>
      </c>
      <c r="V59" s="149">
        <f>'Vaccine coverage'!V149</f>
        <v>0.6509992202</v>
      </c>
      <c r="W59" s="149">
        <f>'Vaccine coverage'!W149</f>
        <v>0.6635960477</v>
      </c>
      <c r="X59" s="149">
        <f>'Vaccine coverage'!X149</f>
        <v>0.5135087231</v>
      </c>
      <c r="Y59" s="149">
        <f>'Vaccine coverage'!Y149</f>
        <v>0.8635450183</v>
      </c>
      <c r="Z59" s="149">
        <f>'Vaccine coverage'!Z149</f>
        <v>0.7092341878</v>
      </c>
      <c r="AA59" s="149">
        <f>'Vaccine coverage'!AA149</f>
        <v>0.841314004</v>
      </c>
      <c r="AB59" s="149">
        <f>'Vaccine coverage'!AB149</f>
        <v>0.8571335158</v>
      </c>
      <c r="AC59" s="149">
        <f>'Vaccine coverage'!AC149</f>
        <v>0.8516124489</v>
      </c>
      <c r="AD59" s="149">
        <f>'Vaccine coverage'!AD149</f>
        <v>0.9114240837</v>
      </c>
      <c r="AE59" s="149">
        <f>'Vaccine coverage'!AE149</f>
        <v>0.8267944987</v>
      </c>
      <c r="AF59" s="149">
        <f>'Vaccine coverage'!AF149</f>
        <v>0.8652298901</v>
      </c>
      <c r="AG59" s="149">
        <f>'Vaccine coverage'!AG149</f>
        <v>0.6559249818</v>
      </c>
      <c r="AH59" s="149">
        <f>'Vaccine coverage'!AH149</f>
        <v>0.6080788493</v>
      </c>
      <c r="AI59" s="149">
        <f>'Vaccine coverage'!AI149</f>
        <v>0.8846556586</v>
      </c>
      <c r="AJ59" s="149">
        <f>'Vaccine coverage'!AJ149</f>
        <v>0.5712584473</v>
      </c>
      <c r="AK59" s="149">
        <f>'Vaccine coverage'!AK149</f>
        <v>0.404828162</v>
      </c>
      <c r="AL59" s="149">
        <f>'Vaccine coverage'!AL149</f>
        <v>0.6073017263</v>
      </c>
      <c r="AM59" s="149">
        <f>'Vaccine coverage'!AM149</f>
        <v>0.6988536335</v>
      </c>
      <c r="AN59" s="149">
        <f>'Vaccine coverage'!AN149</f>
        <v>0.7725756131</v>
      </c>
      <c r="AO59" s="149">
        <f>'Vaccine coverage'!AO149</f>
        <v>0.6441085445</v>
      </c>
      <c r="AP59" s="149">
        <f>'Vaccine coverage'!AP149</f>
        <v>0.65380487</v>
      </c>
      <c r="AQ59" s="149">
        <f>'Vaccine coverage'!AQ149</f>
        <v>0.8059927554</v>
      </c>
      <c r="AR59" s="149">
        <f>'Vaccine coverage'!AR149</f>
        <v>0.4558909192</v>
      </c>
      <c r="AS59" s="149">
        <f>'Vaccine coverage'!AS149</f>
        <v>0.4112602864</v>
      </c>
      <c r="AT59" s="163"/>
    </row>
    <row r="60">
      <c r="A60" s="80"/>
      <c r="B60" s="81"/>
      <c r="C60" s="112"/>
      <c r="D60" s="90"/>
      <c r="E60" s="140" t="s">
        <v>359</v>
      </c>
      <c r="F60" s="215" t="str">
        <f>'Vaccine coverage'!F150</f>
        <v>%</v>
      </c>
      <c r="G60" s="276" t="s">
        <v>131</v>
      </c>
      <c r="H60" s="187" t="str">
        <f>'Vaccine coverage'!H150</f>
        <v>-</v>
      </c>
      <c r="I60" s="149">
        <f>'Vaccine coverage'!I150</f>
        <v>0</v>
      </c>
      <c r="J60" s="149">
        <f>'Vaccine coverage'!J150</f>
        <v>0</v>
      </c>
      <c r="K60" s="149">
        <f>'Vaccine coverage'!K150</f>
        <v>0</v>
      </c>
      <c r="L60" s="149">
        <f>'Vaccine coverage'!L150</f>
        <v>0</v>
      </c>
      <c r="M60" s="149">
        <f>'Vaccine coverage'!M150</f>
        <v>0</v>
      </c>
      <c r="N60" s="149">
        <f>'Vaccine coverage'!N150</f>
        <v>0</v>
      </c>
      <c r="O60" s="149">
        <f>'Vaccine coverage'!O150</f>
        <v>0</v>
      </c>
      <c r="P60" s="149">
        <f>'Vaccine coverage'!P150</f>
        <v>0</v>
      </c>
      <c r="Q60" s="149">
        <f>'Vaccine coverage'!Q150</f>
        <v>0</v>
      </c>
      <c r="R60" s="149">
        <f>'Vaccine coverage'!R150</f>
        <v>0</v>
      </c>
      <c r="S60" s="149">
        <f>'Vaccine coverage'!S150</f>
        <v>0</v>
      </c>
      <c r="T60" s="149">
        <f>'Vaccine coverage'!T150</f>
        <v>0</v>
      </c>
      <c r="U60" s="149">
        <f>'Vaccine coverage'!U150</f>
        <v>0</v>
      </c>
      <c r="V60" s="149">
        <f>'Vaccine coverage'!V150</f>
        <v>0</v>
      </c>
      <c r="W60" s="149">
        <f>'Vaccine coverage'!W150</f>
        <v>0</v>
      </c>
      <c r="X60" s="149">
        <f>'Vaccine coverage'!X150</f>
        <v>0</v>
      </c>
      <c r="Y60" s="149">
        <f>'Vaccine coverage'!Y150</f>
        <v>0</v>
      </c>
      <c r="Z60" s="149">
        <f>'Vaccine coverage'!Z150</f>
        <v>0</v>
      </c>
      <c r="AA60" s="149">
        <f>'Vaccine coverage'!AA150</f>
        <v>0</v>
      </c>
      <c r="AB60" s="149">
        <f>'Vaccine coverage'!AB150</f>
        <v>0</v>
      </c>
      <c r="AC60" s="149">
        <f>'Vaccine coverage'!AC150</f>
        <v>0</v>
      </c>
      <c r="AD60" s="149">
        <f>'Vaccine coverage'!AD150</f>
        <v>0</v>
      </c>
      <c r="AE60" s="149">
        <f>'Vaccine coverage'!AE150</f>
        <v>0</v>
      </c>
      <c r="AF60" s="149">
        <f>'Vaccine coverage'!AF150</f>
        <v>0</v>
      </c>
      <c r="AG60" s="149">
        <f>'Vaccine coverage'!AG150</f>
        <v>0</v>
      </c>
      <c r="AH60" s="149">
        <f>'Vaccine coverage'!AH150</f>
        <v>0</v>
      </c>
      <c r="AI60" s="149">
        <f>'Vaccine coverage'!AI150</f>
        <v>0</v>
      </c>
      <c r="AJ60" s="149">
        <f>'Vaccine coverage'!AJ150</f>
        <v>0</v>
      </c>
      <c r="AK60" s="149">
        <f>'Vaccine coverage'!AK150</f>
        <v>0</v>
      </c>
      <c r="AL60" s="149">
        <f>'Vaccine coverage'!AL150</f>
        <v>0</v>
      </c>
      <c r="AM60" s="149">
        <f>'Vaccine coverage'!AM150</f>
        <v>0</v>
      </c>
      <c r="AN60" s="149">
        <f>'Vaccine coverage'!AN150</f>
        <v>0</v>
      </c>
      <c r="AO60" s="149">
        <f>'Vaccine coverage'!AO150</f>
        <v>0</v>
      </c>
      <c r="AP60" s="149">
        <f>'Vaccine coverage'!AP150</f>
        <v>0</v>
      </c>
      <c r="AQ60" s="149">
        <f>'Vaccine coverage'!AQ150</f>
        <v>0</v>
      </c>
      <c r="AR60" s="149">
        <f>'Vaccine coverage'!AR150</f>
        <v>0</v>
      </c>
      <c r="AS60" s="149">
        <f>'Vaccine coverage'!AS150</f>
        <v>0</v>
      </c>
      <c r="AT60" s="163"/>
    </row>
    <row r="61">
      <c r="A61" s="80"/>
      <c r="B61" s="81"/>
      <c r="C61" s="112"/>
      <c r="D61" s="90"/>
      <c r="E61" s="237" t="s">
        <v>363</v>
      </c>
      <c r="F61" s="195" t="str">
        <f>'Vaccine coverage'!F151</f>
        <v>%</v>
      </c>
      <c r="G61" s="291" t="s">
        <v>131</v>
      </c>
      <c r="H61" s="197" t="str">
        <f>'Vaccine coverage'!H151</f>
        <v>-</v>
      </c>
      <c r="I61" s="240">
        <f>'Vaccine coverage'!I151</f>
        <v>0.2654947142</v>
      </c>
      <c r="J61" s="240">
        <f>'Vaccine coverage'!J151</f>
        <v>0.3461682554</v>
      </c>
      <c r="K61" s="240">
        <f>'Vaccine coverage'!K151</f>
        <v>0.3320019543</v>
      </c>
      <c r="L61" s="240">
        <f>'Vaccine coverage'!L151</f>
        <v>0.4999402847</v>
      </c>
      <c r="M61" s="240">
        <f>'Vaccine coverage'!M151</f>
        <v>0.3235830783</v>
      </c>
      <c r="N61" s="240">
        <f>'Vaccine coverage'!N151</f>
        <v>0.3245641915</v>
      </c>
      <c r="O61" s="240">
        <f>'Vaccine coverage'!O151</f>
        <v>0.4442495184</v>
      </c>
      <c r="P61" s="240">
        <f>'Vaccine coverage'!P151</f>
        <v>0.1447542448</v>
      </c>
      <c r="Q61" s="240">
        <f>'Vaccine coverage'!Q151</f>
        <v>0.3115142752</v>
      </c>
      <c r="R61" s="240">
        <f>'Vaccine coverage'!R151</f>
        <v>0.7279204568</v>
      </c>
      <c r="S61" s="240">
        <f>'Vaccine coverage'!S151</f>
        <v>0.5515457526</v>
      </c>
      <c r="T61" s="240">
        <f>'Vaccine coverage'!T151</f>
        <v>0.6798128197</v>
      </c>
      <c r="U61" s="240">
        <f>'Vaccine coverage'!U151</f>
        <v>0.7119305656</v>
      </c>
      <c r="V61" s="240">
        <f>'Vaccine coverage'!V151</f>
        <v>0.5911160671</v>
      </c>
      <c r="W61" s="240">
        <f>'Vaccine coverage'!W151</f>
        <v>0.609152982</v>
      </c>
      <c r="X61" s="240">
        <f>'Vaccine coverage'!X151</f>
        <v>0.4850216877</v>
      </c>
      <c r="Y61" s="240">
        <f>'Vaccine coverage'!Y151</f>
        <v>0.7679947878</v>
      </c>
      <c r="Z61" s="240">
        <f>'Vaccine coverage'!Z151</f>
        <v>0.685820638</v>
      </c>
      <c r="AA61" s="240">
        <f>'Vaccine coverage'!AA151</f>
        <v>0.7508642841</v>
      </c>
      <c r="AB61" s="240">
        <f>'Vaccine coverage'!AB151</f>
        <v>0.8311603314</v>
      </c>
      <c r="AC61" s="240">
        <f>'Vaccine coverage'!AC151</f>
        <v>0.8746766348</v>
      </c>
      <c r="AD61" s="240">
        <f>'Vaccine coverage'!AD151</f>
        <v>0.8055941269</v>
      </c>
      <c r="AE61" s="240">
        <f>'Vaccine coverage'!AE151</f>
        <v>0.8305937266</v>
      </c>
      <c r="AF61" s="240">
        <f>'Vaccine coverage'!AF151</f>
        <v>0.7509786928</v>
      </c>
      <c r="AG61" s="240">
        <f>'Vaccine coverage'!AG151</f>
        <v>0.687831993</v>
      </c>
      <c r="AH61" s="240">
        <f>'Vaccine coverage'!AH151</f>
        <v>0.6568043851</v>
      </c>
      <c r="AI61" s="240">
        <f>'Vaccine coverage'!AI151</f>
        <v>0.8732278466</v>
      </c>
      <c r="AJ61" s="240">
        <f>'Vaccine coverage'!AJ151</f>
        <v>0.5325270515</v>
      </c>
      <c r="AK61" s="240">
        <f>'Vaccine coverage'!AK151</f>
        <v>0.4297689847</v>
      </c>
      <c r="AL61" s="240">
        <f>'Vaccine coverage'!AL151</f>
        <v>0.5746423492</v>
      </c>
      <c r="AM61" s="240">
        <f>'Vaccine coverage'!AM151</f>
        <v>0.6923863122</v>
      </c>
      <c r="AN61" s="240">
        <f>'Vaccine coverage'!AN151</f>
        <v>0.7384112572</v>
      </c>
      <c r="AO61" s="240">
        <f>'Vaccine coverage'!AO151</f>
        <v>0.5721014039</v>
      </c>
      <c r="AP61" s="240">
        <f>'Vaccine coverage'!AP151</f>
        <v>0.679322936</v>
      </c>
      <c r="AQ61" s="240">
        <f>'Vaccine coverage'!AQ151</f>
        <v>0.7779876286</v>
      </c>
      <c r="AR61" s="240">
        <f>'Vaccine coverage'!AR151</f>
        <v>0.4738128593</v>
      </c>
      <c r="AS61" s="240">
        <f>'Vaccine coverage'!AS151</f>
        <v>0.430659244</v>
      </c>
      <c r="AT61" s="248"/>
    </row>
    <row r="62">
      <c r="A62" s="80"/>
      <c r="B62" s="81"/>
      <c r="C62" s="112"/>
      <c r="D62" s="90"/>
      <c r="E62" s="243"/>
      <c r="F62" s="108"/>
      <c r="G62" s="109"/>
      <c r="H62" s="110"/>
      <c r="I62" s="111"/>
      <c r="J62" s="111"/>
      <c r="K62" s="111"/>
      <c r="L62" s="111"/>
      <c r="M62" s="111"/>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88"/>
    </row>
    <row r="63">
      <c r="A63" s="80"/>
      <c r="B63" s="81"/>
      <c r="C63" s="112" t="s">
        <v>368</v>
      </c>
      <c r="F63" s="108"/>
      <c r="G63" s="109"/>
      <c r="H63" s="110"/>
      <c r="I63" s="111"/>
      <c r="J63" s="111"/>
      <c r="K63" s="111"/>
      <c r="L63" s="111"/>
      <c r="M63" s="111"/>
      <c r="N63" s="111"/>
      <c r="O63" s="111"/>
      <c r="P63" s="111"/>
      <c r="Q63" s="111"/>
      <c r="R63" s="111"/>
      <c r="S63" s="111"/>
      <c r="T63" s="111"/>
      <c r="U63" s="111"/>
      <c r="V63" s="111"/>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88"/>
    </row>
    <row r="64">
      <c r="A64" s="80"/>
      <c r="B64" s="81"/>
      <c r="C64" s="112"/>
      <c r="D64" s="90"/>
      <c r="E64" s="224" t="s">
        <v>222</v>
      </c>
      <c r="F64" s="93" t="s">
        <v>122</v>
      </c>
      <c r="G64" s="321" t="s">
        <v>149</v>
      </c>
      <c r="H64" s="129" t="s">
        <v>150</v>
      </c>
      <c r="I64" s="308">
        <f t="shared" ref="I64:AS64" si="3">SUMPRODUCT($H37:$H42,I45:I50,I56:I61)/I53</f>
        <v>0.275484179</v>
      </c>
      <c r="J64" s="308">
        <f t="shared" si="3"/>
        <v>0.3475239619</v>
      </c>
      <c r="K64" s="308">
        <f t="shared" si="3"/>
        <v>0.306005162</v>
      </c>
      <c r="L64" s="308">
        <f t="shared" si="3"/>
        <v>0.4480187004</v>
      </c>
      <c r="M64" s="308">
        <f t="shared" si="3"/>
        <v>0.294229745</v>
      </c>
      <c r="N64" s="308">
        <f t="shared" si="3"/>
        <v>0.2806274964</v>
      </c>
      <c r="O64" s="308">
        <f t="shared" si="3"/>
        <v>0.3109917264</v>
      </c>
      <c r="P64" s="308">
        <f t="shared" si="3"/>
        <v>0.1203823143</v>
      </c>
      <c r="Q64" s="308">
        <f t="shared" si="3"/>
        <v>0.2167746494</v>
      </c>
      <c r="R64" s="308">
        <f t="shared" si="3"/>
        <v>0.6273736841</v>
      </c>
      <c r="S64" s="308">
        <f t="shared" si="3"/>
        <v>0.4945033571</v>
      </c>
      <c r="T64" s="308">
        <f t="shared" si="3"/>
        <v>0.6708555788</v>
      </c>
      <c r="U64" s="308">
        <f t="shared" si="3"/>
        <v>0.7278061207</v>
      </c>
      <c r="V64" s="308">
        <f t="shared" si="3"/>
        <v>0.505350322</v>
      </c>
      <c r="W64" s="308">
        <f t="shared" si="3"/>
        <v>0.508699365</v>
      </c>
      <c r="X64" s="308">
        <f t="shared" si="3"/>
        <v>0.4269016185</v>
      </c>
      <c r="Y64" s="308">
        <f t="shared" si="3"/>
        <v>0.7385375166</v>
      </c>
      <c r="Z64" s="308">
        <f t="shared" si="3"/>
        <v>0.6190752843</v>
      </c>
      <c r="AA64" s="308">
        <f t="shared" si="3"/>
        <v>0.7086472797</v>
      </c>
      <c r="AB64" s="308">
        <f t="shared" si="3"/>
        <v>0.773427137</v>
      </c>
      <c r="AC64" s="308">
        <f t="shared" si="3"/>
        <v>0.7513327207</v>
      </c>
      <c r="AD64" s="308">
        <f t="shared" si="3"/>
        <v>0.792900046</v>
      </c>
      <c r="AE64" s="308">
        <f t="shared" si="3"/>
        <v>0.7247821813</v>
      </c>
      <c r="AF64" s="308">
        <f t="shared" si="3"/>
        <v>0.7635587998</v>
      </c>
      <c r="AG64" s="308">
        <f t="shared" si="3"/>
        <v>0.5955959008</v>
      </c>
      <c r="AH64" s="308">
        <f t="shared" si="3"/>
        <v>0.542384063</v>
      </c>
      <c r="AI64" s="308">
        <f t="shared" si="3"/>
        <v>0.7666002161</v>
      </c>
      <c r="AJ64" s="308">
        <f t="shared" si="3"/>
        <v>0.4906778063</v>
      </c>
      <c r="AK64" s="308">
        <f t="shared" si="3"/>
        <v>0.3333739535</v>
      </c>
      <c r="AL64" s="308">
        <f t="shared" si="3"/>
        <v>0.5258489091</v>
      </c>
      <c r="AM64" s="308">
        <f t="shared" si="3"/>
        <v>0.6135594322</v>
      </c>
      <c r="AN64" s="308">
        <f t="shared" si="3"/>
        <v>0.6777727229</v>
      </c>
      <c r="AO64" s="308">
        <f t="shared" si="3"/>
        <v>0.5717195691</v>
      </c>
      <c r="AP64" s="308">
        <f t="shared" si="3"/>
        <v>0.5666293295</v>
      </c>
      <c r="AQ64" s="308">
        <f t="shared" si="3"/>
        <v>0.699116231</v>
      </c>
      <c r="AR64" s="308">
        <f t="shared" si="3"/>
        <v>0.3589005072</v>
      </c>
      <c r="AS64" s="308">
        <f t="shared" si="3"/>
        <v>0.339247523</v>
      </c>
      <c r="AT64" s="265"/>
    </row>
    <row r="65">
      <c r="A65" s="80"/>
      <c r="B65" s="81"/>
      <c r="C65" s="112"/>
      <c r="D65" s="90"/>
      <c r="E65" s="243"/>
      <c r="F65" s="108"/>
      <c r="G65" s="109"/>
      <c r="H65" s="110"/>
      <c r="I65" s="111"/>
      <c r="J65" s="111"/>
      <c r="K65" s="111"/>
      <c r="L65" s="111"/>
      <c r="M65" s="111"/>
      <c r="N65" s="111"/>
      <c r="O65" s="111"/>
      <c r="P65" s="111"/>
      <c r="Q65" s="111"/>
      <c r="R65" s="111"/>
      <c r="S65" s="111"/>
      <c r="T65" s="111"/>
      <c r="U65" s="111"/>
      <c r="V65" s="111"/>
      <c r="W65" s="111"/>
      <c r="X65" s="111"/>
      <c r="Y65" s="111"/>
      <c r="Z65" s="111"/>
      <c r="AA65" s="111"/>
      <c r="AB65" s="111"/>
      <c r="AC65" s="111"/>
      <c r="AD65" s="111"/>
      <c r="AE65" s="111"/>
      <c r="AF65" s="111"/>
      <c r="AG65" s="111"/>
      <c r="AH65" s="111"/>
      <c r="AI65" s="111"/>
      <c r="AJ65" s="111"/>
      <c r="AK65" s="111"/>
      <c r="AL65" s="111"/>
      <c r="AM65" s="111"/>
      <c r="AN65" s="111"/>
      <c r="AO65" s="111"/>
      <c r="AP65" s="111"/>
      <c r="AQ65" s="111"/>
      <c r="AR65" s="111"/>
      <c r="AS65" s="111"/>
      <c r="AT65" s="88"/>
    </row>
    <row r="66">
      <c r="A66" s="72" t="s">
        <v>373</v>
      </c>
      <c r="B66" s="14"/>
      <c r="C66" s="14"/>
      <c r="D66" s="14"/>
      <c r="E66" s="14"/>
      <c r="F66" s="14"/>
      <c r="G66" s="14"/>
      <c r="H66" s="73"/>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7"/>
      <c r="AK66" s="97"/>
      <c r="AL66" s="97"/>
      <c r="AM66" s="97"/>
      <c r="AN66" s="97"/>
      <c r="AO66" s="97"/>
      <c r="AP66" s="97"/>
      <c r="AQ66" s="97"/>
      <c r="AR66" s="97"/>
      <c r="AS66" s="97"/>
      <c r="AT66" s="79"/>
    </row>
    <row r="67">
      <c r="A67" s="80"/>
      <c r="B67" s="81"/>
      <c r="C67" s="102"/>
      <c r="D67" s="81"/>
      <c r="E67" s="82"/>
      <c r="F67" s="83"/>
      <c r="G67" s="84"/>
      <c r="H67" s="85"/>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8"/>
    </row>
    <row r="68">
      <c r="A68" s="81"/>
      <c r="B68" s="81"/>
      <c r="C68" s="90" t="s">
        <v>376</v>
      </c>
      <c r="F68" s="83"/>
      <c r="G68" s="135"/>
      <c r="H68" s="85"/>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8"/>
    </row>
    <row r="69">
      <c r="A69" s="81"/>
      <c r="B69" s="81"/>
      <c r="C69" s="112"/>
      <c r="D69" s="90"/>
      <c r="E69" s="113" t="s">
        <v>378</v>
      </c>
      <c r="F69" s="189" t="str">
        <f>'Disease burden'!F241</f>
        <v>%</v>
      </c>
      <c r="G69" s="271" t="s">
        <v>131</v>
      </c>
      <c r="H69" s="156">
        <f>'Disease burden'!H241</f>
        <v>0.65040642</v>
      </c>
      <c r="I69" s="289" t="str">
        <f>'Disease burden'!I241</f>
        <v>-</v>
      </c>
      <c r="J69" s="289" t="str">
        <f>'Disease burden'!J241</f>
        <v>-</v>
      </c>
      <c r="K69" s="289" t="str">
        <f>'Disease burden'!K241</f>
        <v>-</v>
      </c>
      <c r="L69" s="289" t="str">
        <f>'Disease burden'!L241</f>
        <v>-</v>
      </c>
      <c r="M69" s="289" t="str">
        <f>'Disease burden'!M241</f>
        <v>-</v>
      </c>
      <c r="N69" s="289" t="str">
        <f>'Disease burden'!N241</f>
        <v>-</v>
      </c>
      <c r="O69" s="289" t="str">
        <f>'Disease burden'!O241</f>
        <v>-</v>
      </c>
      <c r="P69" s="289" t="str">
        <f>'Disease burden'!P241</f>
        <v>-</v>
      </c>
      <c r="Q69" s="289" t="str">
        <f>'Disease burden'!Q241</f>
        <v>-</v>
      </c>
      <c r="R69" s="289" t="str">
        <f>'Disease burden'!R241</f>
        <v>-</v>
      </c>
      <c r="S69" s="289" t="str">
        <f>'Disease burden'!S241</f>
        <v>-</v>
      </c>
      <c r="T69" s="289" t="str">
        <f>'Disease burden'!T241</f>
        <v>-</v>
      </c>
      <c r="U69" s="289" t="str">
        <f>'Disease burden'!U241</f>
        <v>-</v>
      </c>
      <c r="V69" s="289" t="str">
        <f>'Disease burden'!V241</f>
        <v>-</v>
      </c>
      <c r="W69" s="289" t="str">
        <f>'Disease burden'!W241</f>
        <v>-</v>
      </c>
      <c r="X69" s="289" t="str">
        <f>'Disease burden'!X241</f>
        <v>-</v>
      </c>
      <c r="Y69" s="289" t="str">
        <f>'Disease burden'!Y241</f>
        <v>-</v>
      </c>
      <c r="Z69" s="289" t="str">
        <f>'Disease burden'!Z241</f>
        <v>-</v>
      </c>
      <c r="AA69" s="289" t="str">
        <f>'Disease burden'!AA241</f>
        <v>-</v>
      </c>
      <c r="AB69" s="289" t="str">
        <f>'Disease burden'!AB241</f>
        <v>-</v>
      </c>
      <c r="AC69" s="289" t="str">
        <f>'Disease burden'!AC241</f>
        <v>-</v>
      </c>
      <c r="AD69" s="289" t="str">
        <f>'Disease burden'!AD241</f>
        <v>-</v>
      </c>
      <c r="AE69" s="289" t="str">
        <f>'Disease burden'!AE241</f>
        <v>-</v>
      </c>
      <c r="AF69" s="289" t="str">
        <f>'Disease burden'!AF241</f>
        <v>-</v>
      </c>
      <c r="AG69" s="289" t="str">
        <f>'Disease burden'!AG241</f>
        <v>-</v>
      </c>
      <c r="AH69" s="289" t="str">
        <f>'Disease burden'!AH241</f>
        <v>-</v>
      </c>
      <c r="AI69" s="289" t="str">
        <f>'Disease burden'!AI241</f>
        <v>-</v>
      </c>
      <c r="AJ69" s="289" t="str">
        <f>'Disease burden'!AJ241</f>
        <v>-</v>
      </c>
      <c r="AK69" s="289" t="str">
        <f>'Disease burden'!AK241</f>
        <v>-</v>
      </c>
      <c r="AL69" s="289" t="str">
        <f>'Disease burden'!AL241</f>
        <v>-</v>
      </c>
      <c r="AM69" s="289" t="str">
        <f>'Disease burden'!AM241</f>
        <v>-</v>
      </c>
      <c r="AN69" s="289" t="str">
        <f>'Disease burden'!AN241</f>
        <v>-</v>
      </c>
      <c r="AO69" s="289" t="str">
        <f>'Disease burden'!AO241</f>
        <v>-</v>
      </c>
      <c r="AP69" s="289" t="str">
        <f>'Disease burden'!AP241</f>
        <v>-</v>
      </c>
      <c r="AQ69" s="289" t="str">
        <f>'Disease burden'!AQ241</f>
        <v>-</v>
      </c>
      <c r="AR69" s="289" t="str">
        <f>'Disease burden'!AR241</f>
        <v>-</v>
      </c>
      <c r="AS69" s="289" t="str">
        <f>'Disease burden'!AS241</f>
        <v>-</v>
      </c>
      <c r="AT69" s="136"/>
    </row>
    <row r="70">
      <c r="A70" s="81"/>
      <c r="B70" s="81"/>
      <c r="C70" s="112"/>
      <c r="D70" s="90"/>
      <c r="E70" s="140" t="s">
        <v>382</v>
      </c>
      <c r="F70" s="215" t="str">
        <f>'Disease burden'!F242</f>
        <v>%</v>
      </c>
      <c r="G70" s="276" t="s">
        <v>131</v>
      </c>
      <c r="H70" s="217">
        <f>'Disease burden'!H242</f>
        <v>0.6427545798</v>
      </c>
      <c r="I70" s="232" t="str">
        <f>'Disease burden'!I242</f>
        <v>-</v>
      </c>
      <c r="J70" s="232" t="str">
        <f>'Disease burden'!J242</f>
        <v>-</v>
      </c>
      <c r="K70" s="232" t="str">
        <f>'Disease burden'!K242</f>
        <v>-</v>
      </c>
      <c r="L70" s="232" t="str">
        <f>'Disease burden'!L242</f>
        <v>-</v>
      </c>
      <c r="M70" s="232" t="str">
        <f>'Disease burden'!M242</f>
        <v>-</v>
      </c>
      <c r="N70" s="232" t="str">
        <f>'Disease burden'!N242</f>
        <v>-</v>
      </c>
      <c r="O70" s="232" t="str">
        <f>'Disease burden'!O242</f>
        <v>-</v>
      </c>
      <c r="P70" s="232" t="str">
        <f>'Disease burden'!P242</f>
        <v>-</v>
      </c>
      <c r="Q70" s="232" t="str">
        <f>'Disease burden'!Q242</f>
        <v>-</v>
      </c>
      <c r="R70" s="232" t="str">
        <f>'Disease burden'!R242</f>
        <v>-</v>
      </c>
      <c r="S70" s="232" t="str">
        <f>'Disease burden'!S242</f>
        <v>-</v>
      </c>
      <c r="T70" s="232" t="str">
        <f>'Disease burden'!T242</f>
        <v>-</v>
      </c>
      <c r="U70" s="232" t="str">
        <f>'Disease burden'!U242</f>
        <v>-</v>
      </c>
      <c r="V70" s="232" t="str">
        <f>'Disease burden'!V242</f>
        <v>-</v>
      </c>
      <c r="W70" s="232" t="str">
        <f>'Disease burden'!W242</f>
        <v>-</v>
      </c>
      <c r="X70" s="232" t="str">
        <f>'Disease burden'!X242</f>
        <v>-</v>
      </c>
      <c r="Y70" s="232" t="str">
        <f>'Disease burden'!Y242</f>
        <v>-</v>
      </c>
      <c r="Z70" s="232" t="str">
        <f>'Disease burden'!Z242</f>
        <v>-</v>
      </c>
      <c r="AA70" s="232" t="str">
        <f>'Disease burden'!AA242</f>
        <v>-</v>
      </c>
      <c r="AB70" s="232" t="str">
        <f>'Disease burden'!AB242</f>
        <v>-</v>
      </c>
      <c r="AC70" s="232" t="str">
        <f>'Disease burden'!AC242</f>
        <v>-</v>
      </c>
      <c r="AD70" s="232" t="str">
        <f>'Disease burden'!AD242</f>
        <v>-</v>
      </c>
      <c r="AE70" s="232" t="str">
        <f>'Disease burden'!AE242</f>
        <v>-</v>
      </c>
      <c r="AF70" s="232" t="str">
        <f>'Disease burden'!AF242</f>
        <v>-</v>
      </c>
      <c r="AG70" s="232" t="str">
        <f>'Disease burden'!AG242</f>
        <v>-</v>
      </c>
      <c r="AH70" s="232" t="str">
        <f>'Disease burden'!AH242</f>
        <v>-</v>
      </c>
      <c r="AI70" s="232" t="str">
        <f>'Disease burden'!AI242</f>
        <v>-</v>
      </c>
      <c r="AJ70" s="232" t="str">
        <f>'Disease burden'!AJ242</f>
        <v>-</v>
      </c>
      <c r="AK70" s="232" t="str">
        <f>'Disease burden'!AK242</f>
        <v>-</v>
      </c>
      <c r="AL70" s="232" t="str">
        <f>'Disease burden'!AL242</f>
        <v>-</v>
      </c>
      <c r="AM70" s="232" t="str">
        <f>'Disease burden'!AM242</f>
        <v>-</v>
      </c>
      <c r="AN70" s="232" t="str">
        <f>'Disease burden'!AN242</f>
        <v>-</v>
      </c>
      <c r="AO70" s="232" t="str">
        <f>'Disease burden'!AO242</f>
        <v>-</v>
      </c>
      <c r="AP70" s="232" t="str">
        <f>'Disease burden'!AP242</f>
        <v>-</v>
      </c>
      <c r="AQ70" s="232" t="str">
        <f>'Disease burden'!AQ242</f>
        <v>-</v>
      </c>
      <c r="AR70" s="232" t="str">
        <f>'Disease burden'!AR242</f>
        <v>-</v>
      </c>
      <c r="AS70" s="232" t="str">
        <f>'Disease burden'!AS242</f>
        <v>-</v>
      </c>
      <c r="AT70" s="163" t="str">
        <f>'Vaccine efficacy'!AT90</f>
        <v/>
      </c>
    </row>
    <row r="71">
      <c r="A71" s="81"/>
      <c r="B71" s="81"/>
      <c r="C71" s="112"/>
      <c r="D71" s="90"/>
      <c r="E71" s="140" t="s">
        <v>387</v>
      </c>
      <c r="F71" s="215" t="str">
        <f>'Disease burden'!F243</f>
        <v>%</v>
      </c>
      <c r="G71" s="276" t="s">
        <v>131</v>
      </c>
      <c r="H71" s="217">
        <f>'Disease burden'!H243</f>
        <v>0.6274508993</v>
      </c>
      <c r="I71" s="232" t="str">
        <f>'Disease burden'!I243</f>
        <v>-</v>
      </c>
      <c r="J71" s="232" t="str">
        <f>'Disease burden'!J243</f>
        <v>-</v>
      </c>
      <c r="K71" s="232" t="str">
        <f>'Disease burden'!K243</f>
        <v>-</v>
      </c>
      <c r="L71" s="232" t="str">
        <f>'Disease burden'!L243</f>
        <v>-</v>
      </c>
      <c r="M71" s="232" t="str">
        <f>'Disease burden'!M243</f>
        <v>-</v>
      </c>
      <c r="N71" s="232" t="str">
        <f>'Disease burden'!N243</f>
        <v>-</v>
      </c>
      <c r="O71" s="232" t="str">
        <f>'Disease burden'!O243</f>
        <v>-</v>
      </c>
      <c r="P71" s="232" t="str">
        <f>'Disease burden'!P243</f>
        <v>-</v>
      </c>
      <c r="Q71" s="232" t="str">
        <f>'Disease burden'!Q243</f>
        <v>-</v>
      </c>
      <c r="R71" s="232" t="str">
        <f>'Disease burden'!R243</f>
        <v>-</v>
      </c>
      <c r="S71" s="232" t="str">
        <f>'Disease burden'!S243</f>
        <v>-</v>
      </c>
      <c r="T71" s="232" t="str">
        <f>'Disease burden'!T243</f>
        <v>-</v>
      </c>
      <c r="U71" s="232" t="str">
        <f>'Disease burden'!U243</f>
        <v>-</v>
      </c>
      <c r="V71" s="232" t="str">
        <f>'Disease burden'!V243</f>
        <v>-</v>
      </c>
      <c r="W71" s="232" t="str">
        <f>'Disease burden'!W243</f>
        <v>-</v>
      </c>
      <c r="X71" s="232" t="str">
        <f>'Disease burden'!X243</f>
        <v>-</v>
      </c>
      <c r="Y71" s="232" t="str">
        <f>'Disease burden'!Y243</f>
        <v>-</v>
      </c>
      <c r="Z71" s="232" t="str">
        <f>'Disease burden'!Z243</f>
        <v>-</v>
      </c>
      <c r="AA71" s="232" t="str">
        <f>'Disease burden'!AA243</f>
        <v>-</v>
      </c>
      <c r="AB71" s="232" t="str">
        <f>'Disease burden'!AB243</f>
        <v>-</v>
      </c>
      <c r="AC71" s="232" t="str">
        <f>'Disease burden'!AC243</f>
        <v>-</v>
      </c>
      <c r="AD71" s="232" t="str">
        <f>'Disease burden'!AD243</f>
        <v>-</v>
      </c>
      <c r="AE71" s="232" t="str">
        <f>'Disease burden'!AE243</f>
        <v>-</v>
      </c>
      <c r="AF71" s="232" t="str">
        <f>'Disease burden'!AF243</f>
        <v>-</v>
      </c>
      <c r="AG71" s="232" t="str">
        <f>'Disease burden'!AG243</f>
        <v>-</v>
      </c>
      <c r="AH71" s="232" t="str">
        <f>'Disease burden'!AH243</f>
        <v>-</v>
      </c>
      <c r="AI71" s="232" t="str">
        <f>'Disease burden'!AI243</f>
        <v>-</v>
      </c>
      <c r="AJ71" s="232" t="str">
        <f>'Disease burden'!AJ243</f>
        <v>-</v>
      </c>
      <c r="AK71" s="232" t="str">
        <f>'Disease burden'!AK243</f>
        <v>-</v>
      </c>
      <c r="AL71" s="232" t="str">
        <f>'Disease burden'!AL243</f>
        <v>-</v>
      </c>
      <c r="AM71" s="232" t="str">
        <f>'Disease burden'!AM243</f>
        <v>-</v>
      </c>
      <c r="AN71" s="232" t="str">
        <f>'Disease burden'!AN243</f>
        <v>-</v>
      </c>
      <c r="AO71" s="232" t="str">
        <f>'Disease burden'!AO243</f>
        <v>-</v>
      </c>
      <c r="AP71" s="232" t="str">
        <f>'Disease burden'!AP243</f>
        <v>-</v>
      </c>
      <c r="AQ71" s="232" t="str">
        <f>'Disease burden'!AQ243</f>
        <v>-</v>
      </c>
      <c r="AR71" s="232" t="str">
        <f>'Disease burden'!AR243</f>
        <v>-</v>
      </c>
      <c r="AS71" s="232" t="str">
        <f>'Disease burden'!AS243</f>
        <v>-</v>
      </c>
      <c r="AT71" s="163" t="str">
        <f>'Vaccine efficacy'!AT91</f>
        <v/>
      </c>
    </row>
    <row r="72">
      <c r="A72" s="81"/>
      <c r="B72" s="81"/>
      <c r="C72" s="112"/>
      <c r="D72" s="90"/>
      <c r="E72" s="140" t="s">
        <v>392</v>
      </c>
      <c r="F72" s="215" t="str">
        <f>'Disease burden'!F244</f>
        <v>%</v>
      </c>
      <c r="G72" s="276" t="s">
        <v>131</v>
      </c>
      <c r="H72" s="217">
        <f>'Disease burden'!H244</f>
        <v>0.4438067336</v>
      </c>
      <c r="I72" s="232" t="str">
        <f>'Disease burden'!I244</f>
        <v>-</v>
      </c>
      <c r="J72" s="232" t="str">
        <f>'Disease burden'!J244</f>
        <v>-</v>
      </c>
      <c r="K72" s="232" t="str">
        <f>'Disease burden'!K244</f>
        <v>-</v>
      </c>
      <c r="L72" s="232" t="str">
        <f>'Disease burden'!L244</f>
        <v>-</v>
      </c>
      <c r="M72" s="232" t="str">
        <f>'Disease burden'!M244</f>
        <v>-</v>
      </c>
      <c r="N72" s="232" t="str">
        <f>'Disease burden'!N244</f>
        <v>-</v>
      </c>
      <c r="O72" s="232" t="str">
        <f>'Disease burden'!O244</f>
        <v>-</v>
      </c>
      <c r="P72" s="232" t="str">
        <f>'Disease burden'!P244</f>
        <v>-</v>
      </c>
      <c r="Q72" s="232" t="str">
        <f>'Disease burden'!Q244</f>
        <v>-</v>
      </c>
      <c r="R72" s="232" t="str">
        <f>'Disease burden'!R244</f>
        <v>-</v>
      </c>
      <c r="S72" s="232" t="str">
        <f>'Disease burden'!S244</f>
        <v>-</v>
      </c>
      <c r="T72" s="232" t="str">
        <f>'Disease burden'!T244</f>
        <v>-</v>
      </c>
      <c r="U72" s="232" t="str">
        <f>'Disease burden'!U244</f>
        <v>-</v>
      </c>
      <c r="V72" s="232" t="str">
        <f>'Disease burden'!V244</f>
        <v>-</v>
      </c>
      <c r="W72" s="232" t="str">
        <f>'Disease burden'!W244</f>
        <v>-</v>
      </c>
      <c r="X72" s="232" t="str">
        <f>'Disease burden'!X244</f>
        <v>-</v>
      </c>
      <c r="Y72" s="232" t="str">
        <f>'Disease burden'!Y244</f>
        <v>-</v>
      </c>
      <c r="Z72" s="232" t="str">
        <f>'Disease burden'!Z244</f>
        <v>-</v>
      </c>
      <c r="AA72" s="232" t="str">
        <f>'Disease burden'!AA244</f>
        <v>-</v>
      </c>
      <c r="AB72" s="232" t="str">
        <f>'Disease burden'!AB244</f>
        <v>-</v>
      </c>
      <c r="AC72" s="232" t="str">
        <f>'Disease burden'!AC244</f>
        <v>-</v>
      </c>
      <c r="AD72" s="232" t="str">
        <f>'Disease burden'!AD244</f>
        <v>-</v>
      </c>
      <c r="AE72" s="232" t="str">
        <f>'Disease burden'!AE244</f>
        <v>-</v>
      </c>
      <c r="AF72" s="232" t="str">
        <f>'Disease burden'!AF244</f>
        <v>-</v>
      </c>
      <c r="AG72" s="232" t="str">
        <f>'Disease burden'!AG244</f>
        <v>-</v>
      </c>
      <c r="AH72" s="232" t="str">
        <f>'Disease burden'!AH244</f>
        <v>-</v>
      </c>
      <c r="AI72" s="232" t="str">
        <f>'Disease burden'!AI244</f>
        <v>-</v>
      </c>
      <c r="AJ72" s="232" t="str">
        <f>'Disease burden'!AJ244</f>
        <v>-</v>
      </c>
      <c r="AK72" s="232" t="str">
        <f>'Disease burden'!AK244</f>
        <v>-</v>
      </c>
      <c r="AL72" s="232" t="str">
        <f>'Disease burden'!AL244</f>
        <v>-</v>
      </c>
      <c r="AM72" s="232" t="str">
        <f>'Disease burden'!AM244</f>
        <v>-</v>
      </c>
      <c r="AN72" s="232" t="str">
        <f>'Disease burden'!AN244</f>
        <v>-</v>
      </c>
      <c r="AO72" s="232" t="str">
        <f>'Disease burden'!AO244</f>
        <v>-</v>
      </c>
      <c r="AP72" s="232" t="str">
        <f>'Disease burden'!AP244</f>
        <v>-</v>
      </c>
      <c r="AQ72" s="232" t="str">
        <f>'Disease burden'!AQ244</f>
        <v>-</v>
      </c>
      <c r="AR72" s="232" t="str">
        <f>'Disease burden'!AR244</f>
        <v>-</v>
      </c>
      <c r="AS72" s="232" t="str">
        <f>'Disease burden'!AS244</f>
        <v>-</v>
      </c>
      <c r="AT72" s="163" t="str">
        <f>'Vaccine efficacy'!AT92</f>
        <v/>
      </c>
    </row>
    <row r="73">
      <c r="A73" s="81"/>
      <c r="B73" s="81"/>
      <c r="C73" s="112"/>
      <c r="D73" s="90"/>
      <c r="E73" s="140" t="s">
        <v>397</v>
      </c>
      <c r="F73" s="215" t="str">
        <f>'Disease burden'!F245</f>
        <v>%</v>
      </c>
      <c r="G73" s="276" t="s">
        <v>131</v>
      </c>
      <c r="H73" s="217">
        <f>'Disease burden'!H245</f>
        <v>0.3519846508</v>
      </c>
      <c r="I73" s="232" t="str">
        <f>'Disease burden'!I245</f>
        <v>-</v>
      </c>
      <c r="J73" s="232" t="str">
        <f>'Disease burden'!J245</f>
        <v>-</v>
      </c>
      <c r="K73" s="232" t="str">
        <f>'Disease burden'!K245</f>
        <v>-</v>
      </c>
      <c r="L73" s="232" t="str">
        <f>'Disease burden'!L245</f>
        <v>-</v>
      </c>
      <c r="M73" s="232" t="str">
        <f>'Disease burden'!M245</f>
        <v>-</v>
      </c>
      <c r="N73" s="232" t="str">
        <f>'Disease burden'!N245</f>
        <v>-</v>
      </c>
      <c r="O73" s="232" t="str">
        <f>'Disease burden'!O245</f>
        <v>-</v>
      </c>
      <c r="P73" s="232" t="str">
        <f>'Disease burden'!P245</f>
        <v>-</v>
      </c>
      <c r="Q73" s="232" t="str">
        <f>'Disease burden'!Q245</f>
        <v>-</v>
      </c>
      <c r="R73" s="232" t="str">
        <f>'Disease burden'!R245</f>
        <v>-</v>
      </c>
      <c r="S73" s="232" t="str">
        <f>'Disease burden'!S245</f>
        <v>-</v>
      </c>
      <c r="T73" s="232" t="str">
        <f>'Disease burden'!T245</f>
        <v>-</v>
      </c>
      <c r="U73" s="232" t="str">
        <f>'Disease burden'!U245</f>
        <v>-</v>
      </c>
      <c r="V73" s="232" t="str">
        <f>'Disease burden'!V245</f>
        <v>-</v>
      </c>
      <c r="W73" s="232" t="str">
        <f>'Disease burden'!W245</f>
        <v>-</v>
      </c>
      <c r="X73" s="232" t="str">
        <f>'Disease burden'!X245</f>
        <v>-</v>
      </c>
      <c r="Y73" s="232" t="str">
        <f>'Disease burden'!Y245</f>
        <v>-</v>
      </c>
      <c r="Z73" s="232" t="str">
        <f>'Disease burden'!Z245</f>
        <v>-</v>
      </c>
      <c r="AA73" s="232" t="str">
        <f>'Disease burden'!AA245</f>
        <v>-</v>
      </c>
      <c r="AB73" s="232" t="str">
        <f>'Disease burden'!AB245</f>
        <v>-</v>
      </c>
      <c r="AC73" s="232" t="str">
        <f>'Disease burden'!AC245</f>
        <v>-</v>
      </c>
      <c r="AD73" s="232" t="str">
        <f>'Disease burden'!AD245</f>
        <v>-</v>
      </c>
      <c r="AE73" s="232" t="str">
        <f>'Disease burden'!AE245</f>
        <v>-</v>
      </c>
      <c r="AF73" s="232" t="str">
        <f>'Disease burden'!AF245</f>
        <v>-</v>
      </c>
      <c r="AG73" s="232" t="str">
        <f>'Disease burden'!AG245</f>
        <v>-</v>
      </c>
      <c r="AH73" s="232" t="str">
        <f>'Disease burden'!AH245</f>
        <v>-</v>
      </c>
      <c r="AI73" s="232" t="str">
        <f>'Disease burden'!AI245</f>
        <v>-</v>
      </c>
      <c r="AJ73" s="232" t="str">
        <f>'Disease burden'!AJ245</f>
        <v>-</v>
      </c>
      <c r="AK73" s="232" t="str">
        <f>'Disease burden'!AK245</f>
        <v>-</v>
      </c>
      <c r="AL73" s="232" t="str">
        <f>'Disease burden'!AL245</f>
        <v>-</v>
      </c>
      <c r="AM73" s="232" t="str">
        <f>'Disease burden'!AM245</f>
        <v>-</v>
      </c>
      <c r="AN73" s="232" t="str">
        <f>'Disease burden'!AN245</f>
        <v>-</v>
      </c>
      <c r="AO73" s="232" t="str">
        <f>'Disease burden'!AO245</f>
        <v>-</v>
      </c>
      <c r="AP73" s="232" t="str">
        <f>'Disease burden'!AP245</f>
        <v>-</v>
      </c>
      <c r="AQ73" s="232" t="str">
        <f>'Disease burden'!AQ245</f>
        <v>-</v>
      </c>
      <c r="AR73" s="232" t="str">
        <f>'Disease burden'!AR245</f>
        <v>-</v>
      </c>
      <c r="AS73" s="232" t="str">
        <f>'Disease burden'!AS245</f>
        <v>-</v>
      </c>
      <c r="AT73" s="163" t="str">
        <f>'Vaccine efficacy'!AT93</f>
        <v/>
      </c>
    </row>
    <row r="74">
      <c r="A74" s="81"/>
      <c r="B74" s="81"/>
      <c r="C74" s="112"/>
      <c r="D74" s="90"/>
      <c r="E74" s="237" t="s">
        <v>405</v>
      </c>
      <c r="F74" s="195" t="str">
        <f>'Disease burden'!F246</f>
        <v>%</v>
      </c>
      <c r="G74" s="291" t="s">
        <v>131</v>
      </c>
      <c r="H74" s="315">
        <f>'Disease burden'!H246</f>
        <v>0.5987875074</v>
      </c>
      <c r="I74" s="292" t="str">
        <f>'Disease burden'!I246</f>
        <v>-</v>
      </c>
      <c r="J74" s="292" t="str">
        <f>'Disease burden'!J246</f>
        <v>-</v>
      </c>
      <c r="K74" s="292" t="str">
        <f>'Disease burden'!K246</f>
        <v>-</v>
      </c>
      <c r="L74" s="292" t="str">
        <f>'Disease burden'!L246</f>
        <v>-</v>
      </c>
      <c r="M74" s="292" t="str">
        <f>'Disease burden'!M246</f>
        <v>-</v>
      </c>
      <c r="N74" s="292" t="str">
        <f>'Disease burden'!N246</f>
        <v>-</v>
      </c>
      <c r="O74" s="292" t="str">
        <f>'Disease burden'!O246</f>
        <v>-</v>
      </c>
      <c r="P74" s="292" t="str">
        <f>'Disease burden'!P246</f>
        <v>-</v>
      </c>
      <c r="Q74" s="292" t="str">
        <f>'Disease burden'!Q246</f>
        <v>-</v>
      </c>
      <c r="R74" s="292" t="str">
        <f>'Disease burden'!R246</f>
        <v>-</v>
      </c>
      <c r="S74" s="292" t="str">
        <f>'Disease burden'!S246</f>
        <v>-</v>
      </c>
      <c r="T74" s="292" t="str">
        <f>'Disease burden'!T246</f>
        <v>-</v>
      </c>
      <c r="U74" s="292" t="str">
        <f>'Disease burden'!U246</f>
        <v>-</v>
      </c>
      <c r="V74" s="292" t="str">
        <f>'Disease burden'!V246</f>
        <v>-</v>
      </c>
      <c r="W74" s="292" t="str">
        <f>'Disease burden'!W246</f>
        <v>-</v>
      </c>
      <c r="X74" s="292" t="str">
        <f>'Disease burden'!X246</f>
        <v>-</v>
      </c>
      <c r="Y74" s="292" t="str">
        <f>'Disease burden'!Y246</f>
        <v>-</v>
      </c>
      <c r="Z74" s="292" t="str">
        <f>'Disease burden'!Z246</f>
        <v>-</v>
      </c>
      <c r="AA74" s="292" t="str">
        <f>'Disease burden'!AA246</f>
        <v>-</v>
      </c>
      <c r="AB74" s="292" t="str">
        <f>'Disease burden'!AB246</f>
        <v>-</v>
      </c>
      <c r="AC74" s="292" t="str">
        <f>'Disease burden'!AC246</f>
        <v>-</v>
      </c>
      <c r="AD74" s="292" t="str">
        <f>'Disease burden'!AD246</f>
        <v>-</v>
      </c>
      <c r="AE74" s="292" t="str">
        <f>'Disease burden'!AE246</f>
        <v>-</v>
      </c>
      <c r="AF74" s="292" t="str">
        <f>'Disease burden'!AF246</f>
        <v>-</v>
      </c>
      <c r="AG74" s="292" t="str">
        <f>'Disease burden'!AG246</f>
        <v>-</v>
      </c>
      <c r="AH74" s="292" t="str">
        <f>'Disease burden'!AH246</f>
        <v>-</v>
      </c>
      <c r="AI74" s="292" t="str">
        <f>'Disease burden'!AI246</f>
        <v>-</v>
      </c>
      <c r="AJ74" s="292" t="str">
        <f>'Disease burden'!AJ246</f>
        <v>-</v>
      </c>
      <c r="AK74" s="292" t="str">
        <f>'Disease burden'!AK246</f>
        <v>-</v>
      </c>
      <c r="AL74" s="292" t="str">
        <f>'Disease burden'!AL246</f>
        <v>-</v>
      </c>
      <c r="AM74" s="292" t="str">
        <f>'Disease burden'!AM246</f>
        <v>-</v>
      </c>
      <c r="AN74" s="292" t="str">
        <f>'Disease burden'!AN246</f>
        <v>-</v>
      </c>
      <c r="AO74" s="292" t="str">
        <f>'Disease burden'!AO246</f>
        <v>-</v>
      </c>
      <c r="AP74" s="292" t="str">
        <f>'Disease burden'!AP246</f>
        <v>-</v>
      </c>
      <c r="AQ74" s="292" t="str">
        <f>'Disease burden'!AQ246</f>
        <v>-</v>
      </c>
      <c r="AR74" s="292" t="str">
        <f>'Disease burden'!AR246</f>
        <v>-</v>
      </c>
      <c r="AS74" s="292" t="str">
        <f>'Disease burden'!AS246</f>
        <v>-</v>
      </c>
      <c r="AT74" s="248" t="str">
        <f>'Vaccine efficacy'!AT94</f>
        <v/>
      </c>
    </row>
    <row r="75">
      <c r="A75" s="81"/>
      <c r="B75" s="81"/>
      <c r="C75" s="112"/>
      <c r="D75" s="112"/>
      <c r="E75" s="253"/>
      <c r="F75" s="83"/>
      <c r="G75" s="135"/>
      <c r="H75" s="85"/>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8"/>
    </row>
    <row r="76">
      <c r="A76" s="81"/>
      <c r="B76" s="81"/>
      <c r="C76" s="112" t="s">
        <v>414</v>
      </c>
      <c r="F76" s="83"/>
      <c r="G76" s="135"/>
      <c r="H76" s="85"/>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8"/>
    </row>
    <row r="77">
      <c r="A77" s="80"/>
      <c r="B77" s="81"/>
      <c r="C77" s="112"/>
      <c r="D77" s="90"/>
      <c r="E77" s="113" t="s">
        <v>415</v>
      </c>
      <c r="F77" s="189" t="str">
        <f>'Disease burden'!F258</f>
        <v>%</v>
      </c>
      <c r="G77" s="271" t="s">
        <v>131</v>
      </c>
      <c r="H77" s="295" t="str">
        <f>'Disease burden'!H258</f>
        <v>-</v>
      </c>
      <c r="I77" s="119">
        <f>'Disease burden'!I258</f>
        <v>0.2155951922</v>
      </c>
      <c r="J77" s="119">
        <f>'Disease burden'!J258</f>
        <v>0.1533337341</v>
      </c>
      <c r="K77" s="119">
        <f>'Disease burden'!K258</f>
        <v>0.2386510787</v>
      </c>
      <c r="L77" s="119">
        <f>'Disease burden'!L258</f>
        <v>0.126401958</v>
      </c>
      <c r="M77" s="119">
        <f>'Disease burden'!M258</f>
        <v>0.1650315876</v>
      </c>
      <c r="N77" s="119">
        <f>'Disease burden'!N258</f>
        <v>0.2032696472</v>
      </c>
      <c r="O77" s="119">
        <f>'Disease burden'!O258</f>
        <v>0.196602</v>
      </c>
      <c r="P77" s="119">
        <f>'Disease burden'!P258</f>
        <v>0.2135868047</v>
      </c>
      <c r="Q77" s="119">
        <f>'Disease burden'!Q258</f>
        <v>0.2279224783</v>
      </c>
      <c r="R77" s="119">
        <f>'Disease burden'!R258</f>
        <v>0.1109544979</v>
      </c>
      <c r="S77" s="119">
        <f>'Disease burden'!S258</f>
        <v>0.1525151574</v>
      </c>
      <c r="T77" s="119">
        <f>'Disease burden'!T258</f>
        <v>0.1198309582</v>
      </c>
      <c r="U77" s="119">
        <f>'Disease burden'!U258</f>
        <v>0.1199516519</v>
      </c>
      <c r="V77" s="119">
        <f>'Disease burden'!V258</f>
        <v>0.09207539288</v>
      </c>
      <c r="W77" s="119">
        <f>'Disease burden'!W258</f>
        <v>0.1454124429</v>
      </c>
      <c r="X77" s="119">
        <f>'Disease burden'!X258</f>
        <v>0.1481494206</v>
      </c>
      <c r="Y77" s="119">
        <f>'Disease burden'!Y258</f>
        <v>0.09887212037</v>
      </c>
      <c r="Z77" s="119">
        <f>'Disease burden'!Z258</f>
        <v>0.1240277235</v>
      </c>
      <c r="AA77" s="119">
        <f>'Disease burden'!AA258</f>
        <v>0.1368218765</v>
      </c>
      <c r="AB77" s="119">
        <f>'Disease burden'!AB258</f>
        <v>0.1297696019</v>
      </c>
      <c r="AC77" s="119">
        <f>'Disease burden'!AC258</f>
        <v>0.1268090596</v>
      </c>
      <c r="AD77" s="119">
        <f>'Disease burden'!AD258</f>
        <v>0.1425241552</v>
      </c>
      <c r="AE77" s="119">
        <f>'Disease burden'!AE258</f>
        <v>0.1366026608</v>
      </c>
      <c r="AF77" s="119">
        <f>'Disease burden'!AF258</f>
        <v>0.1358452986</v>
      </c>
      <c r="AG77" s="119">
        <f>'Disease burden'!AG258</f>
        <v>0.09183397299</v>
      </c>
      <c r="AH77" s="119">
        <f>'Disease burden'!AH258</f>
        <v>0.112013944</v>
      </c>
      <c r="AI77" s="119">
        <f>'Disease burden'!AI258</f>
        <v>0.1270268073</v>
      </c>
      <c r="AJ77" s="119">
        <f>'Disease burden'!AJ258</f>
        <v>0.1332618848</v>
      </c>
      <c r="AK77" s="119">
        <f>'Disease burden'!AK258</f>
        <v>0.1481578214</v>
      </c>
      <c r="AL77" s="119">
        <f>'Disease burden'!AL258</f>
        <v>0.1363883002</v>
      </c>
      <c r="AM77" s="119">
        <f>'Disease burden'!AM258</f>
        <v>0.119205039</v>
      </c>
      <c r="AN77" s="119">
        <f>'Disease burden'!AN258</f>
        <v>0.1298464576</v>
      </c>
      <c r="AO77" s="119">
        <f>'Disease burden'!AO258</f>
        <v>0.08981664354</v>
      </c>
      <c r="AP77" s="119">
        <f>'Disease burden'!AP258</f>
        <v>0.1472637853</v>
      </c>
      <c r="AQ77" s="119">
        <f>'Disease burden'!AQ258</f>
        <v>0.1261978979</v>
      </c>
      <c r="AR77" s="119">
        <f>'Disease burden'!AR258</f>
        <v>0.1480216072</v>
      </c>
      <c r="AS77" s="119">
        <f>'Disease burden'!AS258</f>
        <v>0.2164136035</v>
      </c>
      <c r="AT77" s="136"/>
    </row>
    <row r="78">
      <c r="A78" s="80"/>
      <c r="B78" s="81"/>
      <c r="C78" s="112"/>
      <c r="D78" s="90"/>
      <c r="E78" s="140" t="s">
        <v>421</v>
      </c>
      <c r="F78" s="215" t="str">
        <f>'Disease burden'!F259</f>
        <v>%</v>
      </c>
      <c r="G78" s="276" t="s">
        <v>131</v>
      </c>
      <c r="H78" s="274" t="str">
        <f>'Disease burden'!H259</f>
        <v>-</v>
      </c>
      <c r="I78" s="149">
        <f>'Disease burden'!I259</f>
        <v>0.1280767542</v>
      </c>
      <c r="J78" s="149">
        <f>'Disease burden'!J259</f>
        <v>0.1624578343</v>
      </c>
      <c r="K78" s="149">
        <f>'Disease burden'!K259</f>
        <v>0.152971053</v>
      </c>
      <c r="L78" s="149">
        <f>'Disease burden'!L259</f>
        <v>0.1867297205</v>
      </c>
      <c r="M78" s="149">
        <f>'Disease burden'!M259</f>
        <v>0.135583592</v>
      </c>
      <c r="N78" s="149">
        <f>'Disease burden'!N259</f>
        <v>0.1544645682</v>
      </c>
      <c r="O78" s="149">
        <f>'Disease burden'!O259</f>
        <v>0.1874037868</v>
      </c>
      <c r="P78" s="149">
        <f>'Disease burden'!P259</f>
        <v>0.1730324888</v>
      </c>
      <c r="Q78" s="149">
        <f>'Disease burden'!Q259</f>
        <v>0.1679777764</v>
      </c>
      <c r="R78" s="149">
        <f>'Disease burden'!R259</f>
        <v>0.105146352</v>
      </c>
      <c r="S78" s="149">
        <f>'Disease burden'!S259</f>
        <v>0.1107871799</v>
      </c>
      <c r="T78" s="149">
        <f>'Disease burden'!T259</f>
        <v>0.1371646585</v>
      </c>
      <c r="U78" s="149">
        <f>'Disease burden'!U259</f>
        <v>0.1926197702</v>
      </c>
      <c r="V78" s="149">
        <f>'Disease burden'!V259</f>
        <v>0.1843570679</v>
      </c>
      <c r="W78" s="149">
        <f>'Disease burden'!W259</f>
        <v>0.09382360507</v>
      </c>
      <c r="X78" s="149">
        <f>'Disease burden'!X259</f>
        <v>0.1472148835</v>
      </c>
      <c r="Y78" s="149">
        <f>'Disease burden'!Y259</f>
        <v>0.1016770943</v>
      </c>
      <c r="Z78" s="149">
        <f>'Disease burden'!Z259</f>
        <v>0.1398223623</v>
      </c>
      <c r="AA78" s="149">
        <f>'Disease burden'!AA259</f>
        <v>0.1010006381</v>
      </c>
      <c r="AB78" s="149">
        <f>'Disease burden'!AB259</f>
        <v>0.1152092361</v>
      </c>
      <c r="AC78" s="149">
        <f>'Disease burden'!AC259</f>
        <v>0.09469957706</v>
      </c>
      <c r="AD78" s="149">
        <f>'Disease burden'!AD259</f>
        <v>0.1124857103</v>
      </c>
      <c r="AE78" s="149">
        <f>'Disease burden'!AE259</f>
        <v>0.1059974168</v>
      </c>
      <c r="AF78" s="149">
        <f>'Disease burden'!AF259</f>
        <v>0.09305396844</v>
      </c>
      <c r="AG78" s="149">
        <f>'Disease burden'!AG259</f>
        <v>0.3223237272</v>
      </c>
      <c r="AH78" s="149">
        <f>'Disease burden'!AH259</f>
        <v>0.1715282808</v>
      </c>
      <c r="AI78" s="149">
        <f>'Disease burden'!AI259</f>
        <v>0.09175988543</v>
      </c>
      <c r="AJ78" s="149">
        <f>'Disease burden'!AJ259</f>
        <v>0.139741686</v>
      </c>
      <c r="AK78" s="149">
        <f>'Disease burden'!AK259</f>
        <v>0.1494803857</v>
      </c>
      <c r="AL78" s="149">
        <f>'Disease burden'!AL259</f>
        <v>0.1387553354</v>
      </c>
      <c r="AM78" s="149">
        <f>'Disease burden'!AM259</f>
        <v>0.1090395052</v>
      </c>
      <c r="AN78" s="149">
        <f>'Disease burden'!AN259</f>
        <v>0.113253978</v>
      </c>
      <c r="AO78" s="149">
        <f>'Disease burden'!AO259</f>
        <v>0.2065444973</v>
      </c>
      <c r="AP78" s="149">
        <f>'Disease burden'!AP259</f>
        <v>0.1024863692</v>
      </c>
      <c r="AQ78" s="149">
        <f>'Disease burden'!AQ259</f>
        <v>0.1232342667</v>
      </c>
      <c r="AR78" s="149">
        <f>'Disease burden'!AR259</f>
        <v>0.120779482</v>
      </c>
      <c r="AS78" s="149">
        <f>'Disease burden'!AS259</f>
        <v>0.1432998069</v>
      </c>
      <c r="AT78" s="163"/>
    </row>
    <row r="79">
      <c r="A79" s="80"/>
      <c r="B79" s="81"/>
      <c r="C79" s="112"/>
      <c r="D79" s="90"/>
      <c r="E79" s="140" t="s">
        <v>425</v>
      </c>
      <c r="F79" s="215" t="str">
        <f>'Disease burden'!F260</f>
        <v>%</v>
      </c>
      <c r="G79" s="276" t="s">
        <v>131</v>
      </c>
      <c r="H79" s="274" t="str">
        <f>'Disease burden'!H260</f>
        <v>-</v>
      </c>
      <c r="I79" s="149">
        <f>'Disease burden'!I260</f>
        <v>0.02291827521</v>
      </c>
      <c r="J79" s="149">
        <f>'Disease burden'!J260</f>
        <v>0.02839178232</v>
      </c>
      <c r="K79" s="149">
        <f>'Disease burden'!K260</f>
        <v>0.02384760787</v>
      </c>
      <c r="L79" s="149">
        <f>'Disease burden'!L260</f>
        <v>0.03187316503</v>
      </c>
      <c r="M79" s="149">
        <f>'Disease burden'!M260</f>
        <v>0.03251451225</v>
      </c>
      <c r="N79" s="149">
        <f>'Disease burden'!N260</f>
        <v>0.02291241434</v>
      </c>
      <c r="O79" s="149">
        <f>'Disease burden'!O260</f>
        <v>0.02211047466</v>
      </c>
      <c r="P79" s="149">
        <f>'Disease burden'!P260</f>
        <v>0.02201363687</v>
      </c>
      <c r="Q79" s="149">
        <f>'Disease burden'!Q260</f>
        <v>0.02193110578</v>
      </c>
      <c r="R79" s="149">
        <f>'Disease burden'!R260</f>
        <v>0.03757878172</v>
      </c>
      <c r="S79" s="149">
        <f>'Disease burden'!S260</f>
        <v>0.03360822418</v>
      </c>
      <c r="T79" s="149">
        <f>'Disease burden'!T260</f>
        <v>0.03797299691</v>
      </c>
      <c r="U79" s="149">
        <f>'Disease burden'!U260</f>
        <v>0.03692254856</v>
      </c>
      <c r="V79" s="149">
        <f>'Disease burden'!V260</f>
        <v>0.02750341514</v>
      </c>
      <c r="W79" s="149">
        <f>'Disease burden'!W260</f>
        <v>0.03290578057</v>
      </c>
      <c r="X79" s="149">
        <f>'Disease burden'!X260</f>
        <v>0.02654925752</v>
      </c>
      <c r="Y79" s="149">
        <f>'Disease burden'!Y260</f>
        <v>0.03869932028</v>
      </c>
      <c r="Z79" s="149">
        <f>'Disease burden'!Z260</f>
        <v>0.03855054222</v>
      </c>
      <c r="AA79" s="149">
        <f>'Disease burden'!AA260</f>
        <v>0.03828931537</v>
      </c>
      <c r="AB79" s="149">
        <f>'Disease burden'!AB260</f>
        <v>0.04092750474</v>
      </c>
      <c r="AC79" s="149">
        <f>'Disease burden'!AC260</f>
        <v>0.04108448525</v>
      </c>
      <c r="AD79" s="149">
        <f>'Disease burden'!AD260</f>
        <v>0.03795772009</v>
      </c>
      <c r="AE79" s="149">
        <f>'Disease burden'!AE260</f>
        <v>0.04222398713</v>
      </c>
      <c r="AF79" s="149">
        <f>'Disease burden'!AF260</f>
        <v>0.04206516334</v>
      </c>
      <c r="AG79" s="149">
        <f>'Disease burden'!AG260</f>
        <v>0.02674086066</v>
      </c>
      <c r="AH79" s="149">
        <f>'Disease burden'!AH260</f>
        <v>0.03252802827</v>
      </c>
      <c r="AI79" s="149">
        <f>'Disease burden'!AI260</f>
        <v>0.04510671046</v>
      </c>
      <c r="AJ79" s="149">
        <f>'Disease burden'!AJ260</f>
        <v>0.03409751935</v>
      </c>
      <c r="AK79" s="149">
        <f>'Disease burden'!AK260</f>
        <v>0.03011792509</v>
      </c>
      <c r="AL79" s="149">
        <f>'Disease burden'!AL260</f>
        <v>0.03719503341</v>
      </c>
      <c r="AM79" s="149">
        <f>'Disease burden'!AM260</f>
        <v>0.03911341802</v>
      </c>
      <c r="AN79" s="149">
        <f>'Disease burden'!AN260</f>
        <v>0.03951694853</v>
      </c>
      <c r="AO79" s="149">
        <f>'Disease burden'!AO260</f>
        <v>0.03238528378</v>
      </c>
      <c r="AP79" s="149">
        <f>'Disease burden'!AP260</f>
        <v>0.03497786677</v>
      </c>
      <c r="AQ79" s="149">
        <f>'Disease burden'!AQ260</f>
        <v>0.04049438002</v>
      </c>
      <c r="AR79" s="149">
        <f>'Disease burden'!AR260</f>
        <v>0.03164902348</v>
      </c>
      <c r="AS79" s="149">
        <f>'Disease burden'!AS260</f>
        <v>0.02333131991</v>
      </c>
      <c r="AT79" s="163"/>
    </row>
    <row r="80">
      <c r="A80" s="80"/>
      <c r="B80" s="81"/>
      <c r="C80" s="112"/>
      <c r="D80" s="90"/>
      <c r="E80" s="140" t="s">
        <v>429</v>
      </c>
      <c r="F80" s="215" t="str">
        <f>'Disease burden'!F261</f>
        <v>%</v>
      </c>
      <c r="G80" s="276" t="s">
        <v>131</v>
      </c>
      <c r="H80" s="274" t="str">
        <f>'Disease burden'!H261</f>
        <v>-</v>
      </c>
      <c r="I80" s="149">
        <f>'Disease burden'!I261</f>
        <v>0.3368108631</v>
      </c>
      <c r="J80" s="149">
        <f>'Disease burden'!J261</f>
        <v>0.4138189821</v>
      </c>
      <c r="K80" s="149">
        <f>'Disease burden'!K261</f>
        <v>0.3494856998</v>
      </c>
      <c r="L80" s="149">
        <f>'Disease burden'!L261</f>
        <v>0.4647017435</v>
      </c>
      <c r="M80" s="149">
        <f>'Disease burden'!M261</f>
        <v>0.4817172043</v>
      </c>
      <c r="N80" s="149">
        <f>'Disease burden'!N261</f>
        <v>0.3350860857</v>
      </c>
      <c r="O80" s="149">
        <f>'Disease burden'!O261</f>
        <v>0.3196968446</v>
      </c>
      <c r="P80" s="149">
        <f>'Disease burden'!P261</f>
        <v>0.3240122848</v>
      </c>
      <c r="Q80" s="149">
        <f>'Disease burden'!Q261</f>
        <v>0.3232511514</v>
      </c>
      <c r="R80" s="149">
        <f>'Disease burden'!R261</f>
        <v>0.5382866583</v>
      </c>
      <c r="S80" s="149">
        <f>'Disease burden'!S261</f>
        <v>0.4876395628</v>
      </c>
      <c r="T80" s="149">
        <f>'Disease burden'!T261</f>
        <v>0.5394251375</v>
      </c>
      <c r="U80" s="149">
        <f>'Disease burden'!U261</f>
        <v>0.5268204437</v>
      </c>
      <c r="V80" s="149">
        <f>'Disease burden'!V261</f>
        <v>0.397186713</v>
      </c>
      <c r="W80" s="149">
        <f>'Disease burden'!W261</f>
        <v>0.4705471377</v>
      </c>
      <c r="X80" s="149">
        <f>'Disease burden'!X261</f>
        <v>0.3766483346</v>
      </c>
      <c r="Y80" s="149">
        <f>'Disease burden'!Y261</f>
        <v>0.5716561686</v>
      </c>
      <c r="Z80" s="149">
        <f>'Disease burden'!Z261</f>
        <v>0.5531688083</v>
      </c>
      <c r="AA80" s="149">
        <f>'Disease burden'!AA261</f>
        <v>0.5404435366</v>
      </c>
      <c r="AB80" s="149">
        <f>'Disease burden'!AB261</f>
        <v>0.5727019631</v>
      </c>
      <c r="AC80" s="149">
        <f>'Disease burden'!AC261</f>
        <v>0.5769316524</v>
      </c>
      <c r="AD80" s="149">
        <f>'Disease burden'!AD261</f>
        <v>0.5340083533</v>
      </c>
      <c r="AE80" s="149">
        <f>'Disease burden'!AE261</f>
        <v>0.6006075509</v>
      </c>
      <c r="AF80" s="149">
        <f>'Disease burden'!AF261</f>
        <v>0.5976853137</v>
      </c>
      <c r="AG80" s="149">
        <f>'Disease burden'!AG261</f>
        <v>0.3898942428</v>
      </c>
      <c r="AH80" s="149">
        <f>'Disease burden'!AH261</f>
        <v>0.4665372562</v>
      </c>
      <c r="AI80" s="149">
        <f>'Disease burden'!AI261</f>
        <v>0.6319536071</v>
      </c>
      <c r="AJ80" s="149">
        <f>'Disease burden'!AJ261</f>
        <v>0.4985870135</v>
      </c>
      <c r="AK80" s="149">
        <f>'Disease burden'!AK261</f>
        <v>0.4392263873</v>
      </c>
      <c r="AL80" s="149">
        <f>'Disease burden'!AL261</f>
        <v>0.5361462521</v>
      </c>
      <c r="AM80" s="149">
        <f>'Disease burden'!AM261</f>
        <v>0.5635242418</v>
      </c>
      <c r="AN80" s="149">
        <f>'Disease burden'!AN261</f>
        <v>0.5578570084</v>
      </c>
      <c r="AO80" s="149">
        <f>'Disease burden'!AO261</f>
        <v>0.4620898651</v>
      </c>
      <c r="AP80" s="149">
        <f>'Disease burden'!AP261</f>
        <v>0.4976144991</v>
      </c>
      <c r="AQ80" s="149">
        <f>'Disease burden'!AQ261</f>
        <v>0.5748108642</v>
      </c>
      <c r="AR80" s="149">
        <f>'Disease burden'!AR261</f>
        <v>0.4654009285</v>
      </c>
      <c r="AS80" s="149">
        <f>'Disease burden'!AS261</f>
        <v>0.336951235</v>
      </c>
      <c r="AT80" s="163"/>
    </row>
    <row r="81">
      <c r="A81" s="80"/>
      <c r="B81" s="81"/>
      <c r="C81" s="112"/>
      <c r="D81" s="90"/>
      <c r="E81" s="140" t="s">
        <v>434</v>
      </c>
      <c r="F81" s="215" t="str">
        <f>'Disease burden'!F262</f>
        <v>%</v>
      </c>
      <c r="G81" s="276" t="s">
        <v>131</v>
      </c>
      <c r="H81" s="274" t="str">
        <f>'Disease burden'!H262</f>
        <v>-</v>
      </c>
      <c r="I81" s="149">
        <f>'Disease burden'!I262</f>
        <v>0.1993556561</v>
      </c>
      <c r="J81" s="149">
        <f>'Disease burden'!J262</f>
        <v>0.1677694051</v>
      </c>
      <c r="K81" s="149">
        <f>'Disease burden'!K262</f>
        <v>0.1252439714</v>
      </c>
      <c r="L81" s="149">
        <f>'Disease burden'!L262</f>
        <v>0.09862669618</v>
      </c>
      <c r="M81" s="149">
        <f>'Disease burden'!M262</f>
        <v>0.12936984</v>
      </c>
      <c r="N81" s="149">
        <f>'Disease burden'!N262</f>
        <v>0.1622004569</v>
      </c>
      <c r="O81" s="149">
        <f>'Disease burden'!O262</f>
        <v>0.1666383641</v>
      </c>
      <c r="P81" s="149">
        <f>'Disease burden'!P262</f>
        <v>0.1607470465</v>
      </c>
      <c r="Q81" s="149">
        <f>'Disease burden'!Q262</f>
        <v>0.1508734017</v>
      </c>
      <c r="R81" s="149">
        <f>'Disease burden'!R262</f>
        <v>0.1684189014</v>
      </c>
      <c r="S81" s="149">
        <f>'Disease burden'!S262</f>
        <v>0.1629080389</v>
      </c>
      <c r="T81" s="149">
        <f>'Disease burden'!T262</f>
        <v>0.09890466792</v>
      </c>
      <c r="U81" s="149">
        <f>'Disease burden'!U262</f>
        <v>0.07603716906</v>
      </c>
      <c r="V81" s="149">
        <f>'Disease burden'!V262</f>
        <v>0.2235543425</v>
      </c>
      <c r="W81" s="149">
        <f>'Disease burden'!W262</f>
        <v>0.2129461389</v>
      </c>
      <c r="X81" s="149">
        <f>'Disease burden'!X262</f>
        <v>0.2139798611</v>
      </c>
      <c r="Y81" s="149">
        <f>'Disease burden'!Y262</f>
        <v>0.1344509352</v>
      </c>
      <c r="Z81" s="149">
        <f>'Disease burden'!Z262</f>
        <v>0.08624247213</v>
      </c>
      <c r="AA81" s="149">
        <f>'Disease burden'!AA262</f>
        <v>0.1293925777</v>
      </c>
      <c r="AB81" s="149">
        <f>'Disease burden'!AB262</f>
        <v>0.08851219701</v>
      </c>
      <c r="AC81" s="149">
        <f>'Disease burden'!AC262</f>
        <v>0.09522168514</v>
      </c>
      <c r="AD81" s="149">
        <f>'Disease burden'!AD262</f>
        <v>0.122081956</v>
      </c>
      <c r="AE81" s="149">
        <f>'Disease burden'!AE262</f>
        <v>0.0736651667</v>
      </c>
      <c r="AF81" s="149">
        <f>'Disease burden'!AF262</f>
        <v>0.08634867986</v>
      </c>
      <c r="AG81" s="149">
        <f>'Disease burden'!AG262</f>
        <v>0.1047392697</v>
      </c>
      <c r="AH81" s="149">
        <f>'Disease burden'!AH262</f>
        <v>0.1217194725</v>
      </c>
      <c r="AI81" s="149">
        <f>'Disease burden'!AI262</f>
        <v>0.05791615008</v>
      </c>
      <c r="AJ81" s="149">
        <f>'Disease burden'!AJ262</f>
        <v>0.1319686672</v>
      </c>
      <c r="AK81" s="149">
        <f>'Disease burden'!AK262</f>
        <v>0.164896341</v>
      </c>
      <c r="AL81" s="149">
        <f>'Disease burden'!AL262</f>
        <v>0.09783983127</v>
      </c>
      <c r="AM81" s="149">
        <f>'Disease burden'!AM262</f>
        <v>0.1155542362</v>
      </c>
      <c r="AN81" s="149">
        <f>'Disease burden'!AN262</f>
        <v>0.1014388475</v>
      </c>
      <c r="AO81" s="149">
        <f>'Disease burden'!AO262</f>
        <v>0.139933786</v>
      </c>
      <c r="AP81" s="149">
        <f>'Disease burden'!AP262</f>
        <v>0.1609057188</v>
      </c>
      <c r="AQ81" s="149">
        <f>'Disease burden'!AQ262</f>
        <v>0.0812748296</v>
      </c>
      <c r="AR81" s="149">
        <f>'Disease burden'!AR262</f>
        <v>0.1787898357</v>
      </c>
      <c r="AS81" s="149">
        <f>'Disease burden'!AS262</f>
        <v>0.1863314167</v>
      </c>
      <c r="AT81" s="163"/>
    </row>
    <row r="82">
      <c r="A82" s="80"/>
      <c r="B82" s="81"/>
      <c r="C82" s="112"/>
      <c r="D82" s="90"/>
      <c r="E82" s="237" t="s">
        <v>440</v>
      </c>
      <c r="F82" s="231" t="str">
        <f>'Disease burden'!F263</f>
        <v>%</v>
      </c>
      <c r="G82" s="291" t="s">
        <v>131</v>
      </c>
      <c r="H82" s="306" t="str">
        <f>'Disease burden'!H263</f>
        <v>-</v>
      </c>
      <c r="I82" s="240">
        <f>'Disease burden'!I263</f>
        <v>0.09724325923</v>
      </c>
      <c r="J82" s="240">
        <f>'Disease burden'!J263</f>
        <v>0.07422826213</v>
      </c>
      <c r="K82" s="240">
        <f>'Disease burden'!K263</f>
        <v>0.1098005892</v>
      </c>
      <c r="L82" s="240">
        <f>'Disease burden'!L263</f>
        <v>0.09166671682</v>
      </c>
      <c r="M82" s="240">
        <f>'Disease burden'!M263</f>
        <v>0.05578326396</v>
      </c>
      <c r="N82" s="240">
        <f>'Disease burden'!N263</f>
        <v>0.1220668277</v>
      </c>
      <c r="O82" s="240">
        <f>'Disease burden'!O263</f>
        <v>0.1075485298</v>
      </c>
      <c r="P82" s="240">
        <f>'Disease burden'!P263</f>
        <v>0.1066077383</v>
      </c>
      <c r="Q82" s="240">
        <f>'Disease burden'!Q263</f>
        <v>0.1080440864</v>
      </c>
      <c r="R82" s="240">
        <f>'Disease burden'!R263</f>
        <v>0.03961480874</v>
      </c>
      <c r="S82" s="240">
        <f>'Disease burden'!S263</f>
        <v>0.0525418369</v>
      </c>
      <c r="T82" s="240">
        <f>'Disease burden'!T263</f>
        <v>0.06670158098</v>
      </c>
      <c r="U82" s="240">
        <f>'Disease burden'!U263</f>
        <v>0.04764841658</v>
      </c>
      <c r="V82" s="240">
        <f>'Disease burden'!V263</f>
        <v>0.07532306858</v>
      </c>
      <c r="W82" s="240">
        <f>'Disease burden'!W263</f>
        <v>0.04436489482</v>
      </c>
      <c r="X82" s="240">
        <f>'Disease burden'!X263</f>
        <v>0.08745824275</v>
      </c>
      <c r="Y82" s="240">
        <f>'Disease burden'!Y263</f>
        <v>0.05464436132</v>
      </c>
      <c r="Z82" s="240">
        <f>'Disease burden'!Z263</f>
        <v>0.05818809161</v>
      </c>
      <c r="AA82" s="240">
        <f>'Disease burden'!AA263</f>
        <v>0.05405205572</v>
      </c>
      <c r="AB82" s="240">
        <f>'Disease burden'!AB263</f>
        <v>0.05287949721</v>
      </c>
      <c r="AC82" s="240">
        <f>'Disease burden'!AC263</f>
        <v>0.06525354053</v>
      </c>
      <c r="AD82" s="240">
        <f>'Disease burden'!AD263</f>
        <v>0.05094210519</v>
      </c>
      <c r="AE82" s="240">
        <f>'Disease burden'!AE263</f>
        <v>0.04090321756</v>
      </c>
      <c r="AF82" s="240">
        <f>'Disease burden'!AF263</f>
        <v>0.04500157604</v>
      </c>
      <c r="AG82" s="240">
        <f>'Disease burden'!AG263</f>
        <v>0.06446792663</v>
      </c>
      <c r="AH82" s="240">
        <f>'Disease burden'!AH263</f>
        <v>0.0956730182</v>
      </c>
      <c r="AI82" s="240">
        <f>'Disease burden'!AI263</f>
        <v>0.04623683956</v>
      </c>
      <c r="AJ82" s="240">
        <f>'Disease burden'!AJ263</f>
        <v>0.06234322918</v>
      </c>
      <c r="AK82" s="240">
        <f>'Disease burden'!AK263</f>
        <v>0.06812113951</v>
      </c>
      <c r="AL82" s="240">
        <f>'Disease burden'!AL263</f>
        <v>0.05367524764</v>
      </c>
      <c r="AM82" s="240">
        <f>'Disease burden'!AM263</f>
        <v>0.05356355982</v>
      </c>
      <c r="AN82" s="240">
        <f>'Disease burden'!AN263</f>
        <v>0.05808675986</v>
      </c>
      <c r="AO82" s="240">
        <f>'Disease burden'!AO263</f>
        <v>0.0692299242</v>
      </c>
      <c r="AP82" s="240">
        <f>'Disease burden'!AP263</f>
        <v>0.0567517609</v>
      </c>
      <c r="AQ82" s="240">
        <f>'Disease burden'!AQ263</f>
        <v>0.05398776166</v>
      </c>
      <c r="AR82" s="240">
        <f>'Disease burden'!AR263</f>
        <v>0.05535912301</v>
      </c>
      <c r="AS82" s="240">
        <f>'Disease burden'!AS263</f>
        <v>0.09367261794</v>
      </c>
      <c r="AT82" s="248"/>
    </row>
    <row r="83">
      <c r="A83" s="80"/>
      <c r="B83" s="81"/>
      <c r="C83" s="112"/>
      <c r="D83" s="90"/>
      <c r="E83" s="243"/>
      <c r="F83" s="108"/>
      <c r="G83" s="109"/>
      <c r="H83" s="110"/>
      <c r="I83" s="111"/>
      <c r="J83" s="111"/>
      <c r="K83" s="111"/>
      <c r="L83" s="111"/>
      <c r="M83" s="111"/>
      <c r="N83" s="111"/>
      <c r="O83" s="111"/>
      <c r="P83" s="111"/>
      <c r="Q83" s="111"/>
      <c r="R83" s="111"/>
      <c r="S83" s="111"/>
      <c r="T83" s="111"/>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c r="AQ83" s="111"/>
      <c r="AR83" s="111"/>
      <c r="AS83" s="111"/>
      <c r="AT83" s="88"/>
    </row>
    <row r="84">
      <c r="A84" s="81"/>
      <c r="B84" s="81"/>
      <c r="C84" s="112" t="s">
        <v>448</v>
      </c>
      <c r="F84" s="108"/>
      <c r="G84" s="109"/>
      <c r="H84" s="110"/>
      <c r="I84" s="111"/>
      <c r="J84" s="111"/>
      <c r="K84" s="111"/>
      <c r="L84" s="111"/>
      <c r="M84" s="111"/>
      <c r="N84" s="111"/>
      <c r="O84" s="111"/>
      <c r="P84" s="111"/>
      <c r="Q84" s="111"/>
      <c r="R84" s="111"/>
      <c r="S84" s="111"/>
      <c r="T84" s="111"/>
      <c r="U84" s="111"/>
      <c r="V84" s="111"/>
      <c r="W84" s="111"/>
      <c r="X84" s="111"/>
      <c r="Y84" s="111"/>
      <c r="Z84" s="111"/>
      <c r="AA84" s="111"/>
      <c r="AB84" s="111"/>
      <c r="AC84" s="111"/>
      <c r="AD84" s="111"/>
      <c r="AE84" s="111"/>
      <c r="AF84" s="111"/>
      <c r="AG84" s="111"/>
      <c r="AH84" s="111"/>
      <c r="AI84" s="111"/>
      <c r="AJ84" s="111"/>
      <c r="AK84" s="111"/>
      <c r="AL84" s="111"/>
      <c r="AM84" s="111"/>
      <c r="AN84" s="111"/>
      <c r="AO84" s="111"/>
      <c r="AP84" s="111"/>
      <c r="AQ84" s="111"/>
      <c r="AR84" s="111"/>
      <c r="AS84" s="111"/>
      <c r="AT84" s="88"/>
    </row>
    <row r="85">
      <c r="A85" s="80"/>
      <c r="B85" s="81"/>
      <c r="C85" s="112"/>
      <c r="D85" s="90"/>
      <c r="E85" s="224" t="s">
        <v>255</v>
      </c>
      <c r="F85" s="93" t="s">
        <v>122</v>
      </c>
      <c r="G85" s="321" t="s">
        <v>149</v>
      </c>
      <c r="H85" s="129" t="s">
        <v>150</v>
      </c>
      <c r="I85" s="308">
        <f t="shared" ref="I85:AS85" si="4">SUMPRODUCT($H69:$H74,I77:I82)</f>
        <v>0.5148036186</v>
      </c>
      <c r="J85" s="308">
        <f t="shared" si="4"/>
        <v>0.5091190737</v>
      </c>
      <c r="K85" s="308">
        <f t="shared" si="4"/>
        <v>0.5334415252</v>
      </c>
      <c r="L85" s="308">
        <f t="shared" si="4"/>
        <v>0.518074605</v>
      </c>
      <c r="M85" s="308">
        <f t="shared" si="4"/>
        <v>0.5076136972</v>
      </c>
      <c r="N85" s="308">
        <f t="shared" si="4"/>
        <v>0.524764731</v>
      </c>
      <c r="O85" s="308">
        <f t="shared" si="4"/>
        <v>0.5271355573</v>
      </c>
      <c r="P85" s="308">
        <f t="shared" si="4"/>
        <v>0.5281628386</v>
      </c>
      <c r="Q85" s="308">
        <f t="shared" si="4"/>
        <v>0.5312330287</v>
      </c>
      <c r="R85" s="308">
        <f t="shared" si="4"/>
        <v>0.4852246218</v>
      </c>
      <c r="S85" s="308">
        <f t="shared" si="4"/>
        <v>0.4967135615</v>
      </c>
      <c r="T85" s="308">
        <f t="shared" si="4"/>
        <v>0.5040817348</v>
      </c>
      <c r="U85" s="308">
        <f t="shared" si="4"/>
        <v>0.5140933036</v>
      </c>
      <c r="V85" s="308">
        <f t="shared" si="4"/>
        <v>0.4957041663</v>
      </c>
      <c r="W85" s="308">
        <f t="shared" si="4"/>
        <v>0.4858804052</v>
      </c>
      <c r="X85" s="308">
        <f t="shared" si="4"/>
        <v>0.5024843273</v>
      </c>
      <c r="Y85" s="308">
        <f t="shared" si="4"/>
        <v>0.4876922865</v>
      </c>
      <c r="Z85" s="308">
        <f t="shared" si="4"/>
        <v>0.5054268344</v>
      </c>
      <c r="AA85" s="308">
        <f t="shared" si="4"/>
        <v>0.4956954926</v>
      </c>
      <c r="AB85" s="308">
        <f t="shared" si="4"/>
        <v>0.5011217506</v>
      </c>
      <c r="AC85" s="308">
        <f t="shared" si="4"/>
        <v>0.4977602392</v>
      </c>
      <c r="AD85" s="308">
        <f t="shared" si="4"/>
        <v>0.4992869104</v>
      </c>
      <c r="AE85" s="308">
        <f t="shared" si="4"/>
        <v>0.5004460705</v>
      </c>
      <c r="AF85" s="308">
        <f t="shared" si="4"/>
        <v>0.4971559016</v>
      </c>
      <c r="AG85" s="308">
        <f t="shared" si="4"/>
        <v>0.5321899292</v>
      </c>
      <c r="AH85" s="308">
        <f t="shared" si="4"/>
        <v>0.5106984869</v>
      </c>
      <c r="AI85" s="308">
        <f t="shared" si="4"/>
        <v>0.4984372876</v>
      </c>
      <c r="AJ85" s="308">
        <f t="shared" si="4"/>
        <v>0.5029460792</v>
      </c>
      <c r="AK85" s="308">
        <f t="shared" si="4"/>
        <v>0.5051022165</v>
      </c>
      <c r="AL85" s="308">
        <f t="shared" si="4"/>
        <v>0.505755014</v>
      </c>
      <c r="AM85" s="308">
        <f t="shared" si="4"/>
        <v>0.4950014743</v>
      </c>
      <c r="AN85" s="308">
        <f t="shared" si="4"/>
        <v>0.5001096678</v>
      </c>
      <c r="AO85" s="308">
        <f t="shared" si="4"/>
        <v>0.5072820708</v>
      </c>
      <c r="AP85" s="308">
        <f t="shared" si="4"/>
        <v>0.4950650426</v>
      </c>
      <c r="AQ85" s="308">
        <f t="shared" si="4"/>
        <v>0.5027371693</v>
      </c>
      <c r="AR85" s="308">
        <f t="shared" si="4"/>
        <v>0.4963916722</v>
      </c>
      <c r="AS85" s="308">
        <f t="shared" si="4"/>
        <v>0.518719681</v>
      </c>
      <c r="AT85" s="265"/>
    </row>
    <row r="86">
      <c r="A86" s="80"/>
      <c r="B86" s="81"/>
      <c r="C86" s="112"/>
      <c r="D86" s="90"/>
      <c r="E86" s="243"/>
      <c r="F86" s="108"/>
      <c r="G86" s="109"/>
      <c r="H86" s="110"/>
      <c r="I86" s="111"/>
      <c r="J86" s="111"/>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88"/>
    </row>
    <row r="87">
      <c r="A87" s="80"/>
      <c r="B87" s="81"/>
      <c r="C87" s="107" t="s">
        <v>454</v>
      </c>
      <c r="F87" s="108"/>
      <c r="G87" s="109"/>
      <c r="H87" s="110"/>
      <c r="I87" s="111"/>
      <c r="J87" s="111"/>
      <c r="K87" s="111"/>
      <c r="L87" s="111"/>
      <c r="M87" s="111"/>
      <c r="N87" s="111"/>
      <c r="O87" s="111"/>
      <c r="P87" s="111"/>
      <c r="Q87" s="111"/>
      <c r="R87" s="111"/>
      <c r="S87" s="111"/>
      <c r="T87" s="111"/>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88"/>
    </row>
    <row r="88">
      <c r="A88" s="80"/>
      <c r="B88" s="81"/>
      <c r="C88" s="112"/>
      <c r="D88" s="90"/>
      <c r="E88" s="113" t="s">
        <v>455</v>
      </c>
      <c r="F88" s="189" t="str">
        <f>Inputs!F182</f>
        <v>%</v>
      </c>
      <c r="G88" s="271" t="str">
        <f>Inputs!G182</f>
        <v>input</v>
      </c>
      <c r="H88" s="191">
        <f>Inputs!H182</f>
        <v>-0.5</v>
      </c>
      <c r="I88" s="119" t="str">
        <f>Inputs!I182</f>
        <v>-</v>
      </c>
      <c r="J88" s="119" t="str">
        <f>Inputs!J182</f>
        <v>-</v>
      </c>
      <c r="K88" s="119" t="str">
        <f>Inputs!K182</f>
        <v>-</v>
      </c>
      <c r="L88" s="119" t="str">
        <f>Inputs!L182</f>
        <v>-</v>
      </c>
      <c r="M88" s="119" t="str">
        <f>Inputs!M182</f>
        <v>-</v>
      </c>
      <c r="N88" s="119" t="str">
        <f>Inputs!N182</f>
        <v>-</v>
      </c>
      <c r="O88" s="119" t="str">
        <f>Inputs!O182</f>
        <v>-</v>
      </c>
      <c r="P88" s="119" t="str">
        <f>Inputs!P182</f>
        <v>-</v>
      </c>
      <c r="Q88" s="119" t="str">
        <f>Inputs!Q182</f>
        <v>-</v>
      </c>
      <c r="R88" s="119" t="str">
        <f>Inputs!R182</f>
        <v>-</v>
      </c>
      <c r="S88" s="119" t="str">
        <f>Inputs!S182</f>
        <v>-</v>
      </c>
      <c r="T88" s="119" t="str">
        <f>Inputs!T182</f>
        <v>-</v>
      </c>
      <c r="U88" s="119" t="str">
        <f>Inputs!U182</f>
        <v>-</v>
      </c>
      <c r="V88" s="119" t="str">
        <f>Inputs!V182</f>
        <v>-</v>
      </c>
      <c r="W88" s="119" t="str">
        <f>Inputs!W182</f>
        <v>-</v>
      </c>
      <c r="X88" s="119" t="str">
        <f>Inputs!X182</f>
        <v>-</v>
      </c>
      <c r="Y88" s="119" t="str">
        <f>Inputs!Y182</f>
        <v>-</v>
      </c>
      <c r="Z88" s="119" t="str">
        <f>Inputs!Z182</f>
        <v>-</v>
      </c>
      <c r="AA88" s="119" t="str">
        <f>Inputs!AA182</f>
        <v>-</v>
      </c>
      <c r="AB88" s="119" t="str">
        <f>Inputs!AB182</f>
        <v>-</v>
      </c>
      <c r="AC88" s="119" t="str">
        <f>Inputs!AC182</f>
        <v>-</v>
      </c>
      <c r="AD88" s="119" t="str">
        <f>Inputs!AD182</f>
        <v>-</v>
      </c>
      <c r="AE88" s="119" t="str">
        <f>Inputs!AE182</f>
        <v>-</v>
      </c>
      <c r="AF88" s="119" t="str">
        <f>Inputs!AF182</f>
        <v>-</v>
      </c>
      <c r="AG88" s="119" t="str">
        <f>Inputs!AG182</f>
        <v>-</v>
      </c>
      <c r="AH88" s="119" t="str">
        <f>Inputs!AH182</f>
        <v>-</v>
      </c>
      <c r="AI88" s="119" t="str">
        <f>Inputs!AI182</f>
        <v>-</v>
      </c>
      <c r="AJ88" s="119" t="str">
        <f>Inputs!AJ182</f>
        <v>-</v>
      </c>
      <c r="AK88" s="119" t="str">
        <f>Inputs!AK182</f>
        <v>-</v>
      </c>
      <c r="AL88" s="119" t="str">
        <f>Inputs!AL182</f>
        <v>-</v>
      </c>
      <c r="AM88" s="119" t="str">
        <f>Inputs!AM182</f>
        <v>-</v>
      </c>
      <c r="AN88" s="119" t="str">
        <f>Inputs!AN182</f>
        <v>-</v>
      </c>
      <c r="AO88" s="119" t="str">
        <f>Inputs!AO182</f>
        <v>-</v>
      </c>
      <c r="AP88" s="119" t="str">
        <f>Inputs!AP182</f>
        <v>-</v>
      </c>
      <c r="AQ88" s="119" t="str">
        <f>Inputs!AQ182</f>
        <v>-</v>
      </c>
      <c r="AR88" s="119" t="str">
        <f>Inputs!AR182</f>
        <v>-</v>
      </c>
      <c r="AS88" s="119" t="str">
        <f>Inputs!AS182</f>
        <v>-</v>
      </c>
      <c r="AT88" s="136"/>
    </row>
    <row r="89">
      <c r="A89" s="80"/>
      <c r="B89" s="81"/>
      <c r="C89" s="112"/>
      <c r="D89" s="90"/>
      <c r="E89" s="140" t="s">
        <v>462</v>
      </c>
      <c r="F89" s="215" t="s">
        <v>122</v>
      </c>
      <c r="G89" s="276" t="s">
        <v>149</v>
      </c>
      <c r="H89" s="187" t="s">
        <v>150</v>
      </c>
      <c r="I89" s="149">
        <f t="shared" ref="I89:AS89" si="5">I56*(1+$H$88)</f>
        <v>0.2261828013</v>
      </c>
      <c r="J89" s="149">
        <f t="shared" si="5"/>
        <v>0.2840524703</v>
      </c>
      <c r="K89" s="149">
        <f t="shared" si="5"/>
        <v>0.2231263988</v>
      </c>
      <c r="L89" s="149">
        <f t="shared" si="5"/>
        <v>0.3243448234</v>
      </c>
      <c r="M89" s="149">
        <f t="shared" si="5"/>
        <v>0.2354196174</v>
      </c>
      <c r="N89" s="149">
        <f t="shared" si="5"/>
        <v>0.2138741039</v>
      </c>
      <c r="O89" s="149">
        <f t="shared" si="5"/>
        <v>0.2158568567</v>
      </c>
      <c r="P89" s="149">
        <f t="shared" si="5"/>
        <v>0.1252177309</v>
      </c>
      <c r="Q89" s="149">
        <f t="shared" si="5"/>
        <v>0.1747913176</v>
      </c>
      <c r="R89" s="149">
        <f t="shared" si="5"/>
        <v>0.4448716451</v>
      </c>
      <c r="S89" s="149">
        <f t="shared" si="5"/>
        <v>0.3782187021</v>
      </c>
      <c r="T89" s="149">
        <f t="shared" si="5"/>
        <v>0.4208245564</v>
      </c>
      <c r="U89" s="149">
        <f t="shared" si="5"/>
        <v>0.4331110451</v>
      </c>
      <c r="V89" s="149">
        <f t="shared" si="5"/>
        <v>0.3626934573</v>
      </c>
      <c r="W89" s="149">
        <f t="shared" si="5"/>
        <v>0.37095589</v>
      </c>
      <c r="X89" s="149">
        <f t="shared" si="5"/>
        <v>0.3642448768</v>
      </c>
      <c r="Y89" s="149">
        <f t="shared" si="5"/>
        <v>0.4541373998</v>
      </c>
      <c r="Z89" s="149">
        <f t="shared" si="5"/>
        <v>0.4118077814</v>
      </c>
      <c r="AA89" s="149">
        <f t="shared" si="5"/>
        <v>0.4553698483</v>
      </c>
      <c r="AB89" s="149">
        <f t="shared" si="5"/>
        <v>0.4734410858</v>
      </c>
      <c r="AC89" s="149">
        <f t="shared" si="5"/>
        <v>0.4646453614</v>
      </c>
      <c r="AD89" s="149">
        <f t="shared" si="5"/>
        <v>0.4816900586</v>
      </c>
      <c r="AE89" s="149">
        <f t="shared" si="5"/>
        <v>0.457639605</v>
      </c>
      <c r="AF89" s="149">
        <f t="shared" si="5"/>
        <v>0.4766916193</v>
      </c>
      <c r="AG89" s="149">
        <f t="shared" si="5"/>
        <v>0.4147861169</v>
      </c>
      <c r="AH89" s="149">
        <f t="shared" si="5"/>
        <v>0.361713017</v>
      </c>
      <c r="AI89" s="149">
        <f t="shared" si="5"/>
        <v>0.4691727609</v>
      </c>
      <c r="AJ89" s="149">
        <f t="shared" si="5"/>
        <v>0.3581805271</v>
      </c>
      <c r="AK89" s="149">
        <f t="shared" si="5"/>
        <v>0.2624696057</v>
      </c>
      <c r="AL89" s="149">
        <f t="shared" si="5"/>
        <v>0.3815153355</v>
      </c>
      <c r="AM89" s="149">
        <f t="shared" si="5"/>
        <v>0.396294987</v>
      </c>
      <c r="AN89" s="149">
        <f t="shared" si="5"/>
        <v>0.4521324382</v>
      </c>
      <c r="AO89" s="149">
        <f t="shared" si="5"/>
        <v>0.3997793579</v>
      </c>
      <c r="AP89" s="149">
        <f t="shared" si="5"/>
        <v>0.4203161654</v>
      </c>
      <c r="AQ89" s="149">
        <f t="shared" si="5"/>
        <v>0.4315872183</v>
      </c>
      <c r="AR89" s="149">
        <f t="shared" si="5"/>
        <v>0.2774945355</v>
      </c>
      <c r="AS89" s="149">
        <f t="shared" si="5"/>
        <v>0.2291029229</v>
      </c>
      <c r="AT89" s="163"/>
    </row>
    <row r="90">
      <c r="A90" s="80"/>
      <c r="B90" s="81"/>
      <c r="C90" s="112"/>
      <c r="D90" s="90"/>
      <c r="E90" s="140" t="s">
        <v>467</v>
      </c>
      <c r="F90" s="215" t="s">
        <v>122</v>
      </c>
      <c r="G90" s="276" t="s">
        <v>149</v>
      </c>
      <c r="H90" s="187" t="s">
        <v>150</v>
      </c>
      <c r="I90" s="149">
        <f t="shared" ref="I90:AS90" si="6">I57*(1+$H$88)</f>
        <v>0.1670116571</v>
      </c>
      <c r="J90" s="149">
        <f t="shared" si="6"/>
        <v>0.2130920735</v>
      </c>
      <c r="K90" s="149">
        <f t="shared" si="6"/>
        <v>0.1749571391</v>
      </c>
      <c r="L90" s="149">
        <f t="shared" si="6"/>
        <v>0.2607982768</v>
      </c>
      <c r="M90" s="149">
        <f t="shared" si="6"/>
        <v>0.1806994444</v>
      </c>
      <c r="N90" s="149">
        <f t="shared" si="6"/>
        <v>0.1739098789</v>
      </c>
      <c r="O90" s="149">
        <f t="shared" si="6"/>
        <v>0.1899055593</v>
      </c>
      <c r="P90" s="149">
        <f t="shared" si="6"/>
        <v>0.06958720017</v>
      </c>
      <c r="Q90" s="149">
        <f t="shared" si="6"/>
        <v>0.1224597044</v>
      </c>
      <c r="R90" s="149">
        <f t="shared" si="6"/>
        <v>0.3943543862</v>
      </c>
      <c r="S90" s="149">
        <f t="shared" si="6"/>
        <v>0.2993994068</v>
      </c>
      <c r="T90" s="149">
        <f t="shared" si="6"/>
        <v>0.3958306029</v>
      </c>
      <c r="U90" s="149">
        <f t="shared" si="6"/>
        <v>0.4060866445</v>
      </c>
      <c r="V90" s="149">
        <f t="shared" si="6"/>
        <v>0.3238256842</v>
      </c>
      <c r="W90" s="149">
        <f t="shared" si="6"/>
        <v>0.3454216175</v>
      </c>
      <c r="X90" s="149">
        <f t="shared" si="6"/>
        <v>0.2846403025</v>
      </c>
      <c r="Y90" s="149">
        <f t="shared" si="6"/>
        <v>0.4234272363</v>
      </c>
      <c r="Z90" s="149">
        <f t="shared" si="6"/>
        <v>0.3609832685</v>
      </c>
      <c r="AA90" s="149">
        <f t="shared" si="6"/>
        <v>0.422659416</v>
      </c>
      <c r="AB90" s="149">
        <f t="shared" si="6"/>
        <v>0.4416005699</v>
      </c>
      <c r="AC90" s="149">
        <f t="shared" si="6"/>
        <v>0.4389084393</v>
      </c>
      <c r="AD90" s="149">
        <f t="shared" si="6"/>
        <v>0.4435096046</v>
      </c>
      <c r="AE90" s="149">
        <f t="shared" si="6"/>
        <v>0.411806535</v>
      </c>
      <c r="AF90" s="149">
        <f t="shared" si="6"/>
        <v>0.4255745194</v>
      </c>
      <c r="AG90" s="149">
        <f t="shared" si="6"/>
        <v>0.3243604187</v>
      </c>
      <c r="AH90" s="149">
        <f t="shared" si="6"/>
        <v>0.3190657973</v>
      </c>
      <c r="AI90" s="149">
        <f t="shared" si="6"/>
        <v>0.4464387385</v>
      </c>
      <c r="AJ90" s="149">
        <f t="shared" si="6"/>
        <v>0.2854446526</v>
      </c>
      <c r="AK90" s="149">
        <f t="shared" si="6"/>
        <v>0.2117440313</v>
      </c>
      <c r="AL90" s="149">
        <f t="shared" si="6"/>
        <v>0.3052697688</v>
      </c>
      <c r="AM90" s="149">
        <f t="shared" si="6"/>
        <v>0.3559322753</v>
      </c>
      <c r="AN90" s="149">
        <f t="shared" si="6"/>
        <v>0.4004354515</v>
      </c>
      <c r="AO90" s="149">
        <f t="shared" si="6"/>
        <v>0.3325271501</v>
      </c>
      <c r="AP90" s="149">
        <f t="shared" si="6"/>
        <v>0.3450895314</v>
      </c>
      <c r="AQ90" s="149">
        <f t="shared" si="6"/>
        <v>0.4068201058</v>
      </c>
      <c r="AR90" s="149">
        <f t="shared" si="6"/>
        <v>0.2288450133</v>
      </c>
      <c r="AS90" s="149">
        <f t="shared" si="6"/>
        <v>0.2118701126</v>
      </c>
      <c r="AT90" s="163"/>
    </row>
    <row r="91">
      <c r="A91" s="80"/>
      <c r="B91" s="81"/>
      <c r="C91" s="112"/>
      <c r="D91" s="90"/>
      <c r="E91" s="140" t="s">
        <v>469</v>
      </c>
      <c r="F91" s="215" t="s">
        <v>122</v>
      </c>
      <c r="G91" s="276" t="s">
        <v>149</v>
      </c>
      <c r="H91" s="187" t="s">
        <v>150</v>
      </c>
      <c r="I91" s="149">
        <f t="shared" ref="I91:AS91" si="7">I58*(1+$H$88)</f>
        <v>0.1670116571</v>
      </c>
      <c r="J91" s="149">
        <f t="shared" si="7"/>
        <v>0.2130920735</v>
      </c>
      <c r="K91" s="149">
        <f t="shared" si="7"/>
        <v>0.1749571391</v>
      </c>
      <c r="L91" s="149">
        <f t="shared" si="7"/>
        <v>0.2607982768</v>
      </c>
      <c r="M91" s="149">
        <f t="shared" si="7"/>
        <v>0.1806994444</v>
      </c>
      <c r="N91" s="149">
        <f t="shared" si="7"/>
        <v>0.1739098789</v>
      </c>
      <c r="O91" s="149">
        <f t="shared" si="7"/>
        <v>0.1899055593</v>
      </c>
      <c r="P91" s="149">
        <f t="shared" si="7"/>
        <v>0.06958720017</v>
      </c>
      <c r="Q91" s="149">
        <f t="shared" si="7"/>
        <v>0.1224597044</v>
      </c>
      <c r="R91" s="149">
        <f t="shared" si="7"/>
        <v>0.3943543862</v>
      </c>
      <c r="S91" s="149">
        <f t="shared" si="7"/>
        <v>0.2993994068</v>
      </c>
      <c r="T91" s="149">
        <f t="shared" si="7"/>
        <v>0.3958306029</v>
      </c>
      <c r="U91" s="149">
        <f t="shared" si="7"/>
        <v>0.4060866445</v>
      </c>
      <c r="V91" s="149">
        <f t="shared" si="7"/>
        <v>0.3238256842</v>
      </c>
      <c r="W91" s="149">
        <f t="shared" si="7"/>
        <v>0.3454216175</v>
      </c>
      <c r="X91" s="149">
        <f t="shared" si="7"/>
        <v>0.2846403025</v>
      </c>
      <c r="Y91" s="149">
        <f t="shared" si="7"/>
        <v>0.4234272363</v>
      </c>
      <c r="Z91" s="149">
        <f t="shared" si="7"/>
        <v>0.3609832685</v>
      </c>
      <c r="AA91" s="149">
        <f t="shared" si="7"/>
        <v>0.422659416</v>
      </c>
      <c r="AB91" s="149">
        <f t="shared" si="7"/>
        <v>0.4416005699</v>
      </c>
      <c r="AC91" s="149">
        <f t="shared" si="7"/>
        <v>0.4389084393</v>
      </c>
      <c r="AD91" s="149">
        <f t="shared" si="7"/>
        <v>0.4435096046</v>
      </c>
      <c r="AE91" s="149">
        <f t="shared" si="7"/>
        <v>0.411806535</v>
      </c>
      <c r="AF91" s="149">
        <f t="shared" si="7"/>
        <v>0.4255745194</v>
      </c>
      <c r="AG91" s="149">
        <f t="shared" si="7"/>
        <v>0.3243604187</v>
      </c>
      <c r="AH91" s="149">
        <f t="shared" si="7"/>
        <v>0.3190657973</v>
      </c>
      <c r="AI91" s="149">
        <f t="shared" si="7"/>
        <v>0.4464387385</v>
      </c>
      <c r="AJ91" s="149">
        <f t="shared" si="7"/>
        <v>0.2854446526</v>
      </c>
      <c r="AK91" s="149">
        <f t="shared" si="7"/>
        <v>0.2117440313</v>
      </c>
      <c r="AL91" s="149">
        <f t="shared" si="7"/>
        <v>0.3052697688</v>
      </c>
      <c r="AM91" s="149">
        <f t="shared" si="7"/>
        <v>0.3559322753</v>
      </c>
      <c r="AN91" s="149">
        <f t="shared" si="7"/>
        <v>0.4004354515</v>
      </c>
      <c r="AO91" s="149">
        <f t="shared" si="7"/>
        <v>0.3325271501</v>
      </c>
      <c r="AP91" s="149">
        <f t="shared" si="7"/>
        <v>0.3450895314</v>
      </c>
      <c r="AQ91" s="149">
        <f t="shared" si="7"/>
        <v>0.4068201058</v>
      </c>
      <c r="AR91" s="149">
        <f t="shared" si="7"/>
        <v>0.2288450133</v>
      </c>
      <c r="AS91" s="149">
        <f t="shared" si="7"/>
        <v>0.2118701126</v>
      </c>
      <c r="AT91" s="163"/>
    </row>
    <row r="92">
      <c r="A92" s="80"/>
      <c r="B92" s="81"/>
      <c r="C92" s="112"/>
      <c r="D92" s="90"/>
      <c r="E92" s="140" t="s">
        <v>474</v>
      </c>
      <c r="F92" s="215" t="s">
        <v>122</v>
      </c>
      <c r="G92" s="276" t="s">
        <v>149</v>
      </c>
      <c r="H92" s="187" t="s">
        <v>150</v>
      </c>
      <c r="I92" s="149">
        <f t="shared" ref="I92:AS92" si="8">I59*(1+$H$88)</f>
        <v>0.1671718741</v>
      </c>
      <c r="J92" s="149">
        <f t="shared" si="8"/>
        <v>0.2113669088</v>
      </c>
      <c r="K92" s="149">
        <f t="shared" si="8"/>
        <v>0.1759617654</v>
      </c>
      <c r="L92" s="149">
        <f t="shared" si="8"/>
        <v>0.2671601128</v>
      </c>
      <c r="M92" s="149">
        <f t="shared" si="8"/>
        <v>0.1823509488</v>
      </c>
      <c r="N92" s="149">
        <f t="shared" si="8"/>
        <v>0.1666016235</v>
      </c>
      <c r="O92" s="149">
        <f t="shared" si="8"/>
        <v>0.1899010569</v>
      </c>
      <c r="P92" s="149">
        <f t="shared" si="8"/>
        <v>0.05646627949</v>
      </c>
      <c r="Q92" s="149">
        <f t="shared" si="8"/>
        <v>0.1280479188</v>
      </c>
      <c r="R92" s="149">
        <f t="shared" si="8"/>
        <v>0.3962119997</v>
      </c>
      <c r="S92" s="149">
        <f t="shared" si="8"/>
        <v>0.3017012298</v>
      </c>
      <c r="T92" s="149">
        <f t="shared" si="8"/>
        <v>0.3918657063</v>
      </c>
      <c r="U92" s="149">
        <f t="shared" si="8"/>
        <v>0.403449831</v>
      </c>
      <c r="V92" s="149">
        <f t="shared" si="8"/>
        <v>0.3254996101</v>
      </c>
      <c r="W92" s="149">
        <f t="shared" si="8"/>
        <v>0.3317980238</v>
      </c>
      <c r="X92" s="149">
        <f t="shared" si="8"/>
        <v>0.2567543615</v>
      </c>
      <c r="Y92" s="149">
        <f t="shared" si="8"/>
        <v>0.4317725092</v>
      </c>
      <c r="Z92" s="149">
        <f t="shared" si="8"/>
        <v>0.3546170939</v>
      </c>
      <c r="AA92" s="149">
        <f t="shared" si="8"/>
        <v>0.420657002</v>
      </c>
      <c r="AB92" s="149">
        <f t="shared" si="8"/>
        <v>0.4285667579</v>
      </c>
      <c r="AC92" s="149">
        <f t="shared" si="8"/>
        <v>0.4258062245</v>
      </c>
      <c r="AD92" s="149">
        <f t="shared" si="8"/>
        <v>0.4557120419</v>
      </c>
      <c r="AE92" s="149">
        <f t="shared" si="8"/>
        <v>0.4133972494</v>
      </c>
      <c r="AF92" s="149">
        <f t="shared" si="8"/>
        <v>0.4326149451</v>
      </c>
      <c r="AG92" s="149">
        <f t="shared" si="8"/>
        <v>0.3279624909</v>
      </c>
      <c r="AH92" s="149">
        <f t="shared" si="8"/>
        <v>0.3040394246</v>
      </c>
      <c r="AI92" s="149">
        <f t="shared" si="8"/>
        <v>0.4423278293</v>
      </c>
      <c r="AJ92" s="149">
        <f t="shared" si="8"/>
        <v>0.2856292237</v>
      </c>
      <c r="AK92" s="149">
        <f t="shared" si="8"/>
        <v>0.202414081</v>
      </c>
      <c r="AL92" s="149">
        <f t="shared" si="8"/>
        <v>0.3036508631</v>
      </c>
      <c r="AM92" s="149">
        <f t="shared" si="8"/>
        <v>0.3494268167</v>
      </c>
      <c r="AN92" s="149">
        <f t="shared" si="8"/>
        <v>0.3862878065</v>
      </c>
      <c r="AO92" s="149">
        <f t="shared" si="8"/>
        <v>0.3220542723</v>
      </c>
      <c r="AP92" s="149">
        <f t="shared" si="8"/>
        <v>0.326902435</v>
      </c>
      <c r="AQ92" s="149">
        <f t="shared" si="8"/>
        <v>0.4029963777</v>
      </c>
      <c r="AR92" s="149">
        <f t="shared" si="8"/>
        <v>0.2279454596</v>
      </c>
      <c r="AS92" s="149">
        <f t="shared" si="8"/>
        <v>0.2056301432</v>
      </c>
      <c r="AT92" s="163"/>
    </row>
    <row r="93">
      <c r="A93" s="80"/>
      <c r="B93" s="81"/>
      <c r="C93" s="112"/>
      <c r="D93" s="90"/>
      <c r="E93" s="140" t="s">
        <v>476</v>
      </c>
      <c r="F93" s="215" t="s">
        <v>122</v>
      </c>
      <c r="G93" s="276" t="s">
        <v>149</v>
      </c>
      <c r="H93" s="187" t="s">
        <v>150</v>
      </c>
      <c r="I93" s="149">
        <f t="shared" ref="I93:AS93" si="9">I60*(1+$H$88)</f>
        <v>0</v>
      </c>
      <c r="J93" s="149">
        <f t="shared" si="9"/>
        <v>0</v>
      </c>
      <c r="K93" s="149">
        <f t="shared" si="9"/>
        <v>0</v>
      </c>
      <c r="L93" s="149">
        <f t="shared" si="9"/>
        <v>0</v>
      </c>
      <c r="M93" s="149">
        <f t="shared" si="9"/>
        <v>0</v>
      </c>
      <c r="N93" s="149">
        <f t="shared" si="9"/>
        <v>0</v>
      </c>
      <c r="O93" s="149">
        <f t="shared" si="9"/>
        <v>0</v>
      </c>
      <c r="P93" s="149">
        <f t="shared" si="9"/>
        <v>0</v>
      </c>
      <c r="Q93" s="149">
        <f t="shared" si="9"/>
        <v>0</v>
      </c>
      <c r="R93" s="149">
        <f t="shared" si="9"/>
        <v>0</v>
      </c>
      <c r="S93" s="149">
        <f t="shared" si="9"/>
        <v>0</v>
      </c>
      <c r="T93" s="149">
        <f t="shared" si="9"/>
        <v>0</v>
      </c>
      <c r="U93" s="149">
        <f t="shared" si="9"/>
        <v>0</v>
      </c>
      <c r="V93" s="149">
        <f t="shared" si="9"/>
        <v>0</v>
      </c>
      <c r="W93" s="149">
        <f t="shared" si="9"/>
        <v>0</v>
      </c>
      <c r="X93" s="149">
        <f t="shared" si="9"/>
        <v>0</v>
      </c>
      <c r="Y93" s="149">
        <f t="shared" si="9"/>
        <v>0</v>
      </c>
      <c r="Z93" s="149">
        <f t="shared" si="9"/>
        <v>0</v>
      </c>
      <c r="AA93" s="149">
        <f t="shared" si="9"/>
        <v>0</v>
      </c>
      <c r="AB93" s="149">
        <f t="shared" si="9"/>
        <v>0</v>
      </c>
      <c r="AC93" s="149">
        <f t="shared" si="9"/>
        <v>0</v>
      </c>
      <c r="AD93" s="149">
        <f t="shared" si="9"/>
        <v>0</v>
      </c>
      <c r="AE93" s="149">
        <f t="shared" si="9"/>
        <v>0</v>
      </c>
      <c r="AF93" s="149">
        <f t="shared" si="9"/>
        <v>0</v>
      </c>
      <c r="AG93" s="149">
        <f t="shared" si="9"/>
        <v>0</v>
      </c>
      <c r="AH93" s="149">
        <f t="shared" si="9"/>
        <v>0</v>
      </c>
      <c r="AI93" s="149">
        <f t="shared" si="9"/>
        <v>0</v>
      </c>
      <c r="AJ93" s="149">
        <f t="shared" si="9"/>
        <v>0</v>
      </c>
      <c r="AK93" s="149">
        <f t="shared" si="9"/>
        <v>0</v>
      </c>
      <c r="AL93" s="149">
        <f t="shared" si="9"/>
        <v>0</v>
      </c>
      <c r="AM93" s="149">
        <f t="shared" si="9"/>
        <v>0</v>
      </c>
      <c r="AN93" s="149">
        <f t="shared" si="9"/>
        <v>0</v>
      </c>
      <c r="AO93" s="149">
        <f t="shared" si="9"/>
        <v>0</v>
      </c>
      <c r="AP93" s="149">
        <f t="shared" si="9"/>
        <v>0</v>
      </c>
      <c r="AQ93" s="149">
        <f t="shared" si="9"/>
        <v>0</v>
      </c>
      <c r="AR93" s="149">
        <f t="shared" si="9"/>
        <v>0</v>
      </c>
      <c r="AS93" s="149">
        <f t="shared" si="9"/>
        <v>0</v>
      </c>
      <c r="AT93" s="163"/>
    </row>
    <row r="94">
      <c r="A94" s="80"/>
      <c r="B94" s="81"/>
      <c r="C94" s="112"/>
      <c r="D94" s="90"/>
      <c r="E94" s="237" t="s">
        <v>478</v>
      </c>
      <c r="F94" s="195" t="s">
        <v>122</v>
      </c>
      <c r="G94" s="291" t="s">
        <v>149</v>
      </c>
      <c r="H94" s="197" t="s">
        <v>150</v>
      </c>
      <c r="I94" s="240">
        <f t="shared" ref="I94:AS94" si="10">I61*(1+$H$88)</f>
        <v>0.1327473571</v>
      </c>
      <c r="J94" s="240">
        <f t="shared" si="10"/>
        <v>0.1730841277</v>
      </c>
      <c r="K94" s="240">
        <f t="shared" si="10"/>
        <v>0.1660009771</v>
      </c>
      <c r="L94" s="240">
        <f t="shared" si="10"/>
        <v>0.2499701423</v>
      </c>
      <c r="M94" s="240">
        <f t="shared" si="10"/>
        <v>0.1617915391</v>
      </c>
      <c r="N94" s="240">
        <f t="shared" si="10"/>
        <v>0.1622820958</v>
      </c>
      <c r="O94" s="240">
        <f t="shared" si="10"/>
        <v>0.2221247592</v>
      </c>
      <c r="P94" s="240">
        <f t="shared" si="10"/>
        <v>0.07237712242</v>
      </c>
      <c r="Q94" s="240">
        <f t="shared" si="10"/>
        <v>0.1557571376</v>
      </c>
      <c r="R94" s="240">
        <f t="shared" si="10"/>
        <v>0.3639602284</v>
      </c>
      <c r="S94" s="240">
        <f t="shared" si="10"/>
        <v>0.2757728763</v>
      </c>
      <c r="T94" s="240">
        <f t="shared" si="10"/>
        <v>0.3399064098</v>
      </c>
      <c r="U94" s="240">
        <f t="shared" si="10"/>
        <v>0.3559652828</v>
      </c>
      <c r="V94" s="240">
        <f t="shared" si="10"/>
        <v>0.2955580336</v>
      </c>
      <c r="W94" s="240">
        <f t="shared" si="10"/>
        <v>0.304576491</v>
      </c>
      <c r="X94" s="240">
        <f t="shared" si="10"/>
        <v>0.2425108438</v>
      </c>
      <c r="Y94" s="240">
        <f t="shared" si="10"/>
        <v>0.3839973939</v>
      </c>
      <c r="Z94" s="240">
        <f t="shared" si="10"/>
        <v>0.342910319</v>
      </c>
      <c r="AA94" s="240">
        <f t="shared" si="10"/>
        <v>0.375432142</v>
      </c>
      <c r="AB94" s="240">
        <f t="shared" si="10"/>
        <v>0.4155801657</v>
      </c>
      <c r="AC94" s="240">
        <f t="shared" si="10"/>
        <v>0.4373383174</v>
      </c>
      <c r="AD94" s="240">
        <f t="shared" si="10"/>
        <v>0.4027970634</v>
      </c>
      <c r="AE94" s="240">
        <f t="shared" si="10"/>
        <v>0.4152968633</v>
      </c>
      <c r="AF94" s="240">
        <f t="shared" si="10"/>
        <v>0.3754893464</v>
      </c>
      <c r="AG94" s="240">
        <f t="shared" si="10"/>
        <v>0.3439159965</v>
      </c>
      <c r="AH94" s="240">
        <f t="shared" si="10"/>
        <v>0.3284021926</v>
      </c>
      <c r="AI94" s="240">
        <f t="shared" si="10"/>
        <v>0.4366139233</v>
      </c>
      <c r="AJ94" s="240">
        <f t="shared" si="10"/>
        <v>0.2662635257</v>
      </c>
      <c r="AK94" s="240">
        <f t="shared" si="10"/>
        <v>0.2148844923</v>
      </c>
      <c r="AL94" s="240">
        <f t="shared" si="10"/>
        <v>0.2873211746</v>
      </c>
      <c r="AM94" s="240">
        <f t="shared" si="10"/>
        <v>0.3461931561</v>
      </c>
      <c r="AN94" s="240">
        <f t="shared" si="10"/>
        <v>0.3692056286</v>
      </c>
      <c r="AO94" s="240">
        <f t="shared" si="10"/>
        <v>0.286050702</v>
      </c>
      <c r="AP94" s="240">
        <f t="shared" si="10"/>
        <v>0.339661468</v>
      </c>
      <c r="AQ94" s="240">
        <f t="shared" si="10"/>
        <v>0.3889938143</v>
      </c>
      <c r="AR94" s="240">
        <f t="shared" si="10"/>
        <v>0.2369064296</v>
      </c>
      <c r="AS94" s="240">
        <f t="shared" si="10"/>
        <v>0.215329622</v>
      </c>
      <c r="AT94" s="248"/>
    </row>
    <row r="95">
      <c r="A95" s="80"/>
      <c r="B95" s="81"/>
      <c r="C95" s="112"/>
      <c r="D95" s="90"/>
      <c r="E95" s="243"/>
      <c r="F95" s="108"/>
      <c r="G95" s="109"/>
      <c r="H95" s="110"/>
      <c r="I95" s="111"/>
      <c r="J95" s="111"/>
      <c r="K95" s="111"/>
      <c r="L95" s="111"/>
      <c r="M95" s="111"/>
      <c r="N95" s="111"/>
      <c r="O95" s="111"/>
      <c r="P95" s="111"/>
      <c r="Q95" s="111"/>
      <c r="R95" s="111"/>
      <c r="S95" s="111"/>
      <c r="T95" s="111"/>
      <c r="U95" s="111"/>
      <c r="V95" s="111"/>
      <c r="W95" s="111"/>
      <c r="X95" s="111"/>
      <c r="Y95" s="111"/>
      <c r="Z95" s="111"/>
      <c r="AA95" s="111"/>
      <c r="AB95" s="111"/>
      <c r="AC95" s="111"/>
      <c r="AD95" s="111"/>
      <c r="AE95" s="111"/>
      <c r="AF95" s="111"/>
      <c r="AG95" s="111"/>
      <c r="AH95" s="111"/>
      <c r="AI95" s="111"/>
      <c r="AJ95" s="111"/>
      <c r="AK95" s="111"/>
      <c r="AL95" s="111"/>
      <c r="AM95" s="111"/>
      <c r="AN95" s="111"/>
      <c r="AO95" s="111"/>
      <c r="AP95" s="111"/>
      <c r="AQ95" s="111"/>
      <c r="AR95" s="111"/>
      <c r="AS95" s="111"/>
      <c r="AT95" s="88"/>
    </row>
    <row r="96">
      <c r="A96" s="80"/>
      <c r="B96" s="81"/>
      <c r="C96" s="112" t="s">
        <v>483</v>
      </c>
      <c r="F96" s="108"/>
      <c r="G96" s="109"/>
      <c r="H96" s="110"/>
      <c r="I96" s="111"/>
      <c r="J96" s="111"/>
      <c r="K96" s="111"/>
      <c r="L96" s="111"/>
      <c r="M96" s="111"/>
      <c r="N96" s="111"/>
      <c r="O96" s="111"/>
      <c r="P96" s="111"/>
      <c r="Q96" s="111"/>
      <c r="R96" s="111"/>
      <c r="S96" s="111"/>
      <c r="T96" s="111"/>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88"/>
    </row>
    <row r="97">
      <c r="A97" s="80"/>
      <c r="B97" s="81"/>
      <c r="C97" s="112"/>
      <c r="D97" s="90"/>
      <c r="E97" s="224" t="s">
        <v>251</v>
      </c>
      <c r="F97" s="93" t="s">
        <v>122</v>
      </c>
      <c r="G97" s="321" t="s">
        <v>149</v>
      </c>
      <c r="H97" s="129" t="s">
        <v>150</v>
      </c>
      <c r="I97" s="308">
        <f t="shared" ref="I97:AS97" si="11">SUMPRODUCT($H69:$H74,I77:I82,I89:I94)/I85</f>
        <v>0.1565354678</v>
      </c>
      <c r="J97" s="308">
        <f t="shared" si="11"/>
        <v>0.1981607759</v>
      </c>
      <c r="K97" s="308">
        <f t="shared" si="11"/>
        <v>0.1737030522</v>
      </c>
      <c r="L97" s="308">
        <f t="shared" si="11"/>
        <v>0.2547921966</v>
      </c>
      <c r="M97" s="308">
        <f t="shared" si="11"/>
        <v>0.1755117843</v>
      </c>
      <c r="N97" s="308">
        <f t="shared" si="11"/>
        <v>0.1613670685</v>
      </c>
      <c r="O97" s="308">
        <f t="shared" si="11"/>
        <v>0.1790049693</v>
      </c>
      <c r="P97" s="308">
        <f t="shared" si="11"/>
        <v>0.07352943014</v>
      </c>
      <c r="Q97" s="308">
        <f t="shared" si="11"/>
        <v>0.1303854195</v>
      </c>
      <c r="R97" s="308">
        <f t="shared" si="11"/>
        <v>0.3531172649</v>
      </c>
      <c r="S97" s="308">
        <f t="shared" si="11"/>
        <v>0.280083559</v>
      </c>
      <c r="T97" s="308">
        <f t="shared" si="11"/>
        <v>0.3660440914</v>
      </c>
      <c r="U97" s="308">
        <f t="shared" si="11"/>
        <v>0.3850658921</v>
      </c>
      <c r="V97" s="308">
        <f t="shared" si="11"/>
        <v>0.2751407644</v>
      </c>
      <c r="W97" s="308">
        <f t="shared" si="11"/>
        <v>0.289017218</v>
      </c>
      <c r="X97" s="308">
        <f t="shared" si="11"/>
        <v>0.2435731333</v>
      </c>
      <c r="Y97" s="308">
        <f t="shared" si="11"/>
        <v>0.3880840603</v>
      </c>
      <c r="Z97" s="308">
        <f t="shared" si="11"/>
        <v>0.3430762584</v>
      </c>
      <c r="AA97" s="308">
        <f t="shared" si="11"/>
        <v>0.3856455282</v>
      </c>
      <c r="AB97" s="308">
        <f t="shared" si="11"/>
        <v>0.4112540674</v>
      </c>
      <c r="AC97" s="308">
        <f t="shared" si="11"/>
        <v>0.4067561884</v>
      </c>
      <c r="AD97" s="308">
        <f t="shared" si="11"/>
        <v>0.4157325811</v>
      </c>
      <c r="AE97" s="308">
        <f t="shared" si="11"/>
        <v>0.3996252109</v>
      </c>
      <c r="AF97" s="308">
        <f t="shared" si="11"/>
        <v>0.4096834865</v>
      </c>
      <c r="AG97" s="308">
        <f t="shared" si="11"/>
        <v>0.3146292925</v>
      </c>
      <c r="AH97" s="308">
        <f t="shared" si="11"/>
        <v>0.2933379004</v>
      </c>
      <c r="AI97" s="308">
        <f t="shared" si="11"/>
        <v>0.4290892463</v>
      </c>
      <c r="AJ97" s="308">
        <f t="shared" si="11"/>
        <v>0.2702739734</v>
      </c>
      <c r="AK97" s="308">
        <f t="shared" si="11"/>
        <v>0.1937429704</v>
      </c>
      <c r="AL97" s="308">
        <f t="shared" si="11"/>
        <v>0.2959541554</v>
      </c>
      <c r="AM97" s="308">
        <f t="shared" si="11"/>
        <v>0.3290901154</v>
      </c>
      <c r="AN97" s="308">
        <f t="shared" si="11"/>
        <v>0.3714009029</v>
      </c>
      <c r="AO97" s="308">
        <f t="shared" si="11"/>
        <v>0.2999532058</v>
      </c>
      <c r="AP97" s="308">
        <f t="shared" si="11"/>
        <v>0.3116792053</v>
      </c>
      <c r="AQ97" s="308">
        <f t="shared" si="11"/>
        <v>0.3846277018</v>
      </c>
      <c r="AR97" s="308">
        <f t="shared" si="11"/>
        <v>0.2094321301</v>
      </c>
      <c r="AS97" s="308">
        <f t="shared" si="11"/>
        <v>0.1883330759</v>
      </c>
      <c r="AT97" s="265"/>
    </row>
    <row r="98">
      <c r="A98" s="80"/>
      <c r="B98" s="81"/>
      <c r="C98" s="102"/>
      <c r="D98" s="81"/>
      <c r="E98" s="82"/>
      <c r="F98" s="83"/>
      <c r="G98" s="91"/>
      <c r="H98" s="85"/>
      <c r="I98" s="86"/>
      <c r="J98" s="86"/>
      <c r="K98" s="86"/>
      <c r="L98" s="86"/>
      <c r="M98" s="86"/>
      <c r="N98" s="86"/>
      <c r="O98" s="86"/>
      <c r="P98" s="86"/>
      <c r="Q98" s="86"/>
      <c r="R98" s="398"/>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c r="AQ98" s="86"/>
      <c r="AR98" s="86"/>
      <c r="AS98" s="86"/>
      <c r="AT98" s="88"/>
    </row>
    <row r="99">
      <c r="A99" s="81"/>
      <c r="B99" s="81"/>
      <c r="C99" s="90" t="s">
        <v>488</v>
      </c>
      <c r="F99" s="83"/>
      <c r="G99" s="135"/>
      <c r="H99" s="85"/>
      <c r="I99" s="86"/>
      <c r="J99" s="86"/>
      <c r="K99" s="86"/>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c r="AQ99" s="86"/>
      <c r="AR99" s="86"/>
      <c r="AS99" s="86"/>
      <c r="AT99" s="88"/>
    </row>
    <row r="100">
      <c r="A100" s="81"/>
      <c r="B100" s="81"/>
      <c r="C100" s="112"/>
      <c r="D100" s="112"/>
      <c r="E100" s="113" t="s">
        <v>489</v>
      </c>
      <c r="F100" s="399" t="str">
        <f>'Disease burden'!F285</f>
        <v>%</v>
      </c>
      <c r="G100" s="117" t="s">
        <v>131</v>
      </c>
      <c r="H100" s="156">
        <f>'Disease burden'!H285</f>
        <v>0.43360428</v>
      </c>
      <c r="I100" s="289" t="str">
        <f>'Disease burden'!I285</f>
        <v>-</v>
      </c>
      <c r="J100" s="289" t="str">
        <f>'Disease burden'!J285</f>
        <v>-</v>
      </c>
      <c r="K100" s="289" t="str">
        <f>'Disease burden'!K285</f>
        <v>-</v>
      </c>
      <c r="L100" s="289" t="str">
        <f>'Disease burden'!L285</f>
        <v>-</v>
      </c>
      <c r="M100" s="289" t="str">
        <f>'Disease burden'!M285</f>
        <v>-</v>
      </c>
      <c r="N100" s="289" t="str">
        <f>'Disease burden'!N285</f>
        <v>-</v>
      </c>
      <c r="O100" s="289" t="str">
        <f>'Disease burden'!O285</f>
        <v>-</v>
      </c>
      <c r="P100" s="289" t="str">
        <f>'Disease burden'!P285</f>
        <v>-</v>
      </c>
      <c r="Q100" s="289" t="str">
        <f>'Disease burden'!Q285</f>
        <v>-</v>
      </c>
      <c r="R100" s="289" t="str">
        <f>'Disease burden'!R285</f>
        <v>-</v>
      </c>
      <c r="S100" s="289" t="str">
        <f>'Disease burden'!S285</f>
        <v>-</v>
      </c>
      <c r="T100" s="289" t="str">
        <f>'Disease burden'!T285</f>
        <v>-</v>
      </c>
      <c r="U100" s="289" t="str">
        <f>'Disease burden'!U285</f>
        <v>-</v>
      </c>
      <c r="V100" s="289" t="str">
        <f>'Disease burden'!V285</f>
        <v>-</v>
      </c>
      <c r="W100" s="289" t="str">
        <f>'Disease burden'!W285</f>
        <v>-</v>
      </c>
      <c r="X100" s="289" t="str">
        <f>'Disease burden'!X285</f>
        <v>-</v>
      </c>
      <c r="Y100" s="289" t="str">
        <f>'Disease burden'!Y285</f>
        <v>-</v>
      </c>
      <c r="Z100" s="289" t="str">
        <f>'Disease burden'!Z285</f>
        <v>-</v>
      </c>
      <c r="AA100" s="289" t="str">
        <f>'Disease burden'!AA285</f>
        <v>-</v>
      </c>
      <c r="AB100" s="289" t="str">
        <f>'Disease burden'!AB285</f>
        <v>-</v>
      </c>
      <c r="AC100" s="289" t="str">
        <f>'Disease burden'!AC285</f>
        <v>-</v>
      </c>
      <c r="AD100" s="289" t="str">
        <f>'Disease burden'!AD285</f>
        <v>-</v>
      </c>
      <c r="AE100" s="289" t="str">
        <f>'Disease burden'!AE285</f>
        <v>-</v>
      </c>
      <c r="AF100" s="289" t="str">
        <f>'Disease burden'!AF285</f>
        <v>-</v>
      </c>
      <c r="AG100" s="289" t="str">
        <f>'Disease burden'!AG285</f>
        <v>-</v>
      </c>
      <c r="AH100" s="289" t="str">
        <f>'Disease burden'!AH285</f>
        <v>-</v>
      </c>
      <c r="AI100" s="289" t="str">
        <f>'Disease burden'!AI285</f>
        <v>-</v>
      </c>
      <c r="AJ100" s="289" t="str">
        <f>'Disease burden'!AJ285</f>
        <v>-</v>
      </c>
      <c r="AK100" s="289" t="str">
        <f>'Disease burden'!AK285</f>
        <v>-</v>
      </c>
      <c r="AL100" s="289" t="str">
        <f>'Disease burden'!AL285</f>
        <v>-</v>
      </c>
      <c r="AM100" s="289" t="str">
        <f>'Disease burden'!AM285</f>
        <v>-</v>
      </c>
      <c r="AN100" s="289" t="str">
        <f>'Disease burden'!AN285</f>
        <v>-</v>
      </c>
      <c r="AO100" s="289" t="str">
        <f>'Disease burden'!AO285</f>
        <v>-</v>
      </c>
      <c r="AP100" s="289" t="str">
        <f>'Disease burden'!AP285</f>
        <v>-</v>
      </c>
      <c r="AQ100" s="289" t="str">
        <f>'Disease burden'!AQ285</f>
        <v>-</v>
      </c>
      <c r="AR100" s="289" t="str">
        <f>'Disease burden'!AR285</f>
        <v>-</v>
      </c>
      <c r="AS100" s="289" t="str">
        <f>'Disease burden'!AS285</f>
        <v>-</v>
      </c>
      <c r="AT100" s="136"/>
    </row>
    <row r="101">
      <c r="A101" s="81"/>
      <c r="B101" s="81"/>
      <c r="C101" s="112"/>
      <c r="D101" s="112"/>
      <c r="E101" s="140" t="s">
        <v>499</v>
      </c>
      <c r="F101" s="407" t="str">
        <f>'Disease burden'!F286</f>
        <v>%</v>
      </c>
      <c r="G101" s="142" t="s">
        <v>131</v>
      </c>
      <c r="H101" s="176">
        <f>'Disease burden'!H286</f>
        <v>0.4285030532</v>
      </c>
      <c r="I101" s="310" t="str">
        <f>'Disease burden'!I286</f>
        <v>-</v>
      </c>
      <c r="J101" s="310" t="str">
        <f>'Disease burden'!J286</f>
        <v>-</v>
      </c>
      <c r="K101" s="310" t="str">
        <f>'Disease burden'!K286</f>
        <v>-</v>
      </c>
      <c r="L101" s="310" t="str">
        <f>'Disease burden'!L286</f>
        <v>-</v>
      </c>
      <c r="M101" s="310" t="str">
        <f>'Disease burden'!M286</f>
        <v>-</v>
      </c>
      <c r="N101" s="310" t="str">
        <f>'Disease burden'!N286</f>
        <v>-</v>
      </c>
      <c r="O101" s="310" t="str">
        <f>'Disease burden'!O286</f>
        <v>-</v>
      </c>
      <c r="P101" s="310" t="str">
        <f>'Disease burden'!P286</f>
        <v>-</v>
      </c>
      <c r="Q101" s="310" t="str">
        <f>'Disease burden'!Q286</f>
        <v>-</v>
      </c>
      <c r="R101" s="310" t="str">
        <f>'Disease burden'!R286</f>
        <v>-</v>
      </c>
      <c r="S101" s="310" t="str">
        <f>'Disease burden'!S286</f>
        <v>-</v>
      </c>
      <c r="T101" s="310" t="str">
        <f>'Disease burden'!T286</f>
        <v>-</v>
      </c>
      <c r="U101" s="310" t="str">
        <f>'Disease burden'!U286</f>
        <v>-</v>
      </c>
      <c r="V101" s="310" t="str">
        <f>'Disease burden'!V286</f>
        <v>-</v>
      </c>
      <c r="W101" s="310" t="str">
        <f>'Disease burden'!W286</f>
        <v>-</v>
      </c>
      <c r="X101" s="310" t="str">
        <f>'Disease burden'!X286</f>
        <v>-</v>
      </c>
      <c r="Y101" s="310" t="str">
        <f>'Disease burden'!Y286</f>
        <v>-</v>
      </c>
      <c r="Z101" s="310" t="str">
        <f>'Disease burden'!Z286</f>
        <v>-</v>
      </c>
      <c r="AA101" s="310" t="str">
        <f>'Disease burden'!AA286</f>
        <v>-</v>
      </c>
      <c r="AB101" s="310" t="str">
        <f>'Disease burden'!AB286</f>
        <v>-</v>
      </c>
      <c r="AC101" s="310" t="str">
        <f>'Disease burden'!AC286</f>
        <v>-</v>
      </c>
      <c r="AD101" s="310" t="str">
        <f>'Disease burden'!AD286</f>
        <v>-</v>
      </c>
      <c r="AE101" s="310" t="str">
        <f>'Disease burden'!AE286</f>
        <v>-</v>
      </c>
      <c r="AF101" s="310" t="str">
        <f>'Disease burden'!AF286</f>
        <v>-</v>
      </c>
      <c r="AG101" s="310" t="str">
        <f>'Disease burden'!AG286</f>
        <v>-</v>
      </c>
      <c r="AH101" s="310" t="str">
        <f>'Disease burden'!AH286</f>
        <v>-</v>
      </c>
      <c r="AI101" s="310" t="str">
        <f>'Disease burden'!AI286</f>
        <v>-</v>
      </c>
      <c r="AJ101" s="310" t="str">
        <f>'Disease burden'!AJ286</f>
        <v>-</v>
      </c>
      <c r="AK101" s="310" t="str">
        <f>'Disease burden'!AK286</f>
        <v>-</v>
      </c>
      <c r="AL101" s="310" t="str">
        <f>'Disease burden'!AL286</f>
        <v>-</v>
      </c>
      <c r="AM101" s="310" t="str">
        <f>'Disease burden'!AM286</f>
        <v>-</v>
      </c>
      <c r="AN101" s="310" t="str">
        <f>'Disease burden'!AN286</f>
        <v>-</v>
      </c>
      <c r="AO101" s="310" t="str">
        <f>'Disease burden'!AO286</f>
        <v>-</v>
      </c>
      <c r="AP101" s="310" t="str">
        <f>'Disease burden'!AP286</f>
        <v>-</v>
      </c>
      <c r="AQ101" s="310" t="str">
        <f>'Disease burden'!AQ286</f>
        <v>-</v>
      </c>
      <c r="AR101" s="310" t="str">
        <f>'Disease burden'!AR286</f>
        <v>-</v>
      </c>
      <c r="AS101" s="310" t="str">
        <f>'Disease burden'!AS286</f>
        <v>-</v>
      </c>
      <c r="AT101" s="163"/>
    </row>
    <row r="102">
      <c r="A102" s="81"/>
      <c r="B102" s="81"/>
      <c r="C102" s="112"/>
      <c r="D102" s="112"/>
      <c r="E102" s="140" t="s">
        <v>508</v>
      </c>
      <c r="F102" s="407" t="str">
        <f>'Disease burden'!F287</f>
        <v>%</v>
      </c>
      <c r="G102" s="142" t="s">
        <v>131</v>
      </c>
      <c r="H102" s="176">
        <f>'Disease burden'!H287</f>
        <v>0.4183005995</v>
      </c>
      <c r="I102" s="310" t="str">
        <f>'Disease burden'!I287</f>
        <v>-</v>
      </c>
      <c r="J102" s="310" t="str">
        <f>'Disease burden'!J287</f>
        <v>-</v>
      </c>
      <c r="K102" s="310" t="str">
        <f>'Disease burden'!K287</f>
        <v>-</v>
      </c>
      <c r="L102" s="310" t="str">
        <f>'Disease burden'!L287</f>
        <v>-</v>
      </c>
      <c r="M102" s="310" t="str">
        <f>'Disease burden'!M287</f>
        <v>-</v>
      </c>
      <c r="N102" s="310" t="str">
        <f>'Disease burden'!N287</f>
        <v>-</v>
      </c>
      <c r="O102" s="310" t="str">
        <f>'Disease burden'!O287</f>
        <v>-</v>
      </c>
      <c r="P102" s="310" t="str">
        <f>'Disease burden'!P287</f>
        <v>-</v>
      </c>
      <c r="Q102" s="310" t="str">
        <f>'Disease burden'!Q287</f>
        <v>-</v>
      </c>
      <c r="R102" s="310" t="str">
        <f>'Disease burden'!R287</f>
        <v>-</v>
      </c>
      <c r="S102" s="310" t="str">
        <f>'Disease burden'!S287</f>
        <v>-</v>
      </c>
      <c r="T102" s="310" t="str">
        <f>'Disease burden'!T287</f>
        <v>-</v>
      </c>
      <c r="U102" s="310" t="str">
        <f>'Disease burden'!U287</f>
        <v>-</v>
      </c>
      <c r="V102" s="310" t="str">
        <f>'Disease burden'!V287</f>
        <v>-</v>
      </c>
      <c r="W102" s="310" t="str">
        <f>'Disease burden'!W287</f>
        <v>-</v>
      </c>
      <c r="X102" s="310" t="str">
        <f>'Disease burden'!X287</f>
        <v>-</v>
      </c>
      <c r="Y102" s="310" t="str">
        <f>'Disease burden'!Y287</f>
        <v>-</v>
      </c>
      <c r="Z102" s="310" t="str">
        <f>'Disease burden'!Z287</f>
        <v>-</v>
      </c>
      <c r="AA102" s="310" t="str">
        <f>'Disease burden'!AA287</f>
        <v>-</v>
      </c>
      <c r="AB102" s="310" t="str">
        <f>'Disease burden'!AB287</f>
        <v>-</v>
      </c>
      <c r="AC102" s="310" t="str">
        <f>'Disease burden'!AC287</f>
        <v>-</v>
      </c>
      <c r="AD102" s="310" t="str">
        <f>'Disease burden'!AD287</f>
        <v>-</v>
      </c>
      <c r="AE102" s="310" t="str">
        <f>'Disease burden'!AE287</f>
        <v>-</v>
      </c>
      <c r="AF102" s="310" t="str">
        <f>'Disease burden'!AF287</f>
        <v>-</v>
      </c>
      <c r="AG102" s="310" t="str">
        <f>'Disease burden'!AG287</f>
        <v>-</v>
      </c>
      <c r="AH102" s="310" t="str">
        <f>'Disease burden'!AH287</f>
        <v>-</v>
      </c>
      <c r="AI102" s="310" t="str">
        <f>'Disease burden'!AI287</f>
        <v>-</v>
      </c>
      <c r="AJ102" s="310" t="str">
        <f>'Disease burden'!AJ287</f>
        <v>-</v>
      </c>
      <c r="AK102" s="310" t="str">
        <f>'Disease burden'!AK287</f>
        <v>-</v>
      </c>
      <c r="AL102" s="310" t="str">
        <f>'Disease burden'!AL287</f>
        <v>-</v>
      </c>
      <c r="AM102" s="310" t="str">
        <f>'Disease burden'!AM287</f>
        <v>-</v>
      </c>
      <c r="AN102" s="310" t="str">
        <f>'Disease burden'!AN287</f>
        <v>-</v>
      </c>
      <c r="AO102" s="310" t="str">
        <f>'Disease burden'!AO287</f>
        <v>-</v>
      </c>
      <c r="AP102" s="310" t="str">
        <f>'Disease burden'!AP287</f>
        <v>-</v>
      </c>
      <c r="AQ102" s="310" t="str">
        <f>'Disease burden'!AQ287</f>
        <v>-</v>
      </c>
      <c r="AR102" s="310" t="str">
        <f>'Disease burden'!AR287</f>
        <v>-</v>
      </c>
      <c r="AS102" s="310" t="str">
        <f>'Disease burden'!AS287</f>
        <v>-</v>
      </c>
      <c r="AT102" s="163"/>
    </row>
    <row r="103">
      <c r="A103" s="81"/>
      <c r="B103" s="81"/>
      <c r="C103" s="112"/>
      <c r="D103" s="112"/>
      <c r="E103" s="140" t="s">
        <v>516</v>
      </c>
      <c r="F103" s="407" t="str">
        <f>'Disease burden'!F288</f>
        <v>%</v>
      </c>
      <c r="G103" s="142" t="s">
        <v>131</v>
      </c>
      <c r="H103" s="176">
        <f>'Disease burden'!H288</f>
        <v>0.2958711558</v>
      </c>
      <c r="I103" s="310" t="str">
        <f>'Disease burden'!I288</f>
        <v>-</v>
      </c>
      <c r="J103" s="310" t="str">
        <f>'Disease burden'!J288</f>
        <v>-</v>
      </c>
      <c r="K103" s="310" t="str">
        <f>'Disease burden'!K288</f>
        <v>-</v>
      </c>
      <c r="L103" s="310" t="str">
        <f>'Disease burden'!L288</f>
        <v>-</v>
      </c>
      <c r="M103" s="310" t="str">
        <f>'Disease burden'!M288</f>
        <v>-</v>
      </c>
      <c r="N103" s="310" t="str">
        <f>'Disease burden'!N288</f>
        <v>-</v>
      </c>
      <c r="O103" s="310" t="str">
        <f>'Disease burden'!O288</f>
        <v>-</v>
      </c>
      <c r="P103" s="310" t="str">
        <f>'Disease burden'!P288</f>
        <v>-</v>
      </c>
      <c r="Q103" s="310" t="str">
        <f>'Disease burden'!Q288</f>
        <v>-</v>
      </c>
      <c r="R103" s="310" t="str">
        <f>'Disease burden'!R288</f>
        <v>-</v>
      </c>
      <c r="S103" s="310" t="str">
        <f>'Disease burden'!S288</f>
        <v>-</v>
      </c>
      <c r="T103" s="310" t="str">
        <f>'Disease burden'!T288</f>
        <v>-</v>
      </c>
      <c r="U103" s="310" t="str">
        <f>'Disease burden'!U288</f>
        <v>-</v>
      </c>
      <c r="V103" s="310" t="str">
        <f>'Disease burden'!V288</f>
        <v>-</v>
      </c>
      <c r="W103" s="310" t="str">
        <f>'Disease burden'!W288</f>
        <v>-</v>
      </c>
      <c r="X103" s="310" t="str">
        <f>'Disease burden'!X288</f>
        <v>-</v>
      </c>
      <c r="Y103" s="310" t="str">
        <f>'Disease burden'!Y288</f>
        <v>-</v>
      </c>
      <c r="Z103" s="310" t="str">
        <f>'Disease burden'!Z288</f>
        <v>-</v>
      </c>
      <c r="AA103" s="310" t="str">
        <f>'Disease burden'!AA288</f>
        <v>-</v>
      </c>
      <c r="AB103" s="310" t="str">
        <f>'Disease burden'!AB288</f>
        <v>-</v>
      </c>
      <c r="AC103" s="310" t="str">
        <f>'Disease burden'!AC288</f>
        <v>-</v>
      </c>
      <c r="AD103" s="310" t="str">
        <f>'Disease burden'!AD288</f>
        <v>-</v>
      </c>
      <c r="AE103" s="310" t="str">
        <f>'Disease burden'!AE288</f>
        <v>-</v>
      </c>
      <c r="AF103" s="310" t="str">
        <f>'Disease burden'!AF288</f>
        <v>-</v>
      </c>
      <c r="AG103" s="310" t="str">
        <f>'Disease burden'!AG288</f>
        <v>-</v>
      </c>
      <c r="AH103" s="310" t="str">
        <f>'Disease burden'!AH288</f>
        <v>-</v>
      </c>
      <c r="AI103" s="310" t="str">
        <f>'Disease burden'!AI288</f>
        <v>-</v>
      </c>
      <c r="AJ103" s="310" t="str">
        <f>'Disease burden'!AJ288</f>
        <v>-</v>
      </c>
      <c r="AK103" s="310" t="str">
        <f>'Disease burden'!AK288</f>
        <v>-</v>
      </c>
      <c r="AL103" s="310" t="str">
        <f>'Disease burden'!AL288</f>
        <v>-</v>
      </c>
      <c r="AM103" s="310" t="str">
        <f>'Disease burden'!AM288</f>
        <v>-</v>
      </c>
      <c r="AN103" s="310" t="str">
        <f>'Disease burden'!AN288</f>
        <v>-</v>
      </c>
      <c r="AO103" s="310" t="str">
        <f>'Disease burden'!AO288</f>
        <v>-</v>
      </c>
      <c r="AP103" s="310" t="str">
        <f>'Disease burden'!AP288</f>
        <v>-</v>
      </c>
      <c r="AQ103" s="310" t="str">
        <f>'Disease burden'!AQ288</f>
        <v>-</v>
      </c>
      <c r="AR103" s="310" t="str">
        <f>'Disease burden'!AR288</f>
        <v>-</v>
      </c>
      <c r="AS103" s="310" t="str">
        <f>'Disease burden'!AS288</f>
        <v>-</v>
      </c>
      <c r="AT103" s="163"/>
    </row>
    <row r="104">
      <c r="A104" s="81"/>
      <c r="B104" s="81"/>
      <c r="C104" s="112"/>
      <c r="D104" s="112"/>
      <c r="E104" s="140" t="s">
        <v>524</v>
      </c>
      <c r="F104" s="407" t="str">
        <f>'Disease burden'!F289</f>
        <v>%</v>
      </c>
      <c r="G104" s="142" t="s">
        <v>131</v>
      </c>
      <c r="H104" s="176">
        <f>'Disease burden'!H289</f>
        <v>0.2346564339</v>
      </c>
      <c r="I104" s="310" t="str">
        <f>'Disease burden'!I289</f>
        <v>-</v>
      </c>
      <c r="J104" s="310" t="str">
        <f>'Disease burden'!J289</f>
        <v>-</v>
      </c>
      <c r="K104" s="310" t="str">
        <f>'Disease burden'!K289</f>
        <v>-</v>
      </c>
      <c r="L104" s="310" t="str">
        <f>'Disease burden'!L289</f>
        <v>-</v>
      </c>
      <c r="M104" s="310" t="str">
        <f>'Disease burden'!M289</f>
        <v>-</v>
      </c>
      <c r="N104" s="310" t="str">
        <f>'Disease burden'!N289</f>
        <v>-</v>
      </c>
      <c r="O104" s="310" t="str">
        <f>'Disease burden'!O289</f>
        <v>-</v>
      </c>
      <c r="P104" s="310" t="str">
        <f>'Disease burden'!P289</f>
        <v>-</v>
      </c>
      <c r="Q104" s="310" t="str">
        <f>'Disease burden'!Q289</f>
        <v>-</v>
      </c>
      <c r="R104" s="310" t="str">
        <f>'Disease burden'!R289</f>
        <v>-</v>
      </c>
      <c r="S104" s="310" t="str">
        <f>'Disease burden'!S289</f>
        <v>-</v>
      </c>
      <c r="T104" s="310" t="str">
        <f>'Disease burden'!T289</f>
        <v>-</v>
      </c>
      <c r="U104" s="310" t="str">
        <f>'Disease burden'!U289</f>
        <v>-</v>
      </c>
      <c r="V104" s="310" t="str">
        <f>'Disease burden'!V289</f>
        <v>-</v>
      </c>
      <c r="W104" s="310" t="str">
        <f>'Disease burden'!W289</f>
        <v>-</v>
      </c>
      <c r="X104" s="310" t="str">
        <f>'Disease burden'!X289</f>
        <v>-</v>
      </c>
      <c r="Y104" s="310" t="str">
        <f>'Disease burden'!Y289</f>
        <v>-</v>
      </c>
      <c r="Z104" s="310" t="str">
        <f>'Disease burden'!Z289</f>
        <v>-</v>
      </c>
      <c r="AA104" s="310" t="str">
        <f>'Disease burden'!AA289</f>
        <v>-</v>
      </c>
      <c r="AB104" s="310" t="str">
        <f>'Disease burden'!AB289</f>
        <v>-</v>
      </c>
      <c r="AC104" s="310" t="str">
        <f>'Disease burden'!AC289</f>
        <v>-</v>
      </c>
      <c r="AD104" s="310" t="str">
        <f>'Disease burden'!AD289</f>
        <v>-</v>
      </c>
      <c r="AE104" s="310" t="str">
        <f>'Disease burden'!AE289</f>
        <v>-</v>
      </c>
      <c r="AF104" s="310" t="str">
        <f>'Disease burden'!AF289</f>
        <v>-</v>
      </c>
      <c r="AG104" s="310" t="str">
        <f>'Disease burden'!AG289</f>
        <v>-</v>
      </c>
      <c r="AH104" s="310" t="str">
        <f>'Disease burden'!AH289</f>
        <v>-</v>
      </c>
      <c r="AI104" s="310" t="str">
        <f>'Disease burden'!AI289</f>
        <v>-</v>
      </c>
      <c r="AJ104" s="310" t="str">
        <f>'Disease burden'!AJ289</f>
        <v>-</v>
      </c>
      <c r="AK104" s="310" t="str">
        <f>'Disease burden'!AK289</f>
        <v>-</v>
      </c>
      <c r="AL104" s="310" t="str">
        <f>'Disease burden'!AL289</f>
        <v>-</v>
      </c>
      <c r="AM104" s="310" t="str">
        <f>'Disease burden'!AM289</f>
        <v>-</v>
      </c>
      <c r="AN104" s="310" t="str">
        <f>'Disease burden'!AN289</f>
        <v>-</v>
      </c>
      <c r="AO104" s="310" t="str">
        <f>'Disease burden'!AO289</f>
        <v>-</v>
      </c>
      <c r="AP104" s="310" t="str">
        <f>'Disease burden'!AP289</f>
        <v>-</v>
      </c>
      <c r="AQ104" s="310" t="str">
        <f>'Disease burden'!AQ289</f>
        <v>-</v>
      </c>
      <c r="AR104" s="310" t="str">
        <f>'Disease burden'!AR289</f>
        <v>-</v>
      </c>
      <c r="AS104" s="310" t="str">
        <f>'Disease burden'!AS289</f>
        <v>-</v>
      </c>
      <c r="AT104" s="163"/>
    </row>
    <row r="105">
      <c r="A105" s="81"/>
      <c r="B105" s="81"/>
      <c r="C105" s="112"/>
      <c r="D105" s="112"/>
      <c r="E105" s="237" t="s">
        <v>551</v>
      </c>
      <c r="F105" s="425" t="str">
        <f>'Disease burden'!F290</f>
        <v>%</v>
      </c>
      <c r="G105" s="239" t="s">
        <v>131</v>
      </c>
      <c r="H105" s="234">
        <f>'Disease burden'!H290</f>
        <v>0.3991916716</v>
      </c>
      <c r="I105" s="427" t="str">
        <f>'Disease burden'!I290</f>
        <v>-</v>
      </c>
      <c r="J105" s="427" t="str">
        <f>'Disease burden'!J290</f>
        <v>-</v>
      </c>
      <c r="K105" s="427" t="str">
        <f>'Disease burden'!K290</f>
        <v>-</v>
      </c>
      <c r="L105" s="427" t="str">
        <f>'Disease burden'!L290</f>
        <v>-</v>
      </c>
      <c r="M105" s="427" t="str">
        <f>'Disease burden'!M290</f>
        <v>-</v>
      </c>
      <c r="N105" s="427" t="str">
        <f>'Disease burden'!N290</f>
        <v>-</v>
      </c>
      <c r="O105" s="427" t="str">
        <f>'Disease burden'!O290</f>
        <v>-</v>
      </c>
      <c r="P105" s="427" t="str">
        <f>'Disease burden'!P290</f>
        <v>-</v>
      </c>
      <c r="Q105" s="427" t="str">
        <f>'Disease burden'!Q290</f>
        <v>-</v>
      </c>
      <c r="R105" s="427" t="str">
        <f>'Disease burden'!R290</f>
        <v>-</v>
      </c>
      <c r="S105" s="427" t="str">
        <f>'Disease burden'!S290</f>
        <v>-</v>
      </c>
      <c r="T105" s="427" t="str">
        <f>'Disease burden'!T290</f>
        <v>-</v>
      </c>
      <c r="U105" s="427" t="str">
        <f>'Disease burden'!U290</f>
        <v>-</v>
      </c>
      <c r="V105" s="427" t="str">
        <f>'Disease burden'!V290</f>
        <v>-</v>
      </c>
      <c r="W105" s="427" t="str">
        <f>'Disease burden'!W290</f>
        <v>-</v>
      </c>
      <c r="X105" s="427" t="str">
        <f>'Disease burden'!X290</f>
        <v>-</v>
      </c>
      <c r="Y105" s="427" t="str">
        <f>'Disease burden'!Y290</f>
        <v>-</v>
      </c>
      <c r="Z105" s="427" t="str">
        <f>'Disease burden'!Z290</f>
        <v>-</v>
      </c>
      <c r="AA105" s="427" t="str">
        <f>'Disease burden'!AA290</f>
        <v>-</v>
      </c>
      <c r="AB105" s="427" t="str">
        <f>'Disease burden'!AB290</f>
        <v>-</v>
      </c>
      <c r="AC105" s="427" t="str">
        <f>'Disease burden'!AC290</f>
        <v>-</v>
      </c>
      <c r="AD105" s="427" t="str">
        <f>'Disease burden'!AD290</f>
        <v>-</v>
      </c>
      <c r="AE105" s="427" t="str">
        <f>'Disease burden'!AE290</f>
        <v>-</v>
      </c>
      <c r="AF105" s="427" t="str">
        <f>'Disease burden'!AF290</f>
        <v>-</v>
      </c>
      <c r="AG105" s="427" t="str">
        <f>'Disease burden'!AG290</f>
        <v>-</v>
      </c>
      <c r="AH105" s="427" t="str">
        <f>'Disease burden'!AH290</f>
        <v>-</v>
      </c>
      <c r="AI105" s="427" t="str">
        <f>'Disease burden'!AI290</f>
        <v>-</v>
      </c>
      <c r="AJ105" s="427" t="str">
        <f>'Disease burden'!AJ290</f>
        <v>-</v>
      </c>
      <c r="AK105" s="427" t="str">
        <f>'Disease burden'!AK290</f>
        <v>-</v>
      </c>
      <c r="AL105" s="427" t="str">
        <f>'Disease burden'!AL290</f>
        <v>-</v>
      </c>
      <c r="AM105" s="427" t="str">
        <f>'Disease burden'!AM290</f>
        <v>-</v>
      </c>
      <c r="AN105" s="427" t="str">
        <f>'Disease burden'!AN290</f>
        <v>-</v>
      </c>
      <c r="AO105" s="427" t="str">
        <f>'Disease burden'!AO290</f>
        <v>-</v>
      </c>
      <c r="AP105" s="427" t="str">
        <f>'Disease burden'!AP290</f>
        <v>-</v>
      </c>
      <c r="AQ105" s="427" t="str">
        <f>'Disease burden'!AQ290</f>
        <v>-</v>
      </c>
      <c r="AR105" s="427" t="str">
        <f>'Disease burden'!AR290</f>
        <v>-</v>
      </c>
      <c r="AS105" s="427" t="str">
        <f>'Disease burden'!AS290</f>
        <v>-</v>
      </c>
      <c r="AT105" s="248"/>
    </row>
    <row r="106">
      <c r="A106" s="81"/>
      <c r="B106" s="81"/>
      <c r="C106" s="112"/>
      <c r="D106" s="112"/>
      <c r="E106" s="253"/>
      <c r="F106" s="83"/>
      <c r="G106" s="135"/>
      <c r="H106" s="85"/>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8"/>
    </row>
    <row r="107">
      <c r="A107" s="81"/>
      <c r="B107" s="81"/>
      <c r="C107" s="112" t="s">
        <v>560</v>
      </c>
      <c r="F107" s="83"/>
      <c r="G107" s="135"/>
      <c r="H107" s="85"/>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c r="AQ107" s="86"/>
      <c r="AR107" s="86"/>
      <c r="AS107" s="86"/>
      <c r="AT107" s="88"/>
    </row>
    <row r="108">
      <c r="A108" s="80"/>
      <c r="B108" s="81"/>
      <c r="C108" s="112"/>
      <c r="D108" s="90"/>
      <c r="E108" s="113" t="s">
        <v>562</v>
      </c>
      <c r="F108" s="189" t="str">
        <f>'Disease burden'!F302</f>
        <v>%</v>
      </c>
      <c r="G108" s="271" t="s">
        <v>131</v>
      </c>
      <c r="H108" s="295" t="str">
        <f>'Disease burden'!H302</f>
        <v>-</v>
      </c>
      <c r="I108" s="119">
        <f>'Disease burden'!I302</f>
        <v>0.6423119951</v>
      </c>
      <c r="J108" s="119">
        <f>'Disease burden'!J302</f>
        <v>0.6036505147</v>
      </c>
      <c r="K108" s="119">
        <f>'Disease burden'!K302</f>
        <v>0.6835438589</v>
      </c>
      <c r="L108" s="119">
        <f>'Disease burden'!L302</f>
        <v>0.5802539557</v>
      </c>
      <c r="M108" s="119">
        <f>'Disease burden'!M302</f>
        <v>0.6083081157</v>
      </c>
      <c r="N108" s="119">
        <f>'Disease burden'!N302</f>
        <v>0.6582724796</v>
      </c>
      <c r="O108" s="119">
        <f>'Disease burden'!O302</f>
        <v>0.6580364726</v>
      </c>
      <c r="P108" s="119">
        <f>'Disease burden'!P302</f>
        <v>0.6643819483</v>
      </c>
      <c r="Q108" s="119">
        <f>'Disease burden'!Q302</f>
        <v>0.6629962874</v>
      </c>
      <c r="R108" s="119">
        <f>'Disease burden'!R302</f>
        <v>0.5262567494</v>
      </c>
      <c r="S108" s="119">
        <f>'Disease burden'!S302</f>
        <v>0.5438628304</v>
      </c>
      <c r="T108" s="119">
        <f>'Disease burden'!T302</f>
        <v>0.5438483523</v>
      </c>
      <c r="U108" s="119">
        <f>'Disease burden'!U302</f>
        <v>0.5423084402</v>
      </c>
      <c r="V108" s="119">
        <f>'Disease burden'!V302</f>
        <v>0.4915015418</v>
      </c>
      <c r="W108" s="119">
        <f>'Disease burden'!W302</f>
        <v>0.5358967152</v>
      </c>
      <c r="X108" s="119">
        <f>'Disease burden'!X302</f>
        <v>0.5623469493</v>
      </c>
      <c r="Y108" s="119">
        <f>'Disease burden'!Y302</f>
        <v>0.4294935582</v>
      </c>
      <c r="Z108" s="119">
        <f>'Disease burden'!Z302</f>
        <v>0.5477364516</v>
      </c>
      <c r="AA108" s="119">
        <f>'Disease burden'!AA302</f>
        <v>0.5509124039</v>
      </c>
      <c r="AB108" s="119">
        <f>'Disease burden'!AB302</f>
        <v>0.5476287403</v>
      </c>
      <c r="AC108" s="119">
        <f>'Disease burden'!AC302</f>
        <v>0.5413610496</v>
      </c>
      <c r="AD108" s="119">
        <f>'Disease burden'!AD302</f>
        <v>0.5381744989</v>
      </c>
      <c r="AE108" s="119">
        <f>'Disease burden'!AE302</f>
        <v>0.5447413229</v>
      </c>
      <c r="AF108" s="119">
        <f>'Disease burden'!AF302</f>
        <v>0.5434468511</v>
      </c>
      <c r="AG108" s="119">
        <f>'Disease burden'!AG302</f>
        <v>0.5174730204</v>
      </c>
      <c r="AH108" s="119">
        <f>'Disease burden'!AH302</f>
        <v>0.5483929455</v>
      </c>
      <c r="AI108" s="119">
        <f>'Disease burden'!AI302</f>
        <v>0.5107651277</v>
      </c>
      <c r="AJ108" s="119">
        <f>'Disease burden'!AJ302</f>
        <v>0.5595876734</v>
      </c>
      <c r="AK108" s="119">
        <f>'Disease burden'!AK302</f>
        <v>0.5667468409</v>
      </c>
      <c r="AL108" s="119">
        <f>'Disease burden'!AL302</f>
        <v>0.5582361975</v>
      </c>
      <c r="AM108" s="119">
        <f>'Disease burden'!AM302</f>
        <v>0.5393309967</v>
      </c>
      <c r="AN108" s="119">
        <f>'Disease burden'!AN302</f>
        <v>0.5252917029</v>
      </c>
      <c r="AO108" s="119">
        <f>'Disease burden'!AO302</f>
        <v>0.4887328002</v>
      </c>
      <c r="AP108" s="119">
        <f>'Disease burden'!AP302</f>
        <v>0.5464245114</v>
      </c>
      <c r="AQ108" s="119">
        <f>'Disease burden'!AQ302</f>
        <v>0.5345452331</v>
      </c>
      <c r="AR108" s="119">
        <f>'Disease burden'!AR302</f>
        <v>0.5586991944</v>
      </c>
      <c r="AS108" s="119">
        <f>'Disease burden'!AS302</f>
        <v>0.6401947704</v>
      </c>
      <c r="AT108" s="136"/>
    </row>
    <row r="109">
      <c r="A109" s="80"/>
      <c r="B109" s="81"/>
      <c r="C109" s="112"/>
      <c r="D109" s="90"/>
      <c r="E109" s="140" t="s">
        <v>571</v>
      </c>
      <c r="F109" s="215" t="str">
        <f>'Disease burden'!F303</f>
        <v>%</v>
      </c>
      <c r="G109" s="276" t="s">
        <v>131</v>
      </c>
      <c r="H109" s="274" t="str">
        <f>'Disease burden'!H303</f>
        <v>-</v>
      </c>
      <c r="I109" s="149">
        <f>'Disease burden'!I303</f>
        <v>0.01374510648</v>
      </c>
      <c r="J109" s="149">
        <f>'Disease burden'!J303</f>
        <v>0.01948515144</v>
      </c>
      <c r="K109" s="149">
        <f>'Disease burden'!K303</f>
        <v>0.01569130894</v>
      </c>
      <c r="L109" s="149">
        <f>'Disease burden'!L303</f>
        <v>0.02032100243</v>
      </c>
      <c r="M109" s="149">
        <f>'Disease burden'!M303</f>
        <v>0.01515143512</v>
      </c>
      <c r="N109" s="149">
        <f>'Disease burden'!N303</f>
        <v>0.01448923895</v>
      </c>
      <c r="O109" s="149">
        <f>'Disease burden'!O303</f>
        <v>0.02027107746</v>
      </c>
      <c r="P109" s="149">
        <f>'Disease burden'!P303</f>
        <v>0.02244685533</v>
      </c>
      <c r="Q109" s="149">
        <f>'Disease burden'!Q303</f>
        <v>0.02166654543</v>
      </c>
      <c r="R109" s="149">
        <f>'Disease burden'!R303</f>
        <v>0.01257094246</v>
      </c>
      <c r="S109" s="149">
        <f>'Disease burden'!S303</f>
        <v>0.01406763902</v>
      </c>
      <c r="T109" s="149">
        <f>'Disease burden'!T303</f>
        <v>0.01211068939</v>
      </c>
      <c r="U109" s="149">
        <f>'Disease burden'!U303</f>
        <v>0.01279096212</v>
      </c>
      <c r="V109" s="149">
        <f>'Disease burden'!V303</f>
        <v>0.01628800243</v>
      </c>
      <c r="W109" s="149">
        <f>'Disease burden'!W303</f>
        <v>0.009873928598</v>
      </c>
      <c r="X109" s="149">
        <f>'Disease burden'!X303</f>
        <v>0.01358713344</v>
      </c>
      <c r="Y109" s="149">
        <f>'Disease burden'!Y303</f>
        <v>0.008825645489</v>
      </c>
      <c r="Z109" s="149">
        <f>'Disease burden'!Z303</f>
        <v>0.01202690711</v>
      </c>
      <c r="AA109" s="149">
        <f>'Disease burden'!AA303</f>
        <v>0.01123530916</v>
      </c>
      <c r="AB109" s="149">
        <f>'Disease burden'!AB303</f>
        <v>0.01130568709</v>
      </c>
      <c r="AC109" s="149">
        <f>'Disease burden'!AC303</f>
        <v>0.01024991367</v>
      </c>
      <c r="AD109" s="149">
        <f>'Disease burden'!AD303</f>
        <v>0.0110834159</v>
      </c>
      <c r="AE109" s="149">
        <f>'Disease burden'!AE303</f>
        <v>0.01267706924</v>
      </c>
      <c r="AF109" s="149">
        <f>'Disease burden'!AF303</f>
        <v>0.01124371625</v>
      </c>
      <c r="AG109" s="149">
        <f>'Disease burden'!AG303</f>
        <v>0.02196476327</v>
      </c>
      <c r="AH109" s="149">
        <f>'Disease burden'!AH303</f>
        <v>0.01329469359</v>
      </c>
      <c r="AI109" s="149">
        <f>'Disease burden'!AI303</f>
        <v>0.01027924038</v>
      </c>
      <c r="AJ109" s="149">
        <f>'Disease burden'!AJ303</f>
        <v>0.0128756986</v>
      </c>
      <c r="AK109" s="149">
        <f>'Disease burden'!AK303</f>
        <v>0.0175341203</v>
      </c>
      <c r="AL109" s="149">
        <f>'Disease burden'!AL303</f>
        <v>0.01449648463</v>
      </c>
      <c r="AM109" s="149">
        <f>'Disease burden'!AM303</f>
        <v>0.01115167532</v>
      </c>
      <c r="AN109" s="149">
        <f>'Disease burden'!AN303</f>
        <v>0.01134070383</v>
      </c>
      <c r="AO109" s="149">
        <f>'Disease burden'!AO303</f>
        <v>0.01730948413</v>
      </c>
      <c r="AP109" s="149">
        <f>'Disease burden'!AP303</f>
        <v>0.01002550195</v>
      </c>
      <c r="AQ109" s="149">
        <f>'Disease burden'!AQ303</f>
        <v>0.01200857679</v>
      </c>
      <c r="AR109" s="149">
        <f>'Disease burden'!AR303</f>
        <v>0.01411820589</v>
      </c>
      <c r="AS109" s="149">
        <f>'Disease burden'!AS303</f>
        <v>0.01542474498</v>
      </c>
      <c r="AT109" s="163"/>
    </row>
    <row r="110">
      <c r="A110" s="80"/>
      <c r="B110" s="81"/>
      <c r="C110" s="112"/>
      <c r="D110" s="90"/>
      <c r="E110" s="140" t="s">
        <v>577</v>
      </c>
      <c r="F110" s="215" t="str">
        <f>'Disease burden'!F304</f>
        <v>%</v>
      </c>
      <c r="G110" s="276" t="s">
        <v>131</v>
      </c>
      <c r="H110" s="274" t="str">
        <f>'Disease burden'!H304</f>
        <v>-</v>
      </c>
      <c r="I110" s="149">
        <f>'Disease burden'!I304</f>
        <v>0.01056250951</v>
      </c>
      <c r="J110" s="149">
        <f>'Disease burden'!J304</f>
        <v>0.01361242064</v>
      </c>
      <c r="K110" s="149">
        <f>'Disease burden'!K304</f>
        <v>0.0113085679</v>
      </c>
      <c r="L110" s="149">
        <f>'Disease burden'!L304</f>
        <v>0.01760591518</v>
      </c>
      <c r="M110" s="149">
        <f>'Disease burden'!M304</f>
        <v>0.01512401457</v>
      </c>
      <c r="N110" s="149">
        <f>'Disease burden'!N304</f>
        <v>0.01099879765</v>
      </c>
      <c r="O110" s="149">
        <f>'Disease burden'!O304</f>
        <v>0.01062989206</v>
      </c>
      <c r="P110" s="149">
        <f>'Disease burden'!P304</f>
        <v>0.0103849093</v>
      </c>
      <c r="Q110" s="149">
        <f>'Disease burden'!Q304</f>
        <v>0.01062032947</v>
      </c>
      <c r="R110" s="149">
        <f>'Disease burden'!R304</f>
        <v>0.02118641805</v>
      </c>
      <c r="S110" s="149">
        <f>'Disease burden'!S304</f>
        <v>0.01734324508</v>
      </c>
      <c r="T110" s="149">
        <f>'Disease burden'!T304</f>
        <v>0.0205517021</v>
      </c>
      <c r="U110" s="149">
        <f>'Disease burden'!U304</f>
        <v>0.02166718516</v>
      </c>
      <c r="V110" s="149">
        <f>'Disease burden'!V304</f>
        <v>0.01861984848</v>
      </c>
      <c r="W110" s="149">
        <f>'Disease burden'!W304</f>
        <v>0.01687392647</v>
      </c>
      <c r="X110" s="149">
        <f>'Disease burden'!X304</f>
        <v>0.01519944142</v>
      </c>
      <c r="Y110" s="149">
        <f>'Disease burden'!Y304</f>
        <v>0.02487361031</v>
      </c>
      <c r="Z110" s="149">
        <f>'Disease burden'!Z304</f>
        <v>0.02082057147</v>
      </c>
      <c r="AA110" s="149">
        <f>'Disease burden'!AA304</f>
        <v>0.01841159957</v>
      </c>
      <c r="AB110" s="149">
        <f>'Disease burden'!AB304</f>
        <v>0.02103516391</v>
      </c>
      <c r="AC110" s="149">
        <f>'Disease burden'!AC304</f>
        <v>0.02076971081</v>
      </c>
      <c r="AD110" s="149">
        <f>'Disease burden'!AD304</f>
        <v>0.0202702476</v>
      </c>
      <c r="AE110" s="149">
        <f>'Disease burden'!AE304</f>
        <v>0.02179108091</v>
      </c>
      <c r="AF110" s="149">
        <f>'Disease burden'!AF304</f>
        <v>0.02170978116</v>
      </c>
      <c r="AG110" s="149">
        <f>'Disease burden'!AG304</f>
        <v>0.01963457148</v>
      </c>
      <c r="AH110" s="149">
        <f>'Disease burden'!AH304</f>
        <v>0.01907202758</v>
      </c>
      <c r="AI110" s="149">
        <f>'Disease burden'!AI304</f>
        <v>0.0247374797</v>
      </c>
      <c r="AJ110" s="149">
        <f>'Disease burden'!AJ304</f>
        <v>0.01781500611</v>
      </c>
      <c r="AK110" s="149">
        <f>'Disease burden'!AK304</f>
        <v>0.01574641356</v>
      </c>
      <c r="AL110" s="149">
        <f>'Disease burden'!AL304</f>
        <v>0.02008196551</v>
      </c>
      <c r="AM110" s="149">
        <f>'Disease burden'!AM304</f>
        <v>0.01991800446</v>
      </c>
      <c r="AN110" s="149">
        <f>'Disease burden'!AN304</f>
        <v>0.02161466955</v>
      </c>
      <c r="AO110" s="149">
        <f>'Disease burden'!AO304</f>
        <v>0.02124297605</v>
      </c>
      <c r="AP110" s="149">
        <f>'Disease burden'!AP304</f>
        <v>0.01774810922</v>
      </c>
      <c r="AQ110" s="149">
        <f>'Disease burden'!AQ304</f>
        <v>0.02182951751</v>
      </c>
      <c r="AR110" s="149">
        <f>'Disease burden'!AR304</f>
        <v>0.01527923547</v>
      </c>
      <c r="AS110" s="149">
        <f>'Disease burden'!AS304</f>
        <v>0.01147502505</v>
      </c>
      <c r="AT110" s="163"/>
    </row>
    <row r="111">
      <c r="A111" s="80"/>
      <c r="B111" s="81"/>
      <c r="C111" s="112"/>
      <c r="D111" s="90"/>
      <c r="E111" s="140" t="s">
        <v>585</v>
      </c>
      <c r="F111" s="215" t="str">
        <f>'Disease burden'!F305</f>
        <v>%</v>
      </c>
      <c r="G111" s="276" t="s">
        <v>131</v>
      </c>
      <c r="H111" s="274" t="str">
        <f>'Disease burden'!H305</f>
        <v>-</v>
      </c>
      <c r="I111" s="149">
        <f>'Disease burden'!I305</f>
        <v>0.1588406348</v>
      </c>
      <c r="J111" s="149">
        <f>'Disease burden'!J305</f>
        <v>0.205313334</v>
      </c>
      <c r="K111" s="149">
        <f>'Disease burden'!K305</f>
        <v>0.1688961747</v>
      </c>
      <c r="L111" s="149">
        <f>'Disease burden'!L305</f>
        <v>0.2677703938</v>
      </c>
      <c r="M111" s="149">
        <f>'Disease burden'!M305</f>
        <v>0.2292988638</v>
      </c>
      <c r="N111" s="149">
        <f>'Disease burden'!N305</f>
        <v>0.1652932501</v>
      </c>
      <c r="O111" s="149">
        <f>'Disease burden'!O305</f>
        <v>0.1585001024</v>
      </c>
      <c r="P111" s="149">
        <f>'Disease burden'!P305</f>
        <v>0.1546125788</v>
      </c>
      <c r="Q111" s="149">
        <f>'Disease burden'!Q305</f>
        <v>0.1580894761</v>
      </c>
      <c r="R111" s="149">
        <f>'Disease burden'!R305</f>
        <v>0.3294559502</v>
      </c>
      <c r="S111" s="149">
        <f>'Disease burden'!S305</f>
        <v>0.2639296094</v>
      </c>
      <c r="T111" s="149">
        <f>'Disease burden'!T305</f>
        <v>0.3196371844</v>
      </c>
      <c r="U111" s="149">
        <f>'Disease burden'!U305</f>
        <v>0.3383168075</v>
      </c>
      <c r="V111" s="149">
        <f>'Disease burden'!V305</f>
        <v>0.2887478577</v>
      </c>
      <c r="W111" s="149">
        <f>'Disease burden'!W305</f>
        <v>0.2594956164</v>
      </c>
      <c r="X111" s="149">
        <f>'Disease burden'!X305</f>
        <v>0.2289528681</v>
      </c>
      <c r="Y111" s="149">
        <f>'Disease burden'!Y305</f>
        <v>0.4057221874</v>
      </c>
      <c r="Z111" s="149">
        <f>'Disease burden'!Z305</f>
        <v>0.3231811156</v>
      </c>
      <c r="AA111" s="149">
        <f>'Disease burden'!AA305</f>
        <v>0.2835168398</v>
      </c>
      <c r="AB111" s="149">
        <f>'Disease burden'!AB305</f>
        <v>0.3272177054</v>
      </c>
      <c r="AC111" s="149">
        <f>'Disease burden'!AC305</f>
        <v>0.3241123845</v>
      </c>
      <c r="AD111" s="149">
        <f>'Disease burden'!AD305</f>
        <v>0.3139826981</v>
      </c>
      <c r="AE111" s="149">
        <f>'Disease burden'!AE305</f>
        <v>0.3354799727</v>
      </c>
      <c r="AF111" s="149">
        <f>'Disease burden'!AF305</f>
        <v>0.3386937208</v>
      </c>
      <c r="AG111" s="149">
        <f>'Disease burden'!AG305</f>
        <v>0.306693335</v>
      </c>
      <c r="AH111" s="149">
        <f>'Disease burden'!AH305</f>
        <v>0.2966918988</v>
      </c>
      <c r="AI111" s="149">
        <f>'Disease burden'!AI305</f>
        <v>0.3832957971</v>
      </c>
      <c r="AJ111" s="149">
        <f>'Disease burden'!AJ305</f>
        <v>0.2749766742</v>
      </c>
      <c r="AK111" s="149">
        <f>'Disease burden'!AK305</f>
        <v>0.2390335077</v>
      </c>
      <c r="AL111" s="149">
        <f>'Disease burden'!AL305</f>
        <v>0.3091062894</v>
      </c>
      <c r="AM111" s="149">
        <f>'Disease burden'!AM305</f>
        <v>0.3098157253</v>
      </c>
      <c r="AN111" s="149">
        <f>'Disease burden'!AN305</f>
        <v>0.3367456456</v>
      </c>
      <c r="AO111" s="149">
        <f>'Disease burden'!AO305</f>
        <v>0.3291571658</v>
      </c>
      <c r="AP111" s="149">
        <f>'Disease burden'!AP305</f>
        <v>0.2725931394</v>
      </c>
      <c r="AQ111" s="149">
        <f>'Disease burden'!AQ305</f>
        <v>0.3396557486</v>
      </c>
      <c r="AR111" s="149">
        <f>'Disease burden'!AR305</f>
        <v>0.2335606149</v>
      </c>
      <c r="AS111" s="149">
        <f>'Disease burden'!AS305</f>
        <v>0.171473113</v>
      </c>
      <c r="AT111" s="163"/>
    </row>
    <row r="112">
      <c r="A112" s="80"/>
      <c r="B112" s="81"/>
      <c r="C112" s="112"/>
      <c r="D112" s="90"/>
      <c r="E112" s="140" t="s">
        <v>595</v>
      </c>
      <c r="F112" s="215" t="str">
        <f>'Disease burden'!F306</f>
        <v>%</v>
      </c>
      <c r="G112" s="276" t="s">
        <v>131</v>
      </c>
      <c r="H112" s="274" t="str">
        <f>'Disease burden'!H306</f>
        <v>-</v>
      </c>
      <c r="I112" s="149">
        <f>'Disease burden'!I306</f>
        <v>0.1698576254</v>
      </c>
      <c r="J112" s="149">
        <f>'Disease burden'!J306</f>
        <v>0.1544041042</v>
      </c>
      <c r="K112" s="149">
        <f>'Disease burden'!K306</f>
        <v>0.1145531288</v>
      </c>
      <c r="L112" s="149">
        <f>'Disease burden'!L306</f>
        <v>0.1095755283</v>
      </c>
      <c r="M112" s="149">
        <f>'Disease burden'!M306</f>
        <v>0.1291346645</v>
      </c>
      <c r="N112" s="149">
        <f>'Disease burden'!N306</f>
        <v>0.1453366969</v>
      </c>
      <c r="O112" s="149">
        <f>'Disease burden'!O306</f>
        <v>0.1480029587</v>
      </c>
      <c r="P112" s="149">
        <f>'Disease burden'!P306</f>
        <v>0.1428958507</v>
      </c>
      <c r="Q112" s="149">
        <f>'Disease burden'!Q306</f>
        <v>0.140813748</v>
      </c>
      <c r="R112" s="149">
        <f>'Disease burden'!R306</f>
        <v>0.1088106596</v>
      </c>
      <c r="S112" s="149">
        <f>'Disease burden'!S306</f>
        <v>0.1577585964</v>
      </c>
      <c r="T112" s="149">
        <f>'Disease burden'!T306</f>
        <v>0.1015008214</v>
      </c>
      <c r="U112" s="149">
        <f>'Disease burden'!U306</f>
        <v>0.08289520687</v>
      </c>
      <c r="V112" s="149">
        <f>'Disease burden'!V306</f>
        <v>0.1817876373</v>
      </c>
      <c r="W112" s="149">
        <f>'Disease burden'!W306</f>
        <v>0.1758340445</v>
      </c>
      <c r="X112" s="149">
        <f>'Disease burden'!X306</f>
        <v>0.1754357286</v>
      </c>
      <c r="Y112" s="149">
        <f>'Disease burden'!Y306</f>
        <v>0.1292118622</v>
      </c>
      <c r="Z112" s="149">
        <f>'Disease burden'!Z306</f>
        <v>0.09391532167</v>
      </c>
      <c r="AA112" s="149">
        <f>'Disease burden'!AA306</f>
        <v>0.1336499057</v>
      </c>
      <c r="AB112" s="149">
        <f>'Disease burden'!AB306</f>
        <v>0.09107310226</v>
      </c>
      <c r="AC112" s="149">
        <f>'Disease burden'!AC306</f>
        <v>0.1014586255</v>
      </c>
      <c r="AD112" s="149">
        <f>'Disease burden'!AD306</f>
        <v>0.1146783048</v>
      </c>
      <c r="AE112" s="149">
        <f>'Disease burden'!AE306</f>
        <v>0.0832982396</v>
      </c>
      <c r="AF112" s="149">
        <f>'Disease burden'!AF306</f>
        <v>0.08322481991</v>
      </c>
      <c r="AG112" s="149">
        <f>'Disease burden'!AG306</f>
        <v>0.1312661787</v>
      </c>
      <c r="AH112" s="149">
        <f>'Disease burden'!AH306</f>
        <v>0.1197495452</v>
      </c>
      <c r="AI112" s="149">
        <f>'Disease burden'!AI306</f>
        <v>0.06898129598</v>
      </c>
      <c r="AJ112" s="149">
        <f>'Disease burden'!AJ306</f>
        <v>0.1320800993</v>
      </c>
      <c r="AK112" s="149">
        <f>'Disease burden'!AK306</f>
        <v>0.1577911524</v>
      </c>
      <c r="AL112" s="149">
        <f>'Disease burden'!AL306</f>
        <v>0.09589654926</v>
      </c>
      <c r="AM112" s="149">
        <f>'Disease burden'!AM306</f>
        <v>0.1177357059</v>
      </c>
      <c r="AN112" s="149">
        <f>'Disease burden'!AN306</f>
        <v>0.1030272425</v>
      </c>
      <c r="AO112" s="149">
        <f>'Disease burden'!AO306</f>
        <v>0.1410901202</v>
      </c>
      <c r="AP112" s="149">
        <f>'Disease burden'!AP306</f>
        <v>0.1508985584</v>
      </c>
      <c r="AQ112" s="149">
        <f>'Disease burden'!AQ306</f>
        <v>0.09005481353</v>
      </c>
      <c r="AR112" s="149">
        <f>'Disease burden'!AR306</f>
        <v>0.175756011</v>
      </c>
      <c r="AS112" s="149">
        <f>'Disease burden'!AS306</f>
        <v>0.1568863093</v>
      </c>
      <c r="AT112" s="163"/>
    </row>
    <row r="113">
      <c r="A113" s="80"/>
      <c r="B113" s="81"/>
      <c r="C113" s="112"/>
      <c r="D113" s="90"/>
      <c r="E113" s="237" t="s">
        <v>601</v>
      </c>
      <c r="F113" s="231" t="str">
        <f>'Disease burden'!F307</f>
        <v>%</v>
      </c>
      <c r="G113" s="291" t="s">
        <v>131</v>
      </c>
      <c r="H113" s="306" t="str">
        <f>'Disease burden'!H307</f>
        <v>-</v>
      </c>
      <c r="I113" s="240">
        <f>'Disease burden'!I307</f>
        <v>0.00468212868</v>
      </c>
      <c r="J113" s="240">
        <f>'Disease burden'!J307</f>
        <v>0.003534475085</v>
      </c>
      <c r="K113" s="240">
        <f>'Disease burden'!K307</f>
        <v>0.006006960738</v>
      </c>
      <c r="L113" s="240">
        <f>'Disease burden'!L307</f>
        <v>0.004473204577</v>
      </c>
      <c r="M113" s="240">
        <f>'Disease burden'!M307</f>
        <v>0.002982906211</v>
      </c>
      <c r="N113" s="240">
        <f>'Disease burden'!N307</f>
        <v>0.005609536867</v>
      </c>
      <c r="O113" s="240">
        <f>'Disease burden'!O307</f>
        <v>0.004559496835</v>
      </c>
      <c r="P113" s="240">
        <f>'Disease burden'!P307</f>
        <v>0.005277857615</v>
      </c>
      <c r="Q113" s="240">
        <f>'Disease burden'!Q307</f>
        <v>0.005813613661</v>
      </c>
      <c r="R113" s="240">
        <f>'Disease burden'!R307</f>
        <v>0.001719280389</v>
      </c>
      <c r="S113" s="240">
        <f>'Disease burden'!S307</f>
        <v>0.003038079668</v>
      </c>
      <c r="T113" s="240">
        <f>'Disease burden'!T307</f>
        <v>0.00235125032</v>
      </c>
      <c r="U113" s="240">
        <f>'Disease burden'!U307</f>
        <v>0.002021398124</v>
      </c>
      <c r="V113" s="240">
        <f>'Disease burden'!V307</f>
        <v>0.003055112173</v>
      </c>
      <c r="W113" s="240">
        <f>'Disease burden'!W307</f>
        <v>0.002025768861</v>
      </c>
      <c r="X113" s="240">
        <f>'Disease burden'!X307</f>
        <v>0.004477879122</v>
      </c>
      <c r="Y113" s="240">
        <f>'Disease burden'!Y307</f>
        <v>0.00187313631</v>
      </c>
      <c r="Z113" s="240">
        <f>'Disease burden'!Z307</f>
        <v>0.002319632554</v>
      </c>
      <c r="AA113" s="240">
        <f>'Disease burden'!AA307</f>
        <v>0.002273941882</v>
      </c>
      <c r="AB113" s="240">
        <f>'Disease burden'!AB307</f>
        <v>0.001739601059</v>
      </c>
      <c r="AC113" s="240">
        <f>'Disease burden'!AC307</f>
        <v>0.002048315869</v>
      </c>
      <c r="AD113" s="240">
        <f>'Disease burden'!AD307</f>
        <v>0.001810834665</v>
      </c>
      <c r="AE113" s="240">
        <f>'Disease burden'!AE307</f>
        <v>0.002012314626</v>
      </c>
      <c r="AF113" s="240">
        <f>'Disease burden'!AF307</f>
        <v>0.001681110816</v>
      </c>
      <c r="AG113" s="240">
        <f>'Disease burden'!AG307</f>
        <v>0.002968131214</v>
      </c>
      <c r="AH113" s="240">
        <f>'Disease burden'!AH307</f>
        <v>0.002798889285</v>
      </c>
      <c r="AI113" s="240">
        <f>'Disease burden'!AI307</f>
        <v>0.001941059169</v>
      </c>
      <c r="AJ113" s="240">
        <f>'Disease burden'!AJ307</f>
        <v>0.002664848382</v>
      </c>
      <c r="AK113" s="240">
        <f>'Disease burden'!AK307</f>
        <v>0.003147965106</v>
      </c>
      <c r="AL113" s="240">
        <f>'Disease burden'!AL307</f>
        <v>0.002182513744</v>
      </c>
      <c r="AM113" s="240">
        <f>'Disease burden'!AM307</f>
        <v>0.002047892255</v>
      </c>
      <c r="AN113" s="240">
        <f>'Disease burden'!AN307</f>
        <v>0.001980035509</v>
      </c>
      <c r="AO113" s="240">
        <f>'Disease burden'!AO307</f>
        <v>0.002467453513</v>
      </c>
      <c r="AP113" s="240">
        <f>'Disease burden'!AP307</f>
        <v>0.002310179607</v>
      </c>
      <c r="AQ113" s="240">
        <f>'Disease burden'!AQ307</f>
        <v>0.001906110428</v>
      </c>
      <c r="AR113" s="240">
        <f>'Disease burden'!AR307</f>
        <v>0.00258673829</v>
      </c>
      <c r="AS113" s="240">
        <f>'Disease burden'!AS307</f>
        <v>0.004546037319</v>
      </c>
      <c r="AT113" s="248"/>
    </row>
    <row r="114">
      <c r="A114" s="80"/>
      <c r="B114" s="81"/>
      <c r="C114" s="112"/>
      <c r="D114" s="90"/>
      <c r="E114" s="243"/>
      <c r="F114" s="108"/>
      <c r="G114" s="109"/>
      <c r="H114" s="110"/>
      <c r="I114" s="111"/>
      <c r="J114" s="111"/>
      <c r="K114" s="111"/>
      <c r="L114" s="111"/>
      <c r="M114" s="111"/>
      <c r="N114" s="111"/>
      <c r="O114" s="111"/>
      <c r="P114" s="111"/>
      <c r="Q114" s="111"/>
      <c r="R114" s="111"/>
      <c r="S114" s="111"/>
      <c r="T114" s="111"/>
      <c r="U114" s="111"/>
      <c r="V114" s="111"/>
      <c r="W114" s="111"/>
      <c r="X114" s="111"/>
      <c r="Y114" s="111"/>
      <c r="Z114" s="111"/>
      <c r="AA114" s="111"/>
      <c r="AB114" s="111"/>
      <c r="AC114" s="111"/>
      <c r="AD114" s="111"/>
      <c r="AE114" s="111"/>
      <c r="AF114" s="111"/>
      <c r="AG114" s="111"/>
      <c r="AH114" s="111"/>
      <c r="AI114" s="111"/>
      <c r="AJ114" s="111"/>
      <c r="AK114" s="111"/>
      <c r="AL114" s="111"/>
      <c r="AM114" s="111"/>
      <c r="AN114" s="111"/>
      <c r="AO114" s="111"/>
      <c r="AP114" s="111"/>
      <c r="AQ114" s="111"/>
      <c r="AR114" s="111"/>
      <c r="AS114" s="111"/>
      <c r="AT114" s="88"/>
    </row>
    <row r="115">
      <c r="A115" s="80"/>
      <c r="B115" s="81"/>
      <c r="C115" s="112" t="s">
        <v>448</v>
      </c>
      <c r="F115" s="108"/>
      <c r="G115" s="109"/>
      <c r="H115" s="110"/>
      <c r="I115" s="111"/>
      <c r="J115" s="111"/>
      <c r="K115" s="111"/>
      <c r="L115" s="111"/>
      <c r="M115" s="111"/>
      <c r="N115" s="111"/>
      <c r="O115" s="111"/>
      <c r="P115" s="111"/>
      <c r="Q115" s="111"/>
      <c r="R115" s="111"/>
      <c r="S115" s="111"/>
      <c r="T115" s="111"/>
      <c r="U115" s="111"/>
      <c r="V115" s="111"/>
      <c r="W115" s="111"/>
      <c r="X115" s="111"/>
      <c r="Y115" s="111"/>
      <c r="Z115" s="111"/>
      <c r="AA115" s="111"/>
      <c r="AB115" s="111"/>
      <c r="AC115" s="111"/>
      <c r="AD115" s="111"/>
      <c r="AE115" s="111"/>
      <c r="AF115" s="111"/>
      <c r="AG115" s="111"/>
      <c r="AH115" s="111"/>
      <c r="AI115" s="111"/>
      <c r="AJ115" s="111"/>
      <c r="AK115" s="111"/>
      <c r="AL115" s="111"/>
      <c r="AM115" s="111"/>
      <c r="AN115" s="111"/>
      <c r="AO115" s="111"/>
      <c r="AP115" s="111"/>
      <c r="AQ115" s="111"/>
      <c r="AR115" s="111"/>
      <c r="AS115" s="111"/>
      <c r="AT115" s="88"/>
    </row>
    <row r="116">
      <c r="A116" s="80"/>
      <c r="B116" s="81"/>
      <c r="C116" s="112"/>
      <c r="D116" s="90"/>
      <c r="E116" s="224" t="s">
        <v>308</v>
      </c>
      <c r="F116" s="93" t="s">
        <v>122</v>
      </c>
      <c r="G116" s="321" t="s">
        <v>149</v>
      </c>
      <c r="H116" s="129" t="s">
        <v>150</v>
      </c>
      <c r="I116" s="308">
        <f t="shared" ref="I116:AS116" si="12">SUMPRODUCT($H100:$H105,I108:I113)</f>
        <v>0.377540968</v>
      </c>
      <c r="J116" s="308">
        <f t="shared" si="12"/>
        <v>0.3741781203</v>
      </c>
      <c r="K116" s="308">
        <f t="shared" si="12"/>
        <v>0.3870917611</v>
      </c>
      <c r="L116" s="308">
        <f t="shared" si="12"/>
        <v>0.3743965798</v>
      </c>
      <c r="M116" s="308">
        <f t="shared" si="12"/>
        <v>0.3759197742</v>
      </c>
      <c r="N116" s="308">
        <f t="shared" si="12"/>
        <v>0.3814882277</v>
      </c>
      <c r="O116" s="308">
        <f t="shared" si="12"/>
        <v>0.3819057078</v>
      </c>
      <c r="P116" s="308">
        <f t="shared" si="12"/>
        <v>0.3834251261</v>
      </c>
      <c r="Q116" s="308">
        <f t="shared" si="12"/>
        <v>0.383342413</v>
      </c>
      <c r="R116" s="308">
        <f t="shared" si="12"/>
        <v>0.366132114</v>
      </c>
      <c r="S116" s="308">
        <f t="shared" si="12"/>
        <v>0.3654249714</v>
      </c>
      <c r="T116" s="308">
        <f t="shared" si="12"/>
        <v>0.3689290735</v>
      </c>
      <c r="U116" s="308">
        <f t="shared" si="12"/>
        <v>0.3700486274</v>
      </c>
      <c r="V116" s="308">
        <f t="shared" si="12"/>
        <v>0.3571947012</v>
      </c>
      <c r="W116" s="308">
        <f t="shared" si="12"/>
        <v>0.3625030193</v>
      </c>
      <c r="X116" s="308">
        <f t="shared" si="12"/>
        <v>0.3667113119</v>
      </c>
      <c r="Y116" s="308">
        <f t="shared" si="12"/>
        <v>0.351526335</v>
      </c>
      <c r="Z116" s="308">
        <f t="shared" si="12"/>
        <v>0.3699474763</v>
      </c>
      <c r="AA116" s="308">
        <f t="shared" si="12"/>
        <v>0.3675479276</v>
      </c>
      <c r="AB116" s="308">
        <f t="shared" si="12"/>
        <v>0.3699773131</v>
      </c>
      <c r="AC116" s="308">
        <f t="shared" si="12"/>
        <v>0.3683376656</v>
      </c>
      <c r="AD116" s="308">
        <f t="shared" si="12"/>
        <v>0.3671143963</v>
      </c>
      <c r="AE116" s="308">
        <f t="shared" si="12"/>
        <v>0.3703581685</v>
      </c>
      <c r="AF116" s="308">
        <f t="shared" si="12"/>
        <v>0.3699500893</v>
      </c>
      <c r="AG116" s="308">
        <f t="shared" si="12"/>
        <v>0.3647326557</v>
      </c>
      <c r="AH116" s="308">
        <f t="shared" si="12"/>
        <v>0.3684600552</v>
      </c>
      <c r="AI116" s="308">
        <f t="shared" si="12"/>
        <v>0.366590264</v>
      </c>
      <c r="AJ116" s="308">
        <f t="shared" si="12"/>
        <v>0.3690238109</v>
      </c>
      <c r="AK116" s="308">
        <f t="shared" si="12"/>
        <v>0.368850485</v>
      </c>
      <c r="AL116" s="308">
        <f t="shared" si="12"/>
        <v>0.3714953093</v>
      </c>
      <c r="AM116" s="308">
        <f t="shared" si="12"/>
        <v>0.3670769478</v>
      </c>
      <c r="AN116" s="308">
        <f t="shared" si="12"/>
        <v>0.3662694285</v>
      </c>
      <c r="AO116" s="308">
        <f t="shared" si="12"/>
        <v>0.3597005528</v>
      </c>
      <c r="AP116" s="308">
        <f t="shared" si="12"/>
        <v>0.365635979</v>
      </c>
      <c r="AQ116" s="308">
        <f t="shared" si="12"/>
        <v>0.3684452967</v>
      </c>
      <c r="AR116" s="308">
        <f t="shared" si="12"/>
        <v>0.3660741019</v>
      </c>
      <c r="AS116" s="308">
        <f t="shared" si="12"/>
        <v>0.3783638229</v>
      </c>
      <c r="AT116" s="265"/>
    </row>
    <row r="117">
      <c r="A117" s="80"/>
      <c r="B117" s="81"/>
      <c r="C117" s="112"/>
      <c r="D117" s="90"/>
      <c r="E117" s="243"/>
      <c r="F117" s="108"/>
      <c r="G117" s="109"/>
      <c r="H117" s="110"/>
      <c r="I117" s="111"/>
      <c r="J117" s="111"/>
      <c r="K117" s="111"/>
      <c r="L117" s="111"/>
      <c r="M117" s="111"/>
      <c r="N117" s="111"/>
      <c r="O117" s="111"/>
      <c r="P117" s="111"/>
      <c r="Q117" s="111"/>
      <c r="R117" s="111"/>
      <c r="S117" s="111"/>
      <c r="T117" s="111"/>
      <c r="U117" s="111"/>
      <c r="V117" s="111"/>
      <c r="W117" s="111"/>
      <c r="X117" s="111"/>
      <c r="Y117" s="111"/>
      <c r="Z117" s="111"/>
      <c r="AA117" s="111"/>
      <c r="AB117" s="111"/>
      <c r="AC117" s="111"/>
      <c r="AD117" s="111"/>
      <c r="AE117" s="111"/>
      <c r="AF117" s="111"/>
      <c r="AG117" s="111"/>
      <c r="AH117" s="111"/>
      <c r="AI117" s="111"/>
      <c r="AJ117" s="111"/>
      <c r="AK117" s="111"/>
      <c r="AL117" s="111"/>
      <c r="AM117" s="111"/>
      <c r="AN117" s="111"/>
      <c r="AO117" s="111"/>
      <c r="AP117" s="111"/>
      <c r="AQ117" s="111"/>
      <c r="AR117" s="111"/>
      <c r="AS117" s="111"/>
      <c r="AT117" s="88"/>
    </row>
    <row r="118">
      <c r="A118" s="80"/>
      <c r="B118" s="81"/>
      <c r="C118" s="107" t="s">
        <v>610</v>
      </c>
      <c r="F118" s="108"/>
      <c r="G118" s="109"/>
      <c r="H118" s="110"/>
      <c r="I118" s="111"/>
      <c r="J118" s="111"/>
      <c r="K118" s="111"/>
      <c r="L118" s="111"/>
      <c r="M118" s="111"/>
      <c r="N118" s="111"/>
      <c r="O118" s="111"/>
      <c r="P118" s="111"/>
      <c r="Q118" s="111"/>
      <c r="R118" s="111"/>
      <c r="S118" s="111"/>
      <c r="T118" s="111"/>
      <c r="U118" s="111"/>
      <c r="V118" s="111"/>
      <c r="W118" s="111"/>
      <c r="X118" s="111"/>
      <c r="Y118" s="111"/>
      <c r="Z118" s="111"/>
      <c r="AA118" s="111"/>
      <c r="AB118" s="111"/>
      <c r="AC118" s="111"/>
      <c r="AD118" s="111"/>
      <c r="AE118" s="111"/>
      <c r="AF118" s="111"/>
      <c r="AG118" s="111"/>
      <c r="AH118" s="111"/>
      <c r="AI118" s="111"/>
      <c r="AJ118" s="111"/>
      <c r="AK118" s="111"/>
      <c r="AL118" s="111"/>
      <c r="AM118" s="111"/>
      <c r="AN118" s="111"/>
      <c r="AO118" s="111"/>
      <c r="AP118" s="111"/>
      <c r="AQ118" s="111"/>
      <c r="AR118" s="111"/>
      <c r="AS118" s="111"/>
      <c r="AT118" s="88"/>
    </row>
    <row r="119">
      <c r="A119" s="80"/>
      <c r="B119" s="81"/>
      <c r="C119" s="112"/>
      <c r="D119" s="90"/>
      <c r="E119" s="113" t="s">
        <v>611</v>
      </c>
      <c r="F119" s="189" t="str">
        <f>Inputs!F185</f>
        <v>%</v>
      </c>
      <c r="G119" s="271" t="str">
        <f>Inputs!G185</f>
        <v>input</v>
      </c>
      <c r="H119" s="191">
        <f>Inputs!H185</f>
        <v>-0.8</v>
      </c>
      <c r="I119" s="119" t="str">
        <f>Inputs!I185</f>
        <v>-</v>
      </c>
      <c r="J119" s="119" t="str">
        <f>Inputs!J185</f>
        <v>-</v>
      </c>
      <c r="K119" s="119" t="str">
        <f>Inputs!K185</f>
        <v>-</v>
      </c>
      <c r="L119" s="119" t="str">
        <f>Inputs!L185</f>
        <v>-</v>
      </c>
      <c r="M119" s="119" t="str">
        <f>Inputs!M185</f>
        <v>-</v>
      </c>
      <c r="N119" s="119" t="str">
        <f>Inputs!N185</f>
        <v>-</v>
      </c>
      <c r="O119" s="119" t="str">
        <f>Inputs!O185</f>
        <v>-</v>
      </c>
      <c r="P119" s="119" t="str">
        <f>Inputs!P185</f>
        <v>-</v>
      </c>
      <c r="Q119" s="119" t="str">
        <f>Inputs!Q185</f>
        <v>-</v>
      </c>
      <c r="R119" s="119" t="str">
        <f>Inputs!R185</f>
        <v>-</v>
      </c>
      <c r="S119" s="119" t="str">
        <f>Inputs!S185</f>
        <v>-</v>
      </c>
      <c r="T119" s="119" t="str">
        <f>Inputs!T185</f>
        <v>-</v>
      </c>
      <c r="U119" s="119" t="str">
        <f>Inputs!U185</f>
        <v>-</v>
      </c>
      <c r="V119" s="119" t="str">
        <f>Inputs!V185</f>
        <v>-</v>
      </c>
      <c r="W119" s="119" t="str">
        <f>Inputs!W185</f>
        <v>-</v>
      </c>
      <c r="X119" s="119" t="str">
        <f>Inputs!X185</f>
        <v>-</v>
      </c>
      <c r="Y119" s="119" t="str">
        <f>Inputs!Y185</f>
        <v>-</v>
      </c>
      <c r="Z119" s="119" t="str">
        <f>Inputs!Z185</f>
        <v>-</v>
      </c>
      <c r="AA119" s="119" t="str">
        <f>Inputs!AA185</f>
        <v>-</v>
      </c>
      <c r="AB119" s="119" t="str">
        <f>Inputs!AB185</f>
        <v>-</v>
      </c>
      <c r="AC119" s="119" t="str">
        <f>Inputs!AC185</f>
        <v>-</v>
      </c>
      <c r="AD119" s="119" t="str">
        <f>Inputs!AD185</f>
        <v>-</v>
      </c>
      <c r="AE119" s="119" t="str">
        <f>Inputs!AE185</f>
        <v>-</v>
      </c>
      <c r="AF119" s="119" t="str">
        <f>Inputs!AF185</f>
        <v>-</v>
      </c>
      <c r="AG119" s="119" t="str">
        <f>Inputs!AG185</f>
        <v>-</v>
      </c>
      <c r="AH119" s="119" t="str">
        <f>Inputs!AH185</f>
        <v>-</v>
      </c>
      <c r="AI119" s="119" t="str">
        <f>Inputs!AI185</f>
        <v>-</v>
      </c>
      <c r="AJ119" s="119" t="str">
        <f>Inputs!AJ185</f>
        <v>-</v>
      </c>
      <c r="AK119" s="119" t="str">
        <f>Inputs!AK185</f>
        <v>-</v>
      </c>
      <c r="AL119" s="119" t="str">
        <f>Inputs!AL185</f>
        <v>-</v>
      </c>
      <c r="AM119" s="119" t="str">
        <f>Inputs!AM185</f>
        <v>-</v>
      </c>
      <c r="AN119" s="119" t="str">
        <f>Inputs!AN185</f>
        <v>-</v>
      </c>
      <c r="AO119" s="119" t="str">
        <f>Inputs!AO185</f>
        <v>-</v>
      </c>
      <c r="AP119" s="119" t="str">
        <f>Inputs!AP185</f>
        <v>-</v>
      </c>
      <c r="AQ119" s="119" t="str">
        <f>Inputs!AQ185</f>
        <v>-</v>
      </c>
      <c r="AR119" s="119" t="str">
        <f>Inputs!AR185</f>
        <v>-</v>
      </c>
      <c r="AS119" s="119" t="str">
        <f>Inputs!AS185</f>
        <v>-</v>
      </c>
      <c r="AT119" s="136"/>
    </row>
    <row r="120">
      <c r="A120" s="80"/>
      <c r="B120" s="81"/>
      <c r="C120" s="112"/>
      <c r="D120" s="90"/>
      <c r="E120" s="140" t="s">
        <v>620</v>
      </c>
      <c r="F120" s="215" t="s">
        <v>122</v>
      </c>
      <c r="G120" s="276" t="s">
        <v>149</v>
      </c>
      <c r="H120" s="187" t="s">
        <v>150</v>
      </c>
      <c r="I120" s="149">
        <f t="shared" ref="I120:AS120" si="13">I56*(1+$H$119)</f>
        <v>0.09047312053</v>
      </c>
      <c r="J120" s="149">
        <f t="shared" si="13"/>
        <v>0.1136209881</v>
      </c>
      <c r="K120" s="149">
        <f t="shared" si="13"/>
        <v>0.0892505595</v>
      </c>
      <c r="L120" s="149">
        <f t="shared" si="13"/>
        <v>0.1297379294</v>
      </c>
      <c r="M120" s="149">
        <f t="shared" si="13"/>
        <v>0.09416784695</v>
      </c>
      <c r="N120" s="149">
        <f t="shared" si="13"/>
        <v>0.08554964155</v>
      </c>
      <c r="O120" s="149">
        <f t="shared" si="13"/>
        <v>0.08634274268</v>
      </c>
      <c r="P120" s="149">
        <f t="shared" si="13"/>
        <v>0.05008709235</v>
      </c>
      <c r="Q120" s="149">
        <f t="shared" si="13"/>
        <v>0.06991652702</v>
      </c>
      <c r="R120" s="149">
        <f t="shared" si="13"/>
        <v>0.177948658</v>
      </c>
      <c r="S120" s="149">
        <f t="shared" si="13"/>
        <v>0.1512874808</v>
      </c>
      <c r="T120" s="149">
        <f t="shared" si="13"/>
        <v>0.1683298226</v>
      </c>
      <c r="U120" s="149">
        <f t="shared" si="13"/>
        <v>0.173244418</v>
      </c>
      <c r="V120" s="149">
        <f t="shared" si="13"/>
        <v>0.1450773829</v>
      </c>
      <c r="W120" s="149">
        <f t="shared" si="13"/>
        <v>0.148382356</v>
      </c>
      <c r="X120" s="149">
        <f t="shared" si="13"/>
        <v>0.1456979507</v>
      </c>
      <c r="Y120" s="149">
        <f t="shared" si="13"/>
        <v>0.1816549599</v>
      </c>
      <c r="Z120" s="149">
        <f t="shared" si="13"/>
        <v>0.1647231126</v>
      </c>
      <c r="AA120" s="149">
        <f t="shared" si="13"/>
        <v>0.1821479393</v>
      </c>
      <c r="AB120" s="149">
        <f t="shared" si="13"/>
        <v>0.1893764343</v>
      </c>
      <c r="AC120" s="149">
        <f t="shared" si="13"/>
        <v>0.1858581446</v>
      </c>
      <c r="AD120" s="149">
        <f t="shared" si="13"/>
        <v>0.1926760235</v>
      </c>
      <c r="AE120" s="149">
        <f t="shared" si="13"/>
        <v>0.183055842</v>
      </c>
      <c r="AF120" s="149">
        <f t="shared" si="13"/>
        <v>0.1906766477</v>
      </c>
      <c r="AG120" s="149">
        <f t="shared" si="13"/>
        <v>0.1659144468</v>
      </c>
      <c r="AH120" s="149">
        <f t="shared" si="13"/>
        <v>0.1446852068</v>
      </c>
      <c r="AI120" s="149">
        <f t="shared" si="13"/>
        <v>0.1876691044</v>
      </c>
      <c r="AJ120" s="149">
        <f t="shared" si="13"/>
        <v>0.1432722108</v>
      </c>
      <c r="AK120" s="149">
        <f t="shared" si="13"/>
        <v>0.1049878423</v>
      </c>
      <c r="AL120" s="149">
        <f t="shared" si="13"/>
        <v>0.1526061342</v>
      </c>
      <c r="AM120" s="149">
        <f t="shared" si="13"/>
        <v>0.1585179948</v>
      </c>
      <c r="AN120" s="149">
        <f t="shared" si="13"/>
        <v>0.1808529753</v>
      </c>
      <c r="AO120" s="149">
        <f t="shared" si="13"/>
        <v>0.1599117432</v>
      </c>
      <c r="AP120" s="149">
        <f t="shared" si="13"/>
        <v>0.1681264662</v>
      </c>
      <c r="AQ120" s="149">
        <f t="shared" si="13"/>
        <v>0.1726348873</v>
      </c>
      <c r="AR120" s="149">
        <f t="shared" si="13"/>
        <v>0.1109978142</v>
      </c>
      <c r="AS120" s="149">
        <f t="shared" si="13"/>
        <v>0.09164116918</v>
      </c>
      <c r="AT120" s="163"/>
    </row>
    <row r="121">
      <c r="A121" s="80"/>
      <c r="B121" s="81"/>
      <c r="C121" s="112"/>
      <c r="D121" s="90"/>
      <c r="E121" s="140" t="s">
        <v>621</v>
      </c>
      <c r="F121" s="215" t="s">
        <v>122</v>
      </c>
      <c r="G121" s="276" t="s">
        <v>149</v>
      </c>
      <c r="H121" s="187" t="s">
        <v>150</v>
      </c>
      <c r="I121" s="149">
        <f t="shared" ref="I121:AS121" si="14">I57*(1+$H$119)</f>
        <v>0.06680466284</v>
      </c>
      <c r="J121" s="149">
        <f t="shared" si="14"/>
        <v>0.08523682939</v>
      </c>
      <c r="K121" s="149">
        <f t="shared" si="14"/>
        <v>0.06998285566</v>
      </c>
      <c r="L121" s="149">
        <f t="shared" si="14"/>
        <v>0.1043193107</v>
      </c>
      <c r="M121" s="149">
        <f t="shared" si="14"/>
        <v>0.07227977776</v>
      </c>
      <c r="N121" s="149">
        <f t="shared" si="14"/>
        <v>0.06956395157</v>
      </c>
      <c r="O121" s="149">
        <f t="shared" si="14"/>
        <v>0.07596222371</v>
      </c>
      <c r="P121" s="149">
        <f t="shared" si="14"/>
        <v>0.02783488007</v>
      </c>
      <c r="Q121" s="149">
        <f t="shared" si="14"/>
        <v>0.04898388174</v>
      </c>
      <c r="R121" s="149">
        <f t="shared" si="14"/>
        <v>0.1577417545</v>
      </c>
      <c r="S121" s="149">
        <f t="shared" si="14"/>
        <v>0.1197597627</v>
      </c>
      <c r="T121" s="149">
        <f t="shared" si="14"/>
        <v>0.1583322412</v>
      </c>
      <c r="U121" s="149">
        <f t="shared" si="14"/>
        <v>0.1624346578</v>
      </c>
      <c r="V121" s="149">
        <f t="shared" si="14"/>
        <v>0.1295302737</v>
      </c>
      <c r="W121" s="149">
        <f t="shared" si="14"/>
        <v>0.138168647</v>
      </c>
      <c r="X121" s="149">
        <f t="shared" si="14"/>
        <v>0.113856121</v>
      </c>
      <c r="Y121" s="149">
        <f t="shared" si="14"/>
        <v>0.1693708945</v>
      </c>
      <c r="Z121" s="149">
        <f t="shared" si="14"/>
        <v>0.1443933074</v>
      </c>
      <c r="AA121" s="149">
        <f t="shared" si="14"/>
        <v>0.1690637664</v>
      </c>
      <c r="AB121" s="149">
        <f t="shared" si="14"/>
        <v>0.1766402279</v>
      </c>
      <c r="AC121" s="149">
        <f t="shared" si="14"/>
        <v>0.1755633757</v>
      </c>
      <c r="AD121" s="149">
        <f t="shared" si="14"/>
        <v>0.1774038418</v>
      </c>
      <c r="AE121" s="149">
        <f t="shared" si="14"/>
        <v>0.164722614</v>
      </c>
      <c r="AF121" s="149">
        <f t="shared" si="14"/>
        <v>0.1702298077</v>
      </c>
      <c r="AG121" s="149">
        <f t="shared" si="14"/>
        <v>0.1297441675</v>
      </c>
      <c r="AH121" s="149">
        <f t="shared" si="14"/>
        <v>0.1276263189</v>
      </c>
      <c r="AI121" s="149">
        <f t="shared" si="14"/>
        <v>0.1785754954</v>
      </c>
      <c r="AJ121" s="149">
        <f t="shared" si="14"/>
        <v>0.114177861</v>
      </c>
      <c r="AK121" s="149">
        <f t="shared" si="14"/>
        <v>0.0846976125</v>
      </c>
      <c r="AL121" s="149">
        <f t="shared" si="14"/>
        <v>0.1221079075</v>
      </c>
      <c r="AM121" s="149">
        <f t="shared" si="14"/>
        <v>0.1423729101</v>
      </c>
      <c r="AN121" s="149">
        <f t="shared" si="14"/>
        <v>0.1601741806</v>
      </c>
      <c r="AO121" s="149">
        <f t="shared" si="14"/>
        <v>0.13301086</v>
      </c>
      <c r="AP121" s="149">
        <f t="shared" si="14"/>
        <v>0.1380358126</v>
      </c>
      <c r="AQ121" s="149">
        <f t="shared" si="14"/>
        <v>0.1627280423</v>
      </c>
      <c r="AR121" s="149">
        <f t="shared" si="14"/>
        <v>0.09153800532</v>
      </c>
      <c r="AS121" s="149">
        <f t="shared" si="14"/>
        <v>0.08474804506</v>
      </c>
      <c r="AT121" s="163"/>
    </row>
    <row r="122">
      <c r="A122" s="80"/>
      <c r="B122" s="81"/>
      <c r="C122" s="112"/>
      <c r="D122" s="90"/>
      <c r="E122" s="140" t="s">
        <v>624</v>
      </c>
      <c r="F122" s="215" t="s">
        <v>122</v>
      </c>
      <c r="G122" s="276" t="s">
        <v>149</v>
      </c>
      <c r="H122" s="187" t="s">
        <v>150</v>
      </c>
      <c r="I122" s="149">
        <f t="shared" ref="I122:AS122" si="15">I58*(1+$H$119)</f>
        <v>0.06680466284</v>
      </c>
      <c r="J122" s="149">
        <f t="shared" si="15"/>
        <v>0.08523682939</v>
      </c>
      <c r="K122" s="149">
        <f t="shared" si="15"/>
        <v>0.06998285566</v>
      </c>
      <c r="L122" s="149">
        <f t="shared" si="15"/>
        <v>0.1043193107</v>
      </c>
      <c r="M122" s="149">
        <f t="shared" si="15"/>
        <v>0.07227977776</v>
      </c>
      <c r="N122" s="149">
        <f t="shared" si="15"/>
        <v>0.06956395157</v>
      </c>
      <c r="O122" s="149">
        <f t="shared" si="15"/>
        <v>0.07596222371</v>
      </c>
      <c r="P122" s="149">
        <f t="shared" si="15"/>
        <v>0.02783488007</v>
      </c>
      <c r="Q122" s="149">
        <f t="shared" si="15"/>
        <v>0.04898388174</v>
      </c>
      <c r="R122" s="149">
        <f t="shared" si="15"/>
        <v>0.1577417545</v>
      </c>
      <c r="S122" s="149">
        <f t="shared" si="15"/>
        <v>0.1197597627</v>
      </c>
      <c r="T122" s="149">
        <f t="shared" si="15"/>
        <v>0.1583322412</v>
      </c>
      <c r="U122" s="149">
        <f t="shared" si="15"/>
        <v>0.1624346578</v>
      </c>
      <c r="V122" s="149">
        <f t="shared" si="15"/>
        <v>0.1295302737</v>
      </c>
      <c r="W122" s="149">
        <f t="shared" si="15"/>
        <v>0.138168647</v>
      </c>
      <c r="X122" s="149">
        <f t="shared" si="15"/>
        <v>0.113856121</v>
      </c>
      <c r="Y122" s="149">
        <f t="shared" si="15"/>
        <v>0.1693708945</v>
      </c>
      <c r="Z122" s="149">
        <f t="shared" si="15"/>
        <v>0.1443933074</v>
      </c>
      <c r="AA122" s="149">
        <f t="shared" si="15"/>
        <v>0.1690637664</v>
      </c>
      <c r="AB122" s="149">
        <f t="shared" si="15"/>
        <v>0.1766402279</v>
      </c>
      <c r="AC122" s="149">
        <f t="shared" si="15"/>
        <v>0.1755633757</v>
      </c>
      <c r="AD122" s="149">
        <f t="shared" si="15"/>
        <v>0.1774038418</v>
      </c>
      <c r="AE122" s="149">
        <f t="shared" si="15"/>
        <v>0.164722614</v>
      </c>
      <c r="AF122" s="149">
        <f t="shared" si="15"/>
        <v>0.1702298077</v>
      </c>
      <c r="AG122" s="149">
        <f t="shared" si="15"/>
        <v>0.1297441675</v>
      </c>
      <c r="AH122" s="149">
        <f t="shared" si="15"/>
        <v>0.1276263189</v>
      </c>
      <c r="AI122" s="149">
        <f t="shared" si="15"/>
        <v>0.1785754954</v>
      </c>
      <c r="AJ122" s="149">
        <f t="shared" si="15"/>
        <v>0.114177861</v>
      </c>
      <c r="AK122" s="149">
        <f t="shared" si="15"/>
        <v>0.0846976125</v>
      </c>
      <c r="AL122" s="149">
        <f t="shared" si="15"/>
        <v>0.1221079075</v>
      </c>
      <c r="AM122" s="149">
        <f t="shared" si="15"/>
        <v>0.1423729101</v>
      </c>
      <c r="AN122" s="149">
        <f t="shared" si="15"/>
        <v>0.1601741806</v>
      </c>
      <c r="AO122" s="149">
        <f t="shared" si="15"/>
        <v>0.13301086</v>
      </c>
      <c r="AP122" s="149">
        <f t="shared" si="15"/>
        <v>0.1380358126</v>
      </c>
      <c r="AQ122" s="149">
        <f t="shared" si="15"/>
        <v>0.1627280423</v>
      </c>
      <c r="AR122" s="149">
        <f t="shared" si="15"/>
        <v>0.09153800532</v>
      </c>
      <c r="AS122" s="149">
        <f t="shared" si="15"/>
        <v>0.08474804506</v>
      </c>
      <c r="AT122" s="163"/>
    </row>
    <row r="123">
      <c r="A123" s="80"/>
      <c r="B123" s="81"/>
      <c r="C123" s="112"/>
      <c r="D123" s="90"/>
      <c r="E123" s="140" t="s">
        <v>625</v>
      </c>
      <c r="F123" s="215" t="s">
        <v>122</v>
      </c>
      <c r="G123" s="276" t="s">
        <v>149</v>
      </c>
      <c r="H123" s="187" t="s">
        <v>150</v>
      </c>
      <c r="I123" s="149">
        <f t="shared" ref="I123:AS123" si="16">I59*(1+$H$119)</f>
        <v>0.06686874965</v>
      </c>
      <c r="J123" s="149">
        <f t="shared" si="16"/>
        <v>0.08454676351</v>
      </c>
      <c r="K123" s="149">
        <f t="shared" si="16"/>
        <v>0.07038470616</v>
      </c>
      <c r="L123" s="149">
        <f t="shared" si="16"/>
        <v>0.1068640451</v>
      </c>
      <c r="M123" s="149">
        <f t="shared" si="16"/>
        <v>0.07294037951</v>
      </c>
      <c r="N123" s="149">
        <f t="shared" si="16"/>
        <v>0.06664064941</v>
      </c>
      <c r="O123" s="149">
        <f t="shared" si="16"/>
        <v>0.07596042275</v>
      </c>
      <c r="P123" s="149">
        <f t="shared" si="16"/>
        <v>0.0225865118</v>
      </c>
      <c r="Q123" s="149">
        <f t="shared" si="16"/>
        <v>0.05121916752</v>
      </c>
      <c r="R123" s="149">
        <f t="shared" si="16"/>
        <v>0.1584847999</v>
      </c>
      <c r="S123" s="149">
        <f t="shared" si="16"/>
        <v>0.1206804919</v>
      </c>
      <c r="T123" s="149">
        <f t="shared" si="16"/>
        <v>0.1567462825</v>
      </c>
      <c r="U123" s="149">
        <f t="shared" si="16"/>
        <v>0.1613799324</v>
      </c>
      <c r="V123" s="149">
        <f t="shared" si="16"/>
        <v>0.130199844</v>
      </c>
      <c r="W123" s="149">
        <f t="shared" si="16"/>
        <v>0.1327192095</v>
      </c>
      <c r="X123" s="149">
        <f t="shared" si="16"/>
        <v>0.1027017446</v>
      </c>
      <c r="Y123" s="149">
        <f t="shared" si="16"/>
        <v>0.1727090037</v>
      </c>
      <c r="Z123" s="149">
        <f t="shared" si="16"/>
        <v>0.1418468376</v>
      </c>
      <c r="AA123" s="149">
        <f t="shared" si="16"/>
        <v>0.1682628008</v>
      </c>
      <c r="AB123" s="149">
        <f t="shared" si="16"/>
        <v>0.1714267032</v>
      </c>
      <c r="AC123" s="149">
        <f t="shared" si="16"/>
        <v>0.1703224898</v>
      </c>
      <c r="AD123" s="149">
        <f t="shared" si="16"/>
        <v>0.1822848167</v>
      </c>
      <c r="AE123" s="149">
        <f t="shared" si="16"/>
        <v>0.1653588997</v>
      </c>
      <c r="AF123" s="149">
        <f t="shared" si="16"/>
        <v>0.173045978</v>
      </c>
      <c r="AG123" s="149">
        <f t="shared" si="16"/>
        <v>0.1311849964</v>
      </c>
      <c r="AH123" s="149">
        <f t="shared" si="16"/>
        <v>0.1216157699</v>
      </c>
      <c r="AI123" s="149">
        <f t="shared" si="16"/>
        <v>0.1769311317</v>
      </c>
      <c r="AJ123" s="149">
        <f t="shared" si="16"/>
        <v>0.1142516895</v>
      </c>
      <c r="AK123" s="149">
        <f t="shared" si="16"/>
        <v>0.08096563239</v>
      </c>
      <c r="AL123" s="149">
        <f t="shared" si="16"/>
        <v>0.1214603453</v>
      </c>
      <c r="AM123" s="149">
        <f t="shared" si="16"/>
        <v>0.1397707267</v>
      </c>
      <c r="AN123" s="149">
        <f t="shared" si="16"/>
        <v>0.1545151226</v>
      </c>
      <c r="AO123" s="149">
        <f t="shared" si="16"/>
        <v>0.1288217089</v>
      </c>
      <c r="AP123" s="149">
        <f t="shared" si="16"/>
        <v>0.130760974</v>
      </c>
      <c r="AQ123" s="149">
        <f t="shared" si="16"/>
        <v>0.1611985511</v>
      </c>
      <c r="AR123" s="149">
        <f t="shared" si="16"/>
        <v>0.09117818383</v>
      </c>
      <c r="AS123" s="149">
        <f t="shared" si="16"/>
        <v>0.08225205728</v>
      </c>
      <c r="AT123" s="163"/>
    </row>
    <row r="124">
      <c r="A124" s="80"/>
      <c r="B124" s="81"/>
      <c r="C124" s="112"/>
      <c r="D124" s="90"/>
      <c r="E124" s="140" t="s">
        <v>628</v>
      </c>
      <c r="F124" s="215" t="s">
        <v>122</v>
      </c>
      <c r="G124" s="276" t="s">
        <v>149</v>
      </c>
      <c r="H124" s="187" t="s">
        <v>150</v>
      </c>
      <c r="I124" s="149">
        <f t="shared" ref="I124:AS124" si="17">I60*(1+$H$119)</f>
        <v>0</v>
      </c>
      <c r="J124" s="149">
        <f t="shared" si="17"/>
        <v>0</v>
      </c>
      <c r="K124" s="149">
        <f t="shared" si="17"/>
        <v>0</v>
      </c>
      <c r="L124" s="149">
        <f t="shared" si="17"/>
        <v>0</v>
      </c>
      <c r="M124" s="149">
        <f t="shared" si="17"/>
        <v>0</v>
      </c>
      <c r="N124" s="149">
        <f t="shared" si="17"/>
        <v>0</v>
      </c>
      <c r="O124" s="149">
        <f t="shared" si="17"/>
        <v>0</v>
      </c>
      <c r="P124" s="149">
        <f t="shared" si="17"/>
        <v>0</v>
      </c>
      <c r="Q124" s="149">
        <f t="shared" si="17"/>
        <v>0</v>
      </c>
      <c r="R124" s="149">
        <f t="shared" si="17"/>
        <v>0</v>
      </c>
      <c r="S124" s="149">
        <f t="shared" si="17"/>
        <v>0</v>
      </c>
      <c r="T124" s="149">
        <f t="shared" si="17"/>
        <v>0</v>
      </c>
      <c r="U124" s="149">
        <f t="shared" si="17"/>
        <v>0</v>
      </c>
      <c r="V124" s="149">
        <f t="shared" si="17"/>
        <v>0</v>
      </c>
      <c r="W124" s="149">
        <f t="shared" si="17"/>
        <v>0</v>
      </c>
      <c r="X124" s="149">
        <f t="shared" si="17"/>
        <v>0</v>
      </c>
      <c r="Y124" s="149">
        <f t="shared" si="17"/>
        <v>0</v>
      </c>
      <c r="Z124" s="149">
        <f t="shared" si="17"/>
        <v>0</v>
      </c>
      <c r="AA124" s="149">
        <f t="shared" si="17"/>
        <v>0</v>
      </c>
      <c r="AB124" s="149">
        <f t="shared" si="17"/>
        <v>0</v>
      </c>
      <c r="AC124" s="149">
        <f t="shared" si="17"/>
        <v>0</v>
      </c>
      <c r="AD124" s="149">
        <f t="shared" si="17"/>
        <v>0</v>
      </c>
      <c r="AE124" s="149">
        <f t="shared" si="17"/>
        <v>0</v>
      </c>
      <c r="AF124" s="149">
        <f t="shared" si="17"/>
        <v>0</v>
      </c>
      <c r="AG124" s="149">
        <f t="shared" si="17"/>
        <v>0</v>
      </c>
      <c r="AH124" s="149">
        <f t="shared" si="17"/>
        <v>0</v>
      </c>
      <c r="AI124" s="149">
        <f t="shared" si="17"/>
        <v>0</v>
      </c>
      <c r="AJ124" s="149">
        <f t="shared" si="17"/>
        <v>0</v>
      </c>
      <c r="AK124" s="149">
        <f t="shared" si="17"/>
        <v>0</v>
      </c>
      <c r="AL124" s="149">
        <f t="shared" si="17"/>
        <v>0</v>
      </c>
      <c r="AM124" s="149">
        <f t="shared" si="17"/>
        <v>0</v>
      </c>
      <c r="AN124" s="149">
        <f t="shared" si="17"/>
        <v>0</v>
      </c>
      <c r="AO124" s="149">
        <f t="shared" si="17"/>
        <v>0</v>
      </c>
      <c r="AP124" s="149">
        <f t="shared" si="17"/>
        <v>0</v>
      </c>
      <c r="AQ124" s="149">
        <f t="shared" si="17"/>
        <v>0</v>
      </c>
      <c r="AR124" s="149">
        <f t="shared" si="17"/>
        <v>0</v>
      </c>
      <c r="AS124" s="149">
        <f t="shared" si="17"/>
        <v>0</v>
      </c>
      <c r="AT124" s="163"/>
    </row>
    <row r="125">
      <c r="A125" s="80"/>
      <c r="B125" s="81"/>
      <c r="C125" s="112"/>
      <c r="D125" s="90"/>
      <c r="E125" s="237" t="s">
        <v>629</v>
      </c>
      <c r="F125" s="195" t="s">
        <v>122</v>
      </c>
      <c r="G125" s="291" t="s">
        <v>149</v>
      </c>
      <c r="H125" s="197" t="s">
        <v>150</v>
      </c>
      <c r="I125" s="240">
        <f t="shared" ref="I125:AS125" si="18">I61*(1+$H$119)</f>
        <v>0.05309894283</v>
      </c>
      <c r="J125" s="240">
        <f t="shared" si="18"/>
        <v>0.06923365108</v>
      </c>
      <c r="K125" s="240">
        <f t="shared" si="18"/>
        <v>0.06640039085</v>
      </c>
      <c r="L125" s="240">
        <f t="shared" si="18"/>
        <v>0.09998805693</v>
      </c>
      <c r="M125" s="240">
        <f t="shared" si="18"/>
        <v>0.06471661565</v>
      </c>
      <c r="N125" s="240">
        <f t="shared" si="18"/>
        <v>0.06491283831</v>
      </c>
      <c r="O125" s="240">
        <f t="shared" si="18"/>
        <v>0.08884990368</v>
      </c>
      <c r="P125" s="240">
        <f t="shared" si="18"/>
        <v>0.02895084897</v>
      </c>
      <c r="Q125" s="240">
        <f t="shared" si="18"/>
        <v>0.06230285504</v>
      </c>
      <c r="R125" s="240">
        <f t="shared" si="18"/>
        <v>0.1455840914</v>
      </c>
      <c r="S125" s="240">
        <f t="shared" si="18"/>
        <v>0.1103091505</v>
      </c>
      <c r="T125" s="240">
        <f t="shared" si="18"/>
        <v>0.1359625639</v>
      </c>
      <c r="U125" s="240">
        <f t="shared" si="18"/>
        <v>0.1423861131</v>
      </c>
      <c r="V125" s="240">
        <f t="shared" si="18"/>
        <v>0.1182232134</v>
      </c>
      <c r="W125" s="240">
        <f t="shared" si="18"/>
        <v>0.1218305964</v>
      </c>
      <c r="X125" s="240">
        <f t="shared" si="18"/>
        <v>0.09700433754</v>
      </c>
      <c r="Y125" s="240">
        <f t="shared" si="18"/>
        <v>0.1535989576</v>
      </c>
      <c r="Z125" s="240">
        <f t="shared" si="18"/>
        <v>0.1371641276</v>
      </c>
      <c r="AA125" s="240">
        <f t="shared" si="18"/>
        <v>0.1501728568</v>
      </c>
      <c r="AB125" s="240">
        <f t="shared" si="18"/>
        <v>0.1662320663</v>
      </c>
      <c r="AC125" s="240">
        <f t="shared" si="18"/>
        <v>0.174935327</v>
      </c>
      <c r="AD125" s="240">
        <f t="shared" si="18"/>
        <v>0.1611188254</v>
      </c>
      <c r="AE125" s="240">
        <f t="shared" si="18"/>
        <v>0.1661187453</v>
      </c>
      <c r="AF125" s="240">
        <f t="shared" si="18"/>
        <v>0.1501957386</v>
      </c>
      <c r="AG125" s="240">
        <f t="shared" si="18"/>
        <v>0.1375663986</v>
      </c>
      <c r="AH125" s="240">
        <f t="shared" si="18"/>
        <v>0.131360877</v>
      </c>
      <c r="AI125" s="240">
        <f t="shared" si="18"/>
        <v>0.1746455693</v>
      </c>
      <c r="AJ125" s="240">
        <f t="shared" si="18"/>
        <v>0.1065054103</v>
      </c>
      <c r="AK125" s="240">
        <f t="shared" si="18"/>
        <v>0.08595379693</v>
      </c>
      <c r="AL125" s="240">
        <f t="shared" si="18"/>
        <v>0.1149284698</v>
      </c>
      <c r="AM125" s="240">
        <f t="shared" si="18"/>
        <v>0.1384772624</v>
      </c>
      <c r="AN125" s="240">
        <f t="shared" si="18"/>
        <v>0.1476822514</v>
      </c>
      <c r="AO125" s="240">
        <f t="shared" si="18"/>
        <v>0.1144202808</v>
      </c>
      <c r="AP125" s="240">
        <f t="shared" si="18"/>
        <v>0.1358645872</v>
      </c>
      <c r="AQ125" s="240">
        <f t="shared" si="18"/>
        <v>0.1555975257</v>
      </c>
      <c r="AR125" s="240">
        <f t="shared" si="18"/>
        <v>0.09476257185</v>
      </c>
      <c r="AS125" s="240">
        <f t="shared" si="18"/>
        <v>0.08613184879</v>
      </c>
      <c r="AT125" s="248"/>
    </row>
    <row r="126">
      <c r="A126" s="80"/>
      <c r="B126" s="81"/>
      <c r="C126" s="112"/>
      <c r="D126" s="90"/>
      <c r="E126" s="243"/>
      <c r="F126" s="108"/>
      <c r="G126" s="109"/>
      <c r="H126" s="110"/>
      <c r="I126" s="111"/>
      <c r="J126" s="111"/>
      <c r="K126" s="111"/>
      <c r="L126" s="111"/>
      <c r="M126" s="111"/>
      <c r="N126" s="111"/>
      <c r="O126" s="111"/>
      <c r="P126" s="111"/>
      <c r="Q126" s="111"/>
      <c r="R126" s="111"/>
      <c r="S126" s="111"/>
      <c r="T126" s="111"/>
      <c r="U126" s="111"/>
      <c r="V126" s="111"/>
      <c r="W126" s="111"/>
      <c r="X126" s="111"/>
      <c r="Y126" s="111"/>
      <c r="Z126" s="111"/>
      <c r="AA126" s="111"/>
      <c r="AB126" s="111"/>
      <c r="AC126" s="111"/>
      <c r="AD126" s="111"/>
      <c r="AE126" s="111"/>
      <c r="AF126" s="111"/>
      <c r="AG126" s="111"/>
      <c r="AH126" s="111"/>
      <c r="AI126" s="111"/>
      <c r="AJ126" s="111"/>
      <c r="AK126" s="111"/>
      <c r="AL126" s="111"/>
      <c r="AM126" s="111"/>
      <c r="AN126" s="111"/>
      <c r="AO126" s="111"/>
      <c r="AP126" s="111"/>
      <c r="AQ126" s="111"/>
      <c r="AR126" s="111"/>
      <c r="AS126" s="111"/>
      <c r="AT126" s="88"/>
    </row>
    <row r="127">
      <c r="A127" s="80"/>
      <c r="B127" s="81"/>
      <c r="C127" s="112" t="s">
        <v>633</v>
      </c>
      <c r="F127" s="108"/>
      <c r="G127" s="109"/>
      <c r="H127" s="110"/>
      <c r="I127" s="111"/>
      <c r="J127" s="111"/>
      <c r="K127" s="111"/>
      <c r="L127" s="111"/>
      <c r="M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11"/>
      <c r="AI127" s="111"/>
      <c r="AJ127" s="111"/>
      <c r="AK127" s="111"/>
      <c r="AL127" s="111"/>
      <c r="AM127" s="111"/>
      <c r="AN127" s="111"/>
      <c r="AO127" s="111"/>
      <c r="AP127" s="111"/>
      <c r="AQ127" s="111"/>
      <c r="AR127" s="111"/>
      <c r="AS127" s="111"/>
      <c r="AT127" s="88"/>
    </row>
    <row r="128">
      <c r="A128" s="80"/>
      <c r="B128" s="81"/>
      <c r="C128" s="112"/>
      <c r="D128" s="90"/>
      <c r="E128" s="224" t="s">
        <v>301</v>
      </c>
      <c r="F128" s="93" t="s">
        <v>122</v>
      </c>
      <c r="G128" s="321" t="s">
        <v>149</v>
      </c>
      <c r="H128" s="129" t="s">
        <v>150</v>
      </c>
      <c r="I128" s="308">
        <f t="shared" ref="I128:AS128" si="19">SUMPRODUCT($H100:$H105,I108:I113,I120:I125)/I116</f>
        <v>0.07715205985</v>
      </c>
      <c r="J128" s="308">
        <f t="shared" si="19"/>
        <v>0.09666623169</v>
      </c>
      <c r="K128" s="308">
        <f t="shared" si="19"/>
        <v>0.07990560578</v>
      </c>
      <c r="L128" s="308">
        <f t="shared" si="19"/>
        <v>0.114754482</v>
      </c>
      <c r="M128" s="308">
        <f t="shared" si="19"/>
        <v>0.08190650167</v>
      </c>
      <c r="N128" s="308">
        <f t="shared" si="19"/>
        <v>0.07490353631</v>
      </c>
      <c r="O128" s="308">
        <f t="shared" si="19"/>
        <v>0.07687098996</v>
      </c>
      <c r="P128" s="308">
        <f t="shared" si="19"/>
        <v>0.04149937581</v>
      </c>
      <c r="Q128" s="308">
        <f t="shared" si="19"/>
        <v>0.06081291956</v>
      </c>
      <c r="R128" s="308">
        <f t="shared" si="19"/>
        <v>0.1595099751</v>
      </c>
      <c r="S128" s="308">
        <f t="shared" si="19"/>
        <v>0.1281389066</v>
      </c>
      <c r="T128" s="308">
        <f t="shared" si="19"/>
        <v>0.1540372907</v>
      </c>
      <c r="U128" s="308">
        <f t="shared" si="19"/>
        <v>0.1604361908</v>
      </c>
      <c r="V128" s="308">
        <f t="shared" si="19"/>
        <v>0.1234588325</v>
      </c>
      <c r="W128" s="308">
        <f t="shared" si="19"/>
        <v>0.1277985407</v>
      </c>
      <c r="X128" s="308">
        <f t="shared" si="19"/>
        <v>0.1201044426</v>
      </c>
      <c r="Y128" s="308">
        <f t="shared" si="19"/>
        <v>0.1623762277</v>
      </c>
      <c r="Z128" s="308">
        <f t="shared" si="19"/>
        <v>0.1481669327</v>
      </c>
      <c r="AA128" s="308">
        <f t="shared" si="19"/>
        <v>0.1629122922</v>
      </c>
      <c r="AB128" s="308">
        <f t="shared" si="19"/>
        <v>0.1732274107</v>
      </c>
      <c r="AC128" s="308">
        <f t="shared" si="19"/>
        <v>0.1694105107</v>
      </c>
      <c r="AD128" s="308">
        <f t="shared" si="19"/>
        <v>0.1753106565</v>
      </c>
      <c r="AE128" s="308">
        <f t="shared" si="19"/>
        <v>0.1678948984</v>
      </c>
      <c r="AF128" s="308">
        <f t="shared" si="19"/>
        <v>0.1749937361</v>
      </c>
      <c r="AG128" s="308">
        <f t="shared" si="19"/>
        <v>0.1414223277</v>
      </c>
      <c r="AH128" s="308">
        <f t="shared" si="19"/>
        <v>0.1274814133</v>
      </c>
      <c r="AI128" s="308">
        <f t="shared" si="19"/>
        <v>0.1756672087</v>
      </c>
      <c r="AJ128" s="308">
        <f t="shared" si="19"/>
        <v>0.1237125333</v>
      </c>
      <c r="AK128" s="308">
        <f t="shared" si="19"/>
        <v>0.08900224759</v>
      </c>
      <c r="AL128" s="308">
        <f t="shared" si="19"/>
        <v>0.1344067565</v>
      </c>
      <c r="AM128" s="308">
        <f t="shared" si="19"/>
        <v>0.1412846212</v>
      </c>
      <c r="AN128" s="308">
        <f t="shared" si="19"/>
        <v>0.160894706</v>
      </c>
      <c r="AO128" s="308">
        <f t="shared" si="19"/>
        <v>0.1354316941</v>
      </c>
      <c r="AP128" s="308">
        <f t="shared" si="19"/>
        <v>0.1425565635</v>
      </c>
      <c r="AQ128" s="308">
        <f t="shared" si="19"/>
        <v>0.1591951682</v>
      </c>
      <c r="AR128" s="308">
        <f t="shared" si="19"/>
        <v>0.09404419818</v>
      </c>
      <c r="AS128" s="308">
        <f t="shared" si="19"/>
        <v>0.08123133352</v>
      </c>
      <c r="AT128" s="265"/>
    </row>
    <row r="129">
      <c r="A129" s="80"/>
      <c r="B129" s="81"/>
      <c r="C129" s="102"/>
      <c r="D129" s="81"/>
      <c r="E129" s="82"/>
      <c r="F129" s="83"/>
      <c r="G129" s="135"/>
      <c r="H129" s="85"/>
      <c r="I129" s="86"/>
      <c r="J129" s="86"/>
      <c r="K129" s="86"/>
      <c r="L129" s="86"/>
      <c r="M129" s="86"/>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c r="AQ129" s="86"/>
      <c r="AR129" s="86"/>
      <c r="AS129" s="86"/>
      <c r="AT129" s="88"/>
    </row>
    <row r="130">
      <c r="A130" s="81"/>
      <c r="B130" s="81"/>
      <c r="C130" s="90" t="s">
        <v>637</v>
      </c>
      <c r="F130" s="83"/>
      <c r="G130" s="135"/>
      <c r="H130" s="85"/>
      <c r="I130" s="86"/>
      <c r="J130" s="86"/>
      <c r="K130" s="86"/>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c r="AQ130" s="86"/>
      <c r="AR130" s="86"/>
      <c r="AS130" s="86"/>
      <c r="AT130" s="88"/>
    </row>
    <row r="131">
      <c r="A131" s="81"/>
      <c r="B131" s="81"/>
      <c r="C131" s="112"/>
      <c r="D131" s="112"/>
      <c r="E131" s="113" t="s">
        <v>638</v>
      </c>
      <c r="F131" s="399" t="str">
        <f>'Disease burden'!F329</f>
        <v>%</v>
      </c>
      <c r="G131" s="117" t="s">
        <v>131</v>
      </c>
      <c r="H131" s="156">
        <f>'Disease burden'!H329</f>
        <v>0.21680214</v>
      </c>
      <c r="I131" s="289" t="str">
        <f>'Disease burden'!I329</f>
        <v>-</v>
      </c>
      <c r="J131" s="289" t="str">
        <f>'Disease burden'!J329</f>
        <v>-</v>
      </c>
      <c r="K131" s="289" t="str">
        <f>'Disease burden'!K329</f>
        <v>-</v>
      </c>
      <c r="L131" s="289" t="str">
        <f>'Disease burden'!L329</f>
        <v>-</v>
      </c>
      <c r="M131" s="289" t="str">
        <f>'Disease burden'!M329</f>
        <v>-</v>
      </c>
      <c r="N131" s="289" t="str">
        <f>'Disease burden'!N329</f>
        <v>-</v>
      </c>
      <c r="O131" s="289" t="str">
        <f>'Disease burden'!O329</f>
        <v>-</v>
      </c>
      <c r="P131" s="289" t="str">
        <f>'Disease burden'!P329</f>
        <v>-</v>
      </c>
      <c r="Q131" s="289" t="str">
        <f>'Disease burden'!Q329</f>
        <v>-</v>
      </c>
      <c r="R131" s="289" t="str">
        <f>'Disease burden'!R329</f>
        <v>-</v>
      </c>
      <c r="S131" s="289" t="str">
        <f>'Disease burden'!S329</f>
        <v>-</v>
      </c>
      <c r="T131" s="289" t="str">
        <f>'Disease burden'!T329</f>
        <v>-</v>
      </c>
      <c r="U131" s="289" t="str">
        <f>'Disease burden'!U329</f>
        <v>-</v>
      </c>
      <c r="V131" s="289" t="str">
        <f>'Disease burden'!V329</f>
        <v>-</v>
      </c>
      <c r="W131" s="289" t="str">
        <f>'Disease burden'!W329</f>
        <v>-</v>
      </c>
      <c r="X131" s="289" t="str">
        <f>'Disease burden'!X329</f>
        <v>-</v>
      </c>
      <c r="Y131" s="289" t="str">
        <f>'Disease burden'!Y329</f>
        <v>-</v>
      </c>
      <c r="Z131" s="289" t="str">
        <f>'Disease burden'!Z329</f>
        <v>-</v>
      </c>
      <c r="AA131" s="289" t="str">
        <f>'Disease burden'!AA329</f>
        <v>-</v>
      </c>
      <c r="AB131" s="289" t="str">
        <f>'Disease burden'!AB329</f>
        <v>-</v>
      </c>
      <c r="AC131" s="289" t="str">
        <f>'Disease burden'!AC329</f>
        <v>-</v>
      </c>
      <c r="AD131" s="289" t="str">
        <f>'Disease burden'!AD329</f>
        <v>-</v>
      </c>
      <c r="AE131" s="289" t="str">
        <f>'Disease burden'!AE329</f>
        <v>-</v>
      </c>
      <c r="AF131" s="289" t="str">
        <f>'Disease burden'!AF329</f>
        <v>-</v>
      </c>
      <c r="AG131" s="289" t="str">
        <f>'Disease burden'!AG329</f>
        <v>-</v>
      </c>
      <c r="AH131" s="289" t="str">
        <f>'Disease burden'!AH329</f>
        <v>-</v>
      </c>
      <c r="AI131" s="289" t="str">
        <f>'Disease burden'!AI329</f>
        <v>-</v>
      </c>
      <c r="AJ131" s="289" t="str">
        <f>'Disease burden'!AJ329</f>
        <v>-</v>
      </c>
      <c r="AK131" s="289" t="str">
        <f>'Disease burden'!AK329</f>
        <v>-</v>
      </c>
      <c r="AL131" s="289" t="str">
        <f>'Disease burden'!AL329</f>
        <v>-</v>
      </c>
      <c r="AM131" s="289" t="str">
        <f>'Disease burden'!AM329</f>
        <v>-</v>
      </c>
      <c r="AN131" s="289" t="str">
        <f>'Disease burden'!AN329</f>
        <v>-</v>
      </c>
      <c r="AO131" s="289" t="str">
        <f>'Disease burden'!AO329</f>
        <v>-</v>
      </c>
      <c r="AP131" s="289" t="str">
        <f>'Disease burden'!AP329</f>
        <v>-</v>
      </c>
      <c r="AQ131" s="289" t="str">
        <f>'Disease burden'!AQ329</f>
        <v>-</v>
      </c>
      <c r="AR131" s="289" t="str">
        <f>'Disease burden'!AR329</f>
        <v>-</v>
      </c>
      <c r="AS131" s="289" t="str">
        <f>'Disease burden'!AS329</f>
        <v>-</v>
      </c>
      <c r="AT131" s="136"/>
    </row>
    <row r="132">
      <c r="A132" s="81"/>
      <c r="B132" s="81"/>
      <c r="C132" s="112"/>
      <c r="D132" s="112"/>
      <c r="E132" s="140" t="s">
        <v>643</v>
      </c>
      <c r="F132" s="407" t="str">
        <f>'Disease burden'!F330</f>
        <v>%</v>
      </c>
      <c r="G132" s="142" t="s">
        <v>131</v>
      </c>
      <c r="H132" s="176">
        <f>'Disease burden'!H330</f>
        <v>0.2142515266</v>
      </c>
      <c r="I132" s="310" t="str">
        <f>'Disease burden'!I330</f>
        <v>-</v>
      </c>
      <c r="J132" s="310" t="str">
        <f>'Disease burden'!J330</f>
        <v>-</v>
      </c>
      <c r="K132" s="310" t="str">
        <f>'Disease burden'!K330</f>
        <v>-</v>
      </c>
      <c r="L132" s="310" t="str">
        <f>'Disease burden'!L330</f>
        <v>-</v>
      </c>
      <c r="M132" s="310" t="str">
        <f>'Disease burden'!M330</f>
        <v>-</v>
      </c>
      <c r="N132" s="310" t="str">
        <f>'Disease burden'!N330</f>
        <v>-</v>
      </c>
      <c r="O132" s="310" t="str">
        <f>'Disease burden'!O330</f>
        <v>-</v>
      </c>
      <c r="P132" s="310" t="str">
        <f>'Disease burden'!P330</f>
        <v>-</v>
      </c>
      <c r="Q132" s="310" t="str">
        <f>'Disease burden'!Q330</f>
        <v>-</v>
      </c>
      <c r="R132" s="310" t="str">
        <f>'Disease burden'!R330</f>
        <v>-</v>
      </c>
      <c r="S132" s="310" t="str">
        <f>'Disease burden'!S330</f>
        <v>-</v>
      </c>
      <c r="T132" s="310" t="str">
        <f>'Disease burden'!T330</f>
        <v>-</v>
      </c>
      <c r="U132" s="310" t="str">
        <f>'Disease burden'!U330</f>
        <v>-</v>
      </c>
      <c r="V132" s="310" t="str">
        <f>'Disease burden'!V330</f>
        <v>-</v>
      </c>
      <c r="W132" s="310" t="str">
        <f>'Disease burden'!W330</f>
        <v>-</v>
      </c>
      <c r="X132" s="310" t="str">
        <f>'Disease burden'!X330</f>
        <v>-</v>
      </c>
      <c r="Y132" s="310" t="str">
        <f>'Disease burden'!Y330</f>
        <v>-</v>
      </c>
      <c r="Z132" s="310" t="str">
        <f>'Disease burden'!Z330</f>
        <v>-</v>
      </c>
      <c r="AA132" s="310" t="str">
        <f>'Disease burden'!AA330</f>
        <v>-</v>
      </c>
      <c r="AB132" s="310" t="str">
        <f>'Disease burden'!AB330</f>
        <v>-</v>
      </c>
      <c r="AC132" s="310" t="str">
        <f>'Disease burden'!AC330</f>
        <v>-</v>
      </c>
      <c r="AD132" s="310" t="str">
        <f>'Disease burden'!AD330</f>
        <v>-</v>
      </c>
      <c r="AE132" s="310" t="str">
        <f>'Disease burden'!AE330</f>
        <v>-</v>
      </c>
      <c r="AF132" s="310" t="str">
        <f>'Disease burden'!AF330</f>
        <v>-</v>
      </c>
      <c r="AG132" s="310" t="str">
        <f>'Disease burden'!AG330</f>
        <v>-</v>
      </c>
      <c r="AH132" s="310" t="str">
        <f>'Disease burden'!AH330</f>
        <v>-</v>
      </c>
      <c r="AI132" s="310" t="str">
        <f>'Disease burden'!AI330</f>
        <v>-</v>
      </c>
      <c r="AJ132" s="310" t="str">
        <f>'Disease burden'!AJ330</f>
        <v>-</v>
      </c>
      <c r="AK132" s="310" t="str">
        <f>'Disease burden'!AK330</f>
        <v>-</v>
      </c>
      <c r="AL132" s="310" t="str">
        <f>'Disease burden'!AL330</f>
        <v>-</v>
      </c>
      <c r="AM132" s="310" t="str">
        <f>'Disease burden'!AM330</f>
        <v>-</v>
      </c>
      <c r="AN132" s="310" t="str">
        <f>'Disease burden'!AN330</f>
        <v>-</v>
      </c>
      <c r="AO132" s="310" t="str">
        <f>'Disease burden'!AO330</f>
        <v>-</v>
      </c>
      <c r="AP132" s="310" t="str">
        <f>'Disease burden'!AP330</f>
        <v>-</v>
      </c>
      <c r="AQ132" s="310" t="str">
        <f>'Disease burden'!AQ330</f>
        <v>-</v>
      </c>
      <c r="AR132" s="310" t="str">
        <f>'Disease burden'!AR330</f>
        <v>-</v>
      </c>
      <c r="AS132" s="310" t="str">
        <f>'Disease burden'!AS330</f>
        <v>-</v>
      </c>
      <c r="AT132" s="163"/>
    </row>
    <row r="133">
      <c r="A133" s="81"/>
      <c r="B133" s="81"/>
      <c r="C133" s="112"/>
      <c r="D133" s="112"/>
      <c r="E133" s="140" t="s">
        <v>646</v>
      </c>
      <c r="F133" s="407" t="str">
        <f>'Disease burden'!F331</f>
        <v>%</v>
      </c>
      <c r="G133" s="142" t="s">
        <v>131</v>
      </c>
      <c r="H133" s="176">
        <f>'Disease burden'!H331</f>
        <v>0.2091502998</v>
      </c>
      <c r="I133" s="310" t="str">
        <f>'Disease burden'!I331</f>
        <v>-</v>
      </c>
      <c r="J133" s="310" t="str">
        <f>'Disease burden'!J331</f>
        <v>-</v>
      </c>
      <c r="K133" s="310" t="str">
        <f>'Disease burden'!K331</f>
        <v>-</v>
      </c>
      <c r="L133" s="310" t="str">
        <f>'Disease burden'!L331</f>
        <v>-</v>
      </c>
      <c r="M133" s="310" t="str">
        <f>'Disease burden'!M331</f>
        <v>-</v>
      </c>
      <c r="N133" s="310" t="str">
        <f>'Disease burden'!N331</f>
        <v>-</v>
      </c>
      <c r="O133" s="310" t="str">
        <f>'Disease burden'!O331</f>
        <v>-</v>
      </c>
      <c r="P133" s="310" t="str">
        <f>'Disease burden'!P331</f>
        <v>-</v>
      </c>
      <c r="Q133" s="310" t="str">
        <f>'Disease burden'!Q331</f>
        <v>-</v>
      </c>
      <c r="R133" s="310" t="str">
        <f>'Disease burden'!R331</f>
        <v>-</v>
      </c>
      <c r="S133" s="310" t="str">
        <f>'Disease burden'!S331</f>
        <v>-</v>
      </c>
      <c r="T133" s="310" t="str">
        <f>'Disease burden'!T331</f>
        <v>-</v>
      </c>
      <c r="U133" s="310" t="str">
        <f>'Disease burden'!U331</f>
        <v>-</v>
      </c>
      <c r="V133" s="310" t="str">
        <f>'Disease burden'!V331</f>
        <v>-</v>
      </c>
      <c r="W133" s="310" t="str">
        <f>'Disease burden'!W331</f>
        <v>-</v>
      </c>
      <c r="X133" s="310" t="str">
        <f>'Disease burden'!X331</f>
        <v>-</v>
      </c>
      <c r="Y133" s="310" t="str">
        <f>'Disease burden'!Y331</f>
        <v>-</v>
      </c>
      <c r="Z133" s="310" t="str">
        <f>'Disease burden'!Z331</f>
        <v>-</v>
      </c>
      <c r="AA133" s="310" t="str">
        <f>'Disease burden'!AA331</f>
        <v>-</v>
      </c>
      <c r="AB133" s="310" t="str">
        <f>'Disease burden'!AB331</f>
        <v>-</v>
      </c>
      <c r="AC133" s="310" t="str">
        <f>'Disease burden'!AC331</f>
        <v>-</v>
      </c>
      <c r="AD133" s="310" t="str">
        <f>'Disease burden'!AD331</f>
        <v>-</v>
      </c>
      <c r="AE133" s="310" t="str">
        <f>'Disease burden'!AE331</f>
        <v>-</v>
      </c>
      <c r="AF133" s="310" t="str">
        <f>'Disease burden'!AF331</f>
        <v>-</v>
      </c>
      <c r="AG133" s="310" t="str">
        <f>'Disease burden'!AG331</f>
        <v>-</v>
      </c>
      <c r="AH133" s="310" t="str">
        <f>'Disease burden'!AH331</f>
        <v>-</v>
      </c>
      <c r="AI133" s="310" t="str">
        <f>'Disease burden'!AI331</f>
        <v>-</v>
      </c>
      <c r="AJ133" s="310" t="str">
        <f>'Disease burden'!AJ331</f>
        <v>-</v>
      </c>
      <c r="AK133" s="310" t="str">
        <f>'Disease burden'!AK331</f>
        <v>-</v>
      </c>
      <c r="AL133" s="310" t="str">
        <f>'Disease burden'!AL331</f>
        <v>-</v>
      </c>
      <c r="AM133" s="310" t="str">
        <f>'Disease burden'!AM331</f>
        <v>-</v>
      </c>
      <c r="AN133" s="310" t="str">
        <f>'Disease burden'!AN331</f>
        <v>-</v>
      </c>
      <c r="AO133" s="310" t="str">
        <f>'Disease burden'!AO331</f>
        <v>-</v>
      </c>
      <c r="AP133" s="310" t="str">
        <f>'Disease burden'!AP331</f>
        <v>-</v>
      </c>
      <c r="AQ133" s="310" t="str">
        <f>'Disease burden'!AQ331</f>
        <v>-</v>
      </c>
      <c r="AR133" s="310" t="str">
        <f>'Disease burden'!AR331</f>
        <v>-</v>
      </c>
      <c r="AS133" s="310" t="str">
        <f>'Disease burden'!AS331</f>
        <v>-</v>
      </c>
      <c r="AT133" s="163"/>
    </row>
    <row r="134">
      <c r="A134" s="81"/>
      <c r="B134" s="81"/>
      <c r="C134" s="112"/>
      <c r="D134" s="112"/>
      <c r="E134" s="140" t="s">
        <v>652</v>
      </c>
      <c r="F134" s="407" t="str">
        <f>'Disease burden'!F332</f>
        <v>%</v>
      </c>
      <c r="G134" s="142" t="s">
        <v>131</v>
      </c>
      <c r="H134" s="176">
        <f>'Disease burden'!H332</f>
        <v>0.1479355779</v>
      </c>
      <c r="I134" s="310" t="str">
        <f>'Disease burden'!I332</f>
        <v>-</v>
      </c>
      <c r="J134" s="310" t="str">
        <f>'Disease burden'!J332</f>
        <v>-</v>
      </c>
      <c r="K134" s="310" t="str">
        <f>'Disease burden'!K332</f>
        <v>-</v>
      </c>
      <c r="L134" s="310" t="str">
        <f>'Disease burden'!L332</f>
        <v>-</v>
      </c>
      <c r="M134" s="310" t="str">
        <f>'Disease burden'!M332</f>
        <v>-</v>
      </c>
      <c r="N134" s="310" t="str">
        <f>'Disease burden'!N332</f>
        <v>-</v>
      </c>
      <c r="O134" s="310" t="str">
        <f>'Disease burden'!O332</f>
        <v>-</v>
      </c>
      <c r="P134" s="310" t="str">
        <f>'Disease burden'!P332</f>
        <v>-</v>
      </c>
      <c r="Q134" s="310" t="str">
        <f>'Disease burden'!Q332</f>
        <v>-</v>
      </c>
      <c r="R134" s="310" t="str">
        <f>'Disease burden'!R332</f>
        <v>-</v>
      </c>
      <c r="S134" s="310" t="str">
        <f>'Disease burden'!S332</f>
        <v>-</v>
      </c>
      <c r="T134" s="310" t="str">
        <f>'Disease burden'!T332</f>
        <v>-</v>
      </c>
      <c r="U134" s="310" t="str">
        <f>'Disease burden'!U332</f>
        <v>-</v>
      </c>
      <c r="V134" s="310" t="str">
        <f>'Disease burden'!V332</f>
        <v>-</v>
      </c>
      <c r="W134" s="310" t="str">
        <f>'Disease burden'!W332</f>
        <v>-</v>
      </c>
      <c r="X134" s="310" t="str">
        <f>'Disease burden'!X332</f>
        <v>-</v>
      </c>
      <c r="Y134" s="310" t="str">
        <f>'Disease burden'!Y332</f>
        <v>-</v>
      </c>
      <c r="Z134" s="310" t="str">
        <f>'Disease burden'!Z332</f>
        <v>-</v>
      </c>
      <c r="AA134" s="310" t="str">
        <f>'Disease burden'!AA332</f>
        <v>-</v>
      </c>
      <c r="AB134" s="310" t="str">
        <f>'Disease burden'!AB332</f>
        <v>-</v>
      </c>
      <c r="AC134" s="310" t="str">
        <f>'Disease burden'!AC332</f>
        <v>-</v>
      </c>
      <c r="AD134" s="310" t="str">
        <f>'Disease burden'!AD332</f>
        <v>-</v>
      </c>
      <c r="AE134" s="310" t="str">
        <f>'Disease burden'!AE332</f>
        <v>-</v>
      </c>
      <c r="AF134" s="310" t="str">
        <f>'Disease burden'!AF332</f>
        <v>-</v>
      </c>
      <c r="AG134" s="310" t="str">
        <f>'Disease burden'!AG332</f>
        <v>-</v>
      </c>
      <c r="AH134" s="310" t="str">
        <f>'Disease burden'!AH332</f>
        <v>-</v>
      </c>
      <c r="AI134" s="310" t="str">
        <f>'Disease burden'!AI332</f>
        <v>-</v>
      </c>
      <c r="AJ134" s="310" t="str">
        <f>'Disease burden'!AJ332</f>
        <v>-</v>
      </c>
      <c r="AK134" s="310" t="str">
        <f>'Disease burden'!AK332</f>
        <v>-</v>
      </c>
      <c r="AL134" s="310" t="str">
        <f>'Disease burden'!AL332</f>
        <v>-</v>
      </c>
      <c r="AM134" s="310" t="str">
        <f>'Disease burden'!AM332</f>
        <v>-</v>
      </c>
      <c r="AN134" s="310" t="str">
        <f>'Disease burden'!AN332</f>
        <v>-</v>
      </c>
      <c r="AO134" s="310" t="str">
        <f>'Disease burden'!AO332</f>
        <v>-</v>
      </c>
      <c r="AP134" s="310" t="str">
        <f>'Disease burden'!AP332</f>
        <v>-</v>
      </c>
      <c r="AQ134" s="310" t="str">
        <f>'Disease burden'!AQ332</f>
        <v>-</v>
      </c>
      <c r="AR134" s="310" t="str">
        <f>'Disease burden'!AR332</f>
        <v>-</v>
      </c>
      <c r="AS134" s="310" t="str">
        <f>'Disease burden'!AS332</f>
        <v>-</v>
      </c>
      <c r="AT134" s="163"/>
    </row>
    <row r="135">
      <c r="A135" s="81"/>
      <c r="B135" s="81"/>
      <c r="C135" s="112"/>
      <c r="D135" s="112"/>
      <c r="E135" s="140" t="s">
        <v>658</v>
      </c>
      <c r="F135" s="407" t="str">
        <f>'Disease burden'!F333</f>
        <v>%</v>
      </c>
      <c r="G135" s="142" t="s">
        <v>131</v>
      </c>
      <c r="H135" s="176">
        <f>'Disease burden'!H333</f>
        <v>0.1173282169</v>
      </c>
      <c r="I135" s="310" t="str">
        <f>'Disease burden'!I333</f>
        <v>-</v>
      </c>
      <c r="J135" s="310" t="str">
        <f>'Disease burden'!J333</f>
        <v>-</v>
      </c>
      <c r="K135" s="310" t="str">
        <f>'Disease burden'!K333</f>
        <v>-</v>
      </c>
      <c r="L135" s="310" t="str">
        <f>'Disease burden'!L333</f>
        <v>-</v>
      </c>
      <c r="M135" s="310" t="str">
        <f>'Disease burden'!M333</f>
        <v>-</v>
      </c>
      <c r="N135" s="310" t="str">
        <f>'Disease burden'!N333</f>
        <v>-</v>
      </c>
      <c r="O135" s="310" t="str">
        <f>'Disease burden'!O333</f>
        <v>-</v>
      </c>
      <c r="P135" s="310" t="str">
        <f>'Disease burden'!P333</f>
        <v>-</v>
      </c>
      <c r="Q135" s="310" t="str">
        <f>'Disease burden'!Q333</f>
        <v>-</v>
      </c>
      <c r="R135" s="310" t="str">
        <f>'Disease burden'!R333</f>
        <v>-</v>
      </c>
      <c r="S135" s="310" t="str">
        <f>'Disease burden'!S333</f>
        <v>-</v>
      </c>
      <c r="T135" s="310" t="str">
        <f>'Disease burden'!T333</f>
        <v>-</v>
      </c>
      <c r="U135" s="310" t="str">
        <f>'Disease burden'!U333</f>
        <v>-</v>
      </c>
      <c r="V135" s="310" t="str">
        <f>'Disease burden'!V333</f>
        <v>-</v>
      </c>
      <c r="W135" s="310" t="str">
        <f>'Disease burden'!W333</f>
        <v>-</v>
      </c>
      <c r="X135" s="310" t="str">
        <f>'Disease burden'!X333</f>
        <v>-</v>
      </c>
      <c r="Y135" s="310" t="str">
        <f>'Disease burden'!Y333</f>
        <v>-</v>
      </c>
      <c r="Z135" s="310" t="str">
        <f>'Disease burden'!Z333</f>
        <v>-</v>
      </c>
      <c r="AA135" s="310" t="str">
        <f>'Disease burden'!AA333</f>
        <v>-</v>
      </c>
      <c r="AB135" s="310" t="str">
        <f>'Disease burden'!AB333</f>
        <v>-</v>
      </c>
      <c r="AC135" s="310" t="str">
        <f>'Disease burden'!AC333</f>
        <v>-</v>
      </c>
      <c r="AD135" s="310" t="str">
        <f>'Disease burden'!AD333</f>
        <v>-</v>
      </c>
      <c r="AE135" s="310" t="str">
        <f>'Disease burden'!AE333</f>
        <v>-</v>
      </c>
      <c r="AF135" s="310" t="str">
        <f>'Disease burden'!AF333</f>
        <v>-</v>
      </c>
      <c r="AG135" s="310" t="str">
        <f>'Disease burden'!AG333</f>
        <v>-</v>
      </c>
      <c r="AH135" s="310" t="str">
        <f>'Disease burden'!AH333</f>
        <v>-</v>
      </c>
      <c r="AI135" s="310" t="str">
        <f>'Disease burden'!AI333</f>
        <v>-</v>
      </c>
      <c r="AJ135" s="310" t="str">
        <f>'Disease burden'!AJ333</f>
        <v>-</v>
      </c>
      <c r="AK135" s="310" t="str">
        <f>'Disease burden'!AK333</f>
        <v>-</v>
      </c>
      <c r="AL135" s="310" t="str">
        <f>'Disease burden'!AL333</f>
        <v>-</v>
      </c>
      <c r="AM135" s="310" t="str">
        <f>'Disease burden'!AM333</f>
        <v>-</v>
      </c>
      <c r="AN135" s="310" t="str">
        <f>'Disease burden'!AN333</f>
        <v>-</v>
      </c>
      <c r="AO135" s="310" t="str">
        <f>'Disease burden'!AO333</f>
        <v>-</v>
      </c>
      <c r="AP135" s="310" t="str">
        <f>'Disease burden'!AP333</f>
        <v>-</v>
      </c>
      <c r="AQ135" s="310" t="str">
        <f>'Disease burden'!AQ333</f>
        <v>-</v>
      </c>
      <c r="AR135" s="310" t="str">
        <f>'Disease burden'!AR333</f>
        <v>-</v>
      </c>
      <c r="AS135" s="310" t="str">
        <f>'Disease burden'!AS333</f>
        <v>-</v>
      </c>
      <c r="AT135" s="163"/>
    </row>
    <row r="136">
      <c r="A136" s="81"/>
      <c r="B136" s="81"/>
      <c r="C136" s="112"/>
      <c r="D136" s="112"/>
      <c r="E136" s="237" t="s">
        <v>669</v>
      </c>
      <c r="F136" s="425" t="str">
        <f>'Disease burden'!F334</f>
        <v>%</v>
      </c>
      <c r="G136" s="239" t="s">
        <v>131</v>
      </c>
      <c r="H136" s="234">
        <f>'Disease burden'!H334</f>
        <v>0.1995958358</v>
      </c>
      <c r="I136" s="427" t="str">
        <f>'Disease burden'!I334</f>
        <v>-</v>
      </c>
      <c r="J136" s="427" t="str">
        <f>'Disease burden'!J334</f>
        <v>-</v>
      </c>
      <c r="K136" s="427" t="str">
        <f>'Disease burden'!K334</f>
        <v>-</v>
      </c>
      <c r="L136" s="427" t="str">
        <f>'Disease burden'!L334</f>
        <v>-</v>
      </c>
      <c r="M136" s="427" t="str">
        <f>'Disease burden'!M334</f>
        <v>-</v>
      </c>
      <c r="N136" s="427" t="str">
        <f>'Disease burden'!N334</f>
        <v>-</v>
      </c>
      <c r="O136" s="427" t="str">
        <f>'Disease burden'!O334</f>
        <v>-</v>
      </c>
      <c r="P136" s="427" t="str">
        <f>'Disease burden'!P334</f>
        <v>-</v>
      </c>
      <c r="Q136" s="427" t="str">
        <f>'Disease burden'!Q334</f>
        <v>-</v>
      </c>
      <c r="R136" s="427" t="str">
        <f>'Disease burden'!R334</f>
        <v>-</v>
      </c>
      <c r="S136" s="427" t="str">
        <f>'Disease burden'!S334</f>
        <v>-</v>
      </c>
      <c r="T136" s="427" t="str">
        <f>'Disease burden'!T334</f>
        <v>-</v>
      </c>
      <c r="U136" s="427" t="str">
        <f>'Disease burden'!U334</f>
        <v>-</v>
      </c>
      <c r="V136" s="427" t="str">
        <f>'Disease burden'!V334</f>
        <v>-</v>
      </c>
      <c r="W136" s="427" t="str">
        <f>'Disease burden'!W334</f>
        <v>-</v>
      </c>
      <c r="X136" s="427" t="str">
        <f>'Disease burden'!X334</f>
        <v>-</v>
      </c>
      <c r="Y136" s="427" t="str">
        <f>'Disease burden'!Y334</f>
        <v>-</v>
      </c>
      <c r="Z136" s="427" t="str">
        <f>'Disease burden'!Z334</f>
        <v>-</v>
      </c>
      <c r="AA136" s="427" t="str">
        <f>'Disease burden'!AA334</f>
        <v>-</v>
      </c>
      <c r="AB136" s="427" t="str">
        <f>'Disease burden'!AB334</f>
        <v>-</v>
      </c>
      <c r="AC136" s="427" t="str">
        <f>'Disease burden'!AC334</f>
        <v>-</v>
      </c>
      <c r="AD136" s="427" t="str">
        <f>'Disease burden'!AD334</f>
        <v>-</v>
      </c>
      <c r="AE136" s="427" t="str">
        <f>'Disease burden'!AE334</f>
        <v>-</v>
      </c>
      <c r="AF136" s="427" t="str">
        <f>'Disease burden'!AF334</f>
        <v>-</v>
      </c>
      <c r="AG136" s="427" t="str">
        <f>'Disease burden'!AG334</f>
        <v>-</v>
      </c>
      <c r="AH136" s="427" t="str">
        <f>'Disease burden'!AH334</f>
        <v>-</v>
      </c>
      <c r="AI136" s="427" t="str">
        <f>'Disease burden'!AI334</f>
        <v>-</v>
      </c>
      <c r="AJ136" s="427" t="str">
        <f>'Disease burden'!AJ334</f>
        <v>-</v>
      </c>
      <c r="AK136" s="427" t="str">
        <f>'Disease burden'!AK334</f>
        <v>-</v>
      </c>
      <c r="AL136" s="427" t="str">
        <f>'Disease burden'!AL334</f>
        <v>-</v>
      </c>
      <c r="AM136" s="427" t="str">
        <f>'Disease burden'!AM334</f>
        <v>-</v>
      </c>
      <c r="AN136" s="427" t="str">
        <f>'Disease burden'!AN334</f>
        <v>-</v>
      </c>
      <c r="AO136" s="427" t="str">
        <f>'Disease burden'!AO334</f>
        <v>-</v>
      </c>
      <c r="AP136" s="427" t="str">
        <f>'Disease burden'!AP334</f>
        <v>-</v>
      </c>
      <c r="AQ136" s="427" t="str">
        <f>'Disease burden'!AQ334</f>
        <v>-</v>
      </c>
      <c r="AR136" s="427" t="str">
        <f>'Disease burden'!AR334</f>
        <v>-</v>
      </c>
      <c r="AS136" s="427" t="str">
        <f>'Disease burden'!AS334</f>
        <v>-</v>
      </c>
      <c r="AT136" s="248"/>
    </row>
    <row r="137">
      <c r="A137" s="81"/>
      <c r="B137" s="81"/>
      <c r="C137" s="112"/>
      <c r="D137" s="112"/>
      <c r="E137" s="253"/>
      <c r="F137" s="83"/>
      <c r="G137" s="135"/>
      <c r="H137" s="85"/>
      <c r="I137" s="86"/>
      <c r="J137" s="86"/>
      <c r="K137" s="86"/>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c r="AQ137" s="86"/>
      <c r="AR137" s="86"/>
      <c r="AS137" s="86"/>
      <c r="AT137" s="88"/>
    </row>
    <row r="138">
      <c r="A138" s="81"/>
      <c r="B138" s="81"/>
      <c r="C138" s="112" t="s">
        <v>676</v>
      </c>
      <c r="F138" s="83"/>
      <c r="G138" s="135"/>
      <c r="H138" s="85"/>
      <c r="I138" s="86"/>
      <c r="J138" s="86"/>
      <c r="K138" s="86"/>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c r="AQ138" s="86"/>
      <c r="AR138" s="86"/>
      <c r="AS138" s="86"/>
      <c r="AT138" s="88"/>
    </row>
    <row r="139">
      <c r="A139" s="80"/>
      <c r="B139" s="81"/>
      <c r="C139" s="112"/>
      <c r="D139" s="90"/>
      <c r="E139" s="113" t="s">
        <v>677</v>
      </c>
      <c r="F139" s="189" t="str">
        <f>'Disease burden'!F346</f>
        <v>%</v>
      </c>
      <c r="G139" s="271" t="s">
        <v>131</v>
      </c>
      <c r="H139" s="295" t="str">
        <f>'Disease burden'!H346</f>
        <v>-</v>
      </c>
      <c r="I139" s="119">
        <f>'Disease burden'!I346</f>
        <v>0.6286607055</v>
      </c>
      <c r="J139" s="119">
        <f>'Disease burden'!J346</f>
        <v>0.5496070023</v>
      </c>
      <c r="K139" s="119">
        <f>'Disease burden'!K346</f>
        <v>0.6758907255</v>
      </c>
      <c r="L139" s="119">
        <f>'Disease burden'!L346</f>
        <v>0.5570031272</v>
      </c>
      <c r="M139" s="119">
        <f>'Disease burden'!M346</f>
        <v>0.5883299764</v>
      </c>
      <c r="N139" s="119">
        <f>'Disease burden'!N346</f>
        <v>0.6444961481</v>
      </c>
      <c r="O139" s="119">
        <f>'Disease burden'!O346</f>
        <v>0.6389781053</v>
      </c>
      <c r="P139" s="119">
        <f>'Disease burden'!P346</f>
        <v>0.6587110534</v>
      </c>
      <c r="Q139" s="119">
        <f>'Disease burden'!Q346</f>
        <v>0.6523874233</v>
      </c>
      <c r="R139" s="119">
        <f>'Disease burden'!R346</f>
        <v>0.5250797189</v>
      </c>
      <c r="S139" s="119">
        <f>'Disease burden'!S346</f>
        <v>0.5231633091</v>
      </c>
      <c r="T139" s="119">
        <f>'Disease burden'!T346</f>
        <v>0.5032284615</v>
      </c>
      <c r="U139" s="119">
        <f>'Disease burden'!U346</f>
        <v>0.5210634229</v>
      </c>
      <c r="V139" s="119">
        <f>'Disease burden'!V346</f>
        <v>0.4655511692</v>
      </c>
      <c r="W139" s="119">
        <f>'Disease burden'!W346</f>
        <v>0.5130668507</v>
      </c>
      <c r="X139" s="119">
        <f>'Disease burden'!X346</f>
        <v>0.5360633781</v>
      </c>
      <c r="Y139" s="119">
        <f>'Disease burden'!Y346</f>
        <v>0.387868538</v>
      </c>
      <c r="Z139" s="119">
        <f>'Disease burden'!Z346</f>
        <v>0.5114804549</v>
      </c>
      <c r="AA139" s="119">
        <f>'Disease burden'!AA346</f>
        <v>0.5213994733</v>
      </c>
      <c r="AB139" s="119">
        <f>'Disease burden'!AB346</f>
        <v>0.5161674608</v>
      </c>
      <c r="AC139" s="119">
        <f>'Disease burden'!AC346</f>
        <v>0.5096762718</v>
      </c>
      <c r="AD139" s="119">
        <f>'Disease burden'!AD346</f>
        <v>0.5146727331</v>
      </c>
      <c r="AE139" s="119">
        <f>'Disease burden'!AE346</f>
        <v>0.5482403754</v>
      </c>
      <c r="AF139" s="119">
        <f>'Disease burden'!AF346</f>
        <v>0.5324453903</v>
      </c>
      <c r="AG139" s="119">
        <f>'Disease burden'!AG346</f>
        <v>0.4995037075</v>
      </c>
      <c r="AH139" s="119">
        <f>'Disease burden'!AH346</f>
        <v>0.5150340897</v>
      </c>
      <c r="AI139" s="119">
        <f>'Disease burden'!AI346</f>
        <v>0.4920628323</v>
      </c>
      <c r="AJ139" s="119">
        <f>'Disease burden'!AJ346</f>
        <v>0.5391788189</v>
      </c>
      <c r="AK139" s="119">
        <f>'Disease burden'!AK346</f>
        <v>0.5548887204</v>
      </c>
      <c r="AL139" s="119">
        <f>'Disease burden'!AL346</f>
        <v>0.5404620653</v>
      </c>
      <c r="AM139" s="119">
        <f>'Disease burden'!AM346</f>
        <v>0.5052824923</v>
      </c>
      <c r="AN139" s="119">
        <f>'Disease burden'!AN346</f>
        <v>0.5235165642</v>
      </c>
      <c r="AO139" s="119">
        <f>'Disease burden'!AO346</f>
        <v>0.4347253313</v>
      </c>
      <c r="AP139" s="119">
        <f>'Disease burden'!AP346</f>
        <v>0.5238088002</v>
      </c>
      <c r="AQ139" s="119">
        <f>'Disease burden'!AQ346</f>
        <v>0.5154085169</v>
      </c>
      <c r="AR139" s="119">
        <f>'Disease burden'!AR346</f>
        <v>0.5393447031</v>
      </c>
      <c r="AS139" s="119">
        <f>'Disease burden'!AS346</f>
        <v>0.6286058208</v>
      </c>
      <c r="AT139" s="136"/>
    </row>
    <row r="140">
      <c r="A140" s="80"/>
      <c r="B140" s="81"/>
      <c r="C140" s="112"/>
      <c r="D140" s="90"/>
      <c r="E140" s="140" t="s">
        <v>684</v>
      </c>
      <c r="F140" s="215" t="str">
        <f>'Disease burden'!F347</f>
        <v>%</v>
      </c>
      <c r="G140" s="276" t="s">
        <v>131</v>
      </c>
      <c r="H140" s="274" t="str">
        <f>'Disease burden'!H347</f>
        <v>-</v>
      </c>
      <c r="I140" s="149">
        <f>'Disease burden'!I347</f>
        <v>0.004741137404</v>
      </c>
      <c r="J140" s="149">
        <f>'Disease burden'!J347</f>
        <v>0.007431286495</v>
      </c>
      <c r="K140" s="149">
        <f>'Disease burden'!K347</f>
        <v>0.004758692695</v>
      </c>
      <c r="L140" s="149">
        <f>'Disease burden'!L347</f>
        <v>0.007774595513</v>
      </c>
      <c r="M140" s="149">
        <f>'Disease burden'!M347</f>
        <v>0.005586858604</v>
      </c>
      <c r="N140" s="149">
        <f>'Disease burden'!N347</f>
        <v>0.004787070721</v>
      </c>
      <c r="O140" s="149">
        <f>'Disease burden'!O347</f>
        <v>0.0066076803</v>
      </c>
      <c r="P140" s="149">
        <f>'Disease burden'!P347</f>
        <v>0.007850920407</v>
      </c>
      <c r="Q140" s="149">
        <f>'Disease burden'!Q347</f>
        <v>0.0067344167</v>
      </c>
      <c r="R140" s="149">
        <f>'Disease burden'!R347</f>
        <v>0.004584353815</v>
      </c>
      <c r="S140" s="149">
        <f>'Disease burden'!S347</f>
        <v>0.004600851582</v>
      </c>
      <c r="T140" s="149">
        <f>'Disease burden'!T347</f>
        <v>0.004199421197</v>
      </c>
      <c r="U140" s="149">
        <f>'Disease burden'!U347</f>
        <v>0.003700343638</v>
      </c>
      <c r="V140" s="149">
        <f>'Disease burden'!V347</f>
        <v>0.005123811921</v>
      </c>
      <c r="W140" s="149">
        <f>'Disease burden'!W347</f>
        <v>0.003202909485</v>
      </c>
      <c r="X140" s="149">
        <f>'Disease burden'!X347</f>
        <v>0.003919909598</v>
      </c>
      <c r="Y140" s="149">
        <f>'Disease burden'!Y347</f>
        <v>0.003023267138</v>
      </c>
      <c r="Z140" s="149">
        <f>'Disease burden'!Z347</f>
        <v>0.004203799505</v>
      </c>
      <c r="AA140" s="149">
        <f>'Disease burden'!AA347</f>
        <v>0.00439909792</v>
      </c>
      <c r="AB140" s="149">
        <f>'Disease burden'!AB347</f>
        <v>0.004559048127</v>
      </c>
      <c r="AC140" s="149">
        <f>'Disease burden'!AC347</f>
        <v>0.004157995242</v>
      </c>
      <c r="AD140" s="149">
        <f>'Disease burden'!AD347</f>
        <v>0.004133518549</v>
      </c>
      <c r="AE140" s="149">
        <f>'Disease burden'!AE347</f>
        <v>0.004469230378</v>
      </c>
      <c r="AF140" s="149">
        <f>'Disease burden'!AF347</f>
        <v>0.004247968646</v>
      </c>
      <c r="AG140" s="149">
        <f>'Disease burden'!AG347</f>
        <v>0.00585759985</v>
      </c>
      <c r="AH140" s="149">
        <f>'Disease burden'!AH347</f>
        <v>0.004934139284</v>
      </c>
      <c r="AI140" s="149">
        <f>'Disease burden'!AI347</f>
        <v>0.003517164626</v>
      </c>
      <c r="AJ140" s="149">
        <f>'Disease burden'!AJ347</f>
        <v>0.004792190434</v>
      </c>
      <c r="AK140" s="149">
        <f>'Disease burden'!AK347</f>
        <v>0.005884531853</v>
      </c>
      <c r="AL140" s="149">
        <f>'Disease burden'!AL347</f>
        <v>0.005013995076</v>
      </c>
      <c r="AM140" s="149">
        <f>'Disease burden'!AM347</f>
        <v>0.004027655332</v>
      </c>
      <c r="AN140" s="149">
        <f>'Disease burden'!AN347</f>
        <v>0.00386796924</v>
      </c>
      <c r="AO140" s="149">
        <f>'Disease burden'!AO347</f>
        <v>0.006057343208</v>
      </c>
      <c r="AP140" s="149">
        <f>'Disease burden'!AP347</f>
        <v>0.003775309311</v>
      </c>
      <c r="AQ140" s="149">
        <f>'Disease burden'!AQ347</f>
        <v>0.004552286625</v>
      </c>
      <c r="AR140" s="149">
        <f>'Disease burden'!AR347</f>
        <v>0.005902286517</v>
      </c>
      <c r="AS140" s="149">
        <f>'Disease burden'!AS347</f>
        <v>0.004741768075</v>
      </c>
      <c r="AT140" s="163"/>
    </row>
    <row r="141">
      <c r="A141" s="80"/>
      <c r="B141" s="81"/>
      <c r="C141" s="112"/>
      <c r="D141" s="90"/>
      <c r="E141" s="140" t="s">
        <v>690</v>
      </c>
      <c r="F141" s="215" t="str">
        <f>'Disease burden'!F348</f>
        <v>%</v>
      </c>
      <c r="G141" s="276" t="s">
        <v>131</v>
      </c>
      <c r="H141" s="274" t="str">
        <f>'Disease burden'!H348</f>
        <v>-</v>
      </c>
      <c r="I141" s="149">
        <f>'Disease burden'!I348</f>
        <v>0.01007883514</v>
      </c>
      <c r="J141" s="149">
        <f>'Disease burden'!J348</f>
        <v>0.01409989899</v>
      </c>
      <c r="K141" s="149">
        <f>'Disease burden'!K348</f>
        <v>0.01053357338</v>
      </c>
      <c r="L141" s="149">
        <f>'Disease burden'!L348</f>
        <v>0.01753540586</v>
      </c>
      <c r="M141" s="149">
        <f>'Disease burden'!M348</f>
        <v>0.0146173141</v>
      </c>
      <c r="N141" s="149">
        <f>'Disease burden'!N348</f>
        <v>0.01050358786</v>
      </c>
      <c r="O141" s="149">
        <f>'Disease burden'!O348</f>
        <v>0.01021906834</v>
      </c>
      <c r="P141" s="149">
        <f>'Disease burden'!P348</f>
        <v>0.009687196688</v>
      </c>
      <c r="Q141" s="149">
        <f>'Disease burden'!Q348</f>
        <v>0.009987585223</v>
      </c>
      <c r="R141" s="149">
        <f>'Disease burden'!R348</f>
        <v>0.0208407982</v>
      </c>
      <c r="S141" s="149">
        <f>'Disease burden'!S348</f>
        <v>0.01706174908</v>
      </c>
      <c r="T141" s="149">
        <f>'Disease burden'!T348</f>
        <v>0.02143247661</v>
      </c>
      <c r="U141" s="149">
        <f>'Disease burden'!U348</f>
        <v>0.02178566164</v>
      </c>
      <c r="V141" s="149">
        <f>'Disease burden'!V348</f>
        <v>0.01970575917</v>
      </c>
      <c r="W141" s="149">
        <f>'Disease burden'!W348</f>
        <v>0.01695926895</v>
      </c>
      <c r="X141" s="149">
        <f>'Disease burden'!X348</f>
        <v>0.01527214078</v>
      </c>
      <c r="Y141" s="149">
        <f>'Disease burden'!Y348</f>
        <v>0.0266464845</v>
      </c>
      <c r="Z141" s="149">
        <f>'Disease burden'!Z348</f>
        <v>0.0214864699</v>
      </c>
      <c r="AA141" s="149">
        <f>'Disease burden'!AA348</f>
        <v>0.01844710552</v>
      </c>
      <c r="AB141" s="149">
        <f>'Disease burden'!AB348</f>
        <v>0.02147938211</v>
      </c>
      <c r="AC141" s="149">
        <f>'Disease burden'!AC348</f>
        <v>0.02130915721</v>
      </c>
      <c r="AD141" s="149">
        <f>'Disease burden'!AD348</f>
        <v>0.02046628513</v>
      </c>
      <c r="AE141" s="149">
        <f>'Disease burden'!AE348</f>
        <v>0.02031742735</v>
      </c>
      <c r="AF141" s="149">
        <f>'Disease burden'!AF348</f>
        <v>0.0211980284</v>
      </c>
      <c r="AG141" s="149">
        <f>'Disease burden'!AG348</f>
        <v>0.02017914199</v>
      </c>
      <c r="AH141" s="149">
        <f>'Disease burden'!AH348</f>
        <v>0.01997050377</v>
      </c>
      <c r="AI141" s="149">
        <f>'Disease burden'!AI348</f>
        <v>0.02440192156</v>
      </c>
      <c r="AJ141" s="149">
        <f>'Disease burden'!AJ348</f>
        <v>0.01759930081</v>
      </c>
      <c r="AK141" s="149">
        <f>'Disease burden'!AK348</f>
        <v>0.01495172034</v>
      </c>
      <c r="AL141" s="149">
        <f>'Disease burden'!AL348</f>
        <v>0.01983652433</v>
      </c>
      <c r="AM141" s="149">
        <f>'Disease burden'!AM348</f>
        <v>0.02047751913</v>
      </c>
      <c r="AN141" s="149">
        <f>'Disease burden'!AN348</f>
        <v>0.02100784377</v>
      </c>
      <c r="AO141" s="149">
        <f>'Disease burden'!AO348</f>
        <v>0.02304397539</v>
      </c>
      <c r="AP141" s="149">
        <f>'Disease burden'!AP348</f>
        <v>0.01740685728</v>
      </c>
      <c r="AQ141" s="149">
        <f>'Disease burden'!AQ348</f>
        <v>0.02167803373</v>
      </c>
      <c r="AR141" s="149">
        <f>'Disease burden'!AR348</f>
        <v>0.01465574449</v>
      </c>
      <c r="AS141" s="149">
        <f>'Disease burden'!AS348</f>
        <v>0.01072445279</v>
      </c>
      <c r="AT141" s="163"/>
    </row>
    <row r="142">
      <c r="A142" s="80"/>
      <c r="B142" s="81"/>
      <c r="C142" s="112"/>
      <c r="D142" s="90"/>
      <c r="E142" s="140" t="s">
        <v>696</v>
      </c>
      <c r="F142" s="215" t="str">
        <f>'Disease burden'!F349</f>
        <v>%</v>
      </c>
      <c r="G142" s="276" t="s">
        <v>131</v>
      </c>
      <c r="H142" s="274" t="str">
        <f>'Disease burden'!H349</f>
        <v>-</v>
      </c>
      <c r="I142" s="149">
        <f>'Disease burden'!I349</f>
        <v>0.1691260985</v>
      </c>
      <c r="J142" s="149">
        <f>'Disease burden'!J349</f>
        <v>0.2369309311</v>
      </c>
      <c r="K142" s="149">
        <f>'Disease burden'!K349</f>
        <v>0.1765512347</v>
      </c>
      <c r="L142" s="149">
        <f>'Disease burden'!L349</f>
        <v>0.2953719013</v>
      </c>
      <c r="M142" s="149">
        <f>'Disease burden'!M349</f>
        <v>0.2458442242</v>
      </c>
      <c r="N142" s="149">
        <f>'Disease burden'!N349</f>
        <v>0.1760333636</v>
      </c>
      <c r="O142" s="149">
        <f>'Disease burden'!O349</f>
        <v>0.1706169815</v>
      </c>
      <c r="P142" s="149">
        <f>'Disease burden'!P349</f>
        <v>0.1612189023</v>
      </c>
      <c r="Q142" s="149">
        <f>'Disease burden'!Q349</f>
        <v>0.1669351377</v>
      </c>
      <c r="R142" s="149">
        <f>'Disease burden'!R349</f>
        <v>0.3545808391</v>
      </c>
      <c r="S142" s="149">
        <f>'Disease burden'!S349</f>
        <v>0.2890594858</v>
      </c>
      <c r="T142" s="149">
        <f>'Disease burden'!T349</f>
        <v>0.3642297004</v>
      </c>
      <c r="U142" s="149">
        <f>'Disease burden'!U349</f>
        <v>0.3717679648</v>
      </c>
      <c r="V142" s="149">
        <f>'Disease burden'!V349</f>
        <v>0.3342174179</v>
      </c>
      <c r="W142" s="149">
        <f>'Disease burden'!W349</f>
        <v>0.2878476017</v>
      </c>
      <c r="X142" s="149">
        <f>'Disease burden'!X349</f>
        <v>0.2576709584</v>
      </c>
      <c r="Y142" s="149">
        <f>'Disease burden'!Y349</f>
        <v>0.462123658</v>
      </c>
      <c r="Z142" s="149">
        <f>'Disease burden'!Z349</f>
        <v>0.3652559212</v>
      </c>
      <c r="AA142" s="149">
        <f>'Disease burden'!AA349</f>
        <v>0.313308145</v>
      </c>
      <c r="AB142" s="149">
        <f>'Disease burden'!AB349</f>
        <v>0.3650909796</v>
      </c>
      <c r="AC142" s="149">
        <f>'Disease burden'!AC349</f>
        <v>0.3629033362</v>
      </c>
      <c r="AD142" s="149">
        <f>'Disease burden'!AD349</f>
        <v>0.3482632472</v>
      </c>
      <c r="AE142" s="149">
        <f>'Disease burden'!AE349</f>
        <v>0.3447175287</v>
      </c>
      <c r="AF142" s="149">
        <f>'Disease burden'!AF349</f>
        <v>0.3611723543</v>
      </c>
      <c r="AG142" s="149">
        <f>'Disease burden'!AG349</f>
        <v>0.3442732572</v>
      </c>
      <c r="AH142" s="149">
        <f>'Disease burden'!AH349</f>
        <v>0.3391037833</v>
      </c>
      <c r="AI142" s="149">
        <f>'Disease burden'!AI349</f>
        <v>0.4147235323</v>
      </c>
      <c r="AJ142" s="149">
        <f>'Disease burden'!AJ349</f>
        <v>0.2982138713</v>
      </c>
      <c r="AK142" s="149">
        <f>'Disease burden'!AK349</f>
        <v>0.2518736801</v>
      </c>
      <c r="AL142" s="149">
        <f>'Disease burden'!AL349</f>
        <v>0.3360421695</v>
      </c>
      <c r="AM142" s="149">
        <f>'Disease burden'!AM349</f>
        <v>0.3487577867</v>
      </c>
      <c r="AN142" s="149">
        <f>'Disease burden'!AN349</f>
        <v>0.3577564561</v>
      </c>
      <c r="AO142" s="149">
        <f>'Disease burden'!AO349</f>
        <v>0.390928544</v>
      </c>
      <c r="AP142" s="149">
        <f>'Disease burden'!AP349</f>
        <v>0.2947437779</v>
      </c>
      <c r="AQ142" s="149">
        <f>'Disease burden'!AQ349</f>
        <v>0.368351642</v>
      </c>
      <c r="AR142" s="149">
        <f>'Disease burden'!AR349</f>
        <v>0.2466155154</v>
      </c>
      <c r="AS142" s="149">
        <f>'Disease burden'!AS349</f>
        <v>0.1797504919</v>
      </c>
      <c r="AT142" s="163"/>
    </row>
    <row r="143">
      <c r="A143" s="80"/>
      <c r="B143" s="81"/>
      <c r="C143" s="112"/>
      <c r="D143" s="90"/>
      <c r="E143" s="140" t="s">
        <v>700</v>
      </c>
      <c r="F143" s="215" t="str">
        <f>'Disease burden'!F350</f>
        <v>%</v>
      </c>
      <c r="G143" s="276" t="s">
        <v>131</v>
      </c>
      <c r="H143" s="274" t="str">
        <f>'Disease burden'!H350</f>
        <v>-</v>
      </c>
      <c r="I143" s="149">
        <f>'Disease burden'!I350</f>
        <v>0.1872284088</v>
      </c>
      <c r="J143" s="149">
        <f>'Disease burden'!J350</f>
        <v>0.1918049019</v>
      </c>
      <c r="K143" s="149">
        <f>'Disease burden'!K350</f>
        <v>0.1320906807</v>
      </c>
      <c r="L143" s="149">
        <f>'Disease burden'!L350</f>
        <v>0.1221485775</v>
      </c>
      <c r="M143" s="149">
        <f>'Disease burden'!M350</f>
        <v>0.1454998563</v>
      </c>
      <c r="N143" s="149">
        <f>'Disease burden'!N350</f>
        <v>0.1639784903</v>
      </c>
      <c r="O143" s="149">
        <f>'Disease burden'!O350</f>
        <v>0.1734235682</v>
      </c>
      <c r="P143" s="149">
        <f>'Disease burden'!P350</f>
        <v>0.1623298707</v>
      </c>
      <c r="Q143" s="149">
        <f>'Disease burden'!Q350</f>
        <v>0.1637777857</v>
      </c>
      <c r="R143" s="149">
        <f>'Disease burden'!R350</f>
        <v>0.0948612057</v>
      </c>
      <c r="S143" s="149">
        <f>'Disease burden'!S350</f>
        <v>0.1660320504</v>
      </c>
      <c r="T143" s="149">
        <f>'Disease burden'!T350</f>
        <v>0.1068303692</v>
      </c>
      <c r="U143" s="149">
        <f>'Disease burden'!U350</f>
        <v>0.08161995699</v>
      </c>
      <c r="V143" s="149">
        <f>'Disease burden'!V350</f>
        <v>0.1753110376</v>
      </c>
      <c r="W143" s="149">
        <f>'Disease burden'!W350</f>
        <v>0.1788618296</v>
      </c>
      <c r="X143" s="149">
        <f>'Disease burden'!X350</f>
        <v>0.1869445575</v>
      </c>
      <c r="Y143" s="149">
        <f>'Disease burden'!Y350</f>
        <v>0.1202805648</v>
      </c>
      <c r="Z143" s="149">
        <f>'Disease burden'!Z350</f>
        <v>0.09749361747</v>
      </c>
      <c r="AA143" s="149">
        <f>'Disease burden'!AA350</f>
        <v>0.1423765134</v>
      </c>
      <c r="AB143" s="149">
        <f>'Disease burden'!AB350</f>
        <v>0.09263295371</v>
      </c>
      <c r="AC143" s="149">
        <f>'Disease burden'!AC350</f>
        <v>0.1018827896</v>
      </c>
      <c r="AD143" s="149">
        <f>'Disease burden'!AD350</f>
        <v>0.1124155279</v>
      </c>
      <c r="AE143" s="149">
        <f>'Disease burden'!AE350</f>
        <v>0.08217899522</v>
      </c>
      <c r="AF143" s="149">
        <f>'Disease burden'!AF350</f>
        <v>0.08088245606</v>
      </c>
      <c r="AG143" s="149">
        <f>'Disease burden'!AG350</f>
        <v>0.1301061795</v>
      </c>
      <c r="AH143" s="149">
        <f>'Disease burden'!AH350</f>
        <v>0.1208434682</v>
      </c>
      <c r="AI143" s="149">
        <f>'Disease burden'!AI350</f>
        <v>0.06522287689</v>
      </c>
      <c r="AJ143" s="149">
        <f>'Disease burden'!AJ350</f>
        <v>0.1401103274</v>
      </c>
      <c r="AK143" s="149">
        <f>'Disease burden'!AK350</f>
        <v>0.1722874446</v>
      </c>
      <c r="AL143" s="149">
        <f>'Disease burden'!AL350</f>
        <v>0.09857780888</v>
      </c>
      <c r="AM143" s="149">
        <f>'Disease burden'!AM350</f>
        <v>0.1213951476</v>
      </c>
      <c r="AN143" s="149">
        <f>'Disease burden'!AN350</f>
        <v>0.0937972121</v>
      </c>
      <c r="AO143" s="149">
        <f>'Disease burden'!AO350</f>
        <v>0.1451568618</v>
      </c>
      <c r="AP143" s="149">
        <f>'Disease burden'!AP350</f>
        <v>0.160178123</v>
      </c>
      <c r="AQ143" s="149">
        <f>'Disease burden'!AQ350</f>
        <v>0.08993983418</v>
      </c>
      <c r="AR143" s="149">
        <f>'Disease burden'!AR350</f>
        <v>0.1933561082</v>
      </c>
      <c r="AS143" s="149">
        <f>'Disease burden'!AS350</f>
        <v>0.1760357687</v>
      </c>
      <c r="AT143" s="163"/>
    </row>
    <row r="144">
      <c r="A144" s="80"/>
      <c r="B144" s="81"/>
      <c r="C144" s="112"/>
      <c r="D144" s="90"/>
      <c r="E144" s="237" t="s">
        <v>706</v>
      </c>
      <c r="F144" s="231" t="str">
        <f>'Disease burden'!F351</f>
        <v>%</v>
      </c>
      <c r="G144" s="291" t="s">
        <v>131</v>
      </c>
      <c r="H144" s="306" t="str">
        <f>'Disease burden'!H351</f>
        <v>-</v>
      </c>
      <c r="I144" s="240">
        <f>'Disease burden'!I351</f>
        <v>0.0001648146358</v>
      </c>
      <c r="J144" s="240">
        <f>'Disease burden'!J351</f>
        <v>0.0001259791912</v>
      </c>
      <c r="K144" s="240">
        <f>'Disease burden'!K351</f>
        <v>0.0001750930621</v>
      </c>
      <c r="L144" s="240">
        <f>'Disease burden'!L351</f>
        <v>0.0001663925635</v>
      </c>
      <c r="M144" s="240">
        <f>'Disease burden'!M351</f>
        <v>0.0001217703311</v>
      </c>
      <c r="N144" s="240">
        <f>'Disease burden'!N351</f>
        <v>0.0002013394248</v>
      </c>
      <c r="O144" s="240">
        <f>'Disease burden'!O351</f>
        <v>0.0001545963276</v>
      </c>
      <c r="P144" s="240">
        <f>'Disease burden'!P351</f>
        <v>0.0002020565671</v>
      </c>
      <c r="Q144" s="240">
        <f>'Disease burden'!Q351</f>
        <v>0.0001776513831</v>
      </c>
      <c r="R144" s="240">
        <f>'Disease burden'!R351</f>
        <v>0.00005308424772</v>
      </c>
      <c r="S144" s="240">
        <f>'Disease burden'!S351</f>
        <v>0.00008255407507</v>
      </c>
      <c r="T144" s="240">
        <f>'Disease burden'!T351</f>
        <v>0.00007957108751</v>
      </c>
      <c r="U144" s="240">
        <f>'Disease burden'!U351</f>
        <v>0.00006265007118</v>
      </c>
      <c r="V144" s="240">
        <f>'Disease burden'!V351</f>
        <v>0.00009080426749</v>
      </c>
      <c r="W144" s="240">
        <f>'Disease burden'!W351</f>
        <v>0.00006153954204</v>
      </c>
      <c r="X144" s="240">
        <f>'Disease burden'!X351</f>
        <v>0.0001290555418</v>
      </c>
      <c r="Y144" s="240">
        <f>'Disease burden'!Y351</f>
        <v>0.00005748761428</v>
      </c>
      <c r="Z144" s="240">
        <f>'Disease burden'!Z351</f>
        <v>0.00007973703588</v>
      </c>
      <c r="AA144" s="240">
        <f>'Disease burden'!AA351</f>
        <v>0.00006966491868</v>
      </c>
      <c r="AB144" s="240">
        <f>'Disease burden'!AB351</f>
        <v>0.00007017568198</v>
      </c>
      <c r="AC144" s="240">
        <f>'Disease burden'!AC351</f>
        <v>0.00007044993945</v>
      </c>
      <c r="AD144" s="240">
        <f>'Disease burden'!AD351</f>
        <v>0.00004868817841</v>
      </c>
      <c r="AE144" s="240">
        <f>'Disease burden'!AE351</f>
        <v>0.00007644291787</v>
      </c>
      <c r="AF144" s="240">
        <f>'Disease burden'!AF351</f>
        <v>0.00005380228886</v>
      </c>
      <c r="AG144" s="240">
        <f>'Disease burden'!AG351</f>
        <v>0.00008011389653</v>
      </c>
      <c r="AH144" s="240">
        <f>'Disease burden'!AH351</f>
        <v>0.0001140157161</v>
      </c>
      <c r="AI144" s="240">
        <f>'Disease burden'!AI351</f>
        <v>0.00007167223148</v>
      </c>
      <c r="AJ144" s="240">
        <f>'Disease burden'!AJ351</f>
        <v>0.000105491261</v>
      </c>
      <c r="AK144" s="240">
        <f>'Disease burden'!AK351</f>
        <v>0.000113902699</v>
      </c>
      <c r="AL144" s="240">
        <f>'Disease burden'!AL351</f>
        <v>0.00006743696761</v>
      </c>
      <c r="AM144" s="240">
        <f>'Disease burden'!AM351</f>
        <v>0.00005939894665</v>
      </c>
      <c r="AN144" s="240">
        <f>'Disease burden'!AN351</f>
        <v>0.00005395451424</v>
      </c>
      <c r="AO144" s="240">
        <f>'Disease burden'!AO351</f>
        <v>0.00008794427963</v>
      </c>
      <c r="AP144" s="240">
        <f>'Disease burden'!AP351</f>
        <v>0.00008713232804</v>
      </c>
      <c r="AQ144" s="240">
        <f>'Disease burden'!AQ351</f>
        <v>0.0000696866359</v>
      </c>
      <c r="AR144" s="240">
        <f>'Disease burden'!AR351</f>
        <v>0.0001256422633</v>
      </c>
      <c r="AS144" s="240">
        <f>'Disease burden'!AS351</f>
        <v>0.0001416977037</v>
      </c>
      <c r="AT144" s="248"/>
    </row>
    <row r="145">
      <c r="A145" s="80"/>
      <c r="B145" s="81"/>
      <c r="C145" s="112"/>
      <c r="D145" s="90"/>
      <c r="E145" s="243"/>
      <c r="F145" s="108"/>
      <c r="G145" s="109"/>
      <c r="H145" s="110"/>
      <c r="I145" s="111"/>
      <c r="J145" s="111"/>
      <c r="K145" s="111"/>
      <c r="L145" s="111"/>
      <c r="M145" s="111"/>
      <c r="N145" s="111"/>
      <c r="O145" s="111"/>
      <c r="P145" s="111"/>
      <c r="Q145" s="111"/>
      <c r="R145" s="111"/>
      <c r="S145" s="111"/>
      <c r="T145" s="111"/>
      <c r="U145" s="111"/>
      <c r="V145" s="111"/>
      <c r="W145" s="111"/>
      <c r="X145" s="111"/>
      <c r="Y145" s="111"/>
      <c r="Z145" s="111"/>
      <c r="AA145" s="111"/>
      <c r="AB145" s="111"/>
      <c r="AC145" s="111"/>
      <c r="AD145" s="111"/>
      <c r="AE145" s="111"/>
      <c r="AF145" s="111"/>
      <c r="AG145" s="111"/>
      <c r="AH145" s="111"/>
      <c r="AI145" s="111"/>
      <c r="AJ145" s="111"/>
      <c r="AK145" s="111"/>
      <c r="AL145" s="111"/>
      <c r="AM145" s="111"/>
      <c r="AN145" s="111"/>
      <c r="AO145" s="111"/>
      <c r="AP145" s="111"/>
      <c r="AQ145" s="111"/>
      <c r="AR145" s="111"/>
      <c r="AS145" s="111"/>
      <c r="AT145" s="88"/>
    </row>
    <row r="146">
      <c r="A146" s="80"/>
      <c r="B146" s="81"/>
      <c r="C146" s="112" t="s">
        <v>448</v>
      </c>
      <c r="F146" s="108"/>
      <c r="G146" s="109"/>
      <c r="H146" s="110"/>
      <c r="I146" s="111"/>
      <c r="J146" s="111"/>
      <c r="K146" s="111"/>
      <c r="L146" s="111"/>
      <c r="M146" s="111"/>
      <c r="N146" s="111"/>
      <c r="O146" s="111"/>
      <c r="P146" s="111"/>
      <c r="Q146" s="111"/>
      <c r="R146" s="111"/>
      <c r="S146" s="111"/>
      <c r="T146" s="111"/>
      <c r="U146" s="111"/>
      <c r="V146" s="111"/>
      <c r="W146" s="111"/>
      <c r="X146" s="111"/>
      <c r="Y146" s="111"/>
      <c r="Z146" s="111"/>
      <c r="AA146" s="111"/>
      <c r="AB146" s="111"/>
      <c r="AC146" s="111"/>
      <c r="AD146" s="111"/>
      <c r="AE146" s="111"/>
      <c r="AF146" s="111"/>
      <c r="AG146" s="111"/>
      <c r="AH146" s="111"/>
      <c r="AI146" s="111"/>
      <c r="AJ146" s="111"/>
      <c r="AK146" s="111"/>
      <c r="AL146" s="111"/>
      <c r="AM146" s="111"/>
      <c r="AN146" s="111"/>
      <c r="AO146" s="111"/>
      <c r="AP146" s="111"/>
      <c r="AQ146" s="111"/>
      <c r="AR146" s="111"/>
      <c r="AS146" s="111"/>
      <c r="AT146" s="88"/>
    </row>
    <row r="147">
      <c r="A147" s="80"/>
      <c r="B147" s="81"/>
      <c r="C147" s="112"/>
      <c r="D147" s="90"/>
      <c r="E147" s="224" t="s">
        <v>346</v>
      </c>
      <c r="F147" s="93" t="s">
        <v>122</v>
      </c>
      <c r="G147" s="321" t="s">
        <v>149</v>
      </c>
      <c r="H147" s="129" t="s">
        <v>150</v>
      </c>
      <c r="I147" s="308">
        <f t="shared" ref="I147:AS147" si="20">SUMPRODUCT($H131:$H136,I139:I144)</f>
        <v>0.1864386124</v>
      </c>
      <c r="J147" s="308">
        <f t="shared" si="20"/>
        <v>0.1812769231</v>
      </c>
      <c r="K147" s="308">
        <f t="shared" si="20"/>
        <v>0.1914083337</v>
      </c>
      <c r="L147" s="308">
        <f t="shared" si="20"/>
        <v>0.1841534233</v>
      </c>
      <c r="M147" s="308">
        <f t="shared" si="20"/>
        <v>0.1852700575</v>
      </c>
      <c r="N147" s="308">
        <f t="shared" si="20"/>
        <v>0.1882716976</v>
      </c>
      <c r="O147" s="308">
        <f t="shared" si="20"/>
        <v>0.187703504</v>
      </c>
      <c r="P147" s="308">
        <f t="shared" si="20"/>
        <v>0.1894543332</v>
      </c>
      <c r="Q147" s="308">
        <f t="shared" si="20"/>
        <v>0.1889176151</v>
      </c>
      <c r="R147" s="308">
        <f t="shared" si="20"/>
        <v>0.1827750836</v>
      </c>
      <c r="S147" s="308">
        <f t="shared" si="20"/>
        <v>0.1802360383</v>
      </c>
      <c r="T147" s="308">
        <f t="shared" si="20"/>
        <v>0.1809159787</v>
      </c>
      <c r="U147" s="308">
        <f t="shared" si="20"/>
        <v>0.1829034845</v>
      </c>
      <c r="V147" s="308">
        <f t="shared" si="20"/>
        <v>0.1761814422</v>
      </c>
      <c r="W147" s="308">
        <f t="shared" si="20"/>
        <v>0.1790479795</v>
      </c>
      <c r="X147" s="308">
        <f t="shared" si="20"/>
        <v>0.1803320397</v>
      </c>
      <c r="Y147" s="308">
        <f t="shared" si="20"/>
        <v>0.1727998978</v>
      </c>
      <c r="Z147" s="308">
        <f t="shared" si="20"/>
        <v>0.1817736425</v>
      </c>
      <c r="AA147" s="308">
        <f t="shared" si="20"/>
        <v>0.1809093615</v>
      </c>
      <c r="AB147" s="308">
        <f t="shared" si="20"/>
        <v>0.1822678234</v>
      </c>
      <c r="AC147" s="308">
        <f t="shared" si="20"/>
        <v>0.1815006822</v>
      </c>
      <c r="AD147" s="308">
        <f t="shared" si="20"/>
        <v>0.1814680484</v>
      </c>
      <c r="AE147" s="308">
        <f t="shared" si="20"/>
        <v>0.1847197816</v>
      </c>
      <c r="AF147" s="308">
        <f t="shared" si="20"/>
        <v>0.1837097818</v>
      </c>
      <c r="AG147" s="308">
        <f t="shared" si="20"/>
        <v>0.1799803257</v>
      </c>
      <c r="AH147" s="308">
        <f t="shared" si="20"/>
        <v>0.1812610964</v>
      </c>
      <c r="AI147" s="308">
        <f t="shared" si="20"/>
        <v>0.1815566569</v>
      </c>
      <c r="AJ147" s="308">
        <f t="shared" si="20"/>
        <v>0.1821791468</v>
      </c>
      <c r="AK147" s="308">
        <f t="shared" si="20"/>
        <v>0.1821869804</v>
      </c>
      <c r="AL147" s="308">
        <f t="shared" si="20"/>
        <v>0.1836884147</v>
      </c>
      <c r="AM147" s="308">
        <f t="shared" si="20"/>
        <v>0.1805407529</v>
      </c>
      <c r="AN147" s="308">
        <f t="shared" si="20"/>
        <v>0.1826627634</v>
      </c>
      <c r="AO147" s="308">
        <f t="shared" si="20"/>
        <v>0.1752476207</v>
      </c>
      <c r="AP147" s="308">
        <f t="shared" si="20"/>
        <v>0.18042628</v>
      </c>
      <c r="AQ147" s="308">
        <f t="shared" si="20"/>
        <v>0.1823096736</v>
      </c>
      <c r="AR147" s="308">
        <f t="shared" si="20"/>
        <v>0.180455327</v>
      </c>
      <c r="AS147" s="308">
        <f t="shared" si="20"/>
        <v>0.1868157788</v>
      </c>
      <c r="AT147" s="265"/>
    </row>
    <row r="148">
      <c r="A148" s="80"/>
      <c r="B148" s="81"/>
      <c r="C148" s="102"/>
      <c r="D148" s="81"/>
      <c r="E148" s="82"/>
      <c r="F148" s="83"/>
      <c r="G148" s="135"/>
      <c r="H148" s="85"/>
      <c r="I148" s="86"/>
      <c r="J148" s="86"/>
      <c r="K148" s="86"/>
      <c r="L148" s="86"/>
      <c r="M148" s="86"/>
      <c r="N148" s="86"/>
      <c r="O148" s="86"/>
      <c r="P148" s="86"/>
      <c r="Q148" s="86"/>
      <c r="R148" s="398"/>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c r="AQ148" s="86"/>
      <c r="AR148" s="86"/>
      <c r="AS148" s="86"/>
      <c r="AT148" s="88"/>
    </row>
    <row r="149">
      <c r="A149" s="80"/>
      <c r="B149" s="81"/>
      <c r="C149" s="107" t="s">
        <v>713</v>
      </c>
      <c r="F149" s="108"/>
      <c r="G149" s="109"/>
      <c r="H149" s="110"/>
      <c r="I149" s="111"/>
      <c r="J149" s="111"/>
      <c r="K149" s="111"/>
      <c r="L149" s="111"/>
      <c r="M149" s="111"/>
      <c r="N149" s="111"/>
      <c r="O149" s="111"/>
      <c r="P149" s="111"/>
      <c r="Q149" s="111"/>
      <c r="R149" s="111"/>
      <c r="S149" s="111"/>
      <c r="T149" s="111"/>
      <c r="U149" s="111"/>
      <c r="V149" s="111"/>
      <c r="W149" s="111"/>
      <c r="X149" s="111"/>
      <c r="Y149" s="111"/>
      <c r="Z149" s="111"/>
      <c r="AA149" s="111"/>
      <c r="AB149" s="111"/>
      <c r="AC149" s="111"/>
      <c r="AD149" s="111"/>
      <c r="AE149" s="111"/>
      <c r="AF149" s="111"/>
      <c r="AG149" s="111"/>
      <c r="AH149" s="111"/>
      <c r="AI149" s="111"/>
      <c r="AJ149" s="111"/>
      <c r="AK149" s="111"/>
      <c r="AL149" s="111"/>
      <c r="AM149" s="111"/>
      <c r="AN149" s="111"/>
      <c r="AO149" s="111"/>
      <c r="AP149" s="111"/>
      <c r="AQ149" s="111"/>
      <c r="AR149" s="111"/>
      <c r="AS149" s="111"/>
      <c r="AT149" s="88"/>
    </row>
    <row r="150">
      <c r="A150" s="80"/>
      <c r="B150" s="81"/>
      <c r="C150" s="112"/>
      <c r="D150" s="90"/>
      <c r="E150" s="113" t="s">
        <v>714</v>
      </c>
      <c r="F150" s="189" t="str">
        <f>Inputs!F188</f>
        <v>%</v>
      </c>
      <c r="G150" s="271" t="str">
        <f>Inputs!G188</f>
        <v>input</v>
      </c>
      <c r="H150" s="191">
        <f>Inputs!H188</f>
        <v>-0.9</v>
      </c>
      <c r="I150" s="119" t="str">
        <f>Inputs!I188</f>
        <v>-</v>
      </c>
      <c r="J150" s="119" t="str">
        <f>Inputs!J188</f>
        <v>-</v>
      </c>
      <c r="K150" s="119" t="str">
        <f>Inputs!K188</f>
        <v>-</v>
      </c>
      <c r="L150" s="119" t="str">
        <f>Inputs!L188</f>
        <v>-</v>
      </c>
      <c r="M150" s="119" t="str">
        <f>Inputs!M188</f>
        <v>-</v>
      </c>
      <c r="N150" s="119" t="str">
        <f>Inputs!N188</f>
        <v>-</v>
      </c>
      <c r="O150" s="119" t="str">
        <f>Inputs!O188</f>
        <v>-</v>
      </c>
      <c r="P150" s="119" t="str">
        <f>Inputs!P188</f>
        <v>-</v>
      </c>
      <c r="Q150" s="119" t="str">
        <f>Inputs!Q188</f>
        <v>-</v>
      </c>
      <c r="R150" s="119" t="str">
        <f>Inputs!R188</f>
        <v>-</v>
      </c>
      <c r="S150" s="119" t="str">
        <f>Inputs!S188</f>
        <v>-</v>
      </c>
      <c r="T150" s="119" t="str">
        <f>Inputs!T188</f>
        <v>-</v>
      </c>
      <c r="U150" s="119" t="str">
        <f>Inputs!U188</f>
        <v>-</v>
      </c>
      <c r="V150" s="119" t="str">
        <f>Inputs!V188</f>
        <v>-</v>
      </c>
      <c r="W150" s="119" t="str">
        <f>Inputs!W188</f>
        <v>-</v>
      </c>
      <c r="X150" s="119" t="str">
        <f>Inputs!X188</f>
        <v>-</v>
      </c>
      <c r="Y150" s="119" t="str">
        <f>Inputs!Y188</f>
        <v>-</v>
      </c>
      <c r="Z150" s="119" t="str">
        <f>Inputs!Z188</f>
        <v>-</v>
      </c>
      <c r="AA150" s="119" t="str">
        <f>Inputs!AA188</f>
        <v>-</v>
      </c>
      <c r="AB150" s="119" t="str">
        <f>Inputs!AB188</f>
        <v>-</v>
      </c>
      <c r="AC150" s="119" t="str">
        <f>Inputs!AC188</f>
        <v>-</v>
      </c>
      <c r="AD150" s="119" t="str">
        <f>Inputs!AD188</f>
        <v>-</v>
      </c>
      <c r="AE150" s="119" t="str">
        <f>Inputs!AE188</f>
        <v>-</v>
      </c>
      <c r="AF150" s="119" t="str">
        <f>Inputs!AF188</f>
        <v>-</v>
      </c>
      <c r="AG150" s="119" t="str">
        <f>Inputs!AG188</f>
        <v>-</v>
      </c>
      <c r="AH150" s="119" t="str">
        <f>Inputs!AH188</f>
        <v>-</v>
      </c>
      <c r="AI150" s="119" t="str">
        <f>Inputs!AI188</f>
        <v>-</v>
      </c>
      <c r="AJ150" s="119" t="str">
        <f>Inputs!AJ188</f>
        <v>-</v>
      </c>
      <c r="AK150" s="119" t="str">
        <f>Inputs!AK188</f>
        <v>-</v>
      </c>
      <c r="AL150" s="119" t="str">
        <f>Inputs!AL188</f>
        <v>-</v>
      </c>
      <c r="AM150" s="119" t="str">
        <f>Inputs!AM188</f>
        <v>-</v>
      </c>
      <c r="AN150" s="119" t="str">
        <f>Inputs!AN188</f>
        <v>-</v>
      </c>
      <c r="AO150" s="119" t="str">
        <f>Inputs!AO188</f>
        <v>-</v>
      </c>
      <c r="AP150" s="119" t="str">
        <f>Inputs!AP188</f>
        <v>-</v>
      </c>
      <c r="AQ150" s="119" t="str">
        <f>Inputs!AQ188</f>
        <v>-</v>
      </c>
      <c r="AR150" s="119" t="str">
        <f>Inputs!AR188</f>
        <v>-</v>
      </c>
      <c r="AS150" s="119" t="str">
        <f>Inputs!AS188</f>
        <v>-</v>
      </c>
      <c r="AT150" s="136"/>
    </row>
    <row r="151">
      <c r="A151" s="80"/>
      <c r="B151" s="81"/>
      <c r="C151" s="112"/>
      <c r="D151" s="90"/>
      <c r="E151" s="140" t="s">
        <v>718</v>
      </c>
      <c r="F151" s="215" t="s">
        <v>122</v>
      </c>
      <c r="G151" s="276" t="s">
        <v>149</v>
      </c>
      <c r="H151" s="187" t="s">
        <v>150</v>
      </c>
      <c r="I151" s="149">
        <f t="shared" ref="I151:AS151" si="21">I56*(1+$H$150)</f>
        <v>0.04523656027</v>
      </c>
      <c r="J151" s="149">
        <f t="shared" si="21"/>
        <v>0.05681049406</v>
      </c>
      <c r="K151" s="149">
        <f t="shared" si="21"/>
        <v>0.04462527975</v>
      </c>
      <c r="L151" s="149">
        <f t="shared" si="21"/>
        <v>0.06486896469</v>
      </c>
      <c r="M151" s="149">
        <f t="shared" si="21"/>
        <v>0.04708392348</v>
      </c>
      <c r="N151" s="149">
        <f t="shared" si="21"/>
        <v>0.04277482077</v>
      </c>
      <c r="O151" s="149">
        <f t="shared" si="21"/>
        <v>0.04317137134</v>
      </c>
      <c r="P151" s="149">
        <f t="shared" si="21"/>
        <v>0.02504354618</v>
      </c>
      <c r="Q151" s="149">
        <f t="shared" si="21"/>
        <v>0.03495826351</v>
      </c>
      <c r="R151" s="149">
        <f t="shared" si="21"/>
        <v>0.08897432901</v>
      </c>
      <c r="S151" s="149">
        <f t="shared" si="21"/>
        <v>0.07564374042</v>
      </c>
      <c r="T151" s="149">
        <f t="shared" si="21"/>
        <v>0.08416491128</v>
      </c>
      <c r="U151" s="149">
        <f t="shared" si="21"/>
        <v>0.08662220902</v>
      </c>
      <c r="V151" s="149">
        <f t="shared" si="21"/>
        <v>0.07253869145</v>
      </c>
      <c r="W151" s="149">
        <f t="shared" si="21"/>
        <v>0.07419117799</v>
      </c>
      <c r="X151" s="149">
        <f t="shared" si="21"/>
        <v>0.07284897536</v>
      </c>
      <c r="Y151" s="149">
        <f t="shared" si="21"/>
        <v>0.09082747996</v>
      </c>
      <c r="Z151" s="149">
        <f t="shared" si="21"/>
        <v>0.08236155629</v>
      </c>
      <c r="AA151" s="149">
        <f t="shared" si="21"/>
        <v>0.09107396966</v>
      </c>
      <c r="AB151" s="149">
        <f t="shared" si="21"/>
        <v>0.09468821716</v>
      </c>
      <c r="AC151" s="149">
        <f t="shared" si="21"/>
        <v>0.09292907229</v>
      </c>
      <c r="AD151" s="149">
        <f t="shared" si="21"/>
        <v>0.09633801173</v>
      </c>
      <c r="AE151" s="149">
        <f t="shared" si="21"/>
        <v>0.091527921</v>
      </c>
      <c r="AF151" s="149">
        <f t="shared" si="21"/>
        <v>0.09533832385</v>
      </c>
      <c r="AG151" s="149">
        <f t="shared" si="21"/>
        <v>0.08295722338</v>
      </c>
      <c r="AH151" s="149">
        <f t="shared" si="21"/>
        <v>0.0723426034</v>
      </c>
      <c r="AI151" s="149">
        <f t="shared" si="21"/>
        <v>0.09383455219</v>
      </c>
      <c r="AJ151" s="149">
        <f t="shared" si="21"/>
        <v>0.07163610542</v>
      </c>
      <c r="AK151" s="149">
        <f t="shared" si="21"/>
        <v>0.05249392114</v>
      </c>
      <c r="AL151" s="149">
        <f t="shared" si="21"/>
        <v>0.07630306711</v>
      </c>
      <c r="AM151" s="149">
        <f t="shared" si="21"/>
        <v>0.0792589974</v>
      </c>
      <c r="AN151" s="149">
        <f t="shared" si="21"/>
        <v>0.09042648764</v>
      </c>
      <c r="AO151" s="149">
        <f t="shared" si="21"/>
        <v>0.07995587158</v>
      </c>
      <c r="AP151" s="149">
        <f t="shared" si="21"/>
        <v>0.08406323309</v>
      </c>
      <c r="AQ151" s="149">
        <f t="shared" si="21"/>
        <v>0.08631744365</v>
      </c>
      <c r="AR151" s="149">
        <f t="shared" si="21"/>
        <v>0.0554989071</v>
      </c>
      <c r="AS151" s="149">
        <f t="shared" si="21"/>
        <v>0.04582058459</v>
      </c>
      <c r="AT151" s="163"/>
    </row>
    <row r="152">
      <c r="A152" s="80"/>
      <c r="B152" s="81"/>
      <c r="C152" s="112"/>
      <c r="D152" s="90"/>
      <c r="E152" s="140" t="s">
        <v>722</v>
      </c>
      <c r="F152" s="215" t="s">
        <v>122</v>
      </c>
      <c r="G152" s="276" t="s">
        <v>149</v>
      </c>
      <c r="H152" s="187" t="s">
        <v>150</v>
      </c>
      <c r="I152" s="149">
        <f t="shared" ref="I152:AS152" si="22">I57*(1+$H$150)</f>
        <v>0.03340233142</v>
      </c>
      <c r="J152" s="149">
        <f t="shared" si="22"/>
        <v>0.04261841469</v>
      </c>
      <c r="K152" s="149">
        <f t="shared" si="22"/>
        <v>0.03499142783</v>
      </c>
      <c r="L152" s="149">
        <f t="shared" si="22"/>
        <v>0.05215965535</v>
      </c>
      <c r="M152" s="149">
        <f t="shared" si="22"/>
        <v>0.03613988888</v>
      </c>
      <c r="N152" s="149">
        <f t="shared" si="22"/>
        <v>0.03478197579</v>
      </c>
      <c r="O152" s="149">
        <f t="shared" si="22"/>
        <v>0.03798111186</v>
      </c>
      <c r="P152" s="149">
        <f t="shared" si="22"/>
        <v>0.01391744003</v>
      </c>
      <c r="Q152" s="149">
        <f t="shared" si="22"/>
        <v>0.02449194087</v>
      </c>
      <c r="R152" s="149">
        <f t="shared" si="22"/>
        <v>0.07887087723</v>
      </c>
      <c r="S152" s="149">
        <f t="shared" si="22"/>
        <v>0.05987988135</v>
      </c>
      <c r="T152" s="149">
        <f t="shared" si="22"/>
        <v>0.07916612058</v>
      </c>
      <c r="U152" s="149">
        <f t="shared" si="22"/>
        <v>0.08121732891</v>
      </c>
      <c r="V152" s="149">
        <f t="shared" si="22"/>
        <v>0.06476513683</v>
      </c>
      <c r="W152" s="149">
        <f t="shared" si="22"/>
        <v>0.0690843235</v>
      </c>
      <c r="X152" s="149">
        <f t="shared" si="22"/>
        <v>0.0569280605</v>
      </c>
      <c r="Y152" s="149">
        <f t="shared" si="22"/>
        <v>0.08468544726</v>
      </c>
      <c r="Z152" s="149">
        <f t="shared" si="22"/>
        <v>0.0721966537</v>
      </c>
      <c r="AA152" s="149">
        <f t="shared" si="22"/>
        <v>0.0845318832</v>
      </c>
      <c r="AB152" s="149">
        <f t="shared" si="22"/>
        <v>0.08832011397</v>
      </c>
      <c r="AC152" s="149">
        <f t="shared" si="22"/>
        <v>0.08778168785</v>
      </c>
      <c r="AD152" s="149">
        <f t="shared" si="22"/>
        <v>0.08870192092</v>
      </c>
      <c r="AE152" s="149">
        <f t="shared" si="22"/>
        <v>0.08236130701</v>
      </c>
      <c r="AF152" s="149">
        <f t="shared" si="22"/>
        <v>0.08511490387</v>
      </c>
      <c r="AG152" s="149">
        <f t="shared" si="22"/>
        <v>0.06487208373</v>
      </c>
      <c r="AH152" s="149">
        <f t="shared" si="22"/>
        <v>0.06381315946</v>
      </c>
      <c r="AI152" s="149">
        <f t="shared" si="22"/>
        <v>0.08928774769</v>
      </c>
      <c r="AJ152" s="149">
        <f t="shared" si="22"/>
        <v>0.05708893052</v>
      </c>
      <c r="AK152" s="149">
        <f t="shared" si="22"/>
        <v>0.04234880625</v>
      </c>
      <c r="AL152" s="149">
        <f t="shared" si="22"/>
        <v>0.06105395375</v>
      </c>
      <c r="AM152" s="149">
        <f t="shared" si="22"/>
        <v>0.07118645505</v>
      </c>
      <c r="AN152" s="149">
        <f t="shared" si="22"/>
        <v>0.0800870903</v>
      </c>
      <c r="AO152" s="149">
        <f t="shared" si="22"/>
        <v>0.06650543002</v>
      </c>
      <c r="AP152" s="149">
        <f t="shared" si="22"/>
        <v>0.06901790628</v>
      </c>
      <c r="AQ152" s="149">
        <f t="shared" si="22"/>
        <v>0.08136402117</v>
      </c>
      <c r="AR152" s="149">
        <f t="shared" si="22"/>
        <v>0.04576900266</v>
      </c>
      <c r="AS152" s="149">
        <f t="shared" si="22"/>
        <v>0.04237402253</v>
      </c>
      <c r="AT152" s="163"/>
    </row>
    <row r="153">
      <c r="A153" s="80"/>
      <c r="B153" s="81"/>
      <c r="C153" s="112"/>
      <c r="D153" s="90"/>
      <c r="E153" s="140" t="s">
        <v>724</v>
      </c>
      <c r="F153" s="215" t="s">
        <v>122</v>
      </c>
      <c r="G153" s="276" t="s">
        <v>149</v>
      </c>
      <c r="H153" s="187" t="s">
        <v>150</v>
      </c>
      <c r="I153" s="149">
        <f t="shared" ref="I153:AS153" si="23">I58*(1+$H$150)</f>
        <v>0.03340233142</v>
      </c>
      <c r="J153" s="149">
        <f t="shared" si="23"/>
        <v>0.04261841469</v>
      </c>
      <c r="K153" s="149">
        <f t="shared" si="23"/>
        <v>0.03499142783</v>
      </c>
      <c r="L153" s="149">
        <f t="shared" si="23"/>
        <v>0.05215965535</v>
      </c>
      <c r="M153" s="149">
        <f t="shared" si="23"/>
        <v>0.03613988888</v>
      </c>
      <c r="N153" s="149">
        <f t="shared" si="23"/>
        <v>0.03478197579</v>
      </c>
      <c r="O153" s="149">
        <f t="shared" si="23"/>
        <v>0.03798111186</v>
      </c>
      <c r="P153" s="149">
        <f t="shared" si="23"/>
        <v>0.01391744003</v>
      </c>
      <c r="Q153" s="149">
        <f t="shared" si="23"/>
        <v>0.02449194087</v>
      </c>
      <c r="R153" s="149">
        <f t="shared" si="23"/>
        <v>0.07887087723</v>
      </c>
      <c r="S153" s="149">
        <f t="shared" si="23"/>
        <v>0.05987988135</v>
      </c>
      <c r="T153" s="149">
        <f t="shared" si="23"/>
        <v>0.07916612058</v>
      </c>
      <c r="U153" s="149">
        <f t="shared" si="23"/>
        <v>0.08121732891</v>
      </c>
      <c r="V153" s="149">
        <f t="shared" si="23"/>
        <v>0.06476513683</v>
      </c>
      <c r="W153" s="149">
        <f t="shared" si="23"/>
        <v>0.0690843235</v>
      </c>
      <c r="X153" s="149">
        <f t="shared" si="23"/>
        <v>0.0569280605</v>
      </c>
      <c r="Y153" s="149">
        <f t="shared" si="23"/>
        <v>0.08468544726</v>
      </c>
      <c r="Z153" s="149">
        <f t="shared" si="23"/>
        <v>0.0721966537</v>
      </c>
      <c r="AA153" s="149">
        <f t="shared" si="23"/>
        <v>0.0845318832</v>
      </c>
      <c r="AB153" s="149">
        <f t="shared" si="23"/>
        <v>0.08832011397</v>
      </c>
      <c r="AC153" s="149">
        <f t="shared" si="23"/>
        <v>0.08778168785</v>
      </c>
      <c r="AD153" s="149">
        <f t="shared" si="23"/>
        <v>0.08870192092</v>
      </c>
      <c r="AE153" s="149">
        <f t="shared" si="23"/>
        <v>0.08236130701</v>
      </c>
      <c r="AF153" s="149">
        <f t="shared" si="23"/>
        <v>0.08511490387</v>
      </c>
      <c r="AG153" s="149">
        <f t="shared" si="23"/>
        <v>0.06487208373</v>
      </c>
      <c r="AH153" s="149">
        <f t="shared" si="23"/>
        <v>0.06381315946</v>
      </c>
      <c r="AI153" s="149">
        <f t="shared" si="23"/>
        <v>0.08928774769</v>
      </c>
      <c r="AJ153" s="149">
        <f t="shared" si="23"/>
        <v>0.05708893052</v>
      </c>
      <c r="AK153" s="149">
        <f t="shared" si="23"/>
        <v>0.04234880625</v>
      </c>
      <c r="AL153" s="149">
        <f t="shared" si="23"/>
        <v>0.06105395375</v>
      </c>
      <c r="AM153" s="149">
        <f t="shared" si="23"/>
        <v>0.07118645505</v>
      </c>
      <c r="AN153" s="149">
        <f t="shared" si="23"/>
        <v>0.0800870903</v>
      </c>
      <c r="AO153" s="149">
        <f t="shared" si="23"/>
        <v>0.06650543002</v>
      </c>
      <c r="AP153" s="149">
        <f t="shared" si="23"/>
        <v>0.06901790628</v>
      </c>
      <c r="AQ153" s="149">
        <f t="shared" si="23"/>
        <v>0.08136402117</v>
      </c>
      <c r="AR153" s="149">
        <f t="shared" si="23"/>
        <v>0.04576900266</v>
      </c>
      <c r="AS153" s="149">
        <f t="shared" si="23"/>
        <v>0.04237402253</v>
      </c>
      <c r="AT153" s="163"/>
    </row>
    <row r="154">
      <c r="A154" s="80"/>
      <c r="B154" s="81"/>
      <c r="C154" s="112"/>
      <c r="D154" s="90"/>
      <c r="E154" s="140" t="s">
        <v>726</v>
      </c>
      <c r="F154" s="215" t="s">
        <v>122</v>
      </c>
      <c r="G154" s="276" t="s">
        <v>149</v>
      </c>
      <c r="H154" s="187" t="s">
        <v>150</v>
      </c>
      <c r="I154" s="149">
        <f t="shared" ref="I154:AS154" si="24">I59*(1+$H$150)</f>
        <v>0.03343437483</v>
      </c>
      <c r="J154" s="149">
        <f t="shared" si="24"/>
        <v>0.04227338176</v>
      </c>
      <c r="K154" s="149">
        <f t="shared" si="24"/>
        <v>0.03519235308</v>
      </c>
      <c r="L154" s="149">
        <f t="shared" si="24"/>
        <v>0.05343202257</v>
      </c>
      <c r="M154" s="149">
        <f t="shared" si="24"/>
        <v>0.03647018976</v>
      </c>
      <c r="N154" s="149">
        <f t="shared" si="24"/>
        <v>0.0333203247</v>
      </c>
      <c r="O154" s="149">
        <f t="shared" si="24"/>
        <v>0.03798021137</v>
      </c>
      <c r="P154" s="149">
        <f t="shared" si="24"/>
        <v>0.0112932559</v>
      </c>
      <c r="Q154" s="149">
        <f t="shared" si="24"/>
        <v>0.02560958376</v>
      </c>
      <c r="R154" s="149">
        <f t="shared" si="24"/>
        <v>0.07924239994</v>
      </c>
      <c r="S154" s="149">
        <f t="shared" si="24"/>
        <v>0.06034024596</v>
      </c>
      <c r="T154" s="149">
        <f t="shared" si="24"/>
        <v>0.07837314125</v>
      </c>
      <c r="U154" s="149">
        <f t="shared" si="24"/>
        <v>0.0806899662</v>
      </c>
      <c r="V154" s="149">
        <f t="shared" si="24"/>
        <v>0.06509992202</v>
      </c>
      <c r="W154" s="149">
        <f t="shared" si="24"/>
        <v>0.06635960477</v>
      </c>
      <c r="X154" s="149">
        <f t="shared" si="24"/>
        <v>0.05135087231</v>
      </c>
      <c r="Y154" s="149">
        <f t="shared" si="24"/>
        <v>0.08635450183</v>
      </c>
      <c r="Z154" s="149">
        <f t="shared" si="24"/>
        <v>0.07092341878</v>
      </c>
      <c r="AA154" s="149">
        <f t="shared" si="24"/>
        <v>0.0841314004</v>
      </c>
      <c r="AB154" s="149">
        <f t="shared" si="24"/>
        <v>0.08571335158</v>
      </c>
      <c r="AC154" s="149">
        <f t="shared" si="24"/>
        <v>0.08516124489</v>
      </c>
      <c r="AD154" s="149">
        <f t="shared" si="24"/>
        <v>0.09114240837</v>
      </c>
      <c r="AE154" s="149">
        <f t="shared" si="24"/>
        <v>0.08267944987</v>
      </c>
      <c r="AF154" s="149">
        <f t="shared" si="24"/>
        <v>0.08652298901</v>
      </c>
      <c r="AG154" s="149">
        <f t="shared" si="24"/>
        <v>0.06559249818</v>
      </c>
      <c r="AH154" s="149">
        <f t="shared" si="24"/>
        <v>0.06080788493</v>
      </c>
      <c r="AI154" s="149">
        <f t="shared" si="24"/>
        <v>0.08846556586</v>
      </c>
      <c r="AJ154" s="149">
        <f t="shared" si="24"/>
        <v>0.05712584473</v>
      </c>
      <c r="AK154" s="149">
        <f t="shared" si="24"/>
        <v>0.0404828162</v>
      </c>
      <c r="AL154" s="149">
        <f t="shared" si="24"/>
        <v>0.06073017263</v>
      </c>
      <c r="AM154" s="149">
        <f t="shared" si="24"/>
        <v>0.06988536335</v>
      </c>
      <c r="AN154" s="149">
        <f t="shared" si="24"/>
        <v>0.07725756131</v>
      </c>
      <c r="AO154" s="149">
        <f t="shared" si="24"/>
        <v>0.06441085445</v>
      </c>
      <c r="AP154" s="149">
        <f t="shared" si="24"/>
        <v>0.065380487</v>
      </c>
      <c r="AQ154" s="149">
        <f t="shared" si="24"/>
        <v>0.08059927554</v>
      </c>
      <c r="AR154" s="149">
        <f t="shared" si="24"/>
        <v>0.04558909192</v>
      </c>
      <c r="AS154" s="149">
        <f t="shared" si="24"/>
        <v>0.04112602864</v>
      </c>
      <c r="AT154" s="163"/>
    </row>
    <row r="155">
      <c r="A155" s="80"/>
      <c r="B155" s="81"/>
      <c r="C155" s="112"/>
      <c r="D155" s="90"/>
      <c r="E155" s="140" t="s">
        <v>730</v>
      </c>
      <c r="F155" s="215" t="s">
        <v>122</v>
      </c>
      <c r="G155" s="276" t="s">
        <v>149</v>
      </c>
      <c r="H155" s="187" t="s">
        <v>150</v>
      </c>
      <c r="I155" s="149">
        <f t="shared" ref="I155:AS155" si="25">I60*(1+$H$150)</f>
        <v>0</v>
      </c>
      <c r="J155" s="149">
        <f t="shared" si="25"/>
        <v>0</v>
      </c>
      <c r="K155" s="149">
        <f t="shared" si="25"/>
        <v>0</v>
      </c>
      <c r="L155" s="149">
        <f t="shared" si="25"/>
        <v>0</v>
      </c>
      <c r="M155" s="149">
        <f t="shared" si="25"/>
        <v>0</v>
      </c>
      <c r="N155" s="149">
        <f t="shared" si="25"/>
        <v>0</v>
      </c>
      <c r="O155" s="149">
        <f t="shared" si="25"/>
        <v>0</v>
      </c>
      <c r="P155" s="149">
        <f t="shared" si="25"/>
        <v>0</v>
      </c>
      <c r="Q155" s="149">
        <f t="shared" si="25"/>
        <v>0</v>
      </c>
      <c r="R155" s="149">
        <f t="shared" si="25"/>
        <v>0</v>
      </c>
      <c r="S155" s="149">
        <f t="shared" si="25"/>
        <v>0</v>
      </c>
      <c r="T155" s="149">
        <f t="shared" si="25"/>
        <v>0</v>
      </c>
      <c r="U155" s="149">
        <f t="shared" si="25"/>
        <v>0</v>
      </c>
      <c r="V155" s="149">
        <f t="shared" si="25"/>
        <v>0</v>
      </c>
      <c r="W155" s="149">
        <f t="shared" si="25"/>
        <v>0</v>
      </c>
      <c r="X155" s="149">
        <f t="shared" si="25"/>
        <v>0</v>
      </c>
      <c r="Y155" s="149">
        <f t="shared" si="25"/>
        <v>0</v>
      </c>
      <c r="Z155" s="149">
        <f t="shared" si="25"/>
        <v>0</v>
      </c>
      <c r="AA155" s="149">
        <f t="shared" si="25"/>
        <v>0</v>
      </c>
      <c r="AB155" s="149">
        <f t="shared" si="25"/>
        <v>0</v>
      </c>
      <c r="AC155" s="149">
        <f t="shared" si="25"/>
        <v>0</v>
      </c>
      <c r="AD155" s="149">
        <f t="shared" si="25"/>
        <v>0</v>
      </c>
      <c r="AE155" s="149">
        <f t="shared" si="25"/>
        <v>0</v>
      </c>
      <c r="AF155" s="149">
        <f t="shared" si="25"/>
        <v>0</v>
      </c>
      <c r="AG155" s="149">
        <f t="shared" si="25"/>
        <v>0</v>
      </c>
      <c r="AH155" s="149">
        <f t="shared" si="25"/>
        <v>0</v>
      </c>
      <c r="AI155" s="149">
        <f t="shared" si="25"/>
        <v>0</v>
      </c>
      <c r="AJ155" s="149">
        <f t="shared" si="25"/>
        <v>0</v>
      </c>
      <c r="AK155" s="149">
        <f t="shared" si="25"/>
        <v>0</v>
      </c>
      <c r="AL155" s="149">
        <f t="shared" si="25"/>
        <v>0</v>
      </c>
      <c r="AM155" s="149">
        <f t="shared" si="25"/>
        <v>0</v>
      </c>
      <c r="AN155" s="149">
        <f t="shared" si="25"/>
        <v>0</v>
      </c>
      <c r="AO155" s="149">
        <f t="shared" si="25"/>
        <v>0</v>
      </c>
      <c r="AP155" s="149">
        <f t="shared" si="25"/>
        <v>0</v>
      </c>
      <c r="AQ155" s="149">
        <f t="shared" si="25"/>
        <v>0</v>
      </c>
      <c r="AR155" s="149">
        <f t="shared" si="25"/>
        <v>0</v>
      </c>
      <c r="AS155" s="149">
        <f t="shared" si="25"/>
        <v>0</v>
      </c>
      <c r="AT155" s="163"/>
    </row>
    <row r="156">
      <c r="A156" s="80"/>
      <c r="B156" s="81"/>
      <c r="C156" s="112"/>
      <c r="D156" s="90"/>
      <c r="E156" s="237" t="s">
        <v>734</v>
      </c>
      <c r="F156" s="195" t="s">
        <v>122</v>
      </c>
      <c r="G156" s="291" t="s">
        <v>149</v>
      </c>
      <c r="H156" s="197" t="s">
        <v>150</v>
      </c>
      <c r="I156" s="240">
        <f t="shared" ref="I156:AS156" si="26">I61*(1+$H$150)</f>
        <v>0.02654947142</v>
      </c>
      <c r="J156" s="240">
        <f t="shared" si="26"/>
        <v>0.03461682554</v>
      </c>
      <c r="K156" s="240">
        <f t="shared" si="26"/>
        <v>0.03320019543</v>
      </c>
      <c r="L156" s="240">
        <f t="shared" si="26"/>
        <v>0.04999402847</v>
      </c>
      <c r="M156" s="240">
        <f t="shared" si="26"/>
        <v>0.03235830783</v>
      </c>
      <c r="N156" s="240">
        <f t="shared" si="26"/>
        <v>0.03245641915</v>
      </c>
      <c r="O156" s="240">
        <f t="shared" si="26"/>
        <v>0.04442495184</v>
      </c>
      <c r="P156" s="240">
        <f t="shared" si="26"/>
        <v>0.01447542448</v>
      </c>
      <c r="Q156" s="240">
        <f t="shared" si="26"/>
        <v>0.03115142752</v>
      </c>
      <c r="R156" s="240">
        <f t="shared" si="26"/>
        <v>0.07279204568</v>
      </c>
      <c r="S156" s="240">
        <f t="shared" si="26"/>
        <v>0.05515457526</v>
      </c>
      <c r="T156" s="240">
        <f t="shared" si="26"/>
        <v>0.06798128197</v>
      </c>
      <c r="U156" s="240">
        <f t="shared" si="26"/>
        <v>0.07119305656</v>
      </c>
      <c r="V156" s="240">
        <f t="shared" si="26"/>
        <v>0.05911160671</v>
      </c>
      <c r="W156" s="240">
        <f t="shared" si="26"/>
        <v>0.0609152982</v>
      </c>
      <c r="X156" s="240">
        <f t="shared" si="26"/>
        <v>0.04850216877</v>
      </c>
      <c r="Y156" s="240">
        <f t="shared" si="26"/>
        <v>0.07679947878</v>
      </c>
      <c r="Z156" s="240">
        <f t="shared" si="26"/>
        <v>0.0685820638</v>
      </c>
      <c r="AA156" s="240">
        <f t="shared" si="26"/>
        <v>0.07508642841</v>
      </c>
      <c r="AB156" s="240">
        <f t="shared" si="26"/>
        <v>0.08311603314</v>
      </c>
      <c r="AC156" s="240">
        <f t="shared" si="26"/>
        <v>0.08746766348</v>
      </c>
      <c r="AD156" s="240">
        <f t="shared" si="26"/>
        <v>0.08055941269</v>
      </c>
      <c r="AE156" s="240">
        <f t="shared" si="26"/>
        <v>0.08305937266</v>
      </c>
      <c r="AF156" s="240">
        <f t="shared" si="26"/>
        <v>0.07509786928</v>
      </c>
      <c r="AG156" s="240">
        <f t="shared" si="26"/>
        <v>0.0687831993</v>
      </c>
      <c r="AH156" s="240">
        <f t="shared" si="26"/>
        <v>0.06568043851</v>
      </c>
      <c r="AI156" s="240">
        <f t="shared" si="26"/>
        <v>0.08732278466</v>
      </c>
      <c r="AJ156" s="240">
        <f t="shared" si="26"/>
        <v>0.05325270515</v>
      </c>
      <c r="AK156" s="240">
        <f t="shared" si="26"/>
        <v>0.04297689847</v>
      </c>
      <c r="AL156" s="240">
        <f t="shared" si="26"/>
        <v>0.05746423492</v>
      </c>
      <c r="AM156" s="240">
        <f t="shared" si="26"/>
        <v>0.06923863122</v>
      </c>
      <c r="AN156" s="240">
        <f t="shared" si="26"/>
        <v>0.07384112572</v>
      </c>
      <c r="AO156" s="240">
        <f t="shared" si="26"/>
        <v>0.05721014039</v>
      </c>
      <c r="AP156" s="240">
        <f t="shared" si="26"/>
        <v>0.0679322936</v>
      </c>
      <c r="AQ156" s="240">
        <f t="shared" si="26"/>
        <v>0.07779876286</v>
      </c>
      <c r="AR156" s="240">
        <f t="shared" si="26"/>
        <v>0.04738128593</v>
      </c>
      <c r="AS156" s="240">
        <f t="shared" si="26"/>
        <v>0.0430659244</v>
      </c>
      <c r="AT156" s="248"/>
    </row>
    <row r="157">
      <c r="A157" s="80"/>
      <c r="B157" s="81"/>
      <c r="C157" s="112"/>
      <c r="D157" s="90"/>
      <c r="E157" s="243"/>
      <c r="F157" s="108"/>
      <c r="G157" s="109"/>
      <c r="H157" s="110"/>
      <c r="I157" s="111"/>
      <c r="J157" s="111"/>
      <c r="K157" s="111"/>
      <c r="L157" s="111"/>
      <c r="M157" s="111"/>
      <c r="N157" s="111"/>
      <c r="O157" s="111"/>
      <c r="P157" s="111"/>
      <c r="Q157" s="111"/>
      <c r="R157" s="111"/>
      <c r="S157" s="111"/>
      <c r="T157" s="111"/>
      <c r="U157" s="111"/>
      <c r="V157" s="111"/>
      <c r="W157" s="111"/>
      <c r="X157" s="111"/>
      <c r="Y157" s="111"/>
      <c r="Z157" s="111"/>
      <c r="AA157" s="111"/>
      <c r="AB157" s="111"/>
      <c r="AC157" s="111"/>
      <c r="AD157" s="111"/>
      <c r="AE157" s="111"/>
      <c r="AF157" s="111"/>
      <c r="AG157" s="111"/>
      <c r="AH157" s="111"/>
      <c r="AI157" s="111"/>
      <c r="AJ157" s="111"/>
      <c r="AK157" s="111"/>
      <c r="AL157" s="111"/>
      <c r="AM157" s="111"/>
      <c r="AN157" s="111"/>
      <c r="AO157" s="111"/>
      <c r="AP157" s="111"/>
      <c r="AQ157" s="111"/>
      <c r="AR157" s="111"/>
      <c r="AS157" s="111"/>
      <c r="AT157" s="88"/>
    </row>
    <row r="158">
      <c r="A158" s="80"/>
      <c r="B158" s="81"/>
      <c r="C158" s="112" t="s">
        <v>736</v>
      </c>
      <c r="F158" s="108"/>
      <c r="G158" s="109"/>
      <c r="H158" s="110"/>
      <c r="I158" s="111"/>
      <c r="J158" s="111"/>
      <c r="K158" s="111"/>
      <c r="L158" s="111"/>
      <c r="M158" s="111"/>
      <c r="N158" s="111"/>
      <c r="O158" s="111"/>
      <c r="P158" s="111"/>
      <c r="Q158" s="111"/>
      <c r="R158" s="111"/>
      <c r="S158" s="111"/>
      <c r="T158" s="111"/>
      <c r="U158" s="111"/>
      <c r="V158" s="111"/>
      <c r="W158" s="111"/>
      <c r="X158" s="111"/>
      <c r="Y158" s="111"/>
      <c r="Z158" s="111"/>
      <c r="AA158" s="111"/>
      <c r="AB158" s="111"/>
      <c r="AC158" s="111"/>
      <c r="AD158" s="111"/>
      <c r="AE158" s="111"/>
      <c r="AF158" s="111"/>
      <c r="AG158" s="111"/>
      <c r="AH158" s="111"/>
      <c r="AI158" s="111"/>
      <c r="AJ158" s="111"/>
      <c r="AK158" s="111"/>
      <c r="AL158" s="111"/>
      <c r="AM158" s="111"/>
      <c r="AN158" s="111"/>
      <c r="AO158" s="111"/>
      <c r="AP158" s="111"/>
      <c r="AQ158" s="111"/>
      <c r="AR158" s="111"/>
      <c r="AS158" s="111"/>
      <c r="AT158" s="88"/>
    </row>
    <row r="159">
      <c r="A159" s="80"/>
      <c r="B159" s="81"/>
      <c r="C159" s="112"/>
      <c r="D159" s="90"/>
      <c r="E159" s="224" t="s">
        <v>342</v>
      </c>
      <c r="F159" s="93" t="s">
        <v>122</v>
      </c>
      <c r="G159" s="321" t="s">
        <v>149</v>
      </c>
      <c r="H159" s="129" t="s">
        <v>150</v>
      </c>
      <c r="I159" s="308">
        <f t="shared" ref="I159:AS159" si="27">SUMPRODUCT($H131:$H136,I139:I144,I151:I156)/I147</f>
        <v>0.0381211365</v>
      </c>
      <c r="J159" s="308">
        <f t="shared" si="27"/>
        <v>0.04658850657</v>
      </c>
      <c r="K159" s="308">
        <f t="shared" si="27"/>
        <v>0.03956062036</v>
      </c>
      <c r="L159" s="308">
        <f t="shared" si="27"/>
        <v>0.05673611181</v>
      </c>
      <c r="M159" s="308">
        <f t="shared" si="27"/>
        <v>0.04040875402</v>
      </c>
      <c r="N159" s="308">
        <f t="shared" si="27"/>
        <v>0.03695695596</v>
      </c>
      <c r="O159" s="308">
        <f t="shared" si="27"/>
        <v>0.03769540789</v>
      </c>
      <c r="P159" s="308">
        <f t="shared" si="27"/>
        <v>0.02057490037</v>
      </c>
      <c r="Q159" s="308">
        <f t="shared" si="27"/>
        <v>0.02998402797</v>
      </c>
      <c r="R159" s="308">
        <f t="shared" si="27"/>
        <v>0.08046715632</v>
      </c>
      <c r="S159" s="308">
        <f t="shared" si="27"/>
        <v>0.06343697581</v>
      </c>
      <c r="T159" s="308">
        <f t="shared" si="27"/>
        <v>0.07645868928</v>
      </c>
      <c r="U159" s="308">
        <f t="shared" si="27"/>
        <v>0.08014399855</v>
      </c>
      <c r="V159" s="308">
        <f t="shared" si="27"/>
        <v>0.06175065795</v>
      </c>
      <c r="W159" s="308">
        <f t="shared" si="27"/>
        <v>0.06351127673</v>
      </c>
      <c r="X159" s="308">
        <f t="shared" si="27"/>
        <v>0.05908440922</v>
      </c>
      <c r="Y159" s="308">
        <f t="shared" si="27"/>
        <v>0.08141805447</v>
      </c>
      <c r="Z159" s="308">
        <f t="shared" si="27"/>
        <v>0.07347566778</v>
      </c>
      <c r="AA159" s="308">
        <f t="shared" si="27"/>
        <v>0.08071085741</v>
      </c>
      <c r="AB159" s="308">
        <f t="shared" si="27"/>
        <v>0.08619062535</v>
      </c>
      <c r="AC159" s="308">
        <f t="shared" si="27"/>
        <v>0.08435897764</v>
      </c>
      <c r="AD159" s="308">
        <f t="shared" si="27"/>
        <v>0.08764262875</v>
      </c>
      <c r="AE159" s="308">
        <f t="shared" si="27"/>
        <v>0.08404848314</v>
      </c>
      <c r="AF159" s="308">
        <f t="shared" si="27"/>
        <v>0.08755106907</v>
      </c>
      <c r="AG159" s="308">
        <f t="shared" si="27"/>
        <v>0.07045589116</v>
      </c>
      <c r="AH159" s="308">
        <f t="shared" si="27"/>
        <v>0.06324446623</v>
      </c>
      <c r="AI159" s="308">
        <f t="shared" si="27"/>
        <v>0.08791798463</v>
      </c>
      <c r="AJ159" s="308">
        <f t="shared" si="27"/>
        <v>0.06128020387</v>
      </c>
      <c r="AK159" s="308">
        <f t="shared" si="27"/>
        <v>0.04396751269</v>
      </c>
      <c r="AL159" s="308">
        <f t="shared" si="27"/>
        <v>0.06684908032</v>
      </c>
      <c r="AM159" s="308">
        <f t="shared" si="27"/>
        <v>0.0700966847</v>
      </c>
      <c r="AN159" s="308">
        <f t="shared" si="27"/>
        <v>0.08086630503</v>
      </c>
      <c r="AO159" s="308">
        <f t="shared" si="27"/>
        <v>0.06658386161</v>
      </c>
      <c r="AP159" s="308">
        <f t="shared" si="27"/>
        <v>0.07041951371</v>
      </c>
      <c r="AQ159" s="308">
        <f t="shared" si="27"/>
        <v>0.07946170364</v>
      </c>
      <c r="AR159" s="308">
        <f t="shared" si="27"/>
        <v>0.0462837205</v>
      </c>
      <c r="AS159" s="308">
        <f t="shared" si="27"/>
        <v>0.04002598841</v>
      </c>
      <c r="AT159" s="265"/>
    </row>
    <row r="160">
      <c r="A160" s="333"/>
      <c r="B160" s="334"/>
      <c r="C160" s="456"/>
      <c r="D160" s="334"/>
      <c r="E160" s="335"/>
      <c r="F160" s="251"/>
      <c r="G160" s="336"/>
      <c r="H160" s="337"/>
      <c r="I160" s="338"/>
      <c r="J160" s="338"/>
      <c r="K160" s="338"/>
      <c r="L160" s="338"/>
      <c r="M160" s="338"/>
      <c r="N160" s="338"/>
      <c r="O160" s="338"/>
      <c r="P160" s="338"/>
      <c r="Q160" s="338"/>
      <c r="R160" s="338"/>
      <c r="S160" s="338"/>
      <c r="T160" s="338"/>
      <c r="U160" s="338"/>
      <c r="V160" s="338"/>
      <c r="W160" s="338"/>
      <c r="X160" s="338"/>
      <c r="Y160" s="338"/>
      <c r="Z160" s="338"/>
      <c r="AA160" s="338"/>
      <c r="AB160" s="338"/>
      <c r="AC160" s="338"/>
      <c r="AD160" s="338"/>
      <c r="AE160" s="338"/>
      <c r="AF160" s="338"/>
      <c r="AG160" s="338"/>
      <c r="AH160" s="338"/>
      <c r="AI160" s="338"/>
      <c r="AJ160" s="338"/>
      <c r="AK160" s="338"/>
      <c r="AL160" s="338"/>
      <c r="AM160" s="338"/>
      <c r="AN160" s="338"/>
      <c r="AO160" s="338"/>
      <c r="AP160" s="338"/>
      <c r="AQ160" s="338"/>
      <c r="AR160" s="338"/>
      <c r="AS160" s="338"/>
      <c r="AT160" s="265"/>
    </row>
  </sheetData>
  <mergeCells count="30">
    <mergeCell ref="I1:Q1"/>
    <mergeCell ref="R1:AE1"/>
    <mergeCell ref="AF1:AS1"/>
    <mergeCell ref="A3:E3"/>
    <mergeCell ref="A5:G5"/>
    <mergeCell ref="C7:E7"/>
    <mergeCell ref="C19:E19"/>
    <mergeCell ref="C31:E31"/>
    <mergeCell ref="A34:G34"/>
    <mergeCell ref="C36:E36"/>
    <mergeCell ref="C44:E44"/>
    <mergeCell ref="C52:E52"/>
    <mergeCell ref="C55:E55"/>
    <mergeCell ref="C63:E63"/>
    <mergeCell ref="A66:G66"/>
    <mergeCell ref="C68:E68"/>
    <mergeCell ref="C76:E76"/>
    <mergeCell ref="C84:E84"/>
    <mergeCell ref="C87:E87"/>
    <mergeCell ref="C96:E96"/>
    <mergeCell ref="C99:E99"/>
    <mergeCell ref="C149:E149"/>
    <mergeCell ref="C158:E158"/>
    <mergeCell ref="C107:E107"/>
    <mergeCell ref="C115:E115"/>
    <mergeCell ref="C118:E118"/>
    <mergeCell ref="C127:E127"/>
    <mergeCell ref="C130:E130"/>
    <mergeCell ref="C138:E138"/>
    <mergeCell ref="C146:E146"/>
  </mergeCells>
  <hyperlinks>
    <hyperlink display="Baseline proportion of children in the target population who receive the BCG vaccine" location="'Vaccine coverage'!E91" ref="E8"/>
    <hyperlink display="Baseline proportion of children in the target population who receive the 1st dose of the Penta vaccine" location="'Vaccine coverage'!E92" ref="E9"/>
    <hyperlink display="Baseline proportion of children in the target population who receive the 2nd dose of the Penta vaccine" location="'Vaccine coverage'!E93" ref="E10"/>
    <hyperlink display="Baseline proportion of children in the target population who receive the 3rd dose of the Penta vaccine" location="'Vaccine coverage'!E94" ref="E11"/>
    <hyperlink display="Baseline proportion of children in the target population who receive the 1st dose of the PCV vaccine" location="'Vaccine coverage'!E103" ref="E12"/>
    <hyperlink display="Baseline proportion of children in the target population who receive the 2nd dose of the PCV vaccine" location="'Vaccine coverage'!E104" ref="E13"/>
    <hyperlink display="Baseline proportion of children in the target population who receive the 3rd dose of the PCV vaccine" location="'Vaccine coverage'!E105" ref="E14"/>
    <hyperlink display="Baseline proportion of children in the target popullation who receive the 1st dose of the rotavirus vaccine" location="'Vaccine coverage'!E110" ref="E15"/>
    <hyperlink display="Estimated proportion of children in the target population who receive the 2nd dose of the rotavirus vaccine" location="'Vaccine coverage'!E111" ref="E16"/>
    <hyperlink display="Baseline proportion of children in the target population who receive the 1st dose of the measles vaccine" location="'Vaccine coverage'!E118" ref="E17"/>
    <hyperlink display="Proportion of vaccine-preventable mortalities among people under age 5 that could be prevented by the BCG vaccine" location="'Disease burden'!E384" ref="E20"/>
    <hyperlink display="Proportion of vaccine-preventable mortalities among people under age 5 that could be prevented by the 1st dose of the Penta vaccine" location="'Disease burden'!E385" ref="E21"/>
    <hyperlink display="Proportion of vaccine-preventable mortalities among people under age 5 that could be prevented by the 2nd dose of the Penta vaccine" location="'Disease burden'!E386" ref="E22"/>
    <hyperlink display="Proportion of vaccine-preventable mortalities among people under age 5 that could be prevented by the 3rd dose of the Penta vaccine" location="'Disease burden'!E387" ref="E23"/>
    <hyperlink display="Proportion of vaccine-preventable mortalities among people under age 5 that could be prevented by the 1st dose of the PCV vaccine" location="'Disease burden'!E388" ref="E24"/>
    <hyperlink display="Proportion of vaccine-preventable mortalities among people under age 5 that could be prevented by the 2nd dose of the PCV vaccine" location="'Disease burden'!E389" ref="E25"/>
    <hyperlink display="Proportion of vaccine-preventable mortalities among people under age 5 that could be prevented by the 3rd dose of the PCV vaccine" location="'Disease burden'!E390" ref="E26"/>
    <hyperlink display="Proportion of vaccine-preventable mortalities among people under age 5 that could be prevented by the 1st dose of the rotavirus vaccine" location="'Disease burden'!E391" ref="E27"/>
    <hyperlink display="Proportion of vaccine-preventable mortalities among people under age 5 that could be prevented by the 2nd dose of the rotavirus vaccine" location="'Disease burden'!E392" ref="E28"/>
    <hyperlink display="Proportion of vaccine-preventable mortalities among people under age 5 that could be prevented by the 1st dose of the measles vaccine" location="'Disease burden'!E393" ref="E29"/>
    <hyperlink display="BCG vaccine efficacy rate with universal coverage" location="'Vaccine efficacy'!E49" ref="E37"/>
    <hyperlink display="DTP vaccine efficacy rate with universal coverage (part of the Penta vaccine)" location="'Vaccine efficacy'!E50" ref="E38"/>
    <hyperlink display="Hib vaccine efficacy rate with universal coverage (part of the Penta vaccine)" location="'Vaccine efficacy'!E51" ref="E39"/>
    <hyperlink display="PCV vaccine efficacy rate with universal coverage" location="'Vaccine efficacy'!E52" ref="E40"/>
    <hyperlink display="Rotavirus vaccine efficacy rate with universal coverage" location="'Vaccine efficacy'!E53" ref="E41"/>
    <hyperlink display="Measles vaccine efficacy rate with universal coverage" location="'Vaccine efficacy'!E54" ref="E42"/>
    <hyperlink display="Proportion of deaths from vaccine-preventable causes among unvaccinated people under age 5 that are addressable by the BCG vaccine, adjusted for deaths occurring before the age of vaccination" location="'Disease burden'!E212" ref="E45"/>
    <hyperlink display="Proportion of deaths from vaccine-preventable causes among unvaccinated people under age 5 that are addressable by the DTP vaccine, adjusted for deaths occurring before the age of vaccination" location="'Disease burden'!E213" ref="E46"/>
    <hyperlink display="Proportion of deaths from vaccine-preventable causes among unvaccinated people under age 5 that are addressable by the Hib vaccine, adjusted for deaths occurring before the age of vaccination" location="'Disease burden'!E214" ref="E47"/>
    <hyperlink display="Proportion of deaths from vaccine-preventable causes among unvaccinated people under age 5 that are addressable by the PCV vaccine, adjusted for deaths occurring before the age of vaccination" location="'Disease burden'!E215" ref="E48"/>
    <hyperlink display="Proportion of deaths from vaccine-preventable causes among unvaccinated people under age 5 that are addressable by the rotavirus vaccine, adjusted for deaths occurring before the age of vaccination" location="'Disease burden'!E216" ref="E49"/>
    <hyperlink display="Proportion of deaths from vaccine-preventable causes among unvaccinated people under age 5 that are addressable by the measles vaccine, adjusted for deaths occurring before the age of vaccination" location="'Disease burden'!E217" ref="E50"/>
    <hyperlink display="Proportion of people under age 5 represented in GBD 2021 disease burden estimates who received the BCG vaccine" location="'Vaccine coverage'!E146" ref="E56"/>
    <hyperlink display="Proportion of people under age 5 represented in GBD 2021 disease burden estimates who received the DTP vaccine, aggregated across doses" location="'Vaccine coverage'!E147" ref="E57"/>
    <hyperlink display="Proportion of people under age 5 represented in GBD 2021 disease burden estimates who received the Hib vaccine, aggregated across doses" location="'Vaccine coverage'!E148" ref="E58"/>
    <hyperlink display="Proportion of people under age 5 represented in GBD 2021 disease burden estimates who received the PCV vaccine, aggregated across doses" location="'Vaccine coverage'!E149" ref="E59"/>
    <hyperlink display="Proportion of people under age 5 represented in GBD 2021 disease burden estimates who received the rotavirus vaccine, aggregated across doses" location="'Vaccine coverage'!E150" ref="E60"/>
    <hyperlink display="Proportion of people under age 5 represented in GBD 2021 disease burden estimates who received the measles vaccine" location="'Vaccine coverage'!E151" ref="E61"/>
    <hyperlink display="Proportion of vaccine-preventable disease incidence averted by BCG vaccination among 5-14-year-olds" location="'Disease burden'!E241" ref="E69"/>
    <hyperlink display="Proportion of vaccine-preventable disease incidence averted by DTP vaccination among 5-14-year-olds" location="'Disease burden'!E242" ref="E70"/>
    <hyperlink display="Proportion of vaccine-preventable disease incidence averted by Hib vaccination among 5-14-year-olds" location="'Disease burden'!E243" ref="E71"/>
    <hyperlink display="Proportion of vaccine-preventable disease incidence averted by PCV vaccination among 5-14-year-olds" location="'Disease burden'!E244" ref="E72"/>
    <hyperlink display="Proportion of vaccine-preventable disease incidence averted by rotavirus vaccination among 5-14-year-olds" location="'Disease burden'!E245" ref="E73"/>
    <hyperlink display="Proportion of vaccine-preventable disease incidence averted by measles vaccination among 5-14-year-olds" location="'Disease burden'!E246" ref="E74"/>
    <hyperlink display="Proportion of deaths from vaccine-preventable causes among unvaccinated 5-14-year-olds that are addressable by the BCG vaccine" location="'Disease burden'!E258" ref="E77"/>
    <hyperlink display="Proportion of deaths from vaccine-preventable causes among unvaccinated 5-14-year-olds that are addressable by the DTP vaccine" location="'Disease burden'!E259" ref="E78"/>
    <hyperlink display="Proportion of deaths from vaccine-preventable causes among unvaccinated 5-14-year-olds that are addressable by the Hib vaccine" location="'Disease burden'!E260" ref="E79"/>
    <hyperlink display="Proportion of deaths from vaccine-preventable causes among unvaccinated 5-14-year-olds that are addressable by the PCV vaccine" location="'Disease burden'!E261" ref="E80"/>
    <hyperlink display="Proportion of deaths from vaccine-preventable causes among unvaccinated 5-14-year-olds that are addressable by the rotavirus vaccine" location="'Disease burden'!E262" ref="E81"/>
    <hyperlink display="Proportion of deaths from vaccine-preventable causes among unvaccinated 5-14-year-olds that are addressable by the measles vaccine" location="'Disease burden'!E263" ref="E82"/>
    <hyperlink display="Adjustment for lower vaccine coverage among 5-14-year-olds represented in GBD 2021 disease burden estimates" location="Inputs!E182" ref="E88"/>
    <hyperlink display="Proportion of vaccine-preventable disease incidence averted by BCG vaccination among 15-49-year-olds" location="'Disease burden'!E285" ref="E100"/>
    <hyperlink display="Proportion of vaccine-preventable disease incidence averted by DTP vaccination among 15-49-year-olds" location="'Disease burden'!E286" ref="E101"/>
    <hyperlink display="Proportion of vaccine-preventable disease incidence averted by Hib vaccination among 15-49-year-olds" location="'Disease burden'!E287" ref="E102"/>
    <hyperlink display="Proportion of vaccine-preventable disease incidence averted by PCV vaccination among 15-49-year-olds" location="'Disease burden'!E288" ref="E103"/>
    <hyperlink display="Proportion of vaccine-preventable disease incidence averted by rotavirus vaccination among 15-49-year-olds" location="'Disease burden'!E289" ref="E104"/>
    <hyperlink display="Proportion of vaccine-preventable disease incidence averted by measles vaccination among 15-49-year-olds" location="'Disease burden'!E290" ref="E105"/>
    <hyperlink display="Proportion of deaths from vaccine-preventable causes among unvaccinated 15-49-year-olds that are addressable by the BCG vaccine" location="'Disease burden'!E302" ref="E108"/>
    <hyperlink display="Proportion of deaths from vaccine-preventable causes among unvaccinated 15-49-year-olds that are addressable by the DTP vaccine" location="'Disease burden'!E303" ref="E109"/>
    <hyperlink display="Proportion of deaths from vaccine-preventable causes among unvaccinated 15-49-year-olds that are addressable by the Hib vaccine" location="'Disease burden'!E304" ref="E110"/>
    <hyperlink display="Proportion of deaths from vaccine-preventable causes among unvaccinated 15-49-year-olds that are addressable by the PCV vaccine" location="'Disease burden'!E305" ref="E111"/>
    <hyperlink display="Proportion of deaths from vaccine-preventable causes among unvaccinated 15-49-year-olds that are addressable by the rotavirus vaccine" location="'Disease burden'!E306" ref="E112"/>
    <hyperlink display="Proportion of deaths from vaccine-preventable causes among unvaccinated 15-49-year-olds that are addressable by the measles vaccine" location="'Disease burden'!E307" ref="E113"/>
    <hyperlink display="Adjustment for lower vaccine coverage among 15-49-year-olds represented in GBD 2021 disease burden estimates" location="Inputs!E185" ref="E119"/>
    <hyperlink display="Proportion of vaccine-preventable disease incidence averted by BCG vaccination among 50-74-year-olds" location="'Disease burden'!E329" ref="E131"/>
    <hyperlink display="Proportion of vaccine-preventable disease incidence averted by DTP vaccination among 50-74-year-olds" location="'Disease burden'!E330" ref="E132"/>
    <hyperlink display="Proportion of vaccine-preventable disease incidence averted by Hib vaccination among 50-74-year-olds" location="'Disease burden'!E331" ref="E133"/>
    <hyperlink display="Proportion of vaccine-preventable disease incidence averted by PCV vaccination among 50-74-year-olds" location="'Disease burden'!E332" ref="E134"/>
    <hyperlink display="Proportion of vaccine-preventable disease incidence averted by rotavirus vaccination among 50-74-year-olds" location="'Disease burden'!E333" ref="E135"/>
    <hyperlink display="Proportion of vaccine-preventable disease incidence averted by measles vaccination among 50-74-year-olds" location="'Disease burden'!E334" ref="E136"/>
    <hyperlink display="Proportion of deaths from vaccine-preventable causes among unvaccinated 50-74-year-olds that are addressable by the BCG vaccine" location="'Disease burden'!E346" ref="E139"/>
    <hyperlink display="Proportion of deaths from vaccine-preventable causes among unvaccinated 50-74-year-olds that are addressable by the DTP vaccine" location="'Disease burden'!E347" ref="E140"/>
    <hyperlink display="Proportion of deaths from vaccine-preventable causes among unvaccinated 50-74-year-olds that are addressable by the Hib vaccine" location="'Disease burden'!E348" ref="E141"/>
    <hyperlink display="Proportion of deaths from vaccine-preventable causes among unvaccinated 50-74-year-olds that are addressable by the PCV vaccine" location="'Disease burden'!E349" ref="E142"/>
    <hyperlink display="Proportion of deaths from vaccine-preventable causes among unvaccinated 50-74-year-olds that are addressable by the rotavirus vaccine" location="'Disease burden'!E350" ref="E143"/>
    <hyperlink display="Proportion of deaths from vaccine-preventable causes among unvaccinated 50-74-year-olds that are addressable by the measles vaccine" location="'Disease burden'!E351" ref="E144"/>
    <hyperlink display="Adjustment for lower vaccine coverage among 50-74-year-olds represented in GBD 2021 disease burden estimates" location="Inputs!E188" ref="E150"/>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45" width="12.13"/>
    <col customWidth="1" min="46" max="46" width="3.63"/>
  </cols>
  <sheetData>
    <row r="1">
      <c r="A1" s="1"/>
      <c r="B1" s="3"/>
      <c r="C1" s="3"/>
      <c r="D1" s="3"/>
      <c r="E1" s="5"/>
      <c r="F1" s="7"/>
      <c r="G1" s="8"/>
      <c r="H1" s="9"/>
      <c r="I1" s="11" t="s">
        <v>1</v>
      </c>
      <c r="J1" s="12"/>
      <c r="K1" s="12"/>
      <c r="L1" s="12"/>
      <c r="M1" s="12"/>
      <c r="N1" s="12"/>
      <c r="O1" s="12"/>
      <c r="P1" s="12"/>
      <c r="Q1" s="12"/>
      <c r="R1" s="16" t="s">
        <v>3</v>
      </c>
      <c r="S1" s="14"/>
      <c r="T1" s="14"/>
      <c r="U1" s="14"/>
      <c r="V1" s="14"/>
      <c r="W1" s="14"/>
      <c r="X1" s="14"/>
      <c r="Y1" s="14"/>
      <c r="Z1" s="14"/>
      <c r="AA1" s="14"/>
      <c r="AB1" s="14"/>
      <c r="AC1" s="14"/>
      <c r="AD1" s="14"/>
      <c r="AE1" s="14"/>
      <c r="AF1" s="20" t="s">
        <v>3</v>
      </c>
      <c r="AG1" s="14"/>
      <c r="AH1" s="14"/>
      <c r="AI1" s="14"/>
      <c r="AJ1" s="14"/>
      <c r="AK1" s="14"/>
      <c r="AL1" s="14"/>
      <c r="AM1" s="14"/>
      <c r="AN1" s="14"/>
      <c r="AO1" s="14"/>
      <c r="AP1" s="14"/>
      <c r="AQ1" s="14"/>
      <c r="AR1" s="14"/>
      <c r="AS1" s="14"/>
      <c r="AT1" s="23"/>
    </row>
    <row r="2">
      <c r="A2" s="24"/>
      <c r="B2" s="25"/>
      <c r="C2" s="25"/>
      <c r="D2" s="25"/>
      <c r="E2" s="27"/>
      <c r="F2" s="28"/>
      <c r="G2" s="29"/>
      <c r="H2" s="31"/>
      <c r="I2" s="35" t="s">
        <v>7</v>
      </c>
      <c r="J2" s="35" t="s">
        <v>7</v>
      </c>
      <c r="K2" s="35" t="s">
        <v>7</v>
      </c>
      <c r="L2" s="35" t="s">
        <v>7</v>
      </c>
      <c r="M2" s="35" t="s">
        <v>7</v>
      </c>
      <c r="N2" s="35" t="s">
        <v>7</v>
      </c>
      <c r="O2" s="35" t="s">
        <v>7</v>
      </c>
      <c r="P2" s="35" t="s">
        <v>7</v>
      </c>
      <c r="Q2" s="35" t="s">
        <v>7</v>
      </c>
      <c r="R2" s="41" t="s">
        <v>7</v>
      </c>
      <c r="S2" s="35" t="s">
        <v>7</v>
      </c>
      <c r="T2" s="35" t="s">
        <v>7</v>
      </c>
      <c r="U2" s="35" t="s">
        <v>7</v>
      </c>
      <c r="V2" s="35" t="s">
        <v>7</v>
      </c>
      <c r="W2" s="35" t="s">
        <v>7</v>
      </c>
      <c r="X2" s="35" t="s">
        <v>7</v>
      </c>
      <c r="Y2" s="35" t="s">
        <v>7</v>
      </c>
      <c r="Z2" s="35" t="s">
        <v>7</v>
      </c>
      <c r="AA2" s="35" t="s">
        <v>7</v>
      </c>
      <c r="AB2" s="35" t="s">
        <v>7</v>
      </c>
      <c r="AC2" s="35" t="s">
        <v>7</v>
      </c>
      <c r="AD2" s="35" t="s">
        <v>7</v>
      </c>
      <c r="AE2" s="35" t="s">
        <v>7</v>
      </c>
      <c r="AF2" s="35" t="s">
        <v>7</v>
      </c>
      <c r="AG2" s="35" t="s">
        <v>7</v>
      </c>
      <c r="AH2" s="35" t="s">
        <v>7</v>
      </c>
      <c r="AI2" s="35" t="s">
        <v>7</v>
      </c>
      <c r="AJ2" s="35" t="s">
        <v>7</v>
      </c>
      <c r="AK2" s="35" t="s">
        <v>7</v>
      </c>
      <c r="AL2" s="35" t="s">
        <v>7</v>
      </c>
      <c r="AM2" s="35" t="s">
        <v>7</v>
      </c>
      <c r="AN2" s="35" t="s">
        <v>7</v>
      </c>
      <c r="AO2" s="35" t="s">
        <v>7</v>
      </c>
      <c r="AP2" s="35" t="s">
        <v>7</v>
      </c>
      <c r="AQ2" s="35" t="s">
        <v>7</v>
      </c>
      <c r="AR2" s="35" t="s">
        <v>7</v>
      </c>
      <c r="AS2" s="35" t="s">
        <v>7</v>
      </c>
      <c r="AT2" s="42"/>
    </row>
    <row r="3">
      <c r="A3" s="43" t="s">
        <v>18</v>
      </c>
      <c r="B3" s="12"/>
      <c r="C3" s="12"/>
      <c r="D3" s="12"/>
      <c r="E3" s="12"/>
      <c r="F3" s="44" t="s">
        <v>21</v>
      </c>
      <c r="G3" s="45" t="s">
        <v>22</v>
      </c>
      <c r="H3" s="46" t="s">
        <v>24</v>
      </c>
      <c r="I3" s="47" t="s">
        <v>26</v>
      </c>
      <c r="J3" s="47" t="s">
        <v>28</v>
      </c>
      <c r="K3" s="47" t="s">
        <v>30</v>
      </c>
      <c r="L3" s="47" t="s">
        <v>31</v>
      </c>
      <c r="M3" s="47" t="s">
        <v>32</v>
      </c>
      <c r="N3" s="47" t="s">
        <v>33</v>
      </c>
      <c r="O3" s="47" t="s">
        <v>34</v>
      </c>
      <c r="P3" s="47" t="s">
        <v>35</v>
      </c>
      <c r="Q3" s="47" t="s">
        <v>37</v>
      </c>
      <c r="R3" s="49" t="s">
        <v>38</v>
      </c>
      <c r="S3" s="47" t="s">
        <v>39</v>
      </c>
      <c r="T3" s="47" t="s">
        <v>40</v>
      </c>
      <c r="U3" s="47" t="s">
        <v>41</v>
      </c>
      <c r="V3" s="47" t="s">
        <v>42</v>
      </c>
      <c r="W3" s="47" t="s">
        <v>44</v>
      </c>
      <c r="X3" s="47" t="s">
        <v>45</v>
      </c>
      <c r="Y3" s="47" t="s">
        <v>46</v>
      </c>
      <c r="Z3" s="47" t="s">
        <v>47</v>
      </c>
      <c r="AA3" s="47" t="s">
        <v>48</v>
      </c>
      <c r="AB3" s="47" t="s">
        <v>49</v>
      </c>
      <c r="AC3" s="47" t="s">
        <v>50</v>
      </c>
      <c r="AD3" s="47" t="s">
        <v>51</v>
      </c>
      <c r="AE3" s="47" t="s">
        <v>52</v>
      </c>
      <c r="AF3" s="47" t="s">
        <v>53</v>
      </c>
      <c r="AG3" s="47" t="s">
        <v>54</v>
      </c>
      <c r="AH3" s="47" t="s">
        <v>55</v>
      </c>
      <c r="AI3" s="47" t="s">
        <v>56</v>
      </c>
      <c r="AJ3" s="47" t="s">
        <v>57</v>
      </c>
      <c r="AK3" s="47" t="s">
        <v>58</v>
      </c>
      <c r="AL3" s="47" t="s">
        <v>59</v>
      </c>
      <c r="AM3" s="47" t="s">
        <v>60</v>
      </c>
      <c r="AN3" s="47" t="s">
        <v>61</v>
      </c>
      <c r="AO3" s="47" t="s">
        <v>63</v>
      </c>
      <c r="AP3" s="47" t="s">
        <v>64</v>
      </c>
      <c r="AQ3" s="47" t="s">
        <v>65</v>
      </c>
      <c r="AR3" s="47" t="s">
        <v>66</v>
      </c>
      <c r="AS3" s="47" t="s">
        <v>67</v>
      </c>
      <c r="AT3" s="53"/>
    </row>
    <row r="4">
      <c r="A4" s="54"/>
      <c r="B4" s="56"/>
      <c r="C4" s="56"/>
      <c r="D4" s="56"/>
      <c r="E4" s="57" t="s">
        <v>70</v>
      </c>
      <c r="F4" s="61" t="str">
        <f>'Main CEA'!F241</f>
        <v>xcash</v>
      </c>
      <c r="G4" s="62" t="str">
        <f>'Main CEA'!G241</f>
        <v>calc</v>
      </c>
      <c r="H4" s="65" t="str">
        <f>'Main CEA'!H241</f>
        <v>-</v>
      </c>
      <c r="I4" s="67">
        <f>'Main CEA'!I241</f>
        <v>23.79888889</v>
      </c>
      <c r="J4" s="67">
        <f>'Main CEA'!J241</f>
        <v>10.80064073</v>
      </c>
      <c r="K4" s="67">
        <f>'Main CEA'!K241</f>
        <v>19.89994382</v>
      </c>
      <c r="L4" s="67">
        <f>'Main CEA'!L241</f>
        <v>5.656827509</v>
      </c>
      <c r="M4" s="67">
        <f>'Main CEA'!M241</f>
        <v>13.12917563</v>
      </c>
      <c r="N4" s="67">
        <f>'Main CEA'!N241</f>
        <v>20.32981152</v>
      </c>
      <c r="O4" s="67">
        <f>'Main CEA'!O241</f>
        <v>31.53213901</v>
      </c>
      <c r="P4" s="67">
        <f>'Main CEA'!P241</f>
        <v>51.33089054</v>
      </c>
      <c r="Q4" s="67">
        <f>'Main CEA'!Q241</f>
        <v>38.10262623</v>
      </c>
      <c r="R4" s="67">
        <f>'Main CEA'!R241</f>
        <v>1.867786341</v>
      </c>
      <c r="S4" s="67">
        <f>'Main CEA'!S241</f>
        <v>4.225686691</v>
      </c>
      <c r="T4" s="67">
        <f>'Main CEA'!T241</f>
        <v>1.768109683</v>
      </c>
      <c r="U4" s="67">
        <f>'Main CEA'!U241</f>
        <v>2.150636078</v>
      </c>
      <c r="V4" s="67">
        <f>'Main CEA'!V241</f>
        <v>2.992986954</v>
      </c>
      <c r="W4" s="67">
        <f>'Main CEA'!W241</f>
        <v>3.694768058</v>
      </c>
      <c r="X4" s="67">
        <f>'Main CEA'!X241</f>
        <v>7.445203475</v>
      </c>
      <c r="Y4" s="67">
        <f>'Main CEA'!Y241</f>
        <v>1.470093695</v>
      </c>
      <c r="Z4" s="67">
        <f>'Main CEA'!Z241</f>
        <v>2.491823062</v>
      </c>
      <c r="AA4" s="67">
        <f>'Main CEA'!AA241</f>
        <v>0.9010486621</v>
      </c>
      <c r="AB4" s="67">
        <f>'Main CEA'!AB241</f>
        <v>1.689729482</v>
      </c>
      <c r="AC4" s="67">
        <f>'Main CEA'!AC241</f>
        <v>1.163916063</v>
      </c>
      <c r="AD4" s="67">
        <f>'Main CEA'!AD241</f>
        <v>0.9454095081</v>
      </c>
      <c r="AE4" s="67">
        <f>'Main CEA'!AE241</f>
        <v>1.452673546</v>
      </c>
      <c r="AF4" s="67">
        <f>'Main CEA'!AF241</f>
        <v>1.113372117</v>
      </c>
      <c r="AG4" s="67">
        <f>'Main CEA'!AG241</f>
        <v>2.326412741</v>
      </c>
      <c r="AH4" s="67">
        <f>'Main CEA'!AH241</f>
        <v>2.58552318</v>
      </c>
      <c r="AI4" s="67">
        <f>'Main CEA'!AI241</f>
        <v>1.057455961</v>
      </c>
      <c r="AJ4" s="67">
        <f>'Main CEA'!AJ241</f>
        <v>4.122478511</v>
      </c>
      <c r="AK4" s="67">
        <f>'Main CEA'!AK241</f>
        <v>8.328347179</v>
      </c>
      <c r="AL4" s="67">
        <f>'Main CEA'!AL241</f>
        <v>3.316423642</v>
      </c>
      <c r="AM4" s="67">
        <f>'Main CEA'!AM241</f>
        <v>2.891797582</v>
      </c>
      <c r="AN4" s="67">
        <f>'Main CEA'!AN241</f>
        <v>1.109345771</v>
      </c>
      <c r="AO4" s="67">
        <f>'Main CEA'!AO241</f>
        <v>1.997283971</v>
      </c>
      <c r="AP4" s="67">
        <f>'Main CEA'!AP241</f>
        <v>2.667363328</v>
      </c>
      <c r="AQ4" s="67">
        <f>'Main CEA'!AQ241</f>
        <v>1.639182556</v>
      </c>
      <c r="AR4" s="67">
        <f>'Main CEA'!AR241</f>
        <v>7.705572783</v>
      </c>
      <c r="AS4" s="67">
        <f>'Main CEA'!AS241</f>
        <v>6.722833091</v>
      </c>
      <c r="AT4" s="71"/>
    </row>
    <row r="5">
      <c r="A5" s="72" t="s">
        <v>147</v>
      </c>
      <c r="B5" s="14"/>
      <c r="C5" s="14"/>
      <c r="D5" s="14"/>
      <c r="E5" s="14"/>
      <c r="F5" s="14"/>
      <c r="G5" s="14"/>
      <c r="H5" s="73"/>
      <c r="I5" s="74"/>
      <c r="J5" s="74"/>
      <c r="K5" s="74"/>
      <c r="L5" s="74"/>
      <c r="M5" s="74"/>
      <c r="N5" s="74"/>
      <c r="O5" s="74"/>
      <c r="P5" s="97"/>
      <c r="Q5" s="97"/>
      <c r="R5" s="97"/>
      <c r="S5" s="74"/>
      <c r="T5" s="74"/>
      <c r="U5" s="74"/>
      <c r="V5" s="74"/>
      <c r="W5" s="74"/>
      <c r="X5" s="74"/>
      <c r="Y5" s="74"/>
      <c r="Z5" s="74"/>
      <c r="AA5" s="74"/>
      <c r="AB5" s="74"/>
      <c r="AC5" s="74"/>
      <c r="AD5" s="74"/>
      <c r="AE5" s="74"/>
      <c r="AF5" s="74"/>
      <c r="AG5" s="74"/>
      <c r="AH5" s="74"/>
      <c r="AI5" s="74"/>
      <c r="AJ5" s="97"/>
      <c r="AK5" s="97"/>
      <c r="AL5" s="97"/>
      <c r="AM5" s="97"/>
      <c r="AN5" s="97"/>
      <c r="AO5" s="97"/>
      <c r="AP5" s="97"/>
      <c r="AQ5" s="97"/>
      <c r="AR5" s="97"/>
      <c r="AS5" s="97"/>
      <c r="AT5" s="79"/>
    </row>
    <row r="6">
      <c r="A6" s="80"/>
      <c r="B6" s="81"/>
      <c r="C6" s="90"/>
      <c r="F6" s="83"/>
      <c r="G6" s="84"/>
      <c r="H6" s="85"/>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8"/>
    </row>
    <row r="7">
      <c r="A7" s="81"/>
      <c r="B7" s="81"/>
      <c r="C7" s="125" t="s">
        <v>147</v>
      </c>
      <c r="F7" s="83"/>
      <c r="G7" s="135"/>
      <c r="H7" s="85"/>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8"/>
    </row>
    <row r="8">
      <c r="A8" s="81"/>
      <c r="B8" s="81"/>
      <c r="C8" s="125"/>
      <c r="D8" s="125"/>
      <c r="E8" s="145" t="s">
        <v>157</v>
      </c>
      <c r="F8" s="151" t="str">
        <f>Inputs!F195</f>
        <v>%</v>
      </c>
      <c r="G8" s="154" t="str">
        <f>Inputs!G195</f>
        <v>input</v>
      </c>
      <c r="H8" s="156">
        <f>Inputs!H195</f>
        <v>0.63</v>
      </c>
      <c r="I8" s="157" t="str">
        <f>Inputs!I195</f>
        <v>-</v>
      </c>
      <c r="J8" s="157" t="str">
        <f>Inputs!J195</f>
        <v>-</v>
      </c>
      <c r="K8" s="157" t="str">
        <f>Inputs!K195</f>
        <v>-</v>
      </c>
      <c r="L8" s="157" t="str">
        <f>Inputs!L195</f>
        <v>-</v>
      </c>
      <c r="M8" s="157" t="str">
        <f>Inputs!M195</f>
        <v>-</v>
      </c>
      <c r="N8" s="157" t="str">
        <f>Inputs!N195</f>
        <v>-</v>
      </c>
      <c r="O8" s="157" t="str">
        <f>Inputs!O195</f>
        <v>-</v>
      </c>
      <c r="P8" s="157" t="str">
        <f>Inputs!P195</f>
        <v>-</v>
      </c>
      <c r="Q8" s="157" t="str">
        <f>Inputs!Q195</f>
        <v>-</v>
      </c>
      <c r="R8" s="157" t="str">
        <f>Inputs!R195</f>
        <v>-</v>
      </c>
      <c r="S8" s="157" t="str">
        <f>Inputs!S195</f>
        <v>-</v>
      </c>
      <c r="T8" s="157" t="str">
        <f>Inputs!T195</f>
        <v>-</v>
      </c>
      <c r="U8" s="157" t="str">
        <f>Inputs!U195</f>
        <v>-</v>
      </c>
      <c r="V8" s="157" t="str">
        <f>Inputs!V195</f>
        <v>-</v>
      </c>
      <c r="W8" s="157" t="str">
        <f>Inputs!W195</f>
        <v>-</v>
      </c>
      <c r="X8" s="157" t="str">
        <f>Inputs!X195</f>
        <v>-</v>
      </c>
      <c r="Y8" s="157" t="str">
        <f>Inputs!Y195</f>
        <v>-</v>
      </c>
      <c r="Z8" s="157" t="str">
        <f>Inputs!Z195</f>
        <v>-</v>
      </c>
      <c r="AA8" s="157" t="str">
        <f>Inputs!AA195</f>
        <v>-</v>
      </c>
      <c r="AB8" s="157" t="str">
        <f>Inputs!AB195</f>
        <v>-</v>
      </c>
      <c r="AC8" s="157" t="str">
        <f>Inputs!AC195</f>
        <v>-</v>
      </c>
      <c r="AD8" s="157" t="str">
        <f>Inputs!AD195</f>
        <v>-</v>
      </c>
      <c r="AE8" s="157" t="str">
        <f>Inputs!AE195</f>
        <v>-</v>
      </c>
      <c r="AF8" s="157" t="str">
        <f>Inputs!AF195</f>
        <v>-</v>
      </c>
      <c r="AG8" s="157" t="str">
        <f>Inputs!AG195</f>
        <v>-</v>
      </c>
      <c r="AH8" s="157" t="str">
        <f>Inputs!AH195</f>
        <v>-</v>
      </c>
      <c r="AI8" s="157" t="str">
        <f>Inputs!AI195</f>
        <v>-</v>
      </c>
      <c r="AJ8" s="157" t="str">
        <f>Inputs!AJ195</f>
        <v>-</v>
      </c>
      <c r="AK8" s="157" t="str">
        <f>Inputs!AK195</f>
        <v>-</v>
      </c>
      <c r="AL8" s="157" t="str">
        <f>Inputs!AL195</f>
        <v>-</v>
      </c>
      <c r="AM8" s="157" t="str">
        <f>Inputs!AM195</f>
        <v>-</v>
      </c>
      <c r="AN8" s="157" t="str">
        <f>Inputs!AN195</f>
        <v>-</v>
      </c>
      <c r="AO8" s="157" t="str">
        <f>Inputs!AO195</f>
        <v>-</v>
      </c>
      <c r="AP8" s="157" t="str">
        <f>Inputs!AP195</f>
        <v>-</v>
      </c>
      <c r="AQ8" s="157" t="str">
        <f>Inputs!AQ195</f>
        <v>-</v>
      </c>
      <c r="AR8" s="157" t="str">
        <f>Inputs!AR195</f>
        <v>-</v>
      </c>
      <c r="AS8" s="157" t="str">
        <f>Inputs!AS195</f>
        <v>-</v>
      </c>
      <c r="AT8" s="136"/>
    </row>
    <row r="9">
      <c r="A9" s="81"/>
      <c r="B9" s="81"/>
      <c r="C9" s="125"/>
      <c r="D9" s="125"/>
      <c r="E9" s="170" t="s">
        <v>167</v>
      </c>
      <c r="F9" s="172" t="str">
        <f>Inputs!F196</f>
        <v>%</v>
      </c>
      <c r="G9" s="175" t="str">
        <f>Inputs!G196</f>
        <v>input</v>
      </c>
      <c r="H9" s="176">
        <f>Inputs!H196</f>
        <v>0.5419</v>
      </c>
      <c r="I9" s="179" t="str">
        <f>Inputs!I196</f>
        <v>-</v>
      </c>
      <c r="J9" s="179" t="str">
        <f>Inputs!J196</f>
        <v>-</v>
      </c>
      <c r="K9" s="179" t="str">
        <f>Inputs!K196</f>
        <v>-</v>
      </c>
      <c r="L9" s="179" t="str">
        <f>Inputs!L196</f>
        <v>-</v>
      </c>
      <c r="M9" s="179" t="str">
        <f>Inputs!M196</f>
        <v>-</v>
      </c>
      <c r="N9" s="179" t="str">
        <f>Inputs!N196</f>
        <v>-</v>
      </c>
      <c r="O9" s="179" t="str">
        <f>Inputs!O196</f>
        <v>-</v>
      </c>
      <c r="P9" s="179" t="str">
        <f>Inputs!P196</f>
        <v>-</v>
      </c>
      <c r="Q9" s="179" t="str">
        <f>Inputs!Q196</f>
        <v>-</v>
      </c>
      <c r="R9" s="179" t="str">
        <f>Inputs!R196</f>
        <v>-</v>
      </c>
      <c r="S9" s="179" t="str">
        <f>Inputs!S196</f>
        <v>-</v>
      </c>
      <c r="T9" s="179" t="str">
        <f>Inputs!T196</f>
        <v>-</v>
      </c>
      <c r="U9" s="179" t="str">
        <f>Inputs!U196</f>
        <v>-</v>
      </c>
      <c r="V9" s="179" t="str">
        <f>Inputs!V196</f>
        <v>-</v>
      </c>
      <c r="W9" s="179" t="str">
        <f>Inputs!W196</f>
        <v>-</v>
      </c>
      <c r="X9" s="179" t="str">
        <f>Inputs!X196</f>
        <v>-</v>
      </c>
      <c r="Y9" s="179" t="str">
        <f>Inputs!Y196</f>
        <v>-</v>
      </c>
      <c r="Z9" s="179" t="str">
        <f>Inputs!Z196</f>
        <v>-</v>
      </c>
      <c r="AA9" s="179" t="str">
        <f>Inputs!AA196</f>
        <v>-</v>
      </c>
      <c r="AB9" s="179" t="str">
        <f>Inputs!AB196</f>
        <v>-</v>
      </c>
      <c r="AC9" s="179" t="str">
        <f>Inputs!AC196</f>
        <v>-</v>
      </c>
      <c r="AD9" s="179" t="str">
        <f>Inputs!AD196</f>
        <v>-</v>
      </c>
      <c r="AE9" s="179" t="str">
        <f>Inputs!AE196</f>
        <v>-</v>
      </c>
      <c r="AF9" s="179" t="str">
        <f>Inputs!AF196</f>
        <v>-</v>
      </c>
      <c r="AG9" s="179" t="str">
        <f>Inputs!AG196</f>
        <v>-</v>
      </c>
      <c r="AH9" s="179" t="str">
        <f>Inputs!AH196</f>
        <v>-</v>
      </c>
      <c r="AI9" s="179" t="str">
        <f>Inputs!AI196</f>
        <v>-</v>
      </c>
      <c r="AJ9" s="179" t="str">
        <f>Inputs!AJ196</f>
        <v>-</v>
      </c>
      <c r="AK9" s="179" t="str">
        <f>Inputs!AK196</f>
        <v>-</v>
      </c>
      <c r="AL9" s="179" t="str">
        <f>Inputs!AL196</f>
        <v>-</v>
      </c>
      <c r="AM9" s="179" t="str">
        <f>Inputs!AM196</f>
        <v>-</v>
      </c>
      <c r="AN9" s="179" t="str">
        <f>Inputs!AN196</f>
        <v>-</v>
      </c>
      <c r="AO9" s="179" t="str">
        <f>Inputs!AO196</f>
        <v>-</v>
      </c>
      <c r="AP9" s="179" t="str">
        <f>Inputs!AP196</f>
        <v>-</v>
      </c>
      <c r="AQ9" s="179" t="str">
        <f>Inputs!AQ196</f>
        <v>-</v>
      </c>
      <c r="AR9" s="179" t="str">
        <f>Inputs!AR196</f>
        <v>-</v>
      </c>
      <c r="AS9" s="179" t="str">
        <f>Inputs!AS196</f>
        <v>-</v>
      </c>
      <c r="AT9" s="163"/>
    </row>
    <row r="10">
      <c r="A10" s="81"/>
      <c r="B10" s="81"/>
      <c r="C10" s="125"/>
      <c r="D10" s="125"/>
      <c r="E10" s="170" t="s">
        <v>173</v>
      </c>
      <c r="F10" s="172" t="str">
        <f>Inputs!F197</f>
        <v>%</v>
      </c>
      <c r="G10" s="175" t="str">
        <f>Inputs!G197</f>
        <v>input</v>
      </c>
      <c r="H10" s="176">
        <f>Inputs!H197</f>
        <v>0.3961</v>
      </c>
      <c r="I10" s="179" t="str">
        <f>Inputs!I197</f>
        <v>-</v>
      </c>
      <c r="J10" s="179" t="str">
        <f>Inputs!J197</f>
        <v>-</v>
      </c>
      <c r="K10" s="179" t="str">
        <f>Inputs!K197</f>
        <v>-</v>
      </c>
      <c r="L10" s="179" t="str">
        <f>Inputs!L197</f>
        <v>-</v>
      </c>
      <c r="M10" s="179" t="str">
        <f>Inputs!M197</f>
        <v>-</v>
      </c>
      <c r="N10" s="179" t="str">
        <f>Inputs!N197</f>
        <v>-</v>
      </c>
      <c r="O10" s="179" t="str">
        <f>Inputs!O197</f>
        <v>-</v>
      </c>
      <c r="P10" s="179" t="str">
        <f>Inputs!P197</f>
        <v>-</v>
      </c>
      <c r="Q10" s="179" t="str">
        <f>Inputs!Q197</f>
        <v>-</v>
      </c>
      <c r="R10" s="179" t="str">
        <f>Inputs!R197</f>
        <v>-</v>
      </c>
      <c r="S10" s="179" t="str">
        <f>Inputs!S197</f>
        <v>-</v>
      </c>
      <c r="T10" s="179" t="str">
        <f>Inputs!T197</f>
        <v>-</v>
      </c>
      <c r="U10" s="179" t="str">
        <f>Inputs!U197</f>
        <v>-</v>
      </c>
      <c r="V10" s="179" t="str">
        <f>Inputs!V197</f>
        <v>-</v>
      </c>
      <c r="W10" s="179" t="str">
        <f>Inputs!W197</f>
        <v>-</v>
      </c>
      <c r="X10" s="179" t="str">
        <f>Inputs!X197</f>
        <v>-</v>
      </c>
      <c r="Y10" s="179" t="str">
        <f>Inputs!Y197</f>
        <v>-</v>
      </c>
      <c r="Z10" s="179" t="str">
        <f>Inputs!Z197</f>
        <v>-</v>
      </c>
      <c r="AA10" s="179" t="str">
        <f>Inputs!AA197</f>
        <v>-</v>
      </c>
      <c r="AB10" s="179" t="str">
        <f>Inputs!AB197</f>
        <v>-</v>
      </c>
      <c r="AC10" s="179" t="str">
        <f>Inputs!AC197</f>
        <v>-</v>
      </c>
      <c r="AD10" s="179" t="str">
        <f>Inputs!AD197</f>
        <v>-</v>
      </c>
      <c r="AE10" s="179" t="str">
        <f>Inputs!AE197</f>
        <v>-</v>
      </c>
      <c r="AF10" s="179" t="str">
        <f>Inputs!AF197</f>
        <v>-</v>
      </c>
      <c r="AG10" s="179" t="str">
        <f>Inputs!AG197</f>
        <v>-</v>
      </c>
      <c r="AH10" s="179" t="str">
        <f>Inputs!AH197</f>
        <v>-</v>
      </c>
      <c r="AI10" s="179" t="str">
        <f>Inputs!AI197</f>
        <v>-</v>
      </c>
      <c r="AJ10" s="179" t="str">
        <f>Inputs!AJ197</f>
        <v>-</v>
      </c>
      <c r="AK10" s="179" t="str">
        <f>Inputs!AK197</f>
        <v>-</v>
      </c>
      <c r="AL10" s="179" t="str">
        <f>Inputs!AL197</f>
        <v>-</v>
      </c>
      <c r="AM10" s="179" t="str">
        <f>Inputs!AM197</f>
        <v>-</v>
      </c>
      <c r="AN10" s="179" t="str">
        <f>Inputs!AN197</f>
        <v>-</v>
      </c>
      <c r="AO10" s="179" t="str">
        <f>Inputs!AO197</f>
        <v>-</v>
      </c>
      <c r="AP10" s="179" t="str">
        <f>Inputs!AP197</f>
        <v>-</v>
      </c>
      <c r="AQ10" s="179" t="str">
        <f>Inputs!AQ197</f>
        <v>-</v>
      </c>
      <c r="AR10" s="179" t="str">
        <f>Inputs!AR197</f>
        <v>-</v>
      </c>
      <c r="AS10" s="179" t="str">
        <f>Inputs!AS197</f>
        <v>-</v>
      </c>
      <c r="AT10" s="163"/>
    </row>
    <row r="11">
      <c r="A11" s="81"/>
      <c r="B11" s="81"/>
      <c r="C11" s="125"/>
      <c r="D11" s="125"/>
      <c r="E11" s="170" t="s">
        <v>176</v>
      </c>
      <c r="F11" s="172" t="str">
        <f>Inputs!F198</f>
        <v>%</v>
      </c>
      <c r="G11" s="175" t="str">
        <f>Inputs!G198</f>
        <v>input</v>
      </c>
      <c r="H11" s="176">
        <f>Inputs!H198</f>
        <v>0.2978</v>
      </c>
      <c r="I11" s="179" t="str">
        <f>Inputs!I198</f>
        <v>-</v>
      </c>
      <c r="J11" s="179" t="str">
        <f>Inputs!J198</f>
        <v>-</v>
      </c>
      <c r="K11" s="179" t="str">
        <f>Inputs!K198</f>
        <v>-</v>
      </c>
      <c r="L11" s="179" t="str">
        <f>Inputs!L198</f>
        <v>-</v>
      </c>
      <c r="M11" s="179" t="str">
        <f>Inputs!M198</f>
        <v>-</v>
      </c>
      <c r="N11" s="179" t="str">
        <f>Inputs!N198</f>
        <v>-</v>
      </c>
      <c r="O11" s="179" t="str">
        <f>Inputs!O198</f>
        <v>-</v>
      </c>
      <c r="P11" s="179" t="str">
        <f>Inputs!P198</f>
        <v>-</v>
      </c>
      <c r="Q11" s="179" t="str">
        <f>Inputs!Q198</f>
        <v>-</v>
      </c>
      <c r="R11" s="179" t="str">
        <f>Inputs!R198</f>
        <v>-</v>
      </c>
      <c r="S11" s="179" t="str">
        <f>Inputs!S198</f>
        <v>-</v>
      </c>
      <c r="T11" s="179" t="str">
        <f>Inputs!T198</f>
        <v>-</v>
      </c>
      <c r="U11" s="179" t="str">
        <f>Inputs!U198</f>
        <v>-</v>
      </c>
      <c r="V11" s="179" t="str">
        <f>Inputs!V198</f>
        <v>-</v>
      </c>
      <c r="W11" s="179" t="str">
        <f>Inputs!W198</f>
        <v>-</v>
      </c>
      <c r="X11" s="179" t="str">
        <f>Inputs!X198</f>
        <v>-</v>
      </c>
      <c r="Y11" s="179" t="str">
        <f>Inputs!Y198</f>
        <v>-</v>
      </c>
      <c r="Z11" s="179" t="str">
        <f>Inputs!Z198</f>
        <v>-</v>
      </c>
      <c r="AA11" s="179" t="str">
        <f>Inputs!AA198</f>
        <v>-</v>
      </c>
      <c r="AB11" s="179" t="str">
        <f>Inputs!AB198</f>
        <v>-</v>
      </c>
      <c r="AC11" s="179" t="str">
        <f>Inputs!AC198</f>
        <v>-</v>
      </c>
      <c r="AD11" s="179" t="str">
        <f>Inputs!AD198</f>
        <v>-</v>
      </c>
      <c r="AE11" s="179" t="str">
        <f>Inputs!AE198</f>
        <v>-</v>
      </c>
      <c r="AF11" s="179" t="str">
        <f>Inputs!AF198</f>
        <v>-</v>
      </c>
      <c r="AG11" s="179" t="str">
        <f>Inputs!AG198</f>
        <v>-</v>
      </c>
      <c r="AH11" s="179" t="str">
        <f>Inputs!AH198</f>
        <v>-</v>
      </c>
      <c r="AI11" s="179" t="str">
        <f>Inputs!AI198</f>
        <v>-</v>
      </c>
      <c r="AJ11" s="179" t="str">
        <f>Inputs!AJ198</f>
        <v>-</v>
      </c>
      <c r="AK11" s="179" t="str">
        <f>Inputs!AK198</f>
        <v>-</v>
      </c>
      <c r="AL11" s="179" t="str">
        <f>Inputs!AL198</f>
        <v>-</v>
      </c>
      <c r="AM11" s="179" t="str">
        <f>Inputs!AM198</f>
        <v>-</v>
      </c>
      <c r="AN11" s="179" t="str">
        <f>Inputs!AN198</f>
        <v>-</v>
      </c>
      <c r="AO11" s="179" t="str">
        <f>Inputs!AO198</f>
        <v>-</v>
      </c>
      <c r="AP11" s="179" t="str">
        <f>Inputs!AP198</f>
        <v>-</v>
      </c>
      <c r="AQ11" s="179" t="str">
        <f>Inputs!AQ198</f>
        <v>-</v>
      </c>
      <c r="AR11" s="179" t="str">
        <f>Inputs!AR198</f>
        <v>-</v>
      </c>
      <c r="AS11" s="179" t="str">
        <f>Inputs!AS198</f>
        <v>-</v>
      </c>
      <c r="AT11" s="163"/>
    </row>
    <row r="12">
      <c r="A12" s="81"/>
      <c r="B12" s="81"/>
      <c r="C12" s="125"/>
      <c r="D12" s="125"/>
      <c r="E12" s="170" t="s">
        <v>183</v>
      </c>
      <c r="F12" s="172" t="str">
        <f>Inputs!F199</f>
        <v>%</v>
      </c>
      <c r="G12" s="175" t="str">
        <f>Inputs!G199</f>
        <v>input</v>
      </c>
      <c r="H12" s="176">
        <f>Inputs!H199</f>
        <v>0.4954</v>
      </c>
      <c r="I12" s="179" t="str">
        <f>Inputs!I199</f>
        <v>-</v>
      </c>
      <c r="J12" s="179" t="str">
        <f>Inputs!J199</f>
        <v>-</v>
      </c>
      <c r="K12" s="179" t="str">
        <f>Inputs!K199</f>
        <v>-</v>
      </c>
      <c r="L12" s="179" t="str">
        <f>Inputs!L199</f>
        <v>-</v>
      </c>
      <c r="M12" s="179" t="str">
        <f>Inputs!M199</f>
        <v>-</v>
      </c>
      <c r="N12" s="179" t="str">
        <f>Inputs!N199</f>
        <v>-</v>
      </c>
      <c r="O12" s="179" t="str">
        <f>Inputs!O199</f>
        <v>-</v>
      </c>
      <c r="P12" s="179" t="str">
        <f>Inputs!P199</f>
        <v>-</v>
      </c>
      <c r="Q12" s="179" t="str">
        <f>Inputs!Q199</f>
        <v>-</v>
      </c>
      <c r="R12" s="179" t="str">
        <f>Inputs!R199</f>
        <v>-</v>
      </c>
      <c r="S12" s="179" t="str">
        <f>Inputs!S199</f>
        <v>-</v>
      </c>
      <c r="T12" s="179" t="str">
        <f>Inputs!T199</f>
        <v>-</v>
      </c>
      <c r="U12" s="179" t="str">
        <f>Inputs!U199</f>
        <v>-</v>
      </c>
      <c r="V12" s="179" t="str">
        <f>Inputs!V199</f>
        <v>-</v>
      </c>
      <c r="W12" s="179" t="str">
        <f>Inputs!W199</f>
        <v>-</v>
      </c>
      <c r="X12" s="179" t="str">
        <f>Inputs!X199</f>
        <v>-</v>
      </c>
      <c r="Y12" s="179" t="str">
        <f>Inputs!Y199</f>
        <v>-</v>
      </c>
      <c r="Z12" s="179" t="str">
        <f>Inputs!Z199</f>
        <v>-</v>
      </c>
      <c r="AA12" s="179" t="str">
        <f>Inputs!AA199</f>
        <v>-</v>
      </c>
      <c r="AB12" s="179" t="str">
        <f>Inputs!AB199</f>
        <v>-</v>
      </c>
      <c r="AC12" s="179" t="str">
        <f>Inputs!AC199</f>
        <v>-</v>
      </c>
      <c r="AD12" s="179" t="str">
        <f>Inputs!AD199</f>
        <v>-</v>
      </c>
      <c r="AE12" s="179" t="str">
        <f>Inputs!AE199</f>
        <v>-</v>
      </c>
      <c r="AF12" s="179" t="str">
        <f>Inputs!AF199</f>
        <v>-</v>
      </c>
      <c r="AG12" s="179" t="str">
        <f>Inputs!AG199</f>
        <v>-</v>
      </c>
      <c r="AH12" s="179" t="str">
        <f>Inputs!AH199</f>
        <v>-</v>
      </c>
      <c r="AI12" s="179" t="str">
        <f>Inputs!AI199</f>
        <v>-</v>
      </c>
      <c r="AJ12" s="179" t="str">
        <f>Inputs!AJ199</f>
        <v>-</v>
      </c>
      <c r="AK12" s="179" t="str">
        <f>Inputs!AK199</f>
        <v>-</v>
      </c>
      <c r="AL12" s="179" t="str">
        <f>Inputs!AL199</f>
        <v>-</v>
      </c>
      <c r="AM12" s="179" t="str">
        <f>Inputs!AM199</f>
        <v>-</v>
      </c>
      <c r="AN12" s="179" t="str">
        <f>Inputs!AN199</f>
        <v>-</v>
      </c>
      <c r="AO12" s="179" t="str">
        <f>Inputs!AO199</f>
        <v>-</v>
      </c>
      <c r="AP12" s="179" t="str">
        <f>Inputs!AP199</f>
        <v>-</v>
      </c>
      <c r="AQ12" s="179" t="str">
        <f>Inputs!AQ199</f>
        <v>-</v>
      </c>
      <c r="AR12" s="179" t="str">
        <f>Inputs!AR199</f>
        <v>-</v>
      </c>
      <c r="AS12" s="179" t="str">
        <f>Inputs!AS199</f>
        <v>-</v>
      </c>
      <c r="AT12" s="163"/>
    </row>
    <row r="13">
      <c r="A13" s="81"/>
      <c r="B13" s="81"/>
      <c r="C13" s="125"/>
      <c r="D13" s="125"/>
      <c r="E13" s="170" t="s">
        <v>187</v>
      </c>
      <c r="F13" s="172" t="str">
        <f>Inputs!F200</f>
        <v>%</v>
      </c>
      <c r="G13" s="175" t="str">
        <f>Inputs!G200</f>
        <v>input</v>
      </c>
      <c r="H13" s="176">
        <f>Inputs!H200</f>
        <v>0.3554</v>
      </c>
      <c r="I13" s="179" t="str">
        <f>Inputs!I200</f>
        <v>-</v>
      </c>
      <c r="J13" s="179" t="str">
        <f>Inputs!J200</f>
        <v>-</v>
      </c>
      <c r="K13" s="179" t="str">
        <f>Inputs!K200</f>
        <v>-</v>
      </c>
      <c r="L13" s="179" t="str">
        <f>Inputs!L200</f>
        <v>-</v>
      </c>
      <c r="M13" s="179" t="str">
        <f>Inputs!M200</f>
        <v>-</v>
      </c>
      <c r="N13" s="179" t="str">
        <f>Inputs!N200</f>
        <v>-</v>
      </c>
      <c r="O13" s="179" t="str">
        <f>Inputs!O200</f>
        <v>-</v>
      </c>
      <c r="P13" s="179" t="str">
        <f>Inputs!P200</f>
        <v>-</v>
      </c>
      <c r="Q13" s="179" t="str">
        <f>Inputs!Q200</f>
        <v>-</v>
      </c>
      <c r="R13" s="179" t="str">
        <f>Inputs!R200</f>
        <v>-</v>
      </c>
      <c r="S13" s="179" t="str">
        <f>Inputs!S200</f>
        <v>-</v>
      </c>
      <c r="T13" s="179" t="str">
        <f>Inputs!T200</f>
        <v>-</v>
      </c>
      <c r="U13" s="179" t="str">
        <f>Inputs!U200</f>
        <v>-</v>
      </c>
      <c r="V13" s="179" t="str">
        <f>Inputs!V200</f>
        <v>-</v>
      </c>
      <c r="W13" s="179" t="str">
        <f>Inputs!W200</f>
        <v>-</v>
      </c>
      <c r="X13" s="179" t="str">
        <f>Inputs!X200</f>
        <v>-</v>
      </c>
      <c r="Y13" s="179" t="str">
        <f>Inputs!Y200</f>
        <v>-</v>
      </c>
      <c r="Z13" s="179" t="str">
        <f>Inputs!Z200</f>
        <v>-</v>
      </c>
      <c r="AA13" s="179" t="str">
        <f>Inputs!AA200</f>
        <v>-</v>
      </c>
      <c r="AB13" s="179" t="str">
        <f>Inputs!AB200</f>
        <v>-</v>
      </c>
      <c r="AC13" s="179" t="str">
        <f>Inputs!AC200</f>
        <v>-</v>
      </c>
      <c r="AD13" s="179" t="str">
        <f>Inputs!AD200</f>
        <v>-</v>
      </c>
      <c r="AE13" s="179" t="str">
        <f>Inputs!AE200</f>
        <v>-</v>
      </c>
      <c r="AF13" s="179" t="str">
        <f>Inputs!AF200</f>
        <v>-</v>
      </c>
      <c r="AG13" s="179" t="str">
        <f>Inputs!AG200</f>
        <v>-</v>
      </c>
      <c r="AH13" s="179" t="str">
        <f>Inputs!AH200</f>
        <v>-</v>
      </c>
      <c r="AI13" s="179" t="str">
        <f>Inputs!AI200</f>
        <v>-</v>
      </c>
      <c r="AJ13" s="179" t="str">
        <f>Inputs!AJ200</f>
        <v>-</v>
      </c>
      <c r="AK13" s="179" t="str">
        <f>Inputs!AK200</f>
        <v>-</v>
      </c>
      <c r="AL13" s="179" t="str">
        <f>Inputs!AL200</f>
        <v>-</v>
      </c>
      <c r="AM13" s="179" t="str">
        <f>Inputs!AM200</f>
        <v>-</v>
      </c>
      <c r="AN13" s="179" t="str">
        <f>Inputs!AN200</f>
        <v>-</v>
      </c>
      <c r="AO13" s="179" t="str">
        <f>Inputs!AO200</f>
        <v>-</v>
      </c>
      <c r="AP13" s="179" t="str">
        <f>Inputs!AP200</f>
        <v>-</v>
      </c>
      <c r="AQ13" s="179" t="str">
        <f>Inputs!AQ200</f>
        <v>-</v>
      </c>
      <c r="AR13" s="179" t="str">
        <f>Inputs!AR200</f>
        <v>-</v>
      </c>
      <c r="AS13" s="179" t="str">
        <f>Inputs!AS200</f>
        <v>-</v>
      </c>
      <c r="AT13" s="163"/>
    </row>
    <row r="14">
      <c r="A14" s="81"/>
      <c r="B14" s="81"/>
      <c r="C14" s="125"/>
      <c r="D14" s="125"/>
      <c r="E14" s="170" t="s">
        <v>192</v>
      </c>
      <c r="F14" s="172" t="str">
        <f>Inputs!F201</f>
        <v>%</v>
      </c>
      <c r="G14" s="175" t="str">
        <f>Inputs!G201</f>
        <v>input</v>
      </c>
      <c r="H14" s="176">
        <f>Inputs!H201</f>
        <v>0.266</v>
      </c>
      <c r="I14" s="179" t="str">
        <f>Inputs!I201</f>
        <v>-</v>
      </c>
      <c r="J14" s="179" t="str">
        <f>Inputs!J201</f>
        <v>-</v>
      </c>
      <c r="K14" s="179" t="str">
        <f>Inputs!K201</f>
        <v>-</v>
      </c>
      <c r="L14" s="179" t="str">
        <f>Inputs!L201</f>
        <v>-</v>
      </c>
      <c r="M14" s="179" t="str">
        <f>Inputs!M201</f>
        <v>-</v>
      </c>
      <c r="N14" s="179" t="str">
        <f>Inputs!N201</f>
        <v>-</v>
      </c>
      <c r="O14" s="179" t="str">
        <f>Inputs!O201</f>
        <v>-</v>
      </c>
      <c r="P14" s="179" t="str">
        <f>Inputs!P201</f>
        <v>-</v>
      </c>
      <c r="Q14" s="179" t="str">
        <f>Inputs!Q201</f>
        <v>-</v>
      </c>
      <c r="R14" s="179" t="str">
        <f>Inputs!R201</f>
        <v>-</v>
      </c>
      <c r="S14" s="179" t="str">
        <f>Inputs!S201</f>
        <v>-</v>
      </c>
      <c r="T14" s="179" t="str">
        <f>Inputs!T201</f>
        <v>-</v>
      </c>
      <c r="U14" s="179" t="str">
        <f>Inputs!U201</f>
        <v>-</v>
      </c>
      <c r="V14" s="179" t="str">
        <f>Inputs!V201</f>
        <v>-</v>
      </c>
      <c r="W14" s="179" t="str">
        <f>Inputs!W201</f>
        <v>-</v>
      </c>
      <c r="X14" s="179" t="str">
        <f>Inputs!X201</f>
        <v>-</v>
      </c>
      <c r="Y14" s="179" t="str">
        <f>Inputs!Y201</f>
        <v>-</v>
      </c>
      <c r="Z14" s="179" t="str">
        <f>Inputs!Z201</f>
        <v>-</v>
      </c>
      <c r="AA14" s="179" t="str">
        <f>Inputs!AA201</f>
        <v>-</v>
      </c>
      <c r="AB14" s="179" t="str">
        <f>Inputs!AB201</f>
        <v>-</v>
      </c>
      <c r="AC14" s="179" t="str">
        <f>Inputs!AC201</f>
        <v>-</v>
      </c>
      <c r="AD14" s="179" t="str">
        <f>Inputs!AD201</f>
        <v>-</v>
      </c>
      <c r="AE14" s="179" t="str">
        <f>Inputs!AE201</f>
        <v>-</v>
      </c>
      <c r="AF14" s="179" t="str">
        <f>Inputs!AF201</f>
        <v>-</v>
      </c>
      <c r="AG14" s="179" t="str">
        <f>Inputs!AG201</f>
        <v>-</v>
      </c>
      <c r="AH14" s="179" t="str">
        <f>Inputs!AH201</f>
        <v>-</v>
      </c>
      <c r="AI14" s="179" t="str">
        <f>Inputs!AI201</f>
        <v>-</v>
      </c>
      <c r="AJ14" s="179" t="str">
        <f>Inputs!AJ201</f>
        <v>-</v>
      </c>
      <c r="AK14" s="179" t="str">
        <f>Inputs!AK201</f>
        <v>-</v>
      </c>
      <c r="AL14" s="179" t="str">
        <f>Inputs!AL201</f>
        <v>-</v>
      </c>
      <c r="AM14" s="179" t="str">
        <f>Inputs!AM201</f>
        <v>-</v>
      </c>
      <c r="AN14" s="179" t="str">
        <f>Inputs!AN201</f>
        <v>-</v>
      </c>
      <c r="AO14" s="179" t="str">
        <f>Inputs!AO201</f>
        <v>-</v>
      </c>
      <c r="AP14" s="179" t="str">
        <f>Inputs!AP201</f>
        <v>-</v>
      </c>
      <c r="AQ14" s="179" t="str">
        <f>Inputs!AQ201</f>
        <v>-</v>
      </c>
      <c r="AR14" s="179" t="str">
        <f>Inputs!AR201</f>
        <v>-</v>
      </c>
      <c r="AS14" s="179" t="str">
        <f>Inputs!AS201</f>
        <v>-</v>
      </c>
      <c r="AT14" s="163"/>
    </row>
    <row r="15">
      <c r="A15" s="81"/>
      <c r="B15" s="81"/>
      <c r="C15" s="125"/>
      <c r="D15" s="125"/>
      <c r="E15" s="230" t="s">
        <v>196</v>
      </c>
      <c r="F15" s="231" t="str">
        <f>Inputs!F202</f>
        <v>%</v>
      </c>
      <c r="G15" s="233" t="str">
        <f>Inputs!G202</f>
        <v>input</v>
      </c>
      <c r="H15" s="234">
        <f>Inputs!H202</f>
        <v>0.5894</v>
      </c>
      <c r="I15" s="235" t="str">
        <f>Inputs!I202</f>
        <v>-</v>
      </c>
      <c r="J15" s="235" t="str">
        <f>Inputs!J202</f>
        <v>-</v>
      </c>
      <c r="K15" s="235" t="str">
        <f>Inputs!K202</f>
        <v>-</v>
      </c>
      <c r="L15" s="235" t="str">
        <f>Inputs!L202</f>
        <v>-</v>
      </c>
      <c r="M15" s="235" t="str">
        <f>Inputs!M202</f>
        <v>-</v>
      </c>
      <c r="N15" s="235" t="str">
        <f>Inputs!N202</f>
        <v>-</v>
      </c>
      <c r="O15" s="235" t="str">
        <f>Inputs!O202</f>
        <v>-</v>
      </c>
      <c r="P15" s="235" t="str">
        <f>Inputs!P202</f>
        <v>-</v>
      </c>
      <c r="Q15" s="235" t="str">
        <f>Inputs!Q202</f>
        <v>-</v>
      </c>
      <c r="R15" s="235" t="str">
        <f>Inputs!R202</f>
        <v>-</v>
      </c>
      <c r="S15" s="235" t="str">
        <f>Inputs!S202</f>
        <v>-</v>
      </c>
      <c r="T15" s="235" t="str">
        <f>Inputs!T202</f>
        <v>-</v>
      </c>
      <c r="U15" s="235" t="str">
        <f>Inputs!U202</f>
        <v>-</v>
      </c>
      <c r="V15" s="235" t="str">
        <f>Inputs!V202</f>
        <v>-</v>
      </c>
      <c r="W15" s="235" t="str">
        <f>Inputs!W202</f>
        <v>-</v>
      </c>
      <c r="X15" s="235" t="str">
        <f>Inputs!X202</f>
        <v>-</v>
      </c>
      <c r="Y15" s="235" t="str">
        <f>Inputs!Y202</f>
        <v>-</v>
      </c>
      <c r="Z15" s="235" t="str">
        <f>Inputs!Z202</f>
        <v>-</v>
      </c>
      <c r="AA15" s="235" t="str">
        <f>Inputs!AA202</f>
        <v>-</v>
      </c>
      <c r="AB15" s="235" t="str">
        <f>Inputs!AB202</f>
        <v>-</v>
      </c>
      <c r="AC15" s="235" t="str">
        <f>Inputs!AC202</f>
        <v>-</v>
      </c>
      <c r="AD15" s="235" t="str">
        <f>Inputs!AD202</f>
        <v>-</v>
      </c>
      <c r="AE15" s="235" t="str">
        <f>Inputs!AE202</f>
        <v>-</v>
      </c>
      <c r="AF15" s="235" t="str">
        <f>Inputs!AF202</f>
        <v>-</v>
      </c>
      <c r="AG15" s="235" t="str">
        <f>Inputs!AG202</f>
        <v>-</v>
      </c>
      <c r="AH15" s="235" t="str">
        <f>Inputs!AH202</f>
        <v>-</v>
      </c>
      <c r="AI15" s="235" t="str">
        <f>Inputs!AI202</f>
        <v>-</v>
      </c>
      <c r="AJ15" s="235" t="str">
        <f>Inputs!AJ202</f>
        <v>-</v>
      </c>
      <c r="AK15" s="235" t="str">
        <f>Inputs!AK202</f>
        <v>-</v>
      </c>
      <c r="AL15" s="235" t="str">
        <f>Inputs!AL202</f>
        <v>-</v>
      </c>
      <c r="AM15" s="235" t="str">
        <f>Inputs!AM202</f>
        <v>-</v>
      </c>
      <c r="AN15" s="235" t="str">
        <f>Inputs!AN202</f>
        <v>-</v>
      </c>
      <c r="AO15" s="235" t="str">
        <f>Inputs!AO202</f>
        <v>-</v>
      </c>
      <c r="AP15" s="235" t="str">
        <f>Inputs!AP202</f>
        <v>-</v>
      </c>
      <c r="AQ15" s="235" t="str">
        <f>Inputs!AQ202</f>
        <v>-</v>
      </c>
      <c r="AR15" s="235" t="str">
        <f>Inputs!AR202</f>
        <v>-</v>
      </c>
      <c r="AS15" s="235" t="str">
        <f>Inputs!AS202</f>
        <v>-</v>
      </c>
      <c r="AT15" s="248"/>
    </row>
    <row r="16">
      <c r="A16" s="81"/>
      <c r="B16" s="81"/>
      <c r="C16" s="125"/>
      <c r="D16" s="125"/>
      <c r="E16" s="249"/>
      <c r="F16" s="83"/>
      <c r="G16" s="135"/>
      <c r="H16" s="85"/>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8"/>
    </row>
    <row r="17">
      <c r="A17" s="81"/>
      <c r="B17" s="81"/>
      <c r="C17" s="125" t="s">
        <v>206</v>
      </c>
      <c r="F17" s="83"/>
      <c r="G17" s="135"/>
      <c r="H17" s="85"/>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8"/>
    </row>
    <row r="18">
      <c r="A18" s="81"/>
      <c r="B18" s="81"/>
      <c r="C18" s="125"/>
      <c r="D18" s="125"/>
      <c r="E18" s="250" t="s">
        <v>207</v>
      </c>
      <c r="F18" s="251" t="str">
        <f>Inputs!F205</f>
        <v>%</v>
      </c>
      <c r="G18" s="252" t="str">
        <f>Inputs!G205</f>
        <v>input</v>
      </c>
      <c r="H18" s="254">
        <f>Inputs!H205</f>
        <v>-0.2768959</v>
      </c>
      <c r="I18" s="255" t="str">
        <f>Inputs!I205</f>
        <v>-</v>
      </c>
      <c r="J18" s="255" t="str">
        <f>Inputs!J205</f>
        <v>-</v>
      </c>
      <c r="K18" s="255" t="str">
        <f>Inputs!K205</f>
        <v>-</v>
      </c>
      <c r="L18" s="255" t="str">
        <f>Inputs!L205</f>
        <v>-</v>
      </c>
      <c r="M18" s="255" t="str">
        <f>Inputs!M205</f>
        <v>-</v>
      </c>
      <c r="N18" s="255" t="str">
        <f>Inputs!N205</f>
        <v>-</v>
      </c>
      <c r="O18" s="255" t="str">
        <f>Inputs!O205</f>
        <v>-</v>
      </c>
      <c r="P18" s="255" t="str">
        <f>Inputs!P205</f>
        <v>-</v>
      </c>
      <c r="Q18" s="255" t="str">
        <f>Inputs!Q205</f>
        <v>-</v>
      </c>
      <c r="R18" s="255" t="str">
        <f>Inputs!R205</f>
        <v>-</v>
      </c>
      <c r="S18" s="255" t="str">
        <f>Inputs!S205</f>
        <v>-</v>
      </c>
      <c r="T18" s="255" t="str">
        <f>Inputs!T205</f>
        <v>-</v>
      </c>
      <c r="U18" s="255" t="str">
        <f>Inputs!U205</f>
        <v>-</v>
      </c>
      <c r="V18" s="255" t="str">
        <f>Inputs!V205</f>
        <v>-</v>
      </c>
      <c r="W18" s="255" t="str">
        <f>Inputs!W205</f>
        <v>-</v>
      </c>
      <c r="X18" s="255" t="str">
        <f>Inputs!X205</f>
        <v>-</v>
      </c>
      <c r="Y18" s="255" t="str">
        <f>Inputs!Y205</f>
        <v>-</v>
      </c>
      <c r="Z18" s="255" t="str">
        <f>Inputs!Z205</f>
        <v>-</v>
      </c>
      <c r="AA18" s="255" t="str">
        <f>Inputs!AA205</f>
        <v>-</v>
      </c>
      <c r="AB18" s="255" t="str">
        <f>Inputs!AB205</f>
        <v>-</v>
      </c>
      <c r="AC18" s="255" t="str">
        <f>Inputs!AC205</f>
        <v>-</v>
      </c>
      <c r="AD18" s="255" t="str">
        <f>Inputs!AD205</f>
        <v>-</v>
      </c>
      <c r="AE18" s="255" t="str">
        <f>Inputs!AE205</f>
        <v>-</v>
      </c>
      <c r="AF18" s="255" t="str">
        <f>Inputs!AF205</f>
        <v>-</v>
      </c>
      <c r="AG18" s="255" t="str">
        <f>Inputs!AG205</f>
        <v>-</v>
      </c>
      <c r="AH18" s="255" t="str">
        <f>Inputs!AH205</f>
        <v>-</v>
      </c>
      <c r="AI18" s="255" t="str">
        <f>Inputs!AI205</f>
        <v>-</v>
      </c>
      <c r="AJ18" s="255" t="str">
        <f>Inputs!AJ205</f>
        <v>-</v>
      </c>
      <c r="AK18" s="255" t="str">
        <f>Inputs!AK205</f>
        <v>-</v>
      </c>
      <c r="AL18" s="255" t="str">
        <f>Inputs!AL205</f>
        <v>-</v>
      </c>
      <c r="AM18" s="255" t="str">
        <f>Inputs!AM205</f>
        <v>-</v>
      </c>
      <c r="AN18" s="255" t="str">
        <f>Inputs!AN205</f>
        <v>-</v>
      </c>
      <c r="AO18" s="255" t="str">
        <f>Inputs!AO205</f>
        <v>-</v>
      </c>
      <c r="AP18" s="255" t="str">
        <f>Inputs!AP205</f>
        <v>-</v>
      </c>
      <c r="AQ18" s="255" t="str">
        <f>Inputs!AQ205</f>
        <v>-</v>
      </c>
      <c r="AR18" s="255" t="str">
        <f>Inputs!AR205</f>
        <v>-</v>
      </c>
      <c r="AS18" s="255" t="str">
        <f>Inputs!AS205</f>
        <v>-</v>
      </c>
      <c r="AT18" s="265"/>
    </row>
    <row r="19">
      <c r="A19" s="81"/>
      <c r="B19" s="81"/>
      <c r="C19" s="125"/>
      <c r="D19" s="125"/>
      <c r="E19" s="267"/>
      <c r="F19" s="83"/>
      <c r="G19" s="135"/>
      <c r="H19" s="85"/>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8"/>
    </row>
    <row r="20">
      <c r="A20" s="81"/>
      <c r="B20" s="81"/>
      <c r="C20" s="269" t="s">
        <v>217</v>
      </c>
      <c r="F20" s="83"/>
      <c r="G20" s="135"/>
      <c r="H20" s="85"/>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8"/>
    </row>
    <row r="21">
      <c r="A21" s="81"/>
      <c r="B21" s="81"/>
      <c r="C21" s="125"/>
      <c r="D21" s="125"/>
      <c r="E21" s="270" t="s">
        <v>219</v>
      </c>
      <c r="F21" s="189" t="s">
        <v>122</v>
      </c>
      <c r="G21" s="271" t="s">
        <v>149</v>
      </c>
      <c r="H21" s="156">
        <f t="shared" ref="H21:H28" si="1">H8*(1+H$18)</f>
        <v>0.455555583</v>
      </c>
      <c r="I21" s="273" t="s">
        <v>150</v>
      </c>
      <c r="J21" s="273" t="s">
        <v>150</v>
      </c>
      <c r="K21" s="273" t="s">
        <v>150</v>
      </c>
      <c r="L21" s="273" t="s">
        <v>150</v>
      </c>
      <c r="M21" s="273" t="s">
        <v>150</v>
      </c>
      <c r="N21" s="273" t="s">
        <v>150</v>
      </c>
      <c r="O21" s="273" t="s">
        <v>150</v>
      </c>
      <c r="P21" s="273" t="s">
        <v>150</v>
      </c>
      <c r="Q21" s="273" t="s">
        <v>150</v>
      </c>
      <c r="R21" s="273" t="s">
        <v>150</v>
      </c>
      <c r="S21" s="273" t="s">
        <v>150</v>
      </c>
      <c r="T21" s="273" t="s">
        <v>150</v>
      </c>
      <c r="U21" s="273" t="s">
        <v>150</v>
      </c>
      <c r="V21" s="273" t="s">
        <v>150</v>
      </c>
      <c r="W21" s="273" t="s">
        <v>150</v>
      </c>
      <c r="X21" s="273" t="s">
        <v>150</v>
      </c>
      <c r="Y21" s="273" t="s">
        <v>150</v>
      </c>
      <c r="Z21" s="273" t="s">
        <v>150</v>
      </c>
      <c r="AA21" s="273" t="s">
        <v>150</v>
      </c>
      <c r="AB21" s="273" t="s">
        <v>150</v>
      </c>
      <c r="AC21" s="273" t="s">
        <v>150</v>
      </c>
      <c r="AD21" s="273" t="s">
        <v>150</v>
      </c>
      <c r="AE21" s="273" t="s">
        <v>150</v>
      </c>
      <c r="AF21" s="273" t="s">
        <v>150</v>
      </c>
      <c r="AG21" s="273" t="s">
        <v>150</v>
      </c>
      <c r="AH21" s="273" t="s">
        <v>150</v>
      </c>
      <c r="AI21" s="273" t="s">
        <v>150</v>
      </c>
      <c r="AJ21" s="273" t="s">
        <v>150</v>
      </c>
      <c r="AK21" s="273" t="s">
        <v>150</v>
      </c>
      <c r="AL21" s="273" t="s">
        <v>150</v>
      </c>
      <c r="AM21" s="273" t="s">
        <v>150</v>
      </c>
      <c r="AN21" s="273" t="s">
        <v>150</v>
      </c>
      <c r="AO21" s="273" t="s">
        <v>150</v>
      </c>
      <c r="AP21" s="273" t="s">
        <v>150</v>
      </c>
      <c r="AQ21" s="273" t="s">
        <v>150</v>
      </c>
      <c r="AR21" s="273" t="s">
        <v>150</v>
      </c>
      <c r="AS21" s="273" t="s">
        <v>150</v>
      </c>
      <c r="AT21" s="136"/>
    </row>
    <row r="22">
      <c r="A22" s="81"/>
      <c r="B22" s="81"/>
      <c r="C22" s="125"/>
      <c r="D22" s="125"/>
      <c r="E22" s="275" t="s">
        <v>221</v>
      </c>
      <c r="F22" s="215" t="s">
        <v>122</v>
      </c>
      <c r="G22" s="276" t="s">
        <v>149</v>
      </c>
      <c r="H22" s="176">
        <f t="shared" si="1"/>
        <v>0.3918501118</v>
      </c>
      <c r="I22" s="232" t="s">
        <v>150</v>
      </c>
      <c r="J22" s="232" t="s">
        <v>150</v>
      </c>
      <c r="K22" s="232" t="s">
        <v>150</v>
      </c>
      <c r="L22" s="232" t="s">
        <v>150</v>
      </c>
      <c r="M22" s="232" t="s">
        <v>150</v>
      </c>
      <c r="N22" s="232" t="s">
        <v>150</v>
      </c>
      <c r="O22" s="232" t="s">
        <v>150</v>
      </c>
      <c r="P22" s="232" t="s">
        <v>150</v>
      </c>
      <c r="Q22" s="232" t="s">
        <v>150</v>
      </c>
      <c r="R22" s="232" t="s">
        <v>150</v>
      </c>
      <c r="S22" s="232" t="s">
        <v>150</v>
      </c>
      <c r="T22" s="232" t="s">
        <v>150</v>
      </c>
      <c r="U22" s="232" t="s">
        <v>150</v>
      </c>
      <c r="V22" s="232" t="s">
        <v>150</v>
      </c>
      <c r="W22" s="232" t="s">
        <v>150</v>
      </c>
      <c r="X22" s="232" t="s">
        <v>150</v>
      </c>
      <c r="Y22" s="232" t="s">
        <v>150</v>
      </c>
      <c r="Z22" s="232" t="s">
        <v>150</v>
      </c>
      <c r="AA22" s="232" t="s">
        <v>150</v>
      </c>
      <c r="AB22" s="232" t="s">
        <v>150</v>
      </c>
      <c r="AC22" s="232" t="s">
        <v>150</v>
      </c>
      <c r="AD22" s="232" t="s">
        <v>150</v>
      </c>
      <c r="AE22" s="232" t="s">
        <v>150</v>
      </c>
      <c r="AF22" s="232" t="s">
        <v>150</v>
      </c>
      <c r="AG22" s="232" t="s">
        <v>150</v>
      </c>
      <c r="AH22" s="232" t="s">
        <v>150</v>
      </c>
      <c r="AI22" s="232" t="s">
        <v>150</v>
      </c>
      <c r="AJ22" s="232" t="s">
        <v>150</v>
      </c>
      <c r="AK22" s="232" t="s">
        <v>150</v>
      </c>
      <c r="AL22" s="232" t="s">
        <v>150</v>
      </c>
      <c r="AM22" s="232" t="s">
        <v>150</v>
      </c>
      <c r="AN22" s="232" t="s">
        <v>150</v>
      </c>
      <c r="AO22" s="232" t="s">
        <v>150</v>
      </c>
      <c r="AP22" s="232" t="s">
        <v>150</v>
      </c>
      <c r="AQ22" s="232" t="s">
        <v>150</v>
      </c>
      <c r="AR22" s="232" t="s">
        <v>150</v>
      </c>
      <c r="AS22" s="232" t="s">
        <v>150</v>
      </c>
      <c r="AT22" s="163"/>
    </row>
    <row r="23">
      <c r="A23" s="81"/>
      <c r="B23" s="81"/>
      <c r="C23" s="125"/>
      <c r="D23" s="125"/>
      <c r="E23" s="275" t="s">
        <v>223</v>
      </c>
      <c r="F23" s="215" t="s">
        <v>122</v>
      </c>
      <c r="G23" s="276" t="s">
        <v>149</v>
      </c>
      <c r="H23" s="176">
        <f t="shared" si="1"/>
        <v>0.286421534</v>
      </c>
      <c r="I23" s="232" t="s">
        <v>150</v>
      </c>
      <c r="J23" s="232" t="s">
        <v>150</v>
      </c>
      <c r="K23" s="232" t="s">
        <v>150</v>
      </c>
      <c r="L23" s="232" t="s">
        <v>150</v>
      </c>
      <c r="M23" s="232" t="s">
        <v>150</v>
      </c>
      <c r="N23" s="232" t="s">
        <v>150</v>
      </c>
      <c r="O23" s="232" t="s">
        <v>150</v>
      </c>
      <c r="P23" s="232" t="s">
        <v>150</v>
      </c>
      <c r="Q23" s="232" t="s">
        <v>150</v>
      </c>
      <c r="R23" s="232" t="s">
        <v>150</v>
      </c>
      <c r="S23" s="232" t="s">
        <v>150</v>
      </c>
      <c r="T23" s="232" t="s">
        <v>150</v>
      </c>
      <c r="U23" s="232" t="s">
        <v>150</v>
      </c>
      <c r="V23" s="232" t="s">
        <v>150</v>
      </c>
      <c r="W23" s="232" t="s">
        <v>150</v>
      </c>
      <c r="X23" s="232" t="s">
        <v>150</v>
      </c>
      <c r="Y23" s="232" t="s">
        <v>150</v>
      </c>
      <c r="Z23" s="232" t="s">
        <v>150</v>
      </c>
      <c r="AA23" s="232" t="s">
        <v>150</v>
      </c>
      <c r="AB23" s="232" t="s">
        <v>150</v>
      </c>
      <c r="AC23" s="232" t="s">
        <v>150</v>
      </c>
      <c r="AD23" s="232" t="s">
        <v>150</v>
      </c>
      <c r="AE23" s="232" t="s">
        <v>150</v>
      </c>
      <c r="AF23" s="232" t="s">
        <v>150</v>
      </c>
      <c r="AG23" s="232" t="s">
        <v>150</v>
      </c>
      <c r="AH23" s="232" t="s">
        <v>150</v>
      </c>
      <c r="AI23" s="232" t="s">
        <v>150</v>
      </c>
      <c r="AJ23" s="232" t="s">
        <v>150</v>
      </c>
      <c r="AK23" s="232" t="s">
        <v>150</v>
      </c>
      <c r="AL23" s="232" t="s">
        <v>150</v>
      </c>
      <c r="AM23" s="232" t="s">
        <v>150</v>
      </c>
      <c r="AN23" s="232" t="s">
        <v>150</v>
      </c>
      <c r="AO23" s="232" t="s">
        <v>150</v>
      </c>
      <c r="AP23" s="232" t="s">
        <v>150</v>
      </c>
      <c r="AQ23" s="232" t="s">
        <v>150</v>
      </c>
      <c r="AR23" s="232" t="s">
        <v>150</v>
      </c>
      <c r="AS23" s="232" t="s">
        <v>150</v>
      </c>
      <c r="AT23" s="163"/>
    </row>
    <row r="24">
      <c r="A24" s="81"/>
      <c r="B24" s="81"/>
      <c r="C24" s="125"/>
      <c r="D24" s="125"/>
      <c r="E24" s="275" t="s">
        <v>224</v>
      </c>
      <c r="F24" s="215" t="s">
        <v>122</v>
      </c>
      <c r="G24" s="276" t="s">
        <v>149</v>
      </c>
      <c r="H24" s="176">
        <f t="shared" si="1"/>
        <v>0.215340401</v>
      </c>
      <c r="I24" s="232" t="s">
        <v>150</v>
      </c>
      <c r="J24" s="232" t="s">
        <v>150</v>
      </c>
      <c r="K24" s="232" t="s">
        <v>150</v>
      </c>
      <c r="L24" s="232" t="s">
        <v>150</v>
      </c>
      <c r="M24" s="232" t="s">
        <v>150</v>
      </c>
      <c r="N24" s="232" t="s">
        <v>150</v>
      </c>
      <c r="O24" s="232" t="s">
        <v>150</v>
      </c>
      <c r="P24" s="232" t="s">
        <v>150</v>
      </c>
      <c r="Q24" s="232" t="s">
        <v>150</v>
      </c>
      <c r="R24" s="232" t="s">
        <v>150</v>
      </c>
      <c r="S24" s="232" t="s">
        <v>150</v>
      </c>
      <c r="T24" s="232" t="s">
        <v>150</v>
      </c>
      <c r="U24" s="232" t="s">
        <v>150</v>
      </c>
      <c r="V24" s="232" t="s">
        <v>150</v>
      </c>
      <c r="W24" s="232" t="s">
        <v>150</v>
      </c>
      <c r="X24" s="232" t="s">
        <v>150</v>
      </c>
      <c r="Y24" s="232" t="s">
        <v>150</v>
      </c>
      <c r="Z24" s="232" t="s">
        <v>150</v>
      </c>
      <c r="AA24" s="232" t="s">
        <v>150</v>
      </c>
      <c r="AB24" s="232" t="s">
        <v>150</v>
      </c>
      <c r="AC24" s="232" t="s">
        <v>150</v>
      </c>
      <c r="AD24" s="232" t="s">
        <v>150</v>
      </c>
      <c r="AE24" s="232" t="s">
        <v>150</v>
      </c>
      <c r="AF24" s="232" t="s">
        <v>150</v>
      </c>
      <c r="AG24" s="232" t="s">
        <v>150</v>
      </c>
      <c r="AH24" s="232" t="s">
        <v>150</v>
      </c>
      <c r="AI24" s="232" t="s">
        <v>150</v>
      </c>
      <c r="AJ24" s="232" t="s">
        <v>150</v>
      </c>
      <c r="AK24" s="232" t="s">
        <v>150</v>
      </c>
      <c r="AL24" s="232" t="s">
        <v>150</v>
      </c>
      <c r="AM24" s="232" t="s">
        <v>150</v>
      </c>
      <c r="AN24" s="232" t="s">
        <v>150</v>
      </c>
      <c r="AO24" s="232" t="s">
        <v>150</v>
      </c>
      <c r="AP24" s="232" t="s">
        <v>150</v>
      </c>
      <c r="AQ24" s="232" t="s">
        <v>150</v>
      </c>
      <c r="AR24" s="232" t="s">
        <v>150</v>
      </c>
      <c r="AS24" s="232" t="s">
        <v>150</v>
      </c>
      <c r="AT24" s="163"/>
    </row>
    <row r="25">
      <c r="A25" s="81"/>
      <c r="B25" s="81"/>
      <c r="C25" s="125"/>
      <c r="D25" s="125"/>
      <c r="E25" s="275" t="s">
        <v>225</v>
      </c>
      <c r="F25" s="215" t="s">
        <v>122</v>
      </c>
      <c r="G25" s="276" t="s">
        <v>149</v>
      </c>
      <c r="H25" s="176">
        <f t="shared" si="1"/>
        <v>0.3582257711</v>
      </c>
      <c r="I25" s="232" t="s">
        <v>150</v>
      </c>
      <c r="J25" s="232" t="s">
        <v>150</v>
      </c>
      <c r="K25" s="232" t="s">
        <v>150</v>
      </c>
      <c r="L25" s="232" t="s">
        <v>150</v>
      </c>
      <c r="M25" s="232" t="s">
        <v>150</v>
      </c>
      <c r="N25" s="232" t="s">
        <v>150</v>
      </c>
      <c r="O25" s="232" t="s">
        <v>150</v>
      </c>
      <c r="P25" s="232" t="s">
        <v>150</v>
      </c>
      <c r="Q25" s="232" t="s">
        <v>150</v>
      </c>
      <c r="R25" s="232" t="s">
        <v>150</v>
      </c>
      <c r="S25" s="232" t="s">
        <v>150</v>
      </c>
      <c r="T25" s="232" t="s">
        <v>150</v>
      </c>
      <c r="U25" s="232" t="s">
        <v>150</v>
      </c>
      <c r="V25" s="232" t="s">
        <v>150</v>
      </c>
      <c r="W25" s="232" t="s">
        <v>150</v>
      </c>
      <c r="X25" s="232" t="s">
        <v>150</v>
      </c>
      <c r="Y25" s="232" t="s">
        <v>150</v>
      </c>
      <c r="Z25" s="232" t="s">
        <v>150</v>
      </c>
      <c r="AA25" s="232" t="s">
        <v>150</v>
      </c>
      <c r="AB25" s="232" t="s">
        <v>150</v>
      </c>
      <c r="AC25" s="232" t="s">
        <v>150</v>
      </c>
      <c r="AD25" s="232" t="s">
        <v>150</v>
      </c>
      <c r="AE25" s="232" t="s">
        <v>150</v>
      </c>
      <c r="AF25" s="232" t="s">
        <v>150</v>
      </c>
      <c r="AG25" s="232" t="s">
        <v>150</v>
      </c>
      <c r="AH25" s="232" t="s">
        <v>150</v>
      </c>
      <c r="AI25" s="232" t="s">
        <v>150</v>
      </c>
      <c r="AJ25" s="232" t="s">
        <v>150</v>
      </c>
      <c r="AK25" s="232" t="s">
        <v>150</v>
      </c>
      <c r="AL25" s="232" t="s">
        <v>150</v>
      </c>
      <c r="AM25" s="232" t="s">
        <v>150</v>
      </c>
      <c r="AN25" s="232" t="s">
        <v>150</v>
      </c>
      <c r="AO25" s="232" t="s">
        <v>150</v>
      </c>
      <c r="AP25" s="232" t="s">
        <v>150</v>
      </c>
      <c r="AQ25" s="232" t="s">
        <v>150</v>
      </c>
      <c r="AR25" s="232" t="s">
        <v>150</v>
      </c>
      <c r="AS25" s="232" t="s">
        <v>150</v>
      </c>
      <c r="AT25" s="163"/>
    </row>
    <row r="26">
      <c r="A26" s="81"/>
      <c r="B26" s="81"/>
      <c r="C26" s="125"/>
      <c r="D26" s="125"/>
      <c r="E26" s="275" t="s">
        <v>233</v>
      </c>
      <c r="F26" s="215" t="s">
        <v>122</v>
      </c>
      <c r="G26" s="276" t="s">
        <v>149</v>
      </c>
      <c r="H26" s="176">
        <f t="shared" si="1"/>
        <v>0.2569911971</v>
      </c>
      <c r="I26" s="232" t="s">
        <v>150</v>
      </c>
      <c r="J26" s="232" t="s">
        <v>150</v>
      </c>
      <c r="K26" s="232" t="s">
        <v>150</v>
      </c>
      <c r="L26" s="232" t="s">
        <v>150</v>
      </c>
      <c r="M26" s="232" t="s">
        <v>150</v>
      </c>
      <c r="N26" s="232" t="s">
        <v>150</v>
      </c>
      <c r="O26" s="232" t="s">
        <v>150</v>
      </c>
      <c r="P26" s="232" t="s">
        <v>150</v>
      </c>
      <c r="Q26" s="232" t="s">
        <v>150</v>
      </c>
      <c r="R26" s="232" t="s">
        <v>150</v>
      </c>
      <c r="S26" s="232" t="s">
        <v>150</v>
      </c>
      <c r="T26" s="232" t="s">
        <v>150</v>
      </c>
      <c r="U26" s="232" t="s">
        <v>150</v>
      </c>
      <c r="V26" s="232" t="s">
        <v>150</v>
      </c>
      <c r="W26" s="232" t="s">
        <v>150</v>
      </c>
      <c r="X26" s="232" t="s">
        <v>150</v>
      </c>
      <c r="Y26" s="232" t="s">
        <v>150</v>
      </c>
      <c r="Z26" s="232" t="s">
        <v>150</v>
      </c>
      <c r="AA26" s="232" t="s">
        <v>150</v>
      </c>
      <c r="AB26" s="232" t="s">
        <v>150</v>
      </c>
      <c r="AC26" s="232" t="s">
        <v>150</v>
      </c>
      <c r="AD26" s="232" t="s">
        <v>150</v>
      </c>
      <c r="AE26" s="232" t="s">
        <v>150</v>
      </c>
      <c r="AF26" s="232" t="s">
        <v>150</v>
      </c>
      <c r="AG26" s="232" t="s">
        <v>150</v>
      </c>
      <c r="AH26" s="232" t="s">
        <v>150</v>
      </c>
      <c r="AI26" s="232" t="s">
        <v>150</v>
      </c>
      <c r="AJ26" s="232" t="s">
        <v>150</v>
      </c>
      <c r="AK26" s="232" t="s">
        <v>150</v>
      </c>
      <c r="AL26" s="232" t="s">
        <v>150</v>
      </c>
      <c r="AM26" s="232" t="s">
        <v>150</v>
      </c>
      <c r="AN26" s="232" t="s">
        <v>150</v>
      </c>
      <c r="AO26" s="232" t="s">
        <v>150</v>
      </c>
      <c r="AP26" s="232" t="s">
        <v>150</v>
      </c>
      <c r="AQ26" s="232" t="s">
        <v>150</v>
      </c>
      <c r="AR26" s="232" t="s">
        <v>150</v>
      </c>
      <c r="AS26" s="232" t="s">
        <v>150</v>
      </c>
      <c r="AT26" s="163"/>
    </row>
    <row r="27">
      <c r="A27" s="81"/>
      <c r="B27" s="81"/>
      <c r="C27" s="125"/>
      <c r="D27" s="125"/>
      <c r="E27" s="275" t="s">
        <v>235</v>
      </c>
      <c r="F27" s="215" t="s">
        <v>122</v>
      </c>
      <c r="G27" s="276" t="s">
        <v>149</v>
      </c>
      <c r="H27" s="176">
        <f t="shared" si="1"/>
        <v>0.1923456906</v>
      </c>
      <c r="I27" s="232" t="s">
        <v>150</v>
      </c>
      <c r="J27" s="232" t="s">
        <v>150</v>
      </c>
      <c r="K27" s="232" t="s">
        <v>150</v>
      </c>
      <c r="L27" s="232" t="s">
        <v>150</v>
      </c>
      <c r="M27" s="232" t="s">
        <v>150</v>
      </c>
      <c r="N27" s="232" t="s">
        <v>150</v>
      </c>
      <c r="O27" s="232" t="s">
        <v>150</v>
      </c>
      <c r="P27" s="232" t="s">
        <v>150</v>
      </c>
      <c r="Q27" s="232" t="s">
        <v>150</v>
      </c>
      <c r="R27" s="232" t="s">
        <v>150</v>
      </c>
      <c r="S27" s="232" t="s">
        <v>150</v>
      </c>
      <c r="T27" s="232" t="s">
        <v>150</v>
      </c>
      <c r="U27" s="232" t="s">
        <v>150</v>
      </c>
      <c r="V27" s="232" t="s">
        <v>150</v>
      </c>
      <c r="W27" s="232" t="s">
        <v>150</v>
      </c>
      <c r="X27" s="232" t="s">
        <v>150</v>
      </c>
      <c r="Y27" s="232" t="s">
        <v>150</v>
      </c>
      <c r="Z27" s="232" t="s">
        <v>150</v>
      </c>
      <c r="AA27" s="232" t="s">
        <v>150</v>
      </c>
      <c r="AB27" s="232" t="s">
        <v>150</v>
      </c>
      <c r="AC27" s="232" t="s">
        <v>150</v>
      </c>
      <c r="AD27" s="232" t="s">
        <v>150</v>
      </c>
      <c r="AE27" s="232" t="s">
        <v>150</v>
      </c>
      <c r="AF27" s="232" t="s">
        <v>150</v>
      </c>
      <c r="AG27" s="232" t="s">
        <v>150</v>
      </c>
      <c r="AH27" s="232" t="s">
        <v>150</v>
      </c>
      <c r="AI27" s="232" t="s">
        <v>150</v>
      </c>
      <c r="AJ27" s="232" t="s">
        <v>150</v>
      </c>
      <c r="AK27" s="232" t="s">
        <v>150</v>
      </c>
      <c r="AL27" s="232" t="s">
        <v>150</v>
      </c>
      <c r="AM27" s="232" t="s">
        <v>150</v>
      </c>
      <c r="AN27" s="232" t="s">
        <v>150</v>
      </c>
      <c r="AO27" s="232" t="s">
        <v>150</v>
      </c>
      <c r="AP27" s="232" t="s">
        <v>150</v>
      </c>
      <c r="AQ27" s="232" t="s">
        <v>150</v>
      </c>
      <c r="AR27" s="232" t="s">
        <v>150</v>
      </c>
      <c r="AS27" s="232" t="s">
        <v>150</v>
      </c>
      <c r="AT27" s="163"/>
    </row>
    <row r="28">
      <c r="A28" s="81"/>
      <c r="B28" s="81"/>
      <c r="C28" s="125"/>
      <c r="D28" s="125"/>
      <c r="E28" s="290" t="s">
        <v>237</v>
      </c>
      <c r="F28" s="195" t="s">
        <v>122</v>
      </c>
      <c r="G28" s="291" t="s">
        <v>149</v>
      </c>
      <c r="H28" s="234">
        <f t="shared" si="1"/>
        <v>0.4261975565</v>
      </c>
      <c r="I28" s="292" t="s">
        <v>150</v>
      </c>
      <c r="J28" s="292" t="s">
        <v>150</v>
      </c>
      <c r="K28" s="292" t="s">
        <v>150</v>
      </c>
      <c r="L28" s="292" t="s">
        <v>150</v>
      </c>
      <c r="M28" s="292" t="s">
        <v>150</v>
      </c>
      <c r="N28" s="292" t="s">
        <v>150</v>
      </c>
      <c r="O28" s="292" t="s">
        <v>150</v>
      </c>
      <c r="P28" s="292" t="s">
        <v>150</v>
      </c>
      <c r="Q28" s="292" t="s">
        <v>150</v>
      </c>
      <c r="R28" s="292" t="s">
        <v>150</v>
      </c>
      <c r="S28" s="292" t="s">
        <v>150</v>
      </c>
      <c r="T28" s="292" t="s">
        <v>150</v>
      </c>
      <c r="U28" s="292" t="s">
        <v>150</v>
      </c>
      <c r="V28" s="292" t="s">
        <v>150</v>
      </c>
      <c r="W28" s="292" t="s">
        <v>150</v>
      </c>
      <c r="X28" s="292" t="s">
        <v>150</v>
      </c>
      <c r="Y28" s="292" t="s">
        <v>150</v>
      </c>
      <c r="Z28" s="292" t="s">
        <v>150</v>
      </c>
      <c r="AA28" s="292" t="s">
        <v>150</v>
      </c>
      <c r="AB28" s="292" t="s">
        <v>150</v>
      </c>
      <c r="AC28" s="292" t="s">
        <v>150</v>
      </c>
      <c r="AD28" s="292" t="s">
        <v>150</v>
      </c>
      <c r="AE28" s="292" t="s">
        <v>150</v>
      </c>
      <c r="AF28" s="292" t="s">
        <v>150</v>
      </c>
      <c r="AG28" s="292" t="s">
        <v>150</v>
      </c>
      <c r="AH28" s="292" t="s">
        <v>150</v>
      </c>
      <c r="AI28" s="292" t="s">
        <v>150</v>
      </c>
      <c r="AJ28" s="292" t="s">
        <v>150</v>
      </c>
      <c r="AK28" s="292" t="s">
        <v>150</v>
      </c>
      <c r="AL28" s="292" t="s">
        <v>150</v>
      </c>
      <c r="AM28" s="292" t="s">
        <v>150</v>
      </c>
      <c r="AN28" s="292" t="s">
        <v>150</v>
      </c>
      <c r="AO28" s="292" t="s">
        <v>150</v>
      </c>
      <c r="AP28" s="292" t="s">
        <v>150</v>
      </c>
      <c r="AQ28" s="292" t="s">
        <v>150</v>
      </c>
      <c r="AR28" s="292" t="s">
        <v>150</v>
      </c>
      <c r="AS28" s="292" t="s">
        <v>150</v>
      </c>
      <c r="AT28" s="248"/>
    </row>
    <row r="29">
      <c r="A29" s="81"/>
      <c r="B29" s="81"/>
      <c r="C29" s="125"/>
      <c r="D29" s="125"/>
      <c r="E29" s="267"/>
      <c r="F29" s="83"/>
      <c r="G29" s="135"/>
      <c r="H29" s="85"/>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8"/>
    </row>
    <row r="30">
      <c r="A30" s="81"/>
      <c r="B30" s="81"/>
      <c r="C30" s="90" t="s">
        <v>209</v>
      </c>
      <c r="F30" s="83"/>
      <c r="G30" s="135"/>
      <c r="H30" s="85"/>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8"/>
    </row>
    <row r="31">
      <c r="A31" s="81"/>
      <c r="B31" s="81"/>
      <c r="C31" s="125"/>
      <c r="D31" s="125"/>
      <c r="E31" s="145" t="s">
        <v>210</v>
      </c>
      <c r="F31" s="151" t="str">
        <f>'Disease burden'!F384</f>
        <v>%</v>
      </c>
      <c r="G31" s="271" t="s">
        <v>131</v>
      </c>
      <c r="H31" s="295" t="str">
        <f>'Disease burden'!H384</f>
        <v>-</v>
      </c>
      <c r="I31" s="119">
        <f>'Disease burden'!I384</f>
        <v>0.2130494036</v>
      </c>
      <c r="J31" s="119">
        <f>'Disease burden'!J384</f>
        <v>0.1534772233</v>
      </c>
      <c r="K31" s="119">
        <f>'Disease burden'!K384</f>
        <v>0.2411274816</v>
      </c>
      <c r="L31" s="119">
        <f>'Disease burden'!L384</f>
        <v>0.1347125857</v>
      </c>
      <c r="M31" s="119">
        <f>'Disease burden'!M384</f>
        <v>0.152630811</v>
      </c>
      <c r="N31" s="119">
        <f>'Disease burden'!N384</f>
        <v>0.2059472805</v>
      </c>
      <c r="O31" s="119">
        <f>'Disease burden'!O384</f>
        <v>0.1911598856</v>
      </c>
      <c r="P31" s="119">
        <f>'Disease burden'!P384</f>
        <v>0.2052551751</v>
      </c>
      <c r="Q31" s="119">
        <f>'Disease burden'!Q384</f>
        <v>0.2399849055</v>
      </c>
      <c r="R31" s="119">
        <f>'Disease burden'!R384</f>
        <v>0.125972099</v>
      </c>
      <c r="S31" s="119">
        <f>'Disease burden'!S384</f>
        <v>0.1609025831</v>
      </c>
      <c r="T31" s="119">
        <f>'Disease burden'!T384</f>
        <v>0.1194079841</v>
      </c>
      <c r="U31" s="119">
        <f>'Disease burden'!U384</f>
        <v>0.1133233803</v>
      </c>
      <c r="V31" s="119">
        <f>'Disease burden'!V384</f>
        <v>0.09678427807</v>
      </c>
      <c r="W31" s="119">
        <f>'Disease burden'!W384</f>
        <v>0.13204095</v>
      </c>
      <c r="X31" s="119">
        <f>'Disease burden'!X384</f>
        <v>0.143871286</v>
      </c>
      <c r="Y31" s="119">
        <f>'Disease burden'!Y384</f>
        <v>0.1400925484</v>
      </c>
      <c r="Z31" s="119">
        <f>'Disease burden'!Z384</f>
        <v>0.1355051871</v>
      </c>
      <c r="AA31" s="119">
        <f>'Disease burden'!AA384</f>
        <v>0.1517847974</v>
      </c>
      <c r="AB31" s="119">
        <f>'Disease burden'!AB384</f>
        <v>0.1425932484</v>
      </c>
      <c r="AC31" s="119">
        <f>'Disease burden'!AC384</f>
        <v>0.1588164537</v>
      </c>
      <c r="AD31" s="119">
        <f>'Disease burden'!AD384</f>
        <v>0.1418972091</v>
      </c>
      <c r="AE31" s="119">
        <f>'Disease burden'!AE384</f>
        <v>0.1467348201</v>
      </c>
      <c r="AF31" s="119">
        <f>'Disease burden'!AF384</f>
        <v>0.14907855</v>
      </c>
      <c r="AG31" s="119">
        <f>'Disease burden'!AG384</f>
        <v>0.1011646743</v>
      </c>
      <c r="AH31" s="119">
        <f>'Disease burden'!AH384</f>
        <v>0.1110040628</v>
      </c>
      <c r="AI31" s="119">
        <f>'Disease burden'!AI384</f>
        <v>0.1273899107</v>
      </c>
      <c r="AJ31" s="119">
        <f>'Disease burden'!AJ384</f>
        <v>0.142383327</v>
      </c>
      <c r="AK31" s="119">
        <f>'Disease burden'!AK384</f>
        <v>0.1358118583</v>
      </c>
      <c r="AL31" s="119">
        <f>'Disease burden'!AL384</f>
        <v>0.1215179611</v>
      </c>
      <c r="AM31" s="119">
        <f>'Disease burden'!AM384</f>
        <v>0.1291942197</v>
      </c>
      <c r="AN31" s="119">
        <f>'Disease burden'!AN384</f>
        <v>0.1449623727</v>
      </c>
      <c r="AO31" s="119">
        <f>'Disease burden'!AO384</f>
        <v>0.09514353522</v>
      </c>
      <c r="AP31" s="119">
        <f>'Disease burden'!AP384</f>
        <v>0.1596005723</v>
      </c>
      <c r="AQ31" s="119">
        <f>'Disease burden'!AQ384</f>
        <v>0.1349291869</v>
      </c>
      <c r="AR31" s="119">
        <f>'Disease burden'!AR384</f>
        <v>0.1372147362</v>
      </c>
      <c r="AS31" s="119">
        <f>'Disease burden'!AS384</f>
        <v>0.1951505796</v>
      </c>
      <c r="AT31" s="136"/>
    </row>
    <row r="32">
      <c r="A32" s="81"/>
      <c r="B32" s="81"/>
      <c r="C32" s="125"/>
      <c r="D32" s="125"/>
      <c r="E32" s="170" t="s">
        <v>220</v>
      </c>
      <c r="F32" s="172" t="str">
        <f>'Disease burden'!F385</f>
        <v>%</v>
      </c>
      <c r="G32" s="276" t="s">
        <v>131</v>
      </c>
      <c r="H32" s="274" t="str">
        <f>'Disease burden'!H385</f>
        <v>-</v>
      </c>
      <c r="I32" s="149">
        <f>'Disease burden'!I385</f>
        <v>0.05313105104</v>
      </c>
      <c r="J32" s="149">
        <f>'Disease burden'!J385</f>
        <v>0.06606296044</v>
      </c>
      <c r="K32" s="149">
        <f>'Disease burden'!K385</f>
        <v>0.05930875644</v>
      </c>
      <c r="L32" s="149">
        <f>'Disease burden'!L385</f>
        <v>0.0706274082</v>
      </c>
      <c r="M32" s="149">
        <f>'Disease burden'!M385</f>
        <v>0.05782502308</v>
      </c>
      <c r="N32" s="149">
        <f>'Disease burden'!N385</f>
        <v>0.06288838781</v>
      </c>
      <c r="O32" s="149">
        <f>'Disease burden'!O385</f>
        <v>0.07047544167</v>
      </c>
      <c r="P32" s="149">
        <f>'Disease burden'!P385</f>
        <v>0.06018592048</v>
      </c>
      <c r="Q32" s="149">
        <f>'Disease burden'!Q385</f>
        <v>0.06243552596</v>
      </c>
      <c r="R32" s="149">
        <f>'Disease burden'!R385</f>
        <v>0.05286993322</v>
      </c>
      <c r="S32" s="149">
        <f>'Disease burden'!S385</f>
        <v>0.0541041895</v>
      </c>
      <c r="T32" s="149">
        <f>'Disease burden'!T385</f>
        <v>0.07431319738</v>
      </c>
      <c r="U32" s="149">
        <f>'Disease burden'!U385</f>
        <v>0.08685444157</v>
      </c>
      <c r="V32" s="149">
        <f>'Disease burden'!V385</f>
        <v>0.08135209325</v>
      </c>
      <c r="W32" s="149">
        <f>'Disease burden'!W385</f>
        <v>0.06096359258</v>
      </c>
      <c r="X32" s="149">
        <f>'Disease burden'!X385</f>
        <v>0.08323897138</v>
      </c>
      <c r="Y32" s="149">
        <f>'Disease burden'!Y385</f>
        <v>0.07562192639</v>
      </c>
      <c r="Z32" s="149">
        <f>'Disease burden'!Z385</f>
        <v>0.06869371938</v>
      </c>
      <c r="AA32" s="149">
        <f>'Disease burden'!AA385</f>
        <v>0.06164883059</v>
      </c>
      <c r="AB32" s="149">
        <f>'Disease burden'!AB385</f>
        <v>0.06469276266</v>
      </c>
      <c r="AC32" s="149">
        <f>'Disease burden'!AC385</f>
        <v>0.05619318085</v>
      </c>
      <c r="AD32" s="149">
        <f>'Disease burden'!AD385</f>
        <v>0.07846176605</v>
      </c>
      <c r="AE32" s="149">
        <f>'Disease burden'!AE385</f>
        <v>0.0650115952</v>
      </c>
      <c r="AF32" s="149">
        <f>'Disease burden'!AF385</f>
        <v>0.06112330919</v>
      </c>
      <c r="AG32" s="149">
        <f>'Disease burden'!AG385</f>
        <v>0.1228499249</v>
      </c>
      <c r="AH32" s="149">
        <f>'Disease burden'!AH385</f>
        <v>0.08352599765</v>
      </c>
      <c r="AI32" s="149">
        <f>'Disease burden'!AI385</f>
        <v>0.06878605486</v>
      </c>
      <c r="AJ32" s="149">
        <f>'Disease burden'!AJ385</f>
        <v>0.07266269474</v>
      </c>
      <c r="AK32" s="149">
        <f>'Disease burden'!AK385</f>
        <v>0.06765776003</v>
      </c>
      <c r="AL32" s="149">
        <f>'Disease burden'!AL385</f>
        <v>0.07779291999</v>
      </c>
      <c r="AM32" s="149">
        <f>'Disease burden'!AM385</f>
        <v>0.06099694221</v>
      </c>
      <c r="AN32" s="149">
        <f>'Disease burden'!AN385</f>
        <v>0.07257384224</v>
      </c>
      <c r="AO32" s="149">
        <f>'Disease burden'!AO385</f>
        <v>0.09628047141</v>
      </c>
      <c r="AP32" s="149">
        <f>'Disease burden'!AP385</f>
        <v>0.06131634697</v>
      </c>
      <c r="AQ32" s="149">
        <f>'Disease burden'!AQ385</f>
        <v>0.06576119412</v>
      </c>
      <c r="AR32" s="149">
        <f>'Disease burden'!AR385</f>
        <v>0.0539035682</v>
      </c>
      <c r="AS32" s="149">
        <f>'Disease burden'!AS385</f>
        <v>0.07107528351</v>
      </c>
      <c r="AT32" s="163"/>
    </row>
    <row r="33">
      <c r="A33" s="81"/>
      <c r="B33" s="81"/>
      <c r="C33" s="125"/>
      <c r="D33" s="125"/>
      <c r="E33" s="170" t="s">
        <v>227</v>
      </c>
      <c r="F33" s="172" t="str">
        <f>'Disease burden'!F386</f>
        <v>%</v>
      </c>
      <c r="G33" s="276" t="s">
        <v>131</v>
      </c>
      <c r="H33" s="274" t="str">
        <f>'Disease burden'!H386</f>
        <v>-</v>
      </c>
      <c r="I33" s="149">
        <f>'Disease burden'!I386</f>
        <v>0.08349165163</v>
      </c>
      <c r="J33" s="149">
        <f>'Disease burden'!J386</f>
        <v>0.1038132236</v>
      </c>
      <c r="K33" s="149">
        <f>'Disease burden'!K386</f>
        <v>0.0931994744</v>
      </c>
      <c r="L33" s="149">
        <f>'Disease burden'!L386</f>
        <v>0.1109859272</v>
      </c>
      <c r="M33" s="149">
        <f>'Disease burden'!M386</f>
        <v>0.09086789341</v>
      </c>
      <c r="N33" s="149">
        <f>'Disease burden'!N386</f>
        <v>0.09882460942</v>
      </c>
      <c r="O33" s="149">
        <f>'Disease burden'!O386</f>
        <v>0.1107471226</v>
      </c>
      <c r="P33" s="149">
        <f>'Disease burden'!P386</f>
        <v>0.09457787504</v>
      </c>
      <c r="Q33" s="149">
        <f>'Disease burden'!Q386</f>
        <v>0.09811296936</v>
      </c>
      <c r="R33" s="149">
        <f>'Disease burden'!R386</f>
        <v>0.08308132363</v>
      </c>
      <c r="S33" s="149">
        <f>'Disease burden'!S386</f>
        <v>0.08502086921</v>
      </c>
      <c r="T33" s="149">
        <f>'Disease burden'!T386</f>
        <v>0.1167778816</v>
      </c>
      <c r="U33" s="149">
        <f>'Disease burden'!U386</f>
        <v>0.136485551</v>
      </c>
      <c r="V33" s="149">
        <f>'Disease burden'!V386</f>
        <v>0.1278390037</v>
      </c>
      <c r="W33" s="149">
        <f>'Disease burden'!W386</f>
        <v>0.0957999312</v>
      </c>
      <c r="X33" s="149">
        <f>'Disease burden'!X386</f>
        <v>0.1308040979</v>
      </c>
      <c r="Y33" s="149">
        <f>'Disease burden'!Y386</f>
        <v>0.1188344558</v>
      </c>
      <c r="Z33" s="149">
        <f>'Disease burden'!Z386</f>
        <v>0.1079472733</v>
      </c>
      <c r="AA33" s="149">
        <f>'Disease burden'!AA386</f>
        <v>0.09687673379</v>
      </c>
      <c r="AB33" s="149">
        <f>'Disease burden'!AB386</f>
        <v>0.1016600556</v>
      </c>
      <c r="AC33" s="149">
        <f>'Disease burden'!AC386</f>
        <v>0.0883035699</v>
      </c>
      <c r="AD33" s="149">
        <f>'Disease burden'!AD386</f>
        <v>0.1232970609</v>
      </c>
      <c r="AE33" s="149">
        <f>'Disease burden'!AE386</f>
        <v>0.1021610782</v>
      </c>
      <c r="AF33" s="149">
        <f>'Disease burden'!AF386</f>
        <v>0.09605091444</v>
      </c>
      <c r="AG33" s="149">
        <f>'Disease burden'!AG386</f>
        <v>0.193049882</v>
      </c>
      <c r="AH33" s="149">
        <f>'Disease burden'!AH386</f>
        <v>0.1312551392</v>
      </c>
      <c r="AI33" s="149">
        <f>'Disease burden'!AI386</f>
        <v>0.1080923719</v>
      </c>
      <c r="AJ33" s="149">
        <f>'Disease burden'!AJ386</f>
        <v>0.1141842346</v>
      </c>
      <c r="AK33" s="149">
        <f>'Disease burden'!AK386</f>
        <v>0.1063193372</v>
      </c>
      <c r="AL33" s="149">
        <f>'Disease burden'!AL386</f>
        <v>0.1222460171</v>
      </c>
      <c r="AM33" s="149">
        <f>'Disease burden'!AM386</f>
        <v>0.09585233776</v>
      </c>
      <c r="AN33" s="149">
        <f>'Disease burden'!AN386</f>
        <v>0.1140446092</v>
      </c>
      <c r="AO33" s="149">
        <f>'Disease burden'!AO386</f>
        <v>0.1512978836</v>
      </c>
      <c r="AP33" s="149">
        <f>'Disease burden'!AP386</f>
        <v>0.09635425953</v>
      </c>
      <c r="AQ33" s="149">
        <f>'Disease burden'!AQ386</f>
        <v>0.1033390193</v>
      </c>
      <c r="AR33" s="149">
        <f>'Disease burden'!AR386</f>
        <v>0.08470560718</v>
      </c>
      <c r="AS33" s="149">
        <f>'Disease burden'!AS386</f>
        <v>0.1116897312</v>
      </c>
      <c r="AT33" s="163"/>
    </row>
    <row r="34">
      <c r="A34" s="81"/>
      <c r="B34" s="81"/>
      <c r="C34" s="125"/>
      <c r="D34" s="125"/>
      <c r="E34" s="170" t="s">
        <v>230</v>
      </c>
      <c r="F34" s="172" t="str">
        <f>'Disease burden'!F387</f>
        <v>%</v>
      </c>
      <c r="G34" s="276" t="s">
        <v>131</v>
      </c>
      <c r="H34" s="274" t="str">
        <f>'Disease burden'!H387</f>
        <v>-</v>
      </c>
      <c r="I34" s="149">
        <f>'Disease burden'!I387</f>
        <v>0.0151803003</v>
      </c>
      <c r="J34" s="149">
        <f>'Disease burden'!J387</f>
        <v>0.01887513156</v>
      </c>
      <c r="K34" s="149">
        <f>'Disease burden'!K387</f>
        <v>0.01694535898</v>
      </c>
      <c r="L34" s="149">
        <f>'Disease burden'!L387</f>
        <v>0.02017925949</v>
      </c>
      <c r="M34" s="149">
        <f>'Disease burden'!M387</f>
        <v>0.01652143517</v>
      </c>
      <c r="N34" s="149">
        <f>'Disease burden'!N387</f>
        <v>0.0179681108</v>
      </c>
      <c r="O34" s="149">
        <f>'Disease burden'!O387</f>
        <v>0.02013584048</v>
      </c>
      <c r="P34" s="149">
        <f>'Disease burden'!P387</f>
        <v>0.01719597728</v>
      </c>
      <c r="Q34" s="149">
        <f>'Disease burden'!Q387</f>
        <v>0.0178387217</v>
      </c>
      <c r="R34" s="149">
        <f>'Disease burden'!R387</f>
        <v>0.01510569521</v>
      </c>
      <c r="S34" s="149">
        <f>'Disease burden'!S387</f>
        <v>0.01545833986</v>
      </c>
      <c r="T34" s="149">
        <f>'Disease burden'!T387</f>
        <v>0.02123234211</v>
      </c>
      <c r="U34" s="149">
        <f>'Disease burden'!U387</f>
        <v>0.02481555473</v>
      </c>
      <c r="V34" s="149">
        <f>'Disease burden'!V387</f>
        <v>0.02324345522</v>
      </c>
      <c r="W34" s="149">
        <f>'Disease burden'!W387</f>
        <v>0.01741816931</v>
      </c>
      <c r="X34" s="149">
        <f>'Disease burden'!X387</f>
        <v>0.02378256325</v>
      </c>
      <c r="Y34" s="149">
        <f>'Disease burden'!Y387</f>
        <v>0.02160626468</v>
      </c>
      <c r="Z34" s="149">
        <f>'Disease burden'!Z387</f>
        <v>0.01962677697</v>
      </c>
      <c r="AA34" s="149">
        <f>'Disease burden'!AA387</f>
        <v>0.0176139516</v>
      </c>
      <c r="AB34" s="149">
        <f>'Disease burden'!AB387</f>
        <v>0.01848364647</v>
      </c>
      <c r="AC34" s="149">
        <f>'Disease burden'!AC387</f>
        <v>0.01605519453</v>
      </c>
      <c r="AD34" s="149">
        <f>'Disease burden'!AD387</f>
        <v>0.02241764744</v>
      </c>
      <c r="AE34" s="149">
        <f>'Disease burden'!AE387</f>
        <v>0.01857474148</v>
      </c>
      <c r="AF34" s="149">
        <f>'Disease burden'!AF387</f>
        <v>0.01746380263</v>
      </c>
      <c r="AG34" s="149">
        <f>'Disease burden'!AG387</f>
        <v>0.03509997855</v>
      </c>
      <c r="AH34" s="149">
        <f>'Disease burden'!AH387</f>
        <v>0.02386457076</v>
      </c>
      <c r="AI34" s="149">
        <f>'Disease burden'!AI387</f>
        <v>0.01965315853</v>
      </c>
      <c r="AJ34" s="149">
        <f>'Disease burden'!AJ387</f>
        <v>0.02076076993</v>
      </c>
      <c r="AK34" s="149">
        <f>'Disease burden'!AK387</f>
        <v>0.01933078858</v>
      </c>
      <c r="AL34" s="149">
        <f>'Disease burden'!AL387</f>
        <v>0.02222654857</v>
      </c>
      <c r="AM34" s="149">
        <f>'Disease burden'!AM387</f>
        <v>0.01742769777</v>
      </c>
      <c r="AN34" s="149">
        <f>'Disease burden'!AN387</f>
        <v>0.0207353835</v>
      </c>
      <c r="AO34" s="149">
        <f>'Disease burden'!AO387</f>
        <v>0.02750870612</v>
      </c>
      <c r="AP34" s="149">
        <f>'Disease burden'!AP387</f>
        <v>0.01751895628</v>
      </c>
      <c r="AQ34" s="149">
        <f>'Disease burden'!AQ387</f>
        <v>0.01878891261</v>
      </c>
      <c r="AR34" s="149">
        <f>'Disease burden'!AR387</f>
        <v>0.01540101949</v>
      </c>
      <c r="AS34" s="149">
        <f>'Disease burden'!AS387</f>
        <v>0.02030722386</v>
      </c>
      <c r="AT34" s="163"/>
    </row>
    <row r="35">
      <c r="A35" s="81"/>
      <c r="B35" s="81"/>
      <c r="C35" s="125"/>
      <c r="D35" s="125"/>
      <c r="E35" s="170" t="s">
        <v>236</v>
      </c>
      <c r="F35" s="172" t="str">
        <f>'Disease burden'!F388</f>
        <v>%</v>
      </c>
      <c r="G35" s="276" t="s">
        <v>131</v>
      </c>
      <c r="H35" s="274" t="str">
        <f>'Disease burden'!H388</f>
        <v>-</v>
      </c>
      <c r="I35" s="149">
        <f>'Disease burden'!I388</f>
        <v>0.1177932586</v>
      </c>
      <c r="J35" s="149">
        <f>'Disease burden'!J388</f>
        <v>0.1355054412</v>
      </c>
      <c r="K35" s="149">
        <f>'Disease burden'!K388</f>
        <v>0.1165614753</v>
      </c>
      <c r="L35" s="149">
        <f>'Disease burden'!L388</f>
        <v>0.1496414886</v>
      </c>
      <c r="M35" s="149">
        <f>'Disease burden'!M388</f>
        <v>0.1452454828</v>
      </c>
      <c r="N35" s="149">
        <f>'Disease burden'!N388</f>
        <v>0.1088722329</v>
      </c>
      <c r="O35" s="149">
        <f>'Disease burden'!O388</f>
        <v>0.1087302008</v>
      </c>
      <c r="P35" s="149">
        <f>'Disease burden'!P388</f>
        <v>0.110556421</v>
      </c>
      <c r="Q35" s="149">
        <f>'Disease burden'!Q388</f>
        <v>0.09126439138</v>
      </c>
      <c r="R35" s="149">
        <f>'Disease burden'!R388</f>
        <v>0.1683903934</v>
      </c>
      <c r="S35" s="149">
        <f>'Disease burden'!S388</f>
        <v>0.1517016283</v>
      </c>
      <c r="T35" s="149">
        <f>'Disease burden'!T388</f>
        <v>0.1642502774</v>
      </c>
      <c r="U35" s="149">
        <f>'Disease burden'!U388</f>
        <v>0.174794253</v>
      </c>
      <c r="V35" s="149">
        <f>'Disease burden'!V388</f>
        <v>0.1345991099</v>
      </c>
      <c r="W35" s="149">
        <f>'Disease burden'!W388</f>
        <v>0.1415562365</v>
      </c>
      <c r="X35" s="149">
        <f>'Disease burden'!X388</f>
        <v>0.1016502681</v>
      </c>
      <c r="Y35" s="149">
        <f>'Disease burden'!Y388</f>
        <v>0.1567861315</v>
      </c>
      <c r="Z35" s="149">
        <f>'Disease burden'!Z388</f>
        <v>0.1661982196</v>
      </c>
      <c r="AA35" s="149">
        <f>'Disease burden'!AA388</f>
        <v>0.1635058455</v>
      </c>
      <c r="AB35" s="149">
        <f>'Disease burden'!AB388</f>
        <v>0.1800078045</v>
      </c>
      <c r="AC35" s="149">
        <f>'Disease burden'!AC388</f>
        <v>0.1709022513</v>
      </c>
      <c r="AD35" s="149">
        <f>'Disease burden'!AD388</f>
        <v>0.1611456454</v>
      </c>
      <c r="AE35" s="149">
        <f>'Disease burden'!AE388</f>
        <v>0.1730560427</v>
      </c>
      <c r="AF35" s="149">
        <f>'Disease burden'!AF388</f>
        <v>0.1803411259</v>
      </c>
      <c r="AG35" s="149">
        <f>'Disease burden'!AG388</f>
        <v>0.1309207147</v>
      </c>
      <c r="AH35" s="149">
        <f>'Disease burden'!AH388</f>
        <v>0.14469534</v>
      </c>
      <c r="AI35" s="149">
        <f>'Disease burden'!AI388</f>
        <v>0.1702780438</v>
      </c>
      <c r="AJ35" s="149">
        <f>'Disease burden'!AJ388</f>
        <v>0.1492042019</v>
      </c>
      <c r="AK35" s="149">
        <f>'Disease burden'!AK388</f>
        <v>0.1368384264</v>
      </c>
      <c r="AL35" s="149">
        <f>'Disease burden'!AL388</f>
        <v>0.1559269674</v>
      </c>
      <c r="AM35" s="149">
        <f>'Disease burden'!AM388</f>
        <v>0.1776234878</v>
      </c>
      <c r="AN35" s="149">
        <f>'Disease burden'!AN388</f>
        <v>0.154028313</v>
      </c>
      <c r="AO35" s="149">
        <f>'Disease burden'!AO388</f>
        <v>0.1516427291</v>
      </c>
      <c r="AP35" s="149">
        <f>'Disease burden'!AP388</f>
        <v>0.1494287052</v>
      </c>
      <c r="AQ35" s="149">
        <f>'Disease burden'!AQ388</f>
        <v>0.1728088252</v>
      </c>
      <c r="AR35" s="149">
        <f>'Disease burden'!AR388</f>
        <v>0.1500882372</v>
      </c>
      <c r="AS35" s="149">
        <f>'Disease burden'!AS388</f>
        <v>0.1101612567</v>
      </c>
      <c r="AT35" s="163"/>
    </row>
    <row r="36">
      <c r="A36" s="81"/>
      <c r="B36" s="81"/>
      <c r="C36" s="125"/>
      <c r="D36" s="125"/>
      <c r="E36" s="170" t="s">
        <v>241</v>
      </c>
      <c r="F36" s="172" t="str">
        <f>'Disease burden'!F389</f>
        <v>%</v>
      </c>
      <c r="G36" s="276" t="s">
        <v>131</v>
      </c>
      <c r="H36" s="274" t="str">
        <f>'Disease burden'!H389</f>
        <v>-</v>
      </c>
      <c r="I36" s="149">
        <f>'Disease burden'!I389</f>
        <v>0.1851036921</v>
      </c>
      <c r="J36" s="149">
        <f>'Disease burden'!J389</f>
        <v>0.2129371218</v>
      </c>
      <c r="K36" s="149">
        <f>'Disease burden'!K389</f>
        <v>0.1831680326</v>
      </c>
      <c r="L36" s="149">
        <f>'Disease burden'!L389</f>
        <v>0.2351509106</v>
      </c>
      <c r="M36" s="149">
        <f>'Disease burden'!M389</f>
        <v>0.2282429015</v>
      </c>
      <c r="N36" s="149">
        <f>'Disease burden'!N389</f>
        <v>0.1710849375</v>
      </c>
      <c r="O36" s="149">
        <f>'Disease burden'!O389</f>
        <v>0.1708617441</v>
      </c>
      <c r="P36" s="149">
        <f>'Disease burden'!P389</f>
        <v>0.1737315186</v>
      </c>
      <c r="Q36" s="149">
        <f>'Disease burden'!Q389</f>
        <v>0.1434154722</v>
      </c>
      <c r="R36" s="149">
        <f>'Disease burden'!R389</f>
        <v>0.2646134753</v>
      </c>
      <c r="S36" s="149">
        <f>'Disease burden'!S389</f>
        <v>0.2383882731</v>
      </c>
      <c r="T36" s="149">
        <f>'Disease burden'!T389</f>
        <v>0.2581075787</v>
      </c>
      <c r="U36" s="149">
        <f>'Disease burden'!U389</f>
        <v>0.2746766832</v>
      </c>
      <c r="V36" s="149">
        <f>'Disease burden'!V389</f>
        <v>0.211512887</v>
      </c>
      <c r="W36" s="149">
        <f>'Disease burden'!W389</f>
        <v>0.2224455144</v>
      </c>
      <c r="X36" s="149">
        <f>'Disease burden'!X389</f>
        <v>0.1597361355</v>
      </c>
      <c r="Y36" s="149">
        <f>'Disease burden'!Y389</f>
        <v>0.2463782066</v>
      </c>
      <c r="Z36" s="149">
        <f>'Disease burden'!Z389</f>
        <v>0.2611686308</v>
      </c>
      <c r="AA36" s="149">
        <f>'Disease burden'!AA389</f>
        <v>0.2569377572</v>
      </c>
      <c r="AB36" s="149">
        <f>'Disease burden'!AB389</f>
        <v>0.2828694071</v>
      </c>
      <c r="AC36" s="149">
        <f>'Disease burden'!AC389</f>
        <v>0.2685606806</v>
      </c>
      <c r="AD36" s="149">
        <f>'Disease burden'!AD389</f>
        <v>0.2532288713</v>
      </c>
      <c r="AE36" s="149">
        <f>'Disease burden'!AE389</f>
        <v>0.27194521</v>
      </c>
      <c r="AF36" s="149">
        <f>'Disease burden'!AF389</f>
        <v>0.2833931979</v>
      </c>
      <c r="AG36" s="149">
        <f>'Disease burden'!AG389</f>
        <v>0.2057325517</v>
      </c>
      <c r="AH36" s="149">
        <f>'Disease burden'!AH389</f>
        <v>0.2273783915</v>
      </c>
      <c r="AI36" s="149">
        <f>'Disease burden'!AI389</f>
        <v>0.2675797831</v>
      </c>
      <c r="AJ36" s="149">
        <f>'Disease burden'!AJ389</f>
        <v>0.2344637459</v>
      </c>
      <c r="AK36" s="149">
        <f>'Disease burden'!AK389</f>
        <v>0.2150318129</v>
      </c>
      <c r="AL36" s="149">
        <f>'Disease burden'!AL389</f>
        <v>0.2450280917</v>
      </c>
      <c r="AM36" s="149">
        <f>'Disease burden'!AM389</f>
        <v>0.2791226236</v>
      </c>
      <c r="AN36" s="149">
        <f>'Disease burden'!AN389</f>
        <v>0.2420444919</v>
      </c>
      <c r="AO36" s="149">
        <f>'Disease burden'!AO389</f>
        <v>0.2382957171</v>
      </c>
      <c r="AP36" s="149">
        <f>'Disease burden'!AP389</f>
        <v>0.2348165368</v>
      </c>
      <c r="AQ36" s="149">
        <f>'Disease burden'!AQ389</f>
        <v>0.2715567253</v>
      </c>
      <c r="AR36" s="149">
        <f>'Disease burden'!AR389</f>
        <v>0.2358529441</v>
      </c>
      <c r="AS36" s="149">
        <f>'Disease burden'!AS389</f>
        <v>0.1731105463</v>
      </c>
      <c r="AT36" s="163"/>
    </row>
    <row r="37">
      <c r="A37" s="81"/>
      <c r="B37" s="81"/>
      <c r="C37" s="125"/>
      <c r="D37" s="125"/>
      <c r="E37" s="170" t="s">
        <v>244</v>
      </c>
      <c r="F37" s="172" t="str">
        <f>'Disease burden'!F390</f>
        <v>%</v>
      </c>
      <c r="G37" s="276" t="s">
        <v>131</v>
      </c>
      <c r="H37" s="274" t="str">
        <f>'Disease burden'!H390</f>
        <v>-</v>
      </c>
      <c r="I37" s="149">
        <f>'Disease burden'!I390</f>
        <v>0.03365521675</v>
      </c>
      <c r="J37" s="149">
        <f>'Disease burden'!J390</f>
        <v>0.03871584033</v>
      </c>
      <c r="K37" s="149">
        <f>'Disease burden'!K390</f>
        <v>0.03330327866</v>
      </c>
      <c r="L37" s="149">
        <f>'Disease burden'!L390</f>
        <v>0.04275471101</v>
      </c>
      <c r="M37" s="149">
        <f>'Disease burden'!M390</f>
        <v>0.04149870937</v>
      </c>
      <c r="N37" s="149">
        <f>'Disease burden'!N390</f>
        <v>0.03110635227</v>
      </c>
      <c r="O37" s="149">
        <f>'Disease burden'!O390</f>
        <v>0.03106577165</v>
      </c>
      <c r="P37" s="149">
        <f>'Disease burden'!P390</f>
        <v>0.03158754884</v>
      </c>
      <c r="Q37" s="149">
        <f>'Disease burden'!Q390</f>
        <v>0.02607554039</v>
      </c>
      <c r="R37" s="149">
        <f>'Disease burden'!R390</f>
        <v>0.04811154097</v>
      </c>
      <c r="S37" s="149">
        <f>'Disease burden'!S390</f>
        <v>0.04334332238</v>
      </c>
      <c r="T37" s="149">
        <f>'Disease burden'!T390</f>
        <v>0.04692865068</v>
      </c>
      <c r="U37" s="149">
        <f>'Disease burden'!U390</f>
        <v>0.04994121513</v>
      </c>
      <c r="V37" s="149">
        <f>'Disease burden'!V390</f>
        <v>0.03845688855</v>
      </c>
      <c r="W37" s="149">
        <f>'Disease burden'!W390</f>
        <v>0.04044463899</v>
      </c>
      <c r="X37" s="149">
        <f>'Disease burden'!X390</f>
        <v>0.02904293373</v>
      </c>
      <c r="Y37" s="149">
        <f>'Disease burden'!Y390</f>
        <v>0.04479603756</v>
      </c>
      <c r="Z37" s="149">
        <f>'Disease burden'!Z390</f>
        <v>0.0474852056</v>
      </c>
      <c r="AA37" s="149">
        <f>'Disease burden'!AA390</f>
        <v>0.04671595585</v>
      </c>
      <c r="AB37" s="149">
        <f>'Disease burden'!AB390</f>
        <v>0.0514308013</v>
      </c>
      <c r="AC37" s="149">
        <f>'Disease burden'!AC390</f>
        <v>0.04882921465</v>
      </c>
      <c r="AD37" s="149">
        <f>'Disease burden'!AD390</f>
        <v>0.04604161297</v>
      </c>
      <c r="AE37" s="149">
        <f>'Disease burden'!AE390</f>
        <v>0.04944458363</v>
      </c>
      <c r="AF37" s="149">
        <f>'Disease burden'!AF390</f>
        <v>0.05152603598</v>
      </c>
      <c r="AG37" s="149">
        <f>'Disease burden'!AG390</f>
        <v>0.03740591848</v>
      </c>
      <c r="AH37" s="149">
        <f>'Disease burden'!AH390</f>
        <v>0.04134152573</v>
      </c>
      <c r="AI37" s="149">
        <f>'Disease burden'!AI390</f>
        <v>0.04865086966</v>
      </c>
      <c r="AJ37" s="149">
        <f>'Disease burden'!AJ390</f>
        <v>0.04262977198</v>
      </c>
      <c r="AK37" s="149">
        <f>'Disease burden'!AK390</f>
        <v>0.03909669325</v>
      </c>
      <c r="AL37" s="149">
        <f>'Disease burden'!AL390</f>
        <v>0.04455056212</v>
      </c>
      <c r="AM37" s="149">
        <f>'Disease burden'!AM390</f>
        <v>0.05074956793</v>
      </c>
      <c r="AN37" s="149">
        <f>'Disease burden'!AN390</f>
        <v>0.04400808944</v>
      </c>
      <c r="AO37" s="149">
        <f>'Disease burden'!AO390</f>
        <v>0.04332649402</v>
      </c>
      <c r="AP37" s="149">
        <f>'Disease burden'!AP390</f>
        <v>0.04269391578</v>
      </c>
      <c r="AQ37" s="149">
        <f>'Disease burden'!AQ390</f>
        <v>0.04937395006</v>
      </c>
      <c r="AR37" s="149">
        <f>'Disease burden'!AR390</f>
        <v>0.04288235347</v>
      </c>
      <c r="AS37" s="149">
        <f>'Disease burden'!AS390</f>
        <v>0.03147464478</v>
      </c>
      <c r="AT37" s="163"/>
    </row>
    <row r="38">
      <c r="A38" s="81"/>
      <c r="B38" s="81"/>
      <c r="C38" s="125"/>
      <c r="D38" s="125"/>
      <c r="E38" s="230" t="s">
        <v>253</v>
      </c>
      <c r="F38" s="231" t="str">
        <f>'Disease burden'!F393</f>
        <v>%</v>
      </c>
      <c r="G38" s="291" t="s">
        <v>131</v>
      </c>
      <c r="H38" s="306" t="str">
        <f>'Disease burden'!H393</f>
        <v>-</v>
      </c>
      <c r="I38" s="240">
        <f>'Disease burden'!I393</f>
        <v>0.05980571719</v>
      </c>
      <c r="J38" s="240">
        <f>'Disease burden'!J393</f>
        <v>0.04687034295</v>
      </c>
      <c r="K38" s="240">
        <f>'Disease burden'!K393</f>
        <v>0.06597866013</v>
      </c>
      <c r="L38" s="240">
        <f>'Disease burden'!L393</f>
        <v>0.05386773431</v>
      </c>
      <c r="M38" s="240">
        <f>'Disease burden'!M393</f>
        <v>0.03495333291</v>
      </c>
      <c r="N38" s="240">
        <f>'Disease burden'!N393</f>
        <v>0.08130872617</v>
      </c>
      <c r="O38" s="240">
        <f>'Disease burden'!O393</f>
        <v>0.07653078417</v>
      </c>
      <c r="P38" s="240">
        <f>'Disease burden'!P393</f>
        <v>0.06475882135</v>
      </c>
      <c r="Q38" s="240">
        <f>'Disease burden'!Q393</f>
        <v>0.07194286203</v>
      </c>
      <c r="R38" s="240">
        <f>'Disease burden'!R393</f>
        <v>0.02547100281</v>
      </c>
      <c r="S38" s="240">
        <f>'Disease burden'!S393</f>
        <v>0.03388947478</v>
      </c>
      <c r="T38" s="240">
        <f>'Disease burden'!T393</f>
        <v>0.05070978582</v>
      </c>
      <c r="U38" s="240">
        <f>'Disease burden'!U393</f>
        <v>0.03528729256</v>
      </c>
      <c r="V38" s="240">
        <f>'Disease burden'!V393</f>
        <v>0.05794745695</v>
      </c>
      <c r="W38" s="240">
        <f>'Disease burden'!W393</f>
        <v>0.03614093555</v>
      </c>
      <c r="X38" s="240">
        <f>'Disease burden'!X393</f>
        <v>0.07745085134</v>
      </c>
      <c r="Y38" s="240">
        <f>'Disease burden'!Y393</f>
        <v>0.05402043912</v>
      </c>
      <c r="Z38" s="240">
        <f>'Disease burden'!Z393</f>
        <v>0.04227202779</v>
      </c>
      <c r="AA38" s="240">
        <f>'Disease burden'!AA393</f>
        <v>0.0379414913</v>
      </c>
      <c r="AB38" s="240">
        <f>'Disease burden'!AB393</f>
        <v>0.04130336744</v>
      </c>
      <c r="AC38" s="240">
        <f>'Disease burden'!AC393</f>
        <v>0.05370577388</v>
      </c>
      <c r="AD38" s="240">
        <f>'Disease burden'!AD393</f>
        <v>0.04681750596</v>
      </c>
      <c r="AE38" s="240">
        <f>'Disease burden'!AE393</f>
        <v>0.03454126151</v>
      </c>
      <c r="AF38" s="240">
        <f>'Disease burden'!AF393</f>
        <v>0.03591068113</v>
      </c>
      <c r="AG38" s="240">
        <f>'Disease burden'!AG393</f>
        <v>0.05614286278</v>
      </c>
      <c r="AH38" s="240">
        <f>'Disease burden'!AH393</f>
        <v>0.08892205291</v>
      </c>
      <c r="AI38" s="240">
        <f>'Disease burden'!AI393</f>
        <v>0.0471734457</v>
      </c>
      <c r="AJ38" s="240">
        <f>'Disease burden'!AJ393</f>
        <v>0.05001200826</v>
      </c>
      <c r="AK38" s="240">
        <f>'Disease burden'!AK393</f>
        <v>0.05105760957</v>
      </c>
      <c r="AL38" s="240">
        <f>'Disease burden'!AL393</f>
        <v>0.04675739277</v>
      </c>
      <c r="AM38" s="240">
        <f>'Disease burden'!AM393</f>
        <v>0.04684463929</v>
      </c>
      <c r="AN38" s="240">
        <f>'Disease burden'!AN393</f>
        <v>0.05502207695</v>
      </c>
      <c r="AO38" s="240">
        <f>'Disease burden'!AO393</f>
        <v>0.0587819625</v>
      </c>
      <c r="AP38" s="240">
        <f>'Disease burden'!AP393</f>
        <v>0.04771936573</v>
      </c>
      <c r="AQ38" s="240">
        <f>'Disease burden'!AQ393</f>
        <v>0.04090578849</v>
      </c>
      <c r="AR38" s="240">
        <f>'Disease burden'!AR393</f>
        <v>0.03537713748</v>
      </c>
      <c r="AS38" s="240">
        <f>'Disease burden'!AS393</f>
        <v>0.07972845517</v>
      </c>
      <c r="AT38" s="248"/>
    </row>
    <row r="39">
      <c r="A39" s="81"/>
      <c r="B39" s="81"/>
      <c r="C39" s="125"/>
      <c r="D39" s="125"/>
      <c r="E39" s="267"/>
      <c r="F39" s="83"/>
      <c r="G39" s="135"/>
      <c r="H39" s="85"/>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8"/>
    </row>
    <row r="40">
      <c r="A40" s="81"/>
      <c r="B40" s="81"/>
      <c r="C40" s="112" t="s">
        <v>281</v>
      </c>
      <c r="F40" s="83"/>
      <c r="G40" s="135"/>
      <c r="H40" s="85"/>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8"/>
    </row>
    <row r="41">
      <c r="A41" s="81"/>
      <c r="B41" s="81"/>
      <c r="C41" s="125"/>
      <c r="D41" s="125"/>
      <c r="E41" s="270" t="s">
        <v>282</v>
      </c>
      <c r="F41" s="189" t="s">
        <v>122</v>
      </c>
      <c r="G41" s="271" t="s">
        <v>149</v>
      </c>
      <c r="H41" s="156">
        <f t="shared" ref="H41:H48" si="2">AVERAGE(K31,N31,Q31)</f>
        <v>0.2290198892</v>
      </c>
      <c r="I41" s="273" t="s">
        <v>150</v>
      </c>
      <c r="J41" s="273" t="s">
        <v>150</v>
      </c>
      <c r="K41" s="273" t="s">
        <v>150</v>
      </c>
      <c r="L41" s="273" t="s">
        <v>150</v>
      </c>
      <c r="M41" s="273" t="s">
        <v>150</v>
      </c>
      <c r="N41" s="273" t="s">
        <v>150</v>
      </c>
      <c r="O41" s="273" t="s">
        <v>150</v>
      </c>
      <c r="P41" s="273" t="s">
        <v>150</v>
      </c>
      <c r="Q41" s="273" t="s">
        <v>150</v>
      </c>
      <c r="R41" s="273" t="s">
        <v>150</v>
      </c>
      <c r="S41" s="273" t="s">
        <v>150</v>
      </c>
      <c r="T41" s="273" t="s">
        <v>150</v>
      </c>
      <c r="U41" s="273" t="s">
        <v>150</v>
      </c>
      <c r="V41" s="273" t="s">
        <v>150</v>
      </c>
      <c r="W41" s="273" t="s">
        <v>150</v>
      </c>
      <c r="X41" s="273" t="s">
        <v>150</v>
      </c>
      <c r="Y41" s="273" t="s">
        <v>150</v>
      </c>
      <c r="Z41" s="273" t="s">
        <v>150</v>
      </c>
      <c r="AA41" s="273" t="s">
        <v>150</v>
      </c>
      <c r="AB41" s="273" t="s">
        <v>150</v>
      </c>
      <c r="AC41" s="273" t="s">
        <v>150</v>
      </c>
      <c r="AD41" s="273" t="s">
        <v>150</v>
      </c>
      <c r="AE41" s="273" t="s">
        <v>150</v>
      </c>
      <c r="AF41" s="273" t="s">
        <v>150</v>
      </c>
      <c r="AG41" s="273" t="s">
        <v>150</v>
      </c>
      <c r="AH41" s="273" t="s">
        <v>150</v>
      </c>
      <c r="AI41" s="273" t="s">
        <v>150</v>
      </c>
      <c r="AJ41" s="273" t="s">
        <v>150</v>
      </c>
      <c r="AK41" s="273" t="s">
        <v>150</v>
      </c>
      <c r="AL41" s="273" t="s">
        <v>150</v>
      </c>
      <c r="AM41" s="273" t="s">
        <v>150</v>
      </c>
      <c r="AN41" s="273" t="s">
        <v>150</v>
      </c>
      <c r="AO41" s="273" t="s">
        <v>150</v>
      </c>
      <c r="AP41" s="273" t="s">
        <v>150</v>
      </c>
      <c r="AQ41" s="273" t="s">
        <v>150</v>
      </c>
      <c r="AR41" s="273" t="s">
        <v>150</v>
      </c>
      <c r="AS41" s="273" t="s">
        <v>150</v>
      </c>
      <c r="AT41" s="136"/>
    </row>
    <row r="42">
      <c r="A42" s="81"/>
      <c r="B42" s="81"/>
      <c r="C42" s="125"/>
      <c r="D42" s="125"/>
      <c r="E42" s="275" t="s">
        <v>283</v>
      </c>
      <c r="F42" s="215" t="s">
        <v>122</v>
      </c>
      <c r="G42" s="276" t="s">
        <v>149</v>
      </c>
      <c r="H42" s="176">
        <f t="shared" si="2"/>
        <v>0.0615442234</v>
      </c>
      <c r="I42" s="232" t="s">
        <v>150</v>
      </c>
      <c r="J42" s="232" t="s">
        <v>150</v>
      </c>
      <c r="K42" s="232" t="s">
        <v>150</v>
      </c>
      <c r="L42" s="232" t="s">
        <v>150</v>
      </c>
      <c r="M42" s="232" t="s">
        <v>150</v>
      </c>
      <c r="N42" s="232" t="s">
        <v>150</v>
      </c>
      <c r="O42" s="232" t="s">
        <v>150</v>
      </c>
      <c r="P42" s="232" t="s">
        <v>150</v>
      </c>
      <c r="Q42" s="232" t="s">
        <v>150</v>
      </c>
      <c r="R42" s="232" t="s">
        <v>150</v>
      </c>
      <c r="S42" s="232" t="s">
        <v>150</v>
      </c>
      <c r="T42" s="232" t="s">
        <v>150</v>
      </c>
      <c r="U42" s="232" t="s">
        <v>150</v>
      </c>
      <c r="V42" s="232" t="s">
        <v>150</v>
      </c>
      <c r="W42" s="232" t="s">
        <v>150</v>
      </c>
      <c r="X42" s="232" t="s">
        <v>150</v>
      </c>
      <c r="Y42" s="232" t="s">
        <v>150</v>
      </c>
      <c r="Z42" s="232" t="s">
        <v>150</v>
      </c>
      <c r="AA42" s="232" t="s">
        <v>150</v>
      </c>
      <c r="AB42" s="232" t="s">
        <v>150</v>
      </c>
      <c r="AC42" s="232" t="s">
        <v>150</v>
      </c>
      <c r="AD42" s="232" t="s">
        <v>150</v>
      </c>
      <c r="AE42" s="232" t="s">
        <v>150</v>
      </c>
      <c r="AF42" s="232" t="s">
        <v>150</v>
      </c>
      <c r="AG42" s="232" t="s">
        <v>150</v>
      </c>
      <c r="AH42" s="232" t="s">
        <v>150</v>
      </c>
      <c r="AI42" s="232" t="s">
        <v>150</v>
      </c>
      <c r="AJ42" s="232" t="s">
        <v>150</v>
      </c>
      <c r="AK42" s="232" t="s">
        <v>150</v>
      </c>
      <c r="AL42" s="232" t="s">
        <v>150</v>
      </c>
      <c r="AM42" s="232" t="s">
        <v>150</v>
      </c>
      <c r="AN42" s="232" t="s">
        <v>150</v>
      </c>
      <c r="AO42" s="232" t="s">
        <v>150</v>
      </c>
      <c r="AP42" s="232" t="s">
        <v>150</v>
      </c>
      <c r="AQ42" s="232" t="s">
        <v>150</v>
      </c>
      <c r="AR42" s="232" t="s">
        <v>150</v>
      </c>
      <c r="AS42" s="232" t="s">
        <v>150</v>
      </c>
      <c r="AT42" s="163"/>
    </row>
    <row r="43">
      <c r="A43" s="81"/>
      <c r="B43" s="81"/>
      <c r="C43" s="125"/>
      <c r="D43" s="125"/>
      <c r="E43" s="275" t="s">
        <v>285</v>
      </c>
      <c r="F43" s="215" t="s">
        <v>122</v>
      </c>
      <c r="G43" s="276" t="s">
        <v>149</v>
      </c>
      <c r="H43" s="176">
        <f t="shared" si="2"/>
        <v>0.09671235106</v>
      </c>
      <c r="I43" s="232" t="s">
        <v>150</v>
      </c>
      <c r="J43" s="232" t="s">
        <v>150</v>
      </c>
      <c r="K43" s="232" t="s">
        <v>150</v>
      </c>
      <c r="L43" s="232" t="s">
        <v>150</v>
      </c>
      <c r="M43" s="232" t="s">
        <v>150</v>
      </c>
      <c r="N43" s="232" t="s">
        <v>150</v>
      </c>
      <c r="O43" s="232" t="s">
        <v>150</v>
      </c>
      <c r="P43" s="232" t="s">
        <v>150</v>
      </c>
      <c r="Q43" s="232" t="s">
        <v>150</v>
      </c>
      <c r="R43" s="232" t="s">
        <v>150</v>
      </c>
      <c r="S43" s="232" t="s">
        <v>150</v>
      </c>
      <c r="T43" s="232" t="s">
        <v>150</v>
      </c>
      <c r="U43" s="232" t="s">
        <v>150</v>
      </c>
      <c r="V43" s="232" t="s">
        <v>150</v>
      </c>
      <c r="W43" s="232" t="s">
        <v>150</v>
      </c>
      <c r="X43" s="232" t="s">
        <v>150</v>
      </c>
      <c r="Y43" s="232" t="s">
        <v>150</v>
      </c>
      <c r="Z43" s="232" t="s">
        <v>150</v>
      </c>
      <c r="AA43" s="232" t="s">
        <v>150</v>
      </c>
      <c r="AB43" s="232" t="s">
        <v>150</v>
      </c>
      <c r="AC43" s="232" t="s">
        <v>150</v>
      </c>
      <c r="AD43" s="232" t="s">
        <v>150</v>
      </c>
      <c r="AE43" s="232" t="s">
        <v>150</v>
      </c>
      <c r="AF43" s="232" t="s">
        <v>150</v>
      </c>
      <c r="AG43" s="232" t="s">
        <v>150</v>
      </c>
      <c r="AH43" s="232" t="s">
        <v>150</v>
      </c>
      <c r="AI43" s="232" t="s">
        <v>150</v>
      </c>
      <c r="AJ43" s="232" t="s">
        <v>150</v>
      </c>
      <c r="AK43" s="232" t="s">
        <v>150</v>
      </c>
      <c r="AL43" s="232" t="s">
        <v>150</v>
      </c>
      <c r="AM43" s="232" t="s">
        <v>150</v>
      </c>
      <c r="AN43" s="232" t="s">
        <v>150</v>
      </c>
      <c r="AO43" s="232" t="s">
        <v>150</v>
      </c>
      <c r="AP43" s="232" t="s">
        <v>150</v>
      </c>
      <c r="AQ43" s="232" t="s">
        <v>150</v>
      </c>
      <c r="AR43" s="232" t="s">
        <v>150</v>
      </c>
      <c r="AS43" s="232" t="s">
        <v>150</v>
      </c>
      <c r="AT43" s="163"/>
    </row>
    <row r="44">
      <c r="A44" s="81"/>
      <c r="B44" s="81"/>
      <c r="C44" s="125"/>
      <c r="D44" s="125"/>
      <c r="E44" s="275" t="s">
        <v>286</v>
      </c>
      <c r="F44" s="215" t="s">
        <v>122</v>
      </c>
      <c r="G44" s="276" t="s">
        <v>149</v>
      </c>
      <c r="H44" s="176">
        <f t="shared" si="2"/>
        <v>0.01758406383</v>
      </c>
      <c r="I44" s="232" t="s">
        <v>150</v>
      </c>
      <c r="J44" s="232" t="s">
        <v>150</v>
      </c>
      <c r="K44" s="232" t="s">
        <v>150</v>
      </c>
      <c r="L44" s="232" t="s">
        <v>150</v>
      </c>
      <c r="M44" s="232" t="s">
        <v>150</v>
      </c>
      <c r="N44" s="232" t="s">
        <v>150</v>
      </c>
      <c r="O44" s="232" t="s">
        <v>150</v>
      </c>
      <c r="P44" s="232" t="s">
        <v>150</v>
      </c>
      <c r="Q44" s="232" t="s">
        <v>150</v>
      </c>
      <c r="R44" s="232" t="s">
        <v>150</v>
      </c>
      <c r="S44" s="232" t="s">
        <v>150</v>
      </c>
      <c r="T44" s="232" t="s">
        <v>150</v>
      </c>
      <c r="U44" s="232" t="s">
        <v>150</v>
      </c>
      <c r="V44" s="232" t="s">
        <v>150</v>
      </c>
      <c r="W44" s="232" t="s">
        <v>150</v>
      </c>
      <c r="X44" s="232" t="s">
        <v>150</v>
      </c>
      <c r="Y44" s="232" t="s">
        <v>150</v>
      </c>
      <c r="Z44" s="232" t="s">
        <v>150</v>
      </c>
      <c r="AA44" s="232" t="s">
        <v>150</v>
      </c>
      <c r="AB44" s="232" t="s">
        <v>150</v>
      </c>
      <c r="AC44" s="232" t="s">
        <v>150</v>
      </c>
      <c r="AD44" s="232" t="s">
        <v>150</v>
      </c>
      <c r="AE44" s="232" t="s">
        <v>150</v>
      </c>
      <c r="AF44" s="232" t="s">
        <v>150</v>
      </c>
      <c r="AG44" s="232" t="s">
        <v>150</v>
      </c>
      <c r="AH44" s="232" t="s">
        <v>150</v>
      </c>
      <c r="AI44" s="232" t="s">
        <v>150</v>
      </c>
      <c r="AJ44" s="232" t="s">
        <v>150</v>
      </c>
      <c r="AK44" s="232" t="s">
        <v>150</v>
      </c>
      <c r="AL44" s="232" t="s">
        <v>150</v>
      </c>
      <c r="AM44" s="232" t="s">
        <v>150</v>
      </c>
      <c r="AN44" s="232" t="s">
        <v>150</v>
      </c>
      <c r="AO44" s="232" t="s">
        <v>150</v>
      </c>
      <c r="AP44" s="232" t="s">
        <v>150</v>
      </c>
      <c r="AQ44" s="232" t="s">
        <v>150</v>
      </c>
      <c r="AR44" s="232" t="s">
        <v>150</v>
      </c>
      <c r="AS44" s="232" t="s">
        <v>150</v>
      </c>
      <c r="AT44" s="163"/>
    </row>
    <row r="45">
      <c r="A45" s="81"/>
      <c r="B45" s="81"/>
      <c r="C45" s="125"/>
      <c r="D45" s="125"/>
      <c r="E45" s="275" t="s">
        <v>287</v>
      </c>
      <c r="F45" s="215" t="s">
        <v>122</v>
      </c>
      <c r="G45" s="276" t="s">
        <v>149</v>
      </c>
      <c r="H45" s="176">
        <f t="shared" si="2"/>
        <v>0.1055660332</v>
      </c>
      <c r="I45" s="232" t="s">
        <v>150</v>
      </c>
      <c r="J45" s="232" t="s">
        <v>150</v>
      </c>
      <c r="K45" s="232" t="s">
        <v>150</v>
      </c>
      <c r="L45" s="232" t="s">
        <v>150</v>
      </c>
      <c r="M45" s="232" t="s">
        <v>150</v>
      </c>
      <c r="N45" s="232" t="s">
        <v>150</v>
      </c>
      <c r="O45" s="232" t="s">
        <v>150</v>
      </c>
      <c r="P45" s="232" t="s">
        <v>150</v>
      </c>
      <c r="Q45" s="232" t="s">
        <v>150</v>
      </c>
      <c r="R45" s="232" t="s">
        <v>150</v>
      </c>
      <c r="S45" s="232" t="s">
        <v>150</v>
      </c>
      <c r="T45" s="232" t="s">
        <v>150</v>
      </c>
      <c r="U45" s="232" t="s">
        <v>150</v>
      </c>
      <c r="V45" s="232" t="s">
        <v>150</v>
      </c>
      <c r="W45" s="232" t="s">
        <v>150</v>
      </c>
      <c r="X45" s="232" t="s">
        <v>150</v>
      </c>
      <c r="Y45" s="232" t="s">
        <v>150</v>
      </c>
      <c r="Z45" s="232" t="s">
        <v>150</v>
      </c>
      <c r="AA45" s="232" t="s">
        <v>150</v>
      </c>
      <c r="AB45" s="232" t="s">
        <v>150</v>
      </c>
      <c r="AC45" s="232" t="s">
        <v>150</v>
      </c>
      <c r="AD45" s="232" t="s">
        <v>150</v>
      </c>
      <c r="AE45" s="232" t="s">
        <v>150</v>
      </c>
      <c r="AF45" s="232" t="s">
        <v>150</v>
      </c>
      <c r="AG45" s="232" t="s">
        <v>150</v>
      </c>
      <c r="AH45" s="232" t="s">
        <v>150</v>
      </c>
      <c r="AI45" s="232" t="s">
        <v>150</v>
      </c>
      <c r="AJ45" s="232" t="s">
        <v>150</v>
      </c>
      <c r="AK45" s="232" t="s">
        <v>150</v>
      </c>
      <c r="AL45" s="232" t="s">
        <v>150</v>
      </c>
      <c r="AM45" s="232" t="s">
        <v>150</v>
      </c>
      <c r="AN45" s="232" t="s">
        <v>150</v>
      </c>
      <c r="AO45" s="232" t="s">
        <v>150</v>
      </c>
      <c r="AP45" s="232" t="s">
        <v>150</v>
      </c>
      <c r="AQ45" s="232" t="s">
        <v>150</v>
      </c>
      <c r="AR45" s="232" t="s">
        <v>150</v>
      </c>
      <c r="AS45" s="232" t="s">
        <v>150</v>
      </c>
      <c r="AT45" s="163"/>
    </row>
    <row r="46">
      <c r="A46" s="81"/>
      <c r="B46" s="81"/>
      <c r="C46" s="125"/>
      <c r="D46" s="125"/>
      <c r="E46" s="275" t="s">
        <v>291</v>
      </c>
      <c r="F46" s="215" t="s">
        <v>122</v>
      </c>
      <c r="G46" s="276" t="s">
        <v>149</v>
      </c>
      <c r="H46" s="176">
        <f t="shared" si="2"/>
        <v>0.1658894808</v>
      </c>
      <c r="I46" s="232" t="s">
        <v>150</v>
      </c>
      <c r="J46" s="232" t="s">
        <v>150</v>
      </c>
      <c r="K46" s="232" t="s">
        <v>150</v>
      </c>
      <c r="L46" s="232" t="s">
        <v>150</v>
      </c>
      <c r="M46" s="232" t="s">
        <v>150</v>
      </c>
      <c r="N46" s="232" t="s">
        <v>150</v>
      </c>
      <c r="O46" s="232" t="s">
        <v>150</v>
      </c>
      <c r="P46" s="232" t="s">
        <v>150</v>
      </c>
      <c r="Q46" s="232" t="s">
        <v>150</v>
      </c>
      <c r="R46" s="232" t="s">
        <v>150</v>
      </c>
      <c r="S46" s="232" t="s">
        <v>150</v>
      </c>
      <c r="T46" s="232" t="s">
        <v>150</v>
      </c>
      <c r="U46" s="232" t="s">
        <v>150</v>
      </c>
      <c r="V46" s="232" t="s">
        <v>150</v>
      </c>
      <c r="W46" s="232" t="s">
        <v>150</v>
      </c>
      <c r="X46" s="232" t="s">
        <v>150</v>
      </c>
      <c r="Y46" s="232" t="s">
        <v>150</v>
      </c>
      <c r="Z46" s="232" t="s">
        <v>150</v>
      </c>
      <c r="AA46" s="232" t="s">
        <v>150</v>
      </c>
      <c r="AB46" s="232" t="s">
        <v>150</v>
      </c>
      <c r="AC46" s="232" t="s">
        <v>150</v>
      </c>
      <c r="AD46" s="232" t="s">
        <v>150</v>
      </c>
      <c r="AE46" s="232" t="s">
        <v>150</v>
      </c>
      <c r="AF46" s="232" t="s">
        <v>150</v>
      </c>
      <c r="AG46" s="232" t="s">
        <v>150</v>
      </c>
      <c r="AH46" s="232" t="s">
        <v>150</v>
      </c>
      <c r="AI46" s="232" t="s">
        <v>150</v>
      </c>
      <c r="AJ46" s="232" t="s">
        <v>150</v>
      </c>
      <c r="AK46" s="232" t="s">
        <v>150</v>
      </c>
      <c r="AL46" s="232" t="s">
        <v>150</v>
      </c>
      <c r="AM46" s="232" t="s">
        <v>150</v>
      </c>
      <c r="AN46" s="232" t="s">
        <v>150</v>
      </c>
      <c r="AO46" s="232" t="s">
        <v>150</v>
      </c>
      <c r="AP46" s="232" t="s">
        <v>150</v>
      </c>
      <c r="AQ46" s="232" t="s">
        <v>150</v>
      </c>
      <c r="AR46" s="232" t="s">
        <v>150</v>
      </c>
      <c r="AS46" s="232" t="s">
        <v>150</v>
      </c>
      <c r="AT46" s="163"/>
    </row>
    <row r="47">
      <c r="A47" s="81"/>
      <c r="B47" s="81"/>
      <c r="C47" s="125"/>
      <c r="D47" s="125"/>
      <c r="E47" s="275" t="s">
        <v>292</v>
      </c>
      <c r="F47" s="215" t="s">
        <v>122</v>
      </c>
      <c r="G47" s="276" t="s">
        <v>149</v>
      </c>
      <c r="H47" s="176">
        <f t="shared" si="2"/>
        <v>0.03016172378</v>
      </c>
      <c r="I47" s="232" t="s">
        <v>150</v>
      </c>
      <c r="J47" s="232" t="s">
        <v>150</v>
      </c>
      <c r="K47" s="232" t="s">
        <v>150</v>
      </c>
      <c r="L47" s="232" t="s">
        <v>150</v>
      </c>
      <c r="M47" s="232" t="s">
        <v>150</v>
      </c>
      <c r="N47" s="232" t="s">
        <v>150</v>
      </c>
      <c r="O47" s="232" t="s">
        <v>150</v>
      </c>
      <c r="P47" s="232" t="s">
        <v>150</v>
      </c>
      <c r="Q47" s="232" t="s">
        <v>150</v>
      </c>
      <c r="R47" s="232" t="s">
        <v>150</v>
      </c>
      <c r="S47" s="232" t="s">
        <v>150</v>
      </c>
      <c r="T47" s="232" t="s">
        <v>150</v>
      </c>
      <c r="U47" s="232" t="s">
        <v>150</v>
      </c>
      <c r="V47" s="232" t="s">
        <v>150</v>
      </c>
      <c r="W47" s="232" t="s">
        <v>150</v>
      </c>
      <c r="X47" s="232" t="s">
        <v>150</v>
      </c>
      <c r="Y47" s="232" t="s">
        <v>150</v>
      </c>
      <c r="Z47" s="232" t="s">
        <v>150</v>
      </c>
      <c r="AA47" s="232" t="s">
        <v>150</v>
      </c>
      <c r="AB47" s="232" t="s">
        <v>150</v>
      </c>
      <c r="AC47" s="232" t="s">
        <v>150</v>
      </c>
      <c r="AD47" s="232" t="s">
        <v>150</v>
      </c>
      <c r="AE47" s="232" t="s">
        <v>150</v>
      </c>
      <c r="AF47" s="232" t="s">
        <v>150</v>
      </c>
      <c r="AG47" s="232" t="s">
        <v>150</v>
      </c>
      <c r="AH47" s="232" t="s">
        <v>150</v>
      </c>
      <c r="AI47" s="232" t="s">
        <v>150</v>
      </c>
      <c r="AJ47" s="232" t="s">
        <v>150</v>
      </c>
      <c r="AK47" s="232" t="s">
        <v>150</v>
      </c>
      <c r="AL47" s="232" t="s">
        <v>150</v>
      </c>
      <c r="AM47" s="232" t="s">
        <v>150</v>
      </c>
      <c r="AN47" s="232" t="s">
        <v>150</v>
      </c>
      <c r="AO47" s="232" t="s">
        <v>150</v>
      </c>
      <c r="AP47" s="232" t="s">
        <v>150</v>
      </c>
      <c r="AQ47" s="232" t="s">
        <v>150</v>
      </c>
      <c r="AR47" s="232" t="s">
        <v>150</v>
      </c>
      <c r="AS47" s="232" t="s">
        <v>150</v>
      </c>
      <c r="AT47" s="163"/>
    </row>
    <row r="48">
      <c r="A48" s="81"/>
      <c r="B48" s="81"/>
      <c r="C48" s="125"/>
      <c r="D48" s="125"/>
      <c r="E48" s="290" t="s">
        <v>293</v>
      </c>
      <c r="F48" s="195" t="s">
        <v>122</v>
      </c>
      <c r="G48" s="291" t="s">
        <v>149</v>
      </c>
      <c r="H48" s="234">
        <f t="shared" si="2"/>
        <v>0.07307674944</v>
      </c>
      <c r="I48" s="292" t="s">
        <v>150</v>
      </c>
      <c r="J48" s="292" t="s">
        <v>150</v>
      </c>
      <c r="K48" s="292" t="s">
        <v>150</v>
      </c>
      <c r="L48" s="292" t="s">
        <v>150</v>
      </c>
      <c r="M48" s="292" t="s">
        <v>150</v>
      </c>
      <c r="N48" s="292" t="s">
        <v>150</v>
      </c>
      <c r="O48" s="292" t="s">
        <v>150</v>
      </c>
      <c r="P48" s="292" t="s">
        <v>150</v>
      </c>
      <c r="Q48" s="292" t="s">
        <v>150</v>
      </c>
      <c r="R48" s="292" t="s">
        <v>150</v>
      </c>
      <c r="S48" s="292" t="s">
        <v>150</v>
      </c>
      <c r="T48" s="292" t="s">
        <v>150</v>
      </c>
      <c r="U48" s="292" t="s">
        <v>150</v>
      </c>
      <c r="V48" s="292" t="s">
        <v>150</v>
      </c>
      <c r="W48" s="292" t="s">
        <v>150</v>
      </c>
      <c r="X48" s="292" t="s">
        <v>150</v>
      </c>
      <c r="Y48" s="292" t="s">
        <v>150</v>
      </c>
      <c r="Z48" s="292" t="s">
        <v>150</v>
      </c>
      <c r="AA48" s="292" t="s">
        <v>150</v>
      </c>
      <c r="AB48" s="292" t="s">
        <v>150</v>
      </c>
      <c r="AC48" s="292" t="s">
        <v>150</v>
      </c>
      <c r="AD48" s="292" t="s">
        <v>150</v>
      </c>
      <c r="AE48" s="292" t="s">
        <v>150</v>
      </c>
      <c r="AF48" s="292" t="s">
        <v>150</v>
      </c>
      <c r="AG48" s="292" t="s">
        <v>150</v>
      </c>
      <c r="AH48" s="292" t="s">
        <v>150</v>
      </c>
      <c r="AI48" s="292" t="s">
        <v>150</v>
      </c>
      <c r="AJ48" s="292" t="s">
        <v>150</v>
      </c>
      <c r="AK48" s="292" t="s">
        <v>150</v>
      </c>
      <c r="AL48" s="292" t="s">
        <v>150</v>
      </c>
      <c r="AM48" s="292" t="s">
        <v>150</v>
      </c>
      <c r="AN48" s="292" t="s">
        <v>150</v>
      </c>
      <c r="AO48" s="292" t="s">
        <v>150</v>
      </c>
      <c r="AP48" s="292" t="s">
        <v>150</v>
      </c>
      <c r="AQ48" s="292" t="s">
        <v>150</v>
      </c>
      <c r="AR48" s="292" t="s">
        <v>150</v>
      </c>
      <c r="AS48" s="292" t="s">
        <v>150</v>
      </c>
      <c r="AT48" s="248"/>
    </row>
    <row r="49">
      <c r="A49" s="81"/>
      <c r="B49" s="81"/>
      <c r="C49" s="125"/>
      <c r="D49" s="125"/>
      <c r="E49" s="267"/>
      <c r="F49" s="83"/>
      <c r="G49" s="135"/>
      <c r="H49" s="85"/>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8"/>
    </row>
    <row r="50">
      <c r="A50" s="81"/>
      <c r="B50" s="81"/>
      <c r="C50" s="269" t="s">
        <v>294</v>
      </c>
      <c r="F50" s="83"/>
      <c r="G50" s="135"/>
      <c r="H50" s="85"/>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8"/>
    </row>
    <row r="51">
      <c r="A51" s="81"/>
      <c r="B51" s="81"/>
      <c r="C51" s="125"/>
      <c r="D51" s="125"/>
      <c r="E51" s="270" t="s">
        <v>296</v>
      </c>
      <c r="F51" s="189" t="s">
        <v>122</v>
      </c>
      <c r="G51" s="271" t="s">
        <v>149</v>
      </c>
      <c r="H51" s="156">
        <f>SUMPRODUCT(H21:H28,H41:H48)/SUM(H41:H48)</f>
        <v>0.3557540539</v>
      </c>
      <c r="I51" s="273" t="s">
        <v>150</v>
      </c>
      <c r="J51" s="273" t="s">
        <v>150</v>
      </c>
      <c r="K51" s="273" t="s">
        <v>150</v>
      </c>
      <c r="L51" s="273" t="s">
        <v>150</v>
      </c>
      <c r="M51" s="273" t="s">
        <v>150</v>
      </c>
      <c r="N51" s="273" t="s">
        <v>150</v>
      </c>
      <c r="O51" s="273" t="s">
        <v>150</v>
      </c>
      <c r="P51" s="273" t="s">
        <v>150</v>
      </c>
      <c r="Q51" s="273" t="s">
        <v>150</v>
      </c>
      <c r="R51" s="273" t="s">
        <v>150</v>
      </c>
      <c r="S51" s="273" t="s">
        <v>150</v>
      </c>
      <c r="T51" s="273" t="s">
        <v>150</v>
      </c>
      <c r="U51" s="273" t="s">
        <v>150</v>
      </c>
      <c r="V51" s="273" t="s">
        <v>150</v>
      </c>
      <c r="W51" s="273" t="s">
        <v>150</v>
      </c>
      <c r="X51" s="273" t="s">
        <v>150</v>
      </c>
      <c r="Y51" s="273" t="s">
        <v>150</v>
      </c>
      <c r="Z51" s="273" t="s">
        <v>150</v>
      </c>
      <c r="AA51" s="273" t="s">
        <v>150</v>
      </c>
      <c r="AB51" s="273" t="s">
        <v>150</v>
      </c>
      <c r="AC51" s="273" t="s">
        <v>150</v>
      </c>
      <c r="AD51" s="273" t="s">
        <v>150</v>
      </c>
      <c r="AE51" s="273" t="s">
        <v>150</v>
      </c>
      <c r="AF51" s="273" t="s">
        <v>150</v>
      </c>
      <c r="AG51" s="273" t="s">
        <v>150</v>
      </c>
      <c r="AH51" s="273" t="s">
        <v>150</v>
      </c>
      <c r="AI51" s="273" t="s">
        <v>150</v>
      </c>
      <c r="AJ51" s="273" t="s">
        <v>150</v>
      </c>
      <c r="AK51" s="273" t="s">
        <v>150</v>
      </c>
      <c r="AL51" s="273" t="s">
        <v>150</v>
      </c>
      <c r="AM51" s="273" t="s">
        <v>150</v>
      </c>
      <c r="AN51" s="273" t="s">
        <v>150</v>
      </c>
      <c r="AO51" s="273" t="s">
        <v>150</v>
      </c>
      <c r="AP51" s="273" t="s">
        <v>150</v>
      </c>
      <c r="AQ51" s="273" t="s">
        <v>150</v>
      </c>
      <c r="AR51" s="273" t="s">
        <v>150</v>
      </c>
      <c r="AS51" s="273" t="s">
        <v>150</v>
      </c>
      <c r="AT51" s="136"/>
    </row>
    <row r="52">
      <c r="A52" s="81"/>
      <c r="B52" s="81"/>
      <c r="C52" s="125"/>
      <c r="D52" s="125"/>
      <c r="E52" s="290" t="s">
        <v>299</v>
      </c>
      <c r="F52" s="195" t="s">
        <v>122</v>
      </c>
      <c r="G52" s="291" t="s">
        <v>149</v>
      </c>
      <c r="H52" s="234">
        <f>1-H51</f>
        <v>0.6442459461</v>
      </c>
      <c r="I52" s="292" t="s">
        <v>150</v>
      </c>
      <c r="J52" s="292" t="s">
        <v>150</v>
      </c>
      <c r="K52" s="292" t="s">
        <v>150</v>
      </c>
      <c r="L52" s="292" t="s">
        <v>150</v>
      </c>
      <c r="M52" s="292" t="s">
        <v>150</v>
      </c>
      <c r="N52" s="292" t="s">
        <v>150</v>
      </c>
      <c r="O52" s="292" t="s">
        <v>150</v>
      </c>
      <c r="P52" s="292" t="s">
        <v>150</v>
      </c>
      <c r="Q52" s="292" t="s">
        <v>150</v>
      </c>
      <c r="R52" s="292" t="s">
        <v>150</v>
      </c>
      <c r="S52" s="292" t="s">
        <v>150</v>
      </c>
      <c r="T52" s="292" t="s">
        <v>150</v>
      </c>
      <c r="U52" s="292" t="s">
        <v>150</v>
      </c>
      <c r="V52" s="292" t="s">
        <v>150</v>
      </c>
      <c r="W52" s="292" t="s">
        <v>150</v>
      </c>
      <c r="X52" s="292" t="s">
        <v>150</v>
      </c>
      <c r="Y52" s="292" t="s">
        <v>150</v>
      </c>
      <c r="Z52" s="292" t="s">
        <v>150</v>
      </c>
      <c r="AA52" s="292" t="s">
        <v>150</v>
      </c>
      <c r="AB52" s="292" t="s">
        <v>150</v>
      </c>
      <c r="AC52" s="292" t="s">
        <v>150</v>
      </c>
      <c r="AD52" s="292" t="s">
        <v>150</v>
      </c>
      <c r="AE52" s="292" t="s">
        <v>150</v>
      </c>
      <c r="AF52" s="292" t="s">
        <v>150</v>
      </c>
      <c r="AG52" s="292" t="s">
        <v>150</v>
      </c>
      <c r="AH52" s="292" t="s">
        <v>150</v>
      </c>
      <c r="AI52" s="292" t="s">
        <v>150</v>
      </c>
      <c r="AJ52" s="292" t="s">
        <v>150</v>
      </c>
      <c r="AK52" s="292" t="s">
        <v>150</v>
      </c>
      <c r="AL52" s="292" t="s">
        <v>150</v>
      </c>
      <c r="AM52" s="292" t="s">
        <v>150</v>
      </c>
      <c r="AN52" s="292" t="s">
        <v>150</v>
      </c>
      <c r="AO52" s="292" t="s">
        <v>150</v>
      </c>
      <c r="AP52" s="292" t="s">
        <v>150</v>
      </c>
      <c r="AQ52" s="292" t="s">
        <v>150</v>
      </c>
      <c r="AR52" s="292" t="s">
        <v>150</v>
      </c>
      <c r="AS52" s="292" t="s">
        <v>150</v>
      </c>
      <c r="AT52" s="248"/>
    </row>
    <row r="53">
      <c r="A53" s="81"/>
      <c r="B53" s="81"/>
      <c r="C53" s="125"/>
      <c r="D53" s="125"/>
      <c r="E53" s="267"/>
      <c r="F53" s="83"/>
      <c r="G53" s="135"/>
      <c r="H53" s="85"/>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8"/>
    </row>
    <row r="54">
      <c r="A54" s="72"/>
      <c r="B54" s="14"/>
      <c r="C54" s="14"/>
      <c r="D54" s="14"/>
      <c r="E54" s="14"/>
      <c r="F54" s="14"/>
      <c r="G54" s="14"/>
      <c r="H54" s="168"/>
      <c r="I54" s="261"/>
      <c r="J54" s="261"/>
      <c r="K54" s="261"/>
      <c r="L54" s="261"/>
      <c r="M54" s="261"/>
      <c r="N54" s="261"/>
      <c r="O54" s="261"/>
      <c r="P54" s="261"/>
      <c r="Q54" s="261"/>
      <c r="R54" s="261"/>
      <c r="S54" s="261"/>
      <c r="T54" s="261"/>
      <c r="U54" s="261"/>
      <c r="V54" s="261"/>
      <c r="W54" s="261"/>
      <c r="X54" s="261"/>
      <c r="Y54" s="261"/>
      <c r="Z54" s="261"/>
      <c r="AA54" s="261"/>
      <c r="AB54" s="261"/>
      <c r="AC54" s="261"/>
      <c r="AD54" s="261"/>
      <c r="AE54" s="261"/>
      <c r="AF54" s="261"/>
      <c r="AG54" s="261"/>
      <c r="AH54" s="261"/>
      <c r="AI54" s="261"/>
      <c r="AJ54" s="261"/>
      <c r="AK54" s="261"/>
      <c r="AL54" s="261"/>
      <c r="AM54" s="261"/>
      <c r="AN54" s="261"/>
      <c r="AO54" s="261"/>
      <c r="AP54" s="261"/>
      <c r="AQ54" s="261"/>
      <c r="AR54" s="261"/>
      <c r="AS54" s="261"/>
      <c r="AT54" s="171"/>
    </row>
    <row r="55">
      <c r="A55" s="80"/>
      <c r="B55" s="81"/>
      <c r="C55" s="81"/>
      <c r="D55" s="81"/>
      <c r="E55" s="82"/>
      <c r="F55" s="83"/>
      <c r="G55" s="173"/>
      <c r="H55" s="85"/>
      <c r="I55" s="174"/>
      <c r="J55" s="174"/>
      <c r="K55" s="174"/>
      <c r="L55" s="174"/>
      <c r="M55" s="174"/>
      <c r="N55" s="174"/>
      <c r="O55" s="174"/>
      <c r="P55" s="174"/>
      <c r="Q55" s="174"/>
      <c r="R55" s="86"/>
      <c r="S55" s="174"/>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c r="AR55" s="174"/>
      <c r="AS55" s="174"/>
      <c r="AT55" s="88"/>
    </row>
    <row r="56">
      <c r="A56" s="80"/>
      <c r="B56" s="81"/>
      <c r="C56" s="125" t="s">
        <v>303</v>
      </c>
      <c r="F56" s="83"/>
      <c r="G56" s="91"/>
      <c r="H56" s="85"/>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8"/>
    </row>
    <row r="57">
      <c r="A57" s="80"/>
      <c r="B57" s="81"/>
      <c r="C57" s="90"/>
      <c r="D57" s="90"/>
      <c r="E57" s="113" t="s">
        <v>306</v>
      </c>
      <c r="F57" s="189" t="str">
        <f>Inputs!F208</f>
        <v>%</v>
      </c>
      <c r="G57" s="190" t="str">
        <f>Inputs!G208</f>
        <v>input</v>
      </c>
      <c r="H57" s="156">
        <f>Inputs!H208</f>
        <v>0.1642</v>
      </c>
      <c r="I57" s="157" t="str">
        <f>Inputs!I208</f>
        <v>-</v>
      </c>
      <c r="J57" s="157" t="str">
        <f>Inputs!J208</f>
        <v>-</v>
      </c>
      <c r="K57" s="157" t="str">
        <f>Inputs!K208</f>
        <v>-</v>
      </c>
      <c r="L57" s="157" t="str">
        <f>Inputs!L208</f>
        <v>-</v>
      </c>
      <c r="M57" s="157" t="str">
        <f>Inputs!M208</f>
        <v>-</v>
      </c>
      <c r="N57" s="157" t="str">
        <f>Inputs!N208</f>
        <v>-</v>
      </c>
      <c r="O57" s="157" t="str">
        <f>Inputs!O208</f>
        <v>-</v>
      </c>
      <c r="P57" s="157" t="str">
        <f>Inputs!P208</f>
        <v>-</v>
      </c>
      <c r="Q57" s="157" t="str">
        <f>Inputs!Q208</f>
        <v>-</v>
      </c>
      <c r="R57" s="157" t="str">
        <f>Inputs!R208</f>
        <v>-</v>
      </c>
      <c r="S57" s="157" t="str">
        <f>Inputs!S208</f>
        <v>-</v>
      </c>
      <c r="T57" s="119" t="str">
        <f>Inputs!T208</f>
        <v>-</v>
      </c>
      <c r="U57" s="157" t="str">
        <f>Inputs!U208</f>
        <v>-</v>
      </c>
      <c r="V57" s="157" t="str">
        <f>Inputs!V208</f>
        <v>-</v>
      </c>
      <c r="W57" s="157" t="str">
        <f>Inputs!W208</f>
        <v>-</v>
      </c>
      <c r="X57" s="157" t="str">
        <f>Inputs!X208</f>
        <v>-</v>
      </c>
      <c r="Y57" s="157" t="str">
        <f>Inputs!Y208</f>
        <v>-</v>
      </c>
      <c r="Z57" s="157" t="str">
        <f>Inputs!Z208</f>
        <v>-</v>
      </c>
      <c r="AA57" s="157" t="str">
        <f>Inputs!AA208</f>
        <v>-</v>
      </c>
      <c r="AB57" s="157" t="str">
        <f>Inputs!AB208</f>
        <v>-</v>
      </c>
      <c r="AC57" s="157" t="str">
        <f>Inputs!AC208</f>
        <v>-</v>
      </c>
      <c r="AD57" s="157" t="str">
        <f>Inputs!AD208</f>
        <v>-</v>
      </c>
      <c r="AE57" s="157" t="str">
        <f>Inputs!AE208</f>
        <v>-</v>
      </c>
      <c r="AF57" s="157" t="str">
        <f>Inputs!AF208</f>
        <v>-</v>
      </c>
      <c r="AG57" s="157" t="str">
        <f>Inputs!AG208</f>
        <v>-</v>
      </c>
      <c r="AH57" s="157" t="str">
        <f>Inputs!AH208</f>
        <v>-</v>
      </c>
      <c r="AI57" s="157" t="str">
        <f>Inputs!AI208</f>
        <v>-</v>
      </c>
      <c r="AJ57" s="157" t="str">
        <f>Inputs!AJ208</f>
        <v>-</v>
      </c>
      <c r="AK57" s="157" t="str">
        <f>Inputs!AK208</f>
        <v>-</v>
      </c>
      <c r="AL57" s="157" t="str">
        <f>Inputs!AL208</f>
        <v>-</v>
      </c>
      <c r="AM57" s="157" t="str">
        <f>Inputs!AM208</f>
        <v>-</v>
      </c>
      <c r="AN57" s="157" t="str">
        <f>Inputs!AN208</f>
        <v>-</v>
      </c>
      <c r="AO57" s="157" t="str">
        <f>Inputs!AO208</f>
        <v>-</v>
      </c>
      <c r="AP57" s="157" t="str">
        <f>Inputs!AP208</f>
        <v>-</v>
      </c>
      <c r="AQ57" s="157" t="str">
        <f>Inputs!AQ208</f>
        <v>-</v>
      </c>
      <c r="AR57" s="157" t="str">
        <f>Inputs!AR208</f>
        <v>-</v>
      </c>
      <c r="AS57" s="157" t="str">
        <f>Inputs!AS208</f>
        <v>-</v>
      </c>
      <c r="AT57" s="136"/>
    </row>
    <row r="58">
      <c r="A58" s="80"/>
      <c r="B58" s="81"/>
      <c r="C58" s="90"/>
      <c r="D58" s="90"/>
      <c r="E58" s="113" t="s">
        <v>310</v>
      </c>
      <c r="F58" s="189" t="str">
        <f>Inputs!F209</f>
        <v>%</v>
      </c>
      <c r="G58" s="190" t="str">
        <f>Inputs!G209</f>
        <v>input</v>
      </c>
      <c r="H58" s="156">
        <f>Inputs!H209</f>
        <v>0.2093</v>
      </c>
      <c r="I58" s="157" t="str">
        <f>Inputs!I209</f>
        <v>-</v>
      </c>
      <c r="J58" s="157" t="str">
        <f>Inputs!J209</f>
        <v>-</v>
      </c>
      <c r="K58" s="157" t="str">
        <f>Inputs!K209</f>
        <v>-</v>
      </c>
      <c r="L58" s="157" t="str">
        <f>Inputs!L209</f>
        <v>-</v>
      </c>
      <c r="M58" s="157" t="str">
        <f>Inputs!M209</f>
        <v>-</v>
      </c>
      <c r="N58" s="157" t="str">
        <f>Inputs!N209</f>
        <v>-</v>
      </c>
      <c r="O58" s="157" t="str">
        <f>Inputs!O209</f>
        <v>-</v>
      </c>
      <c r="P58" s="157" t="str">
        <f>Inputs!P209</f>
        <v>-</v>
      </c>
      <c r="Q58" s="157" t="str">
        <f>Inputs!Q209</f>
        <v>-</v>
      </c>
      <c r="R58" s="157" t="str">
        <f>Inputs!R209</f>
        <v>-</v>
      </c>
      <c r="S58" s="157" t="str">
        <f>Inputs!S209</f>
        <v>-</v>
      </c>
      <c r="T58" s="119" t="str">
        <f>Inputs!T209</f>
        <v>-</v>
      </c>
      <c r="U58" s="157" t="str">
        <f>Inputs!U209</f>
        <v>-</v>
      </c>
      <c r="V58" s="157" t="str">
        <f>Inputs!V209</f>
        <v>-</v>
      </c>
      <c r="W58" s="157" t="str">
        <f>Inputs!W209</f>
        <v>-</v>
      </c>
      <c r="X58" s="157" t="str">
        <f>Inputs!X209</f>
        <v>-</v>
      </c>
      <c r="Y58" s="157" t="str">
        <f>Inputs!Y209</f>
        <v>-</v>
      </c>
      <c r="Z58" s="157" t="str">
        <f>Inputs!Z209</f>
        <v>-</v>
      </c>
      <c r="AA58" s="157" t="str">
        <f>Inputs!AA209</f>
        <v>-</v>
      </c>
      <c r="AB58" s="157" t="str">
        <f>Inputs!AB209</f>
        <v>-</v>
      </c>
      <c r="AC58" s="157" t="str">
        <f>Inputs!AC209</f>
        <v>-</v>
      </c>
      <c r="AD58" s="157" t="str">
        <f>Inputs!AD209</f>
        <v>-</v>
      </c>
      <c r="AE58" s="157" t="str">
        <f>Inputs!AE209</f>
        <v>-</v>
      </c>
      <c r="AF58" s="157" t="str">
        <f>Inputs!AF209</f>
        <v>-</v>
      </c>
      <c r="AG58" s="157" t="str">
        <f>Inputs!AG209</f>
        <v>-</v>
      </c>
      <c r="AH58" s="157" t="str">
        <f>Inputs!AH209</f>
        <v>-</v>
      </c>
      <c r="AI58" s="157" t="str">
        <f>Inputs!AI209</f>
        <v>-</v>
      </c>
      <c r="AJ58" s="157" t="str">
        <f>Inputs!AJ209</f>
        <v>-</v>
      </c>
      <c r="AK58" s="157" t="str">
        <f>Inputs!AK209</f>
        <v>-</v>
      </c>
      <c r="AL58" s="157" t="str">
        <f>Inputs!AL209</f>
        <v>-</v>
      </c>
      <c r="AM58" s="157" t="str">
        <f>Inputs!AM209</f>
        <v>-</v>
      </c>
      <c r="AN58" s="157" t="str">
        <f>Inputs!AN209</f>
        <v>-</v>
      </c>
      <c r="AO58" s="157" t="str">
        <f>Inputs!AO209</f>
        <v>-</v>
      </c>
      <c r="AP58" s="157" t="str">
        <f>Inputs!AP209</f>
        <v>-</v>
      </c>
      <c r="AQ58" s="157" t="str">
        <f>Inputs!AQ209</f>
        <v>-</v>
      </c>
      <c r="AR58" s="157" t="str">
        <f>Inputs!AR209</f>
        <v>-</v>
      </c>
      <c r="AS58" s="157" t="str">
        <f>Inputs!AS209</f>
        <v>-</v>
      </c>
      <c r="AT58" s="136"/>
    </row>
    <row r="59">
      <c r="A59" s="80"/>
      <c r="B59" s="81"/>
      <c r="C59" s="90"/>
      <c r="D59" s="90"/>
      <c r="E59" s="113" t="s">
        <v>314</v>
      </c>
      <c r="F59" s="189" t="str">
        <f>Inputs!F210</f>
        <v>%</v>
      </c>
      <c r="G59" s="190" t="str">
        <f>Inputs!G210</f>
        <v>input</v>
      </c>
      <c r="H59" s="156">
        <f>Inputs!H210</f>
        <v>0.2659</v>
      </c>
      <c r="I59" s="157" t="str">
        <f>Inputs!I210</f>
        <v>-</v>
      </c>
      <c r="J59" s="157" t="str">
        <f>Inputs!J210</f>
        <v>-</v>
      </c>
      <c r="K59" s="157" t="str">
        <f>Inputs!K210</f>
        <v>-</v>
      </c>
      <c r="L59" s="157" t="str">
        <f>Inputs!L210</f>
        <v>-</v>
      </c>
      <c r="M59" s="157" t="str">
        <f>Inputs!M210</f>
        <v>-</v>
      </c>
      <c r="N59" s="157" t="str">
        <f>Inputs!N210</f>
        <v>-</v>
      </c>
      <c r="O59" s="157" t="str">
        <f>Inputs!O210</f>
        <v>-</v>
      </c>
      <c r="P59" s="157" t="str">
        <f>Inputs!P210</f>
        <v>-</v>
      </c>
      <c r="Q59" s="157" t="str">
        <f>Inputs!Q210</f>
        <v>-</v>
      </c>
      <c r="R59" s="157" t="str">
        <f>Inputs!R210</f>
        <v>-</v>
      </c>
      <c r="S59" s="157" t="str">
        <f>Inputs!S210</f>
        <v>-</v>
      </c>
      <c r="T59" s="119" t="str">
        <f>Inputs!T210</f>
        <v>-</v>
      </c>
      <c r="U59" s="157" t="str">
        <f>Inputs!U210</f>
        <v>-</v>
      </c>
      <c r="V59" s="157" t="str">
        <f>Inputs!V210</f>
        <v>-</v>
      </c>
      <c r="W59" s="157" t="str">
        <f>Inputs!W210</f>
        <v>-</v>
      </c>
      <c r="X59" s="157" t="str">
        <f>Inputs!X210</f>
        <v>-</v>
      </c>
      <c r="Y59" s="157" t="str">
        <f>Inputs!Y210</f>
        <v>-</v>
      </c>
      <c r="Z59" s="157" t="str">
        <f>Inputs!Z210</f>
        <v>-</v>
      </c>
      <c r="AA59" s="157" t="str">
        <f>Inputs!AA210</f>
        <v>-</v>
      </c>
      <c r="AB59" s="157" t="str">
        <f>Inputs!AB210</f>
        <v>-</v>
      </c>
      <c r="AC59" s="157" t="str">
        <f>Inputs!AC210</f>
        <v>-</v>
      </c>
      <c r="AD59" s="157" t="str">
        <f>Inputs!AD210</f>
        <v>-</v>
      </c>
      <c r="AE59" s="157" t="str">
        <f>Inputs!AE210</f>
        <v>-</v>
      </c>
      <c r="AF59" s="157" t="str">
        <f>Inputs!AF210</f>
        <v>-</v>
      </c>
      <c r="AG59" s="157" t="str">
        <f>Inputs!AG210</f>
        <v>-</v>
      </c>
      <c r="AH59" s="157" t="str">
        <f>Inputs!AH210</f>
        <v>-</v>
      </c>
      <c r="AI59" s="157" t="str">
        <f>Inputs!AI210</f>
        <v>-</v>
      </c>
      <c r="AJ59" s="157" t="str">
        <f>Inputs!AJ210</f>
        <v>-</v>
      </c>
      <c r="AK59" s="157" t="str">
        <f>Inputs!AK210</f>
        <v>-</v>
      </c>
      <c r="AL59" s="157" t="str">
        <f>Inputs!AL210</f>
        <v>-</v>
      </c>
      <c r="AM59" s="157" t="str">
        <f>Inputs!AM210</f>
        <v>-</v>
      </c>
      <c r="AN59" s="157" t="str">
        <f>Inputs!AN210</f>
        <v>-</v>
      </c>
      <c r="AO59" s="157" t="str">
        <f>Inputs!AO210</f>
        <v>-</v>
      </c>
      <c r="AP59" s="157" t="str">
        <f>Inputs!AP210</f>
        <v>-</v>
      </c>
      <c r="AQ59" s="157" t="str">
        <f>Inputs!AQ210</f>
        <v>-</v>
      </c>
      <c r="AR59" s="157" t="str">
        <f>Inputs!AR210</f>
        <v>-</v>
      </c>
      <c r="AS59" s="157" t="str">
        <f>Inputs!AS210</f>
        <v>-</v>
      </c>
      <c r="AT59" s="136"/>
    </row>
    <row r="60">
      <c r="A60" s="80"/>
      <c r="B60" s="81"/>
      <c r="C60" s="90"/>
      <c r="D60" s="90"/>
      <c r="E60" s="113" t="s">
        <v>320</v>
      </c>
      <c r="F60" s="189" t="str">
        <f>Inputs!F211</f>
        <v>%</v>
      </c>
      <c r="G60" s="190" t="str">
        <f>Inputs!G211</f>
        <v>input</v>
      </c>
      <c r="H60" s="156">
        <f>Inputs!H211</f>
        <v>0.275</v>
      </c>
      <c r="I60" s="157" t="str">
        <f>Inputs!I211</f>
        <v>-</v>
      </c>
      <c r="J60" s="157" t="str">
        <f>Inputs!J211</f>
        <v>-</v>
      </c>
      <c r="K60" s="157" t="str">
        <f>Inputs!K211</f>
        <v>-</v>
      </c>
      <c r="L60" s="157" t="str">
        <f>Inputs!L211</f>
        <v>-</v>
      </c>
      <c r="M60" s="157" t="str">
        <f>Inputs!M211</f>
        <v>-</v>
      </c>
      <c r="N60" s="157" t="str">
        <f>Inputs!N211</f>
        <v>-</v>
      </c>
      <c r="O60" s="157" t="str">
        <f>Inputs!O211</f>
        <v>-</v>
      </c>
      <c r="P60" s="157" t="str">
        <f>Inputs!P211</f>
        <v>-</v>
      </c>
      <c r="Q60" s="157" t="str">
        <f>Inputs!Q211</f>
        <v>-</v>
      </c>
      <c r="R60" s="157" t="str">
        <f>Inputs!R211</f>
        <v>-</v>
      </c>
      <c r="S60" s="157" t="str">
        <f>Inputs!S211</f>
        <v>-</v>
      </c>
      <c r="T60" s="119" t="str">
        <f>Inputs!T211</f>
        <v>-</v>
      </c>
      <c r="U60" s="157" t="str">
        <f>Inputs!U211</f>
        <v>-</v>
      </c>
      <c r="V60" s="157" t="str">
        <f>Inputs!V211</f>
        <v>-</v>
      </c>
      <c r="W60" s="157" t="str">
        <f>Inputs!W211</f>
        <v>-</v>
      </c>
      <c r="X60" s="157" t="str">
        <f>Inputs!X211</f>
        <v>-</v>
      </c>
      <c r="Y60" s="157" t="str">
        <f>Inputs!Y211</f>
        <v>-</v>
      </c>
      <c r="Z60" s="157" t="str">
        <f>Inputs!Z211</f>
        <v>-</v>
      </c>
      <c r="AA60" s="157" t="str">
        <f>Inputs!AA211</f>
        <v>-</v>
      </c>
      <c r="AB60" s="157" t="str">
        <f>Inputs!AB211</f>
        <v>-</v>
      </c>
      <c r="AC60" s="157" t="str">
        <f>Inputs!AC211</f>
        <v>-</v>
      </c>
      <c r="AD60" s="157" t="str">
        <f>Inputs!AD211</f>
        <v>-</v>
      </c>
      <c r="AE60" s="157" t="str">
        <f>Inputs!AE211</f>
        <v>-</v>
      </c>
      <c r="AF60" s="157" t="str">
        <f>Inputs!AF211</f>
        <v>-</v>
      </c>
      <c r="AG60" s="157" t="str">
        <f>Inputs!AG211</f>
        <v>-</v>
      </c>
      <c r="AH60" s="157" t="str">
        <f>Inputs!AH211</f>
        <v>-</v>
      </c>
      <c r="AI60" s="157" t="str">
        <f>Inputs!AI211</f>
        <v>-</v>
      </c>
      <c r="AJ60" s="157" t="str">
        <f>Inputs!AJ211</f>
        <v>-</v>
      </c>
      <c r="AK60" s="157" t="str">
        <f>Inputs!AK211</f>
        <v>-</v>
      </c>
      <c r="AL60" s="157" t="str">
        <f>Inputs!AL211</f>
        <v>-</v>
      </c>
      <c r="AM60" s="157" t="str">
        <f>Inputs!AM211</f>
        <v>-</v>
      </c>
      <c r="AN60" s="157" t="str">
        <f>Inputs!AN211</f>
        <v>-</v>
      </c>
      <c r="AO60" s="157" t="str">
        <f>Inputs!AO211</f>
        <v>-</v>
      </c>
      <c r="AP60" s="157" t="str">
        <f>Inputs!AP211</f>
        <v>-</v>
      </c>
      <c r="AQ60" s="157" t="str">
        <f>Inputs!AQ211</f>
        <v>-</v>
      </c>
      <c r="AR60" s="157" t="str">
        <f>Inputs!AR211</f>
        <v>-</v>
      </c>
      <c r="AS60" s="157" t="str">
        <f>Inputs!AS211</f>
        <v>-</v>
      </c>
      <c r="AT60" s="136"/>
    </row>
    <row r="61">
      <c r="A61" s="80"/>
      <c r="B61" s="81"/>
      <c r="C61" s="90"/>
      <c r="D61" s="90"/>
      <c r="E61" s="140" t="s">
        <v>323</v>
      </c>
      <c r="F61" s="215" t="str">
        <f>Inputs!F212</f>
        <v>%</v>
      </c>
      <c r="G61" s="216" t="str">
        <f>Inputs!G212</f>
        <v>input</v>
      </c>
      <c r="H61" s="176">
        <f>Inputs!H212</f>
        <v>0.2227</v>
      </c>
      <c r="I61" s="179" t="str">
        <f>Inputs!I212</f>
        <v>-</v>
      </c>
      <c r="J61" s="179" t="str">
        <f>Inputs!J212</f>
        <v>-</v>
      </c>
      <c r="K61" s="179" t="str">
        <f>Inputs!K212</f>
        <v>-</v>
      </c>
      <c r="L61" s="179" t="str">
        <f>Inputs!L212</f>
        <v>-</v>
      </c>
      <c r="M61" s="179" t="str">
        <f>Inputs!M212</f>
        <v>-</v>
      </c>
      <c r="N61" s="179" t="str">
        <f>Inputs!N212</f>
        <v>-</v>
      </c>
      <c r="O61" s="179" t="str">
        <f>Inputs!O212</f>
        <v>-</v>
      </c>
      <c r="P61" s="179" t="str">
        <f>Inputs!P212</f>
        <v>-</v>
      </c>
      <c r="Q61" s="179" t="str">
        <f>Inputs!Q212</f>
        <v>-</v>
      </c>
      <c r="R61" s="179" t="str">
        <f>Inputs!R212</f>
        <v>-</v>
      </c>
      <c r="S61" s="179" t="str">
        <f>Inputs!S212</f>
        <v>-</v>
      </c>
      <c r="T61" s="149" t="str">
        <f>Inputs!T212</f>
        <v>-</v>
      </c>
      <c r="U61" s="179" t="str">
        <f>Inputs!U212</f>
        <v>-</v>
      </c>
      <c r="V61" s="179" t="str">
        <f>Inputs!V212</f>
        <v>-</v>
      </c>
      <c r="W61" s="179" t="str">
        <f>Inputs!W212</f>
        <v>-</v>
      </c>
      <c r="X61" s="179" t="str">
        <f>Inputs!X212</f>
        <v>-</v>
      </c>
      <c r="Y61" s="179" t="str">
        <f>Inputs!Y212</f>
        <v>-</v>
      </c>
      <c r="Z61" s="179" t="str">
        <f>Inputs!Z212</f>
        <v>-</v>
      </c>
      <c r="AA61" s="179" t="str">
        <f>Inputs!AA212</f>
        <v>-</v>
      </c>
      <c r="AB61" s="179" t="str">
        <f>Inputs!AB212</f>
        <v>-</v>
      </c>
      <c r="AC61" s="179" t="str">
        <f>Inputs!AC212</f>
        <v>-</v>
      </c>
      <c r="AD61" s="179" t="str">
        <f>Inputs!AD212</f>
        <v>-</v>
      </c>
      <c r="AE61" s="179" t="str">
        <f>Inputs!AE212</f>
        <v>-</v>
      </c>
      <c r="AF61" s="179" t="str">
        <f>Inputs!AF212</f>
        <v>-</v>
      </c>
      <c r="AG61" s="179" t="str">
        <f>Inputs!AG212</f>
        <v>-</v>
      </c>
      <c r="AH61" s="179" t="str">
        <f>Inputs!AH212</f>
        <v>-</v>
      </c>
      <c r="AI61" s="179" t="str">
        <f>Inputs!AI212</f>
        <v>-</v>
      </c>
      <c r="AJ61" s="179" t="str">
        <f>Inputs!AJ212</f>
        <v>-</v>
      </c>
      <c r="AK61" s="179" t="str">
        <f>Inputs!AK212</f>
        <v>-</v>
      </c>
      <c r="AL61" s="179" t="str">
        <f>Inputs!AL212</f>
        <v>-</v>
      </c>
      <c r="AM61" s="179" t="str">
        <f>Inputs!AM212</f>
        <v>-</v>
      </c>
      <c r="AN61" s="179" t="str">
        <f>Inputs!AN212</f>
        <v>-</v>
      </c>
      <c r="AO61" s="179" t="str">
        <f>Inputs!AO212</f>
        <v>-</v>
      </c>
      <c r="AP61" s="179" t="str">
        <f>Inputs!AP212</f>
        <v>-</v>
      </c>
      <c r="AQ61" s="179" t="str">
        <f>Inputs!AQ212</f>
        <v>-</v>
      </c>
      <c r="AR61" s="179" t="str">
        <f>Inputs!AR212</f>
        <v>-</v>
      </c>
      <c r="AS61" s="179" t="str">
        <f>Inputs!AS212</f>
        <v>-</v>
      </c>
      <c r="AT61" s="163"/>
    </row>
    <row r="62">
      <c r="A62" s="80"/>
      <c r="B62" s="81"/>
      <c r="C62" s="90"/>
      <c r="D62" s="90"/>
      <c r="E62" s="140" t="s">
        <v>325</v>
      </c>
      <c r="F62" s="215" t="str">
        <f>Inputs!F213</f>
        <v>%</v>
      </c>
      <c r="G62" s="216" t="str">
        <f>Inputs!G213</f>
        <v>input</v>
      </c>
      <c r="H62" s="176">
        <f>Inputs!H213</f>
        <v>0.2726</v>
      </c>
      <c r="I62" s="179" t="str">
        <f>Inputs!I213</f>
        <v>-</v>
      </c>
      <c r="J62" s="179" t="str">
        <f>Inputs!J213</f>
        <v>-</v>
      </c>
      <c r="K62" s="179" t="str">
        <f>Inputs!K213</f>
        <v>-</v>
      </c>
      <c r="L62" s="179" t="str">
        <f>Inputs!L213</f>
        <v>-</v>
      </c>
      <c r="M62" s="179" t="str">
        <f>Inputs!M213</f>
        <v>-</v>
      </c>
      <c r="N62" s="179" t="str">
        <f>Inputs!N213</f>
        <v>-</v>
      </c>
      <c r="O62" s="179" t="str">
        <f>Inputs!O213</f>
        <v>-</v>
      </c>
      <c r="P62" s="179" t="str">
        <f>Inputs!P213</f>
        <v>-</v>
      </c>
      <c r="Q62" s="179" t="str">
        <f>Inputs!Q213</f>
        <v>-</v>
      </c>
      <c r="R62" s="179" t="str">
        <f>Inputs!R213</f>
        <v>-</v>
      </c>
      <c r="S62" s="179" t="str">
        <f>Inputs!S213</f>
        <v>-</v>
      </c>
      <c r="T62" s="149" t="str">
        <f>Inputs!T213</f>
        <v>-</v>
      </c>
      <c r="U62" s="179" t="str">
        <f>Inputs!U213</f>
        <v>-</v>
      </c>
      <c r="V62" s="179" t="str">
        <f>Inputs!V213</f>
        <v>-</v>
      </c>
      <c r="W62" s="179" t="str">
        <f>Inputs!W213</f>
        <v>-</v>
      </c>
      <c r="X62" s="179" t="str">
        <f>Inputs!X213</f>
        <v>-</v>
      </c>
      <c r="Y62" s="179" t="str">
        <f>Inputs!Y213</f>
        <v>-</v>
      </c>
      <c r="Z62" s="179" t="str">
        <f>Inputs!Z213</f>
        <v>-</v>
      </c>
      <c r="AA62" s="179" t="str">
        <f>Inputs!AA213</f>
        <v>-</v>
      </c>
      <c r="AB62" s="179" t="str">
        <f>Inputs!AB213</f>
        <v>-</v>
      </c>
      <c r="AC62" s="179" t="str">
        <f>Inputs!AC213</f>
        <v>-</v>
      </c>
      <c r="AD62" s="179" t="str">
        <f>Inputs!AD213</f>
        <v>-</v>
      </c>
      <c r="AE62" s="179" t="str">
        <f>Inputs!AE213</f>
        <v>-</v>
      </c>
      <c r="AF62" s="179" t="str">
        <f>Inputs!AF213</f>
        <v>-</v>
      </c>
      <c r="AG62" s="179" t="str">
        <f>Inputs!AG213</f>
        <v>-</v>
      </c>
      <c r="AH62" s="179" t="str">
        <f>Inputs!AH213</f>
        <v>-</v>
      </c>
      <c r="AI62" s="179" t="str">
        <f>Inputs!AI213</f>
        <v>-</v>
      </c>
      <c r="AJ62" s="179" t="str">
        <f>Inputs!AJ213</f>
        <v>-</v>
      </c>
      <c r="AK62" s="179" t="str">
        <f>Inputs!AK213</f>
        <v>-</v>
      </c>
      <c r="AL62" s="179" t="str">
        <f>Inputs!AL213</f>
        <v>-</v>
      </c>
      <c r="AM62" s="179" t="str">
        <f>Inputs!AM213</f>
        <v>-</v>
      </c>
      <c r="AN62" s="179" t="str">
        <f>Inputs!AN213</f>
        <v>-</v>
      </c>
      <c r="AO62" s="179" t="str">
        <f>Inputs!AO213</f>
        <v>-</v>
      </c>
      <c r="AP62" s="179" t="str">
        <f>Inputs!AP213</f>
        <v>-</v>
      </c>
      <c r="AQ62" s="179" t="str">
        <f>Inputs!AQ213</f>
        <v>-</v>
      </c>
      <c r="AR62" s="179" t="str">
        <f>Inputs!AR213</f>
        <v>-</v>
      </c>
      <c r="AS62" s="179" t="str">
        <f>Inputs!AS213</f>
        <v>-</v>
      </c>
      <c r="AT62" s="163"/>
    </row>
    <row r="63">
      <c r="A63" s="80"/>
      <c r="B63" s="81"/>
      <c r="C63" s="90"/>
      <c r="D63" s="90"/>
      <c r="E63" s="140" t="s">
        <v>329</v>
      </c>
      <c r="F63" s="215" t="str">
        <f>Inputs!F214</f>
        <v>%</v>
      </c>
      <c r="G63" s="216" t="str">
        <f>Inputs!G214</f>
        <v>input</v>
      </c>
      <c r="H63" s="176">
        <f>Inputs!H214</f>
        <v>0.2471</v>
      </c>
      <c r="I63" s="179" t="str">
        <f>Inputs!I214</f>
        <v>-</v>
      </c>
      <c r="J63" s="179" t="str">
        <f>Inputs!J214</f>
        <v>-</v>
      </c>
      <c r="K63" s="179" t="str">
        <f>Inputs!K214</f>
        <v>-</v>
      </c>
      <c r="L63" s="179" t="str">
        <f>Inputs!L214</f>
        <v>-</v>
      </c>
      <c r="M63" s="179" t="str">
        <f>Inputs!M214</f>
        <v>-</v>
      </c>
      <c r="N63" s="179" t="str">
        <f>Inputs!N214</f>
        <v>-</v>
      </c>
      <c r="O63" s="179" t="str">
        <f>Inputs!O214</f>
        <v>-</v>
      </c>
      <c r="P63" s="179" t="str">
        <f>Inputs!P214</f>
        <v>-</v>
      </c>
      <c r="Q63" s="179" t="str">
        <f>Inputs!Q214</f>
        <v>-</v>
      </c>
      <c r="R63" s="179" t="str">
        <f>Inputs!R214</f>
        <v>-</v>
      </c>
      <c r="S63" s="179" t="str">
        <f>Inputs!S214</f>
        <v>-</v>
      </c>
      <c r="T63" s="149" t="str">
        <f>Inputs!T214</f>
        <v>-</v>
      </c>
      <c r="U63" s="179" t="str">
        <f>Inputs!U214</f>
        <v>-</v>
      </c>
      <c r="V63" s="179" t="str">
        <f>Inputs!V214</f>
        <v>-</v>
      </c>
      <c r="W63" s="179" t="str">
        <f>Inputs!W214</f>
        <v>-</v>
      </c>
      <c r="X63" s="179" t="str">
        <f>Inputs!X214</f>
        <v>-</v>
      </c>
      <c r="Y63" s="179" t="str">
        <f>Inputs!Y214</f>
        <v>-</v>
      </c>
      <c r="Z63" s="179" t="str">
        <f>Inputs!Z214</f>
        <v>-</v>
      </c>
      <c r="AA63" s="179" t="str">
        <f>Inputs!AA214</f>
        <v>-</v>
      </c>
      <c r="AB63" s="179" t="str">
        <f>Inputs!AB214</f>
        <v>-</v>
      </c>
      <c r="AC63" s="179" t="str">
        <f>Inputs!AC214</f>
        <v>-</v>
      </c>
      <c r="AD63" s="179" t="str">
        <f>Inputs!AD214</f>
        <v>-</v>
      </c>
      <c r="AE63" s="179" t="str">
        <f>Inputs!AE214</f>
        <v>-</v>
      </c>
      <c r="AF63" s="179" t="str">
        <f>Inputs!AF214</f>
        <v>-</v>
      </c>
      <c r="AG63" s="179" t="str">
        <f>Inputs!AG214</f>
        <v>-</v>
      </c>
      <c r="AH63" s="179" t="str">
        <f>Inputs!AH214</f>
        <v>-</v>
      </c>
      <c r="AI63" s="179" t="str">
        <f>Inputs!AI214</f>
        <v>-</v>
      </c>
      <c r="AJ63" s="179" t="str">
        <f>Inputs!AJ214</f>
        <v>-</v>
      </c>
      <c r="AK63" s="179" t="str">
        <f>Inputs!AK214</f>
        <v>-</v>
      </c>
      <c r="AL63" s="179" t="str">
        <f>Inputs!AL214</f>
        <v>-</v>
      </c>
      <c r="AM63" s="179" t="str">
        <f>Inputs!AM214</f>
        <v>-</v>
      </c>
      <c r="AN63" s="179" t="str">
        <f>Inputs!AN214</f>
        <v>-</v>
      </c>
      <c r="AO63" s="179" t="str">
        <f>Inputs!AO214</f>
        <v>-</v>
      </c>
      <c r="AP63" s="179" t="str">
        <f>Inputs!AP214</f>
        <v>-</v>
      </c>
      <c r="AQ63" s="179" t="str">
        <f>Inputs!AQ214</f>
        <v>-</v>
      </c>
      <c r="AR63" s="179" t="str">
        <f>Inputs!AR214</f>
        <v>-</v>
      </c>
      <c r="AS63" s="179" t="str">
        <f>Inputs!AS214</f>
        <v>-</v>
      </c>
      <c r="AT63" s="163"/>
    </row>
    <row r="64">
      <c r="A64" s="80"/>
      <c r="B64" s="81"/>
      <c r="C64" s="90"/>
      <c r="D64" s="90"/>
      <c r="E64" s="237" t="s">
        <v>332</v>
      </c>
      <c r="F64" s="195" t="str">
        <f>Inputs!F215</f>
        <v>%</v>
      </c>
      <c r="G64" s="196" t="str">
        <f>Inputs!G215</f>
        <v>input</v>
      </c>
      <c r="H64" s="234">
        <f>Inputs!H215</f>
        <v>0.1432</v>
      </c>
      <c r="I64" s="235" t="str">
        <f>Inputs!I215</f>
        <v>-</v>
      </c>
      <c r="J64" s="235" t="str">
        <f>Inputs!J215</f>
        <v>-</v>
      </c>
      <c r="K64" s="235" t="str">
        <f>Inputs!K215</f>
        <v>-</v>
      </c>
      <c r="L64" s="235" t="str">
        <f>Inputs!L215</f>
        <v>-</v>
      </c>
      <c r="M64" s="235" t="str">
        <f>Inputs!M215</f>
        <v>-</v>
      </c>
      <c r="N64" s="235" t="str">
        <f>Inputs!N215</f>
        <v>-</v>
      </c>
      <c r="O64" s="235" t="str">
        <f>Inputs!O215</f>
        <v>-</v>
      </c>
      <c r="P64" s="235" t="str">
        <f>Inputs!P215</f>
        <v>-</v>
      </c>
      <c r="Q64" s="235" t="str">
        <f>Inputs!Q215</f>
        <v>-</v>
      </c>
      <c r="R64" s="235" t="str">
        <f>Inputs!R215</f>
        <v>-</v>
      </c>
      <c r="S64" s="235" t="str">
        <f>Inputs!S215</f>
        <v>-</v>
      </c>
      <c r="T64" s="240" t="str">
        <f>Inputs!T215</f>
        <v>-</v>
      </c>
      <c r="U64" s="235" t="str">
        <f>Inputs!U215</f>
        <v>-</v>
      </c>
      <c r="V64" s="235" t="str">
        <f>Inputs!V215</f>
        <v>-</v>
      </c>
      <c r="W64" s="235" t="str">
        <f>Inputs!W215</f>
        <v>-</v>
      </c>
      <c r="X64" s="235" t="str">
        <f>Inputs!X215</f>
        <v>-</v>
      </c>
      <c r="Y64" s="235" t="str">
        <f>Inputs!Y215</f>
        <v>-</v>
      </c>
      <c r="Z64" s="235" t="str">
        <f>Inputs!Z215</f>
        <v>-</v>
      </c>
      <c r="AA64" s="235" t="str">
        <f>Inputs!AA215</f>
        <v>-</v>
      </c>
      <c r="AB64" s="235" t="str">
        <f>Inputs!AB215</f>
        <v>-</v>
      </c>
      <c r="AC64" s="235" t="str">
        <f>Inputs!AC215</f>
        <v>-</v>
      </c>
      <c r="AD64" s="235" t="str">
        <f>Inputs!AD215</f>
        <v>-</v>
      </c>
      <c r="AE64" s="235" t="str">
        <f>Inputs!AE215</f>
        <v>-</v>
      </c>
      <c r="AF64" s="235" t="str">
        <f>Inputs!AF215</f>
        <v>-</v>
      </c>
      <c r="AG64" s="235" t="str">
        <f>Inputs!AG215</f>
        <v>-</v>
      </c>
      <c r="AH64" s="235" t="str">
        <f>Inputs!AH215</f>
        <v>-</v>
      </c>
      <c r="AI64" s="235" t="str">
        <f>Inputs!AI215</f>
        <v>-</v>
      </c>
      <c r="AJ64" s="235" t="str">
        <f>Inputs!AJ215</f>
        <v>-</v>
      </c>
      <c r="AK64" s="235" t="str">
        <f>Inputs!AK215</f>
        <v>-</v>
      </c>
      <c r="AL64" s="235" t="str">
        <f>Inputs!AL215</f>
        <v>-</v>
      </c>
      <c r="AM64" s="235" t="str">
        <f>Inputs!AM215</f>
        <v>-</v>
      </c>
      <c r="AN64" s="235" t="str">
        <f>Inputs!AN215</f>
        <v>-</v>
      </c>
      <c r="AO64" s="235" t="str">
        <f>Inputs!AO215</f>
        <v>-</v>
      </c>
      <c r="AP64" s="235" t="str">
        <f>Inputs!AP215</f>
        <v>-</v>
      </c>
      <c r="AQ64" s="235" t="str">
        <f>Inputs!AQ215</f>
        <v>-</v>
      </c>
      <c r="AR64" s="235" t="str">
        <f>Inputs!AR215</f>
        <v>-</v>
      </c>
      <c r="AS64" s="235" t="str">
        <f>Inputs!AS215</f>
        <v>-</v>
      </c>
      <c r="AT64" s="248"/>
    </row>
    <row r="65">
      <c r="A65" s="80"/>
      <c r="B65" s="81"/>
      <c r="C65" s="90"/>
      <c r="D65" s="90"/>
      <c r="E65" s="324"/>
      <c r="F65" s="83"/>
      <c r="G65" s="91"/>
      <c r="H65" s="85"/>
      <c r="I65" s="86"/>
      <c r="J65" s="86"/>
      <c r="K65" s="86"/>
      <c r="L65" s="86"/>
      <c r="M65" s="86"/>
      <c r="N65" s="86"/>
      <c r="O65" s="86"/>
      <c r="P65" s="86"/>
      <c r="Q65" s="86"/>
      <c r="R65" s="86"/>
      <c r="S65" s="86"/>
      <c r="T65" s="111"/>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8"/>
    </row>
    <row r="66">
      <c r="A66" s="80"/>
      <c r="B66" s="81"/>
      <c r="C66" s="325" t="s">
        <v>338</v>
      </c>
      <c r="F66" s="326"/>
      <c r="G66" s="327"/>
      <c r="H66" s="328"/>
      <c r="I66" s="329"/>
      <c r="J66" s="329"/>
      <c r="K66" s="329"/>
      <c r="L66" s="329"/>
      <c r="M66" s="329"/>
      <c r="N66" s="329"/>
      <c r="O66" s="329"/>
      <c r="P66" s="329"/>
      <c r="Q66" s="329"/>
      <c r="R66" s="329"/>
      <c r="S66" s="329"/>
      <c r="T66" s="329"/>
      <c r="U66" s="329"/>
      <c r="V66" s="329"/>
      <c r="W66" s="329"/>
      <c r="X66" s="329"/>
      <c r="Y66" s="329"/>
      <c r="Z66" s="329"/>
      <c r="AA66" s="329"/>
      <c r="AB66" s="329"/>
      <c r="AC66" s="329"/>
      <c r="AD66" s="329"/>
      <c r="AE66" s="329"/>
      <c r="AF66" s="329"/>
      <c r="AG66" s="329"/>
      <c r="AH66" s="329"/>
      <c r="AI66" s="329"/>
      <c r="AJ66" s="329"/>
      <c r="AK66" s="329"/>
      <c r="AL66" s="329"/>
      <c r="AM66" s="329"/>
      <c r="AN66" s="329"/>
      <c r="AO66" s="329"/>
      <c r="AP66" s="329"/>
      <c r="AQ66" s="329"/>
      <c r="AR66" s="329"/>
      <c r="AS66" s="329"/>
      <c r="AT66" s="88"/>
    </row>
    <row r="67">
      <c r="A67" s="80"/>
      <c r="B67" s="81"/>
      <c r="C67" s="81"/>
      <c r="D67" s="81"/>
      <c r="E67" s="92" t="s">
        <v>339</v>
      </c>
      <c r="F67" s="93" t="s">
        <v>122</v>
      </c>
      <c r="G67" s="128" t="s">
        <v>149</v>
      </c>
      <c r="H67" s="330">
        <f>SUMPRODUCT(H41:H48,H57:H64)/SUM(H41:H48)</f>
        <v>0.2151052695</v>
      </c>
      <c r="I67" s="331" t="s">
        <v>150</v>
      </c>
      <c r="J67" s="331" t="s">
        <v>150</v>
      </c>
      <c r="K67" s="331" t="s">
        <v>150</v>
      </c>
      <c r="L67" s="331" t="s">
        <v>150</v>
      </c>
      <c r="M67" s="331" t="s">
        <v>150</v>
      </c>
      <c r="N67" s="331" t="s">
        <v>150</v>
      </c>
      <c r="O67" s="331" t="s">
        <v>150</v>
      </c>
      <c r="P67" s="331" t="s">
        <v>150</v>
      </c>
      <c r="Q67" s="331" t="s">
        <v>150</v>
      </c>
      <c r="R67" s="331" t="s">
        <v>150</v>
      </c>
      <c r="S67" s="331" t="s">
        <v>150</v>
      </c>
      <c r="T67" s="331" t="s">
        <v>150</v>
      </c>
      <c r="U67" s="331" t="s">
        <v>150</v>
      </c>
      <c r="V67" s="331" t="s">
        <v>150</v>
      </c>
      <c r="W67" s="331" t="s">
        <v>150</v>
      </c>
      <c r="X67" s="331" t="s">
        <v>150</v>
      </c>
      <c r="Y67" s="331" t="s">
        <v>150</v>
      </c>
      <c r="Z67" s="331" t="s">
        <v>150</v>
      </c>
      <c r="AA67" s="331" t="s">
        <v>150</v>
      </c>
      <c r="AB67" s="331" t="s">
        <v>150</v>
      </c>
      <c r="AC67" s="331" t="s">
        <v>150</v>
      </c>
      <c r="AD67" s="331" t="s">
        <v>150</v>
      </c>
      <c r="AE67" s="331" t="s">
        <v>150</v>
      </c>
      <c r="AF67" s="331" t="s">
        <v>150</v>
      </c>
      <c r="AG67" s="331" t="s">
        <v>150</v>
      </c>
      <c r="AH67" s="331" t="s">
        <v>150</v>
      </c>
      <c r="AI67" s="331" t="s">
        <v>150</v>
      </c>
      <c r="AJ67" s="331" t="s">
        <v>150</v>
      </c>
      <c r="AK67" s="331" t="s">
        <v>150</v>
      </c>
      <c r="AL67" s="331" t="s">
        <v>150</v>
      </c>
      <c r="AM67" s="331" t="s">
        <v>150</v>
      </c>
      <c r="AN67" s="331" t="s">
        <v>150</v>
      </c>
      <c r="AO67" s="331" t="s">
        <v>150</v>
      </c>
      <c r="AP67" s="331" t="s">
        <v>150</v>
      </c>
      <c r="AQ67" s="331" t="s">
        <v>150</v>
      </c>
      <c r="AR67" s="331" t="s">
        <v>150</v>
      </c>
      <c r="AS67" s="331" t="s">
        <v>150</v>
      </c>
      <c r="AT67" s="265"/>
    </row>
    <row r="68">
      <c r="A68" s="80"/>
      <c r="B68" s="81"/>
      <c r="C68" s="81"/>
      <c r="D68" s="81"/>
      <c r="E68" s="121"/>
      <c r="F68" s="108"/>
      <c r="G68" s="127"/>
      <c r="H68" s="314"/>
      <c r="I68" s="332"/>
      <c r="J68" s="332"/>
      <c r="K68" s="332"/>
      <c r="L68" s="332"/>
      <c r="M68" s="332"/>
      <c r="N68" s="332"/>
      <c r="O68" s="332"/>
      <c r="P68" s="332"/>
      <c r="Q68" s="332"/>
      <c r="R68" s="332"/>
      <c r="S68" s="332"/>
      <c r="T68" s="332"/>
      <c r="U68" s="332"/>
      <c r="V68" s="332"/>
      <c r="W68" s="332"/>
      <c r="X68" s="332"/>
      <c r="Y68" s="332"/>
      <c r="Z68" s="332"/>
      <c r="AA68" s="332"/>
      <c r="AB68" s="332"/>
      <c r="AC68" s="332"/>
      <c r="AD68" s="332"/>
      <c r="AE68" s="332"/>
      <c r="AF68" s="332"/>
      <c r="AG68" s="332"/>
      <c r="AH68" s="332"/>
      <c r="AI68" s="332"/>
      <c r="AJ68" s="332"/>
      <c r="AK68" s="332"/>
      <c r="AL68" s="332"/>
      <c r="AM68" s="332"/>
      <c r="AN68" s="332"/>
      <c r="AO68" s="332"/>
      <c r="AP68" s="332"/>
      <c r="AQ68" s="332"/>
      <c r="AR68" s="332"/>
      <c r="AS68" s="332"/>
      <c r="AT68" s="88"/>
    </row>
    <row r="69">
      <c r="A69" s="80"/>
      <c r="B69" s="81"/>
      <c r="C69" s="325" t="s">
        <v>341</v>
      </c>
      <c r="F69" s="108"/>
      <c r="G69" s="127"/>
      <c r="H69" s="314"/>
      <c r="I69" s="332"/>
      <c r="J69" s="332"/>
      <c r="K69" s="332"/>
      <c r="L69" s="332"/>
      <c r="M69" s="332"/>
      <c r="N69" s="332"/>
      <c r="O69" s="332"/>
      <c r="P69" s="332"/>
      <c r="Q69" s="332"/>
      <c r="R69" s="332"/>
      <c r="S69" s="332"/>
      <c r="T69" s="332"/>
      <c r="U69" s="332"/>
      <c r="V69" s="332"/>
      <c r="W69" s="332"/>
      <c r="X69" s="332"/>
      <c r="Y69" s="332"/>
      <c r="Z69" s="332"/>
      <c r="AA69" s="332"/>
      <c r="AB69" s="332"/>
      <c r="AC69" s="332"/>
      <c r="AD69" s="332"/>
      <c r="AE69" s="332"/>
      <c r="AF69" s="332"/>
      <c r="AG69" s="332"/>
      <c r="AH69" s="332"/>
      <c r="AI69" s="332"/>
      <c r="AJ69" s="332"/>
      <c r="AK69" s="332"/>
      <c r="AL69" s="332"/>
      <c r="AM69" s="332"/>
      <c r="AN69" s="332"/>
      <c r="AO69" s="332"/>
      <c r="AP69" s="332"/>
      <c r="AQ69" s="332"/>
      <c r="AR69" s="332"/>
      <c r="AS69" s="332"/>
      <c r="AT69" s="88"/>
    </row>
    <row r="70">
      <c r="A70" s="80"/>
      <c r="B70" s="81"/>
      <c r="C70" s="81"/>
      <c r="D70" s="81"/>
      <c r="E70" s="92" t="s">
        <v>189</v>
      </c>
      <c r="F70" s="93" t="s">
        <v>122</v>
      </c>
      <c r="G70" s="128" t="s">
        <v>149</v>
      </c>
      <c r="H70" s="330">
        <f>H67/H52</f>
        <v>0.3338868809</v>
      </c>
      <c r="I70" s="331" t="s">
        <v>150</v>
      </c>
      <c r="J70" s="331" t="s">
        <v>150</v>
      </c>
      <c r="K70" s="331" t="s">
        <v>150</v>
      </c>
      <c r="L70" s="331" t="s">
        <v>150</v>
      </c>
      <c r="M70" s="331" t="s">
        <v>150</v>
      </c>
      <c r="N70" s="331" t="s">
        <v>150</v>
      </c>
      <c r="O70" s="331" t="s">
        <v>150</v>
      </c>
      <c r="P70" s="331" t="s">
        <v>150</v>
      </c>
      <c r="Q70" s="331" t="s">
        <v>150</v>
      </c>
      <c r="R70" s="331" t="s">
        <v>150</v>
      </c>
      <c r="S70" s="331" t="s">
        <v>150</v>
      </c>
      <c r="T70" s="331" t="s">
        <v>150</v>
      </c>
      <c r="U70" s="331" t="s">
        <v>150</v>
      </c>
      <c r="V70" s="331" t="s">
        <v>150</v>
      </c>
      <c r="W70" s="331" t="s">
        <v>150</v>
      </c>
      <c r="X70" s="331" t="s">
        <v>150</v>
      </c>
      <c r="Y70" s="331" t="s">
        <v>150</v>
      </c>
      <c r="Z70" s="331" t="s">
        <v>150</v>
      </c>
      <c r="AA70" s="331" t="s">
        <v>150</v>
      </c>
      <c r="AB70" s="331" t="s">
        <v>150</v>
      </c>
      <c r="AC70" s="331" t="s">
        <v>150</v>
      </c>
      <c r="AD70" s="331" t="s">
        <v>150</v>
      </c>
      <c r="AE70" s="331" t="s">
        <v>150</v>
      </c>
      <c r="AF70" s="331" t="s">
        <v>150</v>
      </c>
      <c r="AG70" s="331" t="s">
        <v>150</v>
      </c>
      <c r="AH70" s="331" t="s">
        <v>150</v>
      </c>
      <c r="AI70" s="331" t="s">
        <v>150</v>
      </c>
      <c r="AJ70" s="331" t="s">
        <v>150</v>
      </c>
      <c r="AK70" s="331" t="s">
        <v>150</v>
      </c>
      <c r="AL70" s="331" t="s">
        <v>150</v>
      </c>
      <c r="AM70" s="331" t="s">
        <v>150</v>
      </c>
      <c r="AN70" s="331" t="s">
        <v>150</v>
      </c>
      <c r="AO70" s="331" t="s">
        <v>150</v>
      </c>
      <c r="AP70" s="331" t="s">
        <v>150</v>
      </c>
      <c r="AQ70" s="331" t="s">
        <v>150</v>
      </c>
      <c r="AR70" s="331" t="s">
        <v>150</v>
      </c>
      <c r="AS70" s="331" t="s">
        <v>150</v>
      </c>
      <c r="AT70" s="265"/>
    </row>
    <row r="71">
      <c r="A71" s="333"/>
      <c r="B71" s="334"/>
      <c r="C71" s="334"/>
      <c r="D71" s="334"/>
      <c r="E71" s="335"/>
      <c r="F71" s="251"/>
      <c r="G71" s="336"/>
      <c r="H71" s="337"/>
      <c r="I71" s="338"/>
      <c r="J71" s="338"/>
      <c r="K71" s="338"/>
      <c r="L71" s="338"/>
      <c r="M71" s="338"/>
      <c r="N71" s="338"/>
      <c r="O71" s="338"/>
      <c r="P71" s="338"/>
      <c r="Q71" s="338"/>
      <c r="R71" s="338"/>
      <c r="S71" s="338"/>
      <c r="T71" s="338"/>
      <c r="U71" s="338"/>
      <c r="V71" s="338"/>
      <c r="W71" s="338"/>
      <c r="X71" s="338"/>
      <c r="Y71" s="338"/>
      <c r="Z71" s="338"/>
      <c r="AA71" s="338"/>
      <c r="AB71" s="338"/>
      <c r="AC71" s="338"/>
      <c r="AD71" s="338"/>
      <c r="AE71" s="338"/>
      <c r="AF71" s="338"/>
      <c r="AG71" s="338"/>
      <c r="AH71" s="338"/>
      <c r="AI71" s="338"/>
      <c r="AJ71" s="338"/>
      <c r="AK71" s="338"/>
      <c r="AL71" s="338"/>
      <c r="AM71" s="338"/>
      <c r="AN71" s="338"/>
      <c r="AO71" s="338"/>
      <c r="AP71" s="338"/>
      <c r="AQ71" s="338"/>
      <c r="AR71" s="338"/>
      <c r="AS71" s="338"/>
      <c r="AT71" s="265"/>
    </row>
  </sheetData>
  <mergeCells count="16">
    <mergeCell ref="I1:Q1"/>
    <mergeCell ref="R1:AE1"/>
    <mergeCell ref="AF1:AS1"/>
    <mergeCell ref="A3:E3"/>
    <mergeCell ref="A5:G5"/>
    <mergeCell ref="C6:E6"/>
    <mergeCell ref="C7:E7"/>
    <mergeCell ref="C66:E66"/>
    <mergeCell ref="C69:E69"/>
    <mergeCell ref="C17:E17"/>
    <mergeCell ref="C20:E20"/>
    <mergeCell ref="C30:E30"/>
    <mergeCell ref="C40:E40"/>
    <mergeCell ref="C50:E50"/>
    <mergeCell ref="A54:G54"/>
    <mergeCell ref="C56:E56"/>
  </mergeCells>
  <hyperlinks>
    <hyperlink display="Proportion of children in the New Incentives RCT control group who reported receiving the BCG vaccine" location="Inputs!E195" ref="E8"/>
    <hyperlink display="Proportion of children in the New Incentives RCT control group who reported receiving the 1st dose of the Penta vaccine" location="Inputs!E196" ref="E9"/>
    <hyperlink display="Proportion of children in the New Incentives RCT control group who reported receiving the 2nd dose of the Penta vaccine" location="Inputs!E197" ref="E10"/>
    <hyperlink display="Proportion of children in the New Incentives RCT control group who reported receiving the 3rd dose of the Penta vaccine" location="Inputs!E198" ref="E11"/>
    <hyperlink display="Proportion of children in the New Incentives RCT control group who reported receiving the 1st dose of the PCV vaccine" location="Inputs!E199" ref="E12"/>
    <hyperlink display="Proportion of children in the New Incentives RCT control group who reported receiving the 2nd dose of the PCV vaccine" location="Inputs!E200" ref="E13"/>
    <hyperlink display="Proportion of children in the New Incentives RCT control group who reported receiving the 3rd dose of the PCV vaccine" location="Inputs!E201" ref="E14"/>
    <hyperlink display="Proportion of children in the New Incentives RCT control group who reported receiving the measles vaccine" location="Inputs!E202" ref="E15"/>
    <hyperlink display="Adjustment for self-report bias in the New Incentives RCT" location="Inputs!E205" ref="E18"/>
    <hyperlink display="Proportion of vaccine-preventable mortalities among people under age 5 that could be prevented by the BCG vaccine" location="'Disease burden'!E384" ref="E31"/>
    <hyperlink display="Proportion of vaccine-preventable mortalities among people under age 5 that could be prevented by the 1st dose of the Penta vaccine" location="'Disease burden'!E385" ref="E32"/>
    <hyperlink display="Proportion of vaccine-preventable mortalities among people under age 5 that could be prevented by the 2nd dose of the Penta vaccine" location="'Disease burden'!E386" ref="E33"/>
    <hyperlink display="Proportion of vaccine-preventable mortalities among people under age 5 that could be prevented by the 3rd dose of the Penta vaccine" location="'Disease burden'!E387" ref="E34"/>
    <hyperlink display="Proportion of vaccine-preventable mortalities among people under age 5 that could be prevented by the 1st dose of the PCV vaccine" location="'Disease burden'!E388" ref="E35"/>
    <hyperlink display="Proportion of vaccine-preventable mortalities among people under age 5 that could be prevented by the 2nd dose of the PCV vaccine" location="'Disease burden'!E389" ref="E36"/>
    <hyperlink display="Proportion of vaccine-preventable mortalities among people under age 5 that could be prevented by the 3rd dose of the PCV vaccine" location="'Disease burden'!E390" ref="E37"/>
    <hyperlink display="Proportion of vaccine-preventable mortalities among people under age 5 that could be prevented by the 1st dose of the measles vaccine" location="'Disease burden'!E393" ref="E38"/>
    <hyperlink display="Increase in the proportion of children receiving the BCG vaccine" location="Inputs!E208" ref="E57"/>
    <hyperlink display="Increase in the proportion of children receiving the 1st dose of the Penta vaccine" location="Inputs!E209" ref="E58"/>
    <hyperlink display="Increase in the proportion of children receiving the 2nd dose of the Penta vaccine" location="Inputs!E210" ref="E59"/>
    <hyperlink display="Increase in the proportion of children receiving the 3rd dose of the Penta vaccine" location="Inputs!E211" ref="E60"/>
    <hyperlink display="Increase in the proportion of children receiving the 1st dose of the PCV vaccine" location="Inputs!E212" ref="E61"/>
    <hyperlink display="Increase in the proportion of children receiving the 2nd dose of the PCV vaccine" location="Inputs!E213" ref="E62"/>
    <hyperlink display="Increase in the proportion of children receiving the 3rd dose of the PCV vaccine" location="Inputs!E214" ref="E63"/>
    <hyperlink display="Increase in the proportion of children receiving the measles vaccine" location="Inputs!E215" ref="E64"/>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45" width="12.13"/>
    <col customWidth="1" min="46" max="46" width="3.63"/>
  </cols>
  <sheetData>
    <row r="1">
      <c r="A1" s="1"/>
      <c r="B1" s="3"/>
      <c r="C1" s="3"/>
      <c r="D1" s="3"/>
      <c r="E1" s="5"/>
      <c r="F1" s="7"/>
      <c r="G1" s="8"/>
      <c r="H1" s="9"/>
      <c r="I1" s="11" t="s">
        <v>1</v>
      </c>
      <c r="J1" s="12"/>
      <c r="K1" s="12"/>
      <c r="L1" s="12"/>
      <c r="M1" s="12"/>
      <c r="N1" s="12"/>
      <c r="O1" s="12"/>
      <c r="P1" s="12"/>
      <c r="Q1" s="12"/>
      <c r="R1" s="16" t="s">
        <v>3</v>
      </c>
      <c r="S1" s="14"/>
      <c r="T1" s="14"/>
      <c r="U1" s="14"/>
      <c r="V1" s="14"/>
      <c r="W1" s="14"/>
      <c r="X1" s="14"/>
      <c r="Y1" s="14"/>
      <c r="Z1" s="14"/>
      <c r="AA1" s="14"/>
      <c r="AB1" s="14"/>
      <c r="AC1" s="14"/>
      <c r="AD1" s="14"/>
      <c r="AE1" s="14"/>
      <c r="AF1" s="20" t="s">
        <v>3</v>
      </c>
      <c r="AG1" s="14"/>
      <c r="AH1" s="14"/>
      <c r="AI1" s="14"/>
      <c r="AJ1" s="14"/>
      <c r="AK1" s="14"/>
      <c r="AL1" s="14"/>
      <c r="AM1" s="14"/>
      <c r="AN1" s="14"/>
      <c r="AO1" s="14"/>
      <c r="AP1" s="14"/>
      <c r="AQ1" s="14"/>
      <c r="AR1" s="14"/>
      <c r="AS1" s="14"/>
      <c r="AT1" s="23"/>
    </row>
    <row r="2">
      <c r="A2" s="24"/>
      <c r="B2" s="25"/>
      <c r="C2" s="25"/>
      <c r="D2" s="25"/>
      <c r="E2" s="27"/>
      <c r="F2" s="28"/>
      <c r="G2" s="29"/>
      <c r="H2" s="31"/>
      <c r="I2" s="35" t="s">
        <v>7</v>
      </c>
      <c r="J2" s="35" t="s">
        <v>7</v>
      </c>
      <c r="K2" s="35" t="s">
        <v>7</v>
      </c>
      <c r="L2" s="35" t="s">
        <v>7</v>
      </c>
      <c r="M2" s="35" t="s">
        <v>7</v>
      </c>
      <c r="N2" s="35" t="s">
        <v>7</v>
      </c>
      <c r="O2" s="35" t="s">
        <v>7</v>
      </c>
      <c r="P2" s="35" t="s">
        <v>7</v>
      </c>
      <c r="Q2" s="35" t="s">
        <v>7</v>
      </c>
      <c r="R2" s="41" t="s">
        <v>7</v>
      </c>
      <c r="S2" s="35" t="s">
        <v>7</v>
      </c>
      <c r="T2" s="35" t="s">
        <v>7</v>
      </c>
      <c r="U2" s="35" t="s">
        <v>7</v>
      </c>
      <c r="V2" s="35" t="s">
        <v>7</v>
      </c>
      <c r="W2" s="35" t="s">
        <v>7</v>
      </c>
      <c r="X2" s="35" t="s">
        <v>7</v>
      </c>
      <c r="Y2" s="35" t="s">
        <v>7</v>
      </c>
      <c r="Z2" s="35" t="s">
        <v>7</v>
      </c>
      <c r="AA2" s="35" t="s">
        <v>7</v>
      </c>
      <c r="AB2" s="35" t="s">
        <v>7</v>
      </c>
      <c r="AC2" s="35" t="s">
        <v>7</v>
      </c>
      <c r="AD2" s="35" t="s">
        <v>7</v>
      </c>
      <c r="AE2" s="35" t="s">
        <v>7</v>
      </c>
      <c r="AF2" s="35" t="s">
        <v>7</v>
      </c>
      <c r="AG2" s="35" t="s">
        <v>7</v>
      </c>
      <c r="AH2" s="35" t="s">
        <v>7</v>
      </c>
      <c r="AI2" s="35" t="s">
        <v>7</v>
      </c>
      <c r="AJ2" s="35" t="s">
        <v>7</v>
      </c>
      <c r="AK2" s="35" t="s">
        <v>7</v>
      </c>
      <c r="AL2" s="35" t="s">
        <v>7</v>
      </c>
      <c r="AM2" s="35" t="s">
        <v>7</v>
      </c>
      <c r="AN2" s="35" t="s">
        <v>7</v>
      </c>
      <c r="AO2" s="35" t="s">
        <v>7</v>
      </c>
      <c r="AP2" s="35" t="s">
        <v>7</v>
      </c>
      <c r="AQ2" s="35" t="s">
        <v>7</v>
      </c>
      <c r="AR2" s="35" t="s">
        <v>7</v>
      </c>
      <c r="AS2" s="35" t="s">
        <v>7</v>
      </c>
      <c r="AT2" s="42"/>
    </row>
    <row r="3">
      <c r="A3" s="43" t="s">
        <v>18</v>
      </c>
      <c r="B3" s="12"/>
      <c r="C3" s="12"/>
      <c r="D3" s="12"/>
      <c r="E3" s="12"/>
      <c r="F3" s="44" t="s">
        <v>21</v>
      </c>
      <c r="G3" s="45" t="s">
        <v>22</v>
      </c>
      <c r="H3" s="46" t="s">
        <v>24</v>
      </c>
      <c r="I3" s="47" t="s">
        <v>26</v>
      </c>
      <c r="J3" s="47" t="s">
        <v>28</v>
      </c>
      <c r="K3" s="47" t="s">
        <v>30</v>
      </c>
      <c r="L3" s="47" t="s">
        <v>31</v>
      </c>
      <c r="M3" s="47" t="s">
        <v>32</v>
      </c>
      <c r="N3" s="47" t="s">
        <v>33</v>
      </c>
      <c r="O3" s="47" t="s">
        <v>34</v>
      </c>
      <c r="P3" s="47" t="s">
        <v>35</v>
      </c>
      <c r="Q3" s="47" t="s">
        <v>37</v>
      </c>
      <c r="R3" s="49" t="s">
        <v>38</v>
      </c>
      <c r="S3" s="47" t="s">
        <v>39</v>
      </c>
      <c r="T3" s="47" t="s">
        <v>40</v>
      </c>
      <c r="U3" s="47" t="s">
        <v>41</v>
      </c>
      <c r="V3" s="47" t="s">
        <v>42</v>
      </c>
      <c r="W3" s="47" t="s">
        <v>44</v>
      </c>
      <c r="X3" s="47" t="s">
        <v>45</v>
      </c>
      <c r="Y3" s="47" t="s">
        <v>46</v>
      </c>
      <c r="Z3" s="47" t="s">
        <v>47</v>
      </c>
      <c r="AA3" s="47" t="s">
        <v>48</v>
      </c>
      <c r="AB3" s="47" t="s">
        <v>49</v>
      </c>
      <c r="AC3" s="47" t="s">
        <v>50</v>
      </c>
      <c r="AD3" s="47" t="s">
        <v>51</v>
      </c>
      <c r="AE3" s="47" t="s">
        <v>52</v>
      </c>
      <c r="AF3" s="47" t="s">
        <v>53</v>
      </c>
      <c r="AG3" s="47" t="s">
        <v>54</v>
      </c>
      <c r="AH3" s="47" t="s">
        <v>55</v>
      </c>
      <c r="AI3" s="47" t="s">
        <v>56</v>
      </c>
      <c r="AJ3" s="47" t="s">
        <v>57</v>
      </c>
      <c r="AK3" s="47" t="s">
        <v>58</v>
      </c>
      <c r="AL3" s="47" t="s">
        <v>59</v>
      </c>
      <c r="AM3" s="47" t="s">
        <v>60</v>
      </c>
      <c r="AN3" s="47" t="s">
        <v>61</v>
      </c>
      <c r="AO3" s="47" t="s">
        <v>63</v>
      </c>
      <c r="AP3" s="47" t="s">
        <v>64</v>
      </c>
      <c r="AQ3" s="47" t="s">
        <v>65</v>
      </c>
      <c r="AR3" s="47" t="s">
        <v>66</v>
      </c>
      <c r="AS3" s="47" t="s">
        <v>67</v>
      </c>
      <c r="AT3" s="53"/>
    </row>
    <row r="4">
      <c r="A4" s="54"/>
      <c r="B4" s="56"/>
      <c r="C4" s="56"/>
      <c r="D4" s="56"/>
      <c r="E4" s="57" t="s">
        <v>70</v>
      </c>
      <c r="F4" s="61" t="str">
        <f>'Main CEA'!F241</f>
        <v>xcash</v>
      </c>
      <c r="G4" s="62" t="str">
        <f>'Main CEA'!G241</f>
        <v>calc</v>
      </c>
      <c r="H4" s="65" t="str">
        <f>'Main CEA'!H241</f>
        <v>-</v>
      </c>
      <c r="I4" s="67">
        <f>'Main CEA'!I241</f>
        <v>23.79888889</v>
      </c>
      <c r="J4" s="67">
        <f>'Main CEA'!J241</f>
        <v>10.80064073</v>
      </c>
      <c r="K4" s="67">
        <f>'Main CEA'!K241</f>
        <v>19.89994382</v>
      </c>
      <c r="L4" s="67">
        <f>'Main CEA'!L241</f>
        <v>5.656827509</v>
      </c>
      <c r="M4" s="67">
        <f>'Main CEA'!M241</f>
        <v>13.12917563</v>
      </c>
      <c r="N4" s="67">
        <f>'Main CEA'!N241</f>
        <v>20.32981152</v>
      </c>
      <c r="O4" s="67">
        <f>'Main CEA'!O241</f>
        <v>31.53213901</v>
      </c>
      <c r="P4" s="67">
        <f>'Main CEA'!P241</f>
        <v>51.33089054</v>
      </c>
      <c r="Q4" s="67">
        <f>'Main CEA'!Q241</f>
        <v>38.10262623</v>
      </c>
      <c r="R4" s="67">
        <f>'Main CEA'!R241</f>
        <v>1.867786341</v>
      </c>
      <c r="S4" s="67">
        <f>'Main CEA'!S241</f>
        <v>4.225686691</v>
      </c>
      <c r="T4" s="67">
        <f>'Main CEA'!T241</f>
        <v>1.768109683</v>
      </c>
      <c r="U4" s="67">
        <f>'Main CEA'!U241</f>
        <v>2.150636078</v>
      </c>
      <c r="V4" s="67">
        <f>'Main CEA'!V241</f>
        <v>2.992986954</v>
      </c>
      <c r="W4" s="67">
        <f>'Main CEA'!W241</f>
        <v>3.694768058</v>
      </c>
      <c r="X4" s="67">
        <f>'Main CEA'!X241</f>
        <v>7.445203475</v>
      </c>
      <c r="Y4" s="67">
        <f>'Main CEA'!Y241</f>
        <v>1.470093695</v>
      </c>
      <c r="Z4" s="67">
        <f>'Main CEA'!Z241</f>
        <v>2.491823062</v>
      </c>
      <c r="AA4" s="67">
        <f>'Main CEA'!AA241</f>
        <v>0.9010486621</v>
      </c>
      <c r="AB4" s="67">
        <f>'Main CEA'!AB241</f>
        <v>1.689729482</v>
      </c>
      <c r="AC4" s="67">
        <f>'Main CEA'!AC241</f>
        <v>1.163916063</v>
      </c>
      <c r="AD4" s="67">
        <f>'Main CEA'!AD241</f>
        <v>0.9454095081</v>
      </c>
      <c r="AE4" s="67">
        <f>'Main CEA'!AE241</f>
        <v>1.452673546</v>
      </c>
      <c r="AF4" s="67">
        <f>'Main CEA'!AF241</f>
        <v>1.113372117</v>
      </c>
      <c r="AG4" s="67">
        <f>'Main CEA'!AG241</f>
        <v>2.326412741</v>
      </c>
      <c r="AH4" s="67">
        <f>'Main CEA'!AH241</f>
        <v>2.58552318</v>
      </c>
      <c r="AI4" s="67">
        <f>'Main CEA'!AI241</f>
        <v>1.057455961</v>
      </c>
      <c r="AJ4" s="67">
        <f>'Main CEA'!AJ241</f>
        <v>4.122478511</v>
      </c>
      <c r="AK4" s="67">
        <f>'Main CEA'!AK241</f>
        <v>8.328347179</v>
      </c>
      <c r="AL4" s="67">
        <f>'Main CEA'!AL241</f>
        <v>3.316423642</v>
      </c>
      <c r="AM4" s="67">
        <f>'Main CEA'!AM241</f>
        <v>2.891797582</v>
      </c>
      <c r="AN4" s="67">
        <f>'Main CEA'!AN241</f>
        <v>1.109345771</v>
      </c>
      <c r="AO4" s="67">
        <f>'Main CEA'!AO241</f>
        <v>1.997283971</v>
      </c>
      <c r="AP4" s="67">
        <f>'Main CEA'!AP241</f>
        <v>2.667363328</v>
      </c>
      <c r="AQ4" s="67">
        <f>'Main CEA'!AQ241</f>
        <v>1.639182556</v>
      </c>
      <c r="AR4" s="67">
        <f>'Main CEA'!AR241</f>
        <v>7.705572783</v>
      </c>
      <c r="AS4" s="67">
        <f>'Main CEA'!AS241</f>
        <v>6.722833091</v>
      </c>
      <c r="AT4" s="71"/>
    </row>
    <row r="5">
      <c r="A5" s="72" t="s">
        <v>179</v>
      </c>
      <c r="B5" s="14"/>
      <c r="C5" s="14"/>
      <c r="D5" s="14"/>
      <c r="E5" s="14"/>
      <c r="F5" s="14"/>
      <c r="G5" s="14"/>
      <c r="H5" s="73"/>
      <c r="I5" s="74"/>
      <c r="J5" s="74"/>
      <c r="K5" s="74"/>
      <c r="L5" s="74"/>
      <c r="M5" s="74"/>
      <c r="N5" s="74"/>
      <c r="O5" s="74"/>
      <c r="P5" s="97"/>
      <c r="Q5" s="97"/>
      <c r="R5" s="97"/>
      <c r="S5" s="74"/>
      <c r="T5" s="74"/>
      <c r="U5" s="74"/>
      <c r="V5" s="74"/>
      <c r="W5" s="74"/>
      <c r="X5" s="74"/>
      <c r="Y5" s="74"/>
      <c r="Z5" s="74"/>
      <c r="AA5" s="74"/>
      <c r="AB5" s="74"/>
      <c r="AC5" s="74"/>
      <c r="AD5" s="74"/>
      <c r="AE5" s="74"/>
      <c r="AF5" s="74"/>
      <c r="AG5" s="74"/>
      <c r="AH5" s="74"/>
      <c r="AI5" s="74"/>
      <c r="AJ5" s="97"/>
      <c r="AK5" s="97"/>
      <c r="AL5" s="97"/>
      <c r="AM5" s="97"/>
      <c r="AN5" s="97"/>
      <c r="AO5" s="97"/>
      <c r="AP5" s="97"/>
      <c r="AQ5" s="97"/>
      <c r="AR5" s="97"/>
      <c r="AS5" s="97"/>
      <c r="AT5" s="79"/>
    </row>
    <row r="6">
      <c r="A6" s="80"/>
      <c r="B6" s="81"/>
      <c r="C6" s="90"/>
      <c r="F6" s="83"/>
      <c r="G6" s="84"/>
      <c r="H6" s="85"/>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8"/>
    </row>
    <row r="7">
      <c r="A7" s="80"/>
      <c r="B7" s="81"/>
      <c r="C7" s="126" t="s">
        <v>181</v>
      </c>
      <c r="F7" s="201"/>
      <c r="G7" s="202"/>
      <c r="H7" s="203"/>
      <c r="I7" s="204"/>
      <c r="J7" s="204"/>
      <c r="K7" s="204"/>
      <c r="L7" s="204"/>
      <c r="M7" s="204"/>
      <c r="N7" s="204"/>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5"/>
    </row>
    <row r="8">
      <c r="A8" s="80"/>
      <c r="B8" s="81"/>
      <c r="C8" s="206"/>
      <c r="D8" s="206"/>
      <c r="E8" s="113" t="s">
        <v>182</v>
      </c>
      <c r="F8" s="207" t="str">
        <f>Inputs!F100</f>
        <v>%</v>
      </c>
      <c r="G8" s="208" t="str">
        <f>Inputs!G100</f>
        <v>input</v>
      </c>
      <c r="H8" s="209" t="str">
        <f>Inputs!H100</f>
        <v>-</v>
      </c>
      <c r="I8" s="210">
        <f>Inputs!I100</f>
        <v>0.003629763</v>
      </c>
      <c r="J8" s="210">
        <f>Inputs!J100</f>
        <v>0.001693533</v>
      </c>
      <c r="K8" s="210">
        <f>Inputs!K100</f>
        <v>0.004321809</v>
      </c>
      <c r="L8" s="210">
        <f>Inputs!L100</f>
        <v>0.000876042</v>
      </c>
      <c r="M8" s="210">
        <f>Inputs!M100</f>
        <v>0.001723095</v>
      </c>
      <c r="N8" s="210">
        <f>Inputs!N100</f>
        <v>0.002687563</v>
      </c>
      <c r="O8" s="210">
        <f>Inputs!O100</f>
        <v>0.002755632</v>
      </c>
      <c r="P8" s="210">
        <f>Inputs!P100</f>
        <v>0.004692335</v>
      </c>
      <c r="Q8" s="210">
        <f>Inputs!Q100</f>
        <v>0.005920174</v>
      </c>
      <c r="R8" s="210">
        <f>Inputs!R100</f>
        <v>0.000340487</v>
      </c>
      <c r="S8" s="210">
        <f>Inputs!S100</f>
        <v>0.001242071</v>
      </c>
      <c r="T8" s="210">
        <f>Inputs!T100</f>
        <v>0.000232857</v>
      </c>
      <c r="U8" s="210">
        <f>Inputs!U100</f>
        <v>0.000236873</v>
      </c>
      <c r="V8" s="210">
        <f>Inputs!V100</f>
        <v>0.000342083</v>
      </c>
      <c r="W8" s="210">
        <f>Inputs!W100</f>
        <v>0.000561141</v>
      </c>
      <c r="X8" s="210">
        <f>Inputs!X100</f>
        <v>0.000540748</v>
      </c>
      <c r="Y8" s="210">
        <f>Inputs!Y100</f>
        <v>0.000308884</v>
      </c>
      <c r="Z8" s="210">
        <f>Inputs!Z100</f>
        <v>0.00034876</v>
      </c>
      <c r="AA8" s="210">
        <f>Inputs!AA100</f>
        <v>0.000484387</v>
      </c>
      <c r="AB8" s="210">
        <f>Inputs!AB100</f>
        <v>0.000327009</v>
      </c>
      <c r="AC8" s="210">
        <f>Inputs!AC100</f>
        <v>0.000293915</v>
      </c>
      <c r="AD8" s="210">
        <f>Inputs!AD100</f>
        <v>0.000173117</v>
      </c>
      <c r="AE8" s="210">
        <f>Inputs!AE100</f>
        <v>0.000302269</v>
      </c>
      <c r="AF8" s="210">
        <f>Inputs!AF100</f>
        <v>0.000186819</v>
      </c>
      <c r="AG8" s="210">
        <f>Inputs!AG100</f>
        <v>0.000243976</v>
      </c>
      <c r="AH8" s="210">
        <f>Inputs!AH100</f>
        <v>0.000189327</v>
      </c>
      <c r="AI8" s="210">
        <f>Inputs!AI100</f>
        <v>0.000125611</v>
      </c>
      <c r="AJ8" s="210">
        <f>Inputs!AJ100</f>
        <v>0.000519729</v>
      </c>
      <c r="AK8" s="210">
        <f>Inputs!AK100</f>
        <v>0.000903152</v>
      </c>
      <c r="AL8" s="210">
        <f>Inputs!AL100</f>
        <v>0.00024853</v>
      </c>
      <c r="AM8" s="210">
        <f>Inputs!AM100</f>
        <v>0.000298102</v>
      </c>
      <c r="AN8" s="210">
        <f>Inputs!AN100</f>
        <v>0.000132551</v>
      </c>
      <c r="AO8" s="210">
        <f>Inputs!AO100</f>
        <v>0.000138701</v>
      </c>
      <c r="AP8" s="210">
        <f>Inputs!AP100</f>
        <v>0.000383821</v>
      </c>
      <c r="AQ8" s="210">
        <f>Inputs!AQ100</f>
        <v>0.000322044</v>
      </c>
      <c r="AR8" s="210">
        <f>Inputs!AR100</f>
        <v>0.001380717</v>
      </c>
      <c r="AS8" s="210">
        <f>Inputs!AS100</f>
        <v>0.00187352</v>
      </c>
      <c r="AT8" s="212"/>
    </row>
    <row r="9">
      <c r="A9" s="80"/>
      <c r="B9" s="81"/>
      <c r="C9" s="206"/>
      <c r="D9" s="206"/>
      <c r="E9" s="113" t="s">
        <v>186</v>
      </c>
      <c r="F9" s="207" t="str">
        <f>Inputs!F101</f>
        <v>%</v>
      </c>
      <c r="G9" s="208" t="str">
        <f>Inputs!G101</f>
        <v>input</v>
      </c>
      <c r="H9" s="209" t="str">
        <f>Inputs!H101</f>
        <v>-</v>
      </c>
      <c r="I9" s="210">
        <f>Inputs!I101</f>
        <v>0.000531146</v>
      </c>
      <c r="J9" s="210">
        <f>Inputs!J101</f>
        <v>0.000260845</v>
      </c>
      <c r="K9" s="210">
        <f>Inputs!K101</f>
        <v>0.000599109</v>
      </c>
      <c r="L9" s="210">
        <f>Inputs!L101</f>
        <v>0.000139527</v>
      </c>
      <c r="M9" s="210">
        <f>Inputs!M101</f>
        <v>0.000283003</v>
      </c>
      <c r="N9" s="210">
        <f>Inputs!N101</f>
        <v>0.000411465</v>
      </c>
      <c r="O9" s="210">
        <f>Inputs!O101</f>
        <v>0.000446374</v>
      </c>
      <c r="P9" s="210">
        <f>Inputs!P101</f>
        <v>0.000662009</v>
      </c>
      <c r="Q9" s="210">
        <f>Inputs!Q101</f>
        <v>0.000743129</v>
      </c>
      <c r="R9" s="210">
        <f>Inputs!R101</f>
        <v>0.0000621</v>
      </c>
      <c r="S9" s="210">
        <f>Inputs!S101</f>
        <v>0.000209726</v>
      </c>
      <c r="T9" s="210">
        <f>Inputs!T101</f>
        <v>0.0000557</v>
      </c>
      <c r="U9" s="210">
        <f>Inputs!U101</f>
        <v>0.0000609</v>
      </c>
      <c r="V9" s="210">
        <f>Inputs!V101</f>
        <v>0.0000631</v>
      </c>
      <c r="W9" s="210">
        <f>Inputs!W101</f>
        <v>0.000151165</v>
      </c>
      <c r="X9" s="210">
        <f>Inputs!X101</f>
        <v>0.000139579</v>
      </c>
      <c r="Y9" s="210">
        <f>Inputs!Y101</f>
        <v>0.0000649</v>
      </c>
      <c r="Z9" s="210">
        <f>Inputs!Z101</f>
        <v>0.000076</v>
      </c>
      <c r="AA9" s="210">
        <f>Inputs!AA101</f>
        <v>0.000116521</v>
      </c>
      <c r="AB9" s="210">
        <f>Inputs!AB101</f>
        <v>0.0000615</v>
      </c>
      <c r="AC9" s="210">
        <f>Inputs!AC101</f>
        <v>0.0000564</v>
      </c>
      <c r="AD9" s="210">
        <f>Inputs!AD101</f>
        <v>0.0000595</v>
      </c>
      <c r="AE9" s="210">
        <f>Inputs!AE101</f>
        <v>0.0000768</v>
      </c>
      <c r="AF9" s="210">
        <f>Inputs!AF101</f>
        <v>0.0000532</v>
      </c>
      <c r="AG9" s="210">
        <f>Inputs!AG101</f>
        <v>0.0000579</v>
      </c>
      <c r="AH9" s="210">
        <f>Inputs!AH101</f>
        <v>0.0000545</v>
      </c>
      <c r="AI9" s="210">
        <f>Inputs!AI101</f>
        <v>0.0000473</v>
      </c>
      <c r="AJ9" s="210">
        <f>Inputs!AJ101</f>
        <v>0.000116059</v>
      </c>
      <c r="AK9" s="210">
        <f>Inputs!AK101</f>
        <v>0.000179674</v>
      </c>
      <c r="AL9" s="210">
        <f>Inputs!AL101</f>
        <v>0.0000743</v>
      </c>
      <c r="AM9" s="210">
        <f>Inputs!AM101</f>
        <v>0.0000696</v>
      </c>
      <c r="AN9" s="210">
        <f>Inputs!AN101</f>
        <v>0.0000391</v>
      </c>
      <c r="AO9" s="210">
        <f>Inputs!AO101</f>
        <v>0.0000329</v>
      </c>
      <c r="AP9" s="210">
        <f>Inputs!AP101</f>
        <v>0.000114084</v>
      </c>
      <c r="AQ9" s="210">
        <f>Inputs!AQ101</f>
        <v>0.0000651</v>
      </c>
      <c r="AR9" s="210">
        <f>Inputs!AR101</f>
        <v>0.000235176</v>
      </c>
      <c r="AS9" s="210">
        <f>Inputs!AS101</f>
        <v>0.000388626</v>
      </c>
      <c r="AT9" s="212"/>
    </row>
    <row r="10">
      <c r="A10" s="80"/>
      <c r="B10" s="81"/>
      <c r="C10" s="206"/>
      <c r="D10" s="206"/>
      <c r="E10" s="113" t="s">
        <v>191</v>
      </c>
      <c r="F10" s="207" t="str">
        <f>Inputs!F102</f>
        <v>%</v>
      </c>
      <c r="G10" s="208" t="str">
        <f>Inputs!G102</f>
        <v>input</v>
      </c>
      <c r="H10" s="209" t="str">
        <f>Inputs!H102</f>
        <v>-</v>
      </c>
      <c r="I10" s="210">
        <f>Inputs!I102</f>
        <v>0.007150253</v>
      </c>
      <c r="J10" s="210">
        <f>Inputs!J102</f>
        <v>0.004007767</v>
      </c>
      <c r="K10" s="210">
        <f>Inputs!K102</f>
        <v>0.008685948</v>
      </c>
      <c r="L10" s="210">
        <f>Inputs!L102</f>
        <v>0.002843472</v>
      </c>
      <c r="M10" s="210">
        <f>Inputs!M102</f>
        <v>0.003815045</v>
      </c>
      <c r="N10" s="210">
        <f>Inputs!N102</f>
        <v>0.006867301</v>
      </c>
      <c r="O10" s="210">
        <f>Inputs!O102</f>
        <v>0.007345394</v>
      </c>
      <c r="P10" s="210">
        <f>Inputs!P102</f>
        <v>0.010104002</v>
      </c>
      <c r="Q10" s="210">
        <f>Inputs!Q102</f>
        <v>0.008822924</v>
      </c>
      <c r="R10" s="210">
        <f>Inputs!R102</f>
        <v>0.001712444</v>
      </c>
      <c r="S10" s="210">
        <f>Inputs!S102</f>
        <v>0.003254575</v>
      </c>
      <c r="T10" s="210">
        <f>Inputs!T102</f>
        <v>0.001947567</v>
      </c>
      <c r="U10" s="210">
        <f>Inputs!U102</f>
        <v>0.001891574</v>
      </c>
      <c r="V10" s="210">
        <f>Inputs!V102</f>
        <v>0.002199333</v>
      </c>
      <c r="W10" s="210">
        <f>Inputs!W102</f>
        <v>0.00325216</v>
      </c>
      <c r="X10" s="210">
        <f>Inputs!X102</f>
        <v>0.002925094</v>
      </c>
      <c r="Y10" s="210">
        <f>Inputs!Y102</f>
        <v>0.002153522</v>
      </c>
      <c r="Z10" s="210">
        <f>Inputs!Z102</f>
        <v>0.002148009</v>
      </c>
      <c r="AA10" s="210">
        <f>Inputs!AA102</f>
        <v>0.002777193</v>
      </c>
      <c r="AB10" s="210">
        <f>Inputs!AB102</f>
        <v>0.002017867</v>
      </c>
      <c r="AC10" s="210">
        <f>Inputs!AC102</f>
        <v>0.001820839</v>
      </c>
      <c r="AD10" s="210">
        <f>Inputs!AD102</f>
        <v>0.00191537</v>
      </c>
      <c r="AE10" s="210">
        <f>Inputs!AE102</f>
        <v>0.001753646</v>
      </c>
      <c r="AF10" s="210">
        <f>Inputs!AF102</f>
        <v>0.00167821</v>
      </c>
      <c r="AG10" s="210">
        <f>Inputs!AG102</f>
        <v>0.002003066</v>
      </c>
      <c r="AH10" s="210">
        <f>Inputs!AH102</f>
        <v>0.002403157</v>
      </c>
      <c r="AI10" s="210">
        <f>Inputs!AI102</f>
        <v>0.001213453</v>
      </c>
      <c r="AJ10" s="210">
        <f>Inputs!AJ102</f>
        <v>0.003105895</v>
      </c>
      <c r="AK10" s="210">
        <f>Inputs!AK102</f>
        <v>0.003950397</v>
      </c>
      <c r="AL10" s="210">
        <f>Inputs!AL102</f>
        <v>0.00235567</v>
      </c>
      <c r="AM10" s="210">
        <f>Inputs!AM102</f>
        <v>0.002089846</v>
      </c>
      <c r="AN10" s="210">
        <f>Inputs!AN102</f>
        <v>0.001299033</v>
      </c>
      <c r="AO10" s="210">
        <f>Inputs!AO102</f>
        <v>0.001446772</v>
      </c>
      <c r="AP10" s="210">
        <f>Inputs!AP102</f>
        <v>0.00310694</v>
      </c>
      <c r="AQ10" s="210">
        <f>Inputs!AQ102</f>
        <v>0.001856172</v>
      </c>
      <c r="AR10" s="210">
        <f>Inputs!AR102</f>
        <v>0.004273474</v>
      </c>
      <c r="AS10" s="210">
        <f>Inputs!AS102</f>
        <v>0.006708114</v>
      </c>
      <c r="AT10" s="212"/>
    </row>
    <row r="11">
      <c r="A11" s="80"/>
      <c r="B11" s="81"/>
      <c r="C11" s="206"/>
      <c r="D11" s="206"/>
      <c r="E11" s="224" t="s">
        <v>195</v>
      </c>
      <c r="F11" s="225" t="str">
        <f>Inputs!F103</f>
        <v>%</v>
      </c>
      <c r="G11" s="226" t="str">
        <f>Inputs!G103</f>
        <v>input</v>
      </c>
      <c r="H11" s="227" t="str">
        <f>Inputs!H103</f>
        <v>-</v>
      </c>
      <c r="I11" s="228">
        <f>Inputs!I103</f>
        <v>0.049361812</v>
      </c>
      <c r="J11" s="228">
        <f>Inputs!J103</f>
        <v>0.030242318</v>
      </c>
      <c r="K11" s="228">
        <f>Inputs!K103</f>
        <v>0.052337352</v>
      </c>
      <c r="L11" s="228">
        <f>Inputs!L103</f>
        <v>0.017468647</v>
      </c>
      <c r="M11" s="228">
        <f>Inputs!M103</f>
        <v>0.024547523</v>
      </c>
      <c r="N11" s="228">
        <f>Inputs!N103</f>
        <v>0.043092487</v>
      </c>
      <c r="O11" s="228">
        <f>Inputs!O103</f>
        <v>0.052878712</v>
      </c>
      <c r="P11" s="228">
        <f>Inputs!P103</f>
        <v>0.055929714</v>
      </c>
      <c r="Q11" s="228">
        <f>Inputs!Q103</f>
        <v>0.065277222</v>
      </c>
      <c r="R11" s="228">
        <f>Inputs!R103</f>
        <v>0.012599879</v>
      </c>
      <c r="S11" s="228">
        <f>Inputs!S103</f>
        <v>0.023004763</v>
      </c>
      <c r="T11" s="228">
        <f>Inputs!T103</f>
        <v>0.013029136</v>
      </c>
      <c r="U11" s="228">
        <f>Inputs!U103</f>
        <v>0.012334946</v>
      </c>
      <c r="V11" s="228">
        <f>Inputs!V103</f>
        <v>0.014655927</v>
      </c>
      <c r="W11" s="228">
        <f>Inputs!W103</f>
        <v>0.021009252</v>
      </c>
      <c r="X11" s="228">
        <f>Inputs!X103</f>
        <v>0.022167906</v>
      </c>
      <c r="Y11" s="228">
        <f>Inputs!Y103</f>
        <v>0.014441764</v>
      </c>
      <c r="Z11" s="228">
        <f>Inputs!Z103</f>
        <v>0.011944601</v>
      </c>
      <c r="AA11" s="228">
        <f>Inputs!AA103</f>
        <v>0.01787577</v>
      </c>
      <c r="AB11" s="228">
        <f>Inputs!AB103</f>
        <v>0.01091559</v>
      </c>
      <c r="AC11" s="228">
        <f>Inputs!AC103</f>
        <v>0.012048696</v>
      </c>
      <c r="AD11" s="228">
        <f>Inputs!AD103</f>
        <v>0.013674896</v>
      </c>
      <c r="AE11" s="228">
        <f>Inputs!AE103</f>
        <v>0.00979287</v>
      </c>
      <c r="AF11" s="228">
        <f>Inputs!AF103</f>
        <v>0.011610331</v>
      </c>
      <c r="AG11" s="228">
        <f>Inputs!AG103</f>
        <v>0.015085468</v>
      </c>
      <c r="AH11" s="228">
        <f>Inputs!AH103</f>
        <v>0.013966852</v>
      </c>
      <c r="AI11" s="228">
        <f>Inputs!AI103</f>
        <v>0.007392705</v>
      </c>
      <c r="AJ11" s="228">
        <f>Inputs!AJ103</f>
        <v>0.015409974</v>
      </c>
      <c r="AK11" s="228">
        <f>Inputs!AK103</f>
        <v>0.024823515</v>
      </c>
      <c r="AL11" s="228">
        <f>Inputs!AL103</f>
        <v>0.015866669</v>
      </c>
      <c r="AM11" s="228">
        <f>Inputs!AM103</f>
        <v>0.01415755</v>
      </c>
      <c r="AN11" s="228">
        <f>Inputs!AN103</f>
        <v>0.011586001</v>
      </c>
      <c r="AO11" s="228">
        <f>Inputs!AO103</f>
        <v>0.008549682</v>
      </c>
      <c r="AP11" s="228">
        <f>Inputs!AP103</f>
        <v>0.015257187</v>
      </c>
      <c r="AQ11" s="228">
        <f>Inputs!AQ103</f>
        <v>0.011869172</v>
      </c>
      <c r="AR11" s="228">
        <f>Inputs!AR103</f>
        <v>0.020851106</v>
      </c>
      <c r="AS11" s="228">
        <f>Inputs!AS103</f>
        <v>0.043770944</v>
      </c>
      <c r="AT11" s="242"/>
    </row>
    <row r="12">
      <c r="A12" s="80"/>
      <c r="B12" s="81"/>
      <c r="C12" s="126"/>
      <c r="D12" s="126"/>
      <c r="E12" s="243"/>
      <c r="F12" s="201"/>
      <c r="G12" s="202"/>
      <c r="H12" s="85"/>
      <c r="I12" s="135"/>
      <c r="J12" s="135"/>
      <c r="K12" s="135"/>
      <c r="L12" s="135"/>
      <c r="M12" s="135"/>
      <c r="N12" s="135"/>
      <c r="O12" s="135"/>
      <c r="P12" s="135"/>
      <c r="Q12" s="135"/>
      <c r="R12" s="135"/>
      <c r="S12" s="135"/>
      <c r="T12" s="135"/>
      <c r="U12" s="135"/>
      <c r="V12" s="135"/>
      <c r="W12" s="135"/>
      <c r="X12" s="135"/>
      <c r="Y12" s="135"/>
      <c r="Z12" s="135"/>
      <c r="AA12" s="135"/>
      <c r="AB12" s="135"/>
      <c r="AC12" s="135"/>
      <c r="AD12" s="135"/>
      <c r="AE12" s="135"/>
      <c r="AF12" s="135"/>
      <c r="AG12" s="135"/>
      <c r="AH12" s="135"/>
      <c r="AI12" s="135"/>
      <c r="AJ12" s="135"/>
      <c r="AK12" s="135"/>
      <c r="AL12" s="135"/>
      <c r="AM12" s="135"/>
      <c r="AN12" s="135"/>
      <c r="AO12" s="135"/>
      <c r="AP12" s="135"/>
      <c r="AQ12" s="135"/>
      <c r="AR12" s="135"/>
      <c r="AS12" s="135"/>
      <c r="AT12" s="91"/>
    </row>
    <row r="13">
      <c r="A13" s="80"/>
      <c r="B13" s="81"/>
      <c r="C13" s="126" t="s">
        <v>201</v>
      </c>
      <c r="F13" s="126"/>
      <c r="G13" s="201"/>
      <c r="H13" s="110"/>
      <c r="I13" s="244"/>
      <c r="J13" s="244"/>
      <c r="K13" s="244"/>
      <c r="L13" s="244"/>
      <c r="M13" s="244"/>
      <c r="N13" s="244"/>
      <c r="O13" s="244"/>
      <c r="P13" s="244"/>
      <c r="Q13" s="244"/>
      <c r="R13" s="244"/>
      <c r="S13" s="244"/>
      <c r="T13" s="244"/>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91"/>
    </row>
    <row r="14">
      <c r="A14" s="80"/>
      <c r="B14" s="81"/>
      <c r="C14" s="206"/>
      <c r="D14" s="206"/>
      <c r="E14" s="113" t="s">
        <v>202</v>
      </c>
      <c r="F14" s="207" t="s">
        <v>122</v>
      </c>
      <c r="G14" s="207" t="s">
        <v>203</v>
      </c>
      <c r="H14" s="191">
        <f>Inputs!H104</f>
        <v>0</v>
      </c>
      <c r="I14" s="246" t="str">
        <f>Inputs!I104</f>
        <v>-</v>
      </c>
      <c r="J14" s="246" t="str">
        <f>Inputs!J104</f>
        <v>-</v>
      </c>
      <c r="K14" s="246" t="str">
        <f>Inputs!K104</f>
        <v>-</v>
      </c>
      <c r="L14" s="246" t="str">
        <f>Inputs!L104</f>
        <v>-</v>
      </c>
      <c r="M14" s="246" t="str">
        <f>Inputs!M104</f>
        <v>-</v>
      </c>
      <c r="N14" s="246" t="str">
        <f>Inputs!N104</f>
        <v>-</v>
      </c>
      <c r="O14" s="246" t="str">
        <f>Inputs!O104</f>
        <v>-</v>
      </c>
      <c r="P14" s="246" t="str">
        <f>Inputs!P104</f>
        <v>-</v>
      </c>
      <c r="Q14" s="246" t="str">
        <f>Inputs!Q104</f>
        <v>-</v>
      </c>
      <c r="R14" s="246" t="str">
        <f>Inputs!R104</f>
        <v>-</v>
      </c>
      <c r="S14" s="246" t="str">
        <f>Inputs!S104</f>
        <v>-</v>
      </c>
      <c r="T14" s="246" t="str">
        <f>Inputs!T104</f>
        <v>-</v>
      </c>
      <c r="U14" s="246" t="str">
        <f>Inputs!U104</f>
        <v>-</v>
      </c>
      <c r="V14" s="246" t="str">
        <f>Inputs!V104</f>
        <v>-</v>
      </c>
      <c r="W14" s="246" t="str">
        <f>Inputs!W104</f>
        <v>-</v>
      </c>
      <c r="X14" s="246" t="str">
        <f>Inputs!X104</f>
        <v>-</v>
      </c>
      <c r="Y14" s="246" t="str">
        <f>Inputs!Y104</f>
        <v>-</v>
      </c>
      <c r="Z14" s="246" t="str">
        <f>Inputs!Z104</f>
        <v>-</v>
      </c>
      <c r="AA14" s="246" t="str">
        <f>Inputs!AA104</f>
        <v>-</v>
      </c>
      <c r="AB14" s="246" t="str">
        <f>Inputs!AB104</f>
        <v>-</v>
      </c>
      <c r="AC14" s="246" t="str">
        <f>Inputs!AC104</f>
        <v>-</v>
      </c>
      <c r="AD14" s="246" t="str">
        <f>Inputs!AD104</f>
        <v>-</v>
      </c>
      <c r="AE14" s="246" t="str">
        <f>Inputs!AE104</f>
        <v>-</v>
      </c>
      <c r="AF14" s="246" t="str">
        <f>Inputs!AF104</f>
        <v>-</v>
      </c>
      <c r="AG14" s="246" t="str">
        <f>Inputs!AG104</f>
        <v>-</v>
      </c>
      <c r="AH14" s="246" t="str">
        <f>Inputs!AH104</f>
        <v>-</v>
      </c>
      <c r="AI14" s="246" t="str">
        <f>Inputs!AI104</f>
        <v>-</v>
      </c>
      <c r="AJ14" s="246" t="str">
        <f>Inputs!AJ104</f>
        <v>-</v>
      </c>
      <c r="AK14" s="246" t="str">
        <f>Inputs!AK104</f>
        <v>-</v>
      </c>
      <c r="AL14" s="246" t="str">
        <f>Inputs!AL104</f>
        <v>-</v>
      </c>
      <c r="AM14" s="246" t="str">
        <f>Inputs!AM104</f>
        <v>-</v>
      </c>
      <c r="AN14" s="246" t="str">
        <f>Inputs!AN104</f>
        <v>-</v>
      </c>
      <c r="AO14" s="246" t="str">
        <f>Inputs!AO104</f>
        <v>-</v>
      </c>
      <c r="AP14" s="246" t="str">
        <f>Inputs!AP104</f>
        <v>-</v>
      </c>
      <c r="AQ14" s="246" t="str">
        <f>Inputs!AQ104</f>
        <v>-</v>
      </c>
      <c r="AR14" s="246" t="str">
        <f>Inputs!AR104</f>
        <v>-</v>
      </c>
      <c r="AS14" s="246" t="str">
        <f>Inputs!AS104</f>
        <v>-</v>
      </c>
      <c r="AT14" s="256"/>
    </row>
    <row r="15">
      <c r="A15" s="80"/>
      <c r="B15" s="81"/>
      <c r="C15" s="206"/>
      <c r="D15" s="206"/>
      <c r="E15" s="224" t="s">
        <v>211</v>
      </c>
      <c r="F15" s="225" t="s">
        <v>122</v>
      </c>
      <c r="G15" s="226" t="s">
        <v>149</v>
      </c>
      <c r="H15" s="259" t="s">
        <v>150</v>
      </c>
      <c r="I15" s="228">
        <f t="shared" ref="I15:AS15" si="1">I8*(1-$H14)</f>
        <v>0.003629763</v>
      </c>
      <c r="J15" s="228">
        <f t="shared" si="1"/>
        <v>0.001693533</v>
      </c>
      <c r="K15" s="228">
        <f t="shared" si="1"/>
        <v>0.004321809</v>
      </c>
      <c r="L15" s="228">
        <f t="shared" si="1"/>
        <v>0.000876042</v>
      </c>
      <c r="M15" s="228">
        <f t="shared" si="1"/>
        <v>0.001723095</v>
      </c>
      <c r="N15" s="228">
        <f t="shared" si="1"/>
        <v>0.002687563</v>
      </c>
      <c r="O15" s="228">
        <f t="shared" si="1"/>
        <v>0.002755632</v>
      </c>
      <c r="P15" s="228">
        <f t="shared" si="1"/>
        <v>0.004692335</v>
      </c>
      <c r="Q15" s="228">
        <f t="shared" si="1"/>
        <v>0.005920174</v>
      </c>
      <c r="R15" s="228">
        <f t="shared" si="1"/>
        <v>0.000340487</v>
      </c>
      <c r="S15" s="228">
        <f t="shared" si="1"/>
        <v>0.001242071</v>
      </c>
      <c r="T15" s="228">
        <f t="shared" si="1"/>
        <v>0.000232857</v>
      </c>
      <c r="U15" s="228">
        <f t="shared" si="1"/>
        <v>0.000236873</v>
      </c>
      <c r="V15" s="228">
        <f t="shared" si="1"/>
        <v>0.000342083</v>
      </c>
      <c r="W15" s="228">
        <f t="shared" si="1"/>
        <v>0.000561141</v>
      </c>
      <c r="X15" s="228">
        <f t="shared" si="1"/>
        <v>0.000540748</v>
      </c>
      <c r="Y15" s="228">
        <f t="shared" si="1"/>
        <v>0.000308884</v>
      </c>
      <c r="Z15" s="228">
        <f t="shared" si="1"/>
        <v>0.00034876</v>
      </c>
      <c r="AA15" s="228">
        <f t="shared" si="1"/>
        <v>0.000484387</v>
      </c>
      <c r="AB15" s="228">
        <f t="shared" si="1"/>
        <v>0.000327009</v>
      </c>
      <c r="AC15" s="228">
        <f t="shared" si="1"/>
        <v>0.000293915</v>
      </c>
      <c r="AD15" s="228">
        <f t="shared" si="1"/>
        <v>0.000173117</v>
      </c>
      <c r="AE15" s="228">
        <f t="shared" si="1"/>
        <v>0.000302269</v>
      </c>
      <c r="AF15" s="228">
        <f t="shared" si="1"/>
        <v>0.000186819</v>
      </c>
      <c r="AG15" s="228">
        <f t="shared" si="1"/>
        <v>0.000243976</v>
      </c>
      <c r="AH15" s="228">
        <f t="shared" si="1"/>
        <v>0.000189327</v>
      </c>
      <c r="AI15" s="228">
        <f t="shared" si="1"/>
        <v>0.000125611</v>
      </c>
      <c r="AJ15" s="228">
        <f t="shared" si="1"/>
        <v>0.000519729</v>
      </c>
      <c r="AK15" s="228">
        <f t="shared" si="1"/>
        <v>0.000903152</v>
      </c>
      <c r="AL15" s="228">
        <f t="shared" si="1"/>
        <v>0.00024853</v>
      </c>
      <c r="AM15" s="228">
        <f t="shared" si="1"/>
        <v>0.000298102</v>
      </c>
      <c r="AN15" s="228">
        <f t="shared" si="1"/>
        <v>0.000132551</v>
      </c>
      <c r="AO15" s="228">
        <f t="shared" si="1"/>
        <v>0.000138701</v>
      </c>
      <c r="AP15" s="228">
        <f t="shared" si="1"/>
        <v>0.000383821</v>
      </c>
      <c r="AQ15" s="228">
        <f t="shared" si="1"/>
        <v>0.000322044</v>
      </c>
      <c r="AR15" s="228">
        <f t="shared" si="1"/>
        <v>0.001380717</v>
      </c>
      <c r="AS15" s="228">
        <f t="shared" si="1"/>
        <v>0.00187352</v>
      </c>
      <c r="AT15" s="242"/>
    </row>
    <row r="16">
      <c r="A16" s="80"/>
      <c r="B16" s="81"/>
      <c r="C16" s="126"/>
      <c r="D16" s="126"/>
      <c r="E16" s="243"/>
      <c r="F16" s="201"/>
      <c r="G16" s="202"/>
      <c r="H16" s="85"/>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135"/>
      <c r="AH16" s="135"/>
      <c r="AI16" s="135"/>
      <c r="AJ16" s="135"/>
      <c r="AK16" s="135"/>
      <c r="AL16" s="135"/>
      <c r="AM16" s="135"/>
      <c r="AN16" s="135"/>
      <c r="AO16" s="135"/>
      <c r="AP16" s="135"/>
      <c r="AQ16" s="135"/>
      <c r="AR16" s="135"/>
      <c r="AS16" s="135"/>
      <c r="AT16" s="91"/>
    </row>
    <row r="17">
      <c r="A17" s="72" t="s">
        <v>215</v>
      </c>
      <c r="B17" s="14"/>
      <c r="C17" s="14"/>
      <c r="D17" s="14"/>
      <c r="E17" s="14"/>
      <c r="F17" s="14"/>
      <c r="G17" s="14"/>
      <c r="H17" s="73"/>
      <c r="I17" s="97"/>
      <c r="J17" s="97"/>
      <c r="K17" s="97"/>
      <c r="L17" s="97"/>
      <c r="M17" s="97"/>
      <c r="N17" s="97"/>
      <c r="O17" s="97"/>
      <c r="P17" s="97"/>
      <c r="Q17" s="97"/>
      <c r="R17" s="97"/>
      <c r="S17" s="97"/>
      <c r="T17" s="97"/>
      <c r="U17" s="97"/>
      <c r="V17" s="97"/>
      <c r="W17" s="97"/>
      <c r="X17" s="97"/>
      <c r="Y17" s="97"/>
      <c r="Z17" s="97"/>
      <c r="AA17" s="97"/>
      <c r="AB17" s="97"/>
      <c r="AC17" s="97"/>
      <c r="AD17" s="97"/>
      <c r="AE17" s="97"/>
      <c r="AF17" s="97"/>
      <c r="AG17" s="97"/>
      <c r="AH17" s="97"/>
      <c r="AI17" s="97"/>
      <c r="AJ17" s="97"/>
      <c r="AK17" s="97"/>
      <c r="AL17" s="97"/>
      <c r="AM17" s="97"/>
      <c r="AN17" s="97"/>
      <c r="AO17" s="97"/>
      <c r="AP17" s="97"/>
      <c r="AQ17" s="97"/>
      <c r="AR17" s="97"/>
      <c r="AS17" s="97"/>
      <c r="AT17" s="79"/>
    </row>
    <row r="18">
      <c r="A18" s="80"/>
      <c r="B18" s="81"/>
      <c r="C18" s="206"/>
      <c r="D18" s="206"/>
      <c r="E18" s="243"/>
      <c r="F18" s="201"/>
      <c r="G18" s="202"/>
      <c r="H18" s="85"/>
      <c r="I18" s="266"/>
      <c r="J18" s="266"/>
      <c r="K18" s="266"/>
      <c r="L18" s="266"/>
      <c r="M18" s="266"/>
      <c r="N18" s="266"/>
      <c r="O18" s="266"/>
      <c r="P18" s="266"/>
      <c r="Q18" s="266"/>
      <c r="R18" s="244"/>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8"/>
    </row>
    <row r="19">
      <c r="A19" s="80"/>
      <c r="B19" s="81"/>
      <c r="C19" s="126" t="s">
        <v>216</v>
      </c>
      <c r="F19" s="201"/>
      <c r="G19" s="202"/>
      <c r="H19" s="85"/>
      <c r="I19" s="266"/>
      <c r="J19" s="266"/>
      <c r="K19" s="266"/>
      <c r="L19" s="266"/>
      <c r="M19" s="266"/>
      <c r="N19" s="266"/>
      <c r="O19" s="266"/>
      <c r="P19" s="266"/>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8"/>
    </row>
    <row r="20">
      <c r="A20" s="80"/>
      <c r="B20" s="81"/>
      <c r="C20" s="206"/>
      <c r="D20" s="206"/>
      <c r="E20" s="113" t="s">
        <v>218</v>
      </c>
      <c r="F20" s="207" t="s">
        <v>122</v>
      </c>
      <c r="G20" s="208" t="s">
        <v>203</v>
      </c>
      <c r="H20" s="209" t="str">
        <f>Inputs!H107</f>
        <v>-</v>
      </c>
      <c r="I20" s="210">
        <f>Inputs!I107</f>
        <v>0.000501357</v>
      </c>
      <c r="J20" s="210">
        <f>Inputs!J107</f>
        <v>0.000347103</v>
      </c>
      <c r="K20" s="210">
        <f>Inputs!K107</f>
        <v>0.000579052</v>
      </c>
      <c r="L20" s="210">
        <f>Inputs!L107</f>
        <v>0.000105863</v>
      </c>
      <c r="M20" s="210">
        <f>Inputs!M107</f>
        <v>0.000247733</v>
      </c>
      <c r="N20" s="210">
        <f>Inputs!N107</f>
        <v>0.000380731</v>
      </c>
      <c r="O20" s="210">
        <f>Inputs!O107</f>
        <v>0.000728763</v>
      </c>
      <c r="P20" s="210">
        <f>Inputs!P107</f>
        <v>0.001418658</v>
      </c>
      <c r="Q20" s="210">
        <f>Inputs!Q107</f>
        <v>0.001618551</v>
      </c>
      <c r="R20" s="210">
        <f>Inputs!R107</f>
        <v>0.0000086</v>
      </c>
      <c r="S20" s="210">
        <f>Inputs!S107</f>
        <v>0.0000678</v>
      </c>
      <c r="T20" s="210">
        <f>Inputs!T107</f>
        <v>0.00000675</v>
      </c>
      <c r="U20" s="210">
        <f>Inputs!U107</f>
        <v>0.0000039</v>
      </c>
      <c r="V20" s="210">
        <f>Inputs!V107</f>
        <v>0.0000197</v>
      </c>
      <c r="W20" s="210">
        <f>Inputs!W107</f>
        <v>0.0000197</v>
      </c>
      <c r="X20" s="210">
        <f>Inputs!X107</f>
        <v>0.0000471</v>
      </c>
      <c r="Y20" s="210">
        <f>Inputs!Y107</f>
        <v>0.00000697</v>
      </c>
      <c r="Z20" s="210">
        <f>Inputs!Z107</f>
        <v>0.00000924</v>
      </c>
      <c r="AA20" s="210">
        <f>Inputs!AA107</f>
        <v>0.0000109</v>
      </c>
      <c r="AB20" s="210">
        <f>Inputs!AB107</f>
        <v>0.00000759</v>
      </c>
      <c r="AC20" s="210">
        <f>Inputs!AC107</f>
        <v>0.00000402</v>
      </c>
      <c r="AD20" s="210">
        <f>Inputs!AD107</f>
        <v>0.00000345</v>
      </c>
      <c r="AE20" s="210">
        <f>Inputs!AE107</f>
        <v>0.00000794</v>
      </c>
      <c r="AF20" s="210">
        <f>Inputs!AF107</f>
        <v>0.00000361</v>
      </c>
      <c r="AG20" s="210">
        <f>Inputs!AG107</f>
        <v>0.0000113</v>
      </c>
      <c r="AH20" s="210">
        <f>Inputs!AH107</f>
        <v>0.00000694</v>
      </c>
      <c r="AI20" s="210">
        <f>Inputs!AI107</f>
        <v>0.00000167</v>
      </c>
      <c r="AJ20" s="210">
        <f>Inputs!AJ107</f>
        <v>0.0000313</v>
      </c>
      <c r="AK20" s="210">
        <f>Inputs!AK107</f>
        <v>0.00011796</v>
      </c>
      <c r="AL20" s="210">
        <f>Inputs!AL107</f>
        <v>0.0000132</v>
      </c>
      <c r="AM20" s="210">
        <f>Inputs!AM107</f>
        <v>0.00000703</v>
      </c>
      <c r="AN20" s="210">
        <f>Inputs!AN107</f>
        <v>0.00000214</v>
      </c>
      <c r="AO20" s="210">
        <f>Inputs!AO107</f>
        <v>0.00000946</v>
      </c>
      <c r="AP20" s="210">
        <f>Inputs!AP107</f>
        <v>0.0000122</v>
      </c>
      <c r="AQ20" s="210">
        <f>Inputs!AQ107</f>
        <v>0.00000755</v>
      </c>
      <c r="AR20" s="210">
        <f>Inputs!AR107</f>
        <v>0.000140862</v>
      </c>
      <c r="AS20" s="210">
        <f>Inputs!AS107</f>
        <v>0.000257334</v>
      </c>
      <c r="AT20" s="212"/>
    </row>
    <row r="21">
      <c r="A21" s="80"/>
      <c r="B21" s="81"/>
      <c r="C21" s="206"/>
      <c r="D21" s="206"/>
      <c r="E21" s="140" t="s">
        <v>226</v>
      </c>
      <c r="F21" s="278" t="s">
        <v>122</v>
      </c>
      <c r="G21" s="279" t="s">
        <v>203</v>
      </c>
      <c r="H21" s="280" t="str">
        <f>Inputs!H108</f>
        <v>-</v>
      </c>
      <c r="I21" s="281">
        <f>Inputs!I108</f>
        <v>0.0000588</v>
      </c>
      <c r="J21" s="281">
        <f>Inputs!J108</f>
        <v>0.0000439</v>
      </c>
      <c r="K21" s="281">
        <f>Inputs!K108</f>
        <v>0.0000671</v>
      </c>
      <c r="L21" s="281">
        <f>Inputs!L108</f>
        <v>0.0000199</v>
      </c>
      <c r="M21" s="281">
        <f>Inputs!M108</f>
        <v>0.0000353</v>
      </c>
      <c r="N21" s="281">
        <f>Inputs!N108</f>
        <v>0.0000459</v>
      </c>
      <c r="O21" s="281">
        <f>Inputs!O108</f>
        <v>0.000109744</v>
      </c>
      <c r="P21" s="281">
        <f>Inputs!P108</f>
        <v>0.000181069</v>
      </c>
      <c r="Q21" s="281">
        <f>Inputs!Q108</f>
        <v>0.000177977</v>
      </c>
      <c r="R21" s="281">
        <f>Inputs!R108</f>
        <v>0.00000173</v>
      </c>
      <c r="S21" s="281">
        <f>Inputs!S108</f>
        <v>0.0000108</v>
      </c>
      <c r="T21" s="281">
        <f>Inputs!T108</f>
        <v>0.00000172</v>
      </c>
      <c r="U21" s="281">
        <f>Inputs!U108</f>
        <v>0.00000109</v>
      </c>
      <c r="V21" s="281">
        <f>Inputs!V108</f>
        <v>0.00000369</v>
      </c>
      <c r="W21" s="281">
        <f>Inputs!W108</f>
        <v>0.00000581</v>
      </c>
      <c r="X21" s="281">
        <f>Inputs!X108</f>
        <v>0.0000111</v>
      </c>
      <c r="Y21" s="281">
        <f>Inputs!Y108</f>
        <v>0.0000018</v>
      </c>
      <c r="Z21" s="281">
        <f>Inputs!Z108</f>
        <v>0.00000239</v>
      </c>
      <c r="AA21" s="281">
        <f>Inputs!AA108</f>
        <v>0.00000331</v>
      </c>
      <c r="AB21" s="281">
        <f>Inputs!AB108</f>
        <v>0.00000129</v>
      </c>
      <c r="AC21" s="281">
        <f>Inputs!AC108</f>
        <v>0.000000922</v>
      </c>
      <c r="AD21" s="281">
        <f>Inputs!AD108</f>
        <v>0.00000121</v>
      </c>
      <c r="AE21" s="281">
        <f>Inputs!AE108</f>
        <v>0.00000229</v>
      </c>
      <c r="AF21" s="281">
        <f>Inputs!AF108</f>
        <v>0.0000011</v>
      </c>
      <c r="AG21" s="281">
        <f>Inputs!AG108</f>
        <v>0.00000265</v>
      </c>
      <c r="AH21" s="281">
        <f>Inputs!AH108</f>
        <v>0.00000212</v>
      </c>
      <c r="AI21" s="281">
        <f>Inputs!AI108</f>
        <v>0.000000723</v>
      </c>
      <c r="AJ21" s="281">
        <f>Inputs!AJ108</f>
        <v>0.0000074</v>
      </c>
      <c r="AK21" s="281">
        <f>Inputs!AK108</f>
        <v>0.0000242</v>
      </c>
      <c r="AL21" s="281">
        <f>Inputs!AL108</f>
        <v>0.00000391</v>
      </c>
      <c r="AM21" s="281">
        <f>Inputs!AM108</f>
        <v>0.00000175</v>
      </c>
      <c r="AN21" s="281">
        <f>Inputs!AN108</f>
        <v>0.000000736</v>
      </c>
      <c r="AO21" s="281">
        <f>Inputs!AO108</f>
        <v>0.00000221</v>
      </c>
      <c r="AP21" s="281">
        <f>Inputs!AP108</f>
        <v>0.00000413</v>
      </c>
      <c r="AQ21" s="281">
        <f>Inputs!AQ108</f>
        <v>0.00000164</v>
      </c>
      <c r="AR21" s="281">
        <f>Inputs!AR108</f>
        <v>0.000026</v>
      </c>
      <c r="AS21" s="281">
        <f>Inputs!AS108</f>
        <v>0.0000446</v>
      </c>
      <c r="AT21" s="282"/>
    </row>
    <row r="22">
      <c r="A22" s="80"/>
      <c r="B22" s="81"/>
      <c r="C22" s="206"/>
      <c r="D22" s="206"/>
      <c r="E22" s="140" t="s">
        <v>229</v>
      </c>
      <c r="F22" s="278" t="s">
        <v>122</v>
      </c>
      <c r="G22" s="279" t="s">
        <v>203</v>
      </c>
      <c r="H22" s="280" t="str">
        <f>Inputs!H109</f>
        <v>-</v>
      </c>
      <c r="I22" s="281">
        <f>Inputs!I109</f>
        <v>0.0000277</v>
      </c>
      <c r="J22" s="281">
        <f>Inputs!J109</f>
        <v>0.0000201</v>
      </c>
      <c r="K22" s="281">
        <f>Inputs!K109</f>
        <v>0.0000352</v>
      </c>
      <c r="L22" s="281">
        <f>Inputs!L109</f>
        <v>0.0000112</v>
      </c>
      <c r="M22" s="281">
        <f>Inputs!M109</f>
        <v>0.0000133</v>
      </c>
      <c r="N22" s="281">
        <f>Inputs!N109</f>
        <v>0.0000268</v>
      </c>
      <c r="O22" s="281">
        <f>Inputs!O109</f>
        <v>0.000059</v>
      </c>
      <c r="P22" s="281">
        <f>Inputs!P109</f>
        <v>0.0000935</v>
      </c>
      <c r="Q22" s="281">
        <f>Inputs!Q109</f>
        <v>0.0000801</v>
      </c>
      <c r="R22" s="281">
        <f>Inputs!R109</f>
        <v>0.00000133</v>
      </c>
      <c r="S22" s="281">
        <f>Inputs!S109</f>
        <v>0.00000537</v>
      </c>
      <c r="T22" s="281">
        <f>Inputs!T109</f>
        <v>0.00000161</v>
      </c>
      <c r="U22" s="281">
        <f>Inputs!U109</f>
        <v>0.000000981</v>
      </c>
      <c r="V22" s="281">
        <f>Inputs!V109</f>
        <v>0.00000366</v>
      </c>
      <c r="W22" s="281">
        <f>Inputs!W109</f>
        <v>0.00000395</v>
      </c>
      <c r="X22" s="281">
        <f>Inputs!X109</f>
        <v>0.00000826</v>
      </c>
      <c r="Y22" s="281">
        <f>Inputs!Y109</f>
        <v>0.00000175</v>
      </c>
      <c r="Z22" s="281">
        <f>Inputs!Z109</f>
        <v>0.00000185</v>
      </c>
      <c r="AA22" s="281">
        <f>Inputs!AA109</f>
        <v>0.00000224</v>
      </c>
      <c r="AB22" s="281">
        <f>Inputs!AB109</f>
        <v>0.00000115</v>
      </c>
      <c r="AC22" s="281">
        <f>Inputs!AC109</f>
        <v>0.000000856</v>
      </c>
      <c r="AD22" s="281">
        <f>Inputs!AD109</f>
        <v>0.00000127</v>
      </c>
      <c r="AE22" s="281">
        <f>Inputs!AE109</f>
        <v>0.0000015</v>
      </c>
      <c r="AF22" s="281">
        <f>Inputs!AF109</f>
        <v>0.00000101</v>
      </c>
      <c r="AG22" s="281">
        <f>Inputs!AG109</f>
        <v>0.00000262</v>
      </c>
      <c r="AH22" s="281">
        <f>Inputs!AH109</f>
        <v>0.00000266</v>
      </c>
      <c r="AI22" s="281">
        <f>Inputs!AI109</f>
        <v>0.00000056</v>
      </c>
      <c r="AJ22" s="281">
        <f>Inputs!AJ109</f>
        <v>0.00000577</v>
      </c>
      <c r="AK22" s="281">
        <f>Inputs!AK109</f>
        <v>0.0000163</v>
      </c>
      <c r="AL22" s="281">
        <f>Inputs!AL109</f>
        <v>0.00000358</v>
      </c>
      <c r="AM22" s="281">
        <f>Inputs!AM109</f>
        <v>0.00000137</v>
      </c>
      <c r="AN22" s="281">
        <f>Inputs!AN109</f>
        <v>0.000000763</v>
      </c>
      <c r="AO22" s="281">
        <f>Inputs!AO109</f>
        <v>0.00000252</v>
      </c>
      <c r="AP22" s="281">
        <f>Inputs!AP109</f>
        <v>0.00000335</v>
      </c>
      <c r="AQ22" s="281">
        <f>Inputs!AQ109</f>
        <v>0.00000133</v>
      </c>
      <c r="AR22" s="281">
        <f>Inputs!AR109</f>
        <v>0.0000136</v>
      </c>
      <c r="AS22" s="281">
        <f>Inputs!AS109</f>
        <v>0.0000304</v>
      </c>
      <c r="AT22" s="282"/>
    </row>
    <row r="23">
      <c r="A23" s="80"/>
      <c r="B23" s="81"/>
      <c r="C23" s="206"/>
      <c r="D23" s="206"/>
      <c r="E23" s="237" t="s">
        <v>232</v>
      </c>
      <c r="F23" s="283" t="s">
        <v>122</v>
      </c>
      <c r="G23" s="285" t="s">
        <v>203</v>
      </c>
      <c r="H23" s="286" t="str">
        <f>Inputs!H110</f>
        <v>-</v>
      </c>
      <c r="I23" s="287">
        <f>Inputs!I110</f>
        <v>0.0000412</v>
      </c>
      <c r="J23" s="287">
        <f>Inputs!J110</f>
        <v>0.0000315</v>
      </c>
      <c r="K23" s="287">
        <f>Inputs!K110</f>
        <v>0.0000455</v>
      </c>
      <c r="L23" s="287">
        <f>Inputs!L110</f>
        <v>0.000016</v>
      </c>
      <c r="M23" s="287">
        <f>Inputs!M110</f>
        <v>0.0000215</v>
      </c>
      <c r="N23" s="287">
        <f>Inputs!N110</f>
        <v>0.0000393</v>
      </c>
      <c r="O23" s="287">
        <f>Inputs!O110</f>
        <v>0.000081</v>
      </c>
      <c r="P23" s="287">
        <f>Inputs!P110</f>
        <v>0.000127981</v>
      </c>
      <c r="Q23" s="287">
        <f>Inputs!Q110</f>
        <v>0.000112303</v>
      </c>
      <c r="R23" s="287">
        <f>Inputs!R110</f>
        <v>0.00000162</v>
      </c>
      <c r="S23" s="287">
        <f>Inputs!S110</f>
        <v>0.00000674</v>
      </c>
      <c r="T23" s="287">
        <f>Inputs!T110</f>
        <v>0.00000193</v>
      </c>
      <c r="U23" s="287">
        <f>Inputs!U110</f>
        <v>0.00000122</v>
      </c>
      <c r="V23" s="287">
        <f>Inputs!V110</f>
        <v>0.00000389</v>
      </c>
      <c r="W23" s="287">
        <f>Inputs!W110</f>
        <v>0.00000412</v>
      </c>
      <c r="X23" s="287">
        <f>Inputs!X110</f>
        <v>0.0000126</v>
      </c>
      <c r="Y23" s="287">
        <f>Inputs!Y110</f>
        <v>0.00000197</v>
      </c>
      <c r="Z23" s="287">
        <f>Inputs!Z110</f>
        <v>0.00000221</v>
      </c>
      <c r="AA23" s="287">
        <f>Inputs!AA110</f>
        <v>0.0000024</v>
      </c>
      <c r="AB23" s="287">
        <f>Inputs!AB110</f>
        <v>0.00000145</v>
      </c>
      <c r="AC23" s="287">
        <f>Inputs!AC110</f>
        <v>0.000000939</v>
      </c>
      <c r="AD23" s="287">
        <f>Inputs!AD110</f>
        <v>0.00000153</v>
      </c>
      <c r="AE23" s="287">
        <f>Inputs!AE110</f>
        <v>0.0000021</v>
      </c>
      <c r="AF23" s="287">
        <f>Inputs!AF110</f>
        <v>0.00000121</v>
      </c>
      <c r="AG23" s="287">
        <f>Inputs!AG110</f>
        <v>0.00000293</v>
      </c>
      <c r="AH23" s="287">
        <f>Inputs!AH110</f>
        <v>0.00000327</v>
      </c>
      <c r="AI23" s="287">
        <f>Inputs!AI110</f>
        <v>0.000000827</v>
      </c>
      <c r="AJ23" s="287">
        <f>Inputs!AJ110</f>
        <v>0.00000682</v>
      </c>
      <c r="AK23" s="287">
        <f>Inputs!AK110</f>
        <v>0.0000205</v>
      </c>
      <c r="AL23" s="287">
        <f>Inputs!AL110</f>
        <v>0.00000403</v>
      </c>
      <c r="AM23" s="287">
        <f>Inputs!AM110</f>
        <v>0.00000148</v>
      </c>
      <c r="AN23" s="287">
        <f>Inputs!AN110</f>
        <v>0.000000936</v>
      </c>
      <c r="AO23" s="287">
        <f>Inputs!AO110</f>
        <v>0.00000323</v>
      </c>
      <c r="AP23" s="287">
        <f>Inputs!AP110</f>
        <v>0.00000425</v>
      </c>
      <c r="AQ23" s="287">
        <f>Inputs!AQ110</f>
        <v>0.00000158</v>
      </c>
      <c r="AR23" s="287">
        <f>Inputs!AR110</f>
        <v>0.0000203</v>
      </c>
      <c r="AS23" s="287">
        <f>Inputs!AS110</f>
        <v>0.0000425</v>
      </c>
      <c r="AT23" s="293"/>
    </row>
    <row r="24">
      <c r="A24" s="80"/>
      <c r="B24" s="81"/>
      <c r="C24" s="126"/>
      <c r="D24" s="126"/>
      <c r="E24" s="243"/>
      <c r="F24" s="201"/>
      <c r="G24" s="202"/>
      <c r="H24" s="85"/>
      <c r="I24" s="266"/>
      <c r="J24" s="266"/>
      <c r="K24" s="266"/>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8"/>
    </row>
    <row r="25">
      <c r="A25" s="80"/>
      <c r="B25" s="81"/>
      <c r="C25" s="126" t="s">
        <v>238</v>
      </c>
      <c r="F25" s="201"/>
      <c r="G25" s="202"/>
      <c r="H25" s="85"/>
      <c r="I25" s="266"/>
      <c r="J25" s="266"/>
      <c r="K25" s="266"/>
      <c r="L25" s="266"/>
      <c r="M25" s="266"/>
      <c r="N25" s="266"/>
      <c r="O25" s="266"/>
      <c r="P25" s="266"/>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8"/>
    </row>
    <row r="26">
      <c r="A26" s="80"/>
      <c r="B26" s="81"/>
      <c r="C26" s="206"/>
      <c r="D26" s="206"/>
      <c r="E26" s="113" t="s">
        <v>239</v>
      </c>
      <c r="F26" s="207" t="s">
        <v>111</v>
      </c>
      <c r="G26" s="208" t="s">
        <v>203</v>
      </c>
      <c r="H26" s="209" t="str">
        <f>Inputs!H111</f>
        <v>-</v>
      </c>
      <c r="I26" s="294">
        <f>Inputs!I111</f>
        <v>140.5925717</v>
      </c>
      <c r="J26" s="294">
        <f>Inputs!J111</f>
        <v>45.34226006</v>
      </c>
      <c r="K26" s="294">
        <f>Inputs!K111</f>
        <v>133.2007348</v>
      </c>
      <c r="L26" s="294">
        <f>Inputs!L111</f>
        <v>41.32786631</v>
      </c>
      <c r="M26" s="294">
        <f>Inputs!M111</f>
        <v>169.1040064</v>
      </c>
      <c r="N26" s="294">
        <f>Inputs!N111</f>
        <v>160.2021903</v>
      </c>
      <c r="O26" s="294">
        <f>Inputs!O111</f>
        <v>145.3019295</v>
      </c>
      <c r="P26" s="294">
        <f>Inputs!P111</f>
        <v>421.4909505</v>
      </c>
      <c r="Q26" s="294">
        <f>Inputs!Q111</f>
        <v>259.6096777</v>
      </c>
      <c r="R26" s="294">
        <f>Inputs!R111</f>
        <v>1.190982076</v>
      </c>
      <c r="S26" s="294">
        <f>Inputs!S111</f>
        <v>7.614581744</v>
      </c>
      <c r="T26" s="294">
        <f>Inputs!T111</f>
        <v>0.404695933</v>
      </c>
      <c r="U26" s="294">
        <f>Inputs!U111</f>
        <v>0.736387658</v>
      </c>
      <c r="V26" s="294">
        <f>Inputs!V111</f>
        <v>0.427061552</v>
      </c>
      <c r="W26" s="294">
        <f>Inputs!W111</f>
        <v>5.977126705</v>
      </c>
      <c r="X26" s="294">
        <f>Inputs!X111</f>
        <v>7.83703306</v>
      </c>
      <c r="Y26" s="294">
        <f>Inputs!Y111</f>
        <v>0.442144401</v>
      </c>
      <c r="Z26" s="294">
        <f>Inputs!Z111</f>
        <v>1.107272456</v>
      </c>
      <c r="AA26" s="294">
        <f>Inputs!AA111</f>
        <v>1.131173934</v>
      </c>
      <c r="AB26" s="294">
        <f>Inputs!AB111</f>
        <v>0.768267778</v>
      </c>
      <c r="AC26" s="294">
        <f>Inputs!AC111</f>
        <v>0.18189512</v>
      </c>
      <c r="AD26" s="294">
        <f>Inputs!AD111</f>
        <v>0.435656185</v>
      </c>
      <c r="AE26" s="294">
        <f>Inputs!AE111</f>
        <v>1.471213539</v>
      </c>
      <c r="AF26" s="294">
        <f>Inputs!AF111</f>
        <v>1.111986737</v>
      </c>
      <c r="AG26" s="294">
        <f>Inputs!AG111</f>
        <v>0.946029637</v>
      </c>
      <c r="AH26" s="294">
        <f>Inputs!AH111</f>
        <v>0.634968963</v>
      </c>
      <c r="AI26" s="294">
        <f>Inputs!AI111</f>
        <v>0.222869375</v>
      </c>
      <c r="AJ26" s="294">
        <f>Inputs!AJ111</f>
        <v>6.108897635</v>
      </c>
      <c r="AK26" s="294">
        <f>Inputs!AK111</f>
        <v>49.73510111</v>
      </c>
      <c r="AL26" s="294">
        <f>Inputs!AL111</f>
        <v>4.554478784</v>
      </c>
      <c r="AM26" s="294">
        <f>Inputs!AM111</f>
        <v>0.689545242</v>
      </c>
      <c r="AN26" s="294">
        <f>Inputs!AN111</f>
        <v>0.242134115</v>
      </c>
      <c r="AO26" s="294">
        <f>Inputs!AO111</f>
        <v>1.497399123</v>
      </c>
      <c r="AP26" s="294">
        <f>Inputs!AP111</f>
        <v>4.711166399</v>
      </c>
      <c r="AQ26" s="294">
        <f>Inputs!AQ111</f>
        <v>0.727269737</v>
      </c>
      <c r="AR26" s="294">
        <f>Inputs!AR111</f>
        <v>41.61988576</v>
      </c>
      <c r="AS26" s="294">
        <f>Inputs!AS111</f>
        <v>43.77835685</v>
      </c>
      <c r="AT26" s="298"/>
    </row>
    <row r="27">
      <c r="A27" s="80"/>
      <c r="B27" s="81"/>
      <c r="C27" s="206"/>
      <c r="D27" s="206"/>
      <c r="E27" s="140" t="s">
        <v>243</v>
      </c>
      <c r="F27" s="278" t="s">
        <v>111</v>
      </c>
      <c r="G27" s="279" t="s">
        <v>203</v>
      </c>
      <c r="H27" s="280" t="str">
        <f>Inputs!H112</f>
        <v>-</v>
      </c>
      <c r="I27" s="299">
        <f>Inputs!I112</f>
        <v>17.73593433</v>
      </c>
      <c r="J27" s="299">
        <f>Inputs!J112</f>
        <v>7.34543864</v>
      </c>
      <c r="K27" s="299">
        <f>Inputs!K112</f>
        <v>17.62269744</v>
      </c>
      <c r="L27" s="299">
        <f>Inputs!L112</f>
        <v>10.45679282</v>
      </c>
      <c r="M27" s="299">
        <f>Inputs!M112</f>
        <v>24.367067</v>
      </c>
      <c r="N27" s="299">
        <f>Inputs!N112</f>
        <v>29.1714306</v>
      </c>
      <c r="O27" s="299">
        <f>Inputs!O112</f>
        <v>26.00676359</v>
      </c>
      <c r="P27" s="299">
        <f>Inputs!P112</f>
        <v>63.04011149</v>
      </c>
      <c r="Q27" s="299">
        <f>Inputs!Q112</f>
        <v>45.4811006</v>
      </c>
      <c r="R27" s="299">
        <f>Inputs!R112</f>
        <v>0.372585776</v>
      </c>
      <c r="S27" s="299">
        <f>Inputs!S112</f>
        <v>1.846267923</v>
      </c>
      <c r="T27" s="299">
        <f>Inputs!T112</f>
        <v>0.09461251</v>
      </c>
      <c r="U27" s="299">
        <f>Inputs!U112</f>
        <v>0.226625696</v>
      </c>
      <c r="V27" s="299">
        <f>Inputs!V112</f>
        <v>0.082234531</v>
      </c>
      <c r="W27" s="299">
        <f>Inputs!W112</f>
        <v>2.270374832</v>
      </c>
      <c r="X27" s="299">
        <f>Inputs!X112</f>
        <v>2.079454236</v>
      </c>
      <c r="Y27" s="299">
        <f>Inputs!Y112</f>
        <v>0.108272675</v>
      </c>
      <c r="Z27" s="299">
        <f>Inputs!Z112</f>
        <v>0.316802014</v>
      </c>
      <c r="AA27" s="299">
        <f>Inputs!AA112</f>
        <v>0.44419353</v>
      </c>
      <c r="AB27" s="299">
        <f>Inputs!AB112</f>
        <v>0.113344909</v>
      </c>
      <c r="AC27" s="299">
        <f>Inputs!AC112</f>
        <v>0.044328215</v>
      </c>
      <c r="AD27" s="299">
        <f>Inputs!AD112</f>
        <v>0.134094899</v>
      </c>
      <c r="AE27" s="299">
        <f>Inputs!AE112</f>
        <v>0.481958407</v>
      </c>
      <c r="AF27" s="299">
        <f>Inputs!AF112</f>
        <v>0.325161876</v>
      </c>
      <c r="AG27" s="299">
        <f>Inputs!AG112</f>
        <v>0.168110394</v>
      </c>
      <c r="AH27" s="299">
        <f>Inputs!AH112</f>
        <v>0.164143709</v>
      </c>
      <c r="AI27" s="299">
        <f>Inputs!AI112</f>
        <v>0.075080269</v>
      </c>
      <c r="AJ27" s="299">
        <f>Inputs!AJ112</f>
        <v>1.656832671</v>
      </c>
      <c r="AK27" s="299">
        <f>Inputs!AK112</f>
        <v>12.71493864</v>
      </c>
      <c r="AL27" s="299">
        <f>Inputs!AL112</f>
        <v>1.144057378</v>
      </c>
      <c r="AM27" s="299">
        <f>Inputs!AM112</f>
        <v>0.084029561</v>
      </c>
      <c r="AN27" s="299">
        <f>Inputs!AN112</f>
        <v>0.066767652</v>
      </c>
      <c r="AO27" s="299">
        <f>Inputs!AO112</f>
        <v>0.288561387</v>
      </c>
      <c r="AP27" s="299">
        <f>Inputs!AP112</f>
        <v>1.722023852</v>
      </c>
      <c r="AQ27" s="299">
        <f>Inputs!AQ112</f>
        <v>0.195401276</v>
      </c>
      <c r="AR27" s="299">
        <f>Inputs!AR112</f>
        <v>10.43434373</v>
      </c>
      <c r="AS27" s="299">
        <f>Inputs!AS112</f>
        <v>7.820044894</v>
      </c>
      <c r="AT27" s="297"/>
    </row>
    <row r="28">
      <c r="A28" s="80"/>
      <c r="B28" s="81"/>
      <c r="C28" s="206"/>
      <c r="D28" s="206"/>
      <c r="E28" s="140" t="s">
        <v>249</v>
      </c>
      <c r="F28" s="278" t="s">
        <v>122</v>
      </c>
      <c r="G28" s="279" t="s">
        <v>149</v>
      </c>
      <c r="H28" s="302" t="s">
        <v>150</v>
      </c>
      <c r="I28" s="303">
        <f t="shared" ref="I28:AS28" si="2">I27/I26</f>
        <v>0.1261512903</v>
      </c>
      <c r="J28" s="303">
        <f t="shared" si="2"/>
        <v>0.1619998348</v>
      </c>
      <c r="K28" s="303">
        <f t="shared" si="2"/>
        <v>0.1323018035</v>
      </c>
      <c r="L28" s="303">
        <f t="shared" si="2"/>
        <v>0.2530203892</v>
      </c>
      <c r="M28" s="303">
        <f t="shared" si="2"/>
        <v>0.144095149</v>
      </c>
      <c r="N28" s="303">
        <f t="shared" si="2"/>
        <v>0.1820913344</v>
      </c>
      <c r="O28" s="303">
        <f t="shared" si="2"/>
        <v>0.1789842962</v>
      </c>
      <c r="P28" s="303">
        <f t="shared" si="2"/>
        <v>0.149564567</v>
      </c>
      <c r="Q28" s="303">
        <f t="shared" si="2"/>
        <v>0.1751903126</v>
      </c>
      <c r="R28" s="303">
        <f t="shared" si="2"/>
        <v>0.3128391128</v>
      </c>
      <c r="S28" s="303">
        <f t="shared" si="2"/>
        <v>0.2424647847</v>
      </c>
      <c r="T28" s="303">
        <f t="shared" si="2"/>
        <v>0.2337866588</v>
      </c>
      <c r="U28" s="303">
        <f t="shared" si="2"/>
        <v>0.3077532513</v>
      </c>
      <c r="V28" s="303">
        <f t="shared" si="2"/>
        <v>0.1925589663</v>
      </c>
      <c r="W28" s="303">
        <f t="shared" si="2"/>
        <v>0.3798438521</v>
      </c>
      <c r="X28" s="303">
        <f t="shared" si="2"/>
        <v>0.2653369228</v>
      </c>
      <c r="Y28" s="303">
        <f t="shared" si="2"/>
        <v>0.2448808008</v>
      </c>
      <c r="Z28" s="303">
        <f t="shared" si="2"/>
        <v>0.2861102634</v>
      </c>
      <c r="AA28" s="303">
        <f t="shared" si="2"/>
        <v>0.3926836684</v>
      </c>
      <c r="AB28" s="303">
        <f t="shared" si="2"/>
        <v>0.1475330767</v>
      </c>
      <c r="AC28" s="303">
        <f t="shared" si="2"/>
        <v>0.2437020575</v>
      </c>
      <c r="AD28" s="303">
        <f t="shared" si="2"/>
        <v>0.3077998284</v>
      </c>
      <c r="AE28" s="303">
        <f t="shared" si="2"/>
        <v>0.3275924223</v>
      </c>
      <c r="AF28" s="303">
        <f t="shared" si="2"/>
        <v>0.2924152467</v>
      </c>
      <c r="AG28" s="303">
        <f t="shared" si="2"/>
        <v>0.1777009804</v>
      </c>
      <c r="AH28" s="303">
        <f t="shared" si="2"/>
        <v>0.258506665</v>
      </c>
      <c r="AI28" s="303">
        <f t="shared" si="2"/>
        <v>0.3368801523</v>
      </c>
      <c r="AJ28" s="303">
        <f t="shared" si="2"/>
        <v>0.2712163094</v>
      </c>
      <c r="AK28" s="303">
        <f t="shared" si="2"/>
        <v>0.2556532179</v>
      </c>
      <c r="AL28" s="303">
        <f t="shared" si="2"/>
        <v>0.2511939197</v>
      </c>
      <c r="AM28" s="303">
        <f t="shared" si="2"/>
        <v>0.1218622882</v>
      </c>
      <c r="AN28" s="303">
        <f t="shared" si="2"/>
        <v>0.2757465713</v>
      </c>
      <c r="AO28" s="303">
        <f t="shared" si="2"/>
        <v>0.1927083986</v>
      </c>
      <c r="AP28" s="303">
        <f t="shared" si="2"/>
        <v>0.3655196412</v>
      </c>
      <c r="AQ28" s="303">
        <f t="shared" si="2"/>
        <v>0.2686778592</v>
      </c>
      <c r="AR28" s="303">
        <f t="shared" si="2"/>
        <v>0.2507057273</v>
      </c>
      <c r="AS28" s="303">
        <f t="shared" si="2"/>
        <v>0.1786281043</v>
      </c>
      <c r="AT28" s="297"/>
    </row>
    <row r="29">
      <c r="A29" s="80"/>
      <c r="B29" s="81"/>
      <c r="C29" s="206"/>
      <c r="D29" s="206"/>
      <c r="E29" s="140" t="s">
        <v>252</v>
      </c>
      <c r="F29" s="278" t="s">
        <v>122</v>
      </c>
      <c r="G29" s="279" t="s">
        <v>203</v>
      </c>
      <c r="H29" s="305">
        <f>Inputs!H113</f>
        <v>0.15</v>
      </c>
      <c r="I29" s="299" t="str">
        <f>Inputs!I113</f>
        <v>-</v>
      </c>
      <c r="J29" s="299" t="str">
        <f>Inputs!J113</f>
        <v>-</v>
      </c>
      <c r="K29" s="299" t="str">
        <f>Inputs!K113</f>
        <v>-</v>
      </c>
      <c r="L29" s="299" t="str">
        <f>Inputs!L113</f>
        <v>-</v>
      </c>
      <c r="M29" s="299" t="str">
        <f>Inputs!M113</f>
        <v>-</v>
      </c>
      <c r="N29" s="299" t="str">
        <f>Inputs!N113</f>
        <v>-</v>
      </c>
      <c r="O29" s="299" t="str">
        <f>Inputs!O113</f>
        <v>-</v>
      </c>
      <c r="P29" s="299" t="str">
        <f>Inputs!P113</f>
        <v>-</v>
      </c>
      <c r="Q29" s="299" t="str">
        <f>Inputs!Q113</f>
        <v>-</v>
      </c>
      <c r="R29" s="299" t="str">
        <f>Inputs!R113</f>
        <v>-</v>
      </c>
      <c r="S29" s="299" t="str">
        <f>Inputs!S113</f>
        <v>-</v>
      </c>
      <c r="T29" s="299" t="str">
        <f>Inputs!T113</f>
        <v>-</v>
      </c>
      <c r="U29" s="299" t="str">
        <f>Inputs!U113</f>
        <v>-</v>
      </c>
      <c r="V29" s="299" t="str">
        <f>Inputs!V113</f>
        <v>-</v>
      </c>
      <c r="W29" s="299" t="str">
        <f>Inputs!W113</f>
        <v>-</v>
      </c>
      <c r="X29" s="299" t="str">
        <f>Inputs!X113</f>
        <v>-</v>
      </c>
      <c r="Y29" s="299" t="str">
        <f>Inputs!Y113</f>
        <v>-</v>
      </c>
      <c r="Z29" s="299" t="str">
        <f>Inputs!Z113</f>
        <v>-</v>
      </c>
      <c r="AA29" s="299" t="str">
        <f>Inputs!AA113</f>
        <v>-</v>
      </c>
      <c r="AB29" s="299" t="str">
        <f>Inputs!AB113</f>
        <v>-</v>
      </c>
      <c r="AC29" s="299" t="str">
        <f>Inputs!AC113</f>
        <v>-</v>
      </c>
      <c r="AD29" s="299" t="str">
        <f>Inputs!AD113</f>
        <v>-</v>
      </c>
      <c r="AE29" s="299" t="str">
        <f>Inputs!AE113</f>
        <v>-</v>
      </c>
      <c r="AF29" s="299" t="str">
        <f>Inputs!AF113</f>
        <v>-</v>
      </c>
      <c r="AG29" s="299" t="str">
        <f>Inputs!AG113</f>
        <v>-</v>
      </c>
      <c r="AH29" s="299" t="str">
        <f>Inputs!AH113</f>
        <v>-</v>
      </c>
      <c r="AI29" s="299" t="str">
        <f>Inputs!AI113</f>
        <v>-</v>
      </c>
      <c r="AJ29" s="299" t="str">
        <f>Inputs!AJ113</f>
        <v>-</v>
      </c>
      <c r="AK29" s="299" t="str">
        <f>Inputs!AK113</f>
        <v>-</v>
      </c>
      <c r="AL29" s="299" t="str">
        <f>Inputs!AL113</f>
        <v>-</v>
      </c>
      <c r="AM29" s="299" t="str">
        <f>Inputs!AM113</f>
        <v>-</v>
      </c>
      <c r="AN29" s="299" t="str">
        <f>Inputs!AN113</f>
        <v>-</v>
      </c>
      <c r="AO29" s="299" t="str">
        <f>Inputs!AO113</f>
        <v>-</v>
      </c>
      <c r="AP29" s="299" t="str">
        <f>Inputs!AP113</f>
        <v>-</v>
      </c>
      <c r="AQ29" s="299" t="str">
        <f>Inputs!AQ113</f>
        <v>-</v>
      </c>
      <c r="AR29" s="299" t="str">
        <f>Inputs!AR113</f>
        <v>-</v>
      </c>
      <c r="AS29" s="299" t="str">
        <f>Inputs!AS113</f>
        <v>-</v>
      </c>
      <c r="AT29" s="297"/>
    </row>
    <row r="30">
      <c r="A30" s="80"/>
      <c r="B30" s="81"/>
      <c r="C30" s="206"/>
      <c r="D30" s="206"/>
      <c r="E30" s="140" t="s">
        <v>254</v>
      </c>
      <c r="F30" s="278" t="s">
        <v>122</v>
      </c>
      <c r="G30" s="279" t="s">
        <v>149</v>
      </c>
      <c r="H30" s="302" t="s">
        <v>150</v>
      </c>
      <c r="I30" s="303">
        <f t="shared" ref="I30:AS30" si="3">I28*$H29</f>
        <v>0.01892269355</v>
      </c>
      <c r="J30" s="303">
        <f t="shared" si="3"/>
        <v>0.02429997522</v>
      </c>
      <c r="K30" s="303">
        <f t="shared" si="3"/>
        <v>0.01984527052</v>
      </c>
      <c r="L30" s="303">
        <f t="shared" si="3"/>
        <v>0.03795305839</v>
      </c>
      <c r="M30" s="303">
        <f t="shared" si="3"/>
        <v>0.02161427235</v>
      </c>
      <c r="N30" s="303">
        <f t="shared" si="3"/>
        <v>0.02731370015</v>
      </c>
      <c r="O30" s="303">
        <f t="shared" si="3"/>
        <v>0.02684764443</v>
      </c>
      <c r="P30" s="303">
        <f t="shared" si="3"/>
        <v>0.02243468504</v>
      </c>
      <c r="Q30" s="303">
        <f t="shared" si="3"/>
        <v>0.0262785469</v>
      </c>
      <c r="R30" s="303">
        <f t="shared" si="3"/>
        <v>0.04692586692</v>
      </c>
      <c r="S30" s="303">
        <f t="shared" si="3"/>
        <v>0.0363697177</v>
      </c>
      <c r="T30" s="303">
        <f t="shared" si="3"/>
        <v>0.03506799882</v>
      </c>
      <c r="U30" s="303">
        <f t="shared" si="3"/>
        <v>0.0461629877</v>
      </c>
      <c r="V30" s="303">
        <f t="shared" si="3"/>
        <v>0.02888384495</v>
      </c>
      <c r="W30" s="303">
        <f t="shared" si="3"/>
        <v>0.05697657781</v>
      </c>
      <c r="X30" s="303">
        <f t="shared" si="3"/>
        <v>0.03980053842</v>
      </c>
      <c r="Y30" s="303">
        <f t="shared" si="3"/>
        <v>0.03673212012</v>
      </c>
      <c r="Z30" s="303">
        <f t="shared" si="3"/>
        <v>0.0429165395</v>
      </c>
      <c r="AA30" s="303">
        <f t="shared" si="3"/>
        <v>0.05890255026</v>
      </c>
      <c r="AB30" s="303">
        <f t="shared" si="3"/>
        <v>0.0221299615</v>
      </c>
      <c r="AC30" s="303">
        <f t="shared" si="3"/>
        <v>0.03655530863</v>
      </c>
      <c r="AD30" s="303">
        <f t="shared" si="3"/>
        <v>0.04616997427</v>
      </c>
      <c r="AE30" s="303">
        <f t="shared" si="3"/>
        <v>0.04913886335</v>
      </c>
      <c r="AF30" s="303">
        <f t="shared" si="3"/>
        <v>0.043862287</v>
      </c>
      <c r="AG30" s="303">
        <f t="shared" si="3"/>
        <v>0.02665514706</v>
      </c>
      <c r="AH30" s="303">
        <f t="shared" si="3"/>
        <v>0.03877599975</v>
      </c>
      <c r="AI30" s="303">
        <f t="shared" si="3"/>
        <v>0.05053202285</v>
      </c>
      <c r="AJ30" s="303">
        <f t="shared" si="3"/>
        <v>0.04068244641</v>
      </c>
      <c r="AK30" s="303">
        <f t="shared" si="3"/>
        <v>0.03834798268</v>
      </c>
      <c r="AL30" s="303">
        <f t="shared" si="3"/>
        <v>0.03767908796</v>
      </c>
      <c r="AM30" s="303">
        <f t="shared" si="3"/>
        <v>0.01827934323</v>
      </c>
      <c r="AN30" s="303">
        <f t="shared" si="3"/>
        <v>0.04136198569</v>
      </c>
      <c r="AO30" s="303">
        <f t="shared" si="3"/>
        <v>0.02890625978</v>
      </c>
      <c r="AP30" s="303">
        <f t="shared" si="3"/>
        <v>0.05482794619</v>
      </c>
      <c r="AQ30" s="303">
        <f t="shared" si="3"/>
        <v>0.04030167888</v>
      </c>
      <c r="AR30" s="303">
        <f t="shared" si="3"/>
        <v>0.0376058591</v>
      </c>
      <c r="AS30" s="303">
        <f t="shared" si="3"/>
        <v>0.02679421565</v>
      </c>
      <c r="AT30" s="297"/>
    </row>
    <row r="31">
      <c r="A31" s="80"/>
      <c r="B31" s="81"/>
      <c r="C31" s="206"/>
      <c r="D31" s="206"/>
      <c r="E31" s="224" t="s">
        <v>256</v>
      </c>
      <c r="F31" s="225" t="s">
        <v>122</v>
      </c>
      <c r="G31" s="226" t="s">
        <v>149</v>
      </c>
      <c r="H31" s="259" t="s">
        <v>150</v>
      </c>
      <c r="I31" s="228">
        <f t="shared" ref="I31:AS31" si="4">I20*(1-I30)</f>
        <v>0.0004918699751</v>
      </c>
      <c r="J31" s="228">
        <f t="shared" si="4"/>
        <v>0.0003386684057</v>
      </c>
      <c r="K31" s="228">
        <f t="shared" si="4"/>
        <v>0.0005675605564</v>
      </c>
      <c r="L31" s="228">
        <f t="shared" si="4"/>
        <v>0.0001018451754</v>
      </c>
      <c r="M31" s="228">
        <f t="shared" si="4"/>
        <v>0.0002423784315</v>
      </c>
      <c r="N31" s="228">
        <f t="shared" si="4"/>
        <v>0.0003703318276</v>
      </c>
      <c r="O31" s="228">
        <f t="shared" si="4"/>
        <v>0.0007091974301</v>
      </c>
      <c r="P31" s="228">
        <f t="shared" si="4"/>
        <v>0.001386830855</v>
      </c>
      <c r="Q31" s="228">
        <f t="shared" si="4"/>
        <v>0.001576017832</v>
      </c>
      <c r="R31" s="228">
        <f t="shared" si="4"/>
        <v>0.000008196437545</v>
      </c>
      <c r="S31" s="228">
        <f t="shared" si="4"/>
        <v>0.00006533413314</v>
      </c>
      <c r="T31" s="228">
        <f t="shared" si="4"/>
        <v>0.000006513291008</v>
      </c>
      <c r="U31" s="228">
        <f t="shared" si="4"/>
        <v>0.000003719964348</v>
      </c>
      <c r="V31" s="228">
        <f t="shared" si="4"/>
        <v>0.00001913098825</v>
      </c>
      <c r="W31" s="228">
        <f t="shared" si="4"/>
        <v>0.00001857756142</v>
      </c>
      <c r="X31" s="228">
        <f t="shared" si="4"/>
        <v>0.00004522539464</v>
      </c>
      <c r="Y31" s="228">
        <f t="shared" si="4"/>
        <v>0.000006713977123</v>
      </c>
      <c r="Z31" s="228">
        <f t="shared" si="4"/>
        <v>0.000008843451175</v>
      </c>
      <c r="AA31" s="228">
        <f t="shared" si="4"/>
        <v>0.0000102579622</v>
      </c>
      <c r="AB31" s="228">
        <f t="shared" si="4"/>
        <v>0.000007422033592</v>
      </c>
      <c r="AC31" s="228">
        <f t="shared" si="4"/>
        <v>0.000003873047659</v>
      </c>
      <c r="AD31" s="228">
        <f t="shared" si="4"/>
        <v>0.000003290713589</v>
      </c>
      <c r="AE31" s="228">
        <f t="shared" si="4"/>
        <v>0.000007549837425</v>
      </c>
      <c r="AF31" s="228">
        <f t="shared" si="4"/>
        <v>0.000003451657144</v>
      </c>
      <c r="AG31" s="228">
        <f t="shared" si="4"/>
        <v>0.00001099879684</v>
      </c>
      <c r="AH31" s="228">
        <f t="shared" si="4"/>
        <v>0.000006670894562</v>
      </c>
      <c r="AI31" s="228">
        <f t="shared" si="4"/>
        <v>0.000001585611522</v>
      </c>
      <c r="AJ31" s="228">
        <f t="shared" si="4"/>
        <v>0.00003002663943</v>
      </c>
      <c r="AK31" s="228">
        <f t="shared" si="4"/>
        <v>0.000113436472</v>
      </c>
      <c r="AL31" s="228">
        <f t="shared" si="4"/>
        <v>0.00001270263604</v>
      </c>
      <c r="AM31" s="228">
        <f t="shared" si="4"/>
        <v>0.000006901496217</v>
      </c>
      <c r="AN31" s="228">
        <f t="shared" si="4"/>
        <v>0.000002051485351</v>
      </c>
      <c r="AO31" s="228">
        <f t="shared" si="4"/>
        <v>0.000009186546782</v>
      </c>
      <c r="AP31" s="228">
        <f t="shared" si="4"/>
        <v>0.00001153109906</v>
      </c>
      <c r="AQ31" s="228">
        <f t="shared" si="4"/>
        <v>0.000007245722324</v>
      </c>
      <c r="AR31" s="228">
        <f t="shared" si="4"/>
        <v>0.0001355647635</v>
      </c>
      <c r="AS31" s="228">
        <f t="shared" si="4"/>
        <v>0.0002504389373</v>
      </c>
      <c r="AT31" s="242"/>
    </row>
    <row r="32">
      <c r="A32" s="80"/>
      <c r="B32" s="81"/>
      <c r="C32" s="206"/>
      <c r="D32" s="206"/>
      <c r="E32" s="243"/>
      <c r="F32" s="201"/>
      <c r="G32" s="202"/>
      <c r="H32" s="85"/>
      <c r="I32" s="266"/>
      <c r="J32" s="266"/>
      <c r="K32" s="266"/>
      <c r="L32" s="266"/>
      <c r="M32" s="266"/>
      <c r="N32" s="266"/>
      <c r="O32" s="266"/>
      <c r="P32" s="266"/>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8"/>
    </row>
    <row r="33">
      <c r="A33" s="72" t="s">
        <v>258</v>
      </c>
      <c r="B33" s="14"/>
      <c r="C33" s="14"/>
      <c r="D33" s="14"/>
      <c r="E33" s="14"/>
      <c r="F33" s="14"/>
      <c r="G33" s="14"/>
      <c r="H33" s="73"/>
      <c r="I33" s="97"/>
      <c r="J33" s="97"/>
      <c r="K33" s="97"/>
      <c r="L33" s="97"/>
      <c r="M33" s="97"/>
      <c r="N33" s="97"/>
      <c r="O33" s="97"/>
      <c r="P33" s="97"/>
      <c r="Q33" s="97"/>
      <c r="R33" s="97"/>
      <c r="S33" s="97"/>
      <c r="T33" s="97"/>
      <c r="U33" s="97"/>
      <c r="V33" s="97"/>
      <c r="W33" s="97"/>
      <c r="X33" s="97"/>
      <c r="Y33" s="97"/>
      <c r="Z33" s="97"/>
      <c r="AA33" s="97"/>
      <c r="AB33" s="97"/>
      <c r="AC33" s="97"/>
      <c r="AD33" s="97"/>
      <c r="AE33" s="97"/>
      <c r="AF33" s="97"/>
      <c r="AG33" s="97"/>
      <c r="AH33" s="97"/>
      <c r="AI33" s="97"/>
      <c r="AJ33" s="97"/>
      <c r="AK33" s="97"/>
      <c r="AL33" s="97"/>
      <c r="AM33" s="97"/>
      <c r="AN33" s="97"/>
      <c r="AO33" s="97"/>
      <c r="AP33" s="97"/>
      <c r="AQ33" s="97"/>
      <c r="AR33" s="97"/>
      <c r="AS33" s="97"/>
      <c r="AT33" s="79"/>
    </row>
    <row r="34">
      <c r="A34" s="80"/>
      <c r="B34" s="81"/>
      <c r="C34" s="206"/>
      <c r="D34" s="206"/>
      <c r="E34" s="243"/>
      <c r="F34" s="201"/>
      <c r="G34" s="202"/>
      <c r="H34" s="85"/>
      <c r="I34" s="266"/>
      <c r="J34" s="266"/>
      <c r="K34" s="266"/>
      <c r="L34" s="266"/>
      <c r="M34" s="266"/>
      <c r="N34" s="266"/>
      <c r="O34" s="266"/>
      <c r="P34" s="266"/>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8"/>
    </row>
    <row r="35">
      <c r="A35" s="81"/>
      <c r="B35" s="81"/>
      <c r="C35" s="126" t="s">
        <v>259</v>
      </c>
      <c r="F35" s="201"/>
      <c r="G35" s="201"/>
      <c r="H35" s="85"/>
      <c r="I35" s="266"/>
      <c r="J35" s="266"/>
      <c r="K35" s="266"/>
      <c r="L35" s="266"/>
      <c r="M35" s="266"/>
      <c r="N35" s="266"/>
      <c r="O35" s="266"/>
      <c r="P35" s="266"/>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8"/>
    </row>
    <row r="36">
      <c r="A36" s="80"/>
      <c r="B36" s="81"/>
      <c r="C36" s="206"/>
      <c r="D36" s="206"/>
      <c r="E36" s="113" t="s">
        <v>261</v>
      </c>
      <c r="F36" s="207" t="s">
        <v>122</v>
      </c>
      <c r="G36" s="208" t="s">
        <v>203</v>
      </c>
      <c r="H36" s="209" t="str">
        <f>Inputs!H116</f>
        <v>-</v>
      </c>
      <c r="I36" s="210">
        <f>Inputs!I116</f>
        <v>0.001926586</v>
      </c>
      <c r="J36" s="210">
        <f>Inputs!J116</f>
        <v>0.001715755</v>
      </c>
      <c r="K36" s="210">
        <f>Inputs!K116</f>
        <v>0.002305103</v>
      </c>
      <c r="L36" s="210">
        <f>Inputs!L116</f>
        <v>0.001196296</v>
      </c>
      <c r="M36" s="210">
        <f>Inputs!M116</f>
        <v>0.001434608</v>
      </c>
      <c r="N36" s="210">
        <f>Inputs!N116</f>
        <v>0.001871217</v>
      </c>
      <c r="O36" s="210">
        <f>Inputs!O116</f>
        <v>0.002022091</v>
      </c>
      <c r="P36" s="210">
        <f>Inputs!P116</f>
        <v>0.002327154</v>
      </c>
      <c r="Q36" s="210">
        <f>Inputs!Q116</f>
        <v>0.002749402</v>
      </c>
      <c r="R36" s="210">
        <f>Inputs!R116</f>
        <v>0.000328459</v>
      </c>
      <c r="S36" s="210">
        <f>Inputs!S116</f>
        <v>0.001064752</v>
      </c>
      <c r="T36" s="210">
        <f>Inputs!T116</f>
        <v>0.000357013</v>
      </c>
      <c r="U36" s="210">
        <f>Inputs!U116</f>
        <v>0.000476822</v>
      </c>
      <c r="V36" s="210">
        <f>Inputs!V116</f>
        <v>0.000791876</v>
      </c>
      <c r="W36" s="210">
        <f>Inputs!W116</f>
        <v>0.000626519</v>
      </c>
      <c r="X36" s="210">
        <f>Inputs!X116</f>
        <v>0.000996955</v>
      </c>
      <c r="Y36" s="210">
        <f>Inputs!Y116</f>
        <v>0.000432579</v>
      </c>
      <c r="Z36" s="210">
        <f>Inputs!Z116</f>
        <v>0.000463026</v>
      </c>
      <c r="AA36" s="210">
        <f>Inputs!AA116</f>
        <v>0.000463607</v>
      </c>
      <c r="AB36" s="210">
        <f>Inputs!AB116</f>
        <v>0.000329156</v>
      </c>
      <c r="AC36" s="210">
        <f>Inputs!AC116</f>
        <v>0.000215045</v>
      </c>
      <c r="AD36" s="210">
        <f>Inputs!AD116</f>
        <v>0.00026046</v>
      </c>
      <c r="AE36" s="210">
        <f>Inputs!AE116</f>
        <v>0.000333012</v>
      </c>
      <c r="AF36" s="210">
        <f>Inputs!AF116</f>
        <v>0.000186305</v>
      </c>
      <c r="AG36" s="210">
        <f>Inputs!AG116</f>
        <v>0.001066403</v>
      </c>
      <c r="AH36" s="210">
        <f>Inputs!AH116</f>
        <v>0.00039724</v>
      </c>
      <c r="AI36" s="210">
        <f>Inputs!AI116</f>
        <v>0.000158837</v>
      </c>
      <c r="AJ36" s="210">
        <f>Inputs!AJ116</f>
        <v>0.000753801</v>
      </c>
      <c r="AK36" s="210">
        <f>Inputs!AK116</f>
        <v>0.001116255</v>
      </c>
      <c r="AL36" s="210">
        <f>Inputs!AL116</f>
        <v>0.000471182</v>
      </c>
      <c r="AM36" s="210">
        <f>Inputs!AM116</f>
        <v>0.000323322</v>
      </c>
      <c r="AN36" s="210">
        <f>Inputs!AN116</f>
        <v>0.000185004</v>
      </c>
      <c r="AO36" s="210">
        <f>Inputs!AO116</f>
        <v>0.000430089</v>
      </c>
      <c r="AP36" s="210">
        <f>Inputs!AP116</f>
        <v>0.00041336</v>
      </c>
      <c r="AQ36" s="210">
        <f>Inputs!AQ116</f>
        <v>0.000357551</v>
      </c>
      <c r="AR36" s="210">
        <f>Inputs!AR116</f>
        <v>0.001203361</v>
      </c>
      <c r="AS36" s="210">
        <f>Inputs!AS116</f>
        <v>0.001569238</v>
      </c>
      <c r="AT36" s="212"/>
    </row>
    <row r="37">
      <c r="A37" s="80"/>
      <c r="B37" s="81"/>
      <c r="C37" s="206"/>
      <c r="D37" s="206"/>
      <c r="E37" s="140" t="s">
        <v>265</v>
      </c>
      <c r="F37" s="278" t="s">
        <v>122</v>
      </c>
      <c r="G37" s="279" t="s">
        <v>203</v>
      </c>
      <c r="H37" s="280" t="str">
        <f>Inputs!H117</f>
        <v>-</v>
      </c>
      <c r="I37" s="281">
        <f>Inputs!I117</f>
        <v>0.000230744</v>
      </c>
      <c r="J37" s="281">
        <f>Inputs!J117</f>
        <v>0.000206465</v>
      </c>
      <c r="K37" s="281">
        <f>Inputs!K117</f>
        <v>0.000290793</v>
      </c>
      <c r="L37" s="281">
        <f>Inputs!L117</f>
        <v>0.000172137</v>
      </c>
      <c r="M37" s="281">
        <f>Inputs!M117</f>
        <v>0.000177755</v>
      </c>
      <c r="N37" s="281">
        <f>Inputs!N117</f>
        <v>0.000245196</v>
      </c>
      <c r="O37" s="281">
        <f>Inputs!O117</f>
        <v>0.00027482</v>
      </c>
      <c r="P37" s="281">
        <f>Inputs!P117</f>
        <v>0.000297079</v>
      </c>
      <c r="Q37" s="281">
        <f>Inputs!Q117</f>
        <v>0.000315217</v>
      </c>
      <c r="R37" s="281">
        <f>Inputs!R117</f>
        <v>0.0000506</v>
      </c>
      <c r="S37" s="281">
        <f>Inputs!S117</f>
        <v>0.000128866</v>
      </c>
      <c r="T37" s="281">
        <f>Inputs!T117</f>
        <v>0.0000564</v>
      </c>
      <c r="U37" s="281">
        <f>Inputs!U117</f>
        <v>0.0000933</v>
      </c>
      <c r="V37" s="281">
        <f>Inputs!V117</f>
        <v>0.000116541</v>
      </c>
      <c r="W37" s="281">
        <f>Inputs!W117</f>
        <v>0.0000828</v>
      </c>
      <c r="X37" s="281">
        <f>Inputs!X117</f>
        <v>0.000125805</v>
      </c>
      <c r="Y37" s="281">
        <f>Inputs!Y117</f>
        <v>0.0000594</v>
      </c>
      <c r="Z37" s="281">
        <f>Inputs!Z117</f>
        <v>0.0000784</v>
      </c>
      <c r="AA37" s="281">
        <f>Inputs!AA117</f>
        <v>0.0000719</v>
      </c>
      <c r="AB37" s="281">
        <f>Inputs!AB117</f>
        <v>0.0000467</v>
      </c>
      <c r="AC37" s="281">
        <f>Inputs!AC117</f>
        <v>0.0000346</v>
      </c>
      <c r="AD37" s="281">
        <f>Inputs!AD117</f>
        <v>0.0000408</v>
      </c>
      <c r="AE37" s="281">
        <f>Inputs!AE117</f>
        <v>0.0000501</v>
      </c>
      <c r="AF37" s="281">
        <f>Inputs!AF117</f>
        <v>0.00003</v>
      </c>
      <c r="AG37" s="281">
        <f>Inputs!AG117</f>
        <v>0.000207429</v>
      </c>
      <c r="AH37" s="281">
        <f>Inputs!AH117</f>
        <v>0.0000759</v>
      </c>
      <c r="AI37" s="281">
        <f>Inputs!AI117</f>
        <v>0.0000291</v>
      </c>
      <c r="AJ37" s="281">
        <f>Inputs!AJ117</f>
        <v>0.000108955</v>
      </c>
      <c r="AK37" s="281">
        <f>Inputs!AK117</f>
        <v>0.000139744</v>
      </c>
      <c r="AL37" s="281">
        <f>Inputs!AL117</f>
        <v>0.0000664</v>
      </c>
      <c r="AM37" s="281">
        <f>Inputs!AM117</f>
        <v>0.000055</v>
      </c>
      <c r="AN37" s="281">
        <f>Inputs!AN117</f>
        <v>0.0000299</v>
      </c>
      <c r="AO37" s="281">
        <f>Inputs!AO117</f>
        <v>0.0000709</v>
      </c>
      <c r="AP37" s="281">
        <f>Inputs!AP117</f>
        <v>0.0000702</v>
      </c>
      <c r="AQ37" s="281">
        <f>Inputs!AQ117</f>
        <v>0.000055</v>
      </c>
      <c r="AR37" s="281">
        <f>Inputs!AR117</f>
        <v>0.000146813</v>
      </c>
      <c r="AS37" s="281">
        <f>Inputs!AS117</f>
        <v>0.000187811</v>
      </c>
      <c r="AT37" s="282"/>
    </row>
    <row r="38">
      <c r="A38" s="80"/>
      <c r="B38" s="81"/>
      <c r="C38" s="206"/>
      <c r="D38" s="206"/>
      <c r="E38" s="140" t="s">
        <v>268</v>
      </c>
      <c r="F38" s="278" t="s">
        <v>122</v>
      </c>
      <c r="G38" s="279" t="s">
        <v>203</v>
      </c>
      <c r="H38" s="280" t="str">
        <f>Inputs!H118</f>
        <v>-</v>
      </c>
      <c r="I38" s="281">
        <f>Inputs!I118</f>
        <v>0.0000474</v>
      </c>
      <c r="J38" s="281">
        <f>Inputs!J118</f>
        <v>0.0000378</v>
      </c>
      <c r="K38" s="281">
        <f>Inputs!K118</f>
        <v>0.0000691</v>
      </c>
      <c r="L38" s="281">
        <f>Inputs!L118</f>
        <v>0.0000312</v>
      </c>
      <c r="M38" s="281">
        <f>Inputs!M118</f>
        <v>0.0000337</v>
      </c>
      <c r="N38" s="281">
        <f>Inputs!N118</f>
        <v>0.0000512</v>
      </c>
      <c r="O38" s="281">
        <f>Inputs!O118</f>
        <v>0.000058</v>
      </c>
      <c r="P38" s="281">
        <f>Inputs!P118</f>
        <v>0.0000676</v>
      </c>
      <c r="Q38" s="281">
        <f>Inputs!Q118</f>
        <v>0.0000669</v>
      </c>
      <c r="R38" s="281">
        <f>Inputs!R118</f>
        <v>0.0000107</v>
      </c>
      <c r="S38" s="281">
        <f>Inputs!S118</f>
        <v>0.0000292</v>
      </c>
      <c r="T38" s="281">
        <f>Inputs!T118</f>
        <v>0.000014</v>
      </c>
      <c r="U38" s="281">
        <f>Inputs!U118</f>
        <v>0.0000208</v>
      </c>
      <c r="V38" s="281">
        <f>Inputs!V118</f>
        <v>0.0000301</v>
      </c>
      <c r="W38" s="281">
        <f>Inputs!W118</f>
        <v>0.0000231</v>
      </c>
      <c r="X38" s="281">
        <f>Inputs!X118</f>
        <v>0.0000333</v>
      </c>
      <c r="Y38" s="281">
        <f>Inputs!Y118</f>
        <v>0.0000153</v>
      </c>
      <c r="Z38" s="281">
        <f>Inputs!Z118</f>
        <v>0.000017</v>
      </c>
      <c r="AA38" s="281">
        <f>Inputs!AA118</f>
        <v>0.0000164</v>
      </c>
      <c r="AB38" s="281">
        <f>Inputs!AB118</f>
        <v>0.0000104</v>
      </c>
      <c r="AC38" s="281">
        <f>Inputs!AC118</f>
        <v>0.00000772</v>
      </c>
      <c r="AD38" s="281">
        <f>Inputs!AD118</f>
        <v>0.0000111</v>
      </c>
      <c r="AE38" s="281">
        <f>Inputs!AE118</f>
        <v>0.0000112</v>
      </c>
      <c r="AF38" s="281">
        <f>Inputs!AF118</f>
        <v>0.00000778</v>
      </c>
      <c r="AG38" s="281">
        <f>Inputs!AG118</f>
        <v>0.0000461</v>
      </c>
      <c r="AH38" s="281">
        <f>Inputs!AH118</f>
        <v>0.0000174</v>
      </c>
      <c r="AI38" s="281">
        <f>Inputs!AI118</f>
        <v>0.00000699</v>
      </c>
      <c r="AJ38" s="281">
        <f>Inputs!AJ118</f>
        <v>0.0000256</v>
      </c>
      <c r="AK38" s="281">
        <f>Inputs!AK118</f>
        <v>0.0000368</v>
      </c>
      <c r="AL38" s="281">
        <f>Inputs!AL118</f>
        <v>0.0000191</v>
      </c>
      <c r="AM38" s="281">
        <f>Inputs!AM118</f>
        <v>0.0000123</v>
      </c>
      <c r="AN38" s="281">
        <f>Inputs!AN118</f>
        <v>0.00000768</v>
      </c>
      <c r="AO38" s="281">
        <f>Inputs!AO118</f>
        <v>0.000017</v>
      </c>
      <c r="AP38" s="281">
        <f>Inputs!AP118</f>
        <v>0.0000181</v>
      </c>
      <c r="AQ38" s="281">
        <f>Inputs!AQ118</f>
        <v>0.0000123</v>
      </c>
      <c r="AR38" s="281">
        <f>Inputs!AR118</f>
        <v>0.0000329</v>
      </c>
      <c r="AS38" s="281">
        <f>Inputs!AS118</f>
        <v>0.0000525</v>
      </c>
      <c r="AT38" s="282"/>
    </row>
    <row r="39">
      <c r="A39" s="80"/>
      <c r="B39" s="81"/>
      <c r="C39" s="206"/>
      <c r="D39" s="206"/>
      <c r="E39" s="237" t="s">
        <v>271</v>
      </c>
      <c r="F39" s="283" t="s">
        <v>122</v>
      </c>
      <c r="G39" s="285" t="s">
        <v>203</v>
      </c>
      <c r="H39" s="286" t="str">
        <f>Inputs!H119</f>
        <v>-</v>
      </c>
      <c r="I39" s="287">
        <f>Inputs!I119</f>
        <v>0.0000466</v>
      </c>
      <c r="J39" s="287">
        <f>Inputs!J119</f>
        <v>0.0000385</v>
      </c>
      <c r="K39" s="287">
        <f>Inputs!K119</f>
        <v>0.0000541</v>
      </c>
      <c r="L39" s="287">
        <f>Inputs!L119</f>
        <v>0.0000293</v>
      </c>
      <c r="M39" s="287">
        <f>Inputs!M119</f>
        <v>0.0000367</v>
      </c>
      <c r="N39" s="287">
        <f>Inputs!N119</f>
        <v>0.0000468</v>
      </c>
      <c r="O39" s="287">
        <f>Inputs!O119</f>
        <v>0.0000517</v>
      </c>
      <c r="P39" s="287">
        <f>Inputs!P119</f>
        <v>0.0000607</v>
      </c>
      <c r="Q39" s="287">
        <f>Inputs!Q119</f>
        <v>0.0000599</v>
      </c>
      <c r="R39" s="287">
        <f>Inputs!R119</f>
        <v>0.00000778</v>
      </c>
      <c r="S39" s="287">
        <f>Inputs!S119</f>
        <v>0.0000221</v>
      </c>
      <c r="T39" s="287">
        <f>Inputs!T119</f>
        <v>0.00000984</v>
      </c>
      <c r="U39" s="287">
        <f>Inputs!U119</f>
        <v>0.0000133</v>
      </c>
      <c r="V39" s="287">
        <f>Inputs!V119</f>
        <v>0.0000189</v>
      </c>
      <c r="W39" s="287">
        <f>Inputs!W119</f>
        <v>0.0000142</v>
      </c>
      <c r="X39" s="287">
        <f>Inputs!X119</f>
        <v>0.0000291</v>
      </c>
      <c r="Y39" s="287">
        <f>Inputs!Y119</f>
        <v>0.00001</v>
      </c>
      <c r="Z39" s="287">
        <f>Inputs!Z119</f>
        <v>0.0000116</v>
      </c>
      <c r="AA39" s="287">
        <f>Inputs!AA119</f>
        <v>0.000011</v>
      </c>
      <c r="AB39" s="287">
        <f>Inputs!AB119</f>
        <v>0.00000802</v>
      </c>
      <c r="AC39" s="287">
        <f>Inputs!AC119</f>
        <v>0.00000539</v>
      </c>
      <c r="AD39" s="287">
        <f>Inputs!AD119</f>
        <v>0.0000073</v>
      </c>
      <c r="AE39" s="287">
        <f>Inputs!AE119</f>
        <v>0.00000841</v>
      </c>
      <c r="AF39" s="287">
        <f>Inputs!AF119</f>
        <v>0.00000545</v>
      </c>
      <c r="AG39" s="287">
        <f>Inputs!AG119</f>
        <v>0.0000271</v>
      </c>
      <c r="AH39" s="287">
        <f>Inputs!AH119</f>
        <v>0.0000129</v>
      </c>
      <c r="AI39" s="287">
        <f>Inputs!AI119</f>
        <v>0.00000548</v>
      </c>
      <c r="AJ39" s="287">
        <f>Inputs!AJ119</f>
        <v>0.0000187</v>
      </c>
      <c r="AK39" s="287">
        <f>Inputs!AK119</f>
        <v>0.0000296</v>
      </c>
      <c r="AL39" s="287">
        <f>Inputs!AL119</f>
        <v>0.0000128</v>
      </c>
      <c r="AM39" s="287">
        <f>Inputs!AM119</f>
        <v>0.00000779</v>
      </c>
      <c r="AN39" s="287">
        <f>Inputs!AN119</f>
        <v>0.00000538</v>
      </c>
      <c r="AO39" s="287">
        <f>Inputs!AO119</f>
        <v>0.0000123</v>
      </c>
      <c r="AP39" s="287">
        <f>Inputs!AP119</f>
        <v>0.0000131</v>
      </c>
      <c r="AQ39" s="287">
        <f>Inputs!AQ119</f>
        <v>0.00000929</v>
      </c>
      <c r="AR39" s="287">
        <f>Inputs!AR119</f>
        <v>0.0000327</v>
      </c>
      <c r="AS39" s="287">
        <f>Inputs!AS119</f>
        <v>0.0000443</v>
      </c>
      <c r="AT39" s="293"/>
    </row>
    <row r="40">
      <c r="A40" s="80"/>
      <c r="B40" s="81"/>
      <c r="C40" s="206"/>
      <c r="D40" s="206"/>
      <c r="E40" s="243"/>
      <c r="F40" s="201"/>
      <c r="G40" s="202"/>
      <c r="H40" s="85"/>
      <c r="I40" s="266"/>
      <c r="J40" s="266"/>
      <c r="K40" s="266"/>
      <c r="L40" s="266"/>
      <c r="M40" s="266"/>
      <c r="N40" s="266"/>
      <c r="O40" s="266"/>
      <c r="P40" s="266"/>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8"/>
    </row>
    <row r="41">
      <c r="A41" s="80"/>
      <c r="B41" s="81"/>
      <c r="C41" s="126" t="s">
        <v>276</v>
      </c>
      <c r="F41" s="201"/>
      <c r="G41" s="202"/>
      <c r="H41" s="85"/>
      <c r="I41" s="266"/>
      <c r="J41" s="266"/>
      <c r="K41" s="266"/>
      <c r="L41" s="266"/>
      <c r="M41" s="266"/>
      <c r="N41" s="266"/>
      <c r="O41" s="266"/>
      <c r="P41" s="266"/>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8"/>
    </row>
    <row r="42">
      <c r="A42" s="80"/>
      <c r="B42" s="81"/>
      <c r="C42" s="206"/>
      <c r="D42" s="206"/>
      <c r="E42" s="113" t="s">
        <v>277</v>
      </c>
      <c r="F42" s="207" t="s">
        <v>111</v>
      </c>
      <c r="G42" s="208" t="s">
        <v>203</v>
      </c>
      <c r="H42" s="209" t="str">
        <f>Inputs!H120</f>
        <v>-</v>
      </c>
      <c r="I42" s="294">
        <f>Inputs!I120</f>
        <v>540.8011157</v>
      </c>
      <c r="J42" s="294">
        <f>Inputs!J120</f>
        <v>224.345146</v>
      </c>
      <c r="K42" s="294">
        <f>Inputs!K120</f>
        <v>530.8905851</v>
      </c>
      <c r="L42" s="294">
        <f>Inputs!L120</f>
        <v>467.3780154</v>
      </c>
      <c r="M42" s="294">
        <f>Inputs!M120</f>
        <v>980.0860812</v>
      </c>
      <c r="N42" s="294">
        <f>Inputs!N120</f>
        <v>788.1841524</v>
      </c>
      <c r="O42" s="294">
        <f>Inputs!O120</f>
        <v>403.5331121</v>
      </c>
      <c r="P42" s="294">
        <f>Inputs!P120</f>
        <v>691.8503844</v>
      </c>
      <c r="Q42" s="294">
        <f>Inputs!Q120</f>
        <v>441.3439874</v>
      </c>
      <c r="R42" s="294">
        <f>Inputs!R120</f>
        <v>45.51206907</v>
      </c>
      <c r="S42" s="294">
        <f>Inputs!S120</f>
        <v>119.6846827</v>
      </c>
      <c r="T42" s="294">
        <f>Inputs!T120</f>
        <v>21.4097731</v>
      </c>
      <c r="U42" s="294">
        <f>Inputs!U120</f>
        <v>90.01817195</v>
      </c>
      <c r="V42" s="294">
        <f>Inputs!V120</f>
        <v>17.17539435</v>
      </c>
      <c r="W42" s="294">
        <f>Inputs!W120</f>
        <v>189.8240928</v>
      </c>
      <c r="X42" s="294">
        <f>Inputs!X120</f>
        <v>165.9417811</v>
      </c>
      <c r="Y42" s="294">
        <f>Inputs!Y120</f>
        <v>27.43035327</v>
      </c>
      <c r="Z42" s="294">
        <f>Inputs!Z120</f>
        <v>55.49172414</v>
      </c>
      <c r="AA42" s="294">
        <f>Inputs!AA120</f>
        <v>48.19076233</v>
      </c>
      <c r="AB42" s="294">
        <f>Inputs!AB120</f>
        <v>33.34002946</v>
      </c>
      <c r="AC42" s="294">
        <f>Inputs!AC120</f>
        <v>9.735488309</v>
      </c>
      <c r="AD42" s="294">
        <f>Inputs!AD120</f>
        <v>32.85350986</v>
      </c>
      <c r="AE42" s="294">
        <f>Inputs!AE120</f>
        <v>61.69118541</v>
      </c>
      <c r="AF42" s="294">
        <f>Inputs!AF120</f>
        <v>57.44254279</v>
      </c>
      <c r="AG42" s="294">
        <f>Inputs!AG120</f>
        <v>89.28366102</v>
      </c>
      <c r="AH42" s="294">
        <f>Inputs!AH120</f>
        <v>36.36779927</v>
      </c>
      <c r="AI42" s="294">
        <f>Inputs!AI120</f>
        <v>21.25609156</v>
      </c>
      <c r="AJ42" s="294">
        <f>Inputs!AJ120</f>
        <v>147.1413366</v>
      </c>
      <c r="AK42" s="294">
        <f>Inputs!AK120</f>
        <v>470.9719226</v>
      </c>
      <c r="AL42" s="294">
        <f>Inputs!AL120</f>
        <v>162.4752605</v>
      </c>
      <c r="AM42" s="294">
        <f>Inputs!AM120</f>
        <v>31.70792364</v>
      </c>
      <c r="AN42" s="294">
        <f>Inputs!AN120</f>
        <v>20.91062685</v>
      </c>
      <c r="AO42" s="294">
        <f>Inputs!AO120</f>
        <v>68.1150623</v>
      </c>
      <c r="AP42" s="294">
        <f>Inputs!AP120</f>
        <v>160.2433634</v>
      </c>
      <c r="AQ42" s="294">
        <f>Inputs!AQ120</f>
        <v>34.47277344</v>
      </c>
      <c r="AR42" s="294">
        <f>Inputs!AR120</f>
        <v>355.815953</v>
      </c>
      <c r="AS42" s="294">
        <f>Inputs!AS120</f>
        <v>267.2085607</v>
      </c>
      <c r="AT42" s="298"/>
    </row>
    <row r="43">
      <c r="A43" s="80"/>
      <c r="B43" s="81"/>
      <c r="C43" s="206"/>
      <c r="D43" s="206"/>
      <c r="E43" s="140" t="s">
        <v>278</v>
      </c>
      <c r="F43" s="278" t="s">
        <v>111</v>
      </c>
      <c r="G43" s="279" t="s">
        <v>203</v>
      </c>
      <c r="H43" s="280" t="str">
        <f>Inputs!H121</f>
        <v>-</v>
      </c>
      <c r="I43" s="299">
        <f>Inputs!I121</f>
        <v>189.8339379</v>
      </c>
      <c r="J43" s="299">
        <f>Inputs!J121</f>
        <v>81.0002238</v>
      </c>
      <c r="K43" s="299">
        <f>Inputs!K121</f>
        <v>199.569061</v>
      </c>
      <c r="L43" s="299">
        <f>Inputs!L121</f>
        <v>197.5509697</v>
      </c>
      <c r="M43" s="299">
        <f>Inputs!M121</f>
        <v>363.1260394</v>
      </c>
      <c r="N43" s="299">
        <f>Inputs!N121</f>
        <v>306.1586707</v>
      </c>
      <c r="O43" s="299">
        <f>Inputs!O121</f>
        <v>151.4564727</v>
      </c>
      <c r="P43" s="299">
        <f>Inputs!P121</f>
        <v>250.6856765</v>
      </c>
      <c r="Q43" s="299">
        <f>Inputs!Q121</f>
        <v>155.0955003</v>
      </c>
      <c r="R43" s="299">
        <f>Inputs!R121</f>
        <v>18.67439503</v>
      </c>
      <c r="S43" s="299">
        <f>Inputs!S121</f>
        <v>45.45611919</v>
      </c>
      <c r="T43" s="299">
        <f>Inputs!T121</f>
        <v>8.546008622</v>
      </c>
      <c r="U43" s="299">
        <f>Inputs!U121</f>
        <v>39.5919197</v>
      </c>
      <c r="V43" s="299">
        <f>Inputs!V121</f>
        <v>6.177657033</v>
      </c>
      <c r="W43" s="299">
        <f>Inputs!W121</f>
        <v>83.11093737</v>
      </c>
      <c r="X43" s="299">
        <f>Inputs!X121</f>
        <v>67.36193672</v>
      </c>
      <c r="Y43" s="299">
        <f>Inputs!Y121</f>
        <v>10.73802738</v>
      </c>
      <c r="Z43" s="299">
        <f>Inputs!Z121</f>
        <v>23.25069983</v>
      </c>
      <c r="AA43" s="299">
        <f>Inputs!AA121</f>
        <v>21.17100073</v>
      </c>
      <c r="AB43" s="299">
        <f>Inputs!AB121</f>
        <v>11.7975463</v>
      </c>
      <c r="AC43" s="299">
        <f>Inputs!AC121</f>
        <v>3.796313255</v>
      </c>
      <c r="AD43" s="299">
        <f>Inputs!AD121</f>
        <v>13.54920366</v>
      </c>
      <c r="AE43" s="299">
        <f>Inputs!AE121</f>
        <v>27.25101399</v>
      </c>
      <c r="AF43" s="299">
        <f>Inputs!AF121</f>
        <v>23.74188118</v>
      </c>
      <c r="AG43" s="299">
        <f>Inputs!AG121</f>
        <v>35.1694165</v>
      </c>
      <c r="AH43" s="299">
        <f>Inputs!AH121</f>
        <v>15.15255535</v>
      </c>
      <c r="AI43" s="299">
        <f>Inputs!AI121</f>
        <v>9.340011027</v>
      </c>
      <c r="AJ43" s="299">
        <f>Inputs!AJ121</f>
        <v>59.51532439</v>
      </c>
      <c r="AK43" s="299">
        <f>Inputs!AK121</f>
        <v>192.6364774</v>
      </c>
      <c r="AL43" s="299">
        <f>Inputs!AL121</f>
        <v>68.78692763</v>
      </c>
      <c r="AM43" s="299">
        <f>Inputs!AM121</f>
        <v>10.67714035</v>
      </c>
      <c r="AN43" s="299">
        <f>Inputs!AN121</f>
        <v>8.796109199</v>
      </c>
      <c r="AO43" s="299">
        <f>Inputs!AO121</f>
        <v>25.89045487</v>
      </c>
      <c r="AP43" s="299">
        <f>Inputs!AP121</f>
        <v>69.51014856</v>
      </c>
      <c r="AQ43" s="299">
        <f>Inputs!AQ121</f>
        <v>13.6339952</v>
      </c>
      <c r="AR43" s="299">
        <f>Inputs!AR121</f>
        <v>138.0998402</v>
      </c>
      <c r="AS43" s="299">
        <f>Inputs!AS121</f>
        <v>102.6045024</v>
      </c>
      <c r="AT43" s="297"/>
    </row>
    <row r="44">
      <c r="A44" s="80"/>
      <c r="B44" s="81"/>
      <c r="C44" s="206"/>
      <c r="D44" s="206"/>
      <c r="E44" s="140" t="s">
        <v>284</v>
      </c>
      <c r="F44" s="278" t="s">
        <v>122</v>
      </c>
      <c r="G44" s="279" t="s">
        <v>149</v>
      </c>
      <c r="H44" s="302" t="s">
        <v>150</v>
      </c>
      <c r="I44" s="303">
        <f t="shared" ref="I44:AS44" si="5">I43/I42</f>
        <v>0.3510235693</v>
      </c>
      <c r="J44" s="303">
        <f t="shared" si="5"/>
        <v>0.3610518224</v>
      </c>
      <c r="K44" s="303">
        <f t="shared" si="5"/>
        <v>0.3759137318</v>
      </c>
      <c r="L44" s="303">
        <f t="shared" si="5"/>
        <v>0.4226792087</v>
      </c>
      <c r="M44" s="303">
        <f t="shared" si="5"/>
        <v>0.3705042306</v>
      </c>
      <c r="N44" s="303">
        <f t="shared" si="5"/>
        <v>0.3884354561</v>
      </c>
      <c r="O44" s="303">
        <f t="shared" si="5"/>
        <v>0.3753260096</v>
      </c>
      <c r="P44" s="303">
        <f t="shared" si="5"/>
        <v>0.3623408791</v>
      </c>
      <c r="Q44" s="303">
        <f t="shared" si="5"/>
        <v>0.3514163662</v>
      </c>
      <c r="R44" s="303">
        <f t="shared" si="5"/>
        <v>0.4103174259</v>
      </c>
      <c r="S44" s="303">
        <f t="shared" si="5"/>
        <v>0.3797989698</v>
      </c>
      <c r="T44" s="303">
        <f t="shared" si="5"/>
        <v>0.3991639044</v>
      </c>
      <c r="U44" s="303">
        <f t="shared" si="5"/>
        <v>0.4398214143</v>
      </c>
      <c r="V44" s="303">
        <f t="shared" si="5"/>
        <v>0.3596806517</v>
      </c>
      <c r="W44" s="303">
        <f t="shared" si="5"/>
        <v>0.4378313424</v>
      </c>
      <c r="X44" s="303">
        <f t="shared" si="5"/>
        <v>0.4059371683</v>
      </c>
      <c r="Y44" s="303">
        <f t="shared" si="5"/>
        <v>0.3914651508</v>
      </c>
      <c r="Z44" s="303">
        <f t="shared" si="5"/>
        <v>0.4189940066</v>
      </c>
      <c r="AA44" s="303">
        <f t="shared" si="5"/>
        <v>0.4393165766</v>
      </c>
      <c r="AB44" s="303">
        <f t="shared" si="5"/>
        <v>0.3538553052</v>
      </c>
      <c r="AC44" s="303">
        <f t="shared" si="5"/>
        <v>0.3899458491</v>
      </c>
      <c r="AD44" s="303">
        <f t="shared" si="5"/>
        <v>0.4124126682</v>
      </c>
      <c r="AE44" s="303">
        <f t="shared" si="5"/>
        <v>0.4417327015</v>
      </c>
      <c r="AF44" s="303">
        <f t="shared" si="5"/>
        <v>0.4133152891</v>
      </c>
      <c r="AG44" s="303">
        <f t="shared" si="5"/>
        <v>0.3939065233</v>
      </c>
      <c r="AH44" s="303">
        <f t="shared" si="5"/>
        <v>0.4166475743</v>
      </c>
      <c r="AI44" s="303">
        <f t="shared" si="5"/>
        <v>0.4394039704</v>
      </c>
      <c r="AJ44" s="303">
        <f t="shared" si="5"/>
        <v>0.4044772582</v>
      </c>
      <c r="AK44" s="303">
        <f t="shared" si="5"/>
        <v>0.4090190267</v>
      </c>
      <c r="AL44" s="303">
        <f t="shared" si="5"/>
        <v>0.423368625</v>
      </c>
      <c r="AM44" s="303">
        <f t="shared" si="5"/>
        <v>0.3367341385</v>
      </c>
      <c r="AN44" s="303">
        <f t="shared" si="5"/>
        <v>0.4206525831</v>
      </c>
      <c r="AO44" s="303">
        <f t="shared" si="5"/>
        <v>0.380098821</v>
      </c>
      <c r="AP44" s="303">
        <f t="shared" si="5"/>
        <v>0.433778642</v>
      </c>
      <c r="AQ44" s="303">
        <f t="shared" si="5"/>
        <v>0.3955003859</v>
      </c>
      <c r="AR44" s="303">
        <f t="shared" si="5"/>
        <v>0.3881215528</v>
      </c>
      <c r="AS44" s="303">
        <f t="shared" si="5"/>
        <v>0.3839865839</v>
      </c>
      <c r="AT44" s="297"/>
    </row>
    <row r="45">
      <c r="A45" s="80"/>
      <c r="B45" s="81"/>
      <c r="C45" s="206"/>
      <c r="D45" s="206"/>
      <c r="E45" s="140" t="s">
        <v>289</v>
      </c>
      <c r="F45" s="278" t="s">
        <v>122</v>
      </c>
      <c r="G45" s="279" t="s">
        <v>203</v>
      </c>
      <c r="H45" s="305">
        <f>Inputs!H122</f>
        <v>0.15</v>
      </c>
      <c r="I45" s="299" t="str">
        <f>Inputs!I122</f>
        <v>-</v>
      </c>
      <c r="J45" s="299" t="str">
        <f>Inputs!J122</f>
        <v>-</v>
      </c>
      <c r="K45" s="299" t="str">
        <f>Inputs!K122</f>
        <v>-</v>
      </c>
      <c r="L45" s="299" t="str">
        <f>Inputs!L122</f>
        <v>-</v>
      </c>
      <c r="M45" s="299" t="str">
        <f>Inputs!M122</f>
        <v>-</v>
      </c>
      <c r="N45" s="299" t="str">
        <f>Inputs!N122</f>
        <v>-</v>
      </c>
      <c r="O45" s="299" t="str">
        <f>Inputs!O122</f>
        <v>-</v>
      </c>
      <c r="P45" s="299" t="str">
        <f>Inputs!P122</f>
        <v>-</v>
      </c>
      <c r="Q45" s="299" t="str">
        <f>Inputs!Q122</f>
        <v>-</v>
      </c>
      <c r="R45" s="299" t="str">
        <f>Inputs!R122</f>
        <v>-</v>
      </c>
      <c r="S45" s="299" t="str">
        <f>Inputs!S122</f>
        <v>-</v>
      </c>
      <c r="T45" s="299" t="str">
        <f>Inputs!T122</f>
        <v>-</v>
      </c>
      <c r="U45" s="299" t="str">
        <f>Inputs!U122</f>
        <v>-</v>
      </c>
      <c r="V45" s="299" t="str">
        <f>Inputs!V122</f>
        <v>-</v>
      </c>
      <c r="W45" s="299" t="str">
        <f>Inputs!W122</f>
        <v>-</v>
      </c>
      <c r="X45" s="299" t="str">
        <f>Inputs!X122</f>
        <v>-</v>
      </c>
      <c r="Y45" s="299" t="str">
        <f>Inputs!Y122</f>
        <v>-</v>
      </c>
      <c r="Z45" s="299" t="str">
        <f>Inputs!Z122</f>
        <v>-</v>
      </c>
      <c r="AA45" s="299" t="str">
        <f>Inputs!AA122</f>
        <v>-</v>
      </c>
      <c r="AB45" s="299" t="str">
        <f>Inputs!AB122</f>
        <v>-</v>
      </c>
      <c r="AC45" s="299" t="str">
        <f>Inputs!AC122</f>
        <v>-</v>
      </c>
      <c r="AD45" s="299" t="str">
        <f>Inputs!AD122</f>
        <v>-</v>
      </c>
      <c r="AE45" s="299" t="str">
        <f>Inputs!AE122</f>
        <v>-</v>
      </c>
      <c r="AF45" s="299" t="str">
        <f>Inputs!AF122</f>
        <v>-</v>
      </c>
      <c r="AG45" s="299" t="str">
        <f>Inputs!AG122</f>
        <v>-</v>
      </c>
      <c r="AH45" s="299" t="str">
        <f>Inputs!AH122</f>
        <v>-</v>
      </c>
      <c r="AI45" s="299" t="str">
        <f>Inputs!AI122</f>
        <v>-</v>
      </c>
      <c r="AJ45" s="299" t="str">
        <f>Inputs!AJ122</f>
        <v>-</v>
      </c>
      <c r="AK45" s="299" t="str">
        <f>Inputs!AK122</f>
        <v>-</v>
      </c>
      <c r="AL45" s="299" t="str">
        <f>Inputs!AL122</f>
        <v>-</v>
      </c>
      <c r="AM45" s="299" t="str">
        <f>Inputs!AM122</f>
        <v>-</v>
      </c>
      <c r="AN45" s="299" t="str">
        <f>Inputs!AN122</f>
        <v>-</v>
      </c>
      <c r="AO45" s="299" t="str">
        <f>Inputs!AO122</f>
        <v>-</v>
      </c>
      <c r="AP45" s="299" t="str">
        <f>Inputs!AP122</f>
        <v>-</v>
      </c>
      <c r="AQ45" s="299" t="str">
        <f>Inputs!AQ122</f>
        <v>-</v>
      </c>
      <c r="AR45" s="299" t="str">
        <f>Inputs!AR122</f>
        <v>-</v>
      </c>
      <c r="AS45" s="299" t="str">
        <f>Inputs!AS122</f>
        <v>-</v>
      </c>
      <c r="AT45" s="297"/>
    </row>
    <row r="46">
      <c r="A46" s="80"/>
      <c r="B46" s="81"/>
      <c r="C46" s="206"/>
      <c r="D46" s="206"/>
      <c r="E46" s="140" t="s">
        <v>297</v>
      </c>
      <c r="F46" s="278" t="s">
        <v>122</v>
      </c>
      <c r="G46" s="279" t="s">
        <v>149</v>
      </c>
      <c r="H46" s="302" t="s">
        <v>150</v>
      </c>
      <c r="I46" s="303">
        <f t="shared" ref="I46:AS46" si="6">I44*$H45</f>
        <v>0.05265353539</v>
      </c>
      <c r="J46" s="303">
        <f t="shared" si="6"/>
        <v>0.05415777335</v>
      </c>
      <c r="K46" s="303">
        <f t="shared" si="6"/>
        <v>0.05638705976</v>
      </c>
      <c r="L46" s="303">
        <f t="shared" si="6"/>
        <v>0.0634018813</v>
      </c>
      <c r="M46" s="303">
        <f t="shared" si="6"/>
        <v>0.05557563458</v>
      </c>
      <c r="N46" s="303">
        <f t="shared" si="6"/>
        <v>0.05826531841</v>
      </c>
      <c r="O46" s="303">
        <f t="shared" si="6"/>
        <v>0.05629890144</v>
      </c>
      <c r="P46" s="303">
        <f t="shared" si="6"/>
        <v>0.05435113187</v>
      </c>
      <c r="Q46" s="303">
        <f t="shared" si="6"/>
        <v>0.05271245493</v>
      </c>
      <c r="R46" s="303">
        <f t="shared" si="6"/>
        <v>0.06154761389</v>
      </c>
      <c r="S46" s="303">
        <f t="shared" si="6"/>
        <v>0.05696984547</v>
      </c>
      <c r="T46" s="303">
        <f t="shared" si="6"/>
        <v>0.05987458565</v>
      </c>
      <c r="U46" s="303">
        <f t="shared" si="6"/>
        <v>0.06597321215</v>
      </c>
      <c r="V46" s="303">
        <f t="shared" si="6"/>
        <v>0.05395209775</v>
      </c>
      <c r="W46" s="303">
        <f t="shared" si="6"/>
        <v>0.06567470136</v>
      </c>
      <c r="X46" s="303">
        <f t="shared" si="6"/>
        <v>0.06089057524</v>
      </c>
      <c r="Y46" s="303">
        <f t="shared" si="6"/>
        <v>0.05871977262</v>
      </c>
      <c r="Z46" s="303">
        <f t="shared" si="6"/>
        <v>0.06284910099</v>
      </c>
      <c r="AA46" s="303">
        <f t="shared" si="6"/>
        <v>0.06589748649</v>
      </c>
      <c r="AB46" s="303">
        <f t="shared" si="6"/>
        <v>0.05307829578</v>
      </c>
      <c r="AC46" s="303">
        <f t="shared" si="6"/>
        <v>0.05849187736</v>
      </c>
      <c r="AD46" s="303">
        <f t="shared" si="6"/>
        <v>0.06186190022</v>
      </c>
      <c r="AE46" s="303">
        <f t="shared" si="6"/>
        <v>0.06625990523</v>
      </c>
      <c r="AF46" s="303">
        <f t="shared" si="6"/>
        <v>0.06199729337</v>
      </c>
      <c r="AG46" s="303">
        <f t="shared" si="6"/>
        <v>0.0590859785</v>
      </c>
      <c r="AH46" s="303">
        <f t="shared" si="6"/>
        <v>0.06249713615</v>
      </c>
      <c r="AI46" s="303">
        <f t="shared" si="6"/>
        <v>0.06591059556</v>
      </c>
      <c r="AJ46" s="303">
        <f t="shared" si="6"/>
        <v>0.06067158872</v>
      </c>
      <c r="AK46" s="303">
        <f t="shared" si="6"/>
        <v>0.06135285401</v>
      </c>
      <c r="AL46" s="303">
        <f t="shared" si="6"/>
        <v>0.06350529375</v>
      </c>
      <c r="AM46" s="303">
        <f t="shared" si="6"/>
        <v>0.05051012077</v>
      </c>
      <c r="AN46" s="303">
        <f t="shared" si="6"/>
        <v>0.06309788747</v>
      </c>
      <c r="AO46" s="303">
        <f t="shared" si="6"/>
        <v>0.05701482314</v>
      </c>
      <c r="AP46" s="303">
        <f t="shared" si="6"/>
        <v>0.0650667963</v>
      </c>
      <c r="AQ46" s="303">
        <f t="shared" si="6"/>
        <v>0.05932505789</v>
      </c>
      <c r="AR46" s="303">
        <f t="shared" si="6"/>
        <v>0.05821823292</v>
      </c>
      <c r="AS46" s="303">
        <f t="shared" si="6"/>
        <v>0.05759798758</v>
      </c>
      <c r="AT46" s="297"/>
    </row>
    <row r="47">
      <c r="A47" s="80"/>
      <c r="B47" s="81"/>
      <c r="C47" s="206"/>
      <c r="D47" s="206"/>
      <c r="E47" s="224" t="s">
        <v>300</v>
      </c>
      <c r="F47" s="225" t="s">
        <v>122</v>
      </c>
      <c r="G47" s="226" t="s">
        <v>149</v>
      </c>
      <c r="H47" s="259" t="s">
        <v>150</v>
      </c>
      <c r="I47" s="228">
        <f t="shared" ref="I47:AS47" si="7">I36*(1-I46)</f>
        <v>0.001825144436</v>
      </c>
      <c r="J47" s="228">
        <f t="shared" si="7"/>
        <v>0.00162283353</v>
      </c>
      <c r="K47" s="228">
        <f t="shared" si="7"/>
        <v>0.002175125019</v>
      </c>
      <c r="L47" s="228">
        <f t="shared" si="7"/>
        <v>0.001120448583</v>
      </c>
      <c r="M47" s="228">
        <f t="shared" si="7"/>
        <v>0.00135487875</v>
      </c>
      <c r="N47" s="228">
        <f t="shared" si="7"/>
        <v>0.001762189946</v>
      </c>
      <c r="O47" s="228">
        <f t="shared" si="7"/>
        <v>0.001908249498</v>
      </c>
      <c r="P47" s="228">
        <f t="shared" si="7"/>
        <v>0.002200670546</v>
      </c>
      <c r="Q47" s="228">
        <f t="shared" si="7"/>
        <v>0.002604474271</v>
      </c>
      <c r="R47" s="228">
        <f t="shared" si="7"/>
        <v>0.0003082431323</v>
      </c>
      <c r="S47" s="228">
        <f t="shared" si="7"/>
        <v>0.001004093243</v>
      </c>
      <c r="T47" s="228">
        <f t="shared" si="7"/>
        <v>0.0003356369946</v>
      </c>
      <c r="U47" s="228">
        <f t="shared" si="7"/>
        <v>0.000445364521</v>
      </c>
      <c r="V47" s="228">
        <f t="shared" si="7"/>
        <v>0.0007491526286</v>
      </c>
      <c r="W47" s="228">
        <f t="shared" si="7"/>
        <v>0.0005853725518</v>
      </c>
      <c r="X47" s="228">
        <f t="shared" si="7"/>
        <v>0.0009362498366</v>
      </c>
      <c r="Y47" s="228">
        <f t="shared" si="7"/>
        <v>0.0004071780595</v>
      </c>
      <c r="Z47" s="228">
        <f t="shared" si="7"/>
        <v>0.0004339252322</v>
      </c>
      <c r="AA47" s="228">
        <f t="shared" si="7"/>
        <v>0.000433056464</v>
      </c>
      <c r="AB47" s="228">
        <f t="shared" si="7"/>
        <v>0.0003116849605</v>
      </c>
      <c r="AC47" s="228">
        <f t="shared" si="7"/>
        <v>0.0002024666142</v>
      </c>
      <c r="AD47" s="228">
        <f t="shared" si="7"/>
        <v>0.0002443474495</v>
      </c>
      <c r="AE47" s="228">
        <f t="shared" si="7"/>
        <v>0.0003109466564</v>
      </c>
      <c r="AF47" s="228">
        <f t="shared" si="7"/>
        <v>0.0001747545943</v>
      </c>
      <c r="AG47" s="228">
        <f t="shared" si="7"/>
        <v>0.001003393535</v>
      </c>
      <c r="AH47" s="228">
        <f t="shared" si="7"/>
        <v>0.0003724136376</v>
      </c>
      <c r="AI47" s="228">
        <f t="shared" si="7"/>
        <v>0.0001483679587</v>
      </c>
      <c r="AJ47" s="228">
        <f t="shared" si="7"/>
        <v>0.0007080666957</v>
      </c>
      <c r="AK47" s="228">
        <f t="shared" si="7"/>
        <v>0.00104776957</v>
      </c>
      <c r="AL47" s="228">
        <f t="shared" si="7"/>
        <v>0.0004412594487</v>
      </c>
      <c r="AM47" s="228">
        <f t="shared" si="7"/>
        <v>0.0003069909667</v>
      </c>
      <c r="AN47" s="228">
        <f t="shared" si="7"/>
        <v>0.0001733306384</v>
      </c>
      <c r="AO47" s="228">
        <f t="shared" si="7"/>
        <v>0.0004055675517</v>
      </c>
      <c r="AP47" s="228">
        <f t="shared" si="7"/>
        <v>0.0003864639891</v>
      </c>
      <c r="AQ47" s="228">
        <f t="shared" si="7"/>
        <v>0.0003363392662</v>
      </c>
      <c r="AR47" s="228">
        <f t="shared" si="7"/>
        <v>0.001133303449</v>
      </c>
      <c r="AS47" s="228">
        <f t="shared" si="7"/>
        <v>0.001478853049</v>
      </c>
      <c r="AT47" s="242"/>
    </row>
    <row r="48">
      <c r="A48" s="80"/>
      <c r="B48" s="81"/>
      <c r="C48" s="206"/>
      <c r="D48" s="206"/>
      <c r="E48" s="243"/>
      <c r="F48" s="201"/>
      <c r="G48" s="202"/>
      <c r="H48" s="85"/>
      <c r="I48" s="266"/>
      <c r="J48" s="266"/>
      <c r="K48" s="266"/>
      <c r="L48" s="266"/>
      <c r="M48" s="266"/>
      <c r="N48" s="266"/>
      <c r="O48" s="266"/>
      <c r="P48" s="266"/>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8"/>
    </row>
    <row r="49">
      <c r="A49" s="72" t="s">
        <v>302</v>
      </c>
      <c r="B49" s="14"/>
      <c r="C49" s="14"/>
      <c r="D49" s="14"/>
      <c r="E49" s="14"/>
      <c r="F49" s="14"/>
      <c r="G49" s="14"/>
      <c r="H49" s="73"/>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c r="AQ49" s="97"/>
      <c r="AR49" s="97"/>
      <c r="AS49" s="97"/>
      <c r="AT49" s="79"/>
    </row>
    <row r="50">
      <c r="A50" s="80"/>
      <c r="B50" s="81"/>
      <c r="C50" s="206"/>
      <c r="D50" s="206"/>
      <c r="E50" s="243"/>
      <c r="F50" s="201"/>
      <c r="G50" s="202"/>
      <c r="H50" s="85"/>
      <c r="I50" s="266"/>
      <c r="J50" s="266"/>
      <c r="K50" s="266"/>
      <c r="L50" s="266"/>
      <c r="M50" s="266"/>
      <c r="N50" s="266"/>
      <c r="O50" s="266"/>
      <c r="P50" s="266"/>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8"/>
    </row>
    <row r="51">
      <c r="A51" s="81"/>
      <c r="B51" s="81"/>
      <c r="C51" s="126" t="s">
        <v>304</v>
      </c>
      <c r="F51" s="201"/>
      <c r="G51" s="201"/>
      <c r="H51" s="85"/>
      <c r="I51" s="266"/>
      <c r="J51" s="266"/>
      <c r="K51" s="266"/>
      <c r="L51" s="266"/>
      <c r="M51" s="266"/>
      <c r="N51" s="266"/>
      <c r="O51" s="266"/>
      <c r="P51" s="266"/>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c r="AN51" s="266"/>
      <c r="AO51" s="266"/>
      <c r="AP51" s="266"/>
      <c r="AQ51" s="266"/>
      <c r="AR51" s="266"/>
      <c r="AS51" s="266"/>
      <c r="AT51" s="268"/>
    </row>
    <row r="52">
      <c r="A52" s="80"/>
      <c r="B52" s="81"/>
      <c r="C52" s="206"/>
      <c r="D52" s="206"/>
      <c r="E52" s="113" t="s">
        <v>305</v>
      </c>
      <c r="F52" s="207" t="s">
        <v>122</v>
      </c>
      <c r="G52" s="208" t="s">
        <v>203</v>
      </c>
      <c r="H52" s="209" t="str">
        <f>Inputs!H125</f>
        <v>-</v>
      </c>
      <c r="I52" s="210">
        <f>Inputs!I125</f>
        <v>0.000194494</v>
      </c>
      <c r="J52" s="210">
        <f>Inputs!J125</f>
        <v>0.000165483</v>
      </c>
      <c r="K52" s="210">
        <f>Inputs!K125</f>
        <v>0.000136302</v>
      </c>
      <c r="L52" s="210">
        <f>Inputs!L125</f>
        <v>0.0001208</v>
      </c>
      <c r="M52" s="210">
        <f>Inputs!M125</f>
        <v>0.000125013</v>
      </c>
      <c r="N52" s="210">
        <f>Inputs!N125</f>
        <v>0.000144148</v>
      </c>
      <c r="O52" s="210">
        <f>Inputs!O125</f>
        <v>0.000289399</v>
      </c>
      <c r="P52" s="210">
        <f>Inputs!P125</f>
        <v>0.000383113</v>
      </c>
      <c r="Q52" s="210">
        <f>Inputs!Q125</f>
        <v>0.000356266</v>
      </c>
      <c r="R52" s="210">
        <f>Inputs!R125</f>
        <v>0.0000691</v>
      </c>
      <c r="S52" s="210">
        <f>Inputs!S125</f>
        <v>0.000107375</v>
      </c>
      <c r="T52" s="210">
        <f>Inputs!T125</f>
        <v>0.0000696</v>
      </c>
      <c r="U52" s="210">
        <f>Inputs!U125</f>
        <v>0.0000567</v>
      </c>
      <c r="V52" s="210">
        <f>Inputs!V125</f>
        <v>0.0000648</v>
      </c>
      <c r="W52" s="210">
        <f>Inputs!W125</f>
        <v>0.0000798</v>
      </c>
      <c r="X52" s="210">
        <f>Inputs!X125</f>
        <v>0.0000596</v>
      </c>
      <c r="Y52" s="210">
        <f>Inputs!Y125</f>
        <v>0.000066</v>
      </c>
      <c r="Z52" s="210">
        <f>Inputs!Z125</f>
        <v>0.0000939</v>
      </c>
      <c r="AA52" s="210">
        <f>Inputs!AA125</f>
        <v>0.000127965</v>
      </c>
      <c r="AB52" s="210">
        <f>Inputs!AB125</f>
        <v>0.0000768</v>
      </c>
      <c r="AC52" s="210">
        <f>Inputs!AC125</f>
        <v>0.0000861</v>
      </c>
      <c r="AD52" s="210">
        <f>Inputs!AD125</f>
        <v>0.0000607</v>
      </c>
      <c r="AE52" s="210">
        <f>Inputs!AE125</f>
        <v>0.0000934</v>
      </c>
      <c r="AF52" s="210">
        <f>Inputs!AF125</f>
        <v>0.0000584</v>
      </c>
      <c r="AG52" s="210">
        <f>Inputs!AG125</f>
        <v>0.0000744</v>
      </c>
      <c r="AH52" s="210">
        <f>Inputs!AH125</f>
        <v>0.0000784</v>
      </c>
      <c r="AI52" s="210">
        <f>Inputs!AI125</f>
        <v>0.0000653</v>
      </c>
      <c r="AJ52" s="210">
        <f>Inputs!AJ125</f>
        <v>0.0000915</v>
      </c>
      <c r="AK52" s="210">
        <f>Inputs!AK125</f>
        <v>0.000120712</v>
      </c>
      <c r="AL52" s="210">
        <f>Inputs!AL125</f>
        <v>0.0000974</v>
      </c>
      <c r="AM52" s="210">
        <f>Inputs!AM125</f>
        <v>0.0000727</v>
      </c>
      <c r="AN52" s="210">
        <f>Inputs!AN125</f>
        <v>0.000065</v>
      </c>
      <c r="AO52" s="210">
        <f>Inputs!AO125</f>
        <v>0.0000518</v>
      </c>
      <c r="AP52" s="210">
        <f>Inputs!AP125</f>
        <v>0.0000779</v>
      </c>
      <c r="AQ52" s="210">
        <f>Inputs!AQ125</f>
        <v>0.0000849</v>
      </c>
      <c r="AR52" s="210">
        <f>Inputs!AR125</f>
        <v>0.000101093</v>
      </c>
      <c r="AS52" s="210">
        <f>Inputs!AS125</f>
        <v>0.000133492</v>
      </c>
      <c r="AT52" s="212"/>
    </row>
    <row r="53">
      <c r="A53" s="80"/>
      <c r="B53" s="81"/>
      <c r="C53" s="206"/>
      <c r="D53" s="206"/>
      <c r="E53" s="140" t="s">
        <v>309</v>
      </c>
      <c r="F53" s="278" t="s">
        <v>122</v>
      </c>
      <c r="G53" s="279" t="s">
        <v>203</v>
      </c>
      <c r="H53" s="280" t="str">
        <f>Inputs!H126</f>
        <v>-</v>
      </c>
      <c r="I53" s="281">
        <f>Inputs!I126</f>
        <v>0.0000407</v>
      </c>
      <c r="J53" s="281">
        <f>Inputs!J126</f>
        <v>0.0000422</v>
      </c>
      <c r="K53" s="281">
        <f>Inputs!K126</f>
        <v>0.0000408</v>
      </c>
      <c r="L53" s="281">
        <f>Inputs!L126</f>
        <v>0.0000254</v>
      </c>
      <c r="M53" s="281">
        <f>Inputs!M126</f>
        <v>0.0000296</v>
      </c>
      <c r="N53" s="281">
        <f>Inputs!N126</f>
        <v>0.0000315</v>
      </c>
      <c r="O53" s="281">
        <f>Inputs!O126</f>
        <v>0.00005</v>
      </c>
      <c r="P53" s="281">
        <f>Inputs!P126</f>
        <v>0.0000796</v>
      </c>
      <c r="Q53" s="281">
        <f>Inputs!Q126</f>
        <v>0.0000761</v>
      </c>
      <c r="R53" s="281">
        <f>Inputs!R126</f>
        <v>0.00000949</v>
      </c>
      <c r="S53" s="281">
        <f>Inputs!S126</f>
        <v>0.0000235</v>
      </c>
      <c r="T53" s="281">
        <f>Inputs!T126</f>
        <v>0.00000733</v>
      </c>
      <c r="U53" s="281">
        <f>Inputs!U126</f>
        <v>0.00000622</v>
      </c>
      <c r="V53" s="281">
        <f>Inputs!V126</f>
        <v>0.0000107</v>
      </c>
      <c r="W53" s="281">
        <f>Inputs!W126</f>
        <v>0.0000114</v>
      </c>
      <c r="X53" s="281">
        <f>Inputs!X126</f>
        <v>0.0000116</v>
      </c>
      <c r="Y53" s="281">
        <f>Inputs!Y126</f>
        <v>0.00000774</v>
      </c>
      <c r="Z53" s="281">
        <f>Inputs!Z126</f>
        <v>0.00000908</v>
      </c>
      <c r="AA53" s="281">
        <f>Inputs!AA126</f>
        <v>0.0000138</v>
      </c>
      <c r="AB53" s="281">
        <f>Inputs!AB126</f>
        <v>0.00000851</v>
      </c>
      <c r="AC53" s="281">
        <f>Inputs!AC126</f>
        <v>0.00000781</v>
      </c>
      <c r="AD53" s="281">
        <f>Inputs!AD126</f>
        <v>0.00000688</v>
      </c>
      <c r="AE53" s="281">
        <f>Inputs!AE126</f>
        <v>0.00001</v>
      </c>
      <c r="AF53" s="281">
        <f>Inputs!AF126</f>
        <v>0.00000727</v>
      </c>
      <c r="AG53" s="281">
        <f>Inputs!AG126</f>
        <v>0.0000102</v>
      </c>
      <c r="AH53" s="281">
        <f>Inputs!AH126</f>
        <v>0.00000873</v>
      </c>
      <c r="AI53" s="281">
        <f>Inputs!AI126</f>
        <v>0.00000524</v>
      </c>
      <c r="AJ53" s="281">
        <f>Inputs!AJ126</f>
        <v>0.0000132</v>
      </c>
      <c r="AK53" s="281">
        <f>Inputs!AK126</f>
        <v>0.0000249</v>
      </c>
      <c r="AL53" s="281">
        <f>Inputs!AL126</f>
        <v>0.0000105</v>
      </c>
      <c r="AM53" s="281">
        <f>Inputs!AM126</f>
        <v>0.0000094</v>
      </c>
      <c r="AN53" s="281">
        <f>Inputs!AN126</f>
        <v>0.00000524</v>
      </c>
      <c r="AO53" s="281">
        <f>Inputs!AO126</f>
        <v>0.00000728</v>
      </c>
      <c r="AP53" s="281">
        <f>Inputs!AP126</f>
        <v>0.0000107</v>
      </c>
      <c r="AQ53" s="281">
        <f>Inputs!AQ126</f>
        <v>0.00000863</v>
      </c>
      <c r="AR53" s="281">
        <f>Inputs!AR126</f>
        <v>0.0000269</v>
      </c>
      <c r="AS53" s="281">
        <f>Inputs!AS126</f>
        <v>0.0000288</v>
      </c>
      <c r="AT53" s="282"/>
    </row>
    <row r="54">
      <c r="A54" s="80"/>
      <c r="B54" s="81"/>
      <c r="C54" s="206"/>
      <c r="D54" s="206"/>
      <c r="E54" s="140" t="s">
        <v>312</v>
      </c>
      <c r="F54" s="278" t="s">
        <v>122</v>
      </c>
      <c r="G54" s="279" t="s">
        <v>203</v>
      </c>
      <c r="H54" s="280" t="str">
        <f>Inputs!H127</f>
        <v>-</v>
      </c>
      <c r="I54" s="281">
        <f>Inputs!I127</f>
        <v>0.0000796</v>
      </c>
      <c r="J54" s="281">
        <f>Inputs!J127</f>
        <v>0.0000732</v>
      </c>
      <c r="K54" s="281">
        <f>Inputs!K127</f>
        <v>0.0000969</v>
      </c>
      <c r="L54" s="281">
        <f>Inputs!L127</f>
        <v>0.0000584</v>
      </c>
      <c r="M54" s="281">
        <f>Inputs!M127</f>
        <v>0.000049</v>
      </c>
      <c r="N54" s="281">
        <f>Inputs!N127</f>
        <v>0.0000743</v>
      </c>
      <c r="O54" s="281">
        <f>Inputs!O127</f>
        <v>0.000110427</v>
      </c>
      <c r="P54" s="281">
        <f>Inputs!P127</f>
        <v>0.000183691</v>
      </c>
      <c r="Q54" s="281">
        <f>Inputs!Q127</f>
        <v>0.000144104</v>
      </c>
      <c r="R54" s="281">
        <f>Inputs!R127</f>
        <v>0.0000293</v>
      </c>
      <c r="S54" s="281">
        <f>Inputs!S127</f>
        <v>0.0000509</v>
      </c>
      <c r="T54" s="281">
        <f>Inputs!T127</f>
        <v>0.000028</v>
      </c>
      <c r="U54" s="281">
        <f>Inputs!U127</f>
        <v>0.0000231</v>
      </c>
      <c r="V54" s="281">
        <f>Inputs!V127</f>
        <v>0.0000397</v>
      </c>
      <c r="W54" s="281">
        <f>Inputs!W127</f>
        <v>0.0000332</v>
      </c>
      <c r="X54" s="281">
        <f>Inputs!X127</f>
        <v>0.0000302</v>
      </c>
      <c r="Y54" s="281">
        <f>Inputs!Y127</f>
        <v>0.0000275</v>
      </c>
      <c r="Z54" s="281">
        <f>Inputs!Z127</f>
        <v>0.0000288</v>
      </c>
      <c r="AA54" s="281">
        <f>Inputs!AA127</f>
        <v>0.0000384</v>
      </c>
      <c r="AB54" s="281">
        <f>Inputs!AB127</f>
        <v>0.0000304</v>
      </c>
      <c r="AC54" s="281">
        <f>Inputs!AC127</f>
        <v>0.0000261</v>
      </c>
      <c r="AD54" s="281">
        <f>Inputs!AD127</f>
        <v>0.0000274</v>
      </c>
      <c r="AE54" s="281">
        <f>Inputs!AE127</f>
        <v>0.0000285</v>
      </c>
      <c r="AF54" s="281">
        <f>Inputs!AF127</f>
        <v>0.0000263</v>
      </c>
      <c r="AG54" s="281">
        <f>Inputs!AG127</f>
        <v>0.0000378</v>
      </c>
      <c r="AH54" s="281">
        <f>Inputs!AH127</f>
        <v>0.0000387</v>
      </c>
      <c r="AI54" s="281">
        <f>Inputs!AI127</f>
        <v>0.000017</v>
      </c>
      <c r="AJ54" s="281">
        <f>Inputs!AJ127</f>
        <v>0.0000411</v>
      </c>
      <c r="AK54" s="281">
        <f>Inputs!AK127</f>
        <v>0.0000703</v>
      </c>
      <c r="AL54" s="281">
        <f>Inputs!AL127</f>
        <v>0.0000394</v>
      </c>
      <c r="AM54" s="281">
        <f>Inputs!AM127</f>
        <v>0.0000299</v>
      </c>
      <c r="AN54" s="281">
        <f>Inputs!AN127</f>
        <v>0.0000199</v>
      </c>
      <c r="AO54" s="281">
        <f>Inputs!AO127</f>
        <v>0.0000324</v>
      </c>
      <c r="AP54" s="281">
        <f>Inputs!AP127</f>
        <v>0.0000364</v>
      </c>
      <c r="AQ54" s="281">
        <f>Inputs!AQ127</f>
        <v>0.0000283</v>
      </c>
      <c r="AR54" s="281">
        <f>Inputs!AR127</f>
        <v>0.0000625</v>
      </c>
      <c r="AS54" s="281">
        <f>Inputs!AS127</f>
        <v>0.0000793</v>
      </c>
      <c r="AT54" s="282"/>
    </row>
    <row r="55">
      <c r="A55" s="80"/>
      <c r="B55" s="81"/>
      <c r="C55" s="206"/>
      <c r="D55" s="206"/>
      <c r="E55" s="237" t="s">
        <v>315</v>
      </c>
      <c r="F55" s="283" t="s">
        <v>122</v>
      </c>
      <c r="G55" s="285" t="s">
        <v>203</v>
      </c>
      <c r="H55" s="286" t="str">
        <f>Inputs!H128</f>
        <v>-</v>
      </c>
      <c r="I55" s="287">
        <f>Inputs!I128</f>
        <v>0.000285466</v>
      </c>
      <c r="J55" s="287">
        <f>Inputs!J128</f>
        <v>0.000340228</v>
      </c>
      <c r="K55" s="287">
        <f>Inputs!K128</f>
        <v>0.000269698</v>
      </c>
      <c r="L55" s="287">
        <f>Inputs!L128</f>
        <v>0.00019924</v>
      </c>
      <c r="M55" s="287">
        <f>Inputs!M128</f>
        <v>0.000175487</v>
      </c>
      <c r="N55" s="287">
        <f>Inputs!N128</f>
        <v>0.000234563</v>
      </c>
      <c r="O55" s="287">
        <f>Inputs!O128</f>
        <v>0.000414794</v>
      </c>
      <c r="P55" s="287">
        <f>Inputs!P128</f>
        <v>0.000479564</v>
      </c>
      <c r="Q55" s="287">
        <f>Inputs!Q128</f>
        <v>0.000503219</v>
      </c>
      <c r="R55" s="287">
        <f>Inputs!R128</f>
        <v>0.000100875</v>
      </c>
      <c r="S55" s="287">
        <f>Inputs!S128</f>
        <v>0.000174205</v>
      </c>
      <c r="T55" s="287">
        <f>Inputs!T128</f>
        <v>0.0000971</v>
      </c>
      <c r="U55" s="287">
        <f>Inputs!U128</f>
        <v>0.0000732</v>
      </c>
      <c r="V55" s="287">
        <f>Inputs!V128</f>
        <v>0.000138815</v>
      </c>
      <c r="W55" s="287">
        <f>Inputs!W128</f>
        <v>0.000113005</v>
      </c>
      <c r="X55" s="287">
        <f>Inputs!X128</f>
        <v>0.000120993</v>
      </c>
      <c r="Y55" s="287">
        <f>Inputs!Y128</f>
        <v>0.000100775</v>
      </c>
      <c r="Z55" s="287">
        <f>Inputs!Z128</f>
        <v>0.0000846</v>
      </c>
      <c r="AA55" s="287">
        <f>Inputs!AA128</f>
        <v>0.000137671</v>
      </c>
      <c r="AB55" s="287">
        <f>Inputs!AB128</f>
        <v>0.0000871</v>
      </c>
      <c r="AC55" s="287">
        <f>Inputs!AC128</f>
        <v>0.0000921</v>
      </c>
      <c r="AD55" s="287">
        <f>Inputs!AD128</f>
        <v>0.000101209</v>
      </c>
      <c r="AE55" s="287">
        <f>Inputs!AE128</f>
        <v>0.0000695</v>
      </c>
      <c r="AF55" s="287">
        <f>Inputs!AF128</f>
        <v>0.0000862</v>
      </c>
      <c r="AG55" s="287">
        <f>Inputs!AG128</f>
        <v>0.000147611</v>
      </c>
      <c r="AH55" s="287">
        <f>Inputs!AH128</f>
        <v>0.000117909</v>
      </c>
      <c r="AI55" s="287">
        <f>Inputs!AI128</f>
        <v>0.0000466</v>
      </c>
      <c r="AJ55" s="287">
        <f>Inputs!AJ128</f>
        <v>0.000111902</v>
      </c>
      <c r="AK55" s="287">
        <f>Inputs!AK128</f>
        <v>0.000213765</v>
      </c>
      <c r="AL55" s="287">
        <f>Inputs!AL128</f>
        <v>0.000130887</v>
      </c>
      <c r="AM55" s="287">
        <f>Inputs!AM128</f>
        <v>0.000103803</v>
      </c>
      <c r="AN55" s="287">
        <f>Inputs!AN128</f>
        <v>0.0000795</v>
      </c>
      <c r="AO55" s="287">
        <f>Inputs!AO128</f>
        <v>0.000103973</v>
      </c>
      <c r="AP55" s="287">
        <f>Inputs!AP128</f>
        <v>0.000093</v>
      </c>
      <c r="AQ55" s="287">
        <f>Inputs!AQ128</f>
        <v>0.0000941</v>
      </c>
      <c r="AR55" s="287">
        <f>Inputs!AR128</f>
        <v>0.000175697</v>
      </c>
      <c r="AS55" s="287">
        <f>Inputs!AS128</f>
        <v>0.000243663</v>
      </c>
      <c r="AT55" s="293"/>
    </row>
    <row r="56">
      <c r="A56" s="80"/>
      <c r="B56" s="81"/>
      <c r="C56" s="126"/>
      <c r="D56" s="126"/>
      <c r="E56" s="243"/>
      <c r="F56" s="201"/>
      <c r="G56" s="202"/>
      <c r="H56" s="85"/>
      <c r="I56" s="266"/>
      <c r="J56" s="266"/>
      <c r="K56" s="266"/>
      <c r="L56" s="266"/>
      <c r="M56" s="266"/>
      <c r="N56" s="266"/>
      <c r="O56" s="266"/>
      <c r="P56" s="266"/>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8"/>
    </row>
    <row r="57">
      <c r="A57" s="80"/>
      <c r="B57" s="81"/>
      <c r="C57" s="126" t="s">
        <v>318</v>
      </c>
      <c r="F57" s="201"/>
      <c r="G57" s="202"/>
      <c r="H57" s="85"/>
      <c r="I57" s="266"/>
      <c r="J57" s="266"/>
      <c r="K57" s="266"/>
      <c r="L57" s="266"/>
      <c r="M57" s="266"/>
      <c r="N57" s="266"/>
      <c r="O57" s="266"/>
      <c r="P57" s="266"/>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8"/>
    </row>
    <row r="58">
      <c r="A58" s="80"/>
      <c r="B58" s="81"/>
      <c r="C58" s="206"/>
      <c r="D58" s="206"/>
      <c r="E58" s="113" t="s">
        <v>319</v>
      </c>
      <c r="F58" s="207" t="s">
        <v>111</v>
      </c>
      <c r="G58" s="208" t="s">
        <v>203</v>
      </c>
      <c r="H58" s="209" t="str">
        <f>Inputs!H129</f>
        <v>-</v>
      </c>
      <c r="I58" s="294">
        <f>Inputs!I129</f>
        <v>54.52905687</v>
      </c>
      <c r="J58" s="294">
        <f>Inputs!J129</f>
        <v>21.61435705</v>
      </c>
      <c r="K58" s="294">
        <f>Inputs!K129</f>
        <v>31.34407661</v>
      </c>
      <c r="L58" s="294">
        <f>Inputs!L129</f>
        <v>47.15968207</v>
      </c>
      <c r="M58" s="294">
        <f>Inputs!M129</f>
        <v>85.3270538</v>
      </c>
      <c r="N58" s="294">
        <f>Inputs!N129</f>
        <v>60.64375318</v>
      </c>
      <c r="O58" s="294">
        <f>Inputs!O129</f>
        <v>57.68311257</v>
      </c>
      <c r="P58" s="294">
        <f>Inputs!P129</f>
        <v>113.7423618</v>
      </c>
      <c r="Q58" s="294">
        <f>Inputs!Q129</f>
        <v>57.09325468</v>
      </c>
      <c r="R58" s="294">
        <f>Inputs!R129</f>
        <v>9.574368913</v>
      </c>
      <c r="S58" s="294">
        <f>Inputs!S129</f>
        <v>12.06153137</v>
      </c>
      <c r="T58" s="294">
        <f>Inputs!T129</f>
        <v>4.170890145</v>
      </c>
      <c r="U58" s="294">
        <f>Inputs!U129</f>
        <v>10.71030585</v>
      </c>
      <c r="V58" s="294">
        <f>Inputs!V129</f>
        <v>1.405803468</v>
      </c>
      <c r="W58" s="294">
        <f>Inputs!W129</f>
        <v>24.16772067</v>
      </c>
      <c r="X58" s="294">
        <f>Inputs!X129</f>
        <v>9.913937734</v>
      </c>
      <c r="Y58" s="294">
        <f>Inputs!Y129</f>
        <v>4.182139598</v>
      </c>
      <c r="Z58" s="294">
        <f>Inputs!Z129</f>
        <v>11.25158975</v>
      </c>
      <c r="AA58" s="294">
        <f>Inputs!AA129</f>
        <v>13.29848504</v>
      </c>
      <c r="AB58" s="294">
        <f>Inputs!AB129</f>
        <v>7.777809942</v>
      </c>
      <c r="AC58" s="294">
        <f>Inputs!AC129</f>
        <v>3.896342869</v>
      </c>
      <c r="AD58" s="294">
        <f>Inputs!AD129</f>
        <v>7.6557406</v>
      </c>
      <c r="AE58" s="294">
        <f>Inputs!AE129</f>
        <v>17.29689736</v>
      </c>
      <c r="AF58" s="294">
        <f>Inputs!AF129</f>
        <v>18.01740353</v>
      </c>
      <c r="AG58" s="294">
        <f>Inputs!AG129</f>
        <v>6.221320837</v>
      </c>
      <c r="AH58" s="294">
        <f>Inputs!AH129</f>
        <v>7.172326789</v>
      </c>
      <c r="AI58" s="294">
        <f>Inputs!AI129</f>
        <v>8.736607085</v>
      </c>
      <c r="AJ58" s="294">
        <f>Inputs!AJ129</f>
        <v>17.84794665</v>
      </c>
      <c r="AK58" s="294">
        <f>Inputs!AK129</f>
        <v>50.89545208</v>
      </c>
      <c r="AL58" s="294">
        <f>Inputs!AL129</f>
        <v>33.58925374</v>
      </c>
      <c r="AM58" s="294">
        <f>Inputs!AM129</f>
        <v>7.131687658</v>
      </c>
      <c r="AN58" s="294">
        <f>Inputs!AN129</f>
        <v>7.341984829</v>
      </c>
      <c r="AO58" s="294">
        <f>Inputs!AO129</f>
        <v>8.199715917</v>
      </c>
      <c r="AP58" s="294">
        <f>Inputs!AP129</f>
        <v>30.21033403</v>
      </c>
      <c r="AQ58" s="294">
        <f>Inputs!AQ129</f>
        <v>8.185850082</v>
      </c>
      <c r="AR58" s="294">
        <f>Inputs!AR129</f>
        <v>29.86877151</v>
      </c>
      <c r="AS58" s="294">
        <f>Inputs!AS129</f>
        <v>22.7080095</v>
      </c>
      <c r="AT58" s="298"/>
    </row>
    <row r="59">
      <c r="A59" s="80"/>
      <c r="B59" s="81"/>
      <c r="C59" s="206"/>
      <c r="D59" s="206"/>
      <c r="E59" s="140" t="s">
        <v>322</v>
      </c>
      <c r="F59" s="278" t="s">
        <v>111</v>
      </c>
      <c r="G59" s="279" t="s">
        <v>203</v>
      </c>
      <c r="H59" s="280" t="str">
        <f>Inputs!H130</f>
        <v>-</v>
      </c>
      <c r="I59" s="299">
        <f>Inputs!I130</f>
        <v>30.47888663</v>
      </c>
      <c r="J59" s="299">
        <f>Inputs!J130</f>
        <v>10.96428607</v>
      </c>
      <c r="K59" s="299">
        <f>Inputs!K130</f>
        <v>15.56390594</v>
      </c>
      <c r="L59" s="299">
        <f>Inputs!L130</f>
        <v>23.68307774</v>
      </c>
      <c r="M59" s="299">
        <f>Inputs!M130</f>
        <v>43.1227603</v>
      </c>
      <c r="N59" s="299">
        <f>Inputs!N130</f>
        <v>28.61757985</v>
      </c>
      <c r="O59" s="299">
        <f>Inputs!O130</f>
        <v>31.95701187</v>
      </c>
      <c r="P59" s="299">
        <f>Inputs!P130</f>
        <v>54.16983297</v>
      </c>
      <c r="Q59" s="299">
        <f>Inputs!Q130</f>
        <v>23.68680904</v>
      </c>
      <c r="R59" s="299">
        <f>Inputs!R130</f>
        <v>5.79282685</v>
      </c>
      <c r="S59" s="299">
        <f>Inputs!S130</f>
        <v>6.176313845</v>
      </c>
      <c r="T59" s="299">
        <f>Inputs!T130</f>
        <v>2.448145769</v>
      </c>
      <c r="U59" s="299">
        <f>Inputs!U130</f>
        <v>6.455351306</v>
      </c>
      <c r="V59" s="299">
        <f>Inputs!V130</f>
        <v>0.783819609</v>
      </c>
      <c r="W59" s="299">
        <f>Inputs!W130</f>
        <v>14.18173748</v>
      </c>
      <c r="X59" s="299">
        <f>Inputs!X130</f>
        <v>5.691886711</v>
      </c>
      <c r="Y59" s="299">
        <f>Inputs!Y130</f>
        <v>2.364898348</v>
      </c>
      <c r="Z59" s="299">
        <f>Inputs!Z130</f>
        <v>6.378451158</v>
      </c>
      <c r="AA59" s="299">
        <f>Inputs!AA130</f>
        <v>8.035664095</v>
      </c>
      <c r="AB59" s="299">
        <f>Inputs!AB130</f>
        <v>4.553855496</v>
      </c>
      <c r="AC59" s="299">
        <f>Inputs!AC130</f>
        <v>2.490712103</v>
      </c>
      <c r="AD59" s="299">
        <f>Inputs!AD130</f>
        <v>4.105372745</v>
      </c>
      <c r="AE59" s="299">
        <f>Inputs!AE130</f>
        <v>10.69612408</v>
      </c>
      <c r="AF59" s="299">
        <f>Inputs!AF130</f>
        <v>12.47815421</v>
      </c>
      <c r="AG59" s="299">
        <f>Inputs!AG130</f>
        <v>3.585001826</v>
      </c>
      <c r="AH59" s="299">
        <f>Inputs!AH130</f>
        <v>4.086182425</v>
      </c>
      <c r="AI59" s="299">
        <f>Inputs!AI130</f>
        <v>5.425082302</v>
      </c>
      <c r="AJ59" s="299">
        <f>Inputs!AJ130</f>
        <v>10.13230532</v>
      </c>
      <c r="AK59" s="299">
        <f>Inputs!AK130</f>
        <v>24.81793769</v>
      </c>
      <c r="AL59" s="299">
        <f>Inputs!AL130</f>
        <v>18.67628757</v>
      </c>
      <c r="AM59" s="299">
        <f>Inputs!AM130</f>
        <v>4.360320599</v>
      </c>
      <c r="AN59" s="299">
        <f>Inputs!AN130</f>
        <v>4.308711985</v>
      </c>
      <c r="AO59" s="299">
        <f>Inputs!AO130</f>
        <v>5.979455422</v>
      </c>
      <c r="AP59" s="299">
        <f>Inputs!AP130</f>
        <v>17.15657445</v>
      </c>
      <c r="AQ59" s="299">
        <f>Inputs!AQ130</f>
        <v>4.962703781</v>
      </c>
      <c r="AR59" s="299">
        <f>Inputs!AR130</f>
        <v>15.13290745</v>
      </c>
      <c r="AS59" s="299">
        <f>Inputs!AS130</f>
        <v>13.35720932</v>
      </c>
      <c r="AT59" s="297"/>
    </row>
    <row r="60">
      <c r="A60" s="80"/>
      <c r="B60" s="81"/>
      <c r="C60" s="206"/>
      <c r="D60" s="206"/>
      <c r="E60" s="140" t="s">
        <v>327</v>
      </c>
      <c r="F60" s="278" t="s">
        <v>111</v>
      </c>
      <c r="G60" s="279" t="s">
        <v>203</v>
      </c>
      <c r="H60" s="280" t="str">
        <f>Inputs!H131</f>
        <v>-</v>
      </c>
      <c r="I60" s="299">
        <f>Inputs!I131</f>
        <v>13.78822446</v>
      </c>
      <c r="J60" s="299">
        <f>Inputs!J131</f>
        <v>5.840665</v>
      </c>
      <c r="K60" s="299">
        <f>Inputs!K131</f>
        <v>7.862766221</v>
      </c>
      <c r="L60" s="299">
        <f>Inputs!L131</f>
        <v>14.89126409</v>
      </c>
      <c r="M60" s="299">
        <f>Inputs!M131</f>
        <v>25.74459587</v>
      </c>
      <c r="N60" s="299">
        <f>Inputs!N131</f>
        <v>21.06859248</v>
      </c>
      <c r="O60" s="299">
        <f>Inputs!O131</f>
        <v>16.16964646</v>
      </c>
      <c r="P60" s="299">
        <f>Inputs!P131</f>
        <v>36.70287667</v>
      </c>
      <c r="Q60" s="299">
        <f>Inputs!Q131</f>
        <v>20.01437074</v>
      </c>
      <c r="R60" s="299">
        <f>Inputs!R131</f>
        <v>2.612578044</v>
      </c>
      <c r="S60" s="299">
        <f>Inputs!S131</f>
        <v>3.601899175</v>
      </c>
      <c r="T60" s="299">
        <f>Inputs!T131</f>
        <v>1.359625785</v>
      </c>
      <c r="U60" s="299">
        <f>Inputs!U131</f>
        <v>3.257913338</v>
      </c>
      <c r="V60" s="299">
        <f>Inputs!V131</f>
        <v>0.417991705</v>
      </c>
      <c r="W60" s="299">
        <f>Inputs!W131</f>
        <v>7.373690901</v>
      </c>
      <c r="X60" s="299">
        <f>Inputs!X131</f>
        <v>3.112678576</v>
      </c>
      <c r="Y60" s="299">
        <f>Inputs!Y131</f>
        <v>1.319127884</v>
      </c>
      <c r="Z60" s="299">
        <f>Inputs!Z131</f>
        <v>3.834320554</v>
      </c>
      <c r="AA60" s="299">
        <f>Inputs!AA131</f>
        <v>4.02433628</v>
      </c>
      <c r="AB60" s="299">
        <f>Inputs!AB131</f>
        <v>2.453681959</v>
      </c>
      <c r="AC60" s="299">
        <f>Inputs!AC131</f>
        <v>1.071696054</v>
      </c>
      <c r="AD60" s="299">
        <f>Inputs!AD131</f>
        <v>2.942227922</v>
      </c>
      <c r="AE60" s="299">
        <f>Inputs!AE131</f>
        <v>5.088316432</v>
      </c>
      <c r="AF60" s="299">
        <f>Inputs!AF131</f>
        <v>3.924052851</v>
      </c>
      <c r="AG60" s="299">
        <f>Inputs!AG131</f>
        <v>1.948413438</v>
      </c>
      <c r="AH60" s="299">
        <f>Inputs!AH131</f>
        <v>2.546767408</v>
      </c>
      <c r="AI60" s="299">
        <f>Inputs!AI131</f>
        <v>2.84886257</v>
      </c>
      <c r="AJ60" s="299">
        <f>Inputs!AJ131</f>
        <v>5.807692329</v>
      </c>
      <c r="AK60" s="299">
        <f>Inputs!AK131</f>
        <v>18.32742634</v>
      </c>
      <c r="AL60" s="299">
        <f>Inputs!AL131</f>
        <v>12.56677019</v>
      </c>
      <c r="AM60" s="299">
        <f>Inputs!AM131</f>
        <v>2.098506261</v>
      </c>
      <c r="AN60" s="299">
        <f>Inputs!AN131</f>
        <v>2.606632921</v>
      </c>
      <c r="AO60" s="299">
        <f>Inputs!AO131</f>
        <v>1.351413197</v>
      </c>
      <c r="AP60" s="299">
        <f>Inputs!AP131</f>
        <v>10.34257607</v>
      </c>
      <c r="AQ60" s="299">
        <f>Inputs!AQ131</f>
        <v>2.425935606</v>
      </c>
      <c r="AR60" s="299">
        <f>Inputs!AR131</f>
        <v>8.190185532</v>
      </c>
      <c r="AS60" s="299">
        <f>Inputs!AS131</f>
        <v>5.70125199</v>
      </c>
      <c r="AT60" s="297"/>
    </row>
    <row r="61">
      <c r="A61" s="80"/>
      <c r="B61" s="81"/>
      <c r="C61" s="206"/>
      <c r="D61" s="206"/>
      <c r="E61" s="140" t="s">
        <v>335</v>
      </c>
      <c r="F61" s="278" t="s">
        <v>111</v>
      </c>
      <c r="G61" s="279" t="s">
        <v>203</v>
      </c>
      <c r="H61" s="280" t="str">
        <f>Inputs!H132</f>
        <v>-</v>
      </c>
      <c r="I61" s="299">
        <f>Inputs!I132</f>
        <v>47.0020537</v>
      </c>
      <c r="J61" s="299">
        <f>Inputs!J132</f>
        <v>17.97923694</v>
      </c>
      <c r="K61" s="299">
        <f>Inputs!K132</f>
        <v>25.21442306</v>
      </c>
      <c r="L61" s="299">
        <f>Inputs!L132</f>
        <v>41.85500009</v>
      </c>
      <c r="M61" s="299">
        <f>Inputs!M132</f>
        <v>72.7546586</v>
      </c>
      <c r="N61" s="299">
        <f>Inputs!N132</f>
        <v>52.66273079</v>
      </c>
      <c r="O61" s="299">
        <f>Inputs!O132</f>
        <v>51.53625826</v>
      </c>
      <c r="P61" s="299">
        <f>Inputs!P132</f>
        <v>97.51605064</v>
      </c>
      <c r="Q61" s="299">
        <f>Inputs!Q132</f>
        <v>47.90478002</v>
      </c>
      <c r="R61" s="299">
        <f>Inputs!R132</f>
        <v>8.996741352</v>
      </c>
      <c r="S61" s="299">
        <f>Inputs!S132</f>
        <v>10.59827222</v>
      </c>
      <c r="T61" s="299">
        <f>Inputs!T132</f>
        <v>4.015253149</v>
      </c>
      <c r="U61" s="299">
        <f>Inputs!U132</f>
        <v>10.29521031</v>
      </c>
      <c r="V61" s="299">
        <f>Inputs!V132</f>
        <v>1.275822268</v>
      </c>
      <c r="W61" s="299">
        <f>Inputs!W132</f>
        <v>23.03307008</v>
      </c>
      <c r="X61" s="299">
        <f>Inputs!X132</f>
        <v>9.245846069</v>
      </c>
      <c r="Y61" s="299">
        <f>Inputs!Y132</f>
        <v>3.940436997</v>
      </c>
      <c r="Z61" s="299">
        <f>Inputs!Z132</f>
        <v>10.81927196</v>
      </c>
      <c r="AA61" s="299">
        <f>Inputs!AA132</f>
        <v>12.81358162</v>
      </c>
      <c r="AB61" s="299">
        <f>Inputs!AB132</f>
        <v>7.301345555</v>
      </c>
      <c r="AC61" s="299">
        <f>Inputs!AC132</f>
        <v>3.730227381</v>
      </c>
      <c r="AD61" s="299">
        <f>Inputs!AD132</f>
        <v>7.379462363</v>
      </c>
      <c r="AE61" s="299">
        <f>Inputs!AE132</f>
        <v>16.68042733</v>
      </c>
      <c r="AF61" s="299">
        <f>Inputs!AF132</f>
        <v>17.24890252</v>
      </c>
      <c r="AG61" s="299">
        <f>Inputs!AG132</f>
        <v>5.785430233</v>
      </c>
      <c r="AH61" s="299">
        <f>Inputs!AH132</f>
        <v>6.902652745</v>
      </c>
      <c r="AI61" s="299">
        <f>Inputs!AI132</f>
        <v>8.567912872</v>
      </c>
      <c r="AJ61" s="299">
        <f>Inputs!AJ132</f>
        <v>16.80640272</v>
      </c>
      <c r="AK61" s="299">
        <f>Inputs!AK132</f>
        <v>46.13068297</v>
      </c>
      <c r="AL61" s="299">
        <f>Inputs!AL132</f>
        <v>32.48270396</v>
      </c>
      <c r="AM61" s="299">
        <f>Inputs!AM132</f>
        <v>6.704346197</v>
      </c>
      <c r="AN61" s="299">
        <f>Inputs!AN132</f>
        <v>7.148989524</v>
      </c>
      <c r="AO61" s="299">
        <f>Inputs!AO132</f>
        <v>7.661387766</v>
      </c>
      <c r="AP61" s="299">
        <f>Inputs!AP132</f>
        <v>29.16460489</v>
      </c>
      <c r="AQ61" s="299">
        <f>Inputs!AQ132</f>
        <v>7.796745361</v>
      </c>
      <c r="AR61" s="299">
        <f>Inputs!AR132</f>
        <v>25.70426119</v>
      </c>
      <c r="AS61" s="299">
        <f>Inputs!AS132</f>
        <v>20.06678334</v>
      </c>
      <c r="AT61" s="297"/>
    </row>
    <row r="62">
      <c r="A62" s="80"/>
      <c r="B62" s="81"/>
      <c r="C62" s="206"/>
      <c r="D62" s="206"/>
      <c r="E62" s="140" t="s">
        <v>340</v>
      </c>
      <c r="F62" s="278" t="s">
        <v>122</v>
      </c>
      <c r="G62" s="279" t="s">
        <v>149</v>
      </c>
      <c r="H62" s="302" t="s">
        <v>150</v>
      </c>
      <c r="I62" s="303">
        <f t="shared" ref="I62:AS62" si="8">SUM(I59:I60)/I58</f>
        <v>0.8118077523</v>
      </c>
      <c r="J62" s="303">
        <f t="shared" si="8"/>
        <v>0.7774902132</v>
      </c>
      <c r="K62" s="303">
        <f t="shared" si="8"/>
        <v>0.7474034872</v>
      </c>
      <c r="L62" s="303">
        <f t="shared" si="8"/>
        <v>0.8179516938</v>
      </c>
      <c r="M62" s="303">
        <f t="shared" si="8"/>
        <v>0.8070987231</v>
      </c>
      <c r="N62" s="303">
        <f t="shared" si="8"/>
        <v>0.8193122906</v>
      </c>
      <c r="O62" s="303">
        <f t="shared" si="8"/>
        <v>0.8343283881</v>
      </c>
      <c r="P62" s="303">
        <f t="shared" si="8"/>
        <v>0.7989346115</v>
      </c>
      <c r="Q62" s="303">
        <f t="shared" si="8"/>
        <v>0.7654350768</v>
      </c>
      <c r="R62" s="303">
        <f t="shared" si="8"/>
        <v>0.8779069378</v>
      </c>
      <c r="S62" s="303">
        <f t="shared" si="8"/>
        <v>0.8106941581</v>
      </c>
      <c r="T62" s="303">
        <f t="shared" si="8"/>
        <v>0.9129397854</v>
      </c>
      <c r="U62" s="303">
        <f t="shared" si="8"/>
        <v>0.9069082415</v>
      </c>
      <c r="V62" s="303">
        <f t="shared" si="8"/>
        <v>0.8548928363</v>
      </c>
      <c r="W62" s="303">
        <f t="shared" si="8"/>
        <v>0.8919098609</v>
      </c>
      <c r="X62" s="303">
        <f t="shared" si="8"/>
        <v>0.8880997161</v>
      </c>
      <c r="Y62" s="303">
        <f t="shared" si="8"/>
        <v>0.8808950887</v>
      </c>
      <c r="Z62" s="303">
        <f t="shared" si="8"/>
        <v>0.9076736656</v>
      </c>
      <c r="AA62" s="303">
        <f t="shared" si="8"/>
        <v>0.9068702441</v>
      </c>
      <c r="AB62" s="303">
        <f t="shared" si="8"/>
        <v>0.9009653755</v>
      </c>
      <c r="AC62" s="303">
        <f t="shared" si="8"/>
        <v>0.9142953474</v>
      </c>
      <c r="AD62" s="303">
        <f t="shared" si="8"/>
        <v>0.920564193</v>
      </c>
      <c r="AE62" s="303">
        <f t="shared" si="8"/>
        <v>0.9125590667</v>
      </c>
      <c r="AF62" s="303">
        <f t="shared" si="8"/>
        <v>0.9103535387</v>
      </c>
      <c r="AG62" s="303">
        <f t="shared" si="8"/>
        <v>0.8894277291</v>
      </c>
      <c r="AH62" s="303">
        <f t="shared" si="8"/>
        <v>0.9247974929</v>
      </c>
      <c r="AI62" s="303">
        <f t="shared" si="8"/>
        <v>0.9470432619</v>
      </c>
      <c r="AJ62" s="303">
        <f t="shared" si="8"/>
        <v>0.8930998037</v>
      </c>
      <c r="AK62" s="303">
        <f t="shared" si="8"/>
        <v>0.8477253324</v>
      </c>
      <c r="AL62" s="303">
        <f t="shared" si="8"/>
        <v>0.9301503988</v>
      </c>
      <c r="AM62" s="303">
        <f t="shared" si="8"/>
        <v>0.9056519536</v>
      </c>
      <c r="AN62" s="303">
        <f t="shared" si="8"/>
        <v>0.9418903835</v>
      </c>
      <c r="AO62" s="303">
        <f t="shared" si="8"/>
        <v>0.8940393415</v>
      </c>
      <c r="AP62" s="303">
        <f t="shared" si="8"/>
        <v>0.9102564206</v>
      </c>
      <c r="AQ62" s="303">
        <f t="shared" si="8"/>
        <v>0.9026111293</v>
      </c>
      <c r="AR62" s="303">
        <f t="shared" si="8"/>
        <v>0.7808521008</v>
      </c>
      <c r="AS62" s="303">
        <f t="shared" si="8"/>
        <v>0.8392836594</v>
      </c>
      <c r="AT62" s="297"/>
    </row>
    <row r="63">
      <c r="A63" s="80"/>
      <c r="B63" s="81"/>
      <c r="C63" s="206"/>
      <c r="D63" s="206"/>
      <c r="E63" s="140" t="s">
        <v>344</v>
      </c>
      <c r="F63" s="278" t="s">
        <v>122</v>
      </c>
      <c r="G63" s="279" t="s">
        <v>203</v>
      </c>
      <c r="H63" s="305">
        <f>Inputs!H133</f>
        <v>0.1</v>
      </c>
      <c r="I63" s="299" t="str">
        <f>Inputs!I133</f>
        <v>-</v>
      </c>
      <c r="J63" s="299" t="str">
        <f>Inputs!J133</f>
        <v>-</v>
      </c>
      <c r="K63" s="299" t="str">
        <f>Inputs!K133</f>
        <v>-</v>
      </c>
      <c r="L63" s="299" t="str">
        <f>Inputs!L133</f>
        <v>-</v>
      </c>
      <c r="M63" s="299" t="str">
        <f>Inputs!M133</f>
        <v>-</v>
      </c>
      <c r="N63" s="299" t="str">
        <f>Inputs!N133</f>
        <v>-</v>
      </c>
      <c r="O63" s="299" t="str">
        <f>Inputs!O133</f>
        <v>-</v>
      </c>
      <c r="P63" s="299" t="str">
        <f>Inputs!P133</f>
        <v>-</v>
      </c>
      <c r="Q63" s="299" t="str">
        <f>Inputs!Q133</f>
        <v>-</v>
      </c>
      <c r="R63" s="299" t="str">
        <f>Inputs!R133</f>
        <v>-</v>
      </c>
      <c r="S63" s="299" t="str">
        <f>Inputs!S133</f>
        <v>-</v>
      </c>
      <c r="T63" s="299" t="str">
        <f>Inputs!T133</f>
        <v>-</v>
      </c>
      <c r="U63" s="299" t="str">
        <f>Inputs!U133</f>
        <v>-</v>
      </c>
      <c r="V63" s="299" t="str">
        <f>Inputs!V133</f>
        <v>-</v>
      </c>
      <c r="W63" s="299" t="str">
        <f>Inputs!W133</f>
        <v>-</v>
      </c>
      <c r="X63" s="299" t="str">
        <f>Inputs!X133</f>
        <v>-</v>
      </c>
      <c r="Y63" s="299" t="str">
        <f>Inputs!Y133</f>
        <v>-</v>
      </c>
      <c r="Z63" s="299" t="str">
        <f>Inputs!Z133</f>
        <v>-</v>
      </c>
      <c r="AA63" s="299" t="str">
        <f>Inputs!AA133</f>
        <v>-</v>
      </c>
      <c r="AB63" s="299" t="str">
        <f>Inputs!AB133</f>
        <v>-</v>
      </c>
      <c r="AC63" s="299" t="str">
        <f>Inputs!AC133</f>
        <v>-</v>
      </c>
      <c r="AD63" s="299" t="str">
        <f>Inputs!AD133</f>
        <v>-</v>
      </c>
      <c r="AE63" s="299" t="str">
        <f>Inputs!AE133</f>
        <v>-</v>
      </c>
      <c r="AF63" s="299" t="str">
        <f>Inputs!AF133</f>
        <v>-</v>
      </c>
      <c r="AG63" s="299" t="str">
        <f>Inputs!AG133</f>
        <v>-</v>
      </c>
      <c r="AH63" s="299" t="str">
        <f>Inputs!AH133</f>
        <v>-</v>
      </c>
      <c r="AI63" s="299" t="str">
        <f>Inputs!AI133</f>
        <v>-</v>
      </c>
      <c r="AJ63" s="299" t="str">
        <f>Inputs!AJ133</f>
        <v>-</v>
      </c>
      <c r="AK63" s="299" t="str">
        <f>Inputs!AK133</f>
        <v>-</v>
      </c>
      <c r="AL63" s="299" t="str">
        <f>Inputs!AL133</f>
        <v>-</v>
      </c>
      <c r="AM63" s="299" t="str">
        <f>Inputs!AM133</f>
        <v>-</v>
      </c>
      <c r="AN63" s="299" t="str">
        <f>Inputs!AN133</f>
        <v>-</v>
      </c>
      <c r="AO63" s="299" t="str">
        <f>Inputs!AO133</f>
        <v>-</v>
      </c>
      <c r="AP63" s="299" t="str">
        <f>Inputs!AP133</f>
        <v>-</v>
      </c>
      <c r="AQ63" s="299" t="str">
        <f>Inputs!AQ133</f>
        <v>-</v>
      </c>
      <c r="AR63" s="299" t="str">
        <f>Inputs!AR133</f>
        <v>-</v>
      </c>
      <c r="AS63" s="299" t="str">
        <f>Inputs!AS133</f>
        <v>-</v>
      </c>
      <c r="AT63" s="297"/>
    </row>
    <row r="64">
      <c r="A64" s="80"/>
      <c r="B64" s="81"/>
      <c r="C64" s="206"/>
      <c r="D64" s="206"/>
      <c r="E64" s="219" t="s">
        <v>345</v>
      </c>
      <c r="F64" s="339" t="s">
        <v>122</v>
      </c>
      <c r="G64" s="340" t="s">
        <v>149</v>
      </c>
      <c r="H64" s="341" t="s">
        <v>150</v>
      </c>
      <c r="I64" s="342">
        <f t="shared" ref="I64:AS64" si="9">I61/I58</f>
        <v>0.8619634447</v>
      </c>
      <c r="J64" s="342">
        <f t="shared" si="9"/>
        <v>0.8318191884</v>
      </c>
      <c r="K64" s="342">
        <f t="shared" si="9"/>
        <v>0.8044398109</v>
      </c>
      <c r="L64" s="342">
        <f t="shared" si="9"/>
        <v>0.8875165873</v>
      </c>
      <c r="M64" s="342">
        <f t="shared" si="9"/>
        <v>0.852656401</v>
      </c>
      <c r="N64" s="342">
        <f t="shared" si="9"/>
        <v>0.8683949793</v>
      </c>
      <c r="O64" s="342">
        <f t="shared" si="9"/>
        <v>0.8934375412</v>
      </c>
      <c r="P64" s="342">
        <f t="shared" si="9"/>
        <v>0.8573415313</v>
      </c>
      <c r="Q64" s="342">
        <f t="shared" si="9"/>
        <v>0.8390619924</v>
      </c>
      <c r="R64" s="342">
        <f t="shared" si="9"/>
        <v>0.9396693854</v>
      </c>
      <c r="S64" s="342">
        <f t="shared" si="9"/>
        <v>0.8786837999</v>
      </c>
      <c r="T64" s="342">
        <f t="shared" si="9"/>
        <v>0.9626849448</v>
      </c>
      <c r="U64" s="342">
        <f t="shared" si="9"/>
        <v>0.9612433537</v>
      </c>
      <c r="V64" s="342">
        <f t="shared" si="9"/>
        <v>0.9075395651</v>
      </c>
      <c r="W64" s="342">
        <f t="shared" si="9"/>
        <v>0.9530509885</v>
      </c>
      <c r="X64" s="342">
        <f t="shared" si="9"/>
        <v>0.9326108674</v>
      </c>
      <c r="Y64" s="342">
        <f t="shared" si="9"/>
        <v>0.942205994</v>
      </c>
      <c r="Z64" s="342">
        <f t="shared" si="9"/>
        <v>0.9615771814</v>
      </c>
      <c r="AA64" s="342">
        <f t="shared" si="9"/>
        <v>0.9635369429</v>
      </c>
      <c r="AB64" s="342">
        <f t="shared" si="9"/>
        <v>0.9387405464</v>
      </c>
      <c r="AC64" s="342">
        <f t="shared" si="9"/>
        <v>0.9573663064</v>
      </c>
      <c r="AD64" s="342">
        <f t="shared" si="9"/>
        <v>0.9639122782</v>
      </c>
      <c r="AE64" s="342">
        <f t="shared" si="9"/>
        <v>0.9643595025</v>
      </c>
      <c r="AF64" s="342">
        <f t="shared" si="9"/>
        <v>0.9573467393</v>
      </c>
      <c r="AG64" s="342">
        <f t="shared" si="9"/>
        <v>0.9299360031</v>
      </c>
      <c r="AH64" s="342">
        <f t="shared" si="9"/>
        <v>0.9624007589</v>
      </c>
      <c r="AI64" s="342">
        <f t="shared" si="9"/>
        <v>0.9806911068</v>
      </c>
      <c r="AJ64" s="342">
        <f t="shared" si="9"/>
        <v>0.9416434872</v>
      </c>
      <c r="AK64" s="342">
        <f t="shared" si="9"/>
        <v>0.9063812401</v>
      </c>
      <c r="AL64" s="342">
        <f t="shared" si="9"/>
        <v>0.9670564344</v>
      </c>
      <c r="AM64" s="342">
        <f t="shared" si="9"/>
        <v>0.9400784945</v>
      </c>
      <c r="AN64" s="342">
        <f t="shared" si="9"/>
        <v>0.9737134699</v>
      </c>
      <c r="AO64" s="342">
        <f t="shared" si="9"/>
        <v>0.934347951</v>
      </c>
      <c r="AP64" s="342">
        <f t="shared" si="9"/>
        <v>0.965385052</v>
      </c>
      <c r="AQ64" s="342">
        <f t="shared" si="9"/>
        <v>0.9524661804</v>
      </c>
      <c r="AR64" s="342">
        <f t="shared" si="9"/>
        <v>0.8605730967</v>
      </c>
      <c r="AS64" s="342">
        <f t="shared" si="9"/>
        <v>0.8836874646</v>
      </c>
      <c r="AT64" s="343"/>
    </row>
    <row r="65">
      <c r="A65" s="80"/>
      <c r="B65" s="81"/>
      <c r="C65" s="206"/>
      <c r="D65" s="206"/>
      <c r="E65" s="140" t="s">
        <v>348</v>
      </c>
      <c r="F65" s="278" t="s">
        <v>122</v>
      </c>
      <c r="G65" s="279" t="s">
        <v>149</v>
      </c>
      <c r="H65" s="302" t="s">
        <v>150</v>
      </c>
      <c r="I65" s="303">
        <f t="shared" ref="I65:AS65" si="10">MIN(I64,I62*(1+$H63))</f>
        <v>0.8619634447</v>
      </c>
      <c r="J65" s="303">
        <f t="shared" si="10"/>
        <v>0.8318191884</v>
      </c>
      <c r="K65" s="303">
        <f t="shared" si="10"/>
        <v>0.8044398109</v>
      </c>
      <c r="L65" s="303">
        <f t="shared" si="10"/>
        <v>0.8875165873</v>
      </c>
      <c r="M65" s="303">
        <f t="shared" si="10"/>
        <v>0.852656401</v>
      </c>
      <c r="N65" s="303">
        <f t="shared" si="10"/>
        <v>0.8683949793</v>
      </c>
      <c r="O65" s="303">
        <f t="shared" si="10"/>
        <v>0.8934375412</v>
      </c>
      <c r="P65" s="303">
        <f t="shared" si="10"/>
        <v>0.8573415313</v>
      </c>
      <c r="Q65" s="303">
        <f t="shared" si="10"/>
        <v>0.8390619924</v>
      </c>
      <c r="R65" s="303">
        <f t="shared" si="10"/>
        <v>0.9396693854</v>
      </c>
      <c r="S65" s="303">
        <f t="shared" si="10"/>
        <v>0.8786837999</v>
      </c>
      <c r="T65" s="303">
        <f t="shared" si="10"/>
        <v>0.9626849448</v>
      </c>
      <c r="U65" s="303">
        <f t="shared" si="10"/>
        <v>0.9612433537</v>
      </c>
      <c r="V65" s="303">
        <f t="shared" si="10"/>
        <v>0.9075395651</v>
      </c>
      <c r="W65" s="303">
        <f t="shared" si="10"/>
        <v>0.9530509885</v>
      </c>
      <c r="X65" s="303">
        <f t="shared" si="10"/>
        <v>0.9326108674</v>
      </c>
      <c r="Y65" s="303">
        <f t="shared" si="10"/>
        <v>0.942205994</v>
      </c>
      <c r="Z65" s="303">
        <f t="shared" si="10"/>
        <v>0.9615771814</v>
      </c>
      <c r="AA65" s="303">
        <f t="shared" si="10"/>
        <v>0.9635369429</v>
      </c>
      <c r="AB65" s="303">
        <f t="shared" si="10"/>
        <v>0.9387405464</v>
      </c>
      <c r="AC65" s="303">
        <f t="shared" si="10"/>
        <v>0.9573663064</v>
      </c>
      <c r="AD65" s="303">
        <f t="shared" si="10"/>
        <v>0.9639122782</v>
      </c>
      <c r="AE65" s="303">
        <f t="shared" si="10"/>
        <v>0.9643595025</v>
      </c>
      <c r="AF65" s="303">
        <f t="shared" si="10"/>
        <v>0.9573467393</v>
      </c>
      <c r="AG65" s="303">
        <f t="shared" si="10"/>
        <v>0.9299360031</v>
      </c>
      <c r="AH65" s="303">
        <f t="shared" si="10"/>
        <v>0.9624007589</v>
      </c>
      <c r="AI65" s="303">
        <f t="shared" si="10"/>
        <v>0.9806911068</v>
      </c>
      <c r="AJ65" s="303">
        <f t="shared" si="10"/>
        <v>0.9416434872</v>
      </c>
      <c r="AK65" s="303">
        <f t="shared" si="10"/>
        <v>0.9063812401</v>
      </c>
      <c r="AL65" s="303">
        <f t="shared" si="10"/>
        <v>0.9670564344</v>
      </c>
      <c r="AM65" s="303">
        <f t="shared" si="10"/>
        <v>0.9400784945</v>
      </c>
      <c r="AN65" s="303">
        <f t="shared" si="10"/>
        <v>0.9737134699</v>
      </c>
      <c r="AO65" s="303">
        <f t="shared" si="10"/>
        <v>0.934347951</v>
      </c>
      <c r="AP65" s="303">
        <f t="shared" si="10"/>
        <v>0.965385052</v>
      </c>
      <c r="AQ65" s="303">
        <f t="shared" si="10"/>
        <v>0.9524661804</v>
      </c>
      <c r="AR65" s="303">
        <f t="shared" si="10"/>
        <v>0.8589373109</v>
      </c>
      <c r="AS65" s="303">
        <f t="shared" si="10"/>
        <v>0.8836874646</v>
      </c>
      <c r="AT65" s="297"/>
    </row>
    <row r="66">
      <c r="A66" s="80"/>
      <c r="B66" s="81"/>
      <c r="C66" s="206"/>
      <c r="D66" s="206"/>
      <c r="E66" s="224" t="s">
        <v>349</v>
      </c>
      <c r="F66" s="225" t="s">
        <v>122</v>
      </c>
      <c r="G66" s="226" t="s">
        <v>149</v>
      </c>
      <c r="H66" s="259" t="s">
        <v>150</v>
      </c>
      <c r="I66" s="228">
        <f t="shared" ref="I66:AS66" si="11">I52*(1-I65)</f>
        <v>0.00002684728178</v>
      </c>
      <c r="J66" s="228">
        <f t="shared" si="11"/>
        <v>0.00002783106525</v>
      </c>
      <c r="K66" s="228">
        <f t="shared" si="11"/>
        <v>0.00002665524489</v>
      </c>
      <c r="L66" s="228">
        <f t="shared" si="11"/>
        <v>0.00001358799626</v>
      </c>
      <c r="M66" s="228">
        <f t="shared" si="11"/>
        <v>0.00001841986534</v>
      </c>
      <c r="N66" s="228">
        <f t="shared" si="11"/>
        <v>0.00001897060053</v>
      </c>
      <c r="O66" s="228">
        <f t="shared" si="11"/>
        <v>0.00003083906902</v>
      </c>
      <c r="P66" s="228">
        <f t="shared" si="11"/>
        <v>0.00005465431393</v>
      </c>
      <c r="Q66" s="228">
        <f t="shared" si="11"/>
        <v>0.00005733674023</v>
      </c>
      <c r="R66" s="228">
        <f t="shared" si="11"/>
        <v>0.000004168845469</v>
      </c>
      <c r="S66" s="228">
        <f t="shared" si="11"/>
        <v>0.00001302632698</v>
      </c>
      <c r="T66" s="228">
        <f t="shared" si="11"/>
        <v>0.000002597127842</v>
      </c>
      <c r="U66" s="228">
        <f t="shared" si="11"/>
        <v>0.000002197501847</v>
      </c>
      <c r="V66" s="228">
        <f t="shared" si="11"/>
        <v>0.00000599143618</v>
      </c>
      <c r="W66" s="228">
        <f t="shared" si="11"/>
        <v>0.000003746531116</v>
      </c>
      <c r="X66" s="228">
        <f t="shared" si="11"/>
        <v>0.000004016392306</v>
      </c>
      <c r="Y66" s="228">
        <f t="shared" si="11"/>
        <v>0.000003814404396</v>
      </c>
      <c r="Z66" s="228">
        <f t="shared" si="11"/>
        <v>0.000003607902667</v>
      </c>
      <c r="AA66" s="228">
        <f t="shared" si="11"/>
        <v>0.000004665995108</v>
      </c>
      <c r="AB66" s="228">
        <f t="shared" si="11"/>
        <v>0.000004704726034</v>
      </c>
      <c r="AC66" s="228">
        <f t="shared" si="11"/>
        <v>0.000003670761018</v>
      </c>
      <c r="AD66" s="228">
        <f t="shared" si="11"/>
        <v>0.000002190524714</v>
      </c>
      <c r="AE66" s="228">
        <f t="shared" si="11"/>
        <v>0.000003328822466</v>
      </c>
      <c r="AF66" s="228">
        <f t="shared" si="11"/>
        <v>0.000002490950425</v>
      </c>
      <c r="AG66" s="228">
        <f t="shared" si="11"/>
        <v>0.000005212761371</v>
      </c>
      <c r="AH66" s="228">
        <f t="shared" si="11"/>
        <v>0.0000029477805</v>
      </c>
      <c r="AI66" s="228">
        <f t="shared" si="11"/>
        <v>0.000001260870725</v>
      </c>
      <c r="AJ66" s="228">
        <f t="shared" si="11"/>
        <v>0.000005339620921</v>
      </c>
      <c r="AK66" s="228">
        <f t="shared" si="11"/>
        <v>0.00001130090775</v>
      </c>
      <c r="AL66" s="228">
        <f t="shared" si="11"/>
        <v>0.000003208703292</v>
      </c>
      <c r="AM66" s="228">
        <f t="shared" si="11"/>
        <v>0.000004356293448</v>
      </c>
      <c r="AN66" s="228">
        <f t="shared" si="11"/>
        <v>0.000001708624455</v>
      </c>
      <c r="AO66" s="228">
        <f t="shared" si="11"/>
        <v>0.000003400776137</v>
      </c>
      <c r="AP66" s="228">
        <f t="shared" si="11"/>
        <v>0.000002696504448</v>
      </c>
      <c r="AQ66" s="228">
        <f t="shared" si="11"/>
        <v>0.000004035621283</v>
      </c>
      <c r="AR66" s="228">
        <f t="shared" si="11"/>
        <v>0.00001426045043</v>
      </c>
      <c r="AS66" s="228">
        <f t="shared" si="11"/>
        <v>0.00001552679297</v>
      </c>
      <c r="AT66" s="242"/>
    </row>
    <row r="67">
      <c r="A67" s="80"/>
      <c r="B67" s="81"/>
      <c r="C67" s="206"/>
      <c r="D67" s="206"/>
      <c r="E67" s="243"/>
      <c r="F67" s="201"/>
      <c r="G67" s="202"/>
      <c r="H67" s="85"/>
      <c r="I67" s="266"/>
      <c r="J67" s="266"/>
      <c r="K67" s="266"/>
      <c r="L67" s="266"/>
      <c r="M67" s="266"/>
      <c r="N67" s="266"/>
      <c r="O67" s="266"/>
      <c r="P67" s="266"/>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8"/>
    </row>
    <row r="68">
      <c r="A68" s="72" t="s">
        <v>352</v>
      </c>
      <c r="B68" s="14"/>
      <c r="C68" s="14"/>
      <c r="D68" s="14"/>
      <c r="E68" s="14"/>
      <c r="F68" s="14"/>
      <c r="G68" s="14"/>
      <c r="H68" s="73"/>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79"/>
    </row>
    <row r="69">
      <c r="A69" s="80"/>
      <c r="B69" s="81"/>
      <c r="C69" s="126"/>
      <c r="D69" s="126"/>
      <c r="E69" s="243"/>
      <c r="F69" s="201"/>
      <c r="G69" s="202"/>
      <c r="H69" s="85"/>
      <c r="I69" s="135"/>
      <c r="J69" s="135"/>
      <c r="K69" s="135"/>
      <c r="L69" s="135"/>
      <c r="M69" s="135"/>
      <c r="N69" s="135"/>
      <c r="O69" s="135"/>
      <c r="P69" s="135"/>
      <c r="Q69" s="135"/>
      <c r="R69" s="135"/>
      <c r="S69" s="135"/>
      <c r="T69" s="135"/>
      <c r="U69" s="135"/>
      <c r="V69" s="135"/>
      <c r="W69" s="135"/>
      <c r="X69" s="135"/>
      <c r="Y69" s="135"/>
      <c r="Z69" s="135"/>
      <c r="AA69" s="135"/>
      <c r="AB69" s="135"/>
      <c r="AC69" s="135"/>
      <c r="AD69" s="135"/>
      <c r="AE69" s="135"/>
      <c r="AF69" s="135"/>
      <c r="AG69" s="135"/>
      <c r="AH69" s="135"/>
      <c r="AI69" s="135"/>
      <c r="AJ69" s="135"/>
      <c r="AK69" s="135"/>
      <c r="AL69" s="135"/>
      <c r="AM69" s="135"/>
      <c r="AN69" s="135"/>
      <c r="AO69" s="135"/>
      <c r="AP69" s="135"/>
      <c r="AQ69" s="135"/>
      <c r="AR69" s="135"/>
      <c r="AS69" s="135"/>
      <c r="AT69" s="91"/>
    </row>
    <row r="70">
      <c r="A70" s="80"/>
      <c r="B70" s="81"/>
      <c r="C70" s="126" t="s">
        <v>353</v>
      </c>
      <c r="F70" s="201"/>
      <c r="G70" s="202"/>
      <c r="H70" s="85"/>
      <c r="I70" s="135"/>
      <c r="J70" s="135"/>
      <c r="K70" s="135"/>
      <c r="L70" s="135"/>
      <c r="M70" s="135"/>
      <c r="N70" s="135"/>
      <c r="O70" s="135"/>
      <c r="P70" s="135"/>
      <c r="Q70" s="135"/>
      <c r="R70" s="135"/>
      <c r="S70" s="135"/>
      <c r="T70" s="135"/>
      <c r="U70" s="135"/>
      <c r="V70" s="135"/>
      <c r="W70" s="135"/>
      <c r="X70" s="135"/>
      <c r="Y70" s="135"/>
      <c r="Z70" s="135"/>
      <c r="AA70" s="135"/>
      <c r="AB70" s="135"/>
      <c r="AC70" s="135"/>
      <c r="AD70" s="135"/>
      <c r="AE70" s="135"/>
      <c r="AF70" s="135"/>
      <c r="AG70" s="135"/>
      <c r="AH70" s="135"/>
      <c r="AI70" s="135"/>
      <c r="AJ70" s="135"/>
      <c r="AK70" s="135"/>
      <c r="AL70" s="135"/>
      <c r="AM70" s="135"/>
      <c r="AN70" s="135"/>
      <c r="AO70" s="135"/>
      <c r="AP70" s="135"/>
      <c r="AQ70" s="135"/>
      <c r="AR70" s="135"/>
      <c r="AS70" s="135"/>
      <c r="AT70" s="91"/>
    </row>
    <row r="71">
      <c r="A71" s="80"/>
      <c r="B71" s="81"/>
      <c r="C71" s="206"/>
      <c r="D71" s="206"/>
      <c r="E71" s="113" t="s">
        <v>354</v>
      </c>
      <c r="F71" s="207" t="s">
        <v>122</v>
      </c>
      <c r="G71" s="208" t="s">
        <v>203</v>
      </c>
      <c r="H71" s="209" t="str">
        <f>Inputs!H136</f>
        <v>-</v>
      </c>
      <c r="I71" s="210">
        <f>Inputs!I136</f>
        <v>0.023390685</v>
      </c>
      <c r="J71" s="210">
        <f>Inputs!J136</f>
        <v>0.018787823</v>
      </c>
      <c r="K71" s="210">
        <f>Inputs!K136</f>
        <v>0.023068706</v>
      </c>
      <c r="L71" s="210">
        <f>Inputs!L136</f>
        <v>0.01387223</v>
      </c>
      <c r="M71" s="210">
        <f>Inputs!M136</f>
        <v>0.021079399</v>
      </c>
      <c r="N71" s="210">
        <f>Inputs!N136</f>
        <v>0.01695616</v>
      </c>
      <c r="O71" s="210">
        <f>Inputs!O136</f>
        <v>0.018438313</v>
      </c>
      <c r="P71" s="210">
        <f>Inputs!P136</f>
        <v>0.026957948</v>
      </c>
      <c r="Q71" s="210">
        <f>Inputs!Q136</f>
        <v>0.021586078</v>
      </c>
      <c r="R71" s="210">
        <f>Inputs!R136</f>
        <v>0.008631043</v>
      </c>
      <c r="S71" s="210">
        <f>Inputs!S136</f>
        <v>0.017692972</v>
      </c>
      <c r="T71" s="210">
        <f>Inputs!T136</f>
        <v>0.006290583</v>
      </c>
      <c r="U71" s="210">
        <f>Inputs!U136</f>
        <v>0.007369406</v>
      </c>
      <c r="V71" s="210">
        <f>Inputs!V136</f>
        <v>0.00733338</v>
      </c>
      <c r="W71" s="210">
        <f>Inputs!W136</f>
        <v>0.010914292</v>
      </c>
      <c r="X71" s="210">
        <f>Inputs!X136</f>
        <v>0.007233136</v>
      </c>
      <c r="Y71" s="210">
        <f>Inputs!Y136</f>
        <v>0.00653061</v>
      </c>
      <c r="Z71" s="210">
        <f>Inputs!Z136</f>
        <v>0.008807684</v>
      </c>
      <c r="AA71" s="210">
        <f>Inputs!AA136</f>
        <v>0.011309457</v>
      </c>
      <c r="AB71" s="210">
        <f>Inputs!AB136</f>
        <v>0.008648343</v>
      </c>
      <c r="AC71" s="210">
        <f>Inputs!AC136</f>
        <v>0.007752461</v>
      </c>
      <c r="AD71" s="210">
        <f>Inputs!AD136</f>
        <v>0.004975645</v>
      </c>
      <c r="AE71" s="210">
        <f>Inputs!AE136</f>
        <v>0.008219573</v>
      </c>
      <c r="AF71" s="210">
        <f>Inputs!AF136</f>
        <v>0.005635233</v>
      </c>
      <c r="AG71" s="210">
        <f>Inputs!AG136</f>
        <v>0.006925311</v>
      </c>
      <c r="AH71" s="210">
        <f>Inputs!AH136</f>
        <v>0.005374371</v>
      </c>
      <c r="AI71" s="210">
        <f>Inputs!AI136</f>
        <v>0.005648216</v>
      </c>
      <c r="AJ71" s="210">
        <f>Inputs!AJ136</f>
        <v>0.009993866</v>
      </c>
      <c r="AK71" s="210">
        <f>Inputs!AK136</f>
        <v>0.012652618</v>
      </c>
      <c r="AL71" s="210">
        <f>Inputs!AL136</f>
        <v>0.007272124</v>
      </c>
      <c r="AM71" s="210">
        <f>Inputs!AM136</f>
        <v>0.00799731</v>
      </c>
      <c r="AN71" s="210">
        <f>Inputs!AN136</f>
        <v>0.004606194</v>
      </c>
      <c r="AO71" s="210">
        <f>Inputs!AO136</f>
        <v>0.004597797</v>
      </c>
      <c r="AP71" s="210">
        <f>Inputs!AP136</f>
        <v>0.008021461</v>
      </c>
      <c r="AQ71" s="210">
        <f>Inputs!AQ136</f>
        <v>0.00814551</v>
      </c>
      <c r="AR71" s="210">
        <f>Inputs!AR136</f>
        <v>0.018515733</v>
      </c>
      <c r="AS71" s="210">
        <f>Inputs!AS136</f>
        <v>0.013456401</v>
      </c>
      <c r="AT71" s="212"/>
    </row>
    <row r="72">
      <c r="A72" s="80"/>
      <c r="B72" s="81"/>
      <c r="C72" s="206"/>
      <c r="D72" s="206"/>
      <c r="E72" s="113" t="s">
        <v>358</v>
      </c>
      <c r="F72" s="207" t="s">
        <v>122</v>
      </c>
      <c r="G72" s="208" t="s">
        <v>203</v>
      </c>
      <c r="H72" s="209" t="str">
        <f>Inputs!H137</f>
        <v>-</v>
      </c>
      <c r="I72" s="210">
        <f>Inputs!I137</f>
        <v>0.001298445</v>
      </c>
      <c r="J72" s="210">
        <f>Inputs!J137</f>
        <v>0.001136902</v>
      </c>
      <c r="K72" s="210">
        <f>Inputs!K137</f>
        <v>0.001358999</v>
      </c>
      <c r="L72" s="210">
        <f>Inputs!L137</f>
        <v>0.000848418</v>
      </c>
      <c r="M72" s="210">
        <f>Inputs!M137</f>
        <v>0.001325756</v>
      </c>
      <c r="N72" s="210">
        <f>Inputs!N137</f>
        <v>0.001052452</v>
      </c>
      <c r="O72" s="210">
        <f>Inputs!O137</f>
        <v>0.001083798</v>
      </c>
      <c r="P72" s="210">
        <f>Inputs!P137</f>
        <v>0.001487164</v>
      </c>
      <c r="Q72" s="210">
        <f>Inputs!Q137</f>
        <v>0.001579396</v>
      </c>
      <c r="R72" s="210">
        <f>Inputs!R137</f>
        <v>0.00054279</v>
      </c>
      <c r="S72" s="210">
        <f>Inputs!S137</f>
        <v>0.001159606</v>
      </c>
      <c r="T72" s="210">
        <f>Inputs!T137</f>
        <v>0.000438313</v>
      </c>
      <c r="U72" s="210">
        <f>Inputs!U137</f>
        <v>0.000477036</v>
      </c>
      <c r="V72" s="210">
        <f>Inputs!V137</f>
        <v>0.000461053</v>
      </c>
      <c r="W72" s="210">
        <f>Inputs!W137</f>
        <v>0.000839495</v>
      </c>
      <c r="X72" s="210">
        <f>Inputs!X137</f>
        <v>0.000604129</v>
      </c>
      <c r="Y72" s="210">
        <f>Inputs!Y137</f>
        <v>0.000721752</v>
      </c>
      <c r="Z72" s="210">
        <f>Inputs!Z137</f>
        <v>0.000601201</v>
      </c>
      <c r="AA72" s="210">
        <f>Inputs!AA137</f>
        <v>0.000818631</v>
      </c>
      <c r="AB72" s="210">
        <f>Inputs!AB137</f>
        <v>0.000492514</v>
      </c>
      <c r="AC72" s="210">
        <f>Inputs!AC137</f>
        <v>0.000465323</v>
      </c>
      <c r="AD72" s="210">
        <f>Inputs!AD137</f>
        <v>0.000394427</v>
      </c>
      <c r="AE72" s="210">
        <f>Inputs!AE137</f>
        <v>0.00060762</v>
      </c>
      <c r="AF72" s="210">
        <f>Inputs!AF137</f>
        <v>0.00042438</v>
      </c>
      <c r="AG72" s="210">
        <f>Inputs!AG137</f>
        <v>0.000443956</v>
      </c>
      <c r="AH72" s="210">
        <f>Inputs!AH137</f>
        <v>0.000388867</v>
      </c>
      <c r="AI72" s="210">
        <f>Inputs!AI137</f>
        <v>0.000420064</v>
      </c>
      <c r="AJ72" s="210">
        <f>Inputs!AJ137</f>
        <v>0.000753327</v>
      </c>
      <c r="AK72" s="210">
        <f>Inputs!AK137</f>
        <v>0.000857672</v>
      </c>
      <c r="AL72" s="210">
        <f>Inputs!AL137</f>
        <v>0.000502423</v>
      </c>
      <c r="AM72" s="210">
        <f>Inputs!AM137</f>
        <v>0.000580734</v>
      </c>
      <c r="AN72" s="210">
        <f>Inputs!AN137</f>
        <v>0.000303436</v>
      </c>
      <c r="AO72" s="210">
        <f>Inputs!AO137</f>
        <v>0.000294241</v>
      </c>
      <c r="AP72" s="210">
        <f>Inputs!AP137</f>
        <v>0.00068802</v>
      </c>
      <c r="AQ72" s="210">
        <f>Inputs!AQ137</f>
        <v>0.000523182</v>
      </c>
      <c r="AR72" s="210">
        <f>Inputs!AR137</f>
        <v>0.001213507</v>
      </c>
      <c r="AS72" s="210">
        <f>Inputs!AS137</f>
        <v>0.000921898</v>
      </c>
      <c r="AT72" s="212"/>
    </row>
    <row r="73">
      <c r="A73" s="80"/>
      <c r="B73" s="81"/>
      <c r="C73" s="206"/>
      <c r="D73" s="206"/>
      <c r="E73" s="113" t="s">
        <v>362</v>
      </c>
      <c r="F73" s="207" t="s">
        <v>122</v>
      </c>
      <c r="G73" s="208" t="s">
        <v>203</v>
      </c>
      <c r="H73" s="209" t="str">
        <f>Inputs!H138</f>
        <v>-</v>
      </c>
      <c r="I73" s="210">
        <f>Inputs!I138</f>
        <v>0.002586005</v>
      </c>
      <c r="J73" s="210">
        <f>Inputs!J138</f>
        <v>0.00203186</v>
      </c>
      <c r="K73" s="210">
        <f>Inputs!K138</f>
        <v>0.003081885</v>
      </c>
      <c r="L73" s="210">
        <f>Inputs!L138</f>
        <v>0.002004393</v>
      </c>
      <c r="M73" s="210">
        <f>Inputs!M138</f>
        <v>0.002148469</v>
      </c>
      <c r="N73" s="210">
        <f>Inputs!N138</f>
        <v>0.002520287</v>
      </c>
      <c r="O73" s="210">
        <f>Inputs!O138</f>
        <v>0.002528167</v>
      </c>
      <c r="P73" s="210">
        <f>Inputs!P138</f>
        <v>0.003306589</v>
      </c>
      <c r="Q73" s="210">
        <f>Inputs!Q138</f>
        <v>0.002961165</v>
      </c>
      <c r="R73" s="210">
        <f>Inputs!R138</f>
        <v>0.001764135</v>
      </c>
      <c r="S73" s="210">
        <f>Inputs!S138</f>
        <v>0.002444501</v>
      </c>
      <c r="T73" s="210">
        <f>Inputs!T138</f>
        <v>0.001880042</v>
      </c>
      <c r="U73" s="210">
        <f>Inputs!U138</f>
        <v>0.001957972</v>
      </c>
      <c r="V73" s="210">
        <f>Inputs!V138</f>
        <v>0.002082136</v>
      </c>
      <c r="W73" s="210">
        <f>Inputs!W138</f>
        <v>0.002509839</v>
      </c>
      <c r="X73" s="210">
        <f>Inputs!X138</f>
        <v>0.00181658</v>
      </c>
      <c r="Y73" s="210">
        <f>Inputs!Y138</f>
        <v>0.003680809</v>
      </c>
      <c r="Z73" s="210">
        <f>Inputs!Z138</f>
        <v>0.00207159</v>
      </c>
      <c r="AA73" s="210">
        <f>Inputs!AA138</f>
        <v>0.002309895</v>
      </c>
      <c r="AB73" s="210">
        <f>Inputs!AB138</f>
        <v>0.002007432</v>
      </c>
      <c r="AC73" s="210">
        <f>Inputs!AC138</f>
        <v>0.001824262</v>
      </c>
      <c r="AD73" s="210">
        <f>Inputs!AD138</f>
        <v>0.00182818</v>
      </c>
      <c r="AE73" s="210">
        <f>Inputs!AE138</f>
        <v>0.001742828</v>
      </c>
      <c r="AF73" s="210">
        <f>Inputs!AF138</f>
        <v>0.001739745</v>
      </c>
      <c r="AG73" s="210">
        <f>Inputs!AG138</f>
        <v>0.001960957</v>
      </c>
      <c r="AH73" s="210">
        <f>Inputs!AH138</f>
        <v>0.002123181</v>
      </c>
      <c r="AI73" s="210">
        <f>Inputs!AI138</f>
        <v>0.001496856</v>
      </c>
      <c r="AJ73" s="210">
        <f>Inputs!AJ138</f>
        <v>0.002433635</v>
      </c>
      <c r="AK73" s="210">
        <f>Inputs!AK138</f>
        <v>0.002520823</v>
      </c>
      <c r="AL73" s="210">
        <f>Inputs!AL138</f>
        <v>0.002077252</v>
      </c>
      <c r="AM73" s="210">
        <f>Inputs!AM138</f>
        <v>0.001965618</v>
      </c>
      <c r="AN73" s="210">
        <f>Inputs!AN138</f>
        <v>0.001386363</v>
      </c>
      <c r="AO73" s="210">
        <f>Inputs!AO138</f>
        <v>0.001585732</v>
      </c>
      <c r="AP73" s="210">
        <f>Inputs!AP138</f>
        <v>0.002490513</v>
      </c>
      <c r="AQ73" s="210">
        <f>Inputs!AQ138</f>
        <v>0.00194264</v>
      </c>
      <c r="AR73" s="210">
        <f>Inputs!AR138</f>
        <v>0.002746134</v>
      </c>
      <c r="AS73" s="210">
        <f>Inputs!AS138</f>
        <v>0.002595537</v>
      </c>
      <c r="AT73" s="212"/>
    </row>
    <row r="74">
      <c r="A74" s="80"/>
      <c r="B74" s="81"/>
      <c r="C74" s="206"/>
      <c r="D74" s="206"/>
      <c r="E74" s="224" t="s">
        <v>366</v>
      </c>
      <c r="F74" s="225" t="s">
        <v>122</v>
      </c>
      <c r="G74" s="226" t="s">
        <v>203</v>
      </c>
      <c r="H74" s="227" t="str">
        <f>Inputs!H139</f>
        <v>-</v>
      </c>
      <c r="I74" s="228">
        <f>Inputs!I139</f>
        <v>0.023849512</v>
      </c>
      <c r="J74" s="228">
        <f>Inputs!J139</f>
        <v>0.02352892</v>
      </c>
      <c r="K74" s="228">
        <f>Inputs!K139</f>
        <v>0.024494371</v>
      </c>
      <c r="L74" s="228">
        <f>Inputs!L139</f>
        <v>0.016803436</v>
      </c>
      <c r="M74" s="228">
        <f>Inputs!M139</f>
        <v>0.018501934</v>
      </c>
      <c r="N74" s="228">
        <f>Inputs!N139</f>
        <v>0.02109105</v>
      </c>
      <c r="O74" s="228">
        <f>Inputs!O139</f>
        <v>0.025109776</v>
      </c>
      <c r="P74" s="228">
        <f>Inputs!P139</f>
        <v>0.024150318</v>
      </c>
      <c r="Q74" s="228">
        <f>Inputs!Q139</f>
        <v>0.029711508</v>
      </c>
      <c r="R74" s="228">
        <f>Inputs!R139</f>
        <v>0.015782545</v>
      </c>
      <c r="S74" s="228">
        <f>Inputs!S139</f>
        <v>0.023351116</v>
      </c>
      <c r="T74" s="228">
        <f>Inputs!T139</f>
        <v>0.017447023</v>
      </c>
      <c r="U74" s="228">
        <f>Inputs!U139</f>
        <v>0.016405116</v>
      </c>
      <c r="V74" s="228">
        <f>Inputs!V139</f>
        <v>0.019350304</v>
      </c>
      <c r="W74" s="228">
        <f>Inputs!W139</f>
        <v>0.021737143</v>
      </c>
      <c r="X74" s="228">
        <f>Inputs!X139</f>
        <v>0.019471301</v>
      </c>
      <c r="Y74" s="228">
        <f>Inputs!Y139</f>
        <v>0.032955525</v>
      </c>
      <c r="Z74" s="228">
        <f>Inputs!Z139</f>
        <v>0.015790436</v>
      </c>
      <c r="AA74" s="228">
        <f>Inputs!AA139</f>
        <v>0.019875108</v>
      </c>
      <c r="AB74" s="228">
        <f>Inputs!AB139</f>
        <v>0.014327169</v>
      </c>
      <c r="AC74" s="228">
        <f>Inputs!AC139</f>
        <v>0.015967831</v>
      </c>
      <c r="AD74" s="228">
        <f>Inputs!AD139</f>
        <v>0.017175346</v>
      </c>
      <c r="AE74" s="228">
        <f>Inputs!AE139</f>
        <v>0.011371433</v>
      </c>
      <c r="AF74" s="228">
        <f>Inputs!AF139</f>
        <v>0.014655234</v>
      </c>
      <c r="AG74" s="228">
        <f>Inputs!AG139</f>
        <v>0.019361124</v>
      </c>
      <c r="AH74" s="228">
        <f>Inputs!AH139</f>
        <v>0.016970364</v>
      </c>
      <c r="AI74" s="228">
        <f>Inputs!AI139</f>
        <v>0.011549145</v>
      </c>
      <c r="AJ74" s="228">
        <f>Inputs!AJ139</f>
        <v>0.015653005</v>
      </c>
      <c r="AK74" s="228">
        <f>Inputs!AK139</f>
        <v>0.020421233</v>
      </c>
      <c r="AL74" s="228">
        <f>Inputs!AL139</f>
        <v>0.018129064</v>
      </c>
      <c r="AM74" s="228">
        <f>Inputs!AM139</f>
        <v>0.018137271</v>
      </c>
      <c r="AN74" s="228">
        <f>Inputs!AN139</f>
        <v>0.014733298</v>
      </c>
      <c r="AO74" s="228">
        <f>Inputs!AO139</f>
        <v>0.014182152</v>
      </c>
      <c r="AP74" s="228">
        <f>Inputs!AP139</f>
        <v>0.015807042</v>
      </c>
      <c r="AQ74" s="228">
        <f>Inputs!AQ139</f>
        <v>0.015695869</v>
      </c>
      <c r="AR74" s="228">
        <f>Inputs!AR139</f>
        <v>0.017242094</v>
      </c>
      <c r="AS74" s="228">
        <f>Inputs!AS139</f>
        <v>0.022438887</v>
      </c>
      <c r="AT74" s="242"/>
    </row>
    <row r="75">
      <c r="A75" s="80"/>
      <c r="B75" s="81"/>
      <c r="C75" s="126"/>
      <c r="D75" s="126"/>
      <c r="E75" s="243"/>
      <c r="F75" s="201"/>
      <c r="G75" s="202"/>
      <c r="H75" s="85"/>
      <c r="I75" s="135"/>
      <c r="J75" s="135"/>
      <c r="K75" s="135"/>
      <c r="L75" s="135"/>
      <c r="M75" s="135"/>
      <c r="N75" s="135"/>
      <c r="O75" s="135"/>
      <c r="P75" s="135"/>
      <c r="Q75" s="135"/>
      <c r="R75" s="135"/>
      <c r="S75" s="135"/>
      <c r="T75" s="135"/>
      <c r="U75" s="135"/>
      <c r="V75" s="135"/>
      <c r="W75" s="135"/>
      <c r="X75" s="135"/>
      <c r="Y75" s="135"/>
      <c r="Z75" s="135"/>
      <c r="AA75" s="135"/>
      <c r="AB75" s="135"/>
      <c r="AC75" s="135"/>
      <c r="AD75" s="135"/>
      <c r="AE75" s="135"/>
      <c r="AF75" s="135"/>
      <c r="AG75" s="135"/>
      <c r="AH75" s="135"/>
      <c r="AI75" s="135"/>
      <c r="AJ75" s="135"/>
      <c r="AK75" s="135"/>
      <c r="AL75" s="135"/>
      <c r="AM75" s="135"/>
      <c r="AN75" s="135"/>
      <c r="AO75" s="135"/>
      <c r="AP75" s="135"/>
      <c r="AQ75" s="135"/>
      <c r="AR75" s="135"/>
      <c r="AS75" s="135"/>
      <c r="AT75" s="91"/>
    </row>
    <row r="76">
      <c r="A76" s="80"/>
      <c r="B76" s="81"/>
      <c r="C76" s="126" t="s">
        <v>370</v>
      </c>
      <c r="F76" s="201"/>
      <c r="G76" s="202"/>
      <c r="H76" s="85"/>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5"/>
      <c r="AK76" s="135"/>
      <c r="AL76" s="135"/>
      <c r="AM76" s="135"/>
      <c r="AN76" s="135"/>
      <c r="AO76" s="135"/>
      <c r="AP76" s="135"/>
      <c r="AQ76" s="135"/>
      <c r="AR76" s="135"/>
      <c r="AS76" s="135"/>
      <c r="AT76" s="91"/>
    </row>
    <row r="77">
      <c r="A77" s="80"/>
      <c r="B77" s="81"/>
      <c r="C77" s="206"/>
      <c r="D77" s="206"/>
      <c r="E77" s="113" t="s">
        <v>371</v>
      </c>
      <c r="F77" s="207" t="s">
        <v>111</v>
      </c>
      <c r="G77" s="208" t="s">
        <v>203</v>
      </c>
      <c r="H77" s="209" t="str">
        <f>Inputs!H140</f>
        <v>-</v>
      </c>
      <c r="I77" s="294">
        <f>Inputs!I140</f>
        <v>6666.160437</v>
      </c>
      <c r="J77" s="294">
        <f>Inputs!J140</f>
        <v>2486.36786</v>
      </c>
      <c r="K77" s="294">
        <f>Inputs!K140</f>
        <v>5391.465326</v>
      </c>
      <c r="L77" s="294">
        <f>Inputs!L140</f>
        <v>5468.270934</v>
      </c>
      <c r="M77" s="294">
        <f>Inputs!M140</f>
        <v>14601.87847</v>
      </c>
      <c r="N77" s="294">
        <f>Inputs!N140</f>
        <v>7218.508224</v>
      </c>
      <c r="O77" s="294">
        <f>Inputs!O140</f>
        <v>3722.428607</v>
      </c>
      <c r="P77" s="294">
        <f>Inputs!P140</f>
        <v>8155.291135</v>
      </c>
      <c r="Q77" s="294">
        <f>Inputs!Q140</f>
        <v>3511.465494</v>
      </c>
      <c r="R77" s="294">
        <f>Inputs!R140</f>
        <v>1202.92937</v>
      </c>
      <c r="S77" s="294">
        <f>Inputs!S140</f>
        <v>2012.237586</v>
      </c>
      <c r="T77" s="294">
        <f>Inputs!T140</f>
        <v>378.814408</v>
      </c>
      <c r="U77" s="294">
        <f>Inputs!U140</f>
        <v>1398.002058</v>
      </c>
      <c r="V77" s="294">
        <f>Inputs!V140</f>
        <v>159.7895022</v>
      </c>
      <c r="W77" s="294">
        <f>Inputs!W140</f>
        <v>3330.832438</v>
      </c>
      <c r="X77" s="294">
        <f>Inputs!X140</f>
        <v>1209.228038</v>
      </c>
      <c r="Y77" s="294">
        <f>Inputs!Y140</f>
        <v>415.8901035</v>
      </c>
      <c r="Z77" s="294">
        <f>Inputs!Z140</f>
        <v>1061.768764</v>
      </c>
      <c r="AA77" s="294">
        <f>Inputs!AA140</f>
        <v>1184.586367</v>
      </c>
      <c r="AB77" s="294">
        <f>Inputs!AB140</f>
        <v>881.118419</v>
      </c>
      <c r="AC77" s="294">
        <f>Inputs!AC140</f>
        <v>352.8307972</v>
      </c>
      <c r="AD77" s="294">
        <f>Inputs!AD140</f>
        <v>629.688544</v>
      </c>
      <c r="AE77" s="294">
        <f>Inputs!AE140</f>
        <v>1531.147811</v>
      </c>
      <c r="AF77" s="294">
        <f>Inputs!AF140</f>
        <v>1744.136024</v>
      </c>
      <c r="AG77" s="294">
        <f>Inputs!AG140</f>
        <v>582.2050582</v>
      </c>
      <c r="AH77" s="294">
        <f>Inputs!AH140</f>
        <v>493.7507516</v>
      </c>
      <c r="AI77" s="294">
        <f>Inputs!AI140</f>
        <v>758.7766907</v>
      </c>
      <c r="AJ77" s="294">
        <f>Inputs!AJ140</f>
        <v>1963.50028</v>
      </c>
      <c r="AK77" s="294">
        <f>Inputs!AK140</f>
        <v>5381.905875</v>
      </c>
      <c r="AL77" s="294">
        <f>Inputs!AL140</f>
        <v>2519.607052</v>
      </c>
      <c r="AM77" s="294">
        <f>Inputs!AM140</f>
        <v>788.5256111</v>
      </c>
      <c r="AN77" s="294">
        <f>Inputs!AN140</f>
        <v>522.2441219</v>
      </c>
      <c r="AO77" s="294">
        <f>Inputs!AO140</f>
        <v>730.3035654</v>
      </c>
      <c r="AP77" s="294">
        <f>Inputs!AP140</f>
        <v>3126.259236</v>
      </c>
      <c r="AQ77" s="294">
        <f>Inputs!AQ140</f>
        <v>789.6435423</v>
      </c>
      <c r="AR77" s="294">
        <f>Inputs!AR140</f>
        <v>5542.047624</v>
      </c>
      <c r="AS77" s="294">
        <f>Inputs!AS140</f>
        <v>2310.592523</v>
      </c>
      <c r="AT77" s="298"/>
    </row>
    <row r="78">
      <c r="A78" s="80"/>
      <c r="B78" s="81"/>
      <c r="C78" s="206"/>
      <c r="D78" s="206"/>
      <c r="E78" s="140" t="s">
        <v>377</v>
      </c>
      <c r="F78" s="278" t="s">
        <v>111</v>
      </c>
      <c r="G78" s="279" t="s">
        <v>203</v>
      </c>
      <c r="H78" s="280" t="str">
        <f>Inputs!H141</f>
        <v>-</v>
      </c>
      <c r="I78" s="299">
        <f>Inputs!I141</f>
        <v>1061.467461</v>
      </c>
      <c r="J78" s="299">
        <f>Inputs!J141</f>
        <v>381.0681328</v>
      </c>
      <c r="K78" s="299">
        <f>Inputs!K141</f>
        <v>750.413681</v>
      </c>
      <c r="L78" s="299">
        <f>Inputs!L141</f>
        <v>981.2133565</v>
      </c>
      <c r="M78" s="299">
        <f>Inputs!M141</f>
        <v>2779.112992</v>
      </c>
      <c r="N78" s="299">
        <f>Inputs!N141</f>
        <v>1075.561854</v>
      </c>
      <c r="O78" s="299">
        <f>Inputs!O141</f>
        <v>697.047277</v>
      </c>
      <c r="P78" s="299">
        <f>Inputs!P141</f>
        <v>1055.148578</v>
      </c>
      <c r="Q78" s="299">
        <f>Inputs!Q141</f>
        <v>335.622534</v>
      </c>
      <c r="R78" s="299">
        <f>Inputs!R141</f>
        <v>273.658547</v>
      </c>
      <c r="S78" s="299">
        <f>Inputs!S141</f>
        <v>319.0969645</v>
      </c>
      <c r="T78" s="299">
        <f>Inputs!T141</f>
        <v>99.18373242</v>
      </c>
      <c r="U78" s="299">
        <f>Inputs!U141</f>
        <v>357.6860169</v>
      </c>
      <c r="V78" s="299">
        <f>Inputs!V141</f>
        <v>33.50491455</v>
      </c>
      <c r="W78" s="299">
        <f>Inputs!W141</f>
        <v>886.0005902</v>
      </c>
      <c r="X78" s="299">
        <f>Inputs!X141</f>
        <v>300.3458283</v>
      </c>
      <c r="Y78" s="299">
        <f>Inputs!Y141</f>
        <v>89.35648229</v>
      </c>
      <c r="Z78" s="299">
        <f>Inputs!Z141</f>
        <v>272.6754375</v>
      </c>
      <c r="AA78" s="299">
        <f>Inputs!AA141</f>
        <v>318.3975475</v>
      </c>
      <c r="AB78" s="299">
        <f>Inputs!AB141</f>
        <v>195.6446153</v>
      </c>
      <c r="AC78" s="299">
        <f>Inputs!AC141</f>
        <v>113.2588923</v>
      </c>
      <c r="AD78" s="299">
        <f>Inputs!AD141</f>
        <v>160.875714</v>
      </c>
      <c r="AE78" s="299">
        <f>Inputs!AE141</f>
        <v>465.8300061</v>
      </c>
      <c r="AF78" s="299">
        <f>Inputs!AF141</f>
        <v>588.8475439</v>
      </c>
      <c r="AG78" s="299">
        <f>Inputs!AG141</f>
        <v>162.1212496</v>
      </c>
      <c r="AH78" s="299">
        <f>Inputs!AH141</f>
        <v>143.4555733</v>
      </c>
      <c r="AI78" s="299">
        <f>Inputs!AI141</f>
        <v>307.9391204</v>
      </c>
      <c r="AJ78" s="299">
        <f>Inputs!AJ141</f>
        <v>498.6291859</v>
      </c>
      <c r="AK78" s="299">
        <f>Inputs!AK141</f>
        <v>960.6172552</v>
      </c>
      <c r="AL78" s="299">
        <f>Inputs!AL141</f>
        <v>703.5287218</v>
      </c>
      <c r="AM78" s="299">
        <f>Inputs!AM141</f>
        <v>215.1188228</v>
      </c>
      <c r="AN78" s="299">
        <f>Inputs!AN141</f>
        <v>185.6929629</v>
      </c>
      <c r="AO78" s="299">
        <f>Inputs!AO141</f>
        <v>254.4659791</v>
      </c>
      <c r="AP78" s="299">
        <f>Inputs!AP141</f>
        <v>803.0921082</v>
      </c>
      <c r="AQ78" s="299">
        <f>Inputs!AQ141</f>
        <v>215.7573264</v>
      </c>
      <c r="AR78" s="299">
        <f>Inputs!AR141</f>
        <v>833.7026331</v>
      </c>
      <c r="AS78" s="299">
        <f>Inputs!AS141</f>
        <v>517.0937589</v>
      </c>
      <c r="AT78" s="297"/>
    </row>
    <row r="79">
      <c r="A79" s="80"/>
      <c r="B79" s="81"/>
      <c r="C79" s="206"/>
      <c r="D79" s="206"/>
      <c r="E79" s="140" t="s">
        <v>381</v>
      </c>
      <c r="F79" s="278" t="s">
        <v>111</v>
      </c>
      <c r="G79" s="279" t="s">
        <v>203</v>
      </c>
      <c r="H79" s="280" t="str">
        <f>Inputs!H142</f>
        <v>-</v>
      </c>
      <c r="I79" s="299">
        <f>Inputs!I142</f>
        <v>404.6041757</v>
      </c>
      <c r="J79" s="299">
        <f>Inputs!J142</f>
        <v>172.4965171</v>
      </c>
      <c r="K79" s="299">
        <f>Inputs!K142</f>
        <v>322.7686116</v>
      </c>
      <c r="L79" s="299">
        <f>Inputs!L142</f>
        <v>560.4574101</v>
      </c>
      <c r="M79" s="299">
        <f>Inputs!M142</f>
        <v>1432.33014</v>
      </c>
      <c r="N79" s="299">
        <f>Inputs!N142</f>
        <v>842.4771043</v>
      </c>
      <c r="O79" s="299">
        <f>Inputs!O142</f>
        <v>317.3714496</v>
      </c>
      <c r="P79" s="299">
        <f>Inputs!P142</f>
        <v>756.141429</v>
      </c>
      <c r="Q79" s="299">
        <f>Inputs!Q142</f>
        <v>290.4911702</v>
      </c>
      <c r="R79" s="299">
        <f>Inputs!R142</f>
        <v>95.28330604</v>
      </c>
      <c r="S79" s="299">
        <f>Inputs!S142</f>
        <v>157.2835257</v>
      </c>
      <c r="T79" s="299">
        <f>Inputs!T142</f>
        <v>45.35458905</v>
      </c>
      <c r="U79" s="299">
        <f>Inputs!U142</f>
        <v>150.8925561</v>
      </c>
      <c r="V79" s="299">
        <f>Inputs!V142</f>
        <v>14.62465335</v>
      </c>
      <c r="W79" s="299">
        <f>Inputs!W142</f>
        <v>380.1906619</v>
      </c>
      <c r="X79" s="299">
        <f>Inputs!X142</f>
        <v>147.7294825</v>
      </c>
      <c r="Y79" s="299">
        <f>Inputs!Y142</f>
        <v>42.64310619</v>
      </c>
      <c r="Z79" s="299">
        <f>Inputs!Z142</f>
        <v>144.0685462</v>
      </c>
      <c r="AA79" s="299">
        <f>Inputs!AA142</f>
        <v>132.6954545</v>
      </c>
      <c r="AB79" s="299">
        <f>Inputs!AB142</f>
        <v>90.30950381</v>
      </c>
      <c r="AC79" s="299">
        <f>Inputs!AC142</f>
        <v>36.88682191</v>
      </c>
      <c r="AD79" s="299">
        <f>Inputs!AD142</f>
        <v>110.7200888</v>
      </c>
      <c r="AE79" s="299">
        <f>Inputs!AE142</f>
        <v>160.3809941</v>
      </c>
      <c r="AF79" s="299">
        <f>Inputs!AF142</f>
        <v>133.3791064</v>
      </c>
      <c r="AG79" s="299">
        <f>Inputs!AG142</f>
        <v>67.57942849</v>
      </c>
      <c r="AH79" s="299">
        <f>Inputs!AH142</f>
        <v>85.92015055</v>
      </c>
      <c r="AI79" s="299">
        <f>Inputs!AI142</f>
        <v>119.6056327</v>
      </c>
      <c r="AJ79" s="299">
        <f>Inputs!AJ142</f>
        <v>245.6423763</v>
      </c>
      <c r="AK79" s="299">
        <f>Inputs!AK142</f>
        <v>692.8217128</v>
      </c>
      <c r="AL79" s="299">
        <f>Inputs!AL142</f>
        <v>453.9959429</v>
      </c>
      <c r="AM79" s="299">
        <f>Inputs!AM142</f>
        <v>84.24543346</v>
      </c>
      <c r="AN79" s="299">
        <f>Inputs!AN142</f>
        <v>98.76779349</v>
      </c>
      <c r="AO79" s="299">
        <f>Inputs!AO142</f>
        <v>35.58003873</v>
      </c>
      <c r="AP79" s="299">
        <f>Inputs!AP142</f>
        <v>449.0839803</v>
      </c>
      <c r="AQ79" s="299">
        <f>Inputs!AQ142</f>
        <v>77.82999324</v>
      </c>
      <c r="AR79" s="299">
        <f>Inputs!AR142</f>
        <v>372.0457279</v>
      </c>
      <c r="AS79" s="299">
        <f>Inputs!AS142</f>
        <v>188.4149133</v>
      </c>
      <c r="AT79" s="297"/>
    </row>
    <row r="80">
      <c r="A80" s="80"/>
      <c r="B80" s="81"/>
      <c r="C80" s="206"/>
      <c r="D80" s="206"/>
      <c r="E80" s="140" t="s">
        <v>386</v>
      </c>
      <c r="F80" s="278" t="s">
        <v>122</v>
      </c>
      <c r="G80" s="279" t="s">
        <v>149</v>
      </c>
      <c r="H80" s="302" t="s">
        <v>150</v>
      </c>
      <c r="I80" s="303">
        <f t="shared" ref="I80:AS80" si="12">SUM(I78:I79)/I77</f>
        <v>0.2199274456</v>
      </c>
      <c r="J80" s="303">
        <f t="shared" si="12"/>
        <v>0.2226398832</v>
      </c>
      <c r="K80" s="303">
        <f t="shared" si="12"/>
        <v>0.1990520624</v>
      </c>
      <c r="L80" s="303">
        <f t="shared" si="12"/>
        <v>0.2819302089</v>
      </c>
      <c r="M80" s="303">
        <f t="shared" si="12"/>
        <v>0.2884179005</v>
      </c>
      <c r="N80" s="303">
        <f t="shared" si="12"/>
        <v>0.2657112659</v>
      </c>
      <c r="O80" s="303">
        <f t="shared" si="12"/>
        <v>0.2725152941</v>
      </c>
      <c r="P80" s="303">
        <f t="shared" si="12"/>
        <v>0.2220999811</v>
      </c>
      <c r="Q80" s="303">
        <f t="shared" si="12"/>
        <v>0.1783055266</v>
      </c>
      <c r="R80" s="303">
        <f t="shared" si="12"/>
        <v>0.3067028391</v>
      </c>
      <c r="S80" s="303">
        <f t="shared" si="12"/>
        <v>0.2367416718</v>
      </c>
      <c r="T80" s="303">
        <f t="shared" si="12"/>
        <v>0.3815544457</v>
      </c>
      <c r="U80" s="303">
        <f t="shared" si="12"/>
        <v>0.3637895739</v>
      </c>
      <c r="V80" s="303">
        <f t="shared" si="12"/>
        <v>0.3012060695</v>
      </c>
      <c r="W80" s="303">
        <f t="shared" si="12"/>
        <v>0.3801425847</v>
      </c>
      <c r="X80" s="303">
        <f t="shared" si="12"/>
        <v>0.3705465774</v>
      </c>
      <c r="Y80" s="303">
        <f t="shared" si="12"/>
        <v>0.3173905495</v>
      </c>
      <c r="Z80" s="303">
        <f t="shared" si="12"/>
        <v>0.3924997587</v>
      </c>
      <c r="AA80" s="303">
        <f t="shared" si="12"/>
        <v>0.3808021218</v>
      </c>
      <c r="AB80" s="303">
        <f t="shared" si="12"/>
        <v>0.3245354006</v>
      </c>
      <c r="AC80" s="303">
        <f t="shared" si="12"/>
        <v>0.4255459427</v>
      </c>
      <c r="AD80" s="303">
        <f t="shared" si="12"/>
        <v>0.4313176814</v>
      </c>
      <c r="AE80" s="303">
        <f t="shared" si="12"/>
        <v>0.4089814162</v>
      </c>
      <c r="AF80" s="303">
        <f t="shared" si="12"/>
        <v>0.4140884887</v>
      </c>
      <c r="AG80" s="303">
        <f t="shared" si="12"/>
        <v>0.3945356964</v>
      </c>
      <c r="AH80" s="303">
        <f t="shared" si="12"/>
        <v>0.4645577209</v>
      </c>
      <c r="AI80" s="303">
        <f t="shared" si="12"/>
        <v>0.5634658502</v>
      </c>
      <c r="AJ80" s="303">
        <f t="shared" si="12"/>
        <v>0.3790534536</v>
      </c>
      <c r="AK80" s="303">
        <f t="shared" si="12"/>
        <v>0.3072218293</v>
      </c>
      <c r="AL80" s="303">
        <f t="shared" si="12"/>
        <v>0.4594068205</v>
      </c>
      <c r="AM80" s="303">
        <f t="shared" si="12"/>
        <v>0.3796506442</v>
      </c>
      <c r="AN80" s="303">
        <f t="shared" si="12"/>
        <v>0.5446892449</v>
      </c>
      <c r="AO80" s="303">
        <f t="shared" si="12"/>
        <v>0.3971581567</v>
      </c>
      <c r="AP80" s="303">
        <f t="shared" si="12"/>
        <v>0.4005349506</v>
      </c>
      <c r="AQ80" s="303">
        <f t="shared" si="12"/>
        <v>0.371797278</v>
      </c>
      <c r="AR80" s="303">
        <f t="shared" si="12"/>
        <v>0.2175636954</v>
      </c>
      <c r="AS80" s="303">
        <f t="shared" si="12"/>
        <v>0.3053366897</v>
      </c>
      <c r="AT80" s="297"/>
    </row>
    <row r="81">
      <c r="A81" s="80"/>
      <c r="B81" s="81"/>
      <c r="C81" s="206"/>
      <c r="D81" s="206"/>
      <c r="E81" s="140" t="s">
        <v>388</v>
      </c>
      <c r="F81" s="278" t="s">
        <v>122</v>
      </c>
      <c r="G81" s="279" t="s">
        <v>203</v>
      </c>
      <c r="H81" s="305">
        <f>Inputs!H143</f>
        <v>0.1</v>
      </c>
      <c r="I81" s="299" t="str">
        <f>Inputs!I143</f>
        <v>-</v>
      </c>
      <c r="J81" s="299" t="str">
        <f>Inputs!J143</f>
        <v>-</v>
      </c>
      <c r="K81" s="299" t="str">
        <f>Inputs!K143</f>
        <v>-</v>
      </c>
      <c r="L81" s="299" t="str">
        <f>Inputs!L143</f>
        <v>-</v>
      </c>
      <c r="M81" s="299" t="str">
        <f>Inputs!M143</f>
        <v>-</v>
      </c>
      <c r="N81" s="299" t="str">
        <f>Inputs!N143</f>
        <v>-</v>
      </c>
      <c r="O81" s="299" t="str">
        <f>Inputs!O143</f>
        <v>-</v>
      </c>
      <c r="P81" s="299" t="str">
        <f>Inputs!P143</f>
        <v>-</v>
      </c>
      <c r="Q81" s="299" t="str">
        <f>Inputs!Q143</f>
        <v>-</v>
      </c>
      <c r="R81" s="299" t="str">
        <f>Inputs!R143</f>
        <v>-</v>
      </c>
      <c r="S81" s="299" t="str">
        <f>Inputs!S143</f>
        <v>-</v>
      </c>
      <c r="T81" s="299" t="str">
        <f>Inputs!T143</f>
        <v>-</v>
      </c>
      <c r="U81" s="299" t="str">
        <f>Inputs!U143</f>
        <v>-</v>
      </c>
      <c r="V81" s="299" t="str">
        <f>Inputs!V143</f>
        <v>-</v>
      </c>
      <c r="W81" s="299" t="str">
        <f>Inputs!W143</f>
        <v>-</v>
      </c>
      <c r="X81" s="299" t="str">
        <f>Inputs!X143</f>
        <v>-</v>
      </c>
      <c r="Y81" s="299" t="str">
        <f>Inputs!Y143</f>
        <v>-</v>
      </c>
      <c r="Z81" s="299" t="str">
        <f>Inputs!Z143</f>
        <v>-</v>
      </c>
      <c r="AA81" s="299" t="str">
        <f>Inputs!AA143</f>
        <v>-</v>
      </c>
      <c r="AB81" s="299" t="str">
        <f>Inputs!AB143</f>
        <v>-</v>
      </c>
      <c r="AC81" s="299" t="str">
        <f>Inputs!AC143</f>
        <v>-</v>
      </c>
      <c r="AD81" s="299" t="str">
        <f>Inputs!AD143</f>
        <v>-</v>
      </c>
      <c r="AE81" s="299" t="str">
        <f>Inputs!AE143</f>
        <v>-</v>
      </c>
      <c r="AF81" s="299" t="str">
        <f>Inputs!AF143</f>
        <v>-</v>
      </c>
      <c r="AG81" s="299" t="str">
        <f>Inputs!AG143</f>
        <v>-</v>
      </c>
      <c r="AH81" s="299" t="str">
        <f>Inputs!AH143</f>
        <v>-</v>
      </c>
      <c r="AI81" s="299" t="str">
        <f>Inputs!AI143</f>
        <v>-</v>
      </c>
      <c r="AJ81" s="299" t="str">
        <f>Inputs!AJ143</f>
        <v>-</v>
      </c>
      <c r="AK81" s="299" t="str">
        <f>Inputs!AK143</f>
        <v>-</v>
      </c>
      <c r="AL81" s="299" t="str">
        <f>Inputs!AL143</f>
        <v>-</v>
      </c>
      <c r="AM81" s="299" t="str">
        <f>Inputs!AM143</f>
        <v>-</v>
      </c>
      <c r="AN81" s="299" t="str">
        <f>Inputs!AN143</f>
        <v>-</v>
      </c>
      <c r="AO81" s="299" t="str">
        <f>Inputs!AO143</f>
        <v>-</v>
      </c>
      <c r="AP81" s="299" t="str">
        <f>Inputs!AP143</f>
        <v>-</v>
      </c>
      <c r="AQ81" s="299" t="str">
        <f>Inputs!AQ143</f>
        <v>-</v>
      </c>
      <c r="AR81" s="299" t="str">
        <f>Inputs!AR143</f>
        <v>-</v>
      </c>
      <c r="AS81" s="299" t="str">
        <f>Inputs!AS143</f>
        <v>-</v>
      </c>
      <c r="AT81" s="297"/>
    </row>
    <row r="82">
      <c r="A82" s="80"/>
      <c r="B82" s="81"/>
      <c r="C82" s="206"/>
      <c r="D82" s="206"/>
      <c r="E82" s="140" t="s">
        <v>391</v>
      </c>
      <c r="F82" s="278" t="s">
        <v>122</v>
      </c>
      <c r="G82" s="279" t="s">
        <v>149</v>
      </c>
      <c r="H82" s="302" t="s">
        <v>150</v>
      </c>
      <c r="I82" s="303">
        <f t="shared" ref="I82:AS82" si="13">I80*(1+$H81)</f>
        <v>0.2419201901</v>
      </c>
      <c r="J82" s="303">
        <f t="shared" si="13"/>
        <v>0.2449038715</v>
      </c>
      <c r="K82" s="303">
        <f t="shared" si="13"/>
        <v>0.2189572687</v>
      </c>
      <c r="L82" s="303">
        <f t="shared" si="13"/>
        <v>0.3101232298</v>
      </c>
      <c r="M82" s="303">
        <f t="shared" si="13"/>
        <v>0.3172596906</v>
      </c>
      <c r="N82" s="303">
        <f t="shared" si="13"/>
        <v>0.2922823925</v>
      </c>
      <c r="O82" s="303">
        <f t="shared" si="13"/>
        <v>0.2997668235</v>
      </c>
      <c r="P82" s="303">
        <f t="shared" si="13"/>
        <v>0.2443099792</v>
      </c>
      <c r="Q82" s="303">
        <f t="shared" si="13"/>
        <v>0.1961360793</v>
      </c>
      <c r="R82" s="303">
        <f t="shared" si="13"/>
        <v>0.337373123</v>
      </c>
      <c r="S82" s="303">
        <f t="shared" si="13"/>
        <v>0.260415839</v>
      </c>
      <c r="T82" s="303">
        <f t="shared" si="13"/>
        <v>0.4197098903</v>
      </c>
      <c r="U82" s="303">
        <f t="shared" si="13"/>
        <v>0.4001685313</v>
      </c>
      <c r="V82" s="303">
        <f t="shared" si="13"/>
        <v>0.3313266764</v>
      </c>
      <c r="W82" s="303">
        <f t="shared" si="13"/>
        <v>0.4181568431</v>
      </c>
      <c r="X82" s="303">
        <f t="shared" si="13"/>
        <v>0.4076012352</v>
      </c>
      <c r="Y82" s="303">
        <f t="shared" si="13"/>
        <v>0.3491296044</v>
      </c>
      <c r="Z82" s="303">
        <f t="shared" si="13"/>
        <v>0.4317497346</v>
      </c>
      <c r="AA82" s="303">
        <f t="shared" si="13"/>
        <v>0.418882334</v>
      </c>
      <c r="AB82" s="303">
        <f t="shared" si="13"/>
        <v>0.3569889407</v>
      </c>
      <c r="AC82" s="303">
        <f t="shared" si="13"/>
        <v>0.468100537</v>
      </c>
      <c r="AD82" s="303">
        <f t="shared" si="13"/>
        <v>0.4744494495</v>
      </c>
      <c r="AE82" s="303">
        <f t="shared" si="13"/>
        <v>0.4498795579</v>
      </c>
      <c r="AF82" s="303">
        <f t="shared" si="13"/>
        <v>0.4554973376</v>
      </c>
      <c r="AG82" s="303">
        <f t="shared" si="13"/>
        <v>0.4339892661</v>
      </c>
      <c r="AH82" s="303">
        <f t="shared" si="13"/>
        <v>0.511013493</v>
      </c>
      <c r="AI82" s="303">
        <f t="shared" si="13"/>
        <v>0.6198124352</v>
      </c>
      <c r="AJ82" s="303">
        <f t="shared" si="13"/>
        <v>0.4169587989</v>
      </c>
      <c r="AK82" s="303">
        <f t="shared" si="13"/>
        <v>0.3379440122</v>
      </c>
      <c r="AL82" s="303">
        <f t="shared" si="13"/>
        <v>0.5053475026</v>
      </c>
      <c r="AM82" s="303">
        <f t="shared" si="13"/>
        <v>0.4176157087</v>
      </c>
      <c r="AN82" s="303">
        <f t="shared" si="13"/>
        <v>0.5991581693</v>
      </c>
      <c r="AO82" s="303">
        <f t="shared" si="13"/>
        <v>0.4368739723</v>
      </c>
      <c r="AP82" s="303">
        <f t="shared" si="13"/>
        <v>0.4405884456</v>
      </c>
      <c r="AQ82" s="303">
        <f t="shared" si="13"/>
        <v>0.4089770058</v>
      </c>
      <c r="AR82" s="303">
        <f t="shared" si="13"/>
        <v>0.2393200649</v>
      </c>
      <c r="AS82" s="303">
        <f t="shared" si="13"/>
        <v>0.3358703587</v>
      </c>
      <c r="AT82" s="297"/>
    </row>
    <row r="83">
      <c r="A83" s="80"/>
      <c r="B83" s="81"/>
      <c r="C83" s="206"/>
      <c r="D83" s="206"/>
      <c r="E83" s="224" t="s">
        <v>393</v>
      </c>
      <c r="F83" s="225" t="s">
        <v>122</v>
      </c>
      <c r="G83" s="226" t="s">
        <v>149</v>
      </c>
      <c r="H83" s="259" t="s">
        <v>150</v>
      </c>
      <c r="I83" s="228">
        <f t="shared" ref="I83:AS83" si="14">I71*(1-I82)</f>
        <v>0.01773200604</v>
      </c>
      <c r="J83" s="228">
        <f t="shared" si="14"/>
        <v>0.01418661241</v>
      </c>
      <c r="K83" s="228">
        <f t="shared" si="14"/>
        <v>0.01801764514</v>
      </c>
      <c r="L83" s="228">
        <f t="shared" si="14"/>
        <v>0.009570129228</v>
      </c>
      <c r="M83" s="228">
        <f t="shared" si="14"/>
        <v>0.0143917554</v>
      </c>
      <c r="N83" s="228">
        <f t="shared" si="14"/>
        <v>0.01200017299</v>
      </c>
      <c r="O83" s="228">
        <f t="shared" si="14"/>
        <v>0.01291111848</v>
      </c>
      <c r="P83" s="228">
        <f t="shared" si="14"/>
        <v>0.02037185228</v>
      </c>
      <c r="Q83" s="228">
        <f t="shared" si="14"/>
        <v>0.01735226929</v>
      </c>
      <c r="R83" s="228">
        <f t="shared" si="14"/>
        <v>0.005719161068</v>
      </c>
      <c r="S83" s="228">
        <f t="shared" si="14"/>
        <v>0.01308544185</v>
      </c>
      <c r="T83" s="228">
        <f t="shared" si="14"/>
        <v>0.003650363099</v>
      </c>
      <c r="U83" s="228">
        <f t="shared" si="14"/>
        <v>0.004420401624</v>
      </c>
      <c r="V83" s="228">
        <f t="shared" si="14"/>
        <v>0.004903635578</v>
      </c>
      <c r="W83" s="228">
        <f t="shared" si="14"/>
        <v>0.006350406112</v>
      </c>
      <c r="X83" s="228">
        <f t="shared" si="14"/>
        <v>0.004284900832</v>
      </c>
      <c r="Y83" s="228">
        <f t="shared" si="14"/>
        <v>0.004250580714</v>
      </c>
      <c r="Z83" s="228">
        <f t="shared" si="14"/>
        <v>0.005004968771</v>
      </c>
      <c r="AA83" s="228">
        <f t="shared" si="14"/>
        <v>0.006572125256</v>
      </c>
      <c r="AB83" s="228">
        <f t="shared" si="14"/>
        <v>0.005560980194</v>
      </c>
      <c r="AC83" s="228">
        <f t="shared" si="14"/>
        <v>0.004123529843</v>
      </c>
      <c r="AD83" s="228">
        <f t="shared" si="14"/>
        <v>0.002614952969</v>
      </c>
      <c r="AE83" s="228">
        <f t="shared" si="14"/>
        <v>0.004521755133</v>
      </c>
      <c r="AF83" s="228">
        <f t="shared" si="14"/>
        <v>0.003068399372</v>
      </c>
      <c r="AG83" s="228">
        <f t="shared" si="14"/>
        <v>0.003919800362</v>
      </c>
      <c r="AH83" s="228">
        <f t="shared" si="14"/>
        <v>0.002627994903</v>
      </c>
      <c r="AI83" s="228">
        <f t="shared" si="14"/>
        <v>0.002147381487</v>
      </c>
      <c r="AJ83" s="228">
        <f t="shared" si="14"/>
        <v>0.005826835636</v>
      </c>
      <c r="AK83" s="228">
        <f t="shared" si="14"/>
        <v>0.008376741508</v>
      </c>
      <c r="AL83" s="228">
        <f t="shared" si="14"/>
        <v>0.003597174298</v>
      </c>
      <c r="AM83" s="228">
        <f t="shared" si="14"/>
        <v>0.004657507717</v>
      </c>
      <c r="AN83" s="228">
        <f t="shared" si="14"/>
        <v>0.001846355235</v>
      </c>
      <c r="AO83" s="228">
        <f t="shared" si="14"/>
        <v>0.002589139161</v>
      </c>
      <c r="AP83" s="228">
        <f t="shared" si="14"/>
        <v>0.004487297967</v>
      </c>
      <c r="AQ83" s="228">
        <f t="shared" si="14"/>
        <v>0.004814183709</v>
      </c>
      <c r="AR83" s="228">
        <f t="shared" si="14"/>
        <v>0.01408454658</v>
      </c>
      <c r="AS83" s="228">
        <f t="shared" si="14"/>
        <v>0.00893679477</v>
      </c>
      <c r="AT83" s="242"/>
    </row>
    <row r="84">
      <c r="A84" s="80"/>
      <c r="B84" s="81"/>
      <c r="C84" s="126"/>
      <c r="D84" s="126"/>
      <c r="E84" s="243"/>
      <c r="F84" s="201"/>
      <c r="G84" s="202"/>
      <c r="H84" s="85"/>
      <c r="I84" s="135"/>
      <c r="J84" s="135"/>
      <c r="K84" s="135"/>
      <c r="L84" s="135"/>
      <c r="M84" s="135"/>
      <c r="N84" s="135"/>
      <c r="O84" s="135"/>
      <c r="P84" s="135"/>
      <c r="Q84" s="135"/>
      <c r="R84" s="368"/>
      <c r="S84" s="135"/>
      <c r="T84" s="135"/>
      <c r="U84" s="135"/>
      <c r="V84" s="135"/>
      <c r="W84" s="135"/>
      <c r="X84" s="135"/>
      <c r="Y84" s="135"/>
      <c r="Z84" s="135"/>
      <c r="AA84" s="135"/>
      <c r="AB84" s="135"/>
      <c r="AC84" s="135"/>
      <c r="AD84" s="135"/>
      <c r="AE84" s="135"/>
      <c r="AF84" s="135"/>
      <c r="AG84" s="135"/>
      <c r="AH84" s="135"/>
      <c r="AI84" s="135"/>
      <c r="AJ84" s="135"/>
      <c r="AK84" s="135"/>
      <c r="AL84" s="135"/>
      <c r="AM84" s="135"/>
      <c r="AN84" s="135"/>
      <c r="AO84" s="135"/>
      <c r="AP84" s="135"/>
      <c r="AQ84" s="135"/>
      <c r="AR84" s="135"/>
      <c r="AS84" s="135"/>
      <c r="AT84" s="91"/>
    </row>
    <row r="85">
      <c r="A85" s="80"/>
      <c r="B85" s="81"/>
      <c r="C85" s="126" t="s">
        <v>398</v>
      </c>
      <c r="F85" s="201"/>
      <c r="G85" s="202"/>
      <c r="H85" s="85"/>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91"/>
    </row>
    <row r="86">
      <c r="A86" s="80"/>
      <c r="B86" s="81"/>
      <c r="C86" s="206"/>
      <c r="D86" s="369" t="s">
        <v>399</v>
      </c>
      <c r="E86" s="70"/>
      <c r="F86" s="207"/>
      <c r="G86" s="208"/>
      <c r="H86" s="370"/>
      <c r="I86" s="294"/>
      <c r="J86" s="294"/>
      <c r="K86" s="294"/>
      <c r="L86" s="294"/>
      <c r="M86" s="294"/>
      <c r="N86" s="294"/>
      <c r="O86" s="294"/>
      <c r="P86" s="294"/>
      <c r="Q86" s="294"/>
      <c r="R86" s="294"/>
      <c r="S86" s="294"/>
      <c r="T86" s="294"/>
      <c r="U86" s="294"/>
      <c r="V86" s="294"/>
      <c r="W86" s="294"/>
      <c r="X86" s="294"/>
      <c r="Y86" s="294"/>
      <c r="Z86" s="294"/>
      <c r="AA86" s="294"/>
      <c r="AB86" s="294"/>
      <c r="AC86" s="294"/>
      <c r="AD86" s="294"/>
      <c r="AE86" s="294"/>
      <c r="AF86" s="294"/>
      <c r="AG86" s="294"/>
      <c r="AH86" s="294"/>
      <c r="AI86" s="294"/>
      <c r="AJ86" s="294"/>
      <c r="AK86" s="294"/>
      <c r="AL86" s="294"/>
      <c r="AM86" s="294"/>
      <c r="AN86" s="294"/>
      <c r="AO86" s="294"/>
      <c r="AP86" s="294"/>
      <c r="AQ86" s="294"/>
      <c r="AR86" s="294"/>
      <c r="AS86" s="294"/>
      <c r="AT86" s="298"/>
    </row>
    <row r="87">
      <c r="A87" s="80"/>
      <c r="B87" s="81"/>
      <c r="C87" s="206"/>
      <c r="D87" s="206"/>
      <c r="E87" s="140" t="s">
        <v>402</v>
      </c>
      <c r="F87" s="278" t="s">
        <v>122</v>
      </c>
      <c r="G87" s="279" t="s">
        <v>203</v>
      </c>
      <c r="H87" s="305">
        <f>Inputs!H144</f>
        <v>0.0281715</v>
      </c>
      <c r="I87" s="299" t="str">
        <f>Inputs!I144</f>
        <v>-</v>
      </c>
      <c r="J87" s="299" t="str">
        <f>Inputs!J144</f>
        <v>-</v>
      </c>
      <c r="K87" s="299" t="str">
        <f>Inputs!K144</f>
        <v>-</v>
      </c>
      <c r="L87" s="299" t="str">
        <f>Inputs!L144</f>
        <v>-</v>
      </c>
      <c r="M87" s="299" t="str">
        <f>Inputs!M144</f>
        <v>-</v>
      </c>
      <c r="N87" s="299" t="str">
        <f>Inputs!N144</f>
        <v>-</v>
      </c>
      <c r="O87" s="299" t="str">
        <f>Inputs!O144</f>
        <v>-</v>
      </c>
      <c r="P87" s="299" t="str">
        <f>Inputs!P144</f>
        <v>-</v>
      </c>
      <c r="Q87" s="299" t="str">
        <f>Inputs!Q144</f>
        <v>-</v>
      </c>
      <c r="R87" s="299" t="str">
        <f>Inputs!R144</f>
        <v>-</v>
      </c>
      <c r="S87" s="299" t="str">
        <f>Inputs!S144</f>
        <v>-</v>
      </c>
      <c r="T87" s="299" t="str">
        <f>Inputs!T144</f>
        <v>-</v>
      </c>
      <c r="U87" s="299" t="str">
        <f>Inputs!U144</f>
        <v>-</v>
      </c>
      <c r="V87" s="299" t="str">
        <f>Inputs!V144</f>
        <v>-</v>
      </c>
      <c r="W87" s="299" t="str">
        <f>Inputs!W144</f>
        <v>-</v>
      </c>
      <c r="X87" s="299" t="str">
        <f>Inputs!X144</f>
        <v>-</v>
      </c>
      <c r="Y87" s="299" t="str">
        <f>Inputs!Y144</f>
        <v>-</v>
      </c>
      <c r="Z87" s="299" t="str">
        <f>Inputs!Z144</f>
        <v>-</v>
      </c>
      <c r="AA87" s="299" t="str">
        <f>Inputs!AA144</f>
        <v>-</v>
      </c>
      <c r="AB87" s="299" t="str">
        <f>Inputs!AB144</f>
        <v>-</v>
      </c>
      <c r="AC87" s="299" t="str">
        <f>Inputs!AC144</f>
        <v>-</v>
      </c>
      <c r="AD87" s="299" t="str">
        <f>Inputs!AD144</f>
        <v>-</v>
      </c>
      <c r="AE87" s="299" t="str">
        <f>Inputs!AE144</f>
        <v>-</v>
      </c>
      <c r="AF87" s="299" t="str">
        <f>Inputs!AF144</f>
        <v>-</v>
      </c>
      <c r="AG87" s="299" t="str">
        <f>Inputs!AG144</f>
        <v>-</v>
      </c>
      <c r="AH87" s="299" t="str">
        <f>Inputs!AH144</f>
        <v>-</v>
      </c>
      <c r="AI87" s="299" t="str">
        <f>Inputs!AI144</f>
        <v>-</v>
      </c>
      <c r="AJ87" s="299" t="str">
        <f>Inputs!AJ144</f>
        <v>-</v>
      </c>
      <c r="AK87" s="299" t="str">
        <f>Inputs!AK144</f>
        <v>-</v>
      </c>
      <c r="AL87" s="299" t="str">
        <f>Inputs!AL144</f>
        <v>-</v>
      </c>
      <c r="AM87" s="299" t="str">
        <f>Inputs!AM144</f>
        <v>-</v>
      </c>
      <c r="AN87" s="299" t="str">
        <f>Inputs!AN144</f>
        <v>-</v>
      </c>
      <c r="AO87" s="299" t="str">
        <f>Inputs!AO144</f>
        <v>-</v>
      </c>
      <c r="AP87" s="299" t="str">
        <f>Inputs!AP144</f>
        <v>-</v>
      </c>
      <c r="AQ87" s="299" t="str">
        <f>Inputs!AQ144</f>
        <v>-</v>
      </c>
      <c r="AR87" s="299" t="str">
        <f>Inputs!AR144</f>
        <v>-</v>
      </c>
      <c r="AS87" s="299" t="str">
        <f>Inputs!AS144</f>
        <v>-</v>
      </c>
      <c r="AT87" s="297"/>
    </row>
    <row r="88">
      <c r="A88" s="80"/>
      <c r="B88" s="81"/>
      <c r="C88" s="206"/>
      <c r="D88" s="206"/>
      <c r="E88" s="113" t="s">
        <v>410</v>
      </c>
      <c r="F88" s="207" t="s">
        <v>122</v>
      </c>
      <c r="G88" s="208" t="s">
        <v>149</v>
      </c>
      <c r="H88" s="373" t="s">
        <v>150</v>
      </c>
      <c r="I88" s="210">
        <f t="shared" ref="I88:AS88" si="15">I83*$H$87</f>
        <v>0.0004995372081</v>
      </c>
      <c r="J88" s="210">
        <f t="shared" si="15"/>
        <v>0.0003996581515</v>
      </c>
      <c r="K88" s="210">
        <f t="shared" si="15"/>
        <v>0.0005075840901</v>
      </c>
      <c r="L88" s="210">
        <f t="shared" si="15"/>
        <v>0.0002696048956</v>
      </c>
      <c r="M88" s="210">
        <f t="shared" si="15"/>
        <v>0.0004054373371</v>
      </c>
      <c r="N88" s="210">
        <f t="shared" si="15"/>
        <v>0.0003380628733</v>
      </c>
      <c r="O88" s="210">
        <f t="shared" si="15"/>
        <v>0.0003637255743</v>
      </c>
      <c r="P88" s="210">
        <f t="shared" si="15"/>
        <v>0.0005739056366</v>
      </c>
      <c r="Q88" s="210">
        <f t="shared" si="15"/>
        <v>0.0004888394544</v>
      </c>
      <c r="R88" s="210">
        <f t="shared" si="15"/>
        <v>0.000161117346</v>
      </c>
      <c r="S88" s="210">
        <f t="shared" si="15"/>
        <v>0.0003686365251</v>
      </c>
      <c r="T88" s="210">
        <f t="shared" si="15"/>
        <v>0.0001028362041</v>
      </c>
      <c r="U88" s="210">
        <f t="shared" si="15"/>
        <v>0.0001245293444</v>
      </c>
      <c r="V88" s="210">
        <f t="shared" si="15"/>
        <v>0.0001381427697</v>
      </c>
      <c r="W88" s="210">
        <f t="shared" si="15"/>
        <v>0.0001789004658</v>
      </c>
      <c r="X88" s="210">
        <f t="shared" si="15"/>
        <v>0.0001207120838</v>
      </c>
      <c r="Y88" s="210">
        <f t="shared" si="15"/>
        <v>0.0001197452346</v>
      </c>
      <c r="Z88" s="210">
        <f t="shared" si="15"/>
        <v>0.0001409974777</v>
      </c>
      <c r="AA88" s="210">
        <f t="shared" si="15"/>
        <v>0.0001851466266</v>
      </c>
      <c r="AB88" s="210">
        <f t="shared" si="15"/>
        <v>0.0001566611535</v>
      </c>
      <c r="AC88" s="210">
        <f t="shared" si="15"/>
        <v>0.000116166021</v>
      </c>
      <c r="AD88" s="210">
        <f t="shared" si="15"/>
        <v>0.00007366714756</v>
      </c>
      <c r="AE88" s="210">
        <f t="shared" si="15"/>
        <v>0.0001273846247</v>
      </c>
      <c r="AF88" s="210">
        <f t="shared" si="15"/>
        <v>0.0000864414129</v>
      </c>
      <c r="AG88" s="210">
        <f t="shared" si="15"/>
        <v>0.0001104266559</v>
      </c>
      <c r="AH88" s="210">
        <f t="shared" si="15"/>
        <v>0.0000740345584</v>
      </c>
      <c r="AI88" s="210">
        <f t="shared" si="15"/>
        <v>0.00006049495755</v>
      </c>
      <c r="AJ88" s="210">
        <f t="shared" si="15"/>
        <v>0.0001641507001</v>
      </c>
      <c r="AK88" s="210">
        <f t="shared" si="15"/>
        <v>0.0002359853734</v>
      </c>
      <c r="AL88" s="210">
        <f t="shared" si="15"/>
        <v>0.0001013377957</v>
      </c>
      <c r="AM88" s="210">
        <f t="shared" si="15"/>
        <v>0.0001312089786</v>
      </c>
      <c r="AN88" s="210">
        <f t="shared" si="15"/>
        <v>0.00005201459651</v>
      </c>
      <c r="AO88" s="210">
        <f t="shared" si="15"/>
        <v>0.00007293993387</v>
      </c>
      <c r="AP88" s="210">
        <f t="shared" si="15"/>
        <v>0.0001264139147</v>
      </c>
      <c r="AQ88" s="210">
        <f t="shared" si="15"/>
        <v>0.0001356227764</v>
      </c>
      <c r="AR88" s="210">
        <f t="shared" si="15"/>
        <v>0.0003967828039</v>
      </c>
      <c r="AS88" s="210">
        <f t="shared" si="15"/>
        <v>0.0002517629139</v>
      </c>
      <c r="AT88" s="298"/>
    </row>
    <row r="89">
      <c r="A89" s="80"/>
      <c r="B89" s="81"/>
      <c r="C89" s="206"/>
      <c r="D89" s="206"/>
      <c r="E89" s="113" t="s">
        <v>418</v>
      </c>
      <c r="F89" s="207" t="s">
        <v>122</v>
      </c>
      <c r="G89" s="208" t="s">
        <v>149</v>
      </c>
      <c r="H89" s="373" t="s">
        <v>150</v>
      </c>
      <c r="I89" s="210">
        <f t="shared" ref="I89:AS89" si="16">I72*$H$87</f>
        <v>0.00003657914332</v>
      </c>
      <c r="J89" s="210">
        <f t="shared" si="16"/>
        <v>0.00003202823469</v>
      </c>
      <c r="K89" s="210">
        <f t="shared" si="16"/>
        <v>0.00003828504033</v>
      </c>
      <c r="L89" s="210">
        <f t="shared" si="16"/>
        <v>0.00002390120769</v>
      </c>
      <c r="M89" s="210">
        <f t="shared" si="16"/>
        <v>0.00003734853515</v>
      </c>
      <c r="N89" s="210">
        <f t="shared" si="16"/>
        <v>0.00002964915152</v>
      </c>
      <c r="O89" s="210">
        <f t="shared" si="16"/>
        <v>0.00003053221536</v>
      </c>
      <c r="P89" s="210">
        <f t="shared" si="16"/>
        <v>0.00004189564063</v>
      </c>
      <c r="Q89" s="210">
        <f t="shared" si="16"/>
        <v>0.00004449395441</v>
      </c>
      <c r="R89" s="210">
        <f t="shared" si="16"/>
        <v>0.00001529120849</v>
      </c>
      <c r="S89" s="210">
        <f t="shared" si="16"/>
        <v>0.00003266784043</v>
      </c>
      <c r="T89" s="210">
        <f t="shared" si="16"/>
        <v>0.00001234793468</v>
      </c>
      <c r="U89" s="210">
        <f t="shared" si="16"/>
        <v>0.00001343881967</v>
      </c>
      <c r="V89" s="210">
        <f t="shared" si="16"/>
        <v>0.00001298855459</v>
      </c>
      <c r="W89" s="210">
        <f t="shared" si="16"/>
        <v>0.00002364983339</v>
      </c>
      <c r="X89" s="210">
        <f t="shared" si="16"/>
        <v>0.00001701922012</v>
      </c>
      <c r="Y89" s="210">
        <f t="shared" si="16"/>
        <v>0.00002033283647</v>
      </c>
      <c r="Z89" s="210">
        <f t="shared" si="16"/>
        <v>0.00001693673397</v>
      </c>
      <c r="AA89" s="210">
        <f t="shared" si="16"/>
        <v>0.00002306206322</v>
      </c>
      <c r="AB89" s="210">
        <f t="shared" si="16"/>
        <v>0.00001387485815</v>
      </c>
      <c r="AC89" s="210">
        <f t="shared" si="16"/>
        <v>0.00001310884689</v>
      </c>
      <c r="AD89" s="210">
        <f t="shared" si="16"/>
        <v>0.00001111160023</v>
      </c>
      <c r="AE89" s="210">
        <f t="shared" si="16"/>
        <v>0.00001711756683</v>
      </c>
      <c r="AF89" s="210">
        <f t="shared" si="16"/>
        <v>0.00001195542117</v>
      </c>
      <c r="AG89" s="210">
        <f t="shared" si="16"/>
        <v>0.00001250690645</v>
      </c>
      <c r="AH89" s="210">
        <f t="shared" si="16"/>
        <v>0.00001095496669</v>
      </c>
      <c r="AI89" s="210">
        <f t="shared" si="16"/>
        <v>0.00001183383298</v>
      </c>
      <c r="AJ89" s="210">
        <f t="shared" si="16"/>
        <v>0.00002122235158</v>
      </c>
      <c r="AK89" s="210">
        <f t="shared" si="16"/>
        <v>0.00002416190675</v>
      </c>
      <c r="AL89" s="210">
        <f t="shared" si="16"/>
        <v>0.00001415400954</v>
      </c>
      <c r="AM89" s="210">
        <f t="shared" si="16"/>
        <v>0.00001636014788</v>
      </c>
      <c r="AN89" s="210">
        <f t="shared" si="16"/>
        <v>0.000008548247274</v>
      </c>
      <c r="AO89" s="210">
        <f t="shared" si="16"/>
        <v>0.000008289210332</v>
      </c>
      <c r="AP89" s="210">
        <f t="shared" si="16"/>
        <v>0.00001938255543</v>
      </c>
      <c r="AQ89" s="210">
        <f t="shared" si="16"/>
        <v>0.00001473882171</v>
      </c>
      <c r="AR89" s="210">
        <f t="shared" si="16"/>
        <v>0.00003418631245</v>
      </c>
      <c r="AS89" s="210">
        <f t="shared" si="16"/>
        <v>0.00002597124951</v>
      </c>
      <c r="AT89" s="298"/>
    </row>
    <row r="90">
      <c r="A90" s="80"/>
      <c r="B90" s="81"/>
      <c r="C90" s="206"/>
      <c r="D90" s="206"/>
      <c r="E90" s="113" t="s">
        <v>423</v>
      </c>
      <c r="F90" s="207" t="s">
        <v>122</v>
      </c>
      <c r="G90" s="208" t="s">
        <v>149</v>
      </c>
      <c r="H90" s="373" t="s">
        <v>150</v>
      </c>
      <c r="I90" s="210">
        <f t="shared" ref="I90:AS90" si="17">I73*$H$87</f>
        <v>0.00007285163986</v>
      </c>
      <c r="J90" s="210">
        <f t="shared" si="17"/>
        <v>0.00005724054399</v>
      </c>
      <c r="K90" s="210">
        <f t="shared" si="17"/>
        <v>0.00008682132328</v>
      </c>
      <c r="L90" s="210">
        <f t="shared" si="17"/>
        <v>0.0000564667574</v>
      </c>
      <c r="M90" s="210">
        <f t="shared" si="17"/>
        <v>0.00006052559443</v>
      </c>
      <c r="N90" s="210">
        <f t="shared" si="17"/>
        <v>0.00007100026522</v>
      </c>
      <c r="O90" s="210">
        <f t="shared" si="17"/>
        <v>0.00007122225664</v>
      </c>
      <c r="P90" s="210">
        <f t="shared" si="17"/>
        <v>0.00009315157201</v>
      </c>
      <c r="Q90" s="210">
        <f t="shared" si="17"/>
        <v>0.0000834204598</v>
      </c>
      <c r="R90" s="210">
        <f t="shared" si="17"/>
        <v>0.00004969832915</v>
      </c>
      <c r="S90" s="210">
        <f t="shared" si="17"/>
        <v>0.00006886525992</v>
      </c>
      <c r="T90" s="210">
        <f t="shared" si="17"/>
        <v>0.0000529636032</v>
      </c>
      <c r="U90" s="210">
        <f t="shared" si="17"/>
        <v>0.0000551590082</v>
      </c>
      <c r="V90" s="210">
        <f t="shared" si="17"/>
        <v>0.00005865689432</v>
      </c>
      <c r="W90" s="210">
        <f t="shared" si="17"/>
        <v>0.00007070592939</v>
      </c>
      <c r="X90" s="210">
        <f t="shared" si="17"/>
        <v>0.00005117578347</v>
      </c>
      <c r="Y90" s="210">
        <f t="shared" si="17"/>
        <v>0.0001036939107</v>
      </c>
      <c r="Z90" s="210">
        <f t="shared" si="17"/>
        <v>0.00005835979769</v>
      </c>
      <c r="AA90" s="210">
        <f t="shared" si="17"/>
        <v>0.00006507320699</v>
      </c>
      <c r="AB90" s="210">
        <f t="shared" si="17"/>
        <v>0.00005655237059</v>
      </c>
      <c r="AC90" s="210">
        <f t="shared" si="17"/>
        <v>0.00005139219693</v>
      </c>
      <c r="AD90" s="210">
        <f t="shared" si="17"/>
        <v>0.00005150257287</v>
      </c>
      <c r="AE90" s="210">
        <f t="shared" si="17"/>
        <v>0.000049098079</v>
      </c>
      <c r="AF90" s="210">
        <f t="shared" si="17"/>
        <v>0.00004901122627</v>
      </c>
      <c r="AG90" s="210">
        <f t="shared" si="17"/>
        <v>0.00005524310013</v>
      </c>
      <c r="AH90" s="210">
        <f t="shared" si="17"/>
        <v>0.00005981319354</v>
      </c>
      <c r="AI90" s="210">
        <f t="shared" si="17"/>
        <v>0.0000421686788</v>
      </c>
      <c r="AJ90" s="210">
        <f t="shared" si="17"/>
        <v>0.0000685591484</v>
      </c>
      <c r="AK90" s="210">
        <f t="shared" si="17"/>
        <v>0.00007101536514</v>
      </c>
      <c r="AL90" s="210">
        <f t="shared" si="17"/>
        <v>0.00005851930472</v>
      </c>
      <c r="AM90" s="210">
        <f t="shared" si="17"/>
        <v>0.00005537440749</v>
      </c>
      <c r="AN90" s="210">
        <f t="shared" si="17"/>
        <v>0.00003905592525</v>
      </c>
      <c r="AO90" s="210">
        <f t="shared" si="17"/>
        <v>0.00004467244904</v>
      </c>
      <c r="AP90" s="210">
        <f t="shared" si="17"/>
        <v>0.00007016148698</v>
      </c>
      <c r="AQ90" s="210">
        <f t="shared" si="17"/>
        <v>0.00005472708276</v>
      </c>
      <c r="AR90" s="210">
        <f t="shared" si="17"/>
        <v>0.00007736271398</v>
      </c>
      <c r="AS90" s="210">
        <f t="shared" si="17"/>
        <v>0.0000731201706</v>
      </c>
      <c r="AT90" s="298"/>
    </row>
    <row r="91">
      <c r="A91" s="80"/>
      <c r="B91" s="81"/>
      <c r="C91" s="206"/>
      <c r="D91" s="206"/>
      <c r="E91" s="113" t="s">
        <v>427</v>
      </c>
      <c r="F91" s="207" t="s">
        <v>122</v>
      </c>
      <c r="G91" s="208" t="s">
        <v>149</v>
      </c>
      <c r="H91" s="373" t="s">
        <v>150</v>
      </c>
      <c r="I91" s="210">
        <f t="shared" ref="I91:AS91" si="18">I74*$H$87</f>
        <v>0.0006718765273</v>
      </c>
      <c r="J91" s="210">
        <f t="shared" si="18"/>
        <v>0.0006628449698</v>
      </c>
      <c r="K91" s="210">
        <f t="shared" si="18"/>
        <v>0.0006900431726</v>
      </c>
      <c r="L91" s="210">
        <f t="shared" si="18"/>
        <v>0.0004733779973</v>
      </c>
      <c r="M91" s="210">
        <f t="shared" si="18"/>
        <v>0.0005212272337</v>
      </c>
      <c r="N91" s="210">
        <f t="shared" si="18"/>
        <v>0.0005941665151</v>
      </c>
      <c r="O91" s="210">
        <f t="shared" si="18"/>
        <v>0.0007073800546</v>
      </c>
      <c r="P91" s="210">
        <f t="shared" si="18"/>
        <v>0.0006803506835</v>
      </c>
      <c r="Q91" s="210">
        <f t="shared" si="18"/>
        <v>0.0008370177476</v>
      </c>
      <c r="R91" s="210">
        <f t="shared" si="18"/>
        <v>0.0004446179665</v>
      </c>
      <c r="S91" s="210">
        <f t="shared" si="18"/>
        <v>0.0006578359644</v>
      </c>
      <c r="T91" s="210">
        <f t="shared" si="18"/>
        <v>0.0004915088084</v>
      </c>
      <c r="U91" s="210">
        <f t="shared" si="18"/>
        <v>0.0004621567254</v>
      </c>
      <c r="V91" s="210">
        <f t="shared" si="18"/>
        <v>0.0005451270891</v>
      </c>
      <c r="W91" s="210">
        <f t="shared" si="18"/>
        <v>0.000612367924</v>
      </c>
      <c r="X91" s="210">
        <f t="shared" si="18"/>
        <v>0.0005485357561</v>
      </c>
      <c r="Y91" s="210">
        <f t="shared" si="18"/>
        <v>0.0009284065725</v>
      </c>
      <c r="Z91" s="210">
        <f t="shared" si="18"/>
        <v>0.0004448402678</v>
      </c>
      <c r="AA91" s="210">
        <f t="shared" si="18"/>
        <v>0.000559911605</v>
      </c>
      <c r="AB91" s="210">
        <f t="shared" si="18"/>
        <v>0.0004036178415</v>
      </c>
      <c r="AC91" s="210">
        <f t="shared" si="18"/>
        <v>0.000449837751</v>
      </c>
      <c r="AD91" s="210">
        <f t="shared" si="18"/>
        <v>0.0004838552598</v>
      </c>
      <c r="AE91" s="210">
        <f t="shared" si="18"/>
        <v>0.0003203503248</v>
      </c>
      <c r="AF91" s="210">
        <f t="shared" si="18"/>
        <v>0.0004128599246</v>
      </c>
      <c r="AG91" s="210">
        <f t="shared" si="18"/>
        <v>0.0005454319048</v>
      </c>
      <c r="AH91" s="210">
        <f t="shared" si="18"/>
        <v>0.0004780806094</v>
      </c>
      <c r="AI91" s="210">
        <f t="shared" si="18"/>
        <v>0.0003253567384</v>
      </c>
      <c r="AJ91" s="210">
        <f t="shared" si="18"/>
        <v>0.0004409686304</v>
      </c>
      <c r="AK91" s="210">
        <f t="shared" si="18"/>
        <v>0.0005752967655</v>
      </c>
      <c r="AL91" s="210">
        <f t="shared" si="18"/>
        <v>0.0005107229265</v>
      </c>
      <c r="AM91" s="210">
        <f t="shared" si="18"/>
        <v>0.00051095413</v>
      </c>
      <c r="AN91" s="210">
        <f t="shared" si="18"/>
        <v>0.0004150591046</v>
      </c>
      <c r="AO91" s="210">
        <f t="shared" si="18"/>
        <v>0.0003995324951</v>
      </c>
      <c r="AP91" s="210">
        <f t="shared" si="18"/>
        <v>0.0004453080837</v>
      </c>
      <c r="AQ91" s="210">
        <f t="shared" si="18"/>
        <v>0.0004421761735</v>
      </c>
      <c r="AR91" s="210">
        <f t="shared" si="18"/>
        <v>0.0004857356511</v>
      </c>
      <c r="AS91" s="210">
        <f t="shared" si="18"/>
        <v>0.0006321371051</v>
      </c>
      <c r="AT91" s="298"/>
    </row>
    <row r="92">
      <c r="A92" s="80"/>
      <c r="B92" s="81"/>
      <c r="C92" s="206"/>
      <c r="D92" s="369" t="s">
        <v>431</v>
      </c>
      <c r="E92" s="70"/>
      <c r="F92" s="207"/>
      <c r="G92" s="208"/>
      <c r="H92" s="370"/>
      <c r="I92" s="294"/>
      <c r="J92" s="294"/>
      <c r="K92" s="294"/>
      <c r="L92" s="294"/>
      <c r="M92" s="294"/>
      <c r="N92" s="294"/>
      <c r="O92" s="294"/>
      <c r="P92" s="294"/>
      <c r="Q92" s="294"/>
      <c r="R92" s="294"/>
      <c r="S92" s="294"/>
      <c r="T92" s="294"/>
      <c r="U92" s="294"/>
      <c r="V92" s="294"/>
      <c r="W92" s="294"/>
      <c r="X92" s="294"/>
      <c r="Y92" s="294"/>
      <c r="Z92" s="294"/>
      <c r="AA92" s="294"/>
      <c r="AB92" s="294"/>
      <c r="AC92" s="294"/>
      <c r="AD92" s="294"/>
      <c r="AE92" s="294"/>
      <c r="AF92" s="294"/>
      <c r="AG92" s="294"/>
      <c r="AH92" s="294"/>
      <c r="AI92" s="294"/>
      <c r="AJ92" s="294"/>
      <c r="AK92" s="294"/>
      <c r="AL92" s="294"/>
      <c r="AM92" s="294"/>
      <c r="AN92" s="294"/>
      <c r="AO92" s="294"/>
      <c r="AP92" s="294"/>
      <c r="AQ92" s="294"/>
      <c r="AR92" s="294"/>
      <c r="AS92" s="294"/>
      <c r="AT92" s="298"/>
    </row>
    <row r="93">
      <c r="A93" s="80"/>
      <c r="B93" s="81"/>
      <c r="C93" s="206"/>
      <c r="D93" s="206"/>
      <c r="E93" s="113" t="s">
        <v>432</v>
      </c>
      <c r="F93" s="207" t="s">
        <v>122</v>
      </c>
      <c r="G93" s="208" t="s">
        <v>203</v>
      </c>
      <c r="H93" s="370">
        <f>Inputs!H145</f>
        <v>0.5041559</v>
      </c>
      <c r="I93" s="294" t="str">
        <f>Inputs!I145</f>
        <v>-</v>
      </c>
      <c r="J93" s="294" t="str">
        <f>Inputs!J145</f>
        <v>-</v>
      </c>
      <c r="K93" s="294" t="str">
        <f>Inputs!K145</f>
        <v>-</v>
      </c>
      <c r="L93" s="294" t="str">
        <f>Inputs!L145</f>
        <v>-</v>
      </c>
      <c r="M93" s="294" t="str">
        <f>Inputs!M145</f>
        <v>-</v>
      </c>
      <c r="N93" s="294" t="str">
        <f>Inputs!N145</f>
        <v>-</v>
      </c>
      <c r="O93" s="294" t="str">
        <f>Inputs!O145</f>
        <v>-</v>
      </c>
      <c r="P93" s="294" t="str">
        <f>Inputs!P145</f>
        <v>-</v>
      </c>
      <c r="Q93" s="294" t="str">
        <f>Inputs!Q145</f>
        <v>-</v>
      </c>
      <c r="R93" s="294" t="str">
        <f>Inputs!R145</f>
        <v>-</v>
      </c>
      <c r="S93" s="294" t="str">
        <f>Inputs!S145</f>
        <v>-</v>
      </c>
      <c r="T93" s="294" t="str">
        <f>Inputs!T145</f>
        <v>-</v>
      </c>
      <c r="U93" s="294" t="str">
        <f>Inputs!U145</f>
        <v>-</v>
      </c>
      <c r="V93" s="294" t="str">
        <f>Inputs!V145</f>
        <v>-</v>
      </c>
      <c r="W93" s="294" t="str">
        <f>Inputs!W145</f>
        <v>-</v>
      </c>
      <c r="X93" s="294" t="str">
        <f>Inputs!X145</f>
        <v>-</v>
      </c>
      <c r="Y93" s="294" t="str">
        <f>Inputs!Y145</f>
        <v>-</v>
      </c>
      <c r="Z93" s="294" t="str">
        <f>Inputs!Z145</f>
        <v>-</v>
      </c>
      <c r="AA93" s="294" t="str">
        <f>Inputs!AA145</f>
        <v>-</v>
      </c>
      <c r="AB93" s="294" t="str">
        <f>Inputs!AB145</f>
        <v>-</v>
      </c>
      <c r="AC93" s="294" t="str">
        <f>Inputs!AC145</f>
        <v>-</v>
      </c>
      <c r="AD93" s="294" t="str">
        <f>Inputs!AD145</f>
        <v>-</v>
      </c>
      <c r="AE93" s="294" t="str">
        <f>Inputs!AE145</f>
        <v>-</v>
      </c>
      <c r="AF93" s="294" t="str">
        <f>Inputs!AF145</f>
        <v>-</v>
      </c>
      <c r="AG93" s="294" t="str">
        <f>Inputs!AG145</f>
        <v>-</v>
      </c>
      <c r="AH93" s="294" t="str">
        <f>Inputs!AH145</f>
        <v>-</v>
      </c>
      <c r="AI93" s="294" t="str">
        <f>Inputs!AI145</f>
        <v>-</v>
      </c>
      <c r="AJ93" s="294" t="str">
        <f>Inputs!AJ145</f>
        <v>-</v>
      </c>
      <c r="AK93" s="294" t="str">
        <f>Inputs!AK145</f>
        <v>-</v>
      </c>
      <c r="AL93" s="294" t="str">
        <f>Inputs!AL145</f>
        <v>-</v>
      </c>
      <c r="AM93" s="294" t="str">
        <f>Inputs!AM145</f>
        <v>-</v>
      </c>
      <c r="AN93" s="294" t="str">
        <f>Inputs!AN145</f>
        <v>-</v>
      </c>
      <c r="AO93" s="294" t="str">
        <f>Inputs!AO145</f>
        <v>-</v>
      </c>
      <c r="AP93" s="294" t="str">
        <f>Inputs!AP145</f>
        <v>-</v>
      </c>
      <c r="AQ93" s="294" t="str">
        <f>Inputs!AQ145</f>
        <v>-</v>
      </c>
      <c r="AR93" s="294" t="str">
        <f>Inputs!AR145</f>
        <v>-</v>
      </c>
      <c r="AS93" s="294" t="str">
        <f>Inputs!AS145</f>
        <v>-</v>
      </c>
      <c r="AT93" s="298"/>
    </row>
    <row r="94">
      <c r="A94" s="80"/>
      <c r="B94" s="81"/>
      <c r="C94" s="206"/>
      <c r="D94" s="206"/>
      <c r="E94" s="113" t="s">
        <v>437</v>
      </c>
      <c r="F94" s="207" t="s">
        <v>122</v>
      </c>
      <c r="G94" s="208" t="s">
        <v>149</v>
      </c>
      <c r="H94" s="373" t="s">
        <v>150</v>
      </c>
      <c r="I94" s="210">
        <f t="shared" ref="I94:AS94" si="19">I83*$H$93</f>
        <v>0.008939695463</v>
      </c>
      <c r="J94" s="210">
        <f t="shared" si="19"/>
        <v>0.007152264348</v>
      </c>
      <c r="K94" s="210">
        <f t="shared" si="19"/>
        <v>0.009083702103</v>
      </c>
      <c r="L94" s="210">
        <f t="shared" si="19"/>
        <v>0.004824837114</v>
      </c>
      <c r="M94" s="210">
        <f t="shared" si="19"/>
        <v>0.007255688394</v>
      </c>
      <c r="N94" s="210">
        <f t="shared" si="19"/>
        <v>0.006049958013</v>
      </c>
      <c r="O94" s="210">
        <f t="shared" si="19"/>
        <v>0.006509216558</v>
      </c>
      <c r="P94" s="210">
        <f t="shared" si="19"/>
        <v>0.01027058952</v>
      </c>
      <c r="Q94" s="210">
        <f t="shared" si="19"/>
        <v>0.008748248943</v>
      </c>
      <c r="R94" s="210">
        <f t="shared" si="19"/>
        <v>0.002883348796</v>
      </c>
      <c r="S94" s="210">
        <f t="shared" si="19"/>
        <v>0.006597102714</v>
      </c>
      <c r="T94" s="210">
        <f t="shared" si="19"/>
        <v>0.001840352094</v>
      </c>
      <c r="U94" s="210">
        <f t="shared" si="19"/>
        <v>0.002228571559</v>
      </c>
      <c r="V94" s="210">
        <f t="shared" si="19"/>
        <v>0.002472196808</v>
      </c>
      <c r="W94" s="210">
        <f t="shared" si="19"/>
        <v>0.003201594709</v>
      </c>
      <c r="X94" s="210">
        <f t="shared" si="19"/>
        <v>0.002160258036</v>
      </c>
      <c r="Y94" s="210">
        <f t="shared" si="19"/>
        <v>0.002142955345</v>
      </c>
      <c r="Z94" s="210">
        <f t="shared" si="19"/>
        <v>0.002523284535</v>
      </c>
      <c r="AA94" s="210">
        <f t="shared" si="19"/>
        <v>0.003313375723</v>
      </c>
      <c r="AB94" s="210">
        <f t="shared" si="19"/>
        <v>0.002803600974</v>
      </c>
      <c r="AC94" s="210">
        <f t="shared" si="19"/>
        <v>0.002078901899</v>
      </c>
      <c r="AD94" s="210">
        <f t="shared" si="19"/>
        <v>0.001318343967</v>
      </c>
      <c r="AE94" s="210">
        <f t="shared" si="19"/>
        <v>0.002279669529</v>
      </c>
      <c r="AF94" s="210">
        <f t="shared" si="19"/>
        <v>0.001546951647</v>
      </c>
      <c r="AG94" s="210">
        <f t="shared" si="19"/>
        <v>0.001976190479</v>
      </c>
      <c r="AH94" s="210">
        <f t="shared" si="19"/>
        <v>0.001324919135</v>
      </c>
      <c r="AI94" s="210">
        <f t="shared" si="19"/>
        <v>0.001082615046</v>
      </c>
      <c r="AJ94" s="210">
        <f t="shared" si="19"/>
        <v>0.002937633564</v>
      </c>
      <c r="AK94" s="210">
        <f t="shared" si="19"/>
        <v>0.004223183654</v>
      </c>
      <c r="AL94" s="210">
        <f t="shared" si="19"/>
        <v>0.001813536646</v>
      </c>
      <c r="AM94" s="210">
        <f t="shared" si="19"/>
        <v>0.002348109995</v>
      </c>
      <c r="AN94" s="210">
        <f t="shared" si="19"/>
        <v>0.0009308508854</v>
      </c>
      <c r="AO94" s="210">
        <f t="shared" si="19"/>
        <v>0.001305329784</v>
      </c>
      <c r="AP94" s="210">
        <f t="shared" si="19"/>
        <v>0.002262297745</v>
      </c>
      <c r="AQ94" s="210">
        <f t="shared" si="19"/>
        <v>0.002427099121</v>
      </c>
      <c r="AR94" s="210">
        <f t="shared" si="19"/>
        <v>0.007100807255</v>
      </c>
      <c r="AS94" s="210">
        <f t="shared" si="19"/>
        <v>0.00450553781</v>
      </c>
      <c r="AT94" s="298"/>
    </row>
    <row r="95">
      <c r="A95" s="80"/>
      <c r="B95" s="81"/>
      <c r="C95" s="206"/>
      <c r="D95" s="206"/>
      <c r="E95" s="113" t="s">
        <v>441</v>
      </c>
      <c r="F95" s="207" t="s">
        <v>122</v>
      </c>
      <c r="G95" s="208" t="s">
        <v>149</v>
      </c>
      <c r="H95" s="373" t="s">
        <v>150</v>
      </c>
      <c r="I95" s="210">
        <f t="shared" ref="I95:AS95" si="20">I72*$H$93</f>
        <v>0.0006546187076</v>
      </c>
      <c r="J95" s="210">
        <f t="shared" si="20"/>
        <v>0.000573175851</v>
      </c>
      <c r="K95" s="210">
        <f t="shared" si="20"/>
        <v>0.0006851473639</v>
      </c>
      <c r="L95" s="210">
        <f t="shared" si="20"/>
        <v>0.0004277349404</v>
      </c>
      <c r="M95" s="210">
        <f t="shared" si="20"/>
        <v>0.0006683877094</v>
      </c>
      <c r="N95" s="210">
        <f t="shared" si="20"/>
        <v>0.0005305998853</v>
      </c>
      <c r="O95" s="210">
        <f t="shared" si="20"/>
        <v>0.0005464031561</v>
      </c>
      <c r="P95" s="210">
        <f t="shared" si="20"/>
        <v>0.0007497625049</v>
      </c>
      <c r="Q95" s="210">
        <f t="shared" si="20"/>
        <v>0.0007962618118</v>
      </c>
      <c r="R95" s="210">
        <f t="shared" si="20"/>
        <v>0.000273650781</v>
      </c>
      <c r="S95" s="210">
        <f t="shared" si="20"/>
        <v>0.0005846222066</v>
      </c>
      <c r="T95" s="210">
        <f t="shared" si="20"/>
        <v>0.000220978085</v>
      </c>
      <c r="U95" s="210">
        <f t="shared" si="20"/>
        <v>0.0002405005139</v>
      </c>
      <c r="V95" s="210">
        <f t="shared" si="20"/>
        <v>0.0002324425902</v>
      </c>
      <c r="W95" s="210">
        <f t="shared" si="20"/>
        <v>0.0004232363573</v>
      </c>
      <c r="X95" s="210">
        <f t="shared" si="20"/>
        <v>0.0003045751997</v>
      </c>
      <c r="Y95" s="210">
        <f t="shared" si="20"/>
        <v>0.0003638755291</v>
      </c>
      <c r="Z95" s="210">
        <f t="shared" si="20"/>
        <v>0.0003030990312</v>
      </c>
      <c r="AA95" s="210">
        <f t="shared" si="20"/>
        <v>0.0004127176486</v>
      </c>
      <c r="AB95" s="210">
        <f t="shared" si="20"/>
        <v>0.0002483038389</v>
      </c>
      <c r="AC95" s="210">
        <f t="shared" si="20"/>
        <v>0.0002345953359</v>
      </c>
      <c r="AD95" s="210">
        <f t="shared" si="20"/>
        <v>0.0001988526992</v>
      </c>
      <c r="AE95" s="210">
        <f t="shared" si="20"/>
        <v>0.000306335208</v>
      </c>
      <c r="AF95" s="210">
        <f t="shared" si="20"/>
        <v>0.0002139536808</v>
      </c>
      <c r="AG95" s="210">
        <f t="shared" si="20"/>
        <v>0.0002238230367</v>
      </c>
      <c r="AH95" s="210">
        <f t="shared" si="20"/>
        <v>0.0001960495924</v>
      </c>
      <c r="AI95" s="210">
        <f t="shared" si="20"/>
        <v>0.000211777744</v>
      </c>
      <c r="AJ95" s="210">
        <f t="shared" si="20"/>
        <v>0.0003797942517</v>
      </c>
      <c r="AK95" s="210">
        <f t="shared" si="20"/>
        <v>0.0004324003991</v>
      </c>
      <c r="AL95" s="210">
        <f t="shared" si="20"/>
        <v>0.0002532995197</v>
      </c>
      <c r="AM95" s="210">
        <f t="shared" si="20"/>
        <v>0.0002927804724</v>
      </c>
      <c r="AN95" s="210">
        <f t="shared" si="20"/>
        <v>0.0001529790497</v>
      </c>
      <c r="AO95" s="210">
        <f t="shared" si="20"/>
        <v>0.0001483433362</v>
      </c>
      <c r="AP95" s="210">
        <f t="shared" si="20"/>
        <v>0.0003468693423</v>
      </c>
      <c r="AQ95" s="210">
        <f t="shared" si="20"/>
        <v>0.0002637652921</v>
      </c>
      <c r="AR95" s="210">
        <f t="shared" si="20"/>
        <v>0.0006117967137</v>
      </c>
      <c r="AS95" s="210">
        <f t="shared" si="20"/>
        <v>0.0004647803159</v>
      </c>
      <c r="AT95" s="298"/>
    </row>
    <row r="96">
      <c r="A96" s="80"/>
      <c r="B96" s="81"/>
      <c r="C96" s="206"/>
      <c r="D96" s="206"/>
      <c r="E96" s="113" t="s">
        <v>443</v>
      </c>
      <c r="F96" s="207" t="s">
        <v>122</v>
      </c>
      <c r="G96" s="208" t="s">
        <v>149</v>
      </c>
      <c r="H96" s="373" t="s">
        <v>150</v>
      </c>
      <c r="I96" s="210">
        <f t="shared" ref="I96:AS96" si="21">I73*$H$93</f>
        <v>0.001303749678</v>
      </c>
      <c r="J96" s="210">
        <f t="shared" si="21"/>
        <v>0.001024374207</v>
      </c>
      <c r="K96" s="210">
        <f t="shared" si="21"/>
        <v>0.001553750506</v>
      </c>
      <c r="L96" s="210">
        <f t="shared" si="21"/>
        <v>0.001010526557</v>
      </c>
      <c r="M96" s="210">
        <f t="shared" si="21"/>
        <v>0.001083163322</v>
      </c>
      <c r="N96" s="210">
        <f t="shared" si="21"/>
        <v>0.001270617561</v>
      </c>
      <c r="O96" s="210">
        <f t="shared" si="21"/>
        <v>0.001274590309</v>
      </c>
      <c r="P96" s="210">
        <f t="shared" si="21"/>
        <v>0.001667036353</v>
      </c>
      <c r="Q96" s="210">
        <f t="shared" si="21"/>
        <v>0.001492888806</v>
      </c>
      <c r="R96" s="210">
        <f t="shared" si="21"/>
        <v>0.0008893990686</v>
      </c>
      <c r="S96" s="210">
        <f t="shared" si="21"/>
        <v>0.001232409602</v>
      </c>
      <c r="T96" s="210">
        <f t="shared" si="21"/>
        <v>0.0009478342665</v>
      </c>
      <c r="U96" s="210">
        <f t="shared" si="21"/>
        <v>0.0009871231358</v>
      </c>
      <c r="V96" s="210">
        <f t="shared" si="21"/>
        <v>0.001049721149</v>
      </c>
      <c r="W96" s="210">
        <f t="shared" si="21"/>
        <v>0.00126535014</v>
      </c>
      <c r="X96" s="210">
        <f t="shared" si="21"/>
        <v>0.0009158395248</v>
      </c>
      <c r="Y96" s="210">
        <f t="shared" si="21"/>
        <v>0.001855701574</v>
      </c>
      <c r="Z96" s="210">
        <f t="shared" si="21"/>
        <v>0.001044404321</v>
      </c>
      <c r="AA96" s="210">
        <f t="shared" si="21"/>
        <v>0.001164547193</v>
      </c>
      <c r="AB96" s="210">
        <f t="shared" si="21"/>
        <v>0.001012058687</v>
      </c>
      <c r="AC96" s="210">
        <f t="shared" si="21"/>
        <v>0.0009197124504</v>
      </c>
      <c r="AD96" s="210">
        <f t="shared" si="21"/>
        <v>0.0009216877333</v>
      </c>
      <c r="AE96" s="210">
        <f t="shared" si="21"/>
        <v>0.0008786570189</v>
      </c>
      <c r="AF96" s="210">
        <f t="shared" si="21"/>
        <v>0.0008771027062</v>
      </c>
      <c r="AG96" s="210">
        <f t="shared" si="21"/>
        <v>0.0009886280412</v>
      </c>
      <c r="AH96" s="210">
        <f t="shared" si="21"/>
        <v>0.001070414228</v>
      </c>
      <c r="AI96" s="210">
        <f t="shared" si="21"/>
        <v>0.0007546487839</v>
      </c>
      <c r="AJ96" s="210">
        <f t="shared" si="21"/>
        <v>0.001226931444</v>
      </c>
      <c r="AK96" s="210">
        <f t="shared" si="21"/>
        <v>0.001270887788</v>
      </c>
      <c r="AL96" s="210">
        <f t="shared" si="21"/>
        <v>0.001047258852</v>
      </c>
      <c r="AM96" s="210">
        <f t="shared" si="21"/>
        <v>0.0009909779118</v>
      </c>
      <c r="AN96" s="210">
        <f t="shared" si="21"/>
        <v>0.000698943086</v>
      </c>
      <c r="AO96" s="210">
        <f t="shared" si="21"/>
        <v>0.0007994561436</v>
      </c>
      <c r="AP96" s="210">
        <f t="shared" si="21"/>
        <v>0.001255606823</v>
      </c>
      <c r="AQ96" s="210">
        <f t="shared" si="21"/>
        <v>0.0009793934176</v>
      </c>
      <c r="AR96" s="210">
        <f t="shared" si="21"/>
        <v>0.001384479658</v>
      </c>
      <c r="AS96" s="210">
        <f t="shared" si="21"/>
        <v>0.001308555292</v>
      </c>
      <c r="AT96" s="298"/>
    </row>
    <row r="97">
      <c r="A97" s="80"/>
      <c r="B97" s="81"/>
      <c r="C97" s="206"/>
      <c r="D97" s="206"/>
      <c r="E97" s="224" t="s">
        <v>445</v>
      </c>
      <c r="F97" s="225" t="s">
        <v>122</v>
      </c>
      <c r="G97" s="226" t="s">
        <v>149</v>
      </c>
      <c r="H97" s="259" t="s">
        <v>150</v>
      </c>
      <c r="I97" s="228">
        <f t="shared" ref="I97:AS97" si="22">I74*$H$93</f>
        <v>0.01202387219</v>
      </c>
      <c r="J97" s="228">
        <f t="shared" si="22"/>
        <v>0.01186224384</v>
      </c>
      <c r="K97" s="228">
        <f t="shared" si="22"/>
        <v>0.01234898166</v>
      </c>
      <c r="L97" s="228">
        <f t="shared" si="22"/>
        <v>0.0084715514</v>
      </c>
      <c r="M97" s="228">
        <f t="shared" si="22"/>
        <v>0.009327859188</v>
      </c>
      <c r="N97" s="228">
        <f t="shared" si="22"/>
        <v>0.01063317729</v>
      </c>
      <c r="O97" s="228">
        <f t="shared" si="22"/>
        <v>0.01265924172</v>
      </c>
      <c r="P97" s="228">
        <f t="shared" si="22"/>
        <v>0.01217552531</v>
      </c>
      <c r="Q97" s="228">
        <f t="shared" si="22"/>
        <v>0.01497923206</v>
      </c>
      <c r="R97" s="228">
        <f t="shared" si="22"/>
        <v>0.007956863179</v>
      </c>
      <c r="S97" s="228">
        <f t="shared" si="22"/>
        <v>0.0117726029</v>
      </c>
      <c r="T97" s="228">
        <f t="shared" si="22"/>
        <v>0.008796019583</v>
      </c>
      <c r="U97" s="228">
        <f t="shared" si="22"/>
        <v>0.008270736022</v>
      </c>
      <c r="V97" s="228">
        <f t="shared" si="22"/>
        <v>0.009755569928</v>
      </c>
      <c r="W97" s="228">
        <f t="shared" si="22"/>
        <v>0.01095890889</v>
      </c>
      <c r="X97" s="228">
        <f t="shared" si="22"/>
        <v>0.00981657128</v>
      </c>
      <c r="Y97" s="228">
        <f t="shared" si="22"/>
        <v>0.01661472237</v>
      </c>
      <c r="Z97" s="228">
        <f t="shared" si="22"/>
        <v>0.007960841473</v>
      </c>
      <c r="AA97" s="228">
        <f t="shared" si="22"/>
        <v>0.01002015296</v>
      </c>
      <c r="AB97" s="228">
        <f t="shared" si="22"/>
        <v>0.007223126782</v>
      </c>
      <c r="AC97" s="228">
        <f t="shared" si="22"/>
        <v>0.008050276209</v>
      </c>
      <c r="AD97" s="228">
        <f t="shared" si="22"/>
        <v>0.00865905202</v>
      </c>
      <c r="AE97" s="228">
        <f t="shared" si="22"/>
        <v>0.005732975038</v>
      </c>
      <c r="AF97" s="228">
        <f t="shared" si="22"/>
        <v>0.007388522687</v>
      </c>
      <c r="AG97" s="228">
        <f t="shared" si="22"/>
        <v>0.009761024895</v>
      </c>
      <c r="AH97" s="228">
        <f t="shared" si="22"/>
        <v>0.008555709136</v>
      </c>
      <c r="AI97" s="228">
        <f t="shared" si="22"/>
        <v>0.005822569592</v>
      </c>
      <c r="AJ97" s="228">
        <f t="shared" si="22"/>
        <v>0.007891554823</v>
      </c>
      <c r="AK97" s="228">
        <f t="shared" si="22"/>
        <v>0.0102954851</v>
      </c>
      <c r="AL97" s="228">
        <f t="shared" si="22"/>
        <v>0.009139874577</v>
      </c>
      <c r="AM97" s="228">
        <f t="shared" si="22"/>
        <v>0.009144012185</v>
      </c>
      <c r="AN97" s="228">
        <f t="shared" si="22"/>
        <v>0.007427879113</v>
      </c>
      <c r="AO97" s="228">
        <f t="shared" si="22"/>
        <v>0.007150015605</v>
      </c>
      <c r="AP97" s="228">
        <f t="shared" si="22"/>
        <v>0.007969213486</v>
      </c>
      <c r="AQ97" s="228">
        <f t="shared" si="22"/>
        <v>0.007913164962</v>
      </c>
      <c r="AR97" s="228">
        <f t="shared" si="22"/>
        <v>0.008692703418</v>
      </c>
      <c r="AS97" s="228">
        <f t="shared" si="22"/>
        <v>0.01131269727</v>
      </c>
      <c r="AT97" s="389"/>
    </row>
    <row r="98">
      <c r="A98" s="80"/>
      <c r="B98" s="81"/>
      <c r="C98" s="126"/>
      <c r="D98" s="126"/>
      <c r="E98" s="243"/>
      <c r="F98" s="201"/>
      <c r="G98" s="202"/>
      <c r="H98" s="8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91"/>
    </row>
    <row r="99">
      <c r="A99" s="72" t="s">
        <v>449</v>
      </c>
      <c r="B99" s="14"/>
      <c r="C99" s="14"/>
      <c r="D99" s="14"/>
      <c r="E99" s="14"/>
      <c r="F99" s="14"/>
      <c r="G99" s="14"/>
      <c r="H99" s="73"/>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c r="AL99" s="97"/>
      <c r="AM99" s="97"/>
      <c r="AN99" s="97"/>
      <c r="AO99" s="97"/>
      <c r="AP99" s="97"/>
      <c r="AQ99" s="97"/>
      <c r="AR99" s="97"/>
      <c r="AS99" s="97"/>
      <c r="AT99" s="79"/>
    </row>
    <row r="100">
      <c r="A100" s="80"/>
      <c r="B100" s="81"/>
      <c r="C100" s="126"/>
      <c r="D100" s="126"/>
      <c r="E100" s="243"/>
      <c r="F100" s="201"/>
      <c r="G100" s="202"/>
      <c r="H100" s="8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91"/>
    </row>
    <row r="101">
      <c r="A101" s="81"/>
      <c r="B101" s="81"/>
      <c r="C101" s="126" t="s">
        <v>450</v>
      </c>
      <c r="F101" s="201"/>
      <c r="G101" s="201"/>
      <c r="H101" s="8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91"/>
    </row>
    <row r="102">
      <c r="A102" s="80"/>
      <c r="B102" s="81"/>
      <c r="C102" s="206"/>
      <c r="D102" s="206"/>
      <c r="E102" s="113" t="s">
        <v>451</v>
      </c>
      <c r="F102" s="207" t="s">
        <v>122</v>
      </c>
      <c r="G102" s="208" t="s">
        <v>203</v>
      </c>
      <c r="H102" s="209" t="str">
        <f>Inputs!H148</f>
        <v>-</v>
      </c>
      <c r="I102" s="210">
        <f>Inputs!I148</f>
        <v>0.006177361</v>
      </c>
      <c r="J102" s="210">
        <f>Inputs!J148</f>
        <v>0.005211418</v>
      </c>
      <c r="K102" s="210">
        <f>Inputs!K148</f>
        <v>0.006472392</v>
      </c>
      <c r="L102" s="210">
        <f>Inputs!L148</f>
        <v>0.003542222</v>
      </c>
      <c r="M102" s="210">
        <f>Inputs!M148</f>
        <v>0.005411087</v>
      </c>
      <c r="N102" s="210">
        <f>Inputs!N148</f>
        <v>0.004841311</v>
      </c>
      <c r="O102" s="210">
        <f>Inputs!O148</f>
        <v>0.005304934</v>
      </c>
      <c r="P102" s="210">
        <f>Inputs!P148</f>
        <v>0.008024852</v>
      </c>
      <c r="Q102" s="210">
        <f>Inputs!Q148</f>
        <v>0.009255404</v>
      </c>
      <c r="R102" s="210">
        <f>Inputs!R148</f>
        <v>0.001617762</v>
      </c>
      <c r="S102" s="210">
        <f>Inputs!S148</f>
        <v>0.004193349</v>
      </c>
      <c r="T102" s="210">
        <f>Inputs!T148</f>
        <v>0.001212024</v>
      </c>
      <c r="U102" s="210">
        <f>Inputs!U148</f>
        <v>0.00107499</v>
      </c>
      <c r="V102" s="210">
        <f>Inputs!V148</f>
        <v>0.00161615</v>
      </c>
      <c r="W102" s="210">
        <f>Inputs!W148</f>
        <v>0.002073541</v>
      </c>
      <c r="X102" s="210">
        <f>Inputs!X148</f>
        <v>0.001666184</v>
      </c>
      <c r="Y102" s="210">
        <f>Inputs!Y148</f>
        <v>0.001242412</v>
      </c>
      <c r="Z102" s="210">
        <f>Inputs!Z148</f>
        <v>0.001657807</v>
      </c>
      <c r="AA102" s="210">
        <f>Inputs!AA148</f>
        <v>0.002014104</v>
      </c>
      <c r="AB102" s="210">
        <f>Inputs!AB148</f>
        <v>0.0015937</v>
      </c>
      <c r="AC102" s="210">
        <f>Inputs!AC148</f>
        <v>0.001259148</v>
      </c>
      <c r="AD102" s="210">
        <f>Inputs!AD148</f>
        <v>0.000855174</v>
      </c>
      <c r="AE102" s="210">
        <f>Inputs!AE148</f>
        <v>0.001555766</v>
      </c>
      <c r="AF102" s="210">
        <f>Inputs!AF148</f>
        <v>0.000941128</v>
      </c>
      <c r="AG102" s="210">
        <f>Inputs!AG148</f>
        <v>0.001190984</v>
      </c>
      <c r="AH102" s="210">
        <f>Inputs!AH148</f>
        <v>0.00095864</v>
      </c>
      <c r="AI102" s="210">
        <f>Inputs!AI148</f>
        <v>0.000818202</v>
      </c>
      <c r="AJ102" s="210">
        <f>Inputs!AJ148</f>
        <v>0.002113785</v>
      </c>
      <c r="AK102" s="210">
        <f>Inputs!AK148</f>
        <v>0.003041217</v>
      </c>
      <c r="AL102" s="210">
        <f>Inputs!AL148</f>
        <v>0.001363403</v>
      </c>
      <c r="AM102" s="210">
        <f>Inputs!AM148</f>
        <v>0.00133794</v>
      </c>
      <c r="AN102" s="210">
        <f>Inputs!AN148</f>
        <v>0.000678927</v>
      </c>
      <c r="AO102" s="210">
        <f>Inputs!AO148</f>
        <v>0.000886172</v>
      </c>
      <c r="AP102" s="210">
        <f>Inputs!AP148</f>
        <v>0.001575413</v>
      </c>
      <c r="AQ102" s="210">
        <f>Inputs!AQ148</f>
        <v>0.001552693</v>
      </c>
      <c r="AR102" s="210">
        <f>Inputs!AR148</f>
        <v>0.004512629</v>
      </c>
      <c r="AS102" s="210">
        <f>Inputs!AS148</f>
        <v>0.003392061</v>
      </c>
      <c r="AT102" s="212"/>
    </row>
    <row r="103">
      <c r="A103" s="80"/>
      <c r="B103" s="81"/>
      <c r="C103" s="206"/>
      <c r="D103" s="206"/>
      <c r="E103" s="140" t="s">
        <v>459</v>
      </c>
      <c r="F103" s="278" t="s">
        <v>122</v>
      </c>
      <c r="G103" s="279" t="s">
        <v>203</v>
      </c>
      <c r="H103" s="280" t="str">
        <f>Inputs!H149</f>
        <v>-</v>
      </c>
      <c r="I103" s="281">
        <f>Inputs!I149</f>
        <v>0.000920251</v>
      </c>
      <c r="J103" s="281">
        <f>Inputs!J149</f>
        <v>0.00078274</v>
      </c>
      <c r="K103" s="281">
        <f>Inputs!K149</f>
        <v>0.000975938</v>
      </c>
      <c r="L103" s="281">
        <f>Inputs!L149</f>
        <v>0.000543254</v>
      </c>
      <c r="M103" s="281">
        <f>Inputs!M149</f>
        <v>0.00085293</v>
      </c>
      <c r="N103" s="281">
        <f>Inputs!N149</f>
        <v>0.000744263</v>
      </c>
      <c r="O103" s="281">
        <f>Inputs!O149</f>
        <v>0.000848212</v>
      </c>
      <c r="P103" s="281">
        <f>Inputs!P149</f>
        <v>0.001182199</v>
      </c>
      <c r="Q103" s="281">
        <f>Inputs!Q149</f>
        <v>0.001216374</v>
      </c>
      <c r="R103" s="281">
        <f>Inputs!R149</f>
        <v>0.000283224</v>
      </c>
      <c r="S103" s="281">
        <f>Inputs!S149</f>
        <v>0.00069414</v>
      </c>
      <c r="T103" s="281">
        <f>Inputs!T149</f>
        <v>0.000240103</v>
      </c>
      <c r="U103" s="281">
        <f>Inputs!U149</f>
        <v>0.000243766</v>
      </c>
      <c r="V103" s="281">
        <f>Inputs!V149</f>
        <v>0.000270451</v>
      </c>
      <c r="W103" s="281">
        <f>Inputs!W149</f>
        <v>0.000473177</v>
      </c>
      <c r="X103" s="281">
        <f>Inputs!X149</f>
        <v>0.00040184</v>
      </c>
      <c r="Y103" s="281">
        <f>Inputs!Y149</f>
        <v>0.000249085</v>
      </c>
      <c r="Z103" s="281">
        <f>Inputs!Z149</f>
        <v>0.000325336</v>
      </c>
      <c r="AA103" s="281">
        <f>Inputs!AA149</f>
        <v>0.000445482</v>
      </c>
      <c r="AB103" s="281">
        <f>Inputs!AB149</f>
        <v>0.000259059</v>
      </c>
      <c r="AC103" s="281">
        <f>Inputs!AC149</f>
        <v>0.000237977</v>
      </c>
      <c r="AD103" s="281">
        <f>Inputs!AD149</f>
        <v>0.000224853</v>
      </c>
      <c r="AE103" s="281">
        <f>Inputs!AE149</f>
        <v>0.000322448</v>
      </c>
      <c r="AF103" s="281">
        <f>Inputs!AF149</f>
        <v>0.000224958</v>
      </c>
      <c r="AG103" s="281">
        <f>Inputs!AG149</f>
        <v>0.000238644</v>
      </c>
      <c r="AH103" s="281">
        <f>Inputs!AH149</f>
        <v>0.000227058</v>
      </c>
      <c r="AI103" s="281">
        <f>Inputs!AI149</f>
        <v>0.000225853</v>
      </c>
      <c r="AJ103" s="281">
        <f>Inputs!AJ149</f>
        <v>0.000428339</v>
      </c>
      <c r="AK103" s="281">
        <f>Inputs!AK149</f>
        <v>0.000569156</v>
      </c>
      <c r="AL103" s="281">
        <f>Inputs!AL149</f>
        <v>0.000309691</v>
      </c>
      <c r="AM103" s="281">
        <f>Inputs!AM149</f>
        <v>0.000305717</v>
      </c>
      <c r="AN103" s="281">
        <f>Inputs!AN149</f>
        <v>0.000165232</v>
      </c>
      <c r="AO103" s="281">
        <f>Inputs!AO149</f>
        <v>0.000178382</v>
      </c>
      <c r="AP103" s="281">
        <f>Inputs!AP149</f>
        <v>0.000398961</v>
      </c>
      <c r="AQ103" s="281">
        <f>Inputs!AQ149</f>
        <v>0.000279489</v>
      </c>
      <c r="AR103" s="281">
        <f>Inputs!AR149</f>
        <v>0.000744871</v>
      </c>
      <c r="AS103" s="281">
        <f>Inputs!AS149</f>
        <v>0.000678181</v>
      </c>
      <c r="AT103" s="282"/>
    </row>
    <row r="104">
      <c r="A104" s="80"/>
      <c r="B104" s="81"/>
      <c r="C104" s="206"/>
      <c r="D104" s="206"/>
      <c r="E104" s="140" t="s">
        <v>470</v>
      </c>
      <c r="F104" s="278" t="s">
        <v>122</v>
      </c>
      <c r="G104" s="279" t="s">
        <v>203</v>
      </c>
      <c r="H104" s="280" t="str">
        <f>Inputs!H150</f>
        <v>-</v>
      </c>
      <c r="I104" s="281">
        <f>Inputs!I150</f>
        <v>0.001870641</v>
      </c>
      <c r="J104" s="281">
        <f>Inputs!J150</f>
        <v>0.001396704</v>
      </c>
      <c r="K104" s="281">
        <f>Inputs!K150</f>
        <v>0.002364602</v>
      </c>
      <c r="L104" s="281">
        <f>Inputs!L150</f>
        <v>0.001256075</v>
      </c>
      <c r="M104" s="281">
        <f>Inputs!M150</f>
        <v>0.001435015</v>
      </c>
      <c r="N104" s="281">
        <f>Inputs!N150</f>
        <v>0.001813177</v>
      </c>
      <c r="O104" s="281">
        <f>Inputs!O150</f>
        <v>0.001952634</v>
      </c>
      <c r="P104" s="281">
        <f>Inputs!P150</f>
        <v>0.002694076</v>
      </c>
      <c r="Q104" s="281">
        <f>Inputs!Q150</f>
        <v>0.002407406</v>
      </c>
      <c r="R104" s="281">
        <f>Inputs!R150</f>
        <v>0.000814486</v>
      </c>
      <c r="S104" s="281">
        <f>Inputs!S150</f>
        <v>0.001486466</v>
      </c>
      <c r="T104" s="281">
        <f>Inputs!T150</f>
        <v>0.000858825</v>
      </c>
      <c r="U104" s="281">
        <f>Inputs!U150</f>
        <v>0.000852011</v>
      </c>
      <c r="V104" s="281">
        <f>Inputs!V150</f>
        <v>0.001031929</v>
      </c>
      <c r="W104" s="281">
        <f>Inputs!W150</f>
        <v>0.001314864</v>
      </c>
      <c r="X104" s="281">
        <f>Inputs!X150</f>
        <v>0.001184471</v>
      </c>
      <c r="Y104" s="281">
        <f>Inputs!Y150</f>
        <v>0.000896409</v>
      </c>
      <c r="Z104" s="281">
        <f>Inputs!Z150</f>
        <v>0.000984157</v>
      </c>
      <c r="AA104" s="281">
        <f>Inputs!AA150</f>
        <v>0.001159156</v>
      </c>
      <c r="AB104" s="281">
        <f>Inputs!AB150</f>
        <v>0.000878335</v>
      </c>
      <c r="AC104" s="281">
        <f>Inputs!AC150</f>
        <v>0.000771143</v>
      </c>
      <c r="AD104" s="281">
        <f>Inputs!AD150</f>
        <v>0.000867108</v>
      </c>
      <c r="AE104" s="281">
        <f>Inputs!AE150</f>
        <v>0.000886405</v>
      </c>
      <c r="AF104" s="281">
        <f>Inputs!AF150</f>
        <v>0.000765457</v>
      </c>
      <c r="AG104" s="281">
        <f>Inputs!AG150</f>
        <v>0.000900864</v>
      </c>
      <c r="AH104" s="281">
        <f>Inputs!AH150</f>
        <v>0.000997862</v>
      </c>
      <c r="AI104" s="281">
        <f>Inputs!AI150</f>
        <v>0.000690807</v>
      </c>
      <c r="AJ104" s="281">
        <f>Inputs!AJ150</f>
        <v>0.001291432</v>
      </c>
      <c r="AK104" s="281">
        <f>Inputs!AK150</f>
        <v>0.001618747</v>
      </c>
      <c r="AL104" s="281">
        <f>Inputs!AL150</f>
        <v>0.001119381</v>
      </c>
      <c r="AM104" s="281">
        <f>Inputs!AM150</f>
        <v>0.000915458</v>
      </c>
      <c r="AN104" s="281">
        <f>Inputs!AN150</f>
        <v>0.000610898</v>
      </c>
      <c r="AO104" s="281">
        <f>Inputs!AO150</f>
        <v>0.000776371</v>
      </c>
      <c r="AP104" s="281">
        <f>Inputs!AP150</f>
        <v>0.001314524</v>
      </c>
      <c r="AQ104" s="281">
        <f>Inputs!AQ150</f>
        <v>0.000877491</v>
      </c>
      <c r="AR104" s="281">
        <f>Inputs!AR150</f>
        <v>0.001651731</v>
      </c>
      <c r="AS104" s="281">
        <f>Inputs!AS150</f>
        <v>0.001933221</v>
      </c>
      <c r="AT104" s="282"/>
    </row>
    <row r="105">
      <c r="A105" s="80"/>
      <c r="B105" s="81"/>
      <c r="C105" s="206"/>
      <c r="D105" s="206"/>
      <c r="E105" s="237" t="s">
        <v>479</v>
      </c>
      <c r="F105" s="283" t="s">
        <v>122</v>
      </c>
      <c r="G105" s="285" t="s">
        <v>203</v>
      </c>
      <c r="H105" s="286" t="str">
        <f>Inputs!H151</f>
        <v>-</v>
      </c>
      <c r="I105" s="287">
        <f>Inputs!I151</f>
        <v>0.004939422</v>
      </c>
      <c r="J105" s="287">
        <f>Inputs!J151</f>
        <v>0.00469284</v>
      </c>
      <c r="K105" s="287">
        <f>Inputs!K151</f>
        <v>0.005174821</v>
      </c>
      <c r="L105" s="287">
        <f>Inputs!L151</f>
        <v>0.003177413</v>
      </c>
      <c r="M105" s="287">
        <f>Inputs!M151</f>
        <v>0.003663199</v>
      </c>
      <c r="N105" s="287">
        <f>Inputs!N151</f>
        <v>0.004443934</v>
      </c>
      <c r="O105" s="287">
        <f>Inputs!O151</f>
        <v>0.005659515</v>
      </c>
      <c r="P105" s="287">
        <f>Inputs!P151</f>
        <v>0.005851887</v>
      </c>
      <c r="Q105" s="287">
        <f>Inputs!Q151</f>
        <v>0.006685653</v>
      </c>
      <c r="R105" s="287">
        <f>Inputs!R151</f>
        <v>0.002308496</v>
      </c>
      <c r="S105" s="287">
        <f>Inputs!S151</f>
        <v>0.00386879</v>
      </c>
      <c r="T105" s="287">
        <f>Inputs!T151</f>
        <v>0.002610774</v>
      </c>
      <c r="U105" s="287">
        <f>Inputs!U151</f>
        <v>0.002211325</v>
      </c>
      <c r="V105" s="287">
        <f>Inputs!V151</f>
        <v>0.003107491</v>
      </c>
      <c r="W105" s="287">
        <f>Inputs!W151</f>
        <v>0.003376875</v>
      </c>
      <c r="X105" s="287">
        <f>Inputs!X151</f>
        <v>0.003468907</v>
      </c>
      <c r="Y105" s="287">
        <f>Inputs!Y151</f>
        <v>0.002667023</v>
      </c>
      <c r="Z105" s="287">
        <f>Inputs!Z151</f>
        <v>0.002366756</v>
      </c>
      <c r="AA105" s="287">
        <f>Inputs!AA151</f>
        <v>0.002996523</v>
      </c>
      <c r="AB105" s="287">
        <f>Inputs!AB151</f>
        <v>0.002092001</v>
      </c>
      <c r="AC105" s="287">
        <f>Inputs!AC151</f>
        <v>0.002224215</v>
      </c>
      <c r="AD105" s="287">
        <f>Inputs!AD151</f>
        <v>0.002484024</v>
      </c>
      <c r="AE105" s="287">
        <f>Inputs!AE151</f>
        <v>0.00176615</v>
      </c>
      <c r="AF105" s="287">
        <f>Inputs!AF151</f>
        <v>0.002058023</v>
      </c>
      <c r="AG105" s="287">
        <f>Inputs!AG151</f>
        <v>0.002707385</v>
      </c>
      <c r="AH105" s="287">
        <f>Inputs!AH151</f>
        <v>0.00262762</v>
      </c>
      <c r="AI105" s="287">
        <f>Inputs!AI151</f>
        <v>0.001698962</v>
      </c>
      <c r="AJ105" s="287">
        <f>Inputs!AJ151</f>
        <v>0.002590713</v>
      </c>
      <c r="AK105" s="287">
        <f>Inputs!AK151</f>
        <v>0.003865714</v>
      </c>
      <c r="AL105" s="287">
        <f>Inputs!AL151</f>
        <v>0.002996476</v>
      </c>
      <c r="AM105" s="287">
        <f>Inputs!AM151</f>
        <v>0.00260227</v>
      </c>
      <c r="AN105" s="287">
        <f>Inputs!AN151</f>
        <v>0.002077918</v>
      </c>
      <c r="AO105" s="287">
        <f>Inputs!AO151</f>
        <v>0.002241338</v>
      </c>
      <c r="AP105" s="287">
        <f>Inputs!AP151</f>
        <v>0.002582749</v>
      </c>
      <c r="AQ105" s="287">
        <f>Inputs!AQ151</f>
        <v>0.002348981</v>
      </c>
      <c r="AR105" s="287">
        <f>Inputs!AR151</f>
        <v>0.003337364</v>
      </c>
      <c r="AS105" s="287">
        <f>Inputs!AS151</f>
        <v>0.004682851</v>
      </c>
      <c r="AT105" s="293"/>
    </row>
    <row r="106">
      <c r="A106" s="80"/>
      <c r="B106" s="81"/>
      <c r="C106" s="126"/>
      <c r="D106" s="126"/>
      <c r="E106" s="243"/>
      <c r="F106" s="201"/>
      <c r="G106" s="202"/>
      <c r="H106" s="8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91"/>
    </row>
    <row r="107">
      <c r="A107" s="80"/>
      <c r="B107" s="81"/>
      <c r="C107" s="126" t="s">
        <v>490</v>
      </c>
      <c r="F107" s="201"/>
      <c r="G107" s="202"/>
      <c r="H107" s="8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91"/>
    </row>
    <row r="108">
      <c r="A108" s="80"/>
      <c r="B108" s="81"/>
      <c r="C108" s="206"/>
      <c r="D108" s="206"/>
      <c r="E108" s="113" t="s">
        <v>491</v>
      </c>
      <c r="F108" s="207" t="s">
        <v>111</v>
      </c>
      <c r="G108" s="208" t="s">
        <v>203</v>
      </c>
      <c r="H108" s="209" t="str">
        <f>Inputs!H152</f>
        <v>-</v>
      </c>
      <c r="I108" s="294">
        <f>Inputs!I152</f>
        <v>1739.194164</v>
      </c>
      <c r="J108" s="294">
        <f>Inputs!J152</f>
        <v>683.0972966</v>
      </c>
      <c r="K108" s="294">
        <f>Inputs!K152</f>
        <v>1495.031252</v>
      </c>
      <c r="L108" s="294">
        <f>Inputs!L152</f>
        <v>1386.180635</v>
      </c>
      <c r="M108" s="294">
        <f>Inputs!M152</f>
        <v>3707.038833</v>
      </c>
      <c r="N108" s="294">
        <f>Inputs!N152</f>
        <v>2043.485593</v>
      </c>
      <c r="O108" s="294">
        <f>Inputs!O152</f>
        <v>1061.10668</v>
      </c>
      <c r="P108" s="294">
        <f>Inputs!P152</f>
        <v>2395.314093</v>
      </c>
      <c r="Q108" s="294">
        <f>Inputs!Q152</f>
        <v>1492.521201</v>
      </c>
      <c r="R108" s="294">
        <f>Inputs!R152</f>
        <v>224.3632432</v>
      </c>
      <c r="S108" s="294">
        <f>Inputs!S152</f>
        <v>472.3934152</v>
      </c>
      <c r="T108" s="294">
        <f>Inputs!T152</f>
        <v>72.72755246</v>
      </c>
      <c r="U108" s="294">
        <f>Inputs!U152</f>
        <v>203.0302095</v>
      </c>
      <c r="V108" s="294">
        <f>Inputs!V152</f>
        <v>35.07375564</v>
      </c>
      <c r="W108" s="294">
        <f>Inputs!W152</f>
        <v>628.8831324</v>
      </c>
      <c r="X108" s="294">
        <f>Inputs!X152</f>
        <v>277.464135</v>
      </c>
      <c r="Y108" s="294">
        <f>Inputs!Y152</f>
        <v>78.8276494</v>
      </c>
      <c r="Z108" s="294">
        <f>Inputs!Z152</f>
        <v>198.8477264</v>
      </c>
      <c r="AA108" s="294">
        <f>Inputs!AA152</f>
        <v>209.588632</v>
      </c>
      <c r="AB108" s="294">
        <f>Inputs!AB152</f>
        <v>161.5680607</v>
      </c>
      <c r="AC108" s="294">
        <f>Inputs!AC152</f>
        <v>57.04577686</v>
      </c>
      <c r="AD108" s="294">
        <f>Inputs!AD152</f>
        <v>107.9134404</v>
      </c>
      <c r="AE108" s="294">
        <f>Inputs!AE152</f>
        <v>288.455805</v>
      </c>
      <c r="AF108" s="294">
        <f>Inputs!AF152</f>
        <v>290.3267632</v>
      </c>
      <c r="AG108" s="294">
        <f>Inputs!AG152</f>
        <v>99.72279218</v>
      </c>
      <c r="AH108" s="294">
        <f>Inputs!AH152</f>
        <v>87.79916158</v>
      </c>
      <c r="AI108" s="294">
        <f>Inputs!AI152</f>
        <v>109.5447213</v>
      </c>
      <c r="AJ108" s="294">
        <f>Inputs!AJ152</f>
        <v>413.0022819</v>
      </c>
      <c r="AK108" s="294">
        <f>Inputs!AK152</f>
        <v>1284.887491</v>
      </c>
      <c r="AL108" s="294">
        <f>Inputs!AL152</f>
        <v>470.4288251</v>
      </c>
      <c r="AM108" s="294">
        <f>Inputs!AM152</f>
        <v>131.3038019</v>
      </c>
      <c r="AN108" s="294">
        <f>Inputs!AN152</f>
        <v>76.7641569</v>
      </c>
      <c r="AO108" s="294">
        <f>Inputs!AO152</f>
        <v>140.3916862</v>
      </c>
      <c r="AP108" s="294">
        <f>Inputs!AP152</f>
        <v>611.2231841</v>
      </c>
      <c r="AQ108" s="294">
        <f>Inputs!AQ152</f>
        <v>149.8260721</v>
      </c>
      <c r="AR108" s="294">
        <f>Inputs!AR152</f>
        <v>1337.418391</v>
      </c>
      <c r="AS108" s="294">
        <f>Inputs!AS152</f>
        <v>578.3361405</v>
      </c>
      <c r="AT108" s="298"/>
    </row>
    <row r="109">
      <c r="A109" s="80"/>
      <c r="B109" s="81"/>
      <c r="C109" s="206"/>
      <c r="D109" s="206"/>
      <c r="E109" s="140" t="s">
        <v>497</v>
      </c>
      <c r="F109" s="278" t="s">
        <v>111</v>
      </c>
      <c r="G109" s="279" t="s">
        <v>203</v>
      </c>
      <c r="H109" s="280" t="str">
        <f>Inputs!H153</f>
        <v>-</v>
      </c>
      <c r="I109" s="299">
        <f>Inputs!I153</f>
        <v>106.4141194</v>
      </c>
      <c r="J109" s="299">
        <f>Inputs!J153</f>
        <v>39.26907751</v>
      </c>
      <c r="K109" s="299">
        <f>Inputs!K153</f>
        <v>72.15888587</v>
      </c>
      <c r="L109" s="299">
        <f>Inputs!L153</f>
        <v>94.85391153</v>
      </c>
      <c r="M109" s="299">
        <f>Inputs!M153</f>
        <v>232.5389148</v>
      </c>
      <c r="N109" s="299">
        <f>Inputs!N153</f>
        <v>108.2306589</v>
      </c>
      <c r="O109" s="299">
        <f>Inputs!O153</f>
        <v>74.78046252</v>
      </c>
      <c r="P109" s="299">
        <f>Inputs!P153</f>
        <v>112.9247982</v>
      </c>
      <c r="Q109" s="299">
        <f>Inputs!Q153</f>
        <v>52.77654376</v>
      </c>
      <c r="R109" s="299">
        <f>Inputs!R153</f>
        <v>20.82072545</v>
      </c>
      <c r="S109" s="299">
        <f>Inputs!S153</f>
        <v>28.76934075</v>
      </c>
      <c r="T109" s="299">
        <f>Inputs!T153</f>
        <v>8.364610002</v>
      </c>
      <c r="U109" s="299">
        <f>Inputs!U153</f>
        <v>22.41188221</v>
      </c>
      <c r="V109" s="299">
        <f>Inputs!V153</f>
        <v>2.930334988</v>
      </c>
      <c r="W109" s="299">
        <f>Inputs!W153</f>
        <v>68.72042112</v>
      </c>
      <c r="X109" s="299">
        <f>Inputs!X153</f>
        <v>29.149782</v>
      </c>
      <c r="Y109" s="299">
        <f>Inputs!Y153</f>
        <v>7.597028806</v>
      </c>
      <c r="Z109" s="299">
        <f>Inputs!Z153</f>
        <v>22.0691039</v>
      </c>
      <c r="AA109" s="299">
        <f>Inputs!AA153</f>
        <v>26.03058789</v>
      </c>
      <c r="AB109" s="299">
        <f>Inputs!AB153</f>
        <v>15.21239842</v>
      </c>
      <c r="AC109" s="299">
        <f>Inputs!AC153</f>
        <v>8.398213867</v>
      </c>
      <c r="AD109" s="299">
        <f>Inputs!AD153</f>
        <v>12.76307736</v>
      </c>
      <c r="AE109" s="299">
        <f>Inputs!AE153</f>
        <v>36.68629771</v>
      </c>
      <c r="AF109" s="299">
        <f>Inputs!AF153</f>
        <v>43.57592011</v>
      </c>
      <c r="AG109" s="299">
        <f>Inputs!AG153</f>
        <v>11.45004907</v>
      </c>
      <c r="AH109" s="299">
        <f>Inputs!AH153</f>
        <v>11.61158209</v>
      </c>
      <c r="AI109" s="299">
        <f>Inputs!AI153</f>
        <v>21.65063764</v>
      </c>
      <c r="AJ109" s="299">
        <f>Inputs!AJ153</f>
        <v>43.50322354</v>
      </c>
      <c r="AK109" s="299">
        <f>Inputs!AK153</f>
        <v>92.28288516</v>
      </c>
      <c r="AL109" s="299">
        <f>Inputs!AL153</f>
        <v>61.83767961</v>
      </c>
      <c r="AM109" s="299">
        <f>Inputs!AM153</f>
        <v>16.32538475</v>
      </c>
      <c r="AN109" s="299">
        <f>Inputs!AN153</f>
        <v>13.57805059</v>
      </c>
      <c r="AO109" s="299">
        <f>Inputs!AO153</f>
        <v>20.95907005</v>
      </c>
      <c r="AP109" s="299">
        <f>Inputs!AP153</f>
        <v>66.10390092</v>
      </c>
      <c r="AQ109" s="299">
        <f>Inputs!AQ153</f>
        <v>17.25377488</v>
      </c>
      <c r="AR109" s="299">
        <f>Inputs!AR153</f>
        <v>79.06687657</v>
      </c>
      <c r="AS109" s="299">
        <f>Inputs!AS153</f>
        <v>53.62660007</v>
      </c>
      <c r="AT109" s="297"/>
    </row>
    <row r="110">
      <c r="A110" s="80"/>
      <c r="B110" s="81"/>
      <c r="C110" s="206"/>
      <c r="D110" s="206"/>
      <c r="E110" s="140" t="s">
        <v>504</v>
      </c>
      <c r="F110" s="278" t="s">
        <v>111</v>
      </c>
      <c r="G110" s="279" t="s">
        <v>203</v>
      </c>
      <c r="H110" s="280" t="str">
        <f>Inputs!H154</f>
        <v>-</v>
      </c>
      <c r="I110" s="299">
        <f>Inputs!I154</f>
        <v>52.03234816</v>
      </c>
      <c r="J110" s="299">
        <f>Inputs!J154</f>
        <v>22.47834852</v>
      </c>
      <c r="K110" s="299">
        <f>Inputs!K154</f>
        <v>40.57253079</v>
      </c>
      <c r="L110" s="299">
        <f>Inputs!L154</f>
        <v>68.29007617</v>
      </c>
      <c r="M110" s="299">
        <f>Inputs!M154</f>
        <v>157.4103247</v>
      </c>
      <c r="N110" s="299">
        <f>Inputs!N154</f>
        <v>105.1597916</v>
      </c>
      <c r="O110" s="299">
        <f>Inputs!O154</f>
        <v>44.52235959</v>
      </c>
      <c r="P110" s="299">
        <f>Inputs!P154</f>
        <v>105.0810759</v>
      </c>
      <c r="Q110" s="299">
        <f>Inputs!Q154</f>
        <v>58.31154912</v>
      </c>
      <c r="R110" s="299">
        <f>Inputs!R154</f>
        <v>9.239309279</v>
      </c>
      <c r="S110" s="299">
        <f>Inputs!S154</f>
        <v>17.47134003</v>
      </c>
      <c r="T110" s="299">
        <f>Inputs!T154</f>
        <v>4.712088948</v>
      </c>
      <c r="U110" s="299">
        <f>Inputs!U154</f>
        <v>11.73715441</v>
      </c>
      <c r="V110" s="299">
        <f>Inputs!V154</f>
        <v>1.616658064</v>
      </c>
      <c r="W110" s="299">
        <f>Inputs!W154</f>
        <v>37.0440206</v>
      </c>
      <c r="X110" s="299">
        <f>Inputs!X154</f>
        <v>17.84102987</v>
      </c>
      <c r="Y110" s="299">
        <f>Inputs!Y154</f>
        <v>4.592414057</v>
      </c>
      <c r="Z110" s="299">
        <f>Inputs!Z154</f>
        <v>14.38200631</v>
      </c>
      <c r="AA110" s="299">
        <f>Inputs!AA154</f>
        <v>13.62012144</v>
      </c>
      <c r="AB110" s="299">
        <f>Inputs!AB154</f>
        <v>8.540034917</v>
      </c>
      <c r="AC110" s="299">
        <f>Inputs!AC154</f>
        <v>3.405789601</v>
      </c>
      <c r="AD110" s="299">
        <f>Inputs!AD154</f>
        <v>10.89327711</v>
      </c>
      <c r="AE110" s="299">
        <f>Inputs!AE154</f>
        <v>16.43220052</v>
      </c>
      <c r="AF110" s="299">
        <f>Inputs!AF154</f>
        <v>13.26588654</v>
      </c>
      <c r="AG110" s="299">
        <f>Inputs!AG154</f>
        <v>6.007446286</v>
      </c>
      <c r="AH110" s="299">
        <f>Inputs!AH154</f>
        <v>8.6705455</v>
      </c>
      <c r="AI110" s="299">
        <f>Inputs!AI154</f>
        <v>10.25538763</v>
      </c>
      <c r="AJ110" s="299">
        <f>Inputs!AJ154</f>
        <v>27.30440462</v>
      </c>
      <c r="AK110" s="299">
        <f>Inputs!AK154</f>
        <v>84.11014099</v>
      </c>
      <c r="AL110" s="299">
        <f>Inputs!AL154</f>
        <v>47.05543466</v>
      </c>
      <c r="AM110" s="299">
        <f>Inputs!AM154</f>
        <v>8.11726436</v>
      </c>
      <c r="AN110" s="299">
        <f>Inputs!AN154</f>
        <v>9.057157988</v>
      </c>
      <c r="AO110" s="299">
        <f>Inputs!AO154</f>
        <v>3.908863392</v>
      </c>
      <c r="AP110" s="299">
        <f>Inputs!AP154</f>
        <v>47.21916433</v>
      </c>
      <c r="AQ110" s="299">
        <f>Inputs!AQ154</f>
        <v>7.757917506</v>
      </c>
      <c r="AR110" s="299">
        <f>Inputs!AR154</f>
        <v>44.60534573</v>
      </c>
      <c r="AS110" s="299">
        <f>Inputs!AS154</f>
        <v>24.43461597</v>
      </c>
      <c r="AT110" s="297"/>
    </row>
    <row r="111">
      <c r="A111" s="80"/>
      <c r="B111" s="81"/>
      <c r="C111" s="206"/>
      <c r="D111" s="206"/>
      <c r="E111" s="140" t="s">
        <v>510</v>
      </c>
      <c r="F111" s="278" t="s">
        <v>122</v>
      </c>
      <c r="G111" s="279" t="s">
        <v>149</v>
      </c>
      <c r="H111" s="302" t="s">
        <v>150</v>
      </c>
      <c r="I111" s="303">
        <f t="shared" ref="I111:AS111" si="23">SUM(I109:I110)/I108</f>
        <v>0.09110338043</v>
      </c>
      <c r="J111" s="303">
        <f t="shared" si="23"/>
        <v>0.0903933105</v>
      </c>
      <c r="K111" s="303">
        <f t="shared" si="23"/>
        <v>0.0754040536</v>
      </c>
      <c r="L111" s="303">
        <f t="shared" si="23"/>
        <v>0.1176931661</v>
      </c>
      <c r="M111" s="303">
        <f t="shared" si="23"/>
        <v>0.1051915712</v>
      </c>
      <c r="N111" s="303">
        <f t="shared" si="23"/>
        <v>0.1044247394</v>
      </c>
      <c r="O111" s="303">
        <f t="shared" si="23"/>
        <v>0.1124324485</v>
      </c>
      <c r="P111" s="303">
        <f t="shared" si="23"/>
        <v>0.09101348117</v>
      </c>
      <c r="Q111" s="303">
        <f t="shared" si="23"/>
        <v>0.07442982572</v>
      </c>
      <c r="R111" s="303">
        <f t="shared" si="23"/>
        <v>0.1339793199</v>
      </c>
      <c r="S111" s="303">
        <f t="shared" si="23"/>
        <v>0.09788595542</v>
      </c>
      <c r="T111" s="303">
        <f t="shared" si="23"/>
        <v>0.179803919</v>
      </c>
      <c r="U111" s="303">
        <f t="shared" si="23"/>
        <v>0.168196825</v>
      </c>
      <c r="V111" s="303">
        <f t="shared" si="23"/>
        <v>0.1296408944</v>
      </c>
      <c r="W111" s="303">
        <f t="shared" si="23"/>
        <v>0.1681782135</v>
      </c>
      <c r="X111" s="303">
        <f t="shared" si="23"/>
        <v>0.1693581474</v>
      </c>
      <c r="Y111" s="303">
        <f t="shared" si="23"/>
        <v>0.1546341031</v>
      </c>
      <c r="Z111" s="303">
        <f t="shared" si="23"/>
        <v>0.1833116771</v>
      </c>
      <c r="AA111" s="303">
        <f t="shared" si="23"/>
        <v>0.1891834922</v>
      </c>
      <c r="AB111" s="303">
        <f t="shared" si="23"/>
        <v>0.1470119356</v>
      </c>
      <c r="AC111" s="303">
        <f t="shared" si="23"/>
        <v>0.2069216008</v>
      </c>
      <c r="AD111" s="303">
        <f t="shared" si="23"/>
        <v>0.2192160159</v>
      </c>
      <c r="AE111" s="303">
        <f t="shared" si="23"/>
        <v>0.1841477873</v>
      </c>
      <c r="AF111" s="303">
        <f t="shared" si="23"/>
        <v>0.1957856245</v>
      </c>
      <c r="AG111" s="303">
        <f t="shared" si="23"/>
        <v>0.1750602342</v>
      </c>
      <c r="AH111" s="303">
        <f t="shared" si="23"/>
        <v>0.231005937</v>
      </c>
      <c r="AI111" s="303">
        <f t="shared" si="23"/>
        <v>0.2912602715</v>
      </c>
      <c r="AJ111" s="303">
        <f t="shared" si="23"/>
        <v>0.1714460943</v>
      </c>
      <c r="AK111" s="303">
        <f t="shared" si="23"/>
        <v>0.1372828574</v>
      </c>
      <c r="AL111" s="303">
        <f t="shared" si="23"/>
        <v>0.2314762796</v>
      </c>
      <c r="AM111" s="303">
        <f t="shared" si="23"/>
        <v>0.1861533996</v>
      </c>
      <c r="AN111" s="303">
        <f t="shared" si="23"/>
        <v>0.2948668948</v>
      </c>
      <c r="AO111" s="303">
        <f t="shared" si="23"/>
        <v>0.177132522</v>
      </c>
      <c r="AP111" s="303">
        <f t="shared" si="23"/>
        <v>0.1854037415</v>
      </c>
      <c r="AQ111" s="303">
        <f t="shared" si="23"/>
        <v>0.166938184</v>
      </c>
      <c r="AR111" s="303">
        <f t="shared" si="23"/>
        <v>0.09247085514</v>
      </c>
      <c r="AS111" s="303">
        <f t="shared" si="23"/>
        <v>0.1349755109</v>
      </c>
      <c r="AT111" s="297"/>
    </row>
    <row r="112">
      <c r="A112" s="80"/>
      <c r="B112" s="81"/>
      <c r="C112" s="206"/>
      <c r="D112" s="206"/>
      <c r="E112" s="140" t="s">
        <v>512</v>
      </c>
      <c r="F112" s="278" t="s">
        <v>122</v>
      </c>
      <c r="G112" s="279" t="s">
        <v>203</v>
      </c>
      <c r="H112" s="305">
        <f>Inputs!H155</f>
        <v>0.1</v>
      </c>
      <c r="I112" s="299" t="str">
        <f>Inputs!I155</f>
        <v>-</v>
      </c>
      <c r="J112" s="299" t="str">
        <f>Inputs!J155</f>
        <v>-</v>
      </c>
      <c r="K112" s="299" t="str">
        <f>Inputs!K155</f>
        <v>-</v>
      </c>
      <c r="L112" s="299" t="str">
        <f>Inputs!L155</f>
        <v>-</v>
      </c>
      <c r="M112" s="299" t="str">
        <f>Inputs!M155</f>
        <v>-</v>
      </c>
      <c r="N112" s="299" t="str">
        <f>Inputs!N155</f>
        <v>-</v>
      </c>
      <c r="O112" s="299" t="str">
        <f>Inputs!O155</f>
        <v>-</v>
      </c>
      <c r="P112" s="299" t="str">
        <f>Inputs!P155</f>
        <v>-</v>
      </c>
      <c r="Q112" s="299" t="str">
        <f>Inputs!Q155</f>
        <v>-</v>
      </c>
      <c r="R112" s="299" t="str">
        <f>Inputs!R155</f>
        <v>-</v>
      </c>
      <c r="S112" s="299" t="str">
        <f>Inputs!S155</f>
        <v>-</v>
      </c>
      <c r="T112" s="299" t="str">
        <f>Inputs!T155</f>
        <v>-</v>
      </c>
      <c r="U112" s="299" t="str">
        <f>Inputs!U155</f>
        <v>-</v>
      </c>
      <c r="V112" s="299" t="str">
        <f>Inputs!V155</f>
        <v>-</v>
      </c>
      <c r="W112" s="299" t="str">
        <f>Inputs!W155</f>
        <v>-</v>
      </c>
      <c r="X112" s="299" t="str">
        <f>Inputs!X155</f>
        <v>-</v>
      </c>
      <c r="Y112" s="299" t="str">
        <f>Inputs!Y155</f>
        <v>-</v>
      </c>
      <c r="Z112" s="299" t="str">
        <f>Inputs!Z155</f>
        <v>-</v>
      </c>
      <c r="AA112" s="299" t="str">
        <f>Inputs!AA155</f>
        <v>-</v>
      </c>
      <c r="AB112" s="299" t="str">
        <f>Inputs!AB155</f>
        <v>-</v>
      </c>
      <c r="AC112" s="299" t="str">
        <f>Inputs!AC155</f>
        <v>-</v>
      </c>
      <c r="AD112" s="299" t="str">
        <f>Inputs!AD155</f>
        <v>-</v>
      </c>
      <c r="AE112" s="299" t="str">
        <f>Inputs!AE155</f>
        <v>-</v>
      </c>
      <c r="AF112" s="299" t="str">
        <f>Inputs!AF155</f>
        <v>-</v>
      </c>
      <c r="AG112" s="299" t="str">
        <f>Inputs!AG155</f>
        <v>-</v>
      </c>
      <c r="AH112" s="299" t="str">
        <f>Inputs!AH155</f>
        <v>-</v>
      </c>
      <c r="AI112" s="299" t="str">
        <f>Inputs!AI155</f>
        <v>-</v>
      </c>
      <c r="AJ112" s="299" t="str">
        <f>Inputs!AJ155</f>
        <v>-</v>
      </c>
      <c r="AK112" s="299" t="str">
        <f>Inputs!AK155</f>
        <v>-</v>
      </c>
      <c r="AL112" s="299" t="str">
        <f>Inputs!AL155</f>
        <v>-</v>
      </c>
      <c r="AM112" s="299" t="str">
        <f>Inputs!AM155</f>
        <v>-</v>
      </c>
      <c r="AN112" s="299" t="str">
        <f>Inputs!AN155</f>
        <v>-</v>
      </c>
      <c r="AO112" s="299" t="str">
        <f>Inputs!AO155</f>
        <v>-</v>
      </c>
      <c r="AP112" s="299" t="str">
        <f>Inputs!AP155</f>
        <v>-</v>
      </c>
      <c r="AQ112" s="299" t="str">
        <f>Inputs!AQ155</f>
        <v>-</v>
      </c>
      <c r="AR112" s="299" t="str">
        <f>Inputs!AR155</f>
        <v>-</v>
      </c>
      <c r="AS112" s="299" t="str">
        <f>Inputs!AS155</f>
        <v>-</v>
      </c>
      <c r="AT112" s="297"/>
    </row>
    <row r="113">
      <c r="A113" s="80"/>
      <c r="B113" s="81"/>
      <c r="C113" s="206"/>
      <c r="D113" s="206"/>
      <c r="E113" s="140" t="s">
        <v>517</v>
      </c>
      <c r="F113" s="278" t="s">
        <v>122</v>
      </c>
      <c r="G113" s="279" t="s">
        <v>149</v>
      </c>
      <c r="H113" s="302" t="s">
        <v>150</v>
      </c>
      <c r="I113" s="303">
        <f t="shared" ref="I113:AS113" si="24">I111*(1+$H112)</f>
        <v>0.1002137185</v>
      </c>
      <c r="J113" s="303">
        <f t="shared" si="24"/>
        <v>0.09943264154</v>
      </c>
      <c r="K113" s="303">
        <f t="shared" si="24"/>
        <v>0.08294445896</v>
      </c>
      <c r="L113" s="303">
        <f t="shared" si="24"/>
        <v>0.1294624827</v>
      </c>
      <c r="M113" s="303">
        <f t="shared" si="24"/>
        <v>0.1157107284</v>
      </c>
      <c r="N113" s="303">
        <f t="shared" si="24"/>
        <v>0.1148672133</v>
      </c>
      <c r="O113" s="303">
        <f t="shared" si="24"/>
        <v>0.1236756933</v>
      </c>
      <c r="P113" s="303">
        <f t="shared" si="24"/>
        <v>0.1001148293</v>
      </c>
      <c r="Q113" s="303">
        <f t="shared" si="24"/>
        <v>0.0818728083</v>
      </c>
      <c r="R113" s="303">
        <f t="shared" si="24"/>
        <v>0.1473772519</v>
      </c>
      <c r="S113" s="303">
        <f t="shared" si="24"/>
        <v>0.107674551</v>
      </c>
      <c r="T113" s="303">
        <f t="shared" si="24"/>
        <v>0.1977843109</v>
      </c>
      <c r="U113" s="303">
        <f t="shared" si="24"/>
        <v>0.1850165075</v>
      </c>
      <c r="V113" s="303">
        <f t="shared" si="24"/>
        <v>0.1426049839</v>
      </c>
      <c r="W113" s="303">
        <f t="shared" si="24"/>
        <v>0.1849960349</v>
      </c>
      <c r="X113" s="303">
        <f t="shared" si="24"/>
        <v>0.1862939621</v>
      </c>
      <c r="Y113" s="303">
        <f t="shared" si="24"/>
        <v>0.1700975134</v>
      </c>
      <c r="Z113" s="303">
        <f t="shared" si="24"/>
        <v>0.2016428448</v>
      </c>
      <c r="AA113" s="303">
        <f t="shared" si="24"/>
        <v>0.2081018414</v>
      </c>
      <c r="AB113" s="303">
        <f t="shared" si="24"/>
        <v>0.1617131292</v>
      </c>
      <c r="AC113" s="303">
        <f t="shared" si="24"/>
        <v>0.2276137609</v>
      </c>
      <c r="AD113" s="303">
        <f t="shared" si="24"/>
        <v>0.2411376175</v>
      </c>
      <c r="AE113" s="303">
        <f t="shared" si="24"/>
        <v>0.2025625661</v>
      </c>
      <c r="AF113" s="303">
        <f t="shared" si="24"/>
        <v>0.215364187</v>
      </c>
      <c r="AG113" s="303">
        <f t="shared" si="24"/>
        <v>0.1925662576</v>
      </c>
      <c r="AH113" s="303">
        <f t="shared" si="24"/>
        <v>0.2541065307</v>
      </c>
      <c r="AI113" s="303">
        <f t="shared" si="24"/>
        <v>0.3203862987</v>
      </c>
      <c r="AJ113" s="303">
        <f t="shared" si="24"/>
        <v>0.1885907037</v>
      </c>
      <c r="AK113" s="303">
        <f t="shared" si="24"/>
        <v>0.1510111431</v>
      </c>
      <c r="AL113" s="303">
        <f t="shared" si="24"/>
        <v>0.2546239076</v>
      </c>
      <c r="AM113" s="303">
        <f t="shared" si="24"/>
        <v>0.2047687396</v>
      </c>
      <c r="AN113" s="303">
        <f t="shared" si="24"/>
        <v>0.3243535843</v>
      </c>
      <c r="AO113" s="303">
        <f t="shared" si="24"/>
        <v>0.1948457742</v>
      </c>
      <c r="AP113" s="303">
        <f t="shared" si="24"/>
        <v>0.2039441157</v>
      </c>
      <c r="AQ113" s="303">
        <f t="shared" si="24"/>
        <v>0.1836320024</v>
      </c>
      <c r="AR113" s="303">
        <f t="shared" si="24"/>
        <v>0.1017179407</v>
      </c>
      <c r="AS113" s="303">
        <f t="shared" si="24"/>
        <v>0.148473062</v>
      </c>
      <c r="AT113" s="297"/>
    </row>
    <row r="114">
      <c r="A114" s="80"/>
      <c r="B114" s="81"/>
      <c r="C114" s="206"/>
      <c r="D114" s="206"/>
      <c r="E114" s="224" t="s">
        <v>521</v>
      </c>
      <c r="F114" s="225" t="s">
        <v>122</v>
      </c>
      <c r="G114" s="226" t="s">
        <v>149</v>
      </c>
      <c r="H114" s="259" t="s">
        <v>150</v>
      </c>
      <c r="I114" s="228">
        <f t="shared" ref="I114:AS114" si="25">I102*(1-I113)</f>
        <v>0.005558304684</v>
      </c>
      <c r="J114" s="228">
        <f t="shared" si="25"/>
        <v>0.004693232942</v>
      </c>
      <c r="K114" s="228">
        <f t="shared" si="25"/>
        <v>0.005935542947</v>
      </c>
      <c r="L114" s="228">
        <f t="shared" si="25"/>
        <v>0.003083637146</v>
      </c>
      <c r="M114" s="228">
        <f t="shared" si="25"/>
        <v>0.004784966182</v>
      </c>
      <c r="N114" s="228">
        <f t="shared" si="25"/>
        <v>0.004285203097</v>
      </c>
      <c r="O114" s="228">
        <f t="shared" si="25"/>
        <v>0.00464884261</v>
      </c>
      <c r="P114" s="228">
        <f t="shared" si="25"/>
        <v>0.007221445312</v>
      </c>
      <c r="Q114" s="228">
        <f t="shared" si="25"/>
        <v>0.008497638083</v>
      </c>
      <c r="R114" s="228">
        <f t="shared" si="25"/>
        <v>0.001379340682</v>
      </c>
      <c r="S114" s="228">
        <f t="shared" si="25"/>
        <v>0.003741832029</v>
      </c>
      <c r="T114" s="228">
        <f t="shared" si="25"/>
        <v>0.0009723046684</v>
      </c>
      <c r="U114" s="228">
        <f t="shared" si="25"/>
        <v>0.0008760991046</v>
      </c>
      <c r="V114" s="228">
        <f t="shared" si="25"/>
        <v>0.001385678955</v>
      </c>
      <c r="W114" s="228">
        <f t="shared" si="25"/>
        <v>0.001689944137</v>
      </c>
      <c r="X114" s="228">
        <f t="shared" si="25"/>
        <v>0.001355783981</v>
      </c>
      <c r="Y114" s="228">
        <f t="shared" si="25"/>
        <v>0.001031080808</v>
      </c>
      <c r="Z114" s="228">
        <f t="shared" si="25"/>
        <v>0.00132352208</v>
      </c>
      <c r="AA114" s="228">
        <f t="shared" si="25"/>
        <v>0.001594965249</v>
      </c>
      <c r="AB114" s="228">
        <f t="shared" si="25"/>
        <v>0.001335977786</v>
      </c>
      <c r="AC114" s="228">
        <f t="shared" si="25"/>
        <v>0.0009725485882</v>
      </c>
      <c r="AD114" s="228">
        <f t="shared" si="25"/>
        <v>0.0006489593791</v>
      </c>
      <c r="AE114" s="228">
        <f t="shared" si="25"/>
        <v>0.001240626047</v>
      </c>
      <c r="AF114" s="228">
        <f t="shared" si="25"/>
        <v>0.0007384427334</v>
      </c>
      <c r="AG114" s="228">
        <f t="shared" si="25"/>
        <v>0.0009616406682</v>
      </c>
      <c r="AH114" s="228">
        <f t="shared" si="25"/>
        <v>0.0007150433154</v>
      </c>
      <c r="AI114" s="228">
        <f t="shared" si="25"/>
        <v>0.0005560612896</v>
      </c>
      <c r="AJ114" s="228">
        <f t="shared" si="25"/>
        <v>0.001715144799</v>
      </c>
      <c r="AK114" s="228">
        <f t="shared" si="25"/>
        <v>0.002581959344</v>
      </c>
      <c r="AL114" s="228">
        <f t="shared" si="25"/>
        <v>0.001016248</v>
      </c>
      <c r="AM114" s="228">
        <f t="shared" si="25"/>
        <v>0.001063971713</v>
      </c>
      <c r="AN114" s="228">
        <f t="shared" si="25"/>
        <v>0.0004587145941</v>
      </c>
      <c r="AO114" s="228">
        <f t="shared" si="25"/>
        <v>0.0007135051306</v>
      </c>
      <c r="AP114" s="228">
        <f t="shared" si="25"/>
        <v>0.001254116789</v>
      </c>
      <c r="AQ114" s="228">
        <f t="shared" si="25"/>
        <v>0.001267568875</v>
      </c>
      <c r="AR114" s="228">
        <f t="shared" si="25"/>
        <v>0.004053613671</v>
      </c>
      <c r="AS114" s="228">
        <f t="shared" si="25"/>
        <v>0.002888431317</v>
      </c>
      <c r="AT114" s="242"/>
    </row>
    <row r="115">
      <c r="A115" s="80"/>
      <c r="B115" s="81"/>
      <c r="C115" s="126"/>
      <c r="D115" s="126"/>
      <c r="E115" s="243"/>
      <c r="F115" s="201"/>
      <c r="G115" s="202"/>
      <c r="H115" s="85"/>
      <c r="I115" s="135"/>
      <c r="J115" s="135"/>
      <c r="K115" s="135"/>
      <c r="L115" s="135"/>
      <c r="M115" s="135"/>
      <c r="N115" s="135"/>
      <c r="O115" s="135"/>
      <c r="P115" s="135"/>
      <c r="Q115" s="135"/>
      <c r="R115" s="244"/>
      <c r="S115" s="135"/>
      <c r="T115" s="135"/>
      <c r="U115" s="135"/>
      <c r="V115" s="135"/>
      <c r="W115" s="135"/>
      <c r="X115" s="135"/>
      <c r="Y115" s="135"/>
      <c r="Z115" s="135"/>
      <c r="AA115" s="135"/>
      <c r="AB115" s="135"/>
      <c r="AC115" s="135"/>
      <c r="AD115" s="135"/>
      <c r="AE115" s="135"/>
      <c r="AF115" s="135"/>
      <c r="AG115" s="135"/>
      <c r="AH115" s="135"/>
      <c r="AI115" s="135"/>
      <c r="AJ115" s="135"/>
      <c r="AK115" s="135"/>
      <c r="AL115" s="135"/>
      <c r="AM115" s="135"/>
      <c r="AN115" s="135"/>
      <c r="AO115" s="135"/>
      <c r="AP115" s="135"/>
      <c r="AQ115" s="135"/>
      <c r="AR115" s="135"/>
      <c r="AS115" s="135"/>
      <c r="AT115" s="91"/>
    </row>
    <row r="116">
      <c r="A116" s="80"/>
      <c r="B116" s="81"/>
      <c r="C116" s="126" t="s">
        <v>526</v>
      </c>
      <c r="F116" s="201"/>
      <c r="G116" s="202"/>
      <c r="H116" s="8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91"/>
    </row>
    <row r="117">
      <c r="A117" s="350"/>
      <c r="B117" s="351"/>
      <c r="C117" s="411"/>
      <c r="D117" s="412" t="s">
        <v>528</v>
      </c>
      <c r="E117" s="70"/>
      <c r="F117" s="413"/>
      <c r="G117" s="414"/>
      <c r="H117" s="415"/>
      <c r="I117" s="416"/>
      <c r="J117" s="416"/>
      <c r="K117" s="416"/>
      <c r="L117" s="416"/>
      <c r="M117" s="416"/>
      <c r="N117" s="416"/>
      <c r="O117" s="416"/>
      <c r="P117" s="416"/>
      <c r="Q117" s="416"/>
      <c r="R117" s="416"/>
      <c r="S117" s="416"/>
      <c r="T117" s="416"/>
      <c r="U117" s="416"/>
      <c r="V117" s="416"/>
      <c r="W117" s="416"/>
      <c r="X117" s="416"/>
      <c r="Y117" s="416"/>
      <c r="Z117" s="416"/>
      <c r="AA117" s="416"/>
      <c r="AB117" s="416"/>
      <c r="AC117" s="416"/>
      <c r="AD117" s="416"/>
      <c r="AE117" s="416"/>
      <c r="AF117" s="416"/>
      <c r="AG117" s="416"/>
      <c r="AH117" s="416"/>
      <c r="AI117" s="416"/>
      <c r="AJ117" s="416"/>
      <c r="AK117" s="416"/>
      <c r="AL117" s="416"/>
      <c r="AM117" s="416"/>
      <c r="AN117" s="416"/>
      <c r="AO117" s="416"/>
      <c r="AP117" s="416"/>
      <c r="AQ117" s="416"/>
      <c r="AR117" s="416"/>
      <c r="AS117" s="416"/>
      <c r="AT117" s="417"/>
    </row>
    <row r="118">
      <c r="A118" s="80"/>
      <c r="B118" s="81"/>
      <c r="C118" s="206"/>
      <c r="D118" s="206"/>
      <c r="E118" s="140" t="s">
        <v>529</v>
      </c>
      <c r="F118" s="278" t="s">
        <v>122</v>
      </c>
      <c r="G118" s="279" t="s">
        <v>203</v>
      </c>
      <c r="H118" s="305">
        <f>Inputs!H156</f>
        <v>0.2189</v>
      </c>
      <c r="I118" s="299" t="str">
        <f>Inputs!I156</f>
        <v>-</v>
      </c>
      <c r="J118" s="299" t="str">
        <f>Inputs!J156</f>
        <v>-</v>
      </c>
      <c r="K118" s="299" t="str">
        <f>Inputs!K156</f>
        <v>-</v>
      </c>
      <c r="L118" s="299" t="str">
        <f>Inputs!L156</f>
        <v>-</v>
      </c>
      <c r="M118" s="299" t="str">
        <f>Inputs!M156</f>
        <v>-</v>
      </c>
      <c r="N118" s="299" t="str">
        <f>Inputs!N156</f>
        <v>-</v>
      </c>
      <c r="O118" s="299" t="str">
        <f>Inputs!O156</f>
        <v>-</v>
      </c>
      <c r="P118" s="299" t="str">
        <f>Inputs!P156</f>
        <v>-</v>
      </c>
      <c r="Q118" s="299" t="str">
        <f>Inputs!Q156</f>
        <v>-</v>
      </c>
      <c r="R118" s="299" t="str">
        <f>Inputs!R156</f>
        <v>-</v>
      </c>
      <c r="S118" s="299" t="str">
        <f>Inputs!S156</f>
        <v>-</v>
      </c>
      <c r="T118" s="299" t="str">
        <f>Inputs!T156</f>
        <v>-</v>
      </c>
      <c r="U118" s="299" t="str">
        <f>Inputs!U156</f>
        <v>-</v>
      </c>
      <c r="V118" s="299" t="str">
        <f>Inputs!V156</f>
        <v>-</v>
      </c>
      <c r="W118" s="299" t="str">
        <f>Inputs!W156</f>
        <v>-</v>
      </c>
      <c r="X118" s="299" t="str">
        <f>Inputs!X156</f>
        <v>-</v>
      </c>
      <c r="Y118" s="299" t="str">
        <f>Inputs!Y156</f>
        <v>-</v>
      </c>
      <c r="Z118" s="299" t="str">
        <f>Inputs!Z156</f>
        <v>-</v>
      </c>
      <c r="AA118" s="299" t="str">
        <f>Inputs!AA156</f>
        <v>-</v>
      </c>
      <c r="AB118" s="299" t="str">
        <f>Inputs!AB156</f>
        <v>-</v>
      </c>
      <c r="AC118" s="299" t="str">
        <f>Inputs!AC156</f>
        <v>-</v>
      </c>
      <c r="AD118" s="299" t="str">
        <f>Inputs!AD156</f>
        <v>-</v>
      </c>
      <c r="AE118" s="299" t="str">
        <f>Inputs!AE156</f>
        <v>-</v>
      </c>
      <c r="AF118" s="299" t="str">
        <f>Inputs!AF156</f>
        <v>-</v>
      </c>
      <c r="AG118" s="299" t="str">
        <f>Inputs!AG156</f>
        <v>-</v>
      </c>
      <c r="AH118" s="299" t="str">
        <f>Inputs!AH156</f>
        <v>-</v>
      </c>
      <c r="AI118" s="299" t="str">
        <f>Inputs!AI156</f>
        <v>-</v>
      </c>
      <c r="AJ118" s="299" t="str">
        <f>Inputs!AJ156</f>
        <v>-</v>
      </c>
      <c r="AK118" s="299" t="str">
        <f>Inputs!AK156</f>
        <v>-</v>
      </c>
      <c r="AL118" s="299" t="str">
        <f>Inputs!AL156</f>
        <v>-</v>
      </c>
      <c r="AM118" s="299" t="str">
        <f>Inputs!AM156</f>
        <v>-</v>
      </c>
      <c r="AN118" s="299" t="str">
        <f>Inputs!AN156</f>
        <v>-</v>
      </c>
      <c r="AO118" s="299" t="str">
        <f>Inputs!AO156</f>
        <v>-</v>
      </c>
      <c r="AP118" s="299" t="str">
        <f>Inputs!AP156</f>
        <v>-</v>
      </c>
      <c r="AQ118" s="299" t="str">
        <f>Inputs!AQ156</f>
        <v>-</v>
      </c>
      <c r="AR118" s="299" t="str">
        <f>Inputs!AR156</f>
        <v>-</v>
      </c>
      <c r="AS118" s="299" t="str">
        <f>Inputs!AS156</f>
        <v>-</v>
      </c>
      <c r="AT118" s="297"/>
    </row>
    <row r="119">
      <c r="A119" s="80"/>
      <c r="B119" s="81"/>
      <c r="C119" s="206"/>
      <c r="D119" s="206"/>
      <c r="E119" s="113" t="s">
        <v>536</v>
      </c>
      <c r="F119" s="207" t="str">
        <f>Inputs!F157</f>
        <v>%</v>
      </c>
      <c r="G119" s="208" t="str">
        <f>Inputs!G157</f>
        <v>input</v>
      </c>
      <c r="H119" s="370">
        <f>Inputs!H157</f>
        <v>0.11261</v>
      </c>
      <c r="I119" s="294" t="str">
        <f>Inputs!I157</f>
        <v>-</v>
      </c>
      <c r="J119" s="294" t="str">
        <f>Inputs!J157</f>
        <v>-</v>
      </c>
      <c r="K119" s="294" t="str">
        <f>Inputs!K157</f>
        <v>-</v>
      </c>
      <c r="L119" s="294" t="str">
        <f>Inputs!L157</f>
        <v>-</v>
      </c>
      <c r="M119" s="294" t="str">
        <f>Inputs!M157</f>
        <v>-</v>
      </c>
      <c r="N119" s="294" t="str">
        <f>Inputs!N157</f>
        <v>-</v>
      </c>
      <c r="O119" s="294" t="str">
        <f>Inputs!O157</f>
        <v>-</v>
      </c>
      <c r="P119" s="294" t="str">
        <f>Inputs!P157</f>
        <v>-</v>
      </c>
      <c r="Q119" s="294" t="str">
        <f>Inputs!Q157</f>
        <v>-</v>
      </c>
      <c r="R119" s="294" t="str">
        <f>Inputs!R157</f>
        <v>-</v>
      </c>
      <c r="S119" s="294" t="str">
        <f>Inputs!S157</f>
        <v>-</v>
      </c>
      <c r="T119" s="294" t="str">
        <f>Inputs!T157</f>
        <v>-</v>
      </c>
      <c r="U119" s="294" t="str">
        <f>Inputs!U157</f>
        <v>-</v>
      </c>
      <c r="V119" s="294" t="str">
        <f>Inputs!V157</f>
        <v>-</v>
      </c>
      <c r="W119" s="294" t="str">
        <f>Inputs!W157</f>
        <v>-</v>
      </c>
      <c r="X119" s="294" t="str">
        <f>Inputs!X157</f>
        <v>-</v>
      </c>
      <c r="Y119" s="294" t="str">
        <f>Inputs!Y157</f>
        <v>-</v>
      </c>
      <c r="Z119" s="294" t="str">
        <f>Inputs!Z157</f>
        <v>-</v>
      </c>
      <c r="AA119" s="294" t="str">
        <f>Inputs!AA157</f>
        <v>-</v>
      </c>
      <c r="AB119" s="294" t="str">
        <f>Inputs!AB157</f>
        <v>-</v>
      </c>
      <c r="AC119" s="294" t="str">
        <f>Inputs!AC157</f>
        <v>-</v>
      </c>
      <c r="AD119" s="294" t="str">
        <f>Inputs!AD157</f>
        <v>-</v>
      </c>
      <c r="AE119" s="294" t="str">
        <f>Inputs!AE157</f>
        <v>-</v>
      </c>
      <c r="AF119" s="294" t="str">
        <f>Inputs!AF157</f>
        <v>-</v>
      </c>
      <c r="AG119" s="294" t="str">
        <f>Inputs!AG157</f>
        <v>-</v>
      </c>
      <c r="AH119" s="294" t="str">
        <f>Inputs!AH157</f>
        <v>-</v>
      </c>
      <c r="AI119" s="294" t="str">
        <f>Inputs!AI157</f>
        <v>-</v>
      </c>
      <c r="AJ119" s="294" t="str">
        <f>Inputs!AJ157</f>
        <v>-</v>
      </c>
      <c r="AK119" s="294" t="str">
        <f>Inputs!AK157</f>
        <v>-</v>
      </c>
      <c r="AL119" s="294" t="str">
        <f>Inputs!AL157</f>
        <v>-</v>
      </c>
      <c r="AM119" s="294" t="str">
        <f>Inputs!AM157</f>
        <v>-</v>
      </c>
      <c r="AN119" s="294" t="str">
        <f>Inputs!AN157</f>
        <v>-</v>
      </c>
      <c r="AO119" s="294" t="str">
        <f>Inputs!AO157</f>
        <v>-</v>
      </c>
      <c r="AP119" s="294" t="str">
        <f>Inputs!AP157</f>
        <v>-</v>
      </c>
      <c r="AQ119" s="294" t="str">
        <f>Inputs!AQ157</f>
        <v>-</v>
      </c>
      <c r="AR119" s="294" t="str">
        <f>Inputs!AR157</f>
        <v>-</v>
      </c>
      <c r="AS119" s="294" t="str">
        <f>Inputs!AS157</f>
        <v>-</v>
      </c>
      <c r="AT119" s="298"/>
    </row>
    <row r="120">
      <c r="A120" s="80"/>
      <c r="B120" s="81"/>
      <c r="C120" s="206"/>
      <c r="D120" s="206"/>
      <c r="E120" s="113" t="s">
        <v>541</v>
      </c>
      <c r="F120" s="207" t="s">
        <v>122</v>
      </c>
      <c r="G120" s="208" t="s">
        <v>149</v>
      </c>
      <c r="H120" s="370">
        <f>H118*H119</f>
        <v>0.024650329</v>
      </c>
      <c r="I120" s="294" t="s">
        <v>150</v>
      </c>
      <c r="J120" s="294" t="s">
        <v>150</v>
      </c>
      <c r="K120" s="294" t="s">
        <v>150</v>
      </c>
      <c r="L120" s="294" t="s">
        <v>150</v>
      </c>
      <c r="M120" s="294" t="s">
        <v>150</v>
      </c>
      <c r="N120" s="294" t="s">
        <v>150</v>
      </c>
      <c r="O120" s="294" t="s">
        <v>150</v>
      </c>
      <c r="P120" s="294" t="s">
        <v>150</v>
      </c>
      <c r="Q120" s="294" t="s">
        <v>150</v>
      </c>
      <c r="R120" s="294" t="s">
        <v>150</v>
      </c>
      <c r="S120" s="294" t="s">
        <v>150</v>
      </c>
      <c r="T120" s="294" t="s">
        <v>150</v>
      </c>
      <c r="U120" s="294" t="s">
        <v>150</v>
      </c>
      <c r="V120" s="294" t="s">
        <v>150</v>
      </c>
      <c r="W120" s="294" t="s">
        <v>150</v>
      </c>
      <c r="X120" s="294" t="s">
        <v>150</v>
      </c>
      <c r="Y120" s="294" t="s">
        <v>150</v>
      </c>
      <c r="Z120" s="294" t="s">
        <v>150</v>
      </c>
      <c r="AA120" s="294" t="s">
        <v>150</v>
      </c>
      <c r="AB120" s="294" t="s">
        <v>150</v>
      </c>
      <c r="AC120" s="294" t="s">
        <v>150</v>
      </c>
      <c r="AD120" s="294" t="s">
        <v>150</v>
      </c>
      <c r="AE120" s="294" t="s">
        <v>150</v>
      </c>
      <c r="AF120" s="294" t="s">
        <v>150</v>
      </c>
      <c r="AG120" s="294" t="s">
        <v>150</v>
      </c>
      <c r="AH120" s="294" t="s">
        <v>150</v>
      </c>
      <c r="AI120" s="294" t="s">
        <v>150</v>
      </c>
      <c r="AJ120" s="294" t="s">
        <v>150</v>
      </c>
      <c r="AK120" s="294" t="s">
        <v>150</v>
      </c>
      <c r="AL120" s="294" t="s">
        <v>150</v>
      </c>
      <c r="AM120" s="294" t="s">
        <v>150</v>
      </c>
      <c r="AN120" s="294" t="s">
        <v>150</v>
      </c>
      <c r="AO120" s="294" t="s">
        <v>150</v>
      </c>
      <c r="AP120" s="294" t="s">
        <v>150</v>
      </c>
      <c r="AQ120" s="294" t="s">
        <v>150</v>
      </c>
      <c r="AR120" s="294" t="s">
        <v>150</v>
      </c>
      <c r="AS120" s="294" t="s">
        <v>150</v>
      </c>
      <c r="AT120" s="298"/>
    </row>
    <row r="121">
      <c r="A121" s="80"/>
      <c r="B121" s="81"/>
      <c r="C121" s="206"/>
      <c r="D121" s="206"/>
      <c r="E121" s="113" t="s">
        <v>543</v>
      </c>
      <c r="F121" s="207" t="s">
        <v>122</v>
      </c>
      <c r="G121" s="208" t="s">
        <v>149</v>
      </c>
      <c r="H121" s="373" t="s">
        <v>150</v>
      </c>
      <c r="I121" s="210">
        <f t="shared" ref="I121:AS121" si="26">I114*$H$120</f>
        <v>0.0001370140391</v>
      </c>
      <c r="J121" s="210">
        <f t="shared" si="26"/>
        <v>0.0001156897361</v>
      </c>
      <c r="K121" s="210">
        <f t="shared" si="26"/>
        <v>0.0001463130864</v>
      </c>
      <c r="L121" s="210">
        <f t="shared" si="26"/>
        <v>0.00007601267016</v>
      </c>
      <c r="M121" s="210">
        <f t="shared" si="26"/>
        <v>0.0001179509906</v>
      </c>
      <c r="N121" s="210">
        <f t="shared" si="26"/>
        <v>0.0001056316662</v>
      </c>
      <c r="O121" s="210">
        <f t="shared" si="26"/>
        <v>0.0001145954998</v>
      </c>
      <c r="P121" s="210">
        <f t="shared" si="26"/>
        <v>0.0001780110028</v>
      </c>
      <c r="Q121" s="210">
        <f t="shared" si="26"/>
        <v>0.0002094695745</v>
      </c>
      <c r="R121" s="210">
        <f t="shared" si="26"/>
        <v>0.00003400120162</v>
      </c>
      <c r="S121" s="210">
        <f t="shared" si="26"/>
        <v>0.00009223739059</v>
      </c>
      <c r="T121" s="210">
        <f t="shared" si="26"/>
        <v>0.00002396762996</v>
      </c>
      <c r="U121" s="210">
        <f t="shared" si="26"/>
        <v>0.00002159613116</v>
      </c>
      <c r="V121" s="210">
        <f t="shared" si="26"/>
        <v>0.00003415744214</v>
      </c>
      <c r="W121" s="210">
        <f t="shared" si="26"/>
        <v>0.00004165767897</v>
      </c>
      <c r="X121" s="210">
        <f t="shared" si="26"/>
        <v>0.00003342052118</v>
      </c>
      <c r="Y121" s="210">
        <f t="shared" si="26"/>
        <v>0.00002541648115</v>
      </c>
      <c r="Z121" s="210">
        <f t="shared" si="26"/>
        <v>0.00003262525472</v>
      </c>
      <c r="AA121" s="210">
        <f t="shared" si="26"/>
        <v>0.00003931641813</v>
      </c>
      <c r="AB121" s="210">
        <f t="shared" si="26"/>
        <v>0.00003293229196</v>
      </c>
      <c r="AC121" s="210">
        <f t="shared" si="26"/>
        <v>0.00002397364267</v>
      </c>
      <c r="AD121" s="210">
        <f t="shared" si="26"/>
        <v>0.0000159970622</v>
      </c>
      <c r="AE121" s="210">
        <f t="shared" si="26"/>
        <v>0.00003058184022</v>
      </c>
      <c r="AF121" s="210">
        <f t="shared" si="26"/>
        <v>0.00001820285633</v>
      </c>
      <c r="AG121" s="210">
        <f t="shared" si="26"/>
        <v>0.00002370475885</v>
      </c>
      <c r="AH121" s="210">
        <f t="shared" si="26"/>
        <v>0.00001762605297</v>
      </c>
      <c r="AI121" s="210">
        <f t="shared" si="26"/>
        <v>0.00001370709373</v>
      </c>
      <c r="AJ121" s="210">
        <f t="shared" si="26"/>
        <v>0.00004227888359</v>
      </c>
      <c r="AK121" s="210">
        <f t="shared" si="26"/>
        <v>0.0000636461473</v>
      </c>
      <c r="AL121" s="210">
        <f t="shared" si="26"/>
        <v>0.00002505084756</v>
      </c>
      <c r="AM121" s="210">
        <f t="shared" si="26"/>
        <v>0.00002622725276</v>
      </c>
      <c r="AN121" s="210">
        <f t="shared" si="26"/>
        <v>0.00001130746566</v>
      </c>
      <c r="AO121" s="210">
        <f t="shared" si="26"/>
        <v>0.00001758813621</v>
      </c>
      <c r="AP121" s="210">
        <f t="shared" si="26"/>
        <v>0.00003091439145</v>
      </c>
      <c r="AQ121" s="210">
        <f t="shared" si="26"/>
        <v>0.00003124598981</v>
      </c>
      <c r="AR121" s="210">
        <f t="shared" si="26"/>
        <v>0.00009992291063</v>
      </c>
      <c r="AS121" s="210">
        <f t="shared" si="26"/>
        <v>0.00007120078225</v>
      </c>
      <c r="AT121" s="298"/>
    </row>
    <row r="122">
      <c r="A122" s="80"/>
      <c r="B122" s="81"/>
      <c r="C122" s="206"/>
      <c r="D122" s="206"/>
      <c r="E122" s="113" t="s">
        <v>547</v>
      </c>
      <c r="F122" s="207" t="s">
        <v>122</v>
      </c>
      <c r="G122" s="208" t="s">
        <v>149</v>
      </c>
      <c r="H122" s="373" t="s">
        <v>150</v>
      </c>
      <c r="I122" s="210">
        <f t="shared" ref="I122:AS122" si="27">I103*$H$120</f>
        <v>0.00002268448991</v>
      </c>
      <c r="J122" s="210">
        <f t="shared" si="27"/>
        <v>0.00001929479852</v>
      </c>
      <c r="K122" s="210">
        <f t="shared" si="27"/>
        <v>0.00002405719278</v>
      </c>
      <c r="L122" s="210">
        <f t="shared" si="27"/>
        <v>0.00001339138983</v>
      </c>
      <c r="M122" s="210">
        <f t="shared" si="27"/>
        <v>0.00002102500511</v>
      </c>
      <c r="N122" s="210">
        <f t="shared" si="27"/>
        <v>0.00001834632781</v>
      </c>
      <c r="O122" s="210">
        <f t="shared" si="27"/>
        <v>0.00002090870486</v>
      </c>
      <c r="P122" s="210">
        <f t="shared" si="27"/>
        <v>0.00002914159429</v>
      </c>
      <c r="Q122" s="210">
        <f t="shared" si="27"/>
        <v>0.00002998401929</v>
      </c>
      <c r="R122" s="210">
        <f t="shared" si="27"/>
        <v>0.000006981564781</v>
      </c>
      <c r="S122" s="210">
        <f t="shared" si="27"/>
        <v>0.00001711077937</v>
      </c>
      <c r="T122" s="210">
        <f t="shared" si="27"/>
        <v>0.000005918617944</v>
      </c>
      <c r="U122" s="210">
        <f t="shared" si="27"/>
        <v>0.000006008912099</v>
      </c>
      <c r="V122" s="210">
        <f t="shared" si="27"/>
        <v>0.000006666706128</v>
      </c>
      <c r="W122" s="210">
        <f t="shared" si="27"/>
        <v>0.00001166396873</v>
      </c>
      <c r="X122" s="210">
        <f t="shared" si="27"/>
        <v>0.000009905488205</v>
      </c>
      <c r="Y122" s="210">
        <f t="shared" si="27"/>
        <v>0.000006140027199</v>
      </c>
      <c r="Z122" s="210">
        <f t="shared" si="27"/>
        <v>0.000008019639436</v>
      </c>
      <c r="AA122" s="210">
        <f t="shared" si="27"/>
        <v>0.00001098127786</v>
      </c>
      <c r="AB122" s="210">
        <f t="shared" si="27"/>
        <v>0.00000638588958</v>
      </c>
      <c r="AC122" s="210">
        <f t="shared" si="27"/>
        <v>0.000005866211344</v>
      </c>
      <c r="AD122" s="210">
        <f t="shared" si="27"/>
        <v>0.000005542700427</v>
      </c>
      <c r="AE122" s="210">
        <f t="shared" si="27"/>
        <v>0.000007948449285</v>
      </c>
      <c r="AF122" s="210">
        <f t="shared" si="27"/>
        <v>0.000005545288711</v>
      </c>
      <c r="AG122" s="210">
        <f t="shared" si="27"/>
        <v>0.000005882653114</v>
      </c>
      <c r="AH122" s="210">
        <f t="shared" si="27"/>
        <v>0.000005597054402</v>
      </c>
      <c r="AI122" s="210">
        <f t="shared" si="27"/>
        <v>0.000005567350756</v>
      </c>
      <c r="AJ122" s="210">
        <f t="shared" si="27"/>
        <v>0.00001055869727</v>
      </c>
      <c r="AK122" s="210">
        <f t="shared" si="27"/>
        <v>0.00001402988265</v>
      </c>
      <c r="AL122" s="210">
        <f t="shared" si="27"/>
        <v>0.000007633985038</v>
      </c>
      <c r="AM122" s="210">
        <f t="shared" si="27"/>
        <v>0.000007536024631</v>
      </c>
      <c r="AN122" s="210">
        <f t="shared" si="27"/>
        <v>0.000004073023161</v>
      </c>
      <c r="AO122" s="210">
        <f t="shared" si="27"/>
        <v>0.000004397174988</v>
      </c>
      <c r="AP122" s="210">
        <f t="shared" si="27"/>
        <v>0.000009834519908</v>
      </c>
      <c r="AQ122" s="210">
        <f t="shared" si="27"/>
        <v>0.000006889495802</v>
      </c>
      <c r="AR122" s="210">
        <f t="shared" si="27"/>
        <v>0.00001836131521</v>
      </c>
      <c r="AS122" s="210">
        <f t="shared" si="27"/>
        <v>0.00001671738477</v>
      </c>
      <c r="AT122" s="298"/>
    </row>
    <row r="123">
      <c r="A123" s="80"/>
      <c r="B123" s="81"/>
      <c r="C123" s="206"/>
      <c r="D123" s="206"/>
      <c r="E123" s="113" t="s">
        <v>549</v>
      </c>
      <c r="F123" s="207" t="s">
        <v>122</v>
      </c>
      <c r="G123" s="208" t="s">
        <v>149</v>
      </c>
      <c r="H123" s="373" t="s">
        <v>150</v>
      </c>
      <c r="I123" s="210">
        <f t="shared" ref="I123:AS123" si="28">I104*$H$120</f>
        <v>0.00004611191609</v>
      </c>
      <c r="J123" s="210">
        <f t="shared" si="28"/>
        <v>0.00003442921312</v>
      </c>
      <c r="K123" s="210">
        <f t="shared" si="28"/>
        <v>0.00005828821725</v>
      </c>
      <c r="L123" s="210">
        <f t="shared" si="28"/>
        <v>0.000030962662</v>
      </c>
      <c r="M123" s="210">
        <f t="shared" si="28"/>
        <v>0.00003537359187</v>
      </c>
      <c r="N123" s="210">
        <f t="shared" si="28"/>
        <v>0.00004469540959</v>
      </c>
      <c r="O123" s="210">
        <f t="shared" si="28"/>
        <v>0.00004813307052</v>
      </c>
      <c r="P123" s="210">
        <f t="shared" si="28"/>
        <v>0.00006640985975</v>
      </c>
      <c r="Q123" s="210">
        <f t="shared" si="28"/>
        <v>0.00005934334994</v>
      </c>
      <c r="R123" s="210">
        <f t="shared" si="28"/>
        <v>0.00002007734787</v>
      </c>
      <c r="S123" s="210">
        <f t="shared" si="28"/>
        <v>0.00003664187595</v>
      </c>
      <c r="T123" s="210">
        <f t="shared" si="28"/>
        <v>0.0000211703188</v>
      </c>
      <c r="U123" s="210">
        <f t="shared" si="28"/>
        <v>0.00002100235146</v>
      </c>
      <c r="V123" s="210">
        <f t="shared" si="28"/>
        <v>0.00002543738935</v>
      </c>
      <c r="W123" s="210">
        <f t="shared" si="28"/>
        <v>0.00003241183019</v>
      </c>
      <c r="X123" s="210">
        <f t="shared" si="28"/>
        <v>0.00002919759984</v>
      </c>
      <c r="Y123" s="210">
        <f t="shared" si="28"/>
        <v>0.00002209677677</v>
      </c>
      <c r="Z123" s="210">
        <f t="shared" si="28"/>
        <v>0.00002425979384</v>
      </c>
      <c r="AA123" s="210">
        <f t="shared" si="28"/>
        <v>0.00002857357676</v>
      </c>
      <c r="AB123" s="210">
        <f t="shared" si="28"/>
        <v>0.00002165124672</v>
      </c>
      <c r="AC123" s="210">
        <f t="shared" si="28"/>
        <v>0.00001900892866</v>
      </c>
      <c r="AD123" s="210">
        <f t="shared" si="28"/>
        <v>0.00002137449748</v>
      </c>
      <c r="AE123" s="210">
        <f t="shared" si="28"/>
        <v>0.00002185017488</v>
      </c>
      <c r="AF123" s="210">
        <f t="shared" si="28"/>
        <v>0.00001886876689</v>
      </c>
      <c r="AG123" s="210">
        <f t="shared" si="28"/>
        <v>0.00002220659398</v>
      </c>
      <c r="AH123" s="210">
        <f t="shared" si="28"/>
        <v>0.0000245976266</v>
      </c>
      <c r="AI123" s="210">
        <f t="shared" si="28"/>
        <v>0.00001702861983</v>
      </c>
      <c r="AJ123" s="210">
        <f t="shared" si="28"/>
        <v>0.00003183422368</v>
      </c>
      <c r="AK123" s="210">
        <f t="shared" si="28"/>
        <v>0.00003990264612</v>
      </c>
      <c r="AL123" s="210">
        <f t="shared" si="28"/>
        <v>0.00002759310993</v>
      </c>
      <c r="AM123" s="210">
        <f t="shared" si="28"/>
        <v>0.00002256634089</v>
      </c>
      <c r="AN123" s="210">
        <f t="shared" si="28"/>
        <v>0.00001505883669</v>
      </c>
      <c r="AO123" s="210">
        <f t="shared" si="28"/>
        <v>0.00001913780058</v>
      </c>
      <c r="AP123" s="210">
        <f t="shared" si="28"/>
        <v>0.00003240344908</v>
      </c>
      <c r="AQ123" s="210">
        <f t="shared" si="28"/>
        <v>0.00002163044184</v>
      </c>
      <c r="AR123" s="210">
        <f t="shared" si="28"/>
        <v>0.00004071571257</v>
      </c>
      <c r="AS123" s="210">
        <f t="shared" si="28"/>
        <v>0.00004765453368</v>
      </c>
      <c r="AT123" s="298"/>
    </row>
    <row r="124">
      <c r="A124" s="80"/>
      <c r="B124" s="81"/>
      <c r="C124" s="206"/>
      <c r="D124" s="206"/>
      <c r="E124" s="113" t="s">
        <v>554</v>
      </c>
      <c r="F124" s="207" t="s">
        <v>122</v>
      </c>
      <c r="G124" s="208" t="s">
        <v>149</v>
      </c>
      <c r="H124" s="373" t="s">
        <v>150</v>
      </c>
      <c r="I124" s="210">
        <f t="shared" ref="I124:AS124" si="29">I105*$H$120</f>
        <v>0.0001217583774</v>
      </c>
      <c r="J124" s="210">
        <f t="shared" si="29"/>
        <v>0.0001156800499</v>
      </c>
      <c r="K124" s="210">
        <f t="shared" si="29"/>
        <v>0.0001275610402</v>
      </c>
      <c r="L124" s="210">
        <f t="shared" si="29"/>
        <v>0.00007832427582</v>
      </c>
      <c r="M124" s="210">
        <f t="shared" si="29"/>
        <v>0.00009029906054</v>
      </c>
      <c r="N124" s="210">
        <f t="shared" si="29"/>
        <v>0.0001095444352</v>
      </c>
      <c r="O124" s="210">
        <f t="shared" si="29"/>
        <v>0.0001395089067</v>
      </c>
      <c r="P124" s="210">
        <f t="shared" si="29"/>
        <v>0.0001442509398</v>
      </c>
      <c r="Q124" s="210">
        <f t="shared" si="29"/>
        <v>0.000164803546</v>
      </c>
      <c r="R124" s="210">
        <f t="shared" si="29"/>
        <v>0.0000569051859</v>
      </c>
      <c r="S124" s="210">
        <f t="shared" si="29"/>
        <v>0.00009536694633</v>
      </c>
      <c r="T124" s="210">
        <f t="shared" si="29"/>
        <v>0.00006435643804</v>
      </c>
      <c r="U124" s="210">
        <f t="shared" si="29"/>
        <v>0.00005450988878</v>
      </c>
      <c r="V124" s="210">
        <f t="shared" si="29"/>
        <v>0.00007660067551</v>
      </c>
      <c r="W124" s="210">
        <f t="shared" si="29"/>
        <v>0.00008324107974</v>
      </c>
      <c r="X124" s="210">
        <f t="shared" si="29"/>
        <v>0.00008550969882</v>
      </c>
      <c r="Y124" s="210">
        <f t="shared" si="29"/>
        <v>0.0000657429944</v>
      </c>
      <c r="Z124" s="210">
        <f t="shared" si="29"/>
        <v>0.00005834131406</v>
      </c>
      <c r="AA124" s="210">
        <f t="shared" si="29"/>
        <v>0.00007386527781</v>
      </c>
      <c r="AB124" s="210">
        <f t="shared" si="29"/>
        <v>0.00005156851292</v>
      </c>
      <c r="AC124" s="210">
        <f t="shared" si="29"/>
        <v>0.00005482763152</v>
      </c>
      <c r="AD124" s="210">
        <f t="shared" si="29"/>
        <v>0.00006123200884</v>
      </c>
      <c r="AE124" s="210">
        <f t="shared" si="29"/>
        <v>0.00004353617856</v>
      </c>
      <c r="AF124" s="210">
        <f t="shared" si="29"/>
        <v>0.00005073094404</v>
      </c>
      <c r="AG124" s="210">
        <f t="shared" si="29"/>
        <v>0.00006673793098</v>
      </c>
      <c r="AH124" s="210">
        <f t="shared" si="29"/>
        <v>0.00006477169749</v>
      </c>
      <c r="AI124" s="210">
        <f t="shared" si="29"/>
        <v>0.00004187997226</v>
      </c>
      <c r="AJ124" s="210">
        <f t="shared" si="29"/>
        <v>0.00006386192779</v>
      </c>
      <c r="AK124" s="210">
        <f t="shared" si="29"/>
        <v>0.00009529112192</v>
      </c>
      <c r="AL124" s="210">
        <f t="shared" si="29"/>
        <v>0.00007386411924</v>
      </c>
      <c r="AM124" s="210">
        <f t="shared" si="29"/>
        <v>0.00006414681165</v>
      </c>
      <c r="AN124" s="210">
        <f t="shared" si="29"/>
        <v>0.00005122136234</v>
      </c>
      <c r="AO124" s="210">
        <f t="shared" si="29"/>
        <v>0.0000552497191</v>
      </c>
      <c r="AP124" s="210">
        <f t="shared" si="29"/>
        <v>0.00006366561257</v>
      </c>
      <c r="AQ124" s="210">
        <f t="shared" si="29"/>
        <v>0.00005790315446</v>
      </c>
      <c r="AR124" s="210">
        <f t="shared" si="29"/>
        <v>0.00008226712059</v>
      </c>
      <c r="AS124" s="210">
        <f t="shared" si="29"/>
        <v>0.0001154338178</v>
      </c>
      <c r="AT124" s="298"/>
    </row>
    <row r="125">
      <c r="A125" s="80"/>
      <c r="B125" s="81"/>
      <c r="C125" s="206"/>
      <c r="D125" s="369" t="s">
        <v>557</v>
      </c>
      <c r="E125" s="70"/>
      <c r="F125" s="207"/>
      <c r="G125" s="208"/>
      <c r="H125" s="370"/>
      <c r="I125" s="294"/>
      <c r="J125" s="294"/>
      <c r="K125" s="294"/>
      <c r="L125" s="294"/>
      <c r="M125" s="294"/>
      <c r="N125" s="294"/>
      <c r="O125" s="294"/>
      <c r="P125" s="294"/>
      <c r="Q125" s="294"/>
      <c r="R125" s="294"/>
      <c r="S125" s="294"/>
      <c r="T125" s="294"/>
      <c r="U125" s="294"/>
      <c r="V125" s="294"/>
      <c r="W125" s="294"/>
      <c r="X125" s="294"/>
      <c r="Y125" s="294"/>
      <c r="Z125" s="294"/>
      <c r="AA125" s="294"/>
      <c r="AB125" s="294"/>
      <c r="AC125" s="294"/>
      <c r="AD125" s="294"/>
      <c r="AE125" s="294"/>
      <c r="AF125" s="294"/>
      <c r="AG125" s="294"/>
      <c r="AH125" s="294"/>
      <c r="AI125" s="294"/>
      <c r="AJ125" s="294"/>
      <c r="AK125" s="294"/>
      <c r="AL125" s="294"/>
      <c r="AM125" s="294"/>
      <c r="AN125" s="294"/>
      <c r="AO125" s="294"/>
      <c r="AP125" s="294"/>
      <c r="AQ125" s="294"/>
      <c r="AR125" s="294"/>
      <c r="AS125" s="294"/>
      <c r="AT125" s="298"/>
    </row>
    <row r="126">
      <c r="A126" s="80"/>
      <c r="B126" s="81"/>
      <c r="C126" s="206"/>
      <c r="D126" s="206"/>
      <c r="E126" s="140" t="s">
        <v>558</v>
      </c>
      <c r="F126" s="278" t="s">
        <v>122</v>
      </c>
      <c r="G126" s="279" t="s">
        <v>203</v>
      </c>
      <c r="H126" s="305">
        <f>Inputs!H158</f>
        <v>0.2672</v>
      </c>
      <c r="I126" s="299" t="str">
        <f>Inputs!I158</f>
        <v>-</v>
      </c>
      <c r="J126" s="299" t="str">
        <f>Inputs!J158</f>
        <v>-</v>
      </c>
      <c r="K126" s="299" t="str">
        <f>Inputs!K158</f>
        <v>-</v>
      </c>
      <c r="L126" s="299" t="str">
        <f>Inputs!L158</f>
        <v>-</v>
      </c>
      <c r="M126" s="299" t="str">
        <f>Inputs!M158</f>
        <v>-</v>
      </c>
      <c r="N126" s="299" t="str">
        <f>Inputs!N158</f>
        <v>-</v>
      </c>
      <c r="O126" s="299" t="str">
        <f>Inputs!O158</f>
        <v>-</v>
      </c>
      <c r="P126" s="299" t="str">
        <f>Inputs!P158</f>
        <v>-</v>
      </c>
      <c r="Q126" s="299" t="str">
        <f>Inputs!Q158</f>
        <v>-</v>
      </c>
      <c r="R126" s="299" t="str">
        <f>Inputs!R158</f>
        <v>-</v>
      </c>
      <c r="S126" s="299" t="str">
        <f>Inputs!S158</f>
        <v>-</v>
      </c>
      <c r="T126" s="299" t="str">
        <f>Inputs!T158</f>
        <v>-</v>
      </c>
      <c r="U126" s="299" t="str">
        <f>Inputs!U158</f>
        <v>-</v>
      </c>
      <c r="V126" s="299" t="str">
        <f>Inputs!V158</f>
        <v>-</v>
      </c>
      <c r="W126" s="299" t="str">
        <f>Inputs!W158</f>
        <v>-</v>
      </c>
      <c r="X126" s="299" t="str">
        <f>Inputs!X158</f>
        <v>-</v>
      </c>
      <c r="Y126" s="299" t="str">
        <f>Inputs!Y158</f>
        <v>-</v>
      </c>
      <c r="Z126" s="299" t="str">
        <f>Inputs!Z158</f>
        <v>-</v>
      </c>
      <c r="AA126" s="299" t="str">
        <f>Inputs!AA158</f>
        <v>-</v>
      </c>
      <c r="AB126" s="299" t="str">
        <f>Inputs!AB158</f>
        <v>-</v>
      </c>
      <c r="AC126" s="299" t="str">
        <f>Inputs!AC158</f>
        <v>-</v>
      </c>
      <c r="AD126" s="299" t="str">
        <f>Inputs!AD158</f>
        <v>-</v>
      </c>
      <c r="AE126" s="299" t="str">
        <f>Inputs!AE158</f>
        <v>-</v>
      </c>
      <c r="AF126" s="299" t="str">
        <f>Inputs!AF158</f>
        <v>-</v>
      </c>
      <c r="AG126" s="299" t="str">
        <f>Inputs!AG158</f>
        <v>-</v>
      </c>
      <c r="AH126" s="299" t="str">
        <f>Inputs!AH158</f>
        <v>-</v>
      </c>
      <c r="AI126" s="299" t="str">
        <f>Inputs!AI158</f>
        <v>-</v>
      </c>
      <c r="AJ126" s="299" t="str">
        <f>Inputs!AJ158</f>
        <v>-</v>
      </c>
      <c r="AK126" s="299" t="str">
        <f>Inputs!AK158</f>
        <v>-</v>
      </c>
      <c r="AL126" s="299" t="str">
        <f>Inputs!AL158</f>
        <v>-</v>
      </c>
      <c r="AM126" s="299" t="str">
        <f>Inputs!AM158</f>
        <v>-</v>
      </c>
      <c r="AN126" s="299" t="str">
        <f>Inputs!AN158</f>
        <v>-</v>
      </c>
      <c r="AO126" s="299" t="str">
        <f>Inputs!AO158</f>
        <v>-</v>
      </c>
      <c r="AP126" s="299" t="str">
        <f>Inputs!AP158</f>
        <v>-</v>
      </c>
      <c r="AQ126" s="299" t="str">
        <f>Inputs!AQ158</f>
        <v>-</v>
      </c>
      <c r="AR126" s="299" t="str">
        <f>Inputs!AR158</f>
        <v>-</v>
      </c>
      <c r="AS126" s="299" t="str">
        <f>Inputs!AS158</f>
        <v>-</v>
      </c>
      <c r="AT126" s="297"/>
    </row>
    <row r="127">
      <c r="A127" s="80"/>
      <c r="B127" s="81"/>
      <c r="C127" s="206"/>
      <c r="D127" s="206"/>
      <c r="E127" s="113" t="s">
        <v>567</v>
      </c>
      <c r="F127" s="207" t="str">
        <f>Inputs!F159</f>
        <v>%</v>
      </c>
      <c r="G127" s="208" t="str">
        <f>Inputs!G159</f>
        <v>input</v>
      </c>
      <c r="H127" s="370">
        <f>Inputs!H159</f>
        <v>1.00085</v>
      </c>
      <c r="I127" s="294" t="str">
        <f>Inputs!I159</f>
        <v>-</v>
      </c>
      <c r="J127" s="294" t="str">
        <f>Inputs!J159</f>
        <v>-</v>
      </c>
      <c r="K127" s="294" t="str">
        <f>Inputs!K159</f>
        <v>-</v>
      </c>
      <c r="L127" s="294" t="str">
        <f>Inputs!L159</f>
        <v>-</v>
      </c>
      <c r="M127" s="294" t="str">
        <f>Inputs!M159</f>
        <v>-</v>
      </c>
      <c r="N127" s="294" t="str">
        <f>Inputs!N159</f>
        <v>-</v>
      </c>
      <c r="O127" s="294" t="str">
        <f>Inputs!O159</f>
        <v>-</v>
      </c>
      <c r="P127" s="294" t="str">
        <f>Inputs!P159</f>
        <v>-</v>
      </c>
      <c r="Q127" s="294" t="str">
        <f>Inputs!Q159</f>
        <v>-</v>
      </c>
      <c r="R127" s="294" t="str">
        <f>Inputs!R159</f>
        <v>-</v>
      </c>
      <c r="S127" s="294" t="str">
        <f>Inputs!S159</f>
        <v>-</v>
      </c>
      <c r="T127" s="294" t="str">
        <f>Inputs!T159</f>
        <v>-</v>
      </c>
      <c r="U127" s="294" t="str">
        <f>Inputs!U159</f>
        <v>-</v>
      </c>
      <c r="V127" s="294" t="str">
        <f>Inputs!V159</f>
        <v>-</v>
      </c>
      <c r="W127" s="294" t="str">
        <f>Inputs!W159</f>
        <v>-</v>
      </c>
      <c r="X127" s="294" t="str">
        <f>Inputs!X159</f>
        <v>-</v>
      </c>
      <c r="Y127" s="294" t="str">
        <f>Inputs!Y159</f>
        <v>-</v>
      </c>
      <c r="Z127" s="294" t="str">
        <f>Inputs!Z159</f>
        <v>-</v>
      </c>
      <c r="AA127" s="294" t="str">
        <f>Inputs!AA159</f>
        <v>-</v>
      </c>
      <c r="AB127" s="294" t="str">
        <f>Inputs!AB159</f>
        <v>-</v>
      </c>
      <c r="AC127" s="294" t="str">
        <f>Inputs!AC159</f>
        <v>-</v>
      </c>
      <c r="AD127" s="294" t="str">
        <f>Inputs!AD159</f>
        <v>-</v>
      </c>
      <c r="AE127" s="294" t="str">
        <f>Inputs!AE159</f>
        <v>-</v>
      </c>
      <c r="AF127" s="294" t="str">
        <f>Inputs!AF159</f>
        <v>-</v>
      </c>
      <c r="AG127" s="294" t="str">
        <f>Inputs!AG159</f>
        <v>-</v>
      </c>
      <c r="AH127" s="294" t="str">
        <f>Inputs!AH159</f>
        <v>-</v>
      </c>
      <c r="AI127" s="294" t="str">
        <f>Inputs!AI159</f>
        <v>-</v>
      </c>
      <c r="AJ127" s="294" t="str">
        <f>Inputs!AJ159</f>
        <v>-</v>
      </c>
      <c r="AK127" s="294" t="str">
        <f>Inputs!AK159</f>
        <v>-</v>
      </c>
      <c r="AL127" s="294" t="str">
        <f>Inputs!AL159</f>
        <v>-</v>
      </c>
      <c r="AM127" s="294" t="str">
        <f>Inputs!AM159</f>
        <v>-</v>
      </c>
      <c r="AN127" s="294" t="str">
        <f>Inputs!AN159</f>
        <v>-</v>
      </c>
      <c r="AO127" s="294" t="str">
        <f>Inputs!AO159</f>
        <v>-</v>
      </c>
      <c r="AP127" s="294" t="str">
        <f>Inputs!AP159</f>
        <v>-</v>
      </c>
      <c r="AQ127" s="294" t="str">
        <f>Inputs!AQ159</f>
        <v>-</v>
      </c>
      <c r="AR127" s="294" t="str">
        <f>Inputs!AR159</f>
        <v>-</v>
      </c>
      <c r="AS127" s="294" t="str">
        <f>Inputs!AS159</f>
        <v>-</v>
      </c>
      <c r="AT127" s="298"/>
    </row>
    <row r="128">
      <c r="A128" s="80"/>
      <c r="B128" s="81"/>
      <c r="C128" s="206"/>
      <c r="D128" s="206"/>
      <c r="E128" s="113" t="s">
        <v>574</v>
      </c>
      <c r="F128" s="207" t="s">
        <v>122</v>
      </c>
      <c r="G128" s="208" t="s">
        <v>149</v>
      </c>
      <c r="H128" s="370">
        <f>H126*H127</f>
        <v>0.26742712</v>
      </c>
      <c r="I128" s="294" t="s">
        <v>150</v>
      </c>
      <c r="J128" s="294" t="s">
        <v>150</v>
      </c>
      <c r="K128" s="294" t="s">
        <v>150</v>
      </c>
      <c r="L128" s="294" t="s">
        <v>150</v>
      </c>
      <c r="M128" s="294" t="s">
        <v>150</v>
      </c>
      <c r="N128" s="294" t="s">
        <v>150</v>
      </c>
      <c r="O128" s="294" t="s">
        <v>150</v>
      </c>
      <c r="P128" s="294" t="s">
        <v>150</v>
      </c>
      <c r="Q128" s="294" t="s">
        <v>150</v>
      </c>
      <c r="R128" s="294" t="s">
        <v>150</v>
      </c>
      <c r="S128" s="294" t="s">
        <v>150</v>
      </c>
      <c r="T128" s="294" t="s">
        <v>150</v>
      </c>
      <c r="U128" s="294" t="s">
        <v>150</v>
      </c>
      <c r="V128" s="294" t="s">
        <v>150</v>
      </c>
      <c r="W128" s="294" t="s">
        <v>150</v>
      </c>
      <c r="X128" s="294" t="s">
        <v>150</v>
      </c>
      <c r="Y128" s="294" t="s">
        <v>150</v>
      </c>
      <c r="Z128" s="294" t="s">
        <v>150</v>
      </c>
      <c r="AA128" s="294" t="s">
        <v>150</v>
      </c>
      <c r="AB128" s="294" t="s">
        <v>150</v>
      </c>
      <c r="AC128" s="294" t="s">
        <v>150</v>
      </c>
      <c r="AD128" s="294" t="s">
        <v>150</v>
      </c>
      <c r="AE128" s="294" t="s">
        <v>150</v>
      </c>
      <c r="AF128" s="294" t="s">
        <v>150</v>
      </c>
      <c r="AG128" s="294" t="s">
        <v>150</v>
      </c>
      <c r="AH128" s="294" t="s">
        <v>150</v>
      </c>
      <c r="AI128" s="294" t="s">
        <v>150</v>
      </c>
      <c r="AJ128" s="294" t="s">
        <v>150</v>
      </c>
      <c r="AK128" s="294" t="s">
        <v>150</v>
      </c>
      <c r="AL128" s="294" t="s">
        <v>150</v>
      </c>
      <c r="AM128" s="294" t="s">
        <v>150</v>
      </c>
      <c r="AN128" s="294" t="s">
        <v>150</v>
      </c>
      <c r="AO128" s="294" t="s">
        <v>150</v>
      </c>
      <c r="AP128" s="294" t="s">
        <v>150</v>
      </c>
      <c r="AQ128" s="294" t="s">
        <v>150</v>
      </c>
      <c r="AR128" s="294" t="s">
        <v>150</v>
      </c>
      <c r="AS128" s="294" t="s">
        <v>150</v>
      </c>
      <c r="AT128" s="298"/>
    </row>
    <row r="129">
      <c r="A129" s="80"/>
      <c r="B129" s="81"/>
      <c r="C129" s="206"/>
      <c r="D129" s="206"/>
      <c r="E129" s="113" t="s">
        <v>575</v>
      </c>
      <c r="F129" s="207" t="s">
        <v>122</v>
      </c>
      <c r="G129" s="208" t="s">
        <v>149</v>
      </c>
      <c r="H129" s="373" t="s">
        <v>150</v>
      </c>
      <c r="I129" s="210">
        <f t="shared" ref="I129:AS129" si="30">I114*$H$128</f>
        <v>0.001486441414</v>
      </c>
      <c r="J129" s="210">
        <f t="shared" si="30"/>
        <v>0.001255097769</v>
      </c>
      <c r="K129" s="210">
        <f t="shared" si="30"/>
        <v>0.001587325156</v>
      </c>
      <c r="L129" s="210">
        <f t="shared" si="30"/>
        <v>0.000824648201</v>
      </c>
      <c r="M129" s="210">
        <f t="shared" si="30"/>
        <v>0.001279629725</v>
      </c>
      <c r="N129" s="210">
        <f t="shared" si="30"/>
        <v>0.001145979523</v>
      </c>
      <c r="O129" s="210">
        <f t="shared" si="30"/>
        <v>0.00124322659</v>
      </c>
      <c r="P129" s="210">
        <f t="shared" si="30"/>
        <v>0.001931210322</v>
      </c>
      <c r="Q129" s="210">
        <f t="shared" si="30"/>
        <v>0.002272498879</v>
      </c>
      <c r="R129" s="210">
        <f t="shared" si="30"/>
        <v>0.0003688731062</v>
      </c>
      <c r="S129" s="210">
        <f t="shared" si="30"/>
        <v>0.001000667363</v>
      </c>
      <c r="T129" s="210">
        <f t="shared" si="30"/>
        <v>0.0002600206372</v>
      </c>
      <c r="U129" s="210">
        <f t="shared" si="30"/>
        <v>0.0002342926604</v>
      </c>
      <c r="V129" s="210">
        <f t="shared" si="30"/>
        <v>0.0003705681323</v>
      </c>
      <c r="W129" s="210">
        <f t="shared" si="30"/>
        <v>0.0004519368935</v>
      </c>
      <c r="X129" s="210">
        <f t="shared" si="30"/>
        <v>0.0003625734054</v>
      </c>
      <c r="Y129" s="210">
        <f t="shared" si="30"/>
        <v>0.000275738971</v>
      </c>
      <c r="Z129" s="210">
        <f t="shared" si="30"/>
        <v>0.0003539456982</v>
      </c>
      <c r="AA129" s="210">
        <f t="shared" si="30"/>
        <v>0.000426536963</v>
      </c>
      <c r="AB129" s="210">
        <f t="shared" si="30"/>
        <v>0.0003572766917</v>
      </c>
      <c r="AC129" s="210">
        <f t="shared" si="30"/>
        <v>0.000260085868</v>
      </c>
      <c r="AD129" s="210">
        <f t="shared" si="30"/>
        <v>0.0001735493377</v>
      </c>
      <c r="AE129" s="210">
        <f t="shared" si="30"/>
        <v>0.0003317770507</v>
      </c>
      <c r="AF129" s="210">
        <f t="shared" si="30"/>
        <v>0.0001974796135</v>
      </c>
      <c r="AG129" s="210">
        <f t="shared" si="30"/>
        <v>0.0002571687944</v>
      </c>
      <c r="AH129" s="210">
        <f t="shared" si="30"/>
        <v>0.0001912219745</v>
      </c>
      <c r="AI129" s="210">
        <f t="shared" si="30"/>
        <v>0.0001487058692</v>
      </c>
      <c r="AJ129" s="210">
        <f t="shared" si="30"/>
        <v>0.0004586762341</v>
      </c>
      <c r="AK129" s="210">
        <f t="shared" si="30"/>
        <v>0.0006904859514</v>
      </c>
      <c r="AL129" s="210">
        <f t="shared" si="30"/>
        <v>0.000271772276</v>
      </c>
      <c r="AM129" s="210">
        <f t="shared" si="30"/>
        <v>0.0002845348908</v>
      </c>
      <c r="AN129" s="210">
        <f t="shared" si="30"/>
        <v>0.0001226727228</v>
      </c>
      <c r="AO129" s="210">
        <f t="shared" si="30"/>
        <v>0.0001908106222</v>
      </c>
      <c r="AP129" s="210">
        <f t="shared" si="30"/>
        <v>0.000335384841</v>
      </c>
      <c r="AQ129" s="210">
        <f t="shared" si="30"/>
        <v>0.0003389822937</v>
      </c>
      <c r="AR129" s="210">
        <f t="shared" si="30"/>
        <v>0.00108404623</v>
      </c>
      <c r="AS129" s="210">
        <f t="shared" si="30"/>
        <v>0.0007724448684</v>
      </c>
      <c r="AT129" s="298"/>
    </row>
    <row r="130">
      <c r="A130" s="80"/>
      <c r="B130" s="81"/>
      <c r="C130" s="206"/>
      <c r="D130" s="206"/>
      <c r="E130" s="113" t="s">
        <v>579</v>
      </c>
      <c r="F130" s="207" t="s">
        <v>122</v>
      </c>
      <c r="G130" s="208" t="s">
        <v>149</v>
      </c>
      <c r="H130" s="373" t="s">
        <v>150</v>
      </c>
      <c r="I130" s="210">
        <f t="shared" ref="I130:AS130" si="31">I103*$H$128</f>
        <v>0.0002461000746</v>
      </c>
      <c r="J130" s="210">
        <f t="shared" si="31"/>
        <v>0.0002093259039</v>
      </c>
      <c r="K130" s="210">
        <f t="shared" si="31"/>
        <v>0.0002609922886</v>
      </c>
      <c r="L130" s="210">
        <f t="shared" si="31"/>
        <v>0.0001452808526</v>
      </c>
      <c r="M130" s="210">
        <f t="shared" si="31"/>
        <v>0.0002280966135</v>
      </c>
      <c r="N130" s="210">
        <f t="shared" si="31"/>
        <v>0.0001990361106</v>
      </c>
      <c r="O130" s="210">
        <f t="shared" si="31"/>
        <v>0.0002268348923</v>
      </c>
      <c r="P130" s="210">
        <f t="shared" si="31"/>
        <v>0.0003161520738</v>
      </c>
      <c r="Q130" s="210">
        <f t="shared" si="31"/>
        <v>0.0003252913957</v>
      </c>
      <c r="R130" s="210">
        <f t="shared" si="31"/>
        <v>0.00007574177863</v>
      </c>
      <c r="S130" s="210">
        <f t="shared" si="31"/>
        <v>0.0001856318611</v>
      </c>
      <c r="T130" s="210">
        <f t="shared" si="31"/>
        <v>0.00006421005379</v>
      </c>
      <c r="U130" s="210">
        <f t="shared" si="31"/>
        <v>0.00006518963933</v>
      </c>
      <c r="V130" s="210">
        <f t="shared" si="31"/>
        <v>0.00007232593203</v>
      </c>
      <c r="W130" s="210">
        <f t="shared" si="31"/>
        <v>0.0001265403624</v>
      </c>
      <c r="X130" s="210">
        <f t="shared" si="31"/>
        <v>0.0001074629139</v>
      </c>
      <c r="Y130" s="210">
        <f t="shared" si="31"/>
        <v>0.00006661208419</v>
      </c>
      <c r="Z130" s="210">
        <f t="shared" si="31"/>
        <v>0.00008700366951</v>
      </c>
      <c r="AA130" s="210">
        <f t="shared" si="31"/>
        <v>0.0001191339683</v>
      </c>
      <c r="AB130" s="210">
        <f t="shared" si="31"/>
        <v>0.00006927940228</v>
      </c>
      <c r="AC130" s="210">
        <f t="shared" si="31"/>
        <v>0.00006364150374</v>
      </c>
      <c r="AD130" s="210">
        <f t="shared" si="31"/>
        <v>0.00006013179021</v>
      </c>
      <c r="AE130" s="210">
        <f t="shared" si="31"/>
        <v>0.00008623133999</v>
      </c>
      <c r="AF130" s="210">
        <f t="shared" si="31"/>
        <v>0.00006015987006</v>
      </c>
      <c r="AG130" s="210">
        <f t="shared" si="31"/>
        <v>0.00006381987763</v>
      </c>
      <c r="AH130" s="210">
        <f t="shared" si="31"/>
        <v>0.00006072146701</v>
      </c>
      <c r="AI130" s="210">
        <f t="shared" si="31"/>
        <v>0.00006039921733</v>
      </c>
      <c r="AJ130" s="210">
        <f t="shared" si="31"/>
        <v>0.0001145494652</v>
      </c>
      <c r="AK130" s="210">
        <f t="shared" si="31"/>
        <v>0.0001522077499</v>
      </c>
      <c r="AL130" s="210">
        <f t="shared" si="31"/>
        <v>0.00008281977222</v>
      </c>
      <c r="AM130" s="210">
        <f t="shared" si="31"/>
        <v>0.00008175701685</v>
      </c>
      <c r="AN130" s="210">
        <f t="shared" si="31"/>
        <v>0.00004418751789</v>
      </c>
      <c r="AO130" s="210">
        <f t="shared" si="31"/>
        <v>0.00004770418452</v>
      </c>
      <c r="AP130" s="210">
        <f t="shared" si="31"/>
        <v>0.0001066929912</v>
      </c>
      <c r="AQ130" s="210">
        <f t="shared" si="31"/>
        <v>0.00007474293834</v>
      </c>
      <c r="AR130" s="210">
        <f t="shared" si="31"/>
        <v>0.0001991987063</v>
      </c>
      <c r="AS130" s="210">
        <f t="shared" si="31"/>
        <v>0.0001813639917</v>
      </c>
      <c r="AT130" s="298"/>
    </row>
    <row r="131">
      <c r="A131" s="80"/>
      <c r="B131" s="81"/>
      <c r="C131" s="206"/>
      <c r="D131" s="206"/>
      <c r="E131" s="113" t="s">
        <v>581</v>
      </c>
      <c r="F131" s="207" t="s">
        <v>122</v>
      </c>
      <c r="G131" s="208" t="s">
        <v>149</v>
      </c>
      <c r="H131" s="373" t="s">
        <v>150</v>
      </c>
      <c r="I131" s="210">
        <f t="shared" ref="I131:AS131" si="32">I104*$H$128</f>
        <v>0.0005002601352</v>
      </c>
      <c r="J131" s="210">
        <f t="shared" si="32"/>
        <v>0.0003735165282</v>
      </c>
      <c r="K131" s="210">
        <f t="shared" si="32"/>
        <v>0.0006323587028</v>
      </c>
      <c r="L131" s="210">
        <f t="shared" si="32"/>
        <v>0.0003359085198</v>
      </c>
      <c r="M131" s="210">
        <f t="shared" si="32"/>
        <v>0.0003837619286</v>
      </c>
      <c r="N131" s="210">
        <f t="shared" si="32"/>
        <v>0.0004848927032</v>
      </c>
      <c r="O131" s="210">
        <f t="shared" si="32"/>
        <v>0.000522187287</v>
      </c>
      <c r="P131" s="210">
        <f t="shared" si="32"/>
        <v>0.0007204689857</v>
      </c>
      <c r="Q131" s="210">
        <f t="shared" si="32"/>
        <v>0.0006438056533</v>
      </c>
      <c r="R131" s="210">
        <f t="shared" si="32"/>
        <v>0.0002178156453</v>
      </c>
      <c r="S131" s="210">
        <f t="shared" si="32"/>
        <v>0.0003975213214</v>
      </c>
      <c r="T131" s="210">
        <f t="shared" si="32"/>
        <v>0.0002296730963</v>
      </c>
      <c r="U131" s="210">
        <f t="shared" si="32"/>
        <v>0.0002278508479</v>
      </c>
      <c r="V131" s="210">
        <f t="shared" si="32"/>
        <v>0.0002759658005</v>
      </c>
      <c r="W131" s="210">
        <f t="shared" si="32"/>
        <v>0.0003516302927</v>
      </c>
      <c r="X131" s="210">
        <f t="shared" si="32"/>
        <v>0.0003167596683</v>
      </c>
      <c r="Y131" s="210">
        <f t="shared" si="32"/>
        <v>0.0002397240772</v>
      </c>
      <c r="Z131" s="210">
        <f t="shared" si="32"/>
        <v>0.0002631902721</v>
      </c>
      <c r="AA131" s="210">
        <f t="shared" si="32"/>
        <v>0.0003099897507</v>
      </c>
      <c r="AB131" s="210">
        <f t="shared" si="32"/>
        <v>0.0002348905994</v>
      </c>
      <c r="AC131" s="210">
        <f t="shared" si="32"/>
        <v>0.0002062245516</v>
      </c>
      <c r="AD131" s="210">
        <f t="shared" si="32"/>
        <v>0.0002318881952</v>
      </c>
      <c r="AE131" s="210">
        <f t="shared" si="32"/>
        <v>0.0002370487363</v>
      </c>
      <c r="AF131" s="210">
        <f t="shared" si="32"/>
        <v>0.000204703961</v>
      </c>
      <c r="AG131" s="210">
        <f t="shared" si="32"/>
        <v>0.000240915465</v>
      </c>
      <c r="AH131" s="210">
        <f t="shared" si="32"/>
        <v>0.0002668553608</v>
      </c>
      <c r="AI131" s="210">
        <f t="shared" si="32"/>
        <v>0.0001847405265</v>
      </c>
      <c r="AJ131" s="210">
        <f t="shared" si="32"/>
        <v>0.0003453639404</v>
      </c>
      <c r="AK131" s="210">
        <f t="shared" si="32"/>
        <v>0.0004328968482</v>
      </c>
      <c r="AL131" s="210">
        <f t="shared" si="32"/>
        <v>0.000299352837</v>
      </c>
      <c r="AM131" s="210">
        <f t="shared" si="32"/>
        <v>0.0002448182964</v>
      </c>
      <c r="AN131" s="210">
        <f t="shared" si="32"/>
        <v>0.0001633706928</v>
      </c>
      <c r="AO131" s="210">
        <f t="shared" si="32"/>
        <v>0.0002076226606</v>
      </c>
      <c r="AP131" s="210">
        <f t="shared" si="32"/>
        <v>0.0003515393675</v>
      </c>
      <c r="AQ131" s="210">
        <f t="shared" si="32"/>
        <v>0.000234664891</v>
      </c>
      <c r="AR131" s="210">
        <f t="shared" si="32"/>
        <v>0.0004417176643</v>
      </c>
      <c r="AS131" s="210">
        <f t="shared" si="32"/>
        <v>0.0005169957244</v>
      </c>
      <c r="AT131" s="298"/>
    </row>
    <row r="132">
      <c r="A132" s="80"/>
      <c r="B132" s="81"/>
      <c r="C132" s="206"/>
      <c r="D132" s="206"/>
      <c r="E132" s="224" t="s">
        <v>584</v>
      </c>
      <c r="F132" s="225" t="s">
        <v>122</v>
      </c>
      <c r="G132" s="226" t="s">
        <v>149</v>
      </c>
      <c r="H132" s="259" t="s">
        <v>150</v>
      </c>
      <c r="I132" s="228">
        <f t="shared" ref="I132:AS132" si="33">I105*$H$128</f>
        <v>0.0013209354</v>
      </c>
      <c r="J132" s="228">
        <f t="shared" si="33"/>
        <v>0.001254992686</v>
      </c>
      <c r="K132" s="228">
        <f t="shared" si="33"/>
        <v>0.001383887477</v>
      </c>
      <c r="L132" s="228">
        <f t="shared" si="33"/>
        <v>0.0008497264076</v>
      </c>
      <c r="M132" s="228">
        <f t="shared" si="33"/>
        <v>0.0009796387586</v>
      </c>
      <c r="N132" s="228">
        <f t="shared" si="33"/>
        <v>0.001188428471</v>
      </c>
      <c r="O132" s="228">
        <f t="shared" si="33"/>
        <v>0.001513507797</v>
      </c>
      <c r="P132" s="228">
        <f t="shared" si="33"/>
        <v>0.001564953287</v>
      </c>
      <c r="Q132" s="228">
        <f t="shared" si="33"/>
        <v>0.001787924927</v>
      </c>
      <c r="R132" s="228">
        <f t="shared" si="33"/>
        <v>0.0006173544368</v>
      </c>
      <c r="S132" s="228">
        <f t="shared" si="33"/>
        <v>0.001034619368</v>
      </c>
      <c r="T132" s="228">
        <f t="shared" si="33"/>
        <v>0.0006981917718</v>
      </c>
      <c r="U132" s="228">
        <f t="shared" si="33"/>
        <v>0.0005913682761</v>
      </c>
      <c r="V132" s="228">
        <f t="shared" si="33"/>
        <v>0.0008310273686</v>
      </c>
      <c r="W132" s="228">
        <f t="shared" si="33"/>
        <v>0.0009030679559</v>
      </c>
      <c r="X132" s="228">
        <f t="shared" si="33"/>
        <v>0.0009276798086</v>
      </c>
      <c r="Y132" s="228">
        <f t="shared" si="33"/>
        <v>0.0007132342799</v>
      </c>
      <c r="Z132" s="228">
        <f t="shared" si="33"/>
        <v>0.0006329347408</v>
      </c>
      <c r="AA132" s="228">
        <f t="shared" si="33"/>
        <v>0.0008013515159</v>
      </c>
      <c r="AB132" s="228">
        <f t="shared" si="33"/>
        <v>0.0005594578025</v>
      </c>
      <c r="AC132" s="228">
        <f t="shared" si="33"/>
        <v>0.0005948154117</v>
      </c>
      <c r="AD132" s="228">
        <f t="shared" si="33"/>
        <v>0.0006642953843</v>
      </c>
      <c r="AE132" s="228">
        <f t="shared" si="33"/>
        <v>0.000472316408</v>
      </c>
      <c r="AF132" s="228">
        <f t="shared" si="33"/>
        <v>0.0005503711638</v>
      </c>
      <c r="AG132" s="228">
        <f t="shared" si="33"/>
        <v>0.0007240281733</v>
      </c>
      <c r="AH132" s="228">
        <f t="shared" si="33"/>
        <v>0.0007026968491</v>
      </c>
      <c r="AI132" s="228">
        <f t="shared" si="33"/>
        <v>0.0004543485146</v>
      </c>
      <c r="AJ132" s="228">
        <f t="shared" si="33"/>
        <v>0.0006928269163</v>
      </c>
      <c r="AK132" s="228">
        <f t="shared" si="33"/>
        <v>0.001033796762</v>
      </c>
      <c r="AL132" s="228">
        <f t="shared" si="33"/>
        <v>0.0008013389468</v>
      </c>
      <c r="AM132" s="228">
        <f t="shared" si="33"/>
        <v>0.0006959175716</v>
      </c>
      <c r="AN132" s="228">
        <f t="shared" si="33"/>
        <v>0.0005556916263</v>
      </c>
      <c r="AO132" s="228">
        <f t="shared" si="33"/>
        <v>0.0005993945663</v>
      </c>
      <c r="AP132" s="228">
        <f t="shared" si="33"/>
        <v>0.0006906971268</v>
      </c>
      <c r="AQ132" s="228">
        <f t="shared" si="33"/>
        <v>0.0006281812238</v>
      </c>
      <c r="AR132" s="228">
        <f t="shared" si="33"/>
        <v>0.0008925016429</v>
      </c>
      <c r="AS132" s="228">
        <f t="shared" si="33"/>
        <v>0.001252321356</v>
      </c>
      <c r="AT132" s="389"/>
    </row>
    <row r="133">
      <c r="A133" s="80"/>
      <c r="B133" s="81"/>
      <c r="C133" s="126"/>
      <c r="D133" s="126"/>
      <c r="E133" s="243"/>
      <c r="F133" s="201"/>
      <c r="G133" s="202"/>
      <c r="H133" s="8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91"/>
    </row>
    <row r="134">
      <c r="A134" s="72" t="s">
        <v>588</v>
      </c>
      <c r="B134" s="14"/>
      <c r="C134" s="14"/>
      <c r="D134" s="14"/>
      <c r="E134" s="14"/>
      <c r="F134" s="14"/>
      <c r="G134" s="14"/>
      <c r="H134" s="73"/>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c r="AG134" s="97"/>
      <c r="AH134" s="97"/>
      <c r="AI134" s="97"/>
      <c r="AJ134" s="97"/>
      <c r="AK134" s="97"/>
      <c r="AL134" s="97"/>
      <c r="AM134" s="97"/>
      <c r="AN134" s="97"/>
      <c r="AO134" s="97"/>
      <c r="AP134" s="97"/>
      <c r="AQ134" s="97"/>
      <c r="AR134" s="97"/>
      <c r="AS134" s="97"/>
      <c r="AT134" s="79"/>
    </row>
    <row r="135">
      <c r="A135" s="80"/>
      <c r="B135" s="81"/>
      <c r="C135" s="206"/>
      <c r="D135" s="206"/>
      <c r="E135" s="243"/>
      <c r="F135" s="201"/>
      <c r="G135" s="202"/>
      <c r="H135" s="85"/>
      <c r="I135" s="266"/>
      <c r="J135" s="266"/>
      <c r="K135" s="266"/>
      <c r="L135" s="266"/>
      <c r="M135" s="266"/>
      <c r="N135" s="266"/>
      <c r="O135" s="266"/>
      <c r="P135" s="266"/>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8"/>
    </row>
    <row r="136">
      <c r="A136" s="81"/>
      <c r="B136" s="81"/>
      <c r="C136" s="126" t="s">
        <v>589</v>
      </c>
      <c r="F136" s="201"/>
      <c r="G136" s="201"/>
      <c r="H136" s="85"/>
      <c r="I136" s="266"/>
      <c r="J136" s="266"/>
      <c r="K136" s="266"/>
      <c r="L136" s="266"/>
      <c r="M136" s="266"/>
      <c r="N136" s="266"/>
      <c r="O136" s="266"/>
      <c r="P136" s="266"/>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8"/>
    </row>
    <row r="137">
      <c r="A137" s="80"/>
      <c r="B137" s="81"/>
      <c r="C137" s="206"/>
      <c r="D137" s="206"/>
      <c r="E137" s="113" t="s">
        <v>591</v>
      </c>
      <c r="F137" s="207" t="s">
        <v>122</v>
      </c>
      <c r="G137" s="208" t="s">
        <v>203</v>
      </c>
      <c r="H137" s="209" t="str">
        <f>Inputs!H162</f>
        <v>-</v>
      </c>
      <c r="I137" s="210">
        <f>Inputs!I162</f>
        <v>0.028953826</v>
      </c>
      <c r="J137" s="210">
        <f>Inputs!J162</f>
        <v>0.019935049</v>
      </c>
      <c r="K137" s="210">
        <f>Inputs!K162</f>
        <v>0.023778119</v>
      </c>
      <c r="L137" s="210">
        <f>Inputs!L162</f>
        <v>0.01066086</v>
      </c>
      <c r="M137" s="210">
        <f>Inputs!M162</f>
        <v>0.019142781</v>
      </c>
      <c r="N137" s="210">
        <f>Inputs!N162</f>
        <v>0.020195653</v>
      </c>
      <c r="O137" s="210">
        <f>Inputs!O162</f>
        <v>0.022145719</v>
      </c>
      <c r="P137" s="210">
        <f>Inputs!P162</f>
        <v>0.03220683</v>
      </c>
      <c r="Q137" s="210">
        <f>Inputs!Q162</f>
        <v>0.038689546</v>
      </c>
      <c r="R137" s="210">
        <f>Inputs!R162</f>
        <v>0.008317334</v>
      </c>
      <c r="S137" s="210">
        <f>Inputs!S162</f>
        <v>0.017929219</v>
      </c>
      <c r="T137" s="210">
        <f>Inputs!T162</f>
        <v>0.003771386</v>
      </c>
      <c r="U137" s="210">
        <f>Inputs!U162</f>
        <v>0.003005545</v>
      </c>
      <c r="V137" s="210">
        <f>Inputs!V162</f>
        <v>0.008466792</v>
      </c>
      <c r="W137" s="210">
        <f>Inputs!W162</f>
        <v>0.011690826</v>
      </c>
      <c r="X137" s="210">
        <f>Inputs!X162</f>
        <v>0.009844375</v>
      </c>
      <c r="Y137" s="210">
        <f>Inputs!Y162</f>
        <v>0.004539302</v>
      </c>
      <c r="Z137" s="210">
        <f>Inputs!Z162</f>
        <v>0.00495511</v>
      </c>
      <c r="AA137" s="210">
        <f>Inputs!AA162</f>
        <v>0.007927072</v>
      </c>
      <c r="AB137" s="210">
        <f>Inputs!AB162</f>
        <v>0.004365989</v>
      </c>
      <c r="AC137" s="210">
        <f>Inputs!AC162</f>
        <v>0.004120486</v>
      </c>
      <c r="AD137" s="210">
        <f>Inputs!AD162</f>
        <v>0.00271251</v>
      </c>
      <c r="AE137" s="210">
        <f>Inputs!AE162</f>
        <v>0.004333639</v>
      </c>
      <c r="AF137" s="210">
        <f>Inputs!AF162</f>
        <v>0.002607964</v>
      </c>
      <c r="AG137" s="210">
        <f>Inputs!AG162</f>
        <v>0.003592045</v>
      </c>
      <c r="AH137" s="210">
        <f>Inputs!AH162</f>
        <v>0.002748778</v>
      </c>
      <c r="AI137" s="210">
        <f>Inputs!AI162</f>
        <v>0.002528933</v>
      </c>
      <c r="AJ137" s="210">
        <f>Inputs!AJ162</f>
        <v>0.006564346</v>
      </c>
      <c r="AK137" s="210">
        <f>Inputs!AK162</f>
        <v>0.011935639</v>
      </c>
      <c r="AL137" s="210">
        <f>Inputs!AL162</f>
        <v>0.00391545</v>
      </c>
      <c r="AM137" s="210">
        <f>Inputs!AM162</f>
        <v>0.004007555</v>
      </c>
      <c r="AN137" s="210">
        <f>Inputs!AN162</f>
        <v>0.002237864</v>
      </c>
      <c r="AO137" s="210">
        <f>Inputs!AO162</f>
        <v>0.002368033</v>
      </c>
      <c r="AP137" s="210">
        <f>Inputs!AP162</f>
        <v>0.005945687</v>
      </c>
      <c r="AQ137" s="210">
        <f>Inputs!AQ162</f>
        <v>0.004619085</v>
      </c>
      <c r="AR137" s="210">
        <f>Inputs!AR162</f>
        <v>0.019506681</v>
      </c>
      <c r="AS137" s="210">
        <f>Inputs!AS162</f>
        <v>0.014523595</v>
      </c>
      <c r="AT137" s="212"/>
    </row>
    <row r="138">
      <c r="A138" s="80"/>
      <c r="B138" s="81"/>
      <c r="C138" s="206"/>
      <c r="D138" s="206"/>
      <c r="E138" s="140" t="s">
        <v>599</v>
      </c>
      <c r="F138" s="278" t="s">
        <v>122</v>
      </c>
      <c r="G138" s="279" t="s">
        <v>203</v>
      </c>
      <c r="H138" s="280" t="str">
        <f>Inputs!H163</f>
        <v>-</v>
      </c>
      <c r="I138" s="281">
        <f>Inputs!I163</f>
        <v>0.001404528</v>
      </c>
      <c r="J138" s="281">
        <f>Inputs!J163</f>
        <v>0.000853859</v>
      </c>
      <c r="K138" s="281">
        <f>Inputs!K163</f>
        <v>0.000897047</v>
      </c>
      <c r="L138" s="281">
        <f>Inputs!L163</f>
        <v>0.000336525</v>
      </c>
      <c r="M138" s="281">
        <f>Inputs!M163</f>
        <v>0.000638931</v>
      </c>
      <c r="N138" s="281">
        <f>Inputs!N163</f>
        <v>0.000930212</v>
      </c>
      <c r="O138" s="281">
        <f>Inputs!O163</f>
        <v>0.001073511</v>
      </c>
      <c r="P138" s="281">
        <f>Inputs!P163</f>
        <v>0.001322957</v>
      </c>
      <c r="Q138" s="281">
        <f>Inputs!Q163</f>
        <v>0.001353697</v>
      </c>
      <c r="R138" s="281">
        <f>Inputs!R163</f>
        <v>0.000323519</v>
      </c>
      <c r="S138" s="281">
        <f>Inputs!S163</f>
        <v>0.000724649</v>
      </c>
      <c r="T138" s="281">
        <f>Inputs!T163</f>
        <v>0.000154387</v>
      </c>
      <c r="U138" s="281">
        <f>Inputs!U163</f>
        <v>0.000131084</v>
      </c>
      <c r="V138" s="281">
        <f>Inputs!V163</f>
        <v>0.000489032</v>
      </c>
      <c r="W138" s="281">
        <f>Inputs!W163</f>
        <v>0.000711628</v>
      </c>
      <c r="X138" s="281">
        <f>Inputs!X163</f>
        <v>0.00064437</v>
      </c>
      <c r="Y138" s="281">
        <f>Inputs!Y163</f>
        <v>0.000305489</v>
      </c>
      <c r="Z138" s="281">
        <f>Inputs!Z163</f>
        <v>0.000176048</v>
      </c>
      <c r="AA138" s="281">
        <f>Inputs!AA163</f>
        <v>0.000381868</v>
      </c>
      <c r="AB138" s="281">
        <f>Inputs!AB163</f>
        <v>0.000147834</v>
      </c>
      <c r="AC138" s="281">
        <f>Inputs!AC163</f>
        <v>0.000148033</v>
      </c>
      <c r="AD138" s="281">
        <f>Inputs!AD163</f>
        <v>0.000181021</v>
      </c>
      <c r="AE138" s="281">
        <f>Inputs!AE163</f>
        <v>0.000143824</v>
      </c>
      <c r="AF138" s="281">
        <f>Inputs!AF163</f>
        <v>0.000119542</v>
      </c>
      <c r="AG138" s="281">
        <f>Inputs!AG163</f>
        <v>0.000220572</v>
      </c>
      <c r="AH138" s="281">
        <f>Inputs!AH163</f>
        <v>0.000188882</v>
      </c>
      <c r="AI138" s="281">
        <f>Inputs!AI163</f>
        <v>0.0000757</v>
      </c>
      <c r="AJ138" s="281">
        <f>Inputs!AJ163</f>
        <v>0.000365466</v>
      </c>
      <c r="AK138" s="281">
        <f>Inputs!AK163</f>
        <v>0.000588147</v>
      </c>
      <c r="AL138" s="281">
        <f>Inputs!AL163</f>
        <v>0.000172906</v>
      </c>
      <c r="AM138" s="281">
        <f>Inputs!AM163</f>
        <v>0.000221703</v>
      </c>
      <c r="AN138" s="281">
        <f>Inputs!AN163</f>
        <v>0.000105538</v>
      </c>
      <c r="AO138" s="281">
        <f>Inputs!AO163</f>
        <v>0.000168951</v>
      </c>
      <c r="AP138" s="281">
        <f>Inputs!AP163</f>
        <v>0.000418418</v>
      </c>
      <c r="AQ138" s="281">
        <f>Inputs!AQ163</f>
        <v>0.000142167</v>
      </c>
      <c r="AR138" s="281">
        <f>Inputs!AR163</f>
        <v>0.000845421</v>
      </c>
      <c r="AS138" s="281">
        <f>Inputs!AS163</f>
        <v>0.000959022</v>
      </c>
      <c r="AT138" s="282"/>
    </row>
    <row r="139">
      <c r="A139" s="80"/>
      <c r="B139" s="81"/>
      <c r="C139" s="206"/>
      <c r="D139" s="206"/>
      <c r="E139" s="140" t="s">
        <v>605</v>
      </c>
      <c r="F139" s="278" t="s">
        <v>122</v>
      </c>
      <c r="G139" s="279" t="s">
        <v>203</v>
      </c>
      <c r="H139" s="280" t="str">
        <f>Inputs!H164</f>
        <v>-</v>
      </c>
      <c r="I139" s="281">
        <f>Inputs!I164</f>
        <v>0.004800212</v>
      </c>
      <c r="J139" s="281">
        <f>Inputs!J164</f>
        <v>0.002629884</v>
      </c>
      <c r="K139" s="281">
        <f>Inputs!K164</f>
        <v>0.003693331</v>
      </c>
      <c r="L139" s="281">
        <f>Inputs!L164</f>
        <v>0.001387744</v>
      </c>
      <c r="M139" s="281">
        <f>Inputs!M164</f>
        <v>0.002059414</v>
      </c>
      <c r="N139" s="281">
        <f>Inputs!N164</f>
        <v>0.003840535</v>
      </c>
      <c r="O139" s="281">
        <f>Inputs!O164</f>
        <v>0.004186265</v>
      </c>
      <c r="P139" s="281">
        <f>Inputs!P164</f>
        <v>0.005418147</v>
      </c>
      <c r="Q139" s="281">
        <f>Inputs!Q164</f>
        <v>0.004713418</v>
      </c>
      <c r="R139" s="281">
        <f>Inputs!R164</f>
        <v>0.0009358</v>
      </c>
      <c r="S139" s="281">
        <f>Inputs!S164</f>
        <v>0.002464247</v>
      </c>
      <c r="T139" s="281">
        <f>Inputs!T164</f>
        <v>0.000956354</v>
      </c>
      <c r="U139" s="281">
        <f>Inputs!U164</f>
        <v>0.000762501</v>
      </c>
      <c r="V139" s="281">
        <f>Inputs!V164</f>
        <v>0.002117225</v>
      </c>
      <c r="W139" s="281">
        <f>Inputs!W164</f>
        <v>0.002781602</v>
      </c>
      <c r="X139" s="281">
        <f>Inputs!X164</f>
        <v>0.002375827</v>
      </c>
      <c r="Y139" s="281">
        <f>Inputs!Y164</f>
        <v>0.001715319</v>
      </c>
      <c r="Z139" s="281">
        <f>Inputs!Z164</f>
        <v>0.000967394</v>
      </c>
      <c r="AA139" s="281">
        <f>Inputs!AA164</f>
        <v>0.001784197</v>
      </c>
      <c r="AB139" s="281">
        <f>Inputs!AB164</f>
        <v>0.000891718</v>
      </c>
      <c r="AC139" s="281">
        <f>Inputs!AC164</f>
        <v>0.000905281</v>
      </c>
      <c r="AD139" s="281">
        <f>Inputs!AD164</f>
        <v>0.001086224</v>
      </c>
      <c r="AE139" s="281">
        <f>Inputs!AE164</f>
        <v>0.000710434</v>
      </c>
      <c r="AF139" s="281">
        <f>Inputs!AF164</f>
        <v>0.000683345</v>
      </c>
      <c r="AG139" s="281">
        <f>Inputs!AG164</f>
        <v>0.001335379</v>
      </c>
      <c r="AH139" s="281">
        <f>Inputs!AH164</f>
        <v>0.001365595</v>
      </c>
      <c r="AI139" s="281">
        <f>Inputs!AI164</f>
        <v>0.000435125</v>
      </c>
      <c r="AJ139" s="281">
        <f>Inputs!AJ164</f>
        <v>0.00190647</v>
      </c>
      <c r="AK139" s="281">
        <f>Inputs!AK164</f>
        <v>0.002810532</v>
      </c>
      <c r="AL139" s="281">
        <f>Inputs!AL164</f>
        <v>0.001056943</v>
      </c>
      <c r="AM139" s="281">
        <f>Inputs!AM164</f>
        <v>0.001194849</v>
      </c>
      <c r="AN139" s="281">
        <f>Inputs!AN164</f>
        <v>0.000674307</v>
      </c>
      <c r="AO139" s="281">
        <f>Inputs!AO164</f>
        <v>0.001094594</v>
      </c>
      <c r="AP139" s="281">
        <f>Inputs!AP164</f>
        <v>0.002257257</v>
      </c>
      <c r="AQ139" s="281">
        <f>Inputs!AQ164</f>
        <v>0.000824424</v>
      </c>
      <c r="AR139" s="281">
        <f>Inputs!AR164</f>
        <v>0.003444727</v>
      </c>
      <c r="AS139" s="281">
        <f>Inputs!AS164</f>
        <v>0.004175441</v>
      </c>
      <c r="AT139" s="282"/>
    </row>
    <row r="140">
      <c r="A140" s="80"/>
      <c r="B140" s="81"/>
      <c r="C140" s="206"/>
      <c r="D140" s="206"/>
      <c r="E140" s="237" t="s">
        <v>609</v>
      </c>
      <c r="F140" s="283" t="s">
        <v>122</v>
      </c>
      <c r="G140" s="285" t="s">
        <v>203</v>
      </c>
      <c r="H140" s="286" t="str">
        <f>Inputs!H165</f>
        <v>-</v>
      </c>
      <c r="I140" s="287">
        <f>Inputs!I165</f>
        <v>0.036211497</v>
      </c>
      <c r="J140" s="287">
        <f>Inputs!J165</f>
        <v>0.026063001</v>
      </c>
      <c r="K140" s="287">
        <f>Inputs!K165</f>
        <v>0.025191224</v>
      </c>
      <c r="L140" s="287">
        <f>Inputs!L165</f>
        <v>0.009476781</v>
      </c>
      <c r="M140" s="287">
        <f>Inputs!M165</f>
        <v>0.01495977</v>
      </c>
      <c r="N140" s="287">
        <f>Inputs!N165</f>
        <v>0.026991937</v>
      </c>
      <c r="O140" s="287">
        <f>Inputs!O165</f>
        <v>0.035335125</v>
      </c>
      <c r="P140" s="287">
        <f>Inputs!P165</f>
        <v>0.033801047</v>
      </c>
      <c r="Q140" s="287">
        <f>Inputs!Q165</f>
        <v>0.040274929</v>
      </c>
      <c r="R140" s="287">
        <f>Inputs!R165</f>
        <v>0.005661203</v>
      </c>
      <c r="S140" s="287">
        <f>Inputs!S165</f>
        <v>0.018103953</v>
      </c>
      <c r="T140" s="287">
        <f>Inputs!T165</f>
        <v>0.006871675</v>
      </c>
      <c r="U140" s="287">
        <f>Inputs!U165</f>
        <v>0.004802819</v>
      </c>
      <c r="V140" s="287">
        <f>Inputs!V165</f>
        <v>0.013675997</v>
      </c>
      <c r="W140" s="287">
        <f>Inputs!W165</f>
        <v>0.018155837</v>
      </c>
      <c r="X140" s="287">
        <f>Inputs!X165</f>
        <v>0.019158209</v>
      </c>
      <c r="Y140" s="287">
        <f>Inputs!Y165</f>
        <v>0.011142639</v>
      </c>
      <c r="Z140" s="287">
        <f>Inputs!Z165</f>
        <v>0.005654098</v>
      </c>
      <c r="AA140" s="287">
        <f>Inputs!AA165</f>
        <v>0.012145436</v>
      </c>
      <c r="AB140" s="287">
        <f>Inputs!AB165</f>
        <v>0.004878092</v>
      </c>
      <c r="AC140" s="287">
        <f>Inputs!AC165</f>
        <v>0.005995222</v>
      </c>
      <c r="AD140" s="287">
        <f>Inputs!AD165</f>
        <v>0.007440561</v>
      </c>
      <c r="AE140" s="287">
        <f>Inputs!AE165</f>
        <v>0.003652784</v>
      </c>
      <c r="AF140" s="287">
        <f>Inputs!AF165</f>
        <v>0.004392525</v>
      </c>
      <c r="AG140" s="287">
        <f>Inputs!AG165</f>
        <v>0.009759322</v>
      </c>
      <c r="AH140" s="287">
        <f>Inputs!AH165</f>
        <v>0.008120277</v>
      </c>
      <c r="AI140" s="287">
        <f>Inputs!AI165</f>
        <v>0.002439656</v>
      </c>
      <c r="AJ140" s="287">
        <f>Inputs!AJ165</f>
        <v>0.00992103</v>
      </c>
      <c r="AK140" s="287">
        <f>Inputs!AK165</f>
        <v>0.019015231</v>
      </c>
      <c r="AL140" s="287">
        <f>Inputs!AL165</f>
        <v>0.007177345</v>
      </c>
      <c r="AM140" s="287">
        <f>Inputs!AM165</f>
        <v>0.008441165</v>
      </c>
      <c r="AN140" s="287">
        <f>Inputs!AN165</f>
        <v>0.0051643</v>
      </c>
      <c r="AO140" s="287">
        <f>Inputs!AO165</f>
        <v>0.007085762</v>
      </c>
      <c r="AP140" s="287">
        <f>Inputs!AP165</f>
        <v>0.011590778</v>
      </c>
      <c r="AQ140" s="287">
        <f>Inputs!AQ165</f>
        <v>0.005148075</v>
      </c>
      <c r="AR140" s="287">
        <f>Inputs!AR165</f>
        <v>0.018454295</v>
      </c>
      <c r="AS140" s="287">
        <f>Inputs!AS165</f>
        <v>0.030197009</v>
      </c>
      <c r="AT140" s="293"/>
    </row>
    <row r="141">
      <c r="A141" s="80"/>
      <c r="B141" s="81"/>
      <c r="C141" s="206"/>
      <c r="D141" s="206"/>
      <c r="E141" s="243"/>
      <c r="F141" s="201"/>
      <c r="G141" s="202"/>
      <c r="H141" s="85"/>
      <c r="I141" s="266"/>
      <c r="J141" s="266"/>
      <c r="K141" s="266"/>
      <c r="L141" s="266"/>
      <c r="M141" s="266"/>
      <c r="N141" s="266"/>
      <c r="O141" s="266"/>
      <c r="P141" s="266"/>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8"/>
    </row>
    <row r="142">
      <c r="A142" s="80"/>
      <c r="B142" s="81"/>
      <c r="C142" s="126" t="s">
        <v>614</v>
      </c>
      <c r="F142" s="201"/>
      <c r="G142" s="202"/>
      <c r="H142" s="85"/>
      <c r="I142" s="266"/>
      <c r="J142" s="266"/>
      <c r="K142" s="266"/>
      <c r="L142" s="266"/>
      <c r="M142" s="266"/>
      <c r="N142" s="266"/>
      <c r="O142" s="266"/>
      <c r="P142" s="266"/>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8"/>
    </row>
    <row r="143">
      <c r="A143" s="80"/>
      <c r="B143" s="81"/>
      <c r="C143" s="206"/>
      <c r="D143" s="206"/>
      <c r="E143" s="113" t="s">
        <v>617</v>
      </c>
      <c r="F143" s="207" t="s">
        <v>111</v>
      </c>
      <c r="G143" s="208" t="s">
        <v>203</v>
      </c>
      <c r="H143" s="370" t="str">
        <f>Inputs!H166</f>
        <v>-</v>
      </c>
      <c r="I143" s="294">
        <f>Inputs!I166</f>
        <v>8284.409952</v>
      </c>
      <c r="J143" s="294">
        <f>Inputs!J166</f>
        <v>2640.339554</v>
      </c>
      <c r="K143" s="294">
        <f>Inputs!K166</f>
        <v>5560.070956</v>
      </c>
      <c r="L143" s="294">
        <f>Inputs!L166</f>
        <v>4192.868343</v>
      </c>
      <c r="M143" s="294">
        <f>Inputs!M166</f>
        <v>13242.14664</v>
      </c>
      <c r="N143" s="294">
        <f>Inputs!N166</f>
        <v>8617.388016</v>
      </c>
      <c r="O143" s="294">
        <f>Inputs!O166</f>
        <v>4482.685739</v>
      </c>
      <c r="P143" s="294">
        <f>Inputs!P166</f>
        <v>9779.802062</v>
      </c>
      <c r="Q143" s="294">
        <f>Inputs!Q166</f>
        <v>6371.181551</v>
      </c>
      <c r="R143" s="294">
        <f>Inputs!R166</f>
        <v>1158.951025</v>
      </c>
      <c r="S143" s="294">
        <f>Inputs!S166</f>
        <v>2039.447727</v>
      </c>
      <c r="T143" s="294">
        <f>Inputs!T166</f>
        <v>226.7086025</v>
      </c>
      <c r="U143" s="294">
        <f>Inputs!U166</f>
        <v>568.4169959</v>
      </c>
      <c r="V143" s="294">
        <f>Inputs!V166</f>
        <v>184.6330508</v>
      </c>
      <c r="W143" s="294">
        <f>Inputs!W166</f>
        <v>3569.77128</v>
      </c>
      <c r="X143" s="294">
        <f>Inputs!X166</f>
        <v>1648.8014</v>
      </c>
      <c r="Y143" s="294">
        <f>Inputs!Y166</f>
        <v>288.6730333</v>
      </c>
      <c r="Z143" s="294">
        <f>Inputs!Z166</f>
        <v>595.7234079</v>
      </c>
      <c r="AA143" s="294">
        <f>Inputs!AA166</f>
        <v>828.3284596</v>
      </c>
      <c r="AB143" s="294">
        <f>Inputs!AB166</f>
        <v>443.4822393</v>
      </c>
      <c r="AC143" s="294">
        <f>Inputs!AC166</f>
        <v>187.053837</v>
      </c>
      <c r="AD143" s="294">
        <f>Inputs!AD166</f>
        <v>342.7345588</v>
      </c>
      <c r="AE143" s="294">
        <f>Inputs!AE166</f>
        <v>805.0707054</v>
      </c>
      <c r="AF143" s="294">
        <f>Inputs!AF166</f>
        <v>805.4659353</v>
      </c>
      <c r="AG143" s="294">
        <f>Inputs!AG166</f>
        <v>301.2737867</v>
      </c>
      <c r="AH143" s="294">
        <f>Inputs!AH166</f>
        <v>252.0689133</v>
      </c>
      <c r="AI143" s="294">
        <f>Inputs!AI166</f>
        <v>338.9915872</v>
      </c>
      <c r="AJ143" s="294">
        <f>Inputs!AJ166</f>
        <v>1286.590325</v>
      </c>
      <c r="AK143" s="294">
        <f>Inputs!AK166</f>
        <v>5074.362776</v>
      </c>
      <c r="AL143" s="294">
        <f>Inputs!AL166</f>
        <v>1353.408118</v>
      </c>
      <c r="AM143" s="294">
        <f>Inputs!AM166</f>
        <v>394.033726</v>
      </c>
      <c r="AN143" s="294">
        <f>Inputs!AN166</f>
        <v>253.304712</v>
      </c>
      <c r="AO143" s="294">
        <f>Inputs!AO166</f>
        <v>375.5448951</v>
      </c>
      <c r="AP143" s="294">
        <f>Inputs!AP166</f>
        <v>2313.872491</v>
      </c>
      <c r="AQ143" s="294">
        <f>Inputs!AQ166</f>
        <v>446.675248</v>
      </c>
      <c r="AR143" s="294">
        <f>Inputs!AR166</f>
        <v>5842.760068</v>
      </c>
      <c r="AS143" s="294">
        <f>Inputs!AS166</f>
        <v>2495.721895</v>
      </c>
      <c r="AT143" s="298"/>
    </row>
    <row r="144">
      <c r="A144" s="80"/>
      <c r="B144" s="81"/>
      <c r="C144" s="206"/>
      <c r="D144" s="206"/>
      <c r="E144" s="113" t="s">
        <v>626</v>
      </c>
      <c r="F144" s="207" t="s">
        <v>111</v>
      </c>
      <c r="G144" s="208" t="s">
        <v>203</v>
      </c>
      <c r="H144" s="370" t="str">
        <f>Inputs!H167</f>
        <v>-</v>
      </c>
      <c r="I144" s="294">
        <f>Inputs!I167</f>
        <v>3625.84195</v>
      </c>
      <c r="J144" s="294">
        <f>Inputs!J167</f>
        <v>1137.834685</v>
      </c>
      <c r="K144" s="294">
        <f>Inputs!K167</f>
        <v>2410.60305</v>
      </c>
      <c r="L144" s="294">
        <f>Inputs!L167</f>
        <v>1273.448484</v>
      </c>
      <c r="M144" s="294">
        <f>Inputs!M167</f>
        <v>5377.093494</v>
      </c>
      <c r="N144" s="294">
        <f>Inputs!N167</f>
        <v>3786.844637</v>
      </c>
      <c r="O144" s="294">
        <f>Inputs!O167</f>
        <v>2091.245025</v>
      </c>
      <c r="P144" s="294">
        <f>Inputs!P167</f>
        <v>4572.028262</v>
      </c>
      <c r="Q144" s="294">
        <f>Inputs!Q167</f>
        <v>2970.120621</v>
      </c>
      <c r="R144" s="294">
        <f>Inputs!R167</f>
        <v>345.3519197</v>
      </c>
      <c r="S144" s="294">
        <f>Inputs!S167</f>
        <v>739.4865851</v>
      </c>
      <c r="T144" s="294">
        <f>Inputs!T167</f>
        <v>71.41582122</v>
      </c>
      <c r="U144" s="294">
        <f>Inputs!U167</f>
        <v>150.2886761</v>
      </c>
      <c r="V144" s="294">
        <f>Inputs!V167</f>
        <v>66.14280564</v>
      </c>
      <c r="W144" s="294">
        <f>Inputs!W167</f>
        <v>1294.586663</v>
      </c>
      <c r="X144" s="294">
        <f>Inputs!X167</f>
        <v>690.0244535</v>
      </c>
      <c r="Y144" s="294">
        <f>Inputs!Y167</f>
        <v>93.3782931</v>
      </c>
      <c r="Z144" s="294">
        <f>Inputs!Z167</f>
        <v>177.9011811</v>
      </c>
      <c r="AA144" s="294">
        <f>Inputs!AA167</f>
        <v>263.2212521</v>
      </c>
      <c r="AB144" s="294">
        <f>Inputs!AB167</f>
        <v>74.54850696</v>
      </c>
      <c r="AC144" s="294">
        <f>Inputs!AC167</f>
        <v>48.08834941</v>
      </c>
      <c r="AD144" s="294">
        <f>Inputs!AD167</f>
        <v>99.83601953</v>
      </c>
      <c r="AE144" s="294">
        <f>Inputs!AE167</f>
        <v>239.3896887</v>
      </c>
      <c r="AF144" s="294">
        <f>Inputs!AF167</f>
        <v>223.1192041</v>
      </c>
      <c r="AG144" s="294">
        <f>Inputs!AG167</f>
        <v>102.1907455</v>
      </c>
      <c r="AH144" s="294">
        <f>Inputs!AH167</f>
        <v>107.931083</v>
      </c>
      <c r="AI144" s="294">
        <f>Inputs!AI167</f>
        <v>85.10946315</v>
      </c>
      <c r="AJ144" s="294">
        <f>Inputs!AJ167</f>
        <v>476.5676973</v>
      </c>
      <c r="AK144" s="294">
        <f>Inputs!AK167</f>
        <v>2177.328018</v>
      </c>
      <c r="AL144" s="294">
        <f>Inputs!AL167</f>
        <v>488.6068849</v>
      </c>
      <c r="AM144" s="294">
        <f>Inputs!AM167</f>
        <v>115.2410781</v>
      </c>
      <c r="AN144" s="294">
        <f>Inputs!AN167</f>
        <v>74.45673938</v>
      </c>
      <c r="AO144" s="294">
        <f>Inputs!AO167</f>
        <v>134.9534832</v>
      </c>
      <c r="AP144" s="294">
        <f>Inputs!AP167</f>
        <v>807.2348061</v>
      </c>
      <c r="AQ144" s="294">
        <f>Inputs!AQ167</f>
        <v>123.9583812</v>
      </c>
      <c r="AR144" s="294">
        <f>Inputs!AR167</f>
        <v>2380.243036</v>
      </c>
      <c r="AS144" s="294">
        <f>Inputs!AS167</f>
        <v>1117.05</v>
      </c>
      <c r="AT144" s="298"/>
    </row>
    <row r="145">
      <c r="A145" s="80"/>
      <c r="B145" s="81"/>
      <c r="C145" s="206"/>
      <c r="D145" s="206"/>
      <c r="E145" s="140" t="s">
        <v>631</v>
      </c>
      <c r="F145" s="278" t="s">
        <v>111</v>
      </c>
      <c r="G145" s="279" t="s">
        <v>203</v>
      </c>
      <c r="H145" s="280" t="str">
        <f>Inputs!H168</f>
        <v>-</v>
      </c>
      <c r="I145" s="299">
        <f>Inputs!I168</f>
        <v>96.03063654</v>
      </c>
      <c r="J145" s="299">
        <f>Inputs!J168</f>
        <v>28.65677424</v>
      </c>
      <c r="K145" s="299">
        <f>Inputs!K168</f>
        <v>50.36035612</v>
      </c>
      <c r="L145" s="299">
        <f>Inputs!L168</f>
        <v>30.22220588</v>
      </c>
      <c r="M145" s="299">
        <f>Inputs!M168</f>
        <v>144.822164</v>
      </c>
      <c r="N145" s="299">
        <f>Inputs!N168</f>
        <v>88.0938199</v>
      </c>
      <c r="O145" s="299">
        <f>Inputs!O168</f>
        <v>62.04717829</v>
      </c>
      <c r="P145" s="299">
        <f>Inputs!P168</f>
        <v>100.3682836</v>
      </c>
      <c r="Q145" s="299">
        <f>Inputs!Q168</f>
        <v>45.55628334</v>
      </c>
      <c r="R145" s="299">
        <f>Inputs!R168</f>
        <v>13.63670803</v>
      </c>
      <c r="S145" s="299">
        <f>Inputs!S168</f>
        <v>19.9199481</v>
      </c>
      <c r="T145" s="299">
        <f>Inputs!T168</f>
        <v>4.026044539</v>
      </c>
      <c r="U145" s="299">
        <f>Inputs!U168</f>
        <v>9.323578194</v>
      </c>
      <c r="V145" s="299">
        <f>Inputs!V168</f>
        <v>2.258670114</v>
      </c>
      <c r="W145" s="299">
        <f>Inputs!W168</f>
        <v>54.1284809</v>
      </c>
      <c r="X145" s="299">
        <f>Inputs!X168</f>
        <v>23.56598928</v>
      </c>
      <c r="Y145" s="299">
        <f>Inputs!Y168</f>
        <v>4.107578218</v>
      </c>
      <c r="Z145" s="299">
        <f>Inputs!Z168</f>
        <v>9.718463401</v>
      </c>
      <c r="AA145" s="299">
        <f>Inputs!AA168</f>
        <v>14.37802528</v>
      </c>
      <c r="AB145" s="299">
        <f>Inputs!AB168</f>
        <v>4.227489024</v>
      </c>
      <c r="AC145" s="299">
        <f>Inputs!AC168</f>
        <v>3.622453428</v>
      </c>
      <c r="AD145" s="299">
        <f>Inputs!AD168</f>
        <v>6.25564421</v>
      </c>
      <c r="AE145" s="299">
        <f>Inputs!AE168</f>
        <v>14.38416767</v>
      </c>
      <c r="AF145" s="299">
        <f>Inputs!AF168</f>
        <v>16.91253031</v>
      </c>
      <c r="AG145" s="299">
        <f>Inputs!AG168</f>
        <v>5.643334207</v>
      </c>
      <c r="AH145" s="299">
        <f>Inputs!AH168</f>
        <v>6.095884171</v>
      </c>
      <c r="AI145" s="299">
        <f>Inputs!AI168</f>
        <v>8.754156649</v>
      </c>
      <c r="AJ145" s="299">
        <f>Inputs!AJ168</f>
        <v>20.66530714</v>
      </c>
      <c r="AK145" s="299">
        <f>Inputs!AK168</f>
        <v>60.25987435</v>
      </c>
      <c r="AL145" s="299">
        <f>Inputs!AL168</f>
        <v>27.97002503</v>
      </c>
      <c r="AM145" s="299">
        <f>Inputs!AM168</f>
        <v>7.69293674</v>
      </c>
      <c r="AN145" s="299">
        <f>Inputs!AN168</f>
        <v>6.283501683</v>
      </c>
      <c r="AO145" s="299">
        <f>Inputs!AO168</f>
        <v>8.293630658</v>
      </c>
      <c r="AP145" s="299">
        <f>Inputs!AP168</f>
        <v>37.95574115</v>
      </c>
      <c r="AQ145" s="299">
        <f>Inputs!AQ168</f>
        <v>7.313247348</v>
      </c>
      <c r="AR145" s="299">
        <f>Inputs!AR168</f>
        <v>53.52855002</v>
      </c>
      <c r="AS145" s="299">
        <f>Inputs!AS168</f>
        <v>44.82340316</v>
      </c>
      <c r="AT145" s="297"/>
    </row>
    <row r="146">
      <c r="A146" s="80"/>
      <c r="B146" s="81"/>
      <c r="C146" s="206"/>
      <c r="D146" s="206"/>
      <c r="E146" s="140" t="s">
        <v>639</v>
      </c>
      <c r="F146" s="278" t="s">
        <v>111</v>
      </c>
      <c r="G146" s="279" t="s">
        <v>203</v>
      </c>
      <c r="H146" s="280" t="str">
        <f>Inputs!H169</f>
        <v>-</v>
      </c>
      <c r="I146" s="299">
        <f>Inputs!I169</f>
        <v>98.96516718</v>
      </c>
      <c r="J146" s="299">
        <f>Inputs!J169</f>
        <v>26.23729569</v>
      </c>
      <c r="K146" s="299">
        <f>Inputs!K169</f>
        <v>48.78350373</v>
      </c>
      <c r="L146" s="299">
        <f>Inputs!L169</f>
        <v>36.54373339</v>
      </c>
      <c r="M146" s="299">
        <f>Inputs!M169</f>
        <v>170.2882011</v>
      </c>
      <c r="N146" s="299">
        <f>Inputs!N169</f>
        <v>132.9720289</v>
      </c>
      <c r="O146" s="299">
        <f>Inputs!O169</f>
        <v>53.28450667</v>
      </c>
      <c r="P146" s="299">
        <f>Inputs!P169</f>
        <v>124.715188</v>
      </c>
      <c r="Q146" s="299">
        <f>Inputs!Q169</f>
        <v>70.13753585</v>
      </c>
      <c r="R146" s="299">
        <f>Inputs!R169</f>
        <v>21.61580495</v>
      </c>
      <c r="S146" s="299">
        <f>Inputs!S169</f>
        <v>27.37456524</v>
      </c>
      <c r="T146" s="299">
        <f>Inputs!T169</f>
        <v>3.634324906</v>
      </c>
      <c r="U146" s="299">
        <f>Inputs!U169</f>
        <v>8.425251297</v>
      </c>
      <c r="V146" s="299">
        <f>Inputs!V169</f>
        <v>3.594939414</v>
      </c>
      <c r="W146" s="299">
        <f>Inputs!W169</f>
        <v>70.28343001</v>
      </c>
      <c r="X146" s="299">
        <f>Inputs!X169</f>
        <v>32.90400786</v>
      </c>
      <c r="Y146" s="299">
        <f>Inputs!Y169</f>
        <v>4.058509018</v>
      </c>
      <c r="Z146" s="299">
        <f>Inputs!Z169</f>
        <v>10.68371767</v>
      </c>
      <c r="AA146" s="299">
        <f>Inputs!AA169</f>
        <v>12.83494185</v>
      </c>
      <c r="AB146" s="299">
        <f>Inputs!AB169</f>
        <v>4.108390579</v>
      </c>
      <c r="AC146" s="299">
        <f>Inputs!AC169</f>
        <v>2.740234995</v>
      </c>
      <c r="AD146" s="299">
        <f>Inputs!AD169</f>
        <v>7.777543056</v>
      </c>
      <c r="AE146" s="299">
        <f>Inputs!AE169</f>
        <v>12.46753535</v>
      </c>
      <c r="AF146" s="299">
        <f>Inputs!AF169</f>
        <v>9.218298886</v>
      </c>
      <c r="AG146" s="299">
        <f>Inputs!AG169</f>
        <v>4.688631751</v>
      </c>
      <c r="AH146" s="299">
        <f>Inputs!AH169</f>
        <v>6.915606089</v>
      </c>
      <c r="AI146" s="299">
        <f>Inputs!AI169</f>
        <v>8.469825947</v>
      </c>
      <c r="AJ146" s="299">
        <f>Inputs!AJ169</f>
        <v>21.54317609</v>
      </c>
      <c r="AK146" s="299">
        <f>Inputs!AK169</f>
        <v>86.34534535</v>
      </c>
      <c r="AL146" s="299">
        <f>Inputs!AL169</f>
        <v>34.02095421</v>
      </c>
      <c r="AM146" s="299">
        <f>Inputs!AM169</f>
        <v>6.59126176</v>
      </c>
      <c r="AN146" s="299">
        <f>Inputs!AN169</f>
        <v>6.517577825</v>
      </c>
      <c r="AO146" s="299">
        <f>Inputs!AO169</f>
        <v>3.348123559</v>
      </c>
      <c r="AP146" s="299">
        <f>Inputs!AP169</f>
        <v>46.4290133</v>
      </c>
      <c r="AQ146" s="299">
        <f>Inputs!AQ169</f>
        <v>5.946327088</v>
      </c>
      <c r="AR146" s="299">
        <f>Inputs!AR169</f>
        <v>56.00350404</v>
      </c>
      <c r="AS146" s="299">
        <f>Inputs!AS169</f>
        <v>33.0291859</v>
      </c>
      <c r="AT146" s="297"/>
    </row>
    <row r="147">
      <c r="A147" s="80"/>
      <c r="B147" s="81"/>
      <c r="C147" s="206"/>
      <c r="D147" s="206"/>
      <c r="E147" s="140" t="s">
        <v>647</v>
      </c>
      <c r="F147" s="278" t="s">
        <v>122</v>
      </c>
      <c r="G147" s="279" t="s">
        <v>149</v>
      </c>
      <c r="H147" s="302" t="s">
        <v>150</v>
      </c>
      <c r="I147" s="303">
        <f t="shared" ref="I147:AS147" si="34">SUM(I145:I146)/I144</f>
        <v>0.05377945493</v>
      </c>
      <c r="J147" s="303">
        <f t="shared" si="34"/>
        <v>0.04824432816</v>
      </c>
      <c r="K147" s="303">
        <f t="shared" si="34"/>
        <v>0.04112823961</v>
      </c>
      <c r="L147" s="303">
        <f t="shared" si="34"/>
        <v>0.05242924241</v>
      </c>
      <c r="M147" s="303">
        <f t="shared" si="34"/>
        <v>0.05860235933</v>
      </c>
      <c r="N147" s="303">
        <f t="shared" si="34"/>
        <v>0.05837732202</v>
      </c>
      <c r="O147" s="303">
        <f t="shared" si="34"/>
        <v>0.05514977135</v>
      </c>
      <c r="P147" s="303">
        <f t="shared" si="34"/>
        <v>0.04923055123</v>
      </c>
      <c r="Q147" s="303">
        <f t="shared" si="34"/>
        <v>0.03895256589</v>
      </c>
      <c r="R147" s="303">
        <f t="shared" si="34"/>
        <v>0.1020770726</v>
      </c>
      <c r="S147" s="303">
        <f t="shared" si="34"/>
        <v>0.06395587735</v>
      </c>
      <c r="T147" s="303">
        <f t="shared" si="34"/>
        <v>0.1072643192</v>
      </c>
      <c r="U147" s="303">
        <f t="shared" si="34"/>
        <v>0.118098249</v>
      </c>
      <c r="V147" s="303">
        <f t="shared" si="34"/>
        <v>0.08849956501</v>
      </c>
      <c r="W147" s="303">
        <f t="shared" si="34"/>
        <v>0.09610164732</v>
      </c>
      <c r="X147" s="303">
        <f t="shared" si="34"/>
        <v>0.08183767525</v>
      </c>
      <c r="Y147" s="303">
        <f t="shared" si="34"/>
        <v>0.08745166532</v>
      </c>
      <c r="Z147" s="303">
        <f t="shared" si="34"/>
        <v>0.1146826623</v>
      </c>
      <c r="AA147" s="303">
        <f t="shared" si="34"/>
        <v>0.1033843845</v>
      </c>
      <c r="AB147" s="303">
        <f t="shared" si="34"/>
        <v>0.1118181965</v>
      </c>
      <c r="AC147" s="303">
        <f t="shared" si="34"/>
        <v>0.1323124728</v>
      </c>
      <c r="AD147" s="303">
        <f t="shared" si="34"/>
        <v>0.1405623675</v>
      </c>
      <c r="AE147" s="303">
        <f t="shared" si="34"/>
        <v>0.1121673334</v>
      </c>
      <c r="AF147" s="303">
        <f t="shared" si="34"/>
        <v>0.1171160022</v>
      </c>
      <c r="AG147" s="303">
        <f t="shared" si="34"/>
        <v>0.1011047126</v>
      </c>
      <c r="AH147" s="303">
        <f t="shared" si="34"/>
        <v>0.1205536894</v>
      </c>
      <c r="AI147" s="303">
        <f t="shared" si="34"/>
        <v>0.2023744712</v>
      </c>
      <c r="AJ147" s="303">
        <f t="shared" si="34"/>
        <v>0.08856765465</v>
      </c>
      <c r="AK147" s="303">
        <f t="shared" si="34"/>
        <v>0.06733262902</v>
      </c>
      <c r="AL147" s="303">
        <f t="shared" si="34"/>
        <v>0.1268729139</v>
      </c>
      <c r="AM147" s="303">
        <f t="shared" si="34"/>
        <v>0.1239505803</v>
      </c>
      <c r="AN147" s="303">
        <f t="shared" si="34"/>
        <v>0.1719264047</v>
      </c>
      <c r="AO147" s="303">
        <f t="shared" si="34"/>
        <v>0.08626494064</v>
      </c>
      <c r="AP147" s="303">
        <f t="shared" si="34"/>
        <v>0.1045355748</v>
      </c>
      <c r="AQ147" s="303">
        <f t="shared" si="34"/>
        <v>0.1069679541</v>
      </c>
      <c r="AR147" s="303">
        <f t="shared" si="34"/>
        <v>0.04601717237</v>
      </c>
      <c r="AS147" s="303">
        <f t="shared" si="34"/>
        <v>0.06969481139</v>
      </c>
      <c r="AT147" s="297"/>
    </row>
    <row r="148">
      <c r="A148" s="80"/>
      <c r="B148" s="81"/>
      <c r="C148" s="206"/>
      <c r="D148" s="206"/>
      <c r="E148" s="140" t="s">
        <v>651</v>
      </c>
      <c r="F148" s="278" t="s">
        <v>122</v>
      </c>
      <c r="G148" s="279" t="s">
        <v>203</v>
      </c>
      <c r="H148" s="305">
        <f>Inputs!H170</f>
        <v>0.1</v>
      </c>
      <c r="I148" s="299" t="str">
        <f>Inputs!I170</f>
        <v>-</v>
      </c>
      <c r="J148" s="299" t="str">
        <f>Inputs!J170</f>
        <v>-</v>
      </c>
      <c r="K148" s="299" t="str">
        <f>Inputs!K170</f>
        <v>-</v>
      </c>
      <c r="L148" s="299" t="str">
        <f>Inputs!L170</f>
        <v>-</v>
      </c>
      <c r="M148" s="299" t="str">
        <f>Inputs!M170</f>
        <v>-</v>
      </c>
      <c r="N148" s="299" t="str">
        <f>Inputs!N170</f>
        <v>-</v>
      </c>
      <c r="O148" s="299" t="str">
        <f>Inputs!O170</f>
        <v>-</v>
      </c>
      <c r="P148" s="299" t="str">
        <f>Inputs!P170</f>
        <v>-</v>
      </c>
      <c r="Q148" s="299" t="str">
        <f>Inputs!Q170</f>
        <v>-</v>
      </c>
      <c r="R148" s="299" t="str">
        <f>Inputs!R170</f>
        <v>-</v>
      </c>
      <c r="S148" s="299" t="str">
        <f>Inputs!S170</f>
        <v>-</v>
      </c>
      <c r="T148" s="299" t="str">
        <f>Inputs!T170</f>
        <v>-</v>
      </c>
      <c r="U148" s="299" t="str">
        <f>Inputs!U170</f>
        <v>-</v>
      </c>
      <c r="V148" s="299" t="str">
        <f>Inputs!V170</f>
        <v>-</v>
      </c>
      <c r="W148" s="299" t="str">
        <f>Inputs!W170</f>
        <v>-</v>
      </c>
      <c r="X148" s="299" t="str">
        <f>Inputs!X170</f>
        <v>-</v>
      </c>
      <c r="Y148" s="299" t="str">
        <f>Inputs!Y170</f>
        <v>-</v>
      </c>
      <c r="Z148" s="299" t="str">
        <f>Inputs!Z170</f>
        <v>-</v>
      </c>
      <c r="AA148" s="299" t="str">
        <f>Inputs!AA170</f>
        <v>-</v>
      </c>
      <c r="AB148" s="299" t="str">
        <f>Inputs!AB170</f>
        <v>-</v>
      </c>
      <c r="AC148" s="299" t="str">
        <f>Inputs!AC170</f>
        <v>-</v>
      </c>
      <c r="AD148" s="299" t="str">
        <f>Inputs!AD170</f>
        <v>-</v>
      </c>
      <c r="AE148" s="299" t="str">
        <f>Inputs!AE170</f>
        <v>-</v>
      </c>
      <c r="AF148" s="299" t="str">
        <f>Inputs!AF170</f>
        <v>-</v>
      </c>
      <c r="AG148" s="299" t="str">
        <f>Inputs!AG170</f>
        <v>-</v>
      </c>
      <c r="AH148" s="299" t="str">
        <f>Inputs!AH170</f>
        <v>-</v>
      </c>
      <c r="AI148" s="299" t="str">
        <f>Inputs!AI170</f>
        <v>-</v>
      </c>
      <c r="AJ148" s="299" t="str">
        <f>Inputs!AJ170</f>
        <v>-</v>
      </c>
      <c r="AK148" s="299" t="str">
        <f>Inputs!AK170</f>
        <v>-</v>
      </c>
      <c r="AL148" s="299" t="str">
        <f>Inputs!AL170</f>
        <v>-</v>
      </c>
      <c r="AM148" s="299" t="str">
        <f>Inputs!AM170</f>
        <v>-</v>
      </c>
      <c r="AN148" s="299" t="str">
        <f>Inputs!AN170</f>
        <v>-</v>
      </c>
      <c r="AO148" s="299" t="str">
        <f>Inputs!AO170</f>
        <v>-</v>
      </c>
      <c r="AP148" s="299" t="str">
        <f>Inputs!AP170</f>
        <v>-</v>
      </c>
      <c r="AQ148" s="299" t="str">
        <f>Inputs!AQ170</f>
        <v>-</v>
      </c>
      <c r="AR148" s="299" t="str">
        <f>Inputs!AR170</f>
        <v>-</v>
      </c>
      <c r="AS148" s="299" t="str">
        <f>Inputs!AS170</f>
        <v>-</v>
      </c>
      <c r="AT148" s="297"/>
    </row>
    <row r="149">
      <c r="A149" s="80"/>
      <c r="B149" s="81"/>
      <c r="C149" s="206"/>
      <c r="D149" s="206"/>
      <c r="E149" s="140" t="s">
        <v>655</v>
      </c>
      <c r="F149" s="278" t="s">
        <v>122</v>
      </c>
      <c r="G149" s="279" t="s">
        <v>149</v>
      </c>
      <c r="H149" s="302" t="s">
        <v>150</v>
      </c>
      <c r="I149" s="303">
        <f t="shared" ref="I149:AS149" si="35">I147*(1+$H148)</f>
        <v>0.05915740042</v>
      </c>
      <c r="J149" s="303">
        <f t="shared" si="35"/>
        <v>0.05306876097</v>
      </c>
      <c r="K149" s="303">
        <f t="shared" si="35"/>
        <v>0.04524106357</v>
      </c>
      <c r="L149" s="303">
        <f t="shared" si="35"/>
        <v>0.05767216666</v>
      </c>
      <c r="M149" s="303">
        <f t="shared" si="35"/>
        <v>0.06446259527</v>
      </c>
      <c r="N149" s="303">
        <f t="shared" si="35"/>
        <v>0.06421505422</v>
      </c>
      <c r="O149" s="303">
        <f t="shared" si="35"/>
        <v>0.06066474848</v>
      </c>
      <c r="P149" s="303">
        <f t="shared" si="35"/>
        <v>0.05415360636</v>
      </c>
      <c r="Q149" s="303">
        <f t="shared" si="35"/>
        <v>0.04284782248</v>
      </c>
      <c r="R149" s="303">
        <f t="shared" si="35"/>
        <v>0.1122847799</v>
      </c>
      <c r="S149" s="303">
        <f t="shared" si="35"/>
        <v>0.07035146509</v>
      </c>
      <c r="T149" s="303">
        <f t="shared" si="35"/>
        <v>0.1179907511</v>
      </c>
      <c r="U149" s="303">
        <f t="shared" si="35"/>
        <v>0.1299080739</v>
      </c>
      <c r="V149" s="303">
        <f t="shared" si="35"/>
        <v>0.09734952152</v>
      </c>
      <c r="W149" s="303">
        <f t="shared" si="35"/>
        <v>0.105711812</v>
      </c>
      <c r="X149" s="303">
        <f t="shared" si="35"/>
        <v>0.09002144277</v>
      </c>
      <c r="Y149" s="303">
        <f t="shared" si="35"/>
        <v>0.09619683185</v>
      </c>
      <c r="Z149" s="303">
        <f t="shared" si="35"/>
        <v>0.1261509285</v>
      </c>
      <c r="AA149" s="303">
        <f t="shared" si="35"/>
        <v>0.1137228229</v>
      </c>
      <c r="AB149" s="303">
        <f t="shared" si="35"/>
        <v>0.1230000162</v>
      </c>
      <c r="AC149" s="303">
        <f t="shared" si="35"/>
        <v>0.1455437201</v>
      </c>
      <c r="AD149" s="303">
        <f t="shared" si="35"/>
        <v>0.1546186042</v>
      </c>
      <c r="AE149" s="303">
        <f t="shared" si="35"/>
        <v>0.1233840667</v>
      </c>
      <c r="AF149" s="303">
        <f t="shared" si="35"/>
        <v>0.1288276024</v>
      </c>
      <c r="AG149" s="303">
        <f t="shared" si="35"/>
        <v>0.1112151839</v>
      </c>
      <c r="AH149" s="303">
        <f t="shared" si="35"/>
        <v>0.1326090584</v>
      </c>
      <c r="AI149" s="303">
        <f t="shared" si="35"/>
        <v>0.2226119183</v>
      </c>
      <c r="AJ149" s="303">
        <f t="shared" si="35"/>
        <v>0.09742442011</v>
      </c>
      <c r="AK149" s="303">
        <f t="shared" si="35"/>
        <v>0.07406589193</v>
      </c>
      <c r="AL149" s="303">
        <f t="shared" si="35"/>
        <v>0.1395602053</v>
      </c>
      <c r="AM149" s="303">
        <f t="shared" si="35"/>
        <v>0.1363456383</v>
      </c>
      <c r="AN149" s="303">
        <f t="shared" si="35"/>
        <v>0.1891190452</v>
      </c>
      <c r="AO149" s="303">
        <f t="shared" si="35"/>
        <v>0.0948914347</v>
      </c>
      <c r="AP149" s="303">
        <f t="shared" si="35"/>
        <v>0.1149891323</v>
      </c>
      <c r="AQ149" s="303">
        <f t="shared" si="35"/>
        <v>0.1176647496</v>
      </c>
      <c r="AR149" s="303">
        <f t="shared" si="35"/>
        <v>0.0506188896</v>
      </c>
      <c r="AS149" s="303">
        <f t="shared" si="35"/>
        <v>0.07666429253</v>
      </c>
      <c r="AT149" s="297"/>
    </row>
    <row r="150">
      <c r="A150" s="80"/>
      <c r="B150" s="81"/>
      <c r="C150" s="206"/>
      <c r="D150" s="206"/>
      <c r="E150" s="224" t="s">
        <v>660</v>
      </c>
      <c r="F150" s="225" t="s">
        <v>122</v>
      </c>
      <c r="G150" s="226" t="s">
        <v>149</v>
      </c>
      <c r="H150" s="259" t="s">
        <v>150</v>
      </c>
      <c r="I150" s="228">
        <f t="shared" ref="I150:AS150" si="36">I137*(1-I149)</f>
        <v>0.02724099292</v>
      </c>
      <c r="J150" s="228">
        <f t="shared" si="36"/>
        <v>0.01887712065</v>
      </c>
      <c r="K150" s="228">
        <f t="shared" si="36"/>
        <v>0.02270237161</v>
      </c>
      <c r="L150" s="228">
        <f t="shared" si="36"/>
        <v>0.01004602511</v>
      </c>
      <c r="M150" s="228">
        <f t="shared" si="36"/>
        <v>0.01790878766</v>
      </c>
      <c r="N150" s="228">
        <f t="shared" si="36"/>
        <v>0.01889878805</v>
      </c>
      <c r="O150" s="228">
        <f t="shared" si="36"/>
        <v>0.02080225453</v>
      </c>
      <c r="P150" s="228">
        <f t="shared" si="36"/>
        <v>0.03046271401</v>
      </c>
      <c r="Q150" s="228">
        <f t="shared" si="36"/>
        <v>0.0370317832</v>
      </c>
      <c r="R150" s="228">
        <f t="shared" si="36"/>
        <v>0.007383423983</v>
      </c>
      <c r="S150" s="228">
        <f t="shared" si="36"/>
        <v>0.01666787218</v>
      </c>
      <c r="T150" s="228">
        <f t="shared" si="36"/>
        <v>0.003326397333</v>
      </c>
      <c r="U150" s="228">
        <f t="shared" si="36"/>
        <v>0.002615100438</v>
      </c>
      <c r="V150" s="228">
        <f t="shared" si="36"/>
        <v>0.00764255385</v>
      </c>
      <c r="W150" s="228">
        <f t="shared" si="36"/>
        <v>0.0104549676</v>
      </c>
      <c r="X150" s="228">
        <f t="shared" si="36"/>
        <v>0.008958170159</v>
      </c>
      <c r="Y150" s="228">
        <f t="shared" si="36"/>
        <v>0.004102635529</v>
      </c>
      <c r="Z150" s="228">
        <f t="shared" si="36"/>
        <v>0.004330018273</v>
      </c>
      <c r="AA150" s="228">
        <f t="shared" si="36"/>
        <v>0.007025582995</v>
      </c>
      <c r="AB150" s="228">
        <f t="shared" si="36"/>
        <v>0.003828972282</v>
      </c>
      <c r="AC150" s="228">
        <f t="shared" si="36"/>
        <v>0.003520775139</v>
      </c>
      <c r="AD150" s="228">
        <f t="shared" si="36"/>
        <v>0.00229310549</v>
      </c>
      <c r="AE150" s="228">
        <f t="shared" si="36"/>
        <v>0.003798936996</v>
      </c>
      <c r="AF150" s="228">
        <f t="shared" si="36"/>
        <v>0.002271986251</v>
      </c>
      <c r="AG150" s="228">
        <f t="shared" si="36"/>
        <v>0.003192555055</v>
      </c>
      <c r="AH150" s="228">
        <f t="shared" si="36"/>
        <v>0.002384265138</v>
      </c>
      <c r="AI150" s="228">
        <f t="shared" si="36"/>
        <v>0.001965962374</v>
      </c>
      <c r="AJ150" s="228">
        <f t="shared" si="36"/>
        <v>0.005924818398</v>
      </c>
      <c r="AK150" s="228">
        <f t="shared" si="36"/>
        <v>0.01105161525</v>
      </c>
      <c r="AL150" s="228">
        <f t="shared" si="36"/>
        <v>0.003369008994</v>
      </c>
      <c r="AM150" s="228">
        <f t="shared" si="36"/>
        <v>0.003461142356</v>
      </c>
      <c r="AN150" s="228">
        <f t="shared" si="36"/>
        <v>0.001814641297</v>
      </c>
      <c r="AO150" s="228">
        <f t="shared" si="36"/>
        <v>0.002143326951</v>
      </c>
      <c r="AP150" s="228">
        <f t="shared" si="36"/>
        <v>0.005261997611</v>
      </c>
      <c r="AQ150" s="228">
        <f t="shared" si="36"/>
        <v>0.00407558152</v>
      </c>
      <c r="AR150" s="228">
        <f t="shared" si="36"/>
        <v>0.01851927447</v>
      </c>
      <c r="AS150" s="228">
        <f t="shared" si="36"/>
        <v>0.01341015386</v>
      </c>
      <c r="AT150" s="242"/>
    </row>
    <row r="151">
      <c r="A151" s="80"/>
      <c r="B151" s="81"/>
      <c r="C151" s="206"/>
      <c r="D151" s="206"/>
      <c r="E151" s="243"/>
      <c r="F151" s="201"/>
      <c r="G151" s="202"/>
      <c r="H151" s="85"/>
      <c r="I151" s="266"/>
      <c r="J151" s="266"/>
      <c r="K151" s="266"/>
      <c r="L151" s="266"/>
      <c r="M151" s="266"/>
      <c r="N151" s="266"/>
      <c r="O151" s="266"/>
      <c r="P151" s="266"/>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8"/>
    </row>
    <row r="152">
      <c r="A152" s="80"/>
      <c r="B152" s="81"/>
      <c r="C152" s="126" t="s">
        <v>663</v>
      </c>
      <c r="F152" s="201"/>
      <c r="G152" s="202"/>
      <c r="H152" s="301"/>
      <c r="I152" s="266"/>
      <c r="J152" s="266"/>
      <c r="K152" s="266"/>
      <c r="L152" s="266"/>
      <c r="M152" s="266"/>
      <c r="N152" s="266"/>
      <c r="O152" s="266"/>
      <c r="P152" s="266"/>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8"/>
    </row>
    <row r="153">
      <c r="A153" s="80"/>
      <c r="B153" s="81"/>
      <c r="C153" s="206"/>
      <c r="D153" s="206"/>
      <c r="E153" s="243" t="s">
        <v>664</v>
      </c>
      <c r="F153" s="201" t="s">
        <v>122</v>
      </c>
      <c r="G153" s="202" t="s">
        <v>149</v>
      </c>
      <c r="H153" s="447">
        <f>SUM(I144:AT144)/SUM(I143:AT143)</f>
        <v>0.4099967002</v>
      </c>
      <c r="I153" s="108" t="s">
        <v>150</v>
      </c>
      <c r="J153" s="108" t="s">
        <v>150</v>
      </c>
      <c r="K153" s="108" t="s">
        <v>150</v>
      </c>
      <c r="L153" s="108" t="s">
        <v>150</v>
      </c>
      <c r="M153" s="108" t="s">
        <v>150</v>
      </c>
      <c r="N153" s="108" t="s">
        <v>150</v>
      </c>
      <c r="O153" s="108" t="s">
        <v>150</v>
      </c>
      <c r="P153" s="108" t="s">
        <v>150</v>
      </c>
      <c r="Q153" s="108" t="s">
        <v>150</v>
      </c>
      <c r="R153" s="108" t="s">
        <v>150</v>
      </c>
      <c r="S153" s="108" t="s">
        <v>150</v>
      </c>
      <c r="T153" s="108" t="s">
        <v>150</v>
      </c>
      <c r="U153" s="108" t="s">
        <v>150</v>
      </c>
      <c r="V153" s="108" t="s">
        <v>150</v>
      </c>
      <c r="W153" s="108" t="s">
        <v>150</v>
      </c>
      <c r="X153" s="108" t="s">
        <v>150</v>
      </c>
      <c r="Y153" s="108" t="s">
        <v>150</v>
      </c>
      <c r="Z153" s="108" t="s">
        <v>150</v>
      </c>
      <c r="AA153" s="108" t="s">
        <v>150</v>
      </c>
      <c r="AB153" s="108" t="s">
        <v>150</v>
      </c>
      <c r="AC153" s="108" t="s">
        <v>150</v>
      </c>
      <c r="AD153" s="108" t="s">
        <v>150</v>
      </c>
      <c r="AE153" s="108" t="s">
        <v>150</v>
      </c>
      <c r="AF153" s="108" t="s">
        <v>150</v>
      </c>
      <c r="AG153" s="108" t="s">
        <v>150</v>
      </c>
      <c r="AH153" s="108" t="s">
        <v>150</v>
      </c>
      <c r="AI153" s="108" t="s">
        <v>150</v>
      </c>
      <c r="AJ153" s="108" t="s">
        <v>150</v>
      </c>
      <c r="AK153" s="108" t="s">
        <v>150</v>
      </c>
      <c r="AL153" s="108" t="s">
        <v>150</v>
      </c>
      <c r="AM153" s="108" t="s">
        <v>150</v>
      </c>
      <c r="AN153" s="108" t="s">
        <v>150</v>
      </c>
      <c r="AO153" s="108" t="s">
        <v>150</v>
      </c>
      <c r="AP153" s="108" t="s">
        <v>150</v>
      </c>
      <c r="AQ153" s="108" t="s">
        <v>150</v>
      </c>
      <c r="AR153" s="108" t="s">
        <v>150</v>
      </c>
      <c r="AS153" s="108" t="s">
        <v>150</v>
      </c>
      <c r="AT153" s="268"/>
    </row>
    <row r="154">
      <c r="A154" s="80"/>
      <c r="B154" s="81"/>
      <c r="C154" s="126"/>
      <c r="D154" s="126"/>
      <c r="E154" s="140" t="s">
        <v>666</v>
      </c>
      <c r="F154" s="278" t="s">
        <v>122</v>
      </c>
      <c r="G154" s="279" t="s">
        <v>149</v>
      </c>
      <c r="H154" s="187" t="s">
        <v>150</v>
      </c>
      <c r="I154" s="448">
        <f t="shared" ref="I154:AS154" si="37">I150*$H$153</f>
        <v>0.01116871721</v>
      </c>
      <c r="J154" s="448">
        <f t="shared" si="37"/>
        <v>0.007739557175</v>
      </c>
      <c r="K154" s="448">
        <f t="shared" si="37"/>
        <v>0.009307897445</v>
      </c>
      <c r="L154" s="448">
        <f t="shared" si="37"/>
        <v>0.004118837143</v>
      </c>
      <c r="M154" s="448">
        <f t="shared" si="37"/>
        <v>0.007342543843</v>
      </c>
      <c r="N154" s="448">
        <f t="shared" si="37"/>
        <v>0.007748440737</v>
      </c>
      <c r="O154" s="448">
        <f t="shared" si="37"/>
        <v>0.008528855712</v>
      </c>
      <c r="P154" s="448">
        <f t="shared" si="37"/>
        <v>0.01248961222</v>
      </c>
      <c r="Q154" s="448">
        <f t="shared" si="37"/>
        <v>0.01518290891</v>
      </c>
      <c r="R154" s="448">
        <f t="shared" si="37"/>
        <v>0.003027179469</v>
      </c>
      <c r="S154" s="448">
        <f t="shared" si="37"/>
        <v>0.006833772591</v>
      </c>
      <c r="T154" s="448">
        <f t="shared" si="37"/>
        <v>0.00136381193</v>
      </c>
      <c r="U154" s="448">
        <f t="shared" si="37"/>
        <v>0.00107218255</v>
      </c>
      <c r="V154" s="448">
        <f t="shared" si="37"/>
        <v>0.00313342186</v>
      </c>
      <c r="W154" s="448">
        <f t="shared" si="37"/>
        <v>0.004286502216</v>
      </c>
      <c r="X154" s="448">
        <f t="shared" si="37"/>
        <v>0.003672820205</v>
      </c>
      <c r="Y154" s="448">
        <f t="shared" si="37"/>
        <v>0.001682067029</v>
      </c>
      <c r="Z154" s="448">
        <f t="shared" si="37"/>
        <v>0.001775293204</v>
      </c>
      <c r="AA154" s="448">
        <f t="shared" si="37"/>
        <v>0.002880465845</v>
      </c>
      <c r="AB154" s="448">
        <f t="shared" si="37"/>
        <v>0.001569866001</v>
      </c>
      <c r="AC154" s="448">
        <f t="shared" si="37"/>
        <v>0.001443506189</v>
      </c>
      <c r="AD154" s="448">
        <f t="shared" si="37"/>
        <v>0.000940165684</v>
      </c>
      <c r="AE154" s="448">
        <f t="shared" si="37"/>
        <v>0.001557551633</v>
      </c>
      <c r="AF154" s="448">
        <f t="shared" si="37"/>
        <v>0.0009315068657</v>
      </c>
      <c r="AG154" s="448">
        <f t="shared" si="37"/>
        <v>0.001308937038</v>
      </c>
      <c r="AH154" s="448">
        <f t="shared" si="37"/>
        <v>0.0009775408388</v>
      </c>
      <c r="AI154" s="448">
        <f t="shared" si="37"/>
        <v>0.0008060380859</v>
      </c>
      <c r="AJ154" s="448">
        <f t="shared" si="37"/>
        <v>0.002429155992</v>
      </c>
      <c r="AK154" s="448">
        <f t="shared" si="37"/>
        <v>0.004531125785</v>
      </c>
      <c r="AL154" s="448">
        <f t="shared" si="37"/>
        <v>0.001381282571</v>
      </c>
      <c r="AM154" s="448">
        <f t="shared" si="37"/>
        <v>0.001419056945</v>
      </c>
      <c r="AN154" s="448">
        <f t="shared" si="37"/>
        <v>0.0007439969438</v>
      </c>
      <c r="AO154" s="448">
        <f t="shared" si="37"/>
        <v>0.0008787569774</v>
      </c>
      <c r="AP154" s="448">
        <f t="shared" si="37"/>
        <v>0.002157401657</v>
      </c>
      <c r="AQ154" s="448">
        <f t="shared" si="37"/>
        <v>0.001670974975</v>
      </c>
      <c r="AR154" s="448">
        <f t="shared" si="37"/>
        <v>0.007592841422</v>
      </c>
      <c r="AS154" s="448">
        <f t="shared" si="37"/>
        <v>0.005498118833</v>
      </c>
      <c r="AT154" s="449"/>
    </row>
    <row r="155">
      <c r="A155" s="80"/>
      <c r="B155" s="81"/>
      <c r="C155" s="126"/>
      <c r="D155" s="126"/>
      <c r="E155" s="140" t="s">
        <v>670</v>
      </c>
      <c r="F155" s="278" t="s">
        <v>122</v>
      </c>
      <c r="G155" s="279" t="s">
        <v>149</v>
      </c>
      <c r="H155" s="187" t="s">
        <v>150</v>
      </c>
      <c r="I155" s="448">
        <f t="shared" ref="I155:AS155" si="38">I138*$H$153</f>
        <v>0.0005758518453</v>
      </c>
      <c r="J155" s="448">
        <f t="shared" si="38"/>
        <v>0.0003500793724</v>
      </c>
      <c r="K155" s="448">
        <f t="shared" si="38"/>
        <v>0.0003677863099</v>
      </c>
      <c r="L155" s="448">
        <f t="shared" si="38"/>
        <v>0.0001379741395</v>
      </c>
      <c r="M155" s="448">
        <f t="shared" si="38"/>
        <v>0.0002619596016</v>
      </c>
      <c r="N155" s="448">
        <f t="shared" si="38"/>
        <v>0.0003813838505</v>
      </c>
      <c r="O155" s="448">
        <f t="shared" si="38"/>
        <v>0.0004401359676</v>
      </c>
      <c r="P155" s="448">
        <f t="shared" si="38"/>
        <v>0.0005424080045</v>
      </c>
      <c r="Q155" s="448">
        <f t="shared" si="38"/>
        <v>0.0005550113031</v>
      </c>
      <c r="R155" s="448">
        <f t="shared" si="38"/>
        <v>0.0001326417224</v>
      </c>
      <c r="S155" s="448">
        <f t="shared" si="38"/>
        <v>0.0002971036988</v>
      </c>
      <c r="T155" s="448">
        <f t="shared" si="38"/>
        <v>0.00006329816055</v>
      </c>
      <c r="U155" s="448">
        <f t="shared" si="38"/>
        <v>0.00005374400745</v>
      </c>
      <c r="V155" s="448">
        <f t="shared" si="38"/>
        <v>0.0002005015063</v>
      </c>
      <c r="W155" s="448">
        <f t="shared" si="38"/>
        <v>0.0002917651318</v>
      </c>
      <c r="X155" s="448">
        <f t="shared" si="38"/>
        <v>0.0002641895737</v>
      </c>
      <c r="Y155" s="448">
        <f t="shared" si="38"/>
        <v>0.0001252494819</v>
      </c>
      <c r="Z155" s="448">
        <f t="shared" si="38"/>
        <v>0.00007217909907</v>
      </c>
      <c r="AA155" s="448">
        <f t="shared" si="38"/>
        <v>0.0001565646199</v>
      </c>
      <c r="AB155" s="448">
        <f t="shared" si="38"/>
        <v>0.00006061145218</v>
      </c>
      <c r="AC155" s="448">
        <f t="shared" si="38"/>
        <v>0.00006069304152</v>
      </c>
      <c r="AD155" s="448">
        <f t="shared" si="38"/>
        <v>0.00007421801266</v>
      </c>
      <c r="AE155" s="448">
        <f t="shared" si="38"/>
        <v>0.00005896736541</v>
      </c>
      <c r="AF155" s="448">
        <f t="shared" si="38"/>
        <v>0.00004901182553</v>
      </c>
      <c r="AG155" s="448">
        <f t="shared" si="38"/>
        <v>0.00009043379215</v>
      </c>
      <c r="AH155" s="448">
        <f t="shared" si="38"/>
        <v>0.00007744099672</v>
      </c>
      <c r="AI155" s="448">
        <f t="shared" si="38"/>
        <v>0.0000310367502</v>
      </c>
      <c r="AJ155" s="448">
        <f t="shared" si="38"/>
        <v>0.000149839854</v>
      </c>
      <c r="AK155" s="448">
        <f t="shared" si="38"/>
        <v>0.0002411383292</v>
      </c>
      <c r="AL155" s="448">
        <f t="shared" si="38"/>
        <v>0.00007089088944</v>
      </c>
      <c r="AM155" s="448">
        <f t="shared" si="38"/>
        <v>0.00009089749842</v>
      </c>
      <c r="AN155" s="448">
        <f t="shared" si="38"/>
        <v>0.00004327023174</v>
      </c>
      <c r="AO155" s="448">
        <f t="shared" si="38"/>
        <v>0.00006926935249</v>
      </c>
      <c r="AP155" s="448">
        <f t="shared" si="38"/>
        <v>0.0001715499993</v>
      </c>
      <c r="AQ155" s="448">
        <f t="shared" si="38"/>
        <v>0.00005828800088</v>
      </c>
      <c r="AR155" s="448">
        <f t="shared" si="38"/>
        <v>0.0003466198203</v>
      </c>
      <c r="AS155" s="448">
        <f t="shared" si="38"/>
        <v>0.0003931958554</v>
      </c>
      <c r="AT155" s="449"/>
    </row>
    <row r="156">
      <c r="A156" s="80"/>
      <c r="B156" s="81"/>
      <c r="C156" s="126"/>
      <c r="D156" s="126"/>
      <c r="E156" s="140" t="s">
        <v>673</v>
      </c>
      <c r="F156" s="278" t="s">
        <v>122</v>
      </c>
      <c r="G156" s="279" t="s">
        <v>149</v>
      </c>
      <c r="H156" s="187" t="s">
        <v>150</v>
      </c>
      <c r="I156" s="448">
        <f t="shared" ref="I156:AS156" si="39">I139*$H$153</f>
        <v>0.00196807108</v>
      </c>
      <c r="J156" s="448">
        <f t="shared" si="39"/>
        <v>0.001078243762</v>
      </c>
      <c r="K156" s="448">
        <f t="shared" si="39"/>
        <v>0.001514253523</v>
      </c>
      <c r="L156" s="448">
        <f t="shared" si="39"/>
        <v>0.0005689704607</v>
      </c>
      <c r="M156" s="448">
        <f t="shared" si="39"/>
        <v>0.0008443529443</v>
      </c>
      <c r="N156" s="448">
        <f t="shared" si="39"/>
        <v>0.001574606677</v>
      </c>
      <c r="O156" s="448">
        <f t="shared" si="39"/>
        <v>0.001716354836</v>
      </c>
      <c r="P156" s="448">
        <f t="shared" si="39"/>
        <v>0.002221422391</v>
      </c>
      <c r="Q156" s="448">
        <f t="shared" si="39"/>
        <v>0.001932485827</v>
      </c>
      <c r="R156" s="448">
        <f t="shared" si="39"/>
        <v>0.000383674912</v>
      </c>
      <c r="S156" s="448">
        <f t="shared" si="39"/>
        <v>0.001010333138</v>
      </c>
      <c r="T156" s="448">
        <f t="shared" si="39"/>
        <v>0.0003921019842</v>
      </c>
      <c r="U156" s="448">
        <f t="shared" si="39"/>
        <v>0.0003126228939</v>
      </c>
      <c r="V156" s="448">
        <f t="shared" si="39"/>
        <v>0.0008680552636</v>
      </c>
      <c r="W156" s="448">
        <f t="shared" si="39"/>
        <v>0.001140447641</v>
      </c>
      <c r="X156" s="448">
        <f t="shared" si="39"/>
        <v>0.0009740812302</v>
      </c>
      <c r="Y156" s="448">
        <f t="shared" si="39"/>
        <v>0.0007032751298</v>
      </c>
      <c r="Z156" s="448">
        <f t="shared" si="39"/>
        <v>0.0003966283478</v>
      </c>
      <c r="AA156" s="448">
        <f t="shared" si="39"/>
        <v>0.0007315148825</v>
      </c>
      <c r="AB156" s="448">
        <f t="shared" si="39"/>
        <v>0.0003656014375</v>
      </c>
      <c r="AC156" s="448">
        <f t="shared" si="39"/>
        <v>0.0003711622227</v>
      </c>
      <c r="AD156" s="448">
        <f t="shared" si="39"/>
        <v>0.0004453482557</v>
      </c>
      <c r="AE156" s="448">
        <f t="shared" si="39"/>
        <v>0.0002912755957</v>
      </c>
      <c r="AF156" s="448">
        <f t="shared" si="39"/>
        <v>0.0002801691951</v>
      </c>
      <c r="AG156" s="448">
        <f t="shared" si="39"/>
        <v>0.0005475009835</v>
      </c>
      <c r="AH156" s="448">
        <f t="shared" si="39"/>
        <v>0.0005598894438</v>
      </c>
      <c r="AI156" s="448">
        <f t="shared" si="39"/>
        <v>0.0001783998142</v>
      </c>
      <c r="AJ156" s="448">
        <f t="shared" si="39"/>
        <v>0.000781646409</v>
      </c>
      <c r="AK156" s="448">
        <f t="shared" si="39"/>
        <v>0.001152308846</v>
      </c>
      <c r="AL156" s="448">
        <f t="shared" si="39"/>
        <v>0.0004333431423</v>
      </c>
      <c r="AM156" s="448">
        <f t="shared" si="39"/>
        <v>0.0004898841472</v>
      </c>
      <c r="AN156" s="448">
        <f t="shared" si="39"/>
        <v>0.0002764636449</v>
      </c>
      <c r="AO156" s="448">
        <f t="shared" si="39"/>
        <v>0.000448779928</v>
      </c>
      <c r="AP156" s="448">
        <f t="shared" si="39"/>
        <v>0.0009254679215</v>
      </c>
      <c r="AQ156" s="448">
        <f t="shared" si="39"/>
        <v>0.0003380111196</v>
      </c>
      <c r="AR156" s="448">
        <f t="shared" si="39"/>
        <v>0.001412326703</v>
      </c>
      <c r="AS156" s="448">
        <f t="shared" si="39"/>
        <v>0.001711917032</v>
      </c>
      <c r="AT156" s="449"/>
    </row>
    <row r="157">
      <c r="A157" s="80"/>
      <c r="B157" s="81"/>
      <c r="C157" s="126"/>
      <c r="D157" s="126"/>
      <c r="E157" s="237" t="s">
        <v>675</v>
      </c>
      <c r="F157" s="283" t="s">
        <v>122</v>
      </c>
      <c r="G157" s="285" t="s">
        <v>149</v>
      </c>
      <c r="H157" s="197" t="s">
        <v>150</v>
      </c>
      <c r="I157" s="451">
        <f t="shared" ref="I157:AS157" si="40">I140*$H$153</f>
        <v>0.01484659428</v>
      </c>
      <c r="J157" s="451">
        <f t="shared" si="40"/>
        <v>0.01068574441</v>
      </c>
      <c r="K157" s="451">
        <f t="shared" si="40"/>
        <v>0.01032831871</v>
      </c>
      <c r="L157" s="451">
        <f t="shared" si="40"/>
        <v>0.003885448938</v>
      </c>
      <c r="M157" s="451">
        <f t="shared" si="40"/>
        <v>0.006133456336</v>
      </c>
      <c r="N157" s="451">
        <f t="shared" si="40"/>
        <v>0.0110666051</v>
      </c>
      <c r="O157" s="451">
        <f t="shared" si="40"/>
        <v>0.01448728465</v>
      </c>
      <c r="P157" s="451">
        <f t="shared" si="40"/>
        <v>0.01385831773</v>
      </c>
      <c r="Q157" s="451">
        <f t="shared" si="40"/>
        <v>0.01651258799</v>
      </c>
      <c r="R157" s="451">
        <f t="shared" si="40"/>
        <v>0.002321074549</v>
      </c>
      <c r="S157" s="451">
        <f t="shared" si="40"/>
        <v>0.00742256099</v>
      </c>
      <c r="T157" s="451">
        <f t="shared" si="40"/>
        <v>0.002817364075</v>
      </c>
      <c r="U157" s="451">
        <f t="shared" si="40"/>
        <v>0.001969139942</v>
      </c>
      <c r="V157" s="451">
        <f t="shared" si="40"/>
        <v>0.005607113642</v>
      </c>
      <c r="W157" s="451">
        <f t="shared" si="40"/>
        <v>0.007443833259</v>
      </c>
      <c r="X157" s="451">
        <f t="shared" si="40"/>
        <v>0.007854802471</v>
      </c>
      <c r="Y157" s="451">
        <f t="shared" si="40"/>
        <v>0.004568445221</v>
      </c>
      <c r="Z157" s="451">
        <f t="shared" si="40"/>
        <v>0.002318161523</v>
      </c>
      <c r="AA157" s="451">
        <f t="shared" si="40"/>
        <v>0.004979588682</v>
      </c>
      <c r="AB157" s="451">
        <f t="shared" si="40"/>
        <v>0.002000001623</v>
      </c>
      <c r="AC157" s="451">
        <f t="shared" si="40"/>
        <v>0.002458021237</v>
      </c>
      <c r="AD157" s="451">
        <f t="shared" si="40"/>
        <v>0.003050605458</v>
      </c>
      <c r="AE157" s="451">
        <f t="shared" si="40"/>
        <v>0.001497629386</v>
      </c>
      <c r="AF157" s="451">
        <f t="shared" si="40"/>
        <v>0.001800920755</v>
      </c>
      <c r="AG157" s="451">
        <f t="shared" si="40"/>
        <v>0.004001289816</v>
      </c>
      <c r="AH157" s="451">
        <f t="shared" si="40"/>
        <v>0.003329286775</v>
      </c>
      <c r="AI157" s="451">
        <f t="shared" si="40"/>
        <v>0.00100025091</v>
      </c>
      <c r="AJ157" s="451">
        <f t="shared" si="40"/>
        <v>0.004067589562</v>
      </c>
      <c r="AK157" s="451">
        <f t="shared" si="40"/>
        <v>0.007796181963</v>
      </c>
      <c r="AL157" s="451">
        <f t="shared" si="40"/>
        <v>0.002942687766</v>
      </c>
      <c r="AM157" s="451">
        <f t="shared" si="40"/>
        <v>0.003460849796</v>
      </c>
      <c r="AN157" s="451">
        <f t="shared" si="40"/>
        <v>0.002117345959</v>
      </c>
      <c r="AO157" s="451">
        <f t="shared" si="40"/>
        <v>0.002905139038</v>
      </c>
      <c r="AP157" s="451">
        <f t="shared" si="40"/>
        <v>0.004752180733</v>
      </c>
      <c r="AQ157" s="451">
        <f t="shared" si="40"/>
        <v>0.002110693762</v>
      </c>
      <c r="AR157" s="451">
        <f t="shared" si="40"/>
        <v>0.007566200054</v>
      </c>
      <c r="AS157" s="451">
        <f t="shared" si="40"/>
        <v>0.01238067405</v>
      </c>
      <c r="AT157" s="452"/>
    </row>
    <row r="158">
      <c r="A158" s="80"/>
      <c r="B158" s="81"/>
      <c r="C158" s="206"/>
      <c r="D158" s="206"/>
      <c r="E158" s="243"/>
      <c r="F158" s="201"/>
      <c r="G158" s="202"/>
      <c r="H158" s="85"/>
      <c r="I158" s="266"/>
      <c r="J158" s="266"/>
      <c r="K158" s="266"/>
      <c r="L158" s="266"/>
      <c r="M158" s="266"/>
      <c r="N158" s="266"/>
      <c r="O158" s="266"/>
      <c r="P158" s="266"/>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c r="AN158" s="266"/>
      <c r="AO158" s="266"/>
      <c r="AP158" s="266"/>
      <c r="AQ158" s="266"/>
      <c r="AR158" s="266"/>
      <c r="AS158" s="266"/>
      <c r="AT158" s="268"/>
    </row>
    <row r="159">
      <c r="A159" s="72" t="s">
        <v>679</v>
      </c>
      <c r="B159" s="14"/>
      <c r="C159" s="14"/>
      <c r="D159" s="14"/>
      <c r="E159" s="14"/>
      <c r="F159" s="14"/>
      <c r="G159" s="14"/>
      <c r="H159" s="73"/>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7"/>
      <c r="AL159" s="97"/>
      <c r="AM159" s="97"/>
      <c r="AN159" s="97"/>
      <c r="AO159" s="97"/>
      <c r="AP159" s="97"/>
      <c r="AQ159" s="97"/>
      <c r="AR159" s="97"/>
      <c r="AS159" s="97"/>
      <c r="AT159" s="79"/>
    </row>
    <row r="160">
      <c r="A160" s="80"/>
      <c r="B160" s="81"/>
      <c r="C160" s="206"/>
      <c r="D160" s="206"/>
      <c r="E160" s="243"/>
      <c r="F160" s="201"/>
      <c r="G160" s="202"/>
      <c r="H160" s="85"/>
      <c r="I160" s="266"/>
      <c r="J160" s="266"/>
      <c r="K160" s="266"/>
      <c r="L160" s="266"/>
      <c r="M160" s="266"/>
      <c r="N160" s="266"/>
      <c r="O160" s="266"/>
      <c r="P160" s="266"/>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8"/>
    </row>
    <row r="161">
      <c r="A161" s="81"/>
      <c r="B161" s="81"/>
      <c r="C161" s="126" t="s">
        <v>680</v>
      </c>
      <c r="F161" s="201"/>
      <c r="G161" s="201"/>
      <c r="H161" s="85"/>
      <c r="I161" s="266"/>
      <c r="J161" s="266"/>
      <c r="K161" s="266"/>
      <c r="L161" s="266"/>
      <c r="M161" s="266"/>
      <c r="N161" s="266"/>
      <c r="O161" s="266"/>
      <c r="P161" s="266"/>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AN161" s="266"/>
      <c r="AO161" s="266"/>
      <c r="AP161" s="266"/>
      <c r="AQ161" s="266"/>
      <c r="AR161" s="266"/>
      <c r="AS161" s="266"/>
      <c r="AT161" s="268"/>
    </row>
    <row r="162">
      <c r="A162" s="80"/>
      <c r="B162" s="81"/>
      <c r="C162" s="206"/>
      <c r="D162" s="206"/>
      <c r="E162" s="113" t="s">
        <v>681</v>
      </c>
      <c r="F162" s="207" t="s">
        <v>122</v>
      </c>
      <c r="G162" s="208" t="s">
        <v>203</v>
      </c>
      <c r="H162" s="209" t="str">
        <f>Inputs!H173</f>
        <v>-</v>
      </c>
      <c r="I162" s="210">
        <f>Inputs!I173</f>
        <v>0.001684193</v>
      </c>
      <c r="J162" s="210">
        <f>Inputs!J173</f>
        <v>0.000921641</v>
      </c>
      <c r="K162" s="210">
        <f>Inputs!K173</f>
        <v>0.001855196</v>
      </c>
      <c r="L162" s="210">
        <f>Inputs!L173</f>
        <v>0.000622002</v>
      </c>
      <c r="M162" s="210">
        <f>Inputs!M173</f>
        <v>0.000637374</v>
      </c>
      <c r="N162" s="210">
        <f>Inputs!N173</f>
        <v>0.001680384</v>
      </c>
      <c r="O162" s="210">
        <f>Inputs!O173</f>
        <v>0.001550532</v>
      </c>
      <c r="P162" s="210">
        <f>Inputs!P173</f>
        <v>0.002217853</v>
      </c>
      <c r="Q162" s="210">
        <f>Inputs!Q173</f>
        <v>0.00256188</v>
      </c>
      <c r="R162" s="210">
        <f>Inputs!R173</f>
        <v>0.000141832</v>
      </c>
      <c r="S162" s="210">
        <f>Inputs!S173</f>
        <v>0.000508638</v>
      </c>
      <c r="T162" s="210">
        <f>Inputs!T173</f>
        <v>0.000189306</v>
      </c>
      <c r="U162" s="210">
        <f>Inputs!U173</f>
        <v>0.000145828</v>
      </c>
      <c r="V162" s="210">
        <f>Inputs!V173</f>
        <v>0.000356325</v>
      </c>
      <c r="W162" s="210">
        <f>Inputs!W173</f>
        <v>0.000284489</v>
      </c>
      <c r="X162" s="210">
        <f>Inputs!X173</f>
        <v>0.000585515</v>
      </c>
      <c r="Y162" s="210">
        <f>Inputs!Y173</f>
        <v>0.000227998</v>
      </c>
      <c r="Z162" s="210">
        <f>Inputs!Z173</f>
        <v>0.00020488</v>
      </c>
      <c r="AA162" s="210">
        <f>Inputs!AA173</f>
        <v>0.000259696</v>
      </c>
      <c r="AB162" s="210">
        <f>Inputs!AB173</f>
        <v>0.000180419</v>
      </c>
      <c r="AC162" s="210">
        <f>Inputs!AC173</f>
        <v>0.000173715</v>
      </c>
      <c r="AD162" s="210">
        <f>Inputs!AD173</f>
        <v>0.000122419</v>
      </c>
      <c r="AE162" s="210">
        <f>Inputs!AE173</f>
        <v>0.000135426</v>
      </c>
      <c r="AF162" s="210">
        <f>Inputs!AF173</f>
        <v>0.000101351</v>
      </c>
      <c r="AG162" s="210">
        <f>Inputs!AG173</f>
        <v>0.000245612</v>
      </c>
      <c r="AH162" s="210">
        <f>Inputs!AH173</f>
        <v>0.000251249</v>
      </c>
      <c r="AI162" s="210">
        <f>Inputs!AI173</f>
        <v>0.0000871</v>
      </c>
      <c r="AJ162" s="210">
        <f>Inputs!AJ173</f>
        <v>0.000346226</v>
      </c>
      <c r="AK162" s="210">
        <f>Inputs!AK173</f>
        <v>0.000547186</v>
      </c>
      <c r="AL162" s="210">
        <f>Inputs!AL173</f>
        <v>0.000183463</v>
      </c>
      <c r="AM162" s="210">
        <f>Inputs!AM173</f>
        <v>0.00017625</v>
      </c>
      <c r="AN162" s="210">
        <f>Inputs!AN173</f>
        <v>0.00010284</v>
      </c>
      <c r="AO162" s="210">
        <f>Inputs!AO173</f>
        <v>0.00017111</v>
      </c>
      <c r="AP162" s="210">
        <f>Inputs!AP173</f>
        <v>0.00023164</v>
      </c>
      <c r="AQ162" s="210">
        <f>Inputs!AQ173</f>
        <v>0.000174496</v>
      </c>
      <c r="AR162" s="210">
        <f>Inputs!AR173</f>
        <v>0.000564633</v>
      </c>
      <c r="AS162" s="210">
        <f>Inputs!AS173</f>
        <v>0.001123738</v>
      </c>
      <c r="AT162" s="212"/>
    </row>
    <row r="163">
      <c r="A163" s="80"/>
      <c r="B163" s="81"/>
      <c r="C163" s="206"/>
      <c r="D163" s="206"/>
      <c r="E163" s="140" t="s">
        <v>685</v>
      </c>
      <c r="F163" s="278" t="s">
        <v>122</v>
      </c>
      <c r="G163" s="279" t="s">
        <v>203</v>
      </c>
      <c r="H163" s="280" t="str">
        <f>Inputs!H174</f>
        <v>-</v>
      </c>
      <c r="I163" s="281">
        <f>Inputs!I174</f>
        <v>0.000258566</v>
      </c>
      <c r="J163" s="281">
        <f>Inputs!J174</f>
        <v>0.000138837</v>
      </c>
      <c r="K163" s="281">
        <f>Inputs!K174</f>
        <v>0.000290386</v>
      </c>
      <c r="L163" s="281">
        <f>Inputs!L174</f>
        <v>0.000109043</v>
      </c>
      <c r="M163" s="281">
        <f>Inputs!M174</f>
        <v>0.000102012</v>
      </c>
      <c r="N163" s="281">
        <f>Inputs!N174</f>
        <v>0.000259127</v>
      </c>
      <c r="O163" s="281">
        <f>Inputs!O174</f>
        <v>0.000246282</v>
      </c>
      <c r="P163" s="281">
        <f>Inputs!P174</f>
        <v>0.000344136</v>
      </c>
      <c r="Q163" s="281">
        <f>Inputs!Q174</f>
        <v>0.000360388</v>
      </c>
      <c r="R163" s="281">
        <f>Inputs!R174</f>
        <v>0.0000244</v>
      </c>
      <c r="S163" s="281">
        <f>Inputs!S174</f>
        <v>0.00008</v>
      </c>
      <c r="T163" s="281">
        <f>Inputs!T174</f>
        <v>0.000034</v>
      </c>
      <c r="U163" s="281">
        <f>Inputs!U174</f>
        <v>0.0000265</v>
      </c>
      <c r="V163" s="281">
        <f>Inputs!V174</f>
        <v>0.0000556</v>
      </c>
      <c r="W163" s="281">
        <f>Inputs!W174</f>
        <v>0.0000497</v>
      </c>
      <c r="X163" s="281">
        <f>Inputs!X174</f>
        <v>0.0000923</v>
      </c>
      <c r="Y163" s="281">
        <f>Inputs!Y174</f>
        <v>0.0000392</v>
      </c>
      <c r="Z163" s="281">
        <f>Inputs!Z174</f>
        <v>0.0000387</v>
      </c>
      <c r="AA163" s="281">
        <f>Inputs!AA174</f>
        <v>0.0000507</v>
      </c>
      <c r="AB163" s="281">
        <f>Inputs!AB174</f>
        <v>0.0000272</v>
      </c>
      <c r="AC163" s="281">
        <f>Inputs!AC174</f>
        <v>0.0000307</v>
      </c>
      <c r="AD163" s="281">
        <f>Inputs!AD174</f>
        <v>0.0000235</v>
      </c>
      <c r="AE163" s="281">
        <f>Inputs!AE174</f>
        <v>0.0000246</v>
      </c>
      <c r="AF163" s="281">
        <f>Inputs!AF174</f>
        <v>0.0000198</v>
      </c>
      <c r="AG163" s="281">
        <f>Inputs!AG174</f>
        <v>0.0000442</v>
      </c>
      <c r="AH163" s="281">
        <f>Inputs!AH174</f>
        <v>0.0000489</v>
      </c>
      <c r="AI163" s="281">
        <f>Inputs!AI174</f>
        <v>0.0000183</v>
      </c>
      <c r="AJ163" s="281">
        <f>Inputs!AJ174</f>
        <v>0.0000595</v>
      </c>
      <c r="AK163" s="281">
        <f>Inputs!AK174</f>
        <v>0.0000868</v>
      </c>
      <c r="AL163" s="281">
        <f>Inputs!AL174</f>
        <v>0.0000322</v>
      </c>
      <c r="AM163" s="281">
        <f>Inputs!AM174</f>
        <v>0.0000334</v>
      </c>
      <c r="AN163" s="281">
        <f>Inputs!AN174</f>
        <v>0.0000193</v>
      </c>
      <c r="AO163" s="281">
        <f>Inputs!AO174</f>
        <v>0.0000284</v>
      </c>
      <c r="AP163" s="281">
        <f>Inputs!AP174</f>
        <v>0.0000482</v>
      </c>
      <c r="AQ163" s="281">
        <f>Inputs!AQ174</f>
        <v>0.0000297</v>
      </c>
      <c r="AR163" s="281">
        <f>Inputs!AR174</f>
        <v>0.0000921</v>
      </c>
      <c r="AS163" s="281">
        <f>Inputs!AS174</f>
        <v>0.000172181</v>
      </c>
      <c r="AT163" s="282"/>
    </row>
    <row r="164">
      <c r="A164" s="80"/>
      <c r="B164" s="81"/>
      <c r="C164" s="206"/>
      <c r="D164" s="206"/>
      <c r="E164" s="140" t="s">
        <v>691</v>
      </c>
      <c r="F164" s="278" t="s">
        <v>122</v>
      </c>
      <c r="G164" s="279" t="s">
        <v>203</v>
      </c>
      <c r="H164" s="280" t="str">
        <f>Inputs!H175</f>
        <v>-</v>
      </c>
      <c r="I164" s="281">
        <f>Inputs!I175</f>
        <v>0.0000531</v>
      </c>
      <c r="J164" s="281">
        <f>Inputs!J175</f>
        <v>0.000024</v>
      </c>
      <c r="K164" s="281">
        <f>Inputs!K175</f>
        <v>0.0000773</v>
      </c>
      <c r="L164" s="281">
        <f>Inputs!L175</f>
        <v>0.0000223</v>
      </c>
      <c r="M164" s="281">
        <f>Inputs!M175</f>
        <v>0.000019</v>
      </c>
      <c r="N164" s="281">
        <f>Inputs!N175</f>
        <v>0.0000592</v>
      </c>
      <c r="O164" s="281">
        <f>Inputs!O175</f>
        <v>0.000051</v>
      </c>
      <c r="P164" s="281">
        <f>Inputs!P175</f>
        <v>0.0000811</v>
      </c>
      <c r="Q164" s="281">
        <f>Inputs!Q175</f>
        <v>0.0000778</v>
      </c>
      <c r="R164" s="281">
        <f>Inputs!R175</f>
        <v>0.00000571</v>
      </c>
      <c r="S164" s="281">
        <f>Inputs!S175</f>
        <v>0.0000186</v>
      </c>
      <c r="T164" s="281">
        <f>Inputs!T175</f>
        <v>0.00000859</v>
      </c>
      <c r="U164" s="281">
        <f>Inputs!U175</f>
        <v>0.00000719</v>
      </c>
      <c r="V164" s="281">
        <f>Inputs!V175</f>
        <v>0.0000139</v>
      </c>
      <c r="W164" s="281">
        <f>Inputs!W175</f>
        <v>0.0000125</v>
      </c>
      <c r="X164" s="281">
        <f>Inputs!X175</f>
        <v>0.0000239</v>
      </c>
      <c r="Y164" s="281">
        <f>Inputs!Y175</f>
        <v>0.00000957</v>
      </c>
      <c r="Z164" s="281">
        <f>Inputs!Z175</f>
        <v>0.00000926</v>
      </c>
      <c r="AA164" s="281">
        <f>Inputs!AA175</f>
        <v>0.0000117</v>
      </c>
      <c r="AB164" s="281">
        <f>Inputs!AB175</f>
        <v>0.00000652</v>
      </c>
      <c r="AC164" s="281">
        <f>Inputs!AC175</f>
        <v>0.00000697</v>
      </c>
      <c r="AD164" s="281">
        <f>Inputs!AD175</f>
        <v>0.00000658</v>
      </c>
      <c r="AE164" s="281">
        <f>Inputs!AE175</f>
        <v>0.00000657</v>
      </c>
      <c r="AF164" s="281">
        <f>Inputs!AF175</f>
        <v>0.00000532</v>
      </c>
      <c r="AG164" s="281">
        <f>Inputs!AG175</f>
        <v>0.0000117</v>
      </c>
      <c r="AH164" s="281">
        <f>Inputs!AH175</f>
        <v>0.0000124</v>
      </c>
      <c r="AI164" s="281">
        <f>Inputs!AI175</f>
        <v>0.00000467</v>
      </c>
      <c r="AJ164" s="281">
        <f>Inputs!AJ175</f>
        <v>0.0000151</v>
      </c>
      <c r="AK164" s="281">
        <f>Inputs!AK175</f>
        <v>0.0000222</v>
      </c>
      <c r="AL164" s="281">
        <f>Inputs!AL175</f>
        <v>0.00000941</v>
      </c>
      <c r="AM164" s="281">
        <f>Inputs!AM175</f>
        <v>0.00000805</v>
      </c>
      <c r="AN164" s="281">
        <f>Inputs!AN175</f>
        <v>0.000005</v>
      </c>
      <c r="AO164" s="281">
        <f>Inputs!AO175</f>
        <v>0.00000749</v>
      </c>
      <c r="AP164" s="281">
        <f>Inputs!AP175</f>
        <v>0.0000134</v>
      </c>
      <c r="AQ164" s="281">
        <f>Inputs!AQ175</f>
        <v>0.00000671</v>
      </c>
      <c r="AR164" s="281">
        <f>Inputs!AR175</f>
        <v>0.00002</v>
      </c>
      <c r="AS164" s="281">
        <f>Inputs!AS175</f>
        <v>0.0000479</v>
      </c>
      <c r="AT164" s="282"/>
    </row>
    <row r="165">
      <c r="A165" s="80"/>
      <c r="B165" s="81"/>
      <c r="C165" s="206"/>
      <c r="D165" s="206"/>
      <c r="E165" s="237" t="s">
        <v>695</v>
      </c>
      <c r="F165" s="283" t="s">
        <v>122</v>
      </c>
      <c r="G165" s="285" t="s">
        <v>203</v>
      </c>
      <c r="H165" s="286" t="str">
        <f>Inputs!H176</f>
        <v>-</v>
      </c>
      <c r="I165" s="287">
        <f>Inputs!I176</f>
        <v>0.000013</v>
      </c>
      <c r="J165" s="287">
        <f>Inputs!J176</f>
        <v>0.00000697</v>
      </c>
      <c r="K165" s="287">
        <f>Inputs!K176</f>
        <v>0.0000136</v>
      </c>
      <c r="L165" s="287">
        <f>Inputs!L176</f>
        <v>0.00000524</v>
      </c>
      <c r="M165" s="287">
        <f>Inputs!M176</f>
        <v>0.0000051</v>
      </c>
      <c r="N165" s="287">
        <f>Inputs!N176</f>
        <v>0.0000135</v>
      </c>
      <c r="O165" s="287">
        <f>Inputs!O176</f>
        <v>0.0000128</v>
      </c>
      <c r="P165" s="287">
        <f>Inputs!P176</f>
        <v>0.0000172</v>
      </c>
      <c r="Q165" s="287">
        <f>Inputs!Q176</f>
        <v>0.0000178</v>
      </c>
      <c r="R165" s="287">
        <f>Inputs!R176</f>
        <v>0.00000128</v>
      </c>
      <c r="S165" s="287">
        <f>Inputs!S176</f>
        <v>0.00000365</v>
      </c>
      <c r="T165" s="287">
        <f>Inputs!T176</f>
        <v>0.00000207</v>
      </c>
      <c r="U165" s="287">
        <f>Inputs!U176</f>
        <v>0.00000149</v>
      </c>
      <c r="V165" s="287">
        <f>Inputs!V176</f>
        <v>0.00000287</v>
      </c>
      <c r="W165" s="287">
        <f>Inputs!W176</f>
        <v>0.00000253</v>
      </c>
      <c r="X165" s="287">
        <f>Inputs!X176</f>
        <v>0.00000537</v>
      </c>
      <c r="Y165" s="287">
        <f>Inputs!Y176</f>
        <v>0.00000215</v>
      </c>
      <c r="Z165" s="287">
        <f>Inputs!Z176</f>
        <v>0.00000187</v>
      </c>
      <c r="AA165" s="287">
        <f>Inputs!AA176</f>
        <v>0.0000024</v>
      </c>
      <c r="AB165" s="287">
        <f>Inputs!AB176</f>
        <v>0.00000149</v>
      </c>
      <c r="AC165" s="287">
        <f>Inputs!AC176</f>
        <v>0.00000167</v>
      </c>
      <c r="AD165" s="287">
        <f>Inputs!AD176</f>
        <v>0.0000013</v>
      </c>
      <c r="AE165" s="287">
        <f>Inputs!AE176</f>
        <v>0.00000137</v>
      </c>
      <c r="AF165" s="287">
        <f>Inputs!AF176</f>
        <v>0.00000118</v>
      </c>
      <c r="AG165" s="287">
        <f>Inputs!AG176</f>
        <v>0.00000243</v>
      </c>
      <c r="AH165" s="287">
        <f>Inputs!AH176</f>
        <v>0.0000031</v>
      </c>
      <c r="AI165" s="287">
        <f>Inputs!AI176</f>
        <v>0.00000108</v>
      </c>
      <c r="AJ165" s="287">
        <f>Inputs!AJ176</f>
        <v>0.00000303</v>
      </c>
      <c r="AK165" s="287">
        <f>Inputs!AK176</f>
        <v>0.00000511</v>
      </c>
      <c r="AL165" s="287">
        <f>Inputs!AL176</f>
        <v>0.00000199</v>
      </c>
      <c r="AM165" s="287">
        <f>Inputs!AM176</f>
        <v>0.00000167</v>
      </c>
      <c r="AN165" s="287">
        <f>Inputs!AN176</f>
        <v>0.0000012</v>
      </c>
      <c r="AO165" s="287">
        <f>Inputs!AO176</f>
        <v>0.00000174</v>
      </c>
      <c r="AP165" s="287">
        <f>Inputs!AP176</f>
        <v>0.00000255</v>
      </c>
      <c r="AQ165" s="287">
        <f>Inputs!AQ176</f>
        <v>0.00000161</v>
      </c>
      <c r="AR165" s="287">
        <f>Inputs!AR176</f>
        <v>0.00000487</v>
      </c>
      <c r="AS165" s="287">
        <f>Inputs!AS176</f>
        <v>0.00000988</v>
      </c>
      <c r="AT165" s="293"/>
    </row>
    <row r="166">
      <c r="A166" s="80"/>
      <c r="B166" s="81"/>
      <c r="C166" s="206"/>
      <c r="D166" s="206"/>
      <c r="E166" s="243"/>
      <c r="F166" s="201"/>
      <c r="G166" s="202"/>
      <c r="H166" s="85"/>
      <c r="I166" s="266"/>
      <c r="J166" s="266"/>
      <c r="K166" s="266"/>
      <c r="L166" s="266"/>
      <c r="M166" s="266"/>
      <c r="N166" s="266"/>
      <c r="O166" s="266"/>
      <c r="P166" s="266"/>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c r="AN166" s="266"/>
      <c r="AO166" s="266"/>
      <c r="AP166" s="266"/>
      <c r="AQ166" s="266"/>
      <c r="AR166" s="266"/>
      <c r="AS166" s="266"/>
      <c r="AT166" s="268"/>
    </row>
    <row r="167">
      <c r="A167" s="80"/>
      <c r="B167" s="81"/>
      <c r="C167" s="126" t="s">
        <v>699</v>
      </c>
      <c r="F167" s="201"/>
      <c r="G167" s="202"/>
      <c r="H167" s="85"/>
      <c r="I167" s="266"/>
      <c r="J167" s="266"/>
      <c r="K167" s="266"/>
      <c r="L167" s="266"/>
      <c r="M167" s="266"/>
      <c r="N167" s="266"/>
      <c r="O167" s="266"/>
      <c r="P167" s="266"/>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c r="AN167" s="266"/>
      <c r="AO167" s="266"/>
      <c r="AP167" s="266"/>
      <c r="AQ167" s="266"/>
      <c r="AR167" s="266"/>
      <c r="AS167" s="266"/>
      <c r="AT167" s="268"/>
    </row>
    <row r="168">
      <c r="A168" s="80"/>
      <c r="B168" s="81"/>
      <c r="C168" s="206"/>
      <c r="D168" s="206"/>
      <c r="E168" s="113" t="s">
        <v>701</v>
      </c>
      <c r="F168" s="207" t="s">
        <v>111</v>
      </c>
      <c r="G168" s="208" t="s">
        <v>203</v>
      </c>
      <c r="H168" s="209" t="str">
        <f>Inputs!H177</f>
        <v>-</v>
      </c>
      <c r="I168" s="294">
        <f>Inputs!I177</f>
        <v>472.6800099</v>
      </c>
      <c r="J168" s="294">
        <f>Inputs!J177</f>
        <v>120.4429596</v>
      </c>
      <c r="K168" s="294">
        <f>Inputs!K177</f>
        <v>427.1372344</v>
      </c>
      <c r="L168" s="294">
        <f>Inputs!L177</f>
        <v>242.91073</v>
      </c>
      <c r="M168" s="294">
        <f>Inputs!M177</f>
        <v>435.1934643</v>
      </c>
      <c r="N168" s="294">
        <f>Inputs!N177</f>
        <v>707.7079348</v>
      </c>
      <c r="O168" s="294">
        <f>Inputs!O177</f>
        <v>309.3255788</v>
      </c>
      <c r="P168" s="294">
        <f>Inputs!P177</f>
        <v>659.3052148</v>
      </c>
      <c r="Q168" s="294">
        <f>Inputs!Q177</f>
        <v>411.1880719</v>
      </c>
      <c r="R168" s="294">
        <f>Inputs!R177</f>
        <v>19.64992346</v>
      </c>
      <c r="S168" s="294">
        <f>Inputs!S177</f>
        <v>57.15170644</v>
      </c>
      <c r="T168" s="294">
        <f>Inputs!T177</f>
        <v>11.3511831</v>
      </c>
      <c r="U168" s="294">
        <f>Inputs!U177</f>
        <v>27.52427559</v>
      </c>
      <c r="V168" s="294">
        <f>Inputs!V177</f>
        <v>7.726148051</v>
      </c>
      <c r="W168" s="294">
        <f>Inputs!W177</f>
        <v>86.17436042</v>
      </c>
      <c r="X168" s="294">
        <f>Inputs!X177</f>
        <v>97.4300913</v>
      </c>
      <c r="Y168" s="294">
        <f>Inputs!Y177</f>
        <v>14.45558554</v>
      </c>
      <c r="Z168" s="294">
        <f>Inputs!Z177</f>
        <v>24.5496389</v>
      </c>
      <c r="AA168" s="294">
        <f>Inputs!AA177</f>
        <v>26.99088502</v>
      </c>
      <c r="AB168" s="294">
        <f>Inputs!AB177</f>
        <v>18.27260394</v>
      </c>
      <c r="AC168" s="294">
        <f>Inputs!AC177</f>
        <v>7.864191713</v>
      </c>
      <c r="AD168" s="294">
        <f>Inputs!AD177</f>
        <v>15.43996003</v>
      </c>
      <c r="AE168" s="294">
        <f>Inputs!AE177</f>
        <v>25.08451142</v>
      </c>
      <c r="AF168" s="294">
        <f>Inputs!AF177</f>
        <v>31.24723193</v>
      </c>
      <c r="AG168" s="294">
        <f>Inputs!AG177</f>
        <v>20.55180154</v>
      </c>
      <c r="AH168" s="294">
        <f>Inputs!AH177</f>
        <v>22.99981667</v>
      </c>
      <c r="AI168" s="294">
        <f>Inputs!AI177</f>
        <v>11.65287169</v>
      </c>
      <c r="AJ168" s="294">
        <f>Inputs!AJ177</f>
        <v>67.56362384</v>
      </c>
      <c r="AK168" s="294">
        <f>Inputs!AK177</f>
        <v>230.7773845</v>
      </c>
      <c r="AL168" s="294">
        <f>Inputs!AL177</f>
        <v>63.24989724</v>
      </c>
      <c r="AM168" s="294">
        <f>Inputs!AM177</f>
        <v>17.2829085</v>
      </c>
      <c r="AN168" s="294">
        <f>Inputs!AN177</f>
        <v>11.62308299</v>
      </c>
      <c r="AO168" s="294">
        <f>Inputs!AO177</f>
        <v>27.09449686</v>
      </c>
      <c r="AP168" s="294">
        <f>Inputs!AP177</f>
        <v>89.78641677</v>
      </c>
      <c r="AQ168" s="294">
        <f>Inputs!AQ177</f>
        <v>16.82160947</v>
      </c>
      <c r="AR168" s="294">
        <f>Inputs!AR177</f>
        <v>166.8788999</v>
      </c>
      <c r="AS168" s="294">
        <f>Inputs!AS177</f>
        <v>191.2894986</v>
      </c>
      <c r="AT168" s="298"/>
    </row>
    <row r="169">
      <c r="A169" s="80"/>
      <c r="B169" s="81"/>
      <c r="C169" s="206"/>
      <c r="D169" s="206"/>
      <c r="E169" s="140" t="s">
        <v>705</v>
      </c>
      <c r="F169" s="278" t="s">
        <v>111</v>
      </c>
      <c r="G169" s="279" t="s">
        <v>203</v>
      </c>
      <c r="H169" s="280" t="str">
        <f>Inputs!H178</f>
        <v>-</v>
      </c>
      <c r="I169" s="299">
        <f>Inputs!I178</f>
        <v>123.6158501</v>
      </c>
      <c r="J169" s="299">
        <f>Inputs!J178</f>
        <v>32.77345624</v>
      </c>
      <c r="K169" s="299">
        <f>Inputs!K178</f>
        <v>116.0566233</v>
      </c>
      <c r="L169" s="299">
        <f>Inputs!L178</f>
        <v>74.96143679</v>
      </c>
      <c r="M169" s="299">
        <f>Inputs!M178</f>
        <v>116.1328452</v>
      </c>
      <c r="N169" s="299">
        <f>Inputs!N178</f>
        <v>209.1222026</v>
      </c>
      <c r="O169" s="299">
        <f>Inputs!O178</f>
        <v>86.07944075</v>
      </c>
      <c r="P169" s="299">
        <f>Inputs!P178</f>
        <v>175.7971347</v>
      </c>
      <c r="Q169" s="299">
        <f>Inputs!Q178</f>
        <v>110.6578518</v>
      </c>
      <c r="R169" s="299">
        <f>Inputs!R178</f>
        <v>6.245814071</v>
      </c>
      <c r="S169" s="299">
        <f>Inputs!S178</f>
        <v>16.75551183</v>
      </c>
      <c r="T169" s="299">
        <f>Inputs!T178</f>
        <v>3.128830425</v>
      </c>
      <c r="U169" s="299">
        <f>Inputs!U178</f>
        <v>8.324464269</v>
      </c>
      <c r="V169" s="299">
        <f>Inputs!V178</f>
        <v>2.099747283</v>
      </c>
      <c r="W169" s="299">
        <f>Inputs!W178</f>
        <v>28.50790177</v>
      </c>
      <c r="X169" s="299">
        <f>Inputs!X178</f>
        <v>29.56511455</v>
      </c>
      <c r="Y169" s="299">
        <f>Inputs!Y178</f>
        <v>3.708497067</v>
      </c>
      <c r="Z169" s="299">
        <f>Inputs!Z178</f>
        <v>7.372635941</v>
      </c>
      <c r="AA169" s="299">
        <f>Inputs!AA178</f>
        <v>9.30597901</v>
      </c>
      <c r="AB169" s="299">
        <f>Inputs!AB178</f>
        <v>4.691736835</v>
      </c>
      <c r="AC169" s="299">
        <f>Inputs!AC178</f>
        <v>2.190584213</v>
      </c>
      <c r="AD169" s="299">
        <f>Inputs!AD178</f>
        <v>4.65032017</v>
      </c>
      <c r="AE169" s="299">
        <f>Inputs!AE178</f>
        <v>8.222003395</v>
      </c>
      <c r="AF169" s="299">
        <f>Inputs!AF178</f>
        <v>9.336035784</v>
      </c>
      <c r="AG169" s="299">
        <f>Inputs!AG178</f>
        <v>5.181093854</v>
      </c>
      <c r="AH169" s="299">
        <f>Inputs!AH178</f>
        <v>6.943144129</v>
      </c>
      <c r="AI169" s="299">
        <f>Inputs!AI178</f>
        <v>3.804454448</v>
      </c>
      <c r="AJ169" s="299">
        <f>Inputs!AJ178</f>
        <v>21.01233846</v>
      </c>
      <c r="AK169" s="299">
        <f>Inputs!AK178</f>
        <v>69.09166579</v>
      </c>
      <c r="AL169" s="299">
        <f>Inputs!AL178</f>
        <v>18.58617067</v>
      </c>
      <c r="AM169" s="299">
        <f>Inputs!AM178</f>
        <v>3.664630471</v>
      </c>
      <c r="AN169" s="299">
        <f>Inputs!AN178</f>
        <v>3.407159141</v>
      </c>
      <c r="AO169" s="299">
        <f>Inputs!AO178</f>
        <v>7.295412577</v>
      </c>
      <c r="AP169" s="299">
        <f>Inputs!AP178</f>
        <v>29.76393726</v>
      </c>
      <c r="AQ169" s="299">
        <f>Inputs!AQ178</f>
        <v>4.950529953</v>
      </c>
      <c r="AR169" s="299">
        <f>Inputs!AR178</f>
        <v>48.29191406</v>
      </c>
      <c r="AS169" s="299">
        <f>Inputs!AS178</f>
        <v>53.76490975</v>
      </c>
      <c r="AT169" s="297"/>
    </row>
    <row r="170">
      <c r="A170" s="80"/>
      <c r="B170" s="81"/>
      <c r="C170" s="206"/>
      <c r="D170" s="206"/>
      <c r="E170" s="140" t="s">
        <v>709</v>
      </c>
      <c r="F170" s="278" t="s">
        <v>122</v>
      </c>
      <c r="G170" s="279" t="s">
        <v>149</v>
      </c>
      <c r="H170" s="302" t="s">
        <v>150</v>
      </c>
      <c r="I170" s="303">
        <f t="shared" ref="I170:AS170" si="41">I169/I168</f>
        <v>0.2615212142</v>
      </c>
      <c r="J170" s="303">
        <f t="shared" si="41"/>
        <v>0.272107696</v>
      </c>
      <c r="K170" s="303">
        <f t="shared" si="41"/>
        <v>0.2717080459</v>
      </c>
      <c r="L170" s="303">
        <f t="shared" si="41"/>
        <v>0.308596647</v>
      </c>
      <c r="M170" s="303">
        <f t="shared" si="41"/>
        <v>0.2668533761</v>
      </c>
      <c r="N170" s="303">
        <f t="shared" si="41"/>
        <v>0.2954922395</v>
      </c>
      <c r="O170" s="303">
        <f t="shared" si="41"/>
        <v>0.2782810302</v>
      </c>
      <c r="P170" s="303">
        <f t="shared" si="41"/>
        <v>0.2666399882</v>
      </c>
      <c r="Q170" s="303">
        <f t="shared" si="41"/>
        <v>0.2691173683</v>
      </c>
      <c r="R170" s="303">
        <f t="shared" si="41"/>
        <v>0.3178543715</v>
      </c>
      <c r="S170" s="303">
        <f t="shared" si="41"/>
        <v>0.293176055</v>
      </c>
      <c r="T170" s="303">
        <f t="shared" si="41"/>
        <v>0.2756391468</v>
      </c>
      <c r="U170" s="303">
        <f t="shared" si="41"/>
        <v>0.3024408124</v>
      </c>
      <c r="V170" s="303">
        <f t="shared" si="41"/>
        <v>0.2717715567</v>
      </c>
      <c r="W170" s="303">
        <f t="shared" si="41"/>
        <v>0.330816517</v>
      </c>
      <c r="X170" s="303">
        <f t="shared" si="41"/>
        <v>0.3034495211</v>
      </c>
      <c r="Y170" s="303">
        <f t="shared" si="41"/>
        <v>0.2565442304</v>
      </c>
      <c r="Z170" s="303">
        <f t="shared" si="41"/>
        <v>0.3003154536</v>
      </c>
      <c r="AA170" s="303">
        <f t="shared" si="41"/>
        <v>0.3447822849</v>
      </c>
      <c r="AB170" s="303">
        <f t="shared" si="41"/>
        <v>0.2567634504</v>
      </c>
      <c r="AC170" s="303">
        <f t="shared" si="41"/>
        <v>0.2785517308</v>
      </c>
      <c r="AD170" s="303">
        <f t="shared" si="41"/>
        <v>0.3011873192</v>
      </c>
      <c r="AE170" s="303">
        <f t="shared" si="41"/>
        <v>0.3277721163</v>
      </c>
      <c r="AF170" s="303">
        <f t="shared" si="41"/>
        <v>0.2987796105</v>
      </c>
      <c r="AG170" s="303">
        <f t="shared" si="41"/>
        <v>0.2520992548</v>
      </c>
      <c r="AH170" s="303">
        <f t="shared" si="41"/>
        <v>0.3018782379</v>
      </c>
      <c r="AI170" s="303">
        <f t="shared" si="41"/>
        <v>0.3264821367</v>
      </c>
      <c r="AJ170" s="303">
        <f t="shared" si="41"/>
        <v>0.3110007614</v>
      </c>
      <c r="AK170" s="303">
        <f t="shared" si="41"/>
        <v>0.2993866402</v>
      </c>
      <c r="AL170" s="303">
        <f t="shared" si="41"/>
        <v>0.2938529781</v>
      </c>
      <c r="AM170" s="303">
        <f t="shared" si="41"/>
        <v>0.2120378333</v>
      </c>
      <c r="AN170" s="303">
        <f t="shared" si="41"/>
        <v>0.2931372979</v>
      </c>
      <c r="AO170" s="303">
        <f t="shared" si="41"/>
        <v>0.2692580938</v>
      </c>
      <c r="AP170" s="303">
        <f t="shared" si="41"/>
        <v>0.3314971054</v>
      </c>
      <c r="AQ170" s="303">
        <f t="shared" si="41"/>
        <v>0.2942958557</v>
      </c>
      <c r="AR170" s="303">
        <f t="shared" si="41"/>
        <v>0.2893829842</v>
      </c>
      <c r="AS170" s="303">
        <f t="shared" si="41"/>
        <v>0.281065663</v>
      </c>
      <c r="AT170" s="297"/>
    </row>
    <row r="171">
      <c r="A171" s="80"/>
      <c r="B171" s="81"/>
      <c r="C171" s="206"/>
      <c r="D171" s="206"/>
      <c r="E171" s="140" t="s">
        <v>712</v>
      </c>
      <c r="F171" s="278" t="s">
        <v>122</v>
      </c>
      <c r="G171" s="279" t="s">
        <v>203</v>
      </c>
      <c r="H171" s="305">
        <f>Inputs!H179</f>
        <v>0.75</v>
      </c>
      <c r="I171" s="299" t="str">
        <f>Inputs!I179</f>
        <v>-</v>
      </c>
      <c r="J171" s="299" t="str">
        <f>Inputs!J179</f>
        <v>-</v>
      </c>
      <c r="K171" s="299" t="str">
        <f>Inputs!K179</f>
        <v>-</v>
      </c>
      <c r="L171" s="299" t="str">
        <f>Inputs!L179</f>
        <v>-</v>
      </c>
      <c r="M171" s="299" t="str">
        <f>Inputs!M179</f>
        <v>-</v>
      </c>
      <c r="N171" s="299" t="str">
        <f>Inputs!N179</f>
        <v>-</v>
      </c>
      <c r="O171" s="299" t="str">
        <f>Inputs!O179</f>
        <v>-</v>
      </c>
      <c r="P171" s="299" t="str">
        <f>Inputs!P179</f>
        <v>-</v>
      </c>
      <c r="Q171" s="299" t="str">
        <f>Inputs!Q179</f>
        <v>-</v>
      </c>
      <c r="R171" s="299" t="str">
        <f>Inputs!R179</f>
        <v>-</v>
      </c>
      <c r="S171" s="299" t="str">
        <f>Inputs!S179</f>
        <v>-</v>
      </c>
      <c r="T171" s="299" t="str">
        <f>Inputs!T179</f>
        <v>-</v>
      </c>
      <c r="U171" s="299" t="str">
        <f>Inputs!U179</f>
        <v>-</v>
      </c>
      <c r="V171" s="299" t="str">
        <f>Inputs!V179</f>
        <v>-</v>
      </c>
      <c r="W171" s="299" t="str">
        <f>Inputs!W179</f>
        <v>-</v>
      </c>
      <c r="X171" s="299" t="str">
        <f>Inputs!X179</f>
        <v>-</v>
      </c>
      <c r="Y171" s="299" t="str">
        <f>Inputs!Y179</f>
        <v>-</v>
      </c>
      <c r="Z171" s="299" t="str">
        <f>Inputs!Z179</f>
        <v>-</v>
      </c>
      <c r="AA171" s="299" t="str">
        <f>Inputs!AA179</f>
        <v>-</v>
      </c>
      <c r="AB171" s="299" t="str">
        <f>Inputs!AB179</f>
        <v>-</v>
      </c>
      <c r="AC171" s="299" t="str">
        <f>Inputs!AC179</f>
        <v>-</v>
      </c>
      <c r="AD171" s="299" t="str">
        <f>Inputs!AD179</f>
        <v>-</v>
      </c>
      <c r="AE171" s="299" t="str">
        <f>Inputs!AE179</f>
        <v>-</v>
      </c>
      <c r="AF171" s="299" t="str">
        <f>Inputs!AF179</f>
        <v>-</v>
      </c>
      <c r="AG171" s="299" t="str">
        <f>Inputs!AG179</f>
        <v>-</v>
      </c>
      <c r="AH171" s="299" t="str">
        <f>Inputs!AH179</f>
        <v>-</v>
      </c>
      <c r="AI171" s="299" t="str">
        <f>Inputs!AI179</f>
        <v>-</v>
      </c>
      <c r="AJ171" s="299" t="str">
        <f>Inputs!AJ179</f>
        <v>-</v>
      </c>
      <c r="AK171" s="299" t="str">
        <f>Inputs!AK179</f>
        <v>-</v>
      </c>
      <c r="AL171" s="299" t="str">
        <f>Inputs!AL179</f>
        <v>-</v>
      </c>
      <c r="AM171" s="299" t="str">
        <f>Inputs!AM179</f>
        <v>-</v>
      </c>
      <c r="AN171" s="299" t="str">
        <f>Inputs!AN179</f>
        <v>-</v>
      </c>
      <c r="AO171" s="299" t="str">
        <f>Inputs!AO179</f>
        <v>-</v>
      </c>
      <c r="AP171" s="299" t="str">
        <f>Inputs!AP179</f>
        <v>-</v>
      </c>
      <c r="AQ171" s="299" t="str">
        <f>Inputs!AQ179</f>
        <v>-</v>
      </c>
      <c r="AR171" s="299" t="str">
        <f>Inputs!AR179</f>
        <v>-</v>
      </c>
      <c r="AS171" s="299" t="str">
        <f>Inputs!AS179</f>
        <v>-</v>
      </c>
      <c r="AT171" s="297"/>
    </row>
    <row r="172">
      <c r="A172" s="80"/>
      <c r="B172" s="81"/>
      <c r="C172" s="206"/>
      <c r="D172" s="206"/>
      <c r="E172" s="140" t="s">
        <v>717</v>
      </c>
      <c r="F172" s="278" t="s">
        <v>122</v>
      </c>
      <c r="G172" s="279" t="s">
        <v>149</v>
      </c>
      <c r="H172" s="302" t="s">
        <v>150</v>
      </c>
      <c r="I172" s="303">
        <f t="shared" ref="I172:AS172" si="42">I170*$H171</f>
        <v>0.1961409106</v>
      </c>
      <c r="J172" s="303">
        <f t="shared" si="42"/>
        <v>0.204080772</v>
      </c>
      <c r="K172" s="303">
        <f t="shared" si="42"/>
        <v>0.2037810344</v>
      </c>
      <c r="L172" s="303">
        <f t="shared" si="42"/>
        <v>0.2314474852</v>
      </c>
      <c r="M172" s="303">
        <f t="shared" si="42"/>
        <v>0.2001400321</v>
      </c>
      <c r="N172" s="303">
        <f t="shared" si="42"/>
        <v>0.2216191797</v>
      </c>
      <c r="O172" s="303">
        <f t="shared" si="42"/>
        <v>0.2087107727</v>
      </c>
      <c r="P172" s="303">
        <f t="shared" si="42"/>
        <v>0.1999799912</v>
      </c>
      <c r="Q172" s="303">
        <f t="shared" si="42"/>
        <v>0.2018380263</v>
      </c>
      <c r="R172" s="303">
        <f t="shared" si="42"/>
        <v>0.2383907786</v>
      </c>
      <c r="S172" s="303">
        <f t="shared" si="42"/>
        <v>0.2198820412</v>
      </c>
      <c r="T172" s="303">
        <f t="shared" si="42"/>
        <v>0.2067293601</v>
      </c>
      <c r="U172" s="303">
        <f t="shared" si="42"/>
        <v>0.2268306093</v>
      </c>
      <c r="V172" s="303">
        <f t="shared" si="42"/>
        <v>0.2038286675</v>
      </c>
      <c r="W172" s="303">
        <f t="shared" si="42"/>
        <v>0.2481123878</v>
      </c>
      <c r="X172" s="303">
        <f t="shared" si="42"/>
        <v>0.2275871409</v>
      </c>
      <c r="Y172" s="303">
        <f t="shared" si="42"/>
        <v>0.1924081728</v>
      </c>
      <c r="Z172" s="303">
        <f t="shared" si="42"/>
        <v>0.2252365902</v>
      </c>
      <c r="AA172" s="303">
        <f t="shared" si="42"/>
        <v>0.2585867137</v>
      </c>
      <c r="AB172" s="303">
        <f t="shared" si="42"/>
        <v>0.1925725878</v>
      </c>
      <c r="AC172" s="303">
        <f t="shared" si="42"/>
        <v>0.2089137981</v>
      </c>
      <c r="AD172" s="303">
        <f t="shared" si="42"/>
        <v>0.2258904894</v>
      </c>
      <c r="AE172" s="303">
        <f t="shared" si="42"/>
        <v>0.2458290872</v>
      </c>
      <c r="AF172" s="303">
        <f t="shared" si="42"/>
        <v>0.2240847078</v>
      </c>
      <c r="AG172" s="303">
        <f t="shared" si="42"/>
        <v>0.1890744411</v>
      </c>
      <c r="AH172" s="303">
        <f t="shared" si="42"/>
        <v>0.2264086784</v>
      </c>
      <c r="AI172" s="303">
        <f t="shared" si="42"/>
        <v>0.2448616025</v>
      </c>
      <c r="AJ172" s="303">
        <f t="shared" si="42"/>
        <v>0.2332505711</v>
      </c>
      <c r="AK172" s="303">
        <f t="shared" si="42"/>
        <v>0.2245399802</v>
      </c>
      <c r="AL172" s="303">
        <f t="shared" si="42"/>
        <v>0.2203897336</v>
      </c>
      <c r="AM172" s="303">
        <f t="shared" si="42"/>
        <v>0.159028375</v>
      </c>
      <c r="AN172" s="303">
        <f t="shared" si="42"/>
        <v>0.2198529734</v>
      </c>
      <c r="AO172" s="303">
        <f t="shared" si="42"/>
        <v>0.2019435704</v>
      </c>
      <c r="AP172" s="303">
        <f t="shared" si="42"/>
        <v>0.248622829</v>
      </c>
      <c r="AQ172" s="303">
        <f t="shared" si="42"/>
        <v>0.2207218918</v>
      </c>
      <c r="AR172" s="303">
        <f t="shared" si="42"/>
        <v>0.2170372382</v>
      </c>
      <c r="AS172" s="303">
        <f t="shared" si="42"/>
        <v>0.2107992473</v>
      </c>
      <c r="AT172" s="297"/>
    </row>
    <row r="173">
      <c r="A173" s="80"/>
      <c r="B173" s="81"/>
      <c r="C173" s="206"/>
      <c r="D173" s="206"/>
      <c r="E173" s="224" t="s">
        <v>720</v>
      </c>
      <c r="F173" s="225" t="s">
        <v>122</v>
      </c>
      <c r="G173" s="226" t="s">
        <v>149</v>
      </c>
      <c r="H173" s="259" t="s">
        <v>150</v>
      </c>
      <c r="I173" s="228">
        <f t="shared" ref="I173:AS173" si="43">I162*(1-I172)</f>
        <v>0.001353853851</v>
      </c>
      <c r="J173" s="228">
        <f t="shared" si="43"/>
        <v>0.0007335517932</v>
      </c>
      <c r="K173" s="228">
        <f t="shared" si="43"/>
        <v>0.00147714224</v>
      </c>
      <c r="L173" s="228">
        <f t="shared" si="43"/>
        <v>0.0004780412013</v>
      </c>
      <c r="M173" s="228">
        <f t="shared" si="43"/>
        <v>0.0005098099472</v>
      </c>
      <c r="N173" s="228">
        <f t="shared" si="43"/>
        <v>0.001307978676</v>
      </c>
      <c r="O173" s="228">
        <f t="shared" si="43"/>
        <v>0.001226919268</v>
      </c>
      <c r="P173" s="228">
        <f t="shared" si="43"/>
        <v>0.001774326777</v>
      </c>
      <c r="Q173" s="228">
        <f t="shared" si="43"/>
        <v>0.002044795197</v>
      </c>
      <c r="R173" s="228">
        <f t="shared" si="43"/>
        <v>0.0001080205591</v>
      </c>
      <c r="S173" s="228">
        <f t="shared" si="43"/>
        <v>0.0003967976383</v>
      </c>
      <c r="T173" s="228">
        <f t="shared" si="43"/>
        <v>0.0001501708918</v>
      </c>
      <c r="U173" s="228">
        <f t="shared" si="43"/>
        <v>0.0001127497459</v>
      </c>
      <c r="V173" s="228">
        <f t="shared" si="43"/>
        <v>0.00028369575</v>
      </c>
      <c r="W173" s="228">
        <f t="shared" si="43"/>
        <v>0.0002139037549</v>
      </c>
      <c r="X173" s="228">
        <f t="shared" si="43"/>
        <v>0.0004522593152</v>
      </c>
      <c r="Y173" s="228">
        <f t="shared" si="43"/>
        <v>0.0001841293214</v>
      </c>
      <c r="Z173" s="228">
        <f t="shared" si="43"/>
        <v>0.0001587335274</v>
      </c>
      <c r="AA173" s="228">
        <f t="shared" si="43"/>
        <v>0.0001925420648</v>
      </c>
      <c r="AB173" s="228">
        <f t="shared" si="43"/>
        <v>0.0001456752463</v>
      </c>
      <c r="AC173" s="228">
        <f t="shared" si="43"/>
        <v>0.0001374235396</v>
      </c>
      <c r="AD173" s="228">
        <f t="shared" si="43"/>
        <v>0.00009476571218</v>
      </c>
      <c r="AE173" s="228">
        <f t="shared" si="43"/>
        <v>0.00010213435</v>
      </c>
      <c r="AF173" s="228">
        <f t="shared" si="43"/>
        <v>0.00007863979078</v>
      </c>
      <c r="AG173" s="228">
        <f t="shared" si="43"/>
        <v>0.0001991730484</v>
      </c>
      <c r="AH173" s="228">
        <f t="shared" si="43"/>
        <v>0.0001943640459</v>
      </c>
      <c r="AI173" s="228">
        <f t="shared" si="43"/>
        <v>0.00006577255442</v>
      </c>
      <c r="AJ173" s="228">
        <f t="shared" si="43"/>
        <v>0.0002654685878</v>
      </c>
      <c r="AK173" s="228">
        <f t="shared" si="43"/>
        <v>0.0004243208664</v>
      </c>
      <c r="AL173" s="228">
        <f t="shared" si="43"/>
        <v>0.0001430296383</v>
      </c>
      <c r="AM173" s="228">
        <f t="shared" si="43"/>
        <v>0.0001482212489</v>
      </c>
      <c r="AN173" s="228">
        <f t="shared" si="43"/>
        <v>0.00008023032021</v>
      </c>
      <c r="AO173" s="228">
        <f t="shared" si="43"/>
        <v>0.0001365554357</v>
      </c>
      <c r="AP173" s="228">
        <f t="shared" si="43"/>
        <v>0.0001740490079</v>
      </c>
      <c r="AQ173" s="228">
        <f t="shared" si="43"/>
        <v>0.0001359809128</v>
      </c>
      <c r="AR173" s="228">
        <f t="shared" si="43"/>
        <v>0.0004420866131</v>
      </c>
      <c r="AS173" s="228">
        <f t="shared" si="43"/>
        <v>0.0008868548755</v>
      </c>
      <c r="AT173" s="242"/>
    </row>
    <row r="174">
      <c r="A174" s="80"/>
      <c r="B174" s="81"/>
      <c r="C174" s="126"/>
      <c r="D174" s="126"/>
      <c r="E174" s="243"/>
      <c r="F174" s="83"/>
      <c r="G174" s="91"/>
      <c r="H174" s="85"/>
      <c r="I174" s="86"/>
      <c r="J174" s="86"/>
      <c r="K174" s="86"/>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c r="AQ174" s="86"/>
      <c r="AR174" s="86"/>
      <c r="AS174" s="86"/>
      <c r="AT174" s="88"/>
    </row>
    <row r="175">
      <c r="A175" s="72" t="s">
        <v>723</v>
      </c>
      <c r="B175" s="14"/>
      <c r="C175" s="14"/>
      <c r="D175" s="14"/>
      <c r="E175" s="14"/>
      <c r="F175" s="14"/>
      <c r="G175" s="14"/>
      <c r="H175" s="168"/>
      <c r="I175" s="261"/>
      <c r="J175" s="261"/>
      <c r="K175" s="261"/>
      <c r="L175" s="261"/>
      <c r="M175" s="261"/>
      <c r="N175" s="261"/>
      <c r="O175" s="261"/>
      <c r="P175" s="261"/>
      <c r="Q175" s="453"/>
      <c r="R175" s="261"/>
      <c r="S175" s="261"/>
      <c r="T175" s="261"/>
      <c r="U175" s="261"/>
      <c r="V175" s="261"/>
      <c r="W175" s="261"/>
      <c r="X175" s="261"/>
      <c r="Y175" s="261"/>
      <c r="Z175" s="261"/>
      <c r="AA175" s="261"/>
      <c r="AB175" s="261"/>
      <c r="AC175" s="261"/>
      <c r="AD175" s="261"/>
      <c r="AE175" s="261"/>
      <c r="AF175" s="261"/>
      <c r="AG175" s="261"/>
      <c r="AH175" s="261"/>
      <c r="AI175" s="261"/>
      <c r="AJ175" s="261"/>
      <c r="AK175" s="261"/>
      <c r="AL175" s="261"/>
      <c r="AM175" s="261"/>
      <c r="AN175" s="261"/>
      <c r="AO175" s="261"/>
      <c r="AP175" s="261"/>
      <c r="AQ175" s="261"/>
      <c r="AR175" s="261"/>
      <c r="AS175" s="261"/>
      <c r="AT175" s="171"/>
    </row>
    <row r="176">
      <c r="A176" s="80"/>
      <c r="B176" s="81"/>
      <c r="C176" s="81"/>
      <c r="D176" s="81"/>
      <c r="E176" s="82"/>
      <c r="F176" s="83"/>
      <c r="G176" s="135"/>
      <c r="H176" s="85"/>
      <c r="I176" s="86"/>
      <c r="J176" s="86"/>
      <c r="K176" s="86"/>
      <c r="L176" s="86"/>
      <c r="M176" s="86"/>
      <c r="N176" s="86"/>
      <c r="O176" s="86"/>
      <c r="P176" s="86"/>
      <c r="Q176" s="454"/>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c r="AQ176" s="86"/>
      <c r="AR176" s="86"/>
      <c r="AS176" s="86"/>
      <c r="AT176" s="88"/>
    </row>
    <row r="177">
      <c r="A177" s="80"/>
      <c r="B177" s="81"/>
      <c r="C177" s="112" t="s">
        <v>725</v>
      </c>
      <c r="F177" s="83"/>
      <c r="G177" s="135"/>
      <c r="H177" s="85"/>
      <c r="I177" s="86"/>
      <c r="J177" s="86"/>
      <c r="K177" s="86"/>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c r="AQ177" s="86"/>
      <c r="AR177" s="86"/>
      <c r="AS177" s="86"/>
      <c r="AT177" s="88"/>
    </row>
    <row r="178">
      <c r="A178" s="80"/>
      <c r="B178" s="81"/>
      <c r="C178" s="325"/>
      <c r="D178" s="325"/>
      <c r="E178" s="113" t="s">
        <v>728</v>
      </c>
      <c r="F178" s="189" t="s">
        <v>122</v>
      </c>
      <c r="G178" s="271" t="s">
        <v>149</v>
      </c>
      <c r="H178" s="200" t="s">
        <v>150</v>
      </c>
      <c r="I178" s="264">
        <f t="shared" ref="I178:AS178" si="44">I15</f>
        <v>0.003629763</v>
      </c>
      <c r="J178" s="264">
        <f t="shared" si="44"/>
        <v>0.001693533</v>
      </c>
      <c r="K178" s="264">
        <f t="shared" si="44"/>
        <v>0.004321809</v>
      </c>
      <c r="L178" s="264">
        <f t="shared" si="44"/>
        <v>0.000876042</v>
      </c>
      <c r="M178" s="264">
        <f t="shared" si="44"/>
        <v>0.001723095</v>
      </c>
      <c r="N178" s="264">
        <f t="shared" si="44"/>
        <v>0.002687563</v>
      </c>
      <c r="O178" s="264">
        <f t="shared" si="44"/>
        <v>0.002755632</v>
      </c>
      <c r="P178" s="264">
        <f t="shared" si="44"/>
        <v>0.004692335</v>
      </c>
      <c r="Q178" s="264">
        <f t="shared" si="44"/>
        <v>0.005920174</v>
      </c>
      <c r="R178" s="264">
        <f t="shared" si="44"/>
        <v>0.000340487</v>
      </c>
      <c r="S178" s="264">
        <f t="shared" si="44"/>
        <v>0.001242071</v>
      </c>
      <c r="T178" s="264">
        <f t="shared" si="44"/>
        <v>0.000232857</v>
      </c>
      <c r="U178" s="264">
        <f t="shared" si="44"/>
        <v>0.000236873</v>
      </c>
      <c r="V178" s="264">
        <f t="shared" si="44"/>
        <v>0.000342083</v>
      </c>
      <c r="W178" s="264">
        <f t="shared" si="44"/>
        <v>0.000561141</v>
      </c>
      <c r="X178" s="264">
        <f t="shared" si="44"/>
        <v>0.000540748</v>
      </c>
      <c r="Y178" s="264">
        <f t="shared" si="44"/>
        <v>0.000308884</v>
      </c>
      <c r="Z178" s="264">
        <f t="shared" si="44"/>
        <v>0.00034876</v>
      </c>
      <c r="AA178" s="264">
        <f t="shared" si="44"/>
        <v>0.000484387</v>
      </c>
      <c r="AB178" s="264">
        <f t="shared" si="44"/>
        <v>0.000327009</v>
      </c>
      <c r="AC178" s="264">
        <f t="shared" si="44"/>
        <v>0.000293915</v>
      </c>
      <c r="AD178" s="264">
        <f t="shared" si="44"/>
        <v>0.000173117</v>
      </c>
      <c r="AE178" s="264">
        <f t="shared" si="44"/>
        <v>0.000302269</v>
      </c>
      <c r="AF178" s="264">
        <f t="shared" si="44"/>
        <v>0.000186819</v>
      </c>
      <c r="AG178" s="264">
        <f t="shared" si="44"/>
        <v>0.000243976</v>
      </c>
      <c r="AH178" s="264">
        <f t="shared" si="44"/>
        <v>0.000189327</v>
      </c>
      <c r="AI178" s="264">
        <f t="shared" si="44"/>
        <v>0.000125611</v>
      </c>
      <c r="AJ178" s="264">
        <f t="shared" si="44"/>
        <v>0.000519729</v>
      </c>
      <c r="AK178" s="264">
        <f t="shared" si="44"/>
        <v>0.000903152</v>
      </c>
      <c r="AL178" s="264">
        <f t="shared" si="44"/>
        <v>0.00024853</v>
      </c>
      <c r="AM178" s="264">
        <f t="shared" si="44"/>
        <v>0.000298102</v>
      </c>
      <c r="AN178" s="264">
        <f t="shared" si="44"/>
        <v>0.000132551</v>
      </c>
      <c r="AO178" s="264">
        <f t="shared" si="44"/>
        <v>0.000138701</v>
      </c>
      <c r="AP178" s="264">
        <f t="shared" si="44"/>
        <v>0.000383821</v>
      </c>
      <c r="AQ178" s="264">
        <f t="shared" si="44"/>
        <v>0.000322044</v>
      </c>
      <c r="AR178" s="264">
        <f t="shared" si="44"/>
        <v>0.001380717</v>
      </c>
      <c r="AS178" s="264">
        <f t="shared" si="44"/>
        <v>0.00187352</v>
      </c>
      <c r="AT178" s="136"/>
    </row>
    <row r="179">
      <c r="A179" s="80"/>
      <c r="B179" s="81"/>
      <c r="C179" s="325"/>
      <c r="D179" s="325"/>
      <c r="E179" s="140" t="s">
        <v>733</v>
      </c>
      <c r="F179" s="215" t="s">
        <v>122</v>
      </c>
      <c r="G179" s="276" t="s">
        <v>149</v>
      </c>
      <c r="H179" s="187" t="s">
        <v>150</v>
      </c>
      <c r="I179" s="284">
        <f t="shared" ref="I179:AS179" si="45">SUM(I31,I47,I66)</f>
        <v>0.002343861693</v>
      </c>
      <c r="J179" s="284">
        <f t="shared" si="45"/>
        <v>0.001989333001</v>
      </c>
      <c r="K179" s="284">
        <f t="shared" si="45"/>
        <v>0.002769340821</v>
      </c>
      <c r="L179" s="284">
        <f t="shared" si="45"/>
        <v>0.001235881755</v>
      </c>
      <c r="M179" s="284">
        <f t="shared" si="45"/>
        <v>0.001615677047</v>
      </c>
      <c r="N179" s="284">
        <f t="shared" si="45"/>
        <v>0.002151492374</v>
      </c>
      <c r="O179" s="284">
        <f t="shared" si="45"/>
        <v>0.002648285997</v>
      </c>
      <c r="P179" s="284">
        <f t="shared" si="45"/>
        <v>0.003642155715</v>
      </c>
      <c r="Q179" s="284">
        <f t="shared" si="45"/>
        <v>0.004237828843</v>
      </c>
      <c r="R179" s="284">
        <f t="shared" si="45"/>
        <v>0.0003206084153</v>
      </c>
      <c r="S179" s="284">
        <f t="shared" si="45"/>
        <v>0.001082453703</v>
      </c>
      <c r="T179" s="284">
        <f t="shared" si="45"/>
        <v>0.0003447474134</v>
      </c>
      <c r="U179" s="284">
        <f t="shared" si="45"/>
        <v>0.0004512819872</v>
      </c>
      <c r="V179" s="284">
        <f t="shared" si="45"/>
        <v>0.0007742750531</v>
      </c>
      <c r="W179" s="284">
        <f t="shared" si="45"/>
        <v>0.0006076966443</v>
      </c>
      <c r="X179" s="284">
        <f t="shared" si="45"/>
        <v>0.0009854916235</v>
      </c>
      <c r="Y179" s="284">
        <f t="shared" si="45"/>
        <v>0.000417706441</v>
      </c>
      <c r="Z179" s="284">
        <f t="shared" si="45"/>
        <v>0.000446376586</v>
      </c>
      <c r="AA179" s="284">
        <f t="shared" si="45"/>
        <v>0.0004479804213</v>
      </c>
      <c r="AB179" s="284">
        <f t="shared" si="45"/>
        <v>0.0003238117201</v>
      </c>
      <c r="AC179" s="284">
        <f t="shared" si="45"/>
        <v>0.0002100104229</v>
      </c>
      <c r="AD179" s="284">
        <f t="shared" si="45"/>
        <v>0.0002498286878</v>
      </c>
      <c r="AE179" s="284">
        <f t="shared" si="45"/>
        <v>0.0003218253163</v>
      </c>
      <c r="AF179" s="284">
        <f t="shared" si="45"/>
        <v>0.0001806972018</v>
      </c>
      <c r="AG179" s="284">
        <f t="shared" si="45"/>
        <v>0.001019605093</v>
      </c>
      <c r="AH179" s="284">
        <f t="shared" si="45"/>
        <v>0.0003820323127</v>
      </c>
      <c r="AI179" s="284">
        <f t="shared" si="45"/>
        <v>0.000151214441</v>
      </c>
      <c r="AJ179" s="284">
        <f t="shared" si="45"/>
        <v>0.0007434329561</v>
      </c>
      <c r="AK179" s="284">
        <f t="shared" si="45"/>
        <v>0.00117250695</v>
      </c>
      <c r="AL179" s="284">
        <f t="shared" si="45"/>
        <v>0.000457170788</v>
      </c>
      <c r="AM179" s="284">
        <f t="shared" si="45"/>
        <v>0.0003182487564</v>
      </c>
      <c r="AN179" s="284">
        <f t="shared" si="45"/>
        <v>0.0001770907482</v>
      </c>
      <c r="AO179" s="284">
        <f t="shared" si="45"/>
        <v>0.0004181548746</v>
      </c>
      <c r="AP179" s="284">
        <f t="shared" si="45"/>
        <v>0.0004006915926</v>
      </c>
      <c r="AQ179" s="284">
        <f t="shared" si="45"/>
        <v>0.0003476206098</v>
      </c>
      <c r="AR179" s="284">
        <f t="shared" si="45"/>
        <v>0.001283128663</v>
      </c>
      <c r="AS179" s="284">
        <f t="shared" si="45"/>
        <v>0.001744818779</v>
      </c>
      <c r="AT179" s="163"/>
    </row>
    <row r="180">
      <c r="A180" s="80"/>
      <c r="B180" s="81"/>
      <c r="C180" s="325"/>
      <c r="D180" s="325"/>
      <c r="E180" s="140" t="s">
        <v>735</v>
      </c>
      <c r="F180" s="215" t="s">
        <v>122</v>
      </c>
      <c r="G180" s="276" t="s">
        <v>149</v>
      </c>
      <c r="H180" s="187" t="s">
        <v>150</v>
      </c>
      <c r="I180" s="284">
        <f t="shared" ref="I180:AS180" si="46">SUM(I88,I121)</f>
        <v>0.0006365512472</v>
      </c>
      <c r="J180" s="284">
        <f t="shared" si="46"/>
        <v>0.0005153478876</v>
      </c>
      <c r="K180" s="284">
        <f t="shared" si="46"/>
        <v>0.0006538971766</v>
      </c>
      <c r="L180" s="284">
        <f t="shared" si="46"/>
        <v>0.0003456175657</v>
      </c>
      <c r="M180" s="284">
        <f t="shared" si="46"/>
        <v>0.0005233883278</v>
      </c>
      <c r="N180" s="284">
        <f t="shared" si="46"/>
        <v>0.0004436945395</v>
      </c>
      <c r="O180" s="284">
        <f t="shared" si="46"/>
        <v>0.0004783210741</v>
      </c>
      <c r="P180" s="284">
        <f t="shared" si="46"/>
        <v>0.0007519166394</v>
      </c>
      <c r="Q180" s="284">
        <f t="shared" si="46"/>
        <v>0.0006983090289</v>
      </c>
      <c r="R180" s="284">
        <f t="shared" si="46"/>
        <v>0.0001951185477</v>
      </c>
      <c r="S180" s="284">
        <f t="shared" si="46"/>
        <v>0.0004608739157</v>
      </c>
      <c r="T180" s="284">
        <f t="shared" si="46"/>
        <v>0.000126803834</v>
      </c>
      <c r="U180" s="284">
        <f t="shared" si="46"/>
        <v>0.0001461254755</v>
      </c>
      <c r="V180" s="284">
        <f t="shared" si="46"/>
        <v>0.0001723002118</v>
      </c>
      <c r="W180" s="284">
        <f t="shared" si="46"/>
        <v>0.0002205581448</v>
      </c>
      <c r="X180" s="284">
        <f t="shared" si="46"/>
        <v>0.000154132605</v>
      </c>
      <c r="Y180" s="284">
        <f t="shared" si="46"/>
        <v>0.0001451617157</v>
      </c>
      <c r="Z180" s="284">
        <f t="shared" si="46"/>
        <v>0.0001736227324</v>
      </c>
      <c r="AA180" s="284">
        <f t="shared" si="46"/>
        <v>0.0002244630448</v>
      </c>
      <c r="AB180" s="284">
        <f t="shared" si="46"/>
        <v>0.0001895934455</v>
      </c>
      <c r="AC180" s="284">
        <f t="shared" si="46"/>
        <v>0.0001401396636</v>
      </c>
      <c r="AD180" s="284">
        <f t="shared" si="46"/>
        <v>0.00008966420976</v>
      </c>
      <c r="AE180" s="284">
        <f t="shared" si="46"/>
        <v>0.000157966465</v>
      </c>
      <c r="AF180" s="284">
        <f t="shared" si="46"/>
        <v>0.0001046442692</v>
      </c>
      <c r="AG180" s="284">
        <f t="shared" si="46"/>
        <v>0.0001341314147</v>
      </c>
      <c r="AH180" s="284">
        <f t="shared" si="46"/>
        <v>0.00009166061138</v>
      </c>
      <c r="AI180" s="284">
        <f t="shared" si="46"/>
        <v>0.00007420205129</v>
      </c>
      <c r="AJ180" s="284">
        <f t="shared" si="46"/>
        <v>0.0002064295837</v>
      </c>
      <c r="AK180" s="284">
        <f t="shared" si="46"/>
        <v>0.0002996315207</v>
      </c>
      <c r="AL180" s="284">
        <f t="shared" si="46"/>
        <v>0.0001263886433</v>
      </c>
      <c r="AM180" s="284">
        <f t="shared" si="46"/>
        <v>0.0001574362314</v>
      </c>
      <c r="AN180" s="284">
        <f t="shared" si="46"/>
        <v>0.00006332206217</v>
      </c>
      <c r="AO180" s="284">
        <f t="shared" si="46"/>
        <v>0.00009052807008</v>
      </c>
      <c r="AP180" s="284">
        <f t="shared" si="46"/>
        <v>0.0001573283061</v>
      </c>
      <c r="AQ180" s="284">
        <f t="shared" si="46"/>
        <v>0.0001668687662</v>
      </c>
      <c r="AR180" s="284">
        <f t="shared" si="46"/>
        <v>0.0004967057145</v>
      </c>
      <c r="AS180" s="284">
        <f t="shared" si="46"/>
        <v>0.0003229636961</v>
      </c>
      <c r="AT180" s="163"/>
    </row>
    <row r="181">
      <c r="A181" s="80"/>
      <c r="B181" s="81"/>
      <c r="C181" s="325"/>
      <c r="D181" s="325"/>
      <c r="E181" s="140" t="s">
        <v>738</v>
      </c>
      <c r="F181" s="215" t="s">
        <v>122</v>
      </c>
      <c r="G181" s="276" t="s">
        <v>149</v>
      </c>
      <c r="H181" s="187" t="s">
        <v>150</v>
      </c>
      <c r="I181" s="284">
        <f t="shared" ref="I181:AS181" si="47">SUM(I94,I129)</f>
        <v>0.01042613688</v>
      </c>
      <c r="J181" s="284">
        <f t="shared" si="47"/>
        <v>0.008407362117</v>
      </c>
      <c r="K181" s="284">
        <f t="shared" si="47"/>
        <v>0.01067102726</v>
      </c>
      <c r="L181" s="284">
        <f t="shared" si="47"/>
        <v>0.005649485315</v>
      </c>
      <c r="M181" s="284">
        <f t="shared" si="47"/>
        <v>0.008535318119</v>
      </c>
      <c r="N181" s="284">
        <f t="shared" si="47"/>
        <v>0.007195937535</v>
      </c>
      <c r="O181" s="284">
        <f t="shared" si="47"/>
        <v>0.007752443148</v>
      </c>
      <c r="P181" s="284">
        <f t="shared" si="47"/>
        <v>0.01220179985</v>
      </c>
      <c r="Q181" s="284">
        <f t="shared" si="47"/>
        <v>0.01102074782</v>
      </c>
      <c r="R181" s="284">
        <f t="shared" si="47"/>
        <v>0.003252221902</v>
      </c>
      <c r="S181" s="284">
        <f t="shared" si="47"/>
        <v>0.007597770077</v>
      </c>
      <c r="T181" s="284">
        <f t="shared" si="47"/>
        <v>0.002100372731</v>
      </c>
      <c r="U181" s="284">
        <f t="shared" si="47"/>
        <v>0.00246286422</v>
      </c>
      <c r="V181" s="284">
        <f t="shared" si="47"/>
        <v>0.00284276494</v>
      </c>
      <c r="W181" s="284">
        <f t="shared" si="47"/>
        <v>0.003653531602</v>
      </c>
      <c r="X181" s="284">
        <f t="shared" si="47"/>
        <v>0.002522831441</v>
      </c>
      <c r="Y181" s="284">
        <f t="shared" si="47"/>
        <v>0.002418694316</v>
      </c>
      <c r="Z181" s="284">
        <f t="shared" si="47"/>
        <v>0.002877230233</v>
      </c>
      <c r="AA181" s="284">
        <f t="shared" si="47"/>
        <v>0.003739912686</v>
      </c>
      <c r="AB181" s="284">
        <f t="shared" si="47"/>
        <v>0.003160877666</v>
      </c>
      <c r="AC181" s="284">
        <f t="shared" si="47"/>
        <v>0.002338987767</v>
      </c>
      <c r="AD181" s="284">
        <f t="shared" si="47"/>
        <v>0.001491893305</v>
      </c>
      <c r="AE181" s="284">
        <f t="shared" si="47"/>
        <v>0.002611446579</v>
      </c>
      <c r="AF181" s="284">
        <f t="shared" si="47"/>
        <v>0.00174443126</v>
      </c>
      <c r="AG181" s="284">
        <f t="shared" si="47"/>
        <v>0.002233359274</v>
      </c>
      <c r="AH181" s="284">
        <f t="shared" si="47"/>
        <v>0.00151614111</v>
      </c>
      <c r="AI181" s="284">
        <f t="shared" si="47"/>
        <v>0.001231320915</v>
      </c>
      <c r="AJ181" s="284">
        <f t="shared" si="47"/>
        <v>0.003396309798</v>
      </c>
      <c r="AK181" s="284">
        <f t="shared" si="47"/>
        <v>0.004913669605</v>
      </c>
      <c r="AL181" s="284">
        <f t="shared" si="47"/>
        <v>0.002085308922</v>
      </c>
      <c r="AM181" s="284">
        <f t="shared" si="47"/>
        <v>0.002632644886</v>
      </c>
      <c r="AN181" s="284">
        <f t="shared" si="47"/>
        <v>0.001053523608</v>
      </c>
      <c r="AO181" s="284">
        <f t="shared" si="47"/>
        <v>0.001496140406</v>
      </c>
      <c r="AP181" s="284">
        <f t="shared" si="47"/>
        <v>0.002597682586</v>
      </c>
      <c r="AQ181" s="284">
        <f t="shared" si="47"/>
        <v>0.002766081414</v>
      </c>
      <c r="AR181" s="284">
        <f t="shared" si="47"/>
        <v>0.008184853485</v>
      </c>
      <c r="AS181" s="284">
        <f t="shared" si="47"/>
        <v>0.005277982679</v>
      </c>
      <c r="AT181" s="163"/>
    </row>
    <row r="182">
      <c r="A182" s="80"/>
      <c r="B182" s="81"/>
      <c r="C182" s="325"/>
      <c r="D182" s="325"/>
      <c r="E182" s="140" t="s">
        <v>739</v>
      </c>
      <c r="F182" s="215" t="s">
        <v>122</v>
      </c>
      <c r="G182" s="276" t="s">
        <v>149</v>
      </c>
      <c r="H182" s="187" t="s">
        <v>150</v>
      </c>
      <c r="I182" s="284">
        <f t="shared" ref="I182:AS182" si="48">I154</f>
        <v>0.01116871721</v>
      </c>
      <c r="J182" s="284">
        <f t="shared" si="48"/>
        <v>0.007739557175</v>
      </c>
      <c r="K182" s="284">
        <f t="shared" si="48"/>
        <v>0.009307897445</v>
      </c>
      <c r="L182" s="284">
        <f t="shared" si="48"/>
        <v>0.004118837143</v>
      </c>
      <c r="M182" s="284">
        <f t="shared" si="48"/>
        <v>0.007342543843</v>
      </c>
      <c r="N182" s="284">
        <f t="shared" si="48"/>
        <v>0.007748440737</v>
      </c>
      <c r="O182" s="284">
        <f t="shared" si="48"/>
        <v>0.008528855712</v>
      </c>
      <c r="P182" s="284">
        <f t="shared" si="48"/>
        <v>0.01248961222</v>
      </c>
      <c r="Q182" s="284">
        <f t="shared" si="48"/>
        <v>0.01518290891</v>
      </c>
      <c r="R182" s="284">
        <f t="shared" si="48"/>
        <v>0.003027179469</v>
      </c>
      <c r="S182" s="284">
        <f t="shared" si="48"/>
        <v>0.006833772591</v>
      </c>
      <c r="T182" s="284">
        <f t="shared" si="48"/>
        <v>0.00136381193</v>
      </c>
      <c r="U182" s="284">
        <f t="shared" si="48"/>
        <v>0.00107218255</v>
      </c>
      <c r="V182" s="284">
        <f t="shared" si="48"/>
        <v>0.00313342186</v>
      </c>
      <c r="W182" s="284">
        <f t="shared" si="48"/>
        <v>0.004286502216</v>
      </c>
      <c r="X182" s="284">
        <f t="shared" si="48"/>
        <v>0.003672820205</v>
      </c>
      <c r="Y182" s="284">
        <f t="shared" si="48"/>
        <v>0.001682067029</v>
      </c>
      <c r="Z182" s="284">
        <f t="shared" si="48"/>
        <v>0.001775293204</v>
      </c>
      <c r="AA182" s="284">
        <f t="shared" si="48"/>
        <v>0.002880465845</v>
      </c>
      <c r="AB182" s="284">
        <f t="shared" si="48"/>
        <v>0.001569866001</v>
      </c>
      <c r="AC182" s="284">
        <f t="shared" si="48"/>
        <v>0.001443506189</v>
      </c>
      <c r="AD182" s="284">
        <f t="shared" si="48"/>
        <v>0.000940165684</v>
      </c>
      <c r="AE182" s="284">
        <f t="shared" si="48"/>
        <v>0.001557551633</v>
      </c>
      <c r="AF182" s="284">
        <f t="shared" si="48"/>
        <v>0.0009315068657</v>
      </c>
      <c r="AG182" s="284">
        <f t="shared" si="48"/>
        <v>0.001308937038</v>
      </c>
      <c r="AH182" s="284">
        <f t="shared" si="48"/>
        <v>0.0009775408388</v>
      </c>
      <c r="AI182" s="284">
        <f t="shared" si="48"/>
        <v>0.0008060380859</v>
      </c>
      <c r="AJ182" s="284">
        <f t="shared" si="48"/>
        <v>0.002429155992</v>
      </c>
      <c r="AK182" s="284">
        <f t="shared" si="48"/>
        <v>0.004531125785</v>
      </c>
      <c r="AL182" s="284">
        <f t="shared" si="48"/>
        <v>0.001381282571</v>
      </c>
      <c r="AM182" s="284">
        <f t="shared" si="48"/>
        <v>0.001419056945</v>
      </c>
      <c r="AN182" s="284">
        <f t="shared" si="48"/>
        <v>0.0007439969438</v>
      </c>
      <c r="AO182" s="284">
        <f t="shared" si="48"/>
        <v>0.0008787569774</v>
      </c>
      <c r="AP182" s="284">
        <f t="shared" si="48"/>
        <v>0.002157401657</v>
      </c>
      <c r="AQ182" s="284">
        <f t="shared" si="48"/>
        <v>0.001670974975</v>
      </c>
      <c r="AR182" s="284">
        <f t="shared" si="48"/>
        <v>0.007592841422</v>
      </c>
      <c r="AS182" s="284">
        <f t="shared" si="48"/>
        <v>0.005498118833</v>
      </c>
      <c r="AT182" s="163"/>
    </row>
    <row r="183">
      <c r="A183" s="80"/>
      <c r="B183" s="81"/>
      <c r="C183" s="325"/>
      <c r="D183" s="325"/>
      <c r="E183" s="140" t="s">
        <v>740</v>
      </c>
      <c r="F183" s="215" t="s">
        <v>122</v>
      </c>
      <c r="G183" s="276" t="s">
        <v>149</v>
      </c>
      <c r="H183" s="187" t="s">
        <v>150</v>
      </c>
      <c r="I183" s="284">
        <f t="shared" ref="I183:AS183" si="49">I173</f>
        <v>0.001353853851</v>
      </c>
      <c r="J183" s="284">
        <f t="shared" si="49"/>
        <v>0.0007335517932</v>
      </c>
      <c r="K183" s="284">
        <f t="shared" si="49"/>
        <v>0.00147714224</v>
      </c>
      <c r="L183" s="284">
        <f t="shared" si="49"/>
        <v>0.0004780412013</v>
      </c>
      <c r="M183" s="284">
        <f t="shared" si="49"/>
        <v>0.0005098099472</v>
      </c>
      <c r="N183" s="284">
        <f t="shared" si="49"/>
        <v>0.001307978676</v>
      </c>
      <c r="O183" s="284">
        <f t="shared" si="49"/>
        <v>0.001226919268</v>
      </c>
      <c r="P183" s="284">
        <f t="shared" si="49"/>
        <v>0.001774326777</v>
      </c>
      <c r="Q183" s="284">
        <f t="shared" si="49"/>
        <v>0.002044795197</v>
      </c>
      <c r="R183" s="284">
        <f t="shared" si="49"/>
        <v>0.0001080205591</v>
      </c>
      <c r="S183" s="284">
        <f t="shared" si="49"/>
        <v>0.0003967976383</v>
      </c>
      <c r="T183" s="284">
        <f t="shared" si="49"/>
        <v>0.0001501708918</v>
      </c>
      <c r="U183" s="284">
        <f t="shared" si="49"/>
        <v>0.0001127497459</v>
      </c>
      <c r="V183" s="284">
        <f t="shared" si="49"/>
        <v>0.00028369575</v>
      </c>
      <c r="W183" s="284">
        <f t="shared" si="49"/>
        <v>0.0002139037549</v>
      </c>
      <c r="X183" s="284">
        <f t="shared" si="49"/>
        <v>0.0004522593152</v>
      </c>
      <c r="Y183" s="284">
        <f t="shared" si="49"/>
        <v>0.0001841293214</v>
      </c>
      <c r="Z183" s="284">
        <f t="shared" si="49"/>
        <v>0.0001587335274</v>
      </c>
      <c r="AA183" s="284">
        <f t="shared" si="49"/>
        <v>0.0001925420648</v>
      </c>
      <c r="AB183" s="284">
        <f t="shared" si="49"/>
        <v>0.0001456752463</v>
      </c>
      <c r="AC183" s="284">
        <f t="shared" si="49"/>
        <v>0.0001374235396</v>
      </c>
      <c r="AD183" s="284">
        <f t="shared" si="49"/>
        <v>0.00009476571218</v>
      </c>
      <c r="AE183" s="284">
        <f t="shared" si="49"/>
        <v>0.00010213435</v>
      </c>
      <c r="AF183" s="284">
        <f t="shared" si="49"/>
        <v>0.00007863979078</v>
      </c>
      <c r="AG183" s="284">
        <f t="shared" si="49"/>
        <v>0.0001991730484</v>
      </c>
      <c r="AH183" s="284">
        <f t="shared" si="49"/>
        <v>0.0001943640459</v>
      </c>
      <c r="AI183" s="284">
        <f t="shared" si="49"/>
        <v>0.00006577255442</v>
      </c>
      <c r="AJ183" s="284">
        <f t="shared" si="49"/>
        <v>0.0002654685878</v>
      </c>
      <c r="AK183" s="284">
        <f t="shared" si="49"/>
        <v>0.0004243208664</v>
      </c>
      <c r="AL183" s="284">
        <f t="shared" si="49"/>
        <v>0.0001430296383</v>
      </c>
      <c r="AM183" s="284">
        <f t="shared" si="49"/>
        <v>0.0001482212489</v>
      </c>
      <c r="AN183" s="284">
        <f t="shared" si="49"/>
        <v>0.00008023032021</v>
      </c>
      <c r="AO183" s="284">
        <f t="shared" si="49"/>
        <v>0.0001365554357</v>
      </c>
      <c r="AP183" s="284">
        <f t="shared" si="49"/>
        <v>0.0001740490079</v>
      </c>
      <c r="AQ183" s="284">
        <f t="shared" si="49"/>
        <v>0.0001359809128</v>
      </c>
      <c r="AR183" s="284">
        <f t="shared" si="49"/>
        <v>0.0004420866131</v>
      </c>
      <c r="AS183" s="284">
        <f t="shared" si="49"/>
        <v>0.0008868548755</v>
      </c>
      <c r="AT183" s="163"/>
    </row>
    <row r="184">
      <c r="A184" s="80"/>
      <c r="B184" s="81"/>
      <c r="C184" s="325"/>
      <c r="D184" s="325"/>
      <c r="E184" s="237" t="s">
        <v>214</v>
      </c>
      <c r="F184" s="195" t="s">
        <v>122</v>
      </c>
      <c r="G184" s="291" t="s">
        <v>149</v>
      </c>
      <c r="H184" s="197" t="s">
        <v>150</v>
      </c>
      <c r="I184" s="457">
        <f t="shared" ref="I184:AS184" si="50">SUM(I178:I183)</f>
        <v>0.02955888388</v>
      </c>
      <c r="J184" s="457">
        <f t="shared" si="50"/>
        <v>0.02107868497</v>
      </c>
      <c r="K184" s="457">
        <f t="shared" si="50"/>
        <v>0.02920111394</v>
      </c>
      <c r="L184" s="457">
        <f t="shared" si="50"/>
        <v>0.01270390498</v>
      </c>
      <c r="M184" s="457">
        <f t="shared" si="50"/>
        <v>0.02024983228</v>
      </c>
      <c r="N184" s="457">
        <f t="shared" si="50"/>
        <v>0.02153510686</v>
      </c>
      <c r="O184" s="457">
        <f t="shared" si="50"/>
        <v>0.0233904572</v>
      </c>
      <c r="P184" s="457">
        <f t="shared" si="50"/>
        <v>0.0355521462</v>
      </c>
      <c r="Q184" s="457">
        <f t="shared" si="50"/>
        <v>0.03910476381</v>
      </c>
      <c r="R184" s="457">
        <f t="shared" si="50"/>
        <v>0.007243635893</v>
      </c>
      <c r="S184" s="457">
        <f t="shared" si="50"/>
        <v>0.01761373893</v>
      </c>
      <c r="T184" s="457">
        <f t="shared" si="50"/>
        <v>0.0043187638</v>
      </c>
      <c r="U184" s="457">
        <f t="shared" si="50"/>
        <v>0.004482076979</v>
      </c>
      <c r="V184" s="457">
        <f t="shared" si="50"/>
        <v>0.007548540815</v>
      </c>
      <c r="W184" s="457">
        <f t="shared" si="50"/>
        <v>0.009543333363</v>
      </c>
      <c r="X184" s="457">
        <f t="shared" si="50"/>
        <v>0.00832828319</v>
      </c>
      <c r="Y184" s="457">
        <f t="shared" si="50"/>
        <v>0.005156642823</v>
      </c>
      <c r="Z184" s="457">
        <f t="shared" si="50"/>
        <v>0.005780016283</v>
      </c>
      <c r="AA184" s="457">
        <f t="shared" si="50"/>
        <v>0.007969751062</v>
      </c>
      <c r="AB184" s="457">
        <f t="shared" si="50"/>
        <v>0.005716833079</v>
      </c>
      <c r="AC184" s="457">
        <f t="shared" si="50"/>
        <v>0.004563982582</v>
      </c>
      <c r="AD184" s="457">
        <f t="shared" si="50"/>
        <v>0.003039434599</v>
      </c>
      <c r="AE184" s="457">
        <f t="shared" si="50"/>
        <v>0.005053193343</v>
      </c>
      <c r="AF184" s="457">
        <f t="shared" si="50"/>
        <v>0.003226738388</v>
      </c>
      <c r="AG184" s="457">
        <f t="shared" si="50"/>
        <v>0.005139181868</v>
      </c>
      <c r="AH184" s="457">
        <f t="shared" si="50"/>
        <v>0.003351065919</v>
      </c>
      <c r="AI184" s="457">
        <f t="shared" si="50"/>
        <v>0.002454159048</v>
      </c>
      <c r="AJ184" s="457">
        <f t="shared" si="50"/>
        <v>0.007560525918</v>
      </c>
      <c r="AK184" s="457">
        <f t="shared" si="50"/>
        <v>0.01224440673</v>
      </c>
      <c r="AL184" s="457">
        <f t="shared" si="50"/>
        <v>0.004441710562</v>
      </c>
      <c r="AM184" s="457">
        <f t="shared" si="50"/>
        <v>0.004973710067</v>
      </c>
      <c r="AN184" s="457">
        <f t="shared" si="50"/>
        <v>0.002250714683</v>
      </c>
      <c r="AO184" s="457">
        <f t="shared" si="50"/>
        <v>0.003158836764</v>
      </c>
      <c r="AP184" s="457">
        <f t="shared" si="50"/>
        <v>0.005870974149</v>
      </c>
      <c r="AQ184" s="457">
        <f t="shared" si="50"/>
        <v>0.005409570678</v>
      </c>
      <c r="AR184" s="457">
        <f t="shared" si="50"/>
        <v>0.0193803329</v>
      </c>
      <c r="AS184" s="457">
        <f t="shared" si="50"/>
        <v>0.01560425886</v>
      </c>
      <c r="AT184" s="248"/>
    </row>
    <row r="185">
      <c r="A185" s="80"/>
      <c r="B185" s="81"/>
      <c r="C185" s="325"/>
      <c r="D185" s="325"/>
      <c r="E185" s="243"/>
      <c r="F185" s="83"/>
      <c r="G185" s="135"/>
      <c r="H185" s="85"/>
      <c r="I185" s="86"/>
      <c r="J185" s="86"/>
      <c r="K185" s="86"/>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c r="AQ185" s="86"/>
      <c r="AR185" s="86"/>
      <c r="AS185" s="86"/>
      <c r="AT185" s="88"/>
    </row>
    <row r="186">
      <c r="A186" s="80"/>
      <c r="B186" s="81"/>
      <c r="C186" s="325" t="s">
        <v>336</v>
      </c>
      <c r="F186" s="83"/>
      <c r="G186" s="135"/>
      <c r="H186" s="85"/>
      <c r="I186" s="86"/>
      <c r="J186" s="86"/>
      <c r="K186" s="86"/>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c r="AQ186" s="86"/>
      <c r="AR186" s="86"/>
      <c r="AS186" s="86"/>
      <c r="AT186" s="88"/>
    </row>
    <row r="187">
      <c r="A187" s="80"/>
      <c r="B187" s="81"/>
      <c r="C187" s="81"/>
      <c r="D187" s="81"/>
      <c r="E187" s="458" t="s">
        <v>337</v>
      </c>
      <c r="F187" s="151" t="str">
        <f>'Vaccine coverage'!F146</f>
        <v>%</v>
      </c>
      <c r="G187" s="271" t="s">
        <v>131</v>
      </c>
      <c r="H187" s="295" t="str">
        <f>'Vaccine coverage'!H146</f>
        <v>-</v>
      </c>
      <c r="I187" s="119">
        <f>'Vaccine coverage'!I146</f>
        <v>0.4523656027</v>
      </c>
      <c r="J187" s="119">
        <f>'Vaccine coverage'!J146</f>
        <v>0.5681049406</v>
      </c>
      <c r="K187" s="119">
        <f>'Vaccine coverage'!K146</f>
        <v>0.4462527975</v>
      </c>
      <c r="L187" s="119">
        <f>'Vaccine coverage'!L146</f>
        <v>0.6486896469</v>
      </c>
      <c r="M187" s="119">
        <f>'Vaccine coverage'!M146</f>
        <v>0.4708392348</v>
      </c>
      <c r="N187" s="119">
        <f>'Vaccine coverage'!N146</f>
        <v>0.4277482077</v>
      </c>
      <c r="O187" s="119">
        <f>'Vaccine coverage'!O146</f>
        <v>0.4317137134</v>
      </c>
      <c r="P187" s="119">
        <f>'Vaccine coverage'!P146</f>
        <v>0.2504354618</v>
      </c>
      <c r="Q187" s="119">
        <f>'Vaccine coverage'!Q146</f>
        <v>0.3495826351</v>
      </c>
      <c r="R187" s="119">
        <f>'Vaccine coverage'!R146</f>
        <v>0.8897432901</v>
      </c>
      <c r="S187" s="119">
        <f>'Vaccine coverage'!S146</f>
        <v>0.7564374042</v>
      </c>
      <c r="T187" s="119">
        <f>'Vaccine coverage'!T146</f>
        <v>0.8416491128</v>
      </c>
      <c r="U187" s="119">
        <f>'Vaccine coverage'!U146</f>
        <v>0.8662220902</v>
      </c>
      <c r="V187" s="119">
        <f>'Vaccine coverage'!V146</f>
        <v>0.7253869145</v>
      </c>
      <c r="W187" s="119">
        <f>'Vaccine coverage'!W146</f>
        <v>0.7419117799</v>
      </c>
      <c r="X187" s="119">
        <f>'Vaccine coverage'!X146</f>
        <v>0.7284897536</v>
      </c>
      <c r="Y187" s="119">
        <f>'Vaccine coverage'!Y146</f>
        <v>0.9082747996</v>
      </c>
      <c r="Z187" s="119">
        <f>'Vaccine coverage'!Z146</f>
        <v>0.8236155629</v>
      </c>
      <c r="AA187" s="119">
        <f>'Vaccine coverage'!AA146</f>
        <v>0.9107396966</v>
      </c>
      <c r="AB187" s="119">
        <f>'Vaccine coverage'!AB146</f>
        <v>0.9468821716</v>
      </c>
      <c r="AC187" s="119">
        <f>'Vaccine coverage'!AC146</f>
        <v>0.9292907229</v>
      </c>
      <c r="AD187" s="119">
        <f>'Vaccine coverage'!AD146</f>
        <v>0.9633801173</v>
      </c>
      <c r="AE187" s="119">
        <f>'Vaccine coverage'!AE146</f>
        <v>0.91527921</v>
      </c>
      <c r="AF187" s="119">
        <f>'Vaccine coverage'!AF146</f>
        <v>0.9533832385</v>
      </c>
      <c r="AG187" s="119">
        <f>'Vaccine coverage'!AG146</f>
        <v>0.8295722338</v>
      </c>
      <c r="AH187" s="119">
        <f>'Vaccine coverage'!AH146</f>
        <v>0.723426034</v>
      </c>
      <c r="AI187" s="119">
        <f>'Vaccine coverage'!AI146</f>
        <v>0.9383455219</v>
      </c>
      <c r="AJ187" s="119">
        <f>'Vaccine coverage'!AJ146</f>
        <v>0.7163610542</v>
      </c>
      <c r="AK187" s="119">
        <f>'Vaccine coverage'!AK146</f>
        <v>0.5249392114</v>
      </c>
      <c r="AL187" s="119">
        <f>'Vaccine coverage'!AL146</f>
        <v>0.7630306711</v>
      </c>
      <c r="AM187" s="119">
        <f>'Vaccine coverage'!AM146</f>
        <v>0.792589974</v>
      </c>
      <c r="AN187" s="119">
        <f>'Vaccine coverage'!AN146</f>
        <v>0.9042648764</v>
      </c>
      <c r="AO187" s="119">
        <f>'Vaccine coverage'!AO146</f>
        <v>0.7995587158</v>
      </c>
      <c r="AP187" s="119">
        <f>'Vaccine coverage'!AP146</f>
        <v>0.8406323309</v>
      </c>
      <c r="AQ187" s="119">
        <f>'Vaccine coverage'!AQ146</f>
        <v>0.8631744365</v>
      </c>
      <c r="AR187" s="119">
        <f>'Vaccine coverage'!AR146</f>
        <v>0.554989071</v>
      </c>
      <c r="AS187" s="119">
        <f>'Vaccine coverage'!AS146</f>
        <v>0.4582058459</v>
      </c>
      <c r="AT187" s="136"/>
    </row>
    <row r="188">
      <c r="A188" s="80"/>
      <c r="B188" s="81"/>
      <c r="C188" s="81"/>
      <c r="D188" s="81"/>
      <c r="E188" s="470" t="s">
        <v>343</v>
      </c>
      <c r="F188" s="172" t="str">
        <f>'Vaccine coverage'!F147</f>
        <v>%</v>
      </c>
      <c r="G188" s="276" t="s">
        <v>131</v>
      </c>
      <c r="H188" s="274" t="str">
        <f>'Vaccine coverage'!H147</f>
        <v>-</v>
      </c>
      <c r="I188" s="149">
        <f>'Vaccine coverage'!I147</f>
        <v>0.3340233142</v>
      </c>
      <c r="J188" s="149">
        <f>'Vaccine coverage'!J147</f>
        <v>0.4261841469</v>
      </c>
      <c r="K188" s="149">
        <f>'Vaccine coverage'!K147</f>
        <v>0.3499142783</v>
      </c>
      <c r="L188" s="149">
        <f>'Vaccine coverage'!L147</f>
        <v>0.5215965535</v>
      </c>
      <c r="M188" s="149">
        <f>'Vaccine coverage'!M147</f>
        <v>0.3613988888</v>
      </c>
      <c r="N188" s="149">
        <f>'Vaccine coverage'!N147</f>
        <v>0.3478197579</v>
      </c>
      <c r="O188" s="149">
        <f>'Vaccine coverage'!O147</f>
        <v>0.3798111186</v>
      </c>
      <c r="P188" s="149">
        <f>'Vaccine coverage'!P147</f>
        <v>0.1391744003</v>
      </c>
      <c r="Q188" s="149">
        <f>'Vaccine coverage'!Q147</f>
        <v>0.2449194087</v>
      </c>
      <c r="R188" s="149">
        <f>'Vaccine coverage'!R147</f>
        <v>0.7887087723</v>
      </c>
      <c r="S188" s="149">
        <f>'Vaccine coverage'!S147</f>
        <v>0.5987988135</v>
      </c>
      <c r="T188" s="149">
        <f>'Vaccine coverage'!T147</f>
        <v>0.7916612058</v>
      </c>
      <c r="U188" s="149">
        <f>'Vaccine coverage'!U147</f>
        <v>0.8121732891</v>
      </c>
      <c r="V188" s="149">
        <f>'Vaccine coverage'!V147</f>
        <v>0.6476513683</v>
      </c>
      <c r="W188" s="149">
        <f>'Vaccine coverage'!W147</f>
        <v>0.690843235</v>
      </c>
      <c r="X188" s="149">
        <f>'Vaccine coverage'!X147</f>
        <v>0.569280605</v>
      </c>
      <c r="Y188" s="149">
        <f>'Vaccine coverage'!Y147</f>
        <v>0.8468544726</v>
      </c>
      <c r="Z188" s="149">
        <f>'Vaccine coverage'!Z147</f>
        <v>0.721966537</v>
      </c>
      <c r="AA188" s="149">
        <f>'Vaccine coverage'!AA147</f>
        <v>0.845318832</v>
      </c>
      <c r="AB188" s="149">
        <f>'Vaccine coverage'!AB147</f>
        <v>0.8832011397</v>
      </c>
      <c r="AC188" s="149">
        <f>'Vaccine coverage'!AC147</f>
        <v>0.8778168785</v>
      </c>
      <c r="AD188" s="149">
        <f>'Vaccine coverage'!AD147</f>
        <v>0.8870192092</v>
      </c>
      <c r="AE188" s="149">
        <f>'Vaccine coverage'!AE147</f>
        <v>0.8236130701</v>
      </c>
      <c r="AF188" s="149">
        <f>'Vaccine coverage'!AF147</f>
        <v>0.8511490387</v>
      </c>
      <c r="AG188" s="149">
        <f>'Vaccine coverage'!AG147</f>
        <v>0.6487208373</v>
      </c>
      <c r="AH188" s="149">
        <f>'Vaccine coverage'!AH147</f>
        <v>0.6381315946</v>
      </c>
      <c r="AI188" s="149">
        <f>'Vaccine coverage'!AI147</f>
        <v>0.8928774769</v>
      </c>
      <c r="AJ188" s="149">
        <f>'Vaccine coverage'!AJ147</f>
        <v>0.5708893052</v>
      </c>
      <c r="AK188" s="149">
        <f>'Vaccine coverage'!AK147</f>
        <v>0.4234880625</v>
      </c>
      <c r="AL188" s="149">
        <f>'Vaccine coverage'!AL147</f>
        <v>0.6105395375</v>
      </c>
      <c r="AM188" s="149">
        <f>'Vaccine coverage'!AM147</f>
        <v>0.7118645505</v>
      </c>
      <c r="AN188" s="149">
        <f>'Vaccine coverage'!AN147</f>
        <v>0.800870903</v>
      </c>
      <c r="AO188" s="149">
        <f>'Vaccine coverage'!AO147</f>
        <v>0.6650543002</v>
      </c>
      <c r="AP188" s="149">
        <f>'Vaccine coverage'!AP147</f>
        <v>0.6901790628</v>
      </c>
      <c r="AQ188" s="149">
        <f>'Vaccine coverage'!AQ147</f>
        <v>0.8136402117</v>
      </c>
      <c r="AR188" s="149">
        <f>'Vaccine coverage'!AR147</f>
        <v>0.4576900266</v>
      </c>
      <c r="AS188" s="149">
        <f>'Vaccine coverage'!AS147</f>
        <v>0.4237402253</v>
      </c>
      <c r="AT188" s="163"/>
    </row>
    <row r="189">
      <c r="A189" s="80"/>
      <c r="B189" s="81"/>
      <c r="C189" s="81"/>
      <c r="D189" s="81"/>
      <c r="E189" s="477" t="s">
        <v>347</v>
      </c>
      <c r="F189" s="478" t="s">
        <v>122</v>
      </c>
      <c r="G189" s="479" t="s">
        <v>149</v>
      </c>
      <c r="H189" s="480" t="s">
        <v>150</v>
      </c>
      <c r="I189" s="481">
        <v>0.33402331418746</v>
      </c>
      <c r="J189" s="481">
        <v>0.426184146927</v>
      </c>
      <c r="K189" s="481">
        <v>0.34991427829114</v>
      </c>
      <c r="L189" s="481">
        <v>0.5215965535376801</v>
      </c>
      <c r="M189" s="481">
        <v>0.3613988887918</v>
      </c>
      <c r="N189" s="481">
        <v>0.34781975786258</v>
      </c>
      <c r="O189" s="481">
        <v>0.37981111856394</v>
      </c>
      <c r="P189" s="481">
        <v>0.13917440034176</v>
      </c>
      <c r="Q189" s="481">
        <v>0.24491940871264</v>
      </c>
      <c r="R189" s="481">
        <v>0.78870877232868</v>
      </c>
      <c r="S189" s="481">
        <v>0.5987988135486599</v>
      </c>
      <c r="T189" s="481">
        <v>0.79166120580072</v>
      </c>
      <c r="U189" s="481">
        <v>0.81217328908666</v>
      </c>
      <c r="V189" s="481">
        <v>0.64765136834698</v>
      </c>
      <c r="W189" s="481">
        <v>0.69084323504828</v>
      </c>
      <c r="X189" s="481">
        <v>0.56928060504092</v>
      </c>
      <c r="Y189" s="481">
        <v>0.84685447264388</v>
      </c>
      <c r="Z189" s="481">
        <v>0.7219665369662001</v>
      </c>
      <c r="AA189" s="481">
        <v>0.8453188320493801</v>
      </c>
      <c r="AB189" s="481">
        <v>0.88320113971566</v>
      </c>
      <c r="AC189" s="481">
        <v>0.87781687852424</v>
      </c>
      <c r="AD189" s="481">
        <v>0.8870192091985</v>
      </c>
      <c r="AE189" s="481">
        <v>0.8236130700708401</v>
      </c>
      <c r="AF189" s="481">
        <v>0.8511490387093199</v>
      </c>
      <c r="AG189" s="481">
        <v>0.6487208373104599</v>
      </c>
      <c r="AH189" s="481">
        <v>0.63813159462122</v>
      </c>
      <c r="AI189" s="481">
        <v>0.89287747690064</v>
      </c>
      <c r="AJ189" s="481">
        <v>0.5708893052012599</v>
      </c>
      <c r="AK189" s="481">
        <v>0.42348806250094</v>
      </c>
      <c r="AL189" s="481">
        <v>0.61053953754796</v>
      </c>
      <c r="AM189" s="481">
        <v>0.7118645505153199</v>
      </c>
      <c r="AN189" s="481">
        <v>0.8008709030008802</v>
      </c>
      <c r="AO189" s="481">
        <v>0.66505430015796</v>
      </c>
      <c r="AP189" s="481">
        <v>0.6901790628123601</v>
      </c>
      <c r="AQ189" s="481">
        <v>0.8136402116753599</v>
      </c>
      <c r="AR189" s="481">
        <v>0.45769002659722</v>
      </c>
      <c r="AS189" s="481">
        <v>0.42374022528963995</v>
      </c>
      <c r="AT189" s="163"/>
    </row>
    <row r="190">
      <c r="A190" s="80"/>
      <c r="B190" s="81"/>
      <c r="C190" s="81"/>
      <c r="D190" s="81"/>
      <c r="E190" s="470" t="s">
        <v>350</v>
      </c>
      <c r="F190" s="172" t="str">
        <f>'Vaccine coverage'!F149</f>
        <v>%</v>
      </c>
      <c r="G190" s="276" t="s">
        <v>131</v>
      </c>
      <c r="H190" s="274" t="str">
        <f>'Vaccine coverage'!H149</f>
        <v>-</v>
      </c>
      <c r="I190" s="149">
        <f>'Vaccine coverage'!I149</f>
        <v>0.3343437483</v>
      </c>
      <c r="J190" s="149">
        <f>'Vaccine coverage'!J149</f>
        <v>0.4227338176</v>
      </c>
      <c r="K190" s="149">
        <f>'Vaccine coverage'!K149</f>
        <v>0.3519235308</v>
      </c>
      <c r="L190" s="149">
        <f>'Vaccine coverage'!L149</f>
        <v>0.5343202257</v>
      </c>
      <c r="M190" s="149">
        <f>'Vaccine coverage'!M149</f>
        <v>0.3647018976</v>
      </c>
      <c r="N190" s="149">
        <f>'Vaccine coverage'!N149</f>
        <v>0.333203247</v>
      </c>
      <c r="O190" s="149">
        <f>'Vaccine coverage'!O149</f>
        <v>0.3798021137</v>
      </c>
      <c r="P190" s="149">
        <f>'Vaccine coverage'!P149</f>
        <v>0.112932559</v>
      </c>
      <c r="Q190" s="149">
        <f>'Vaccine coverage'!Q149</f>
        <v>0.2560958376</v>
      </c>
      <c r="R190" s="149">
        <f>'Vaccine coverage'!R149</f>
        <v>0.7924239994</v>
      </c>
      <c r="S190" s="149">
        <f>'Vaccine coverage'!S149</f>
        <v>0.6034024596</v>
      </c>
      <c r="T190" s="149">
        <f>'Vaccine coverage'!T149</f>
        <v>0.7837314125</v>
      </c>
      <c r="U190" s="149">
        <f>'Vaccine coverage'!U149</f>
        <v>0.806899662</v>
      </c>
      <c r="V190" s="149">
        <f>'Vaccine coverage'!V149</f>
        <v>0.6509992202</v>
      </c>
      <c r="W190" s="149">
        <f>'Vaccine coverage'!W149</f>
        <v>0.6635960477</v>
      </c>
      <c r="X190" s="149">
        <f>'Vaccine coverage'!X149</f>
        <v>0.5135087231</v>
      </c>
      <c r="Y190" s="149">
        <f>'Vaccine coverage'!Y149</f>
        <v>0.8635450183</v>
      </c>
      <c r="Z190" s="149">
        <f>'Vaccine coverage'!Z149</f>
        <v>0.7092341878</v>
      </c>
      <c r="AA190" s="149">
        <f>'Vaccine coverage'!AA149</f>
        <v>0.841314004</v>
      </c>
      <c r="AB190" s="149">
        <f>'Vaccine coverage'!AB149</f>
        <v>0.8571335158</v>
      </c>
      <c r="AC190" s="149">
        <f>'Vaccine coverage'!AC149</f>
        <v>0.8516124489</v>
      </c>
      <c r="AD190" s="149">
        <f>'Vaccine coverage'!AD149</f>
        <v>0.9114240837</v>
      </c>
      <c r="AE190" s="149">
        <f>'Vaccine coverage'!AE149</f>
        <v>0.8267944987</v>
      </c>
      <c r="AF190" s="149">
        <f>'Vaccine coverage'!AF149</f>
        <v>0.8652298901</v>
      </c>
      <c r="AG190" s="149">
        <f>'Vaccine coverage'!AG149</f>
        <v>0.6559249818</v>
      </c>
      <c r="AH190" s="149">
        <f>'Vaccine coverage'!AH149</f>
        <v>0.6080788493</v>
      </c>
      <c r="AI190" s="149">
        <f>'Vaccine coverage'!AI149</f>
        <v>0.8846556586</v>
      </c>
      <c r="AJ190" s="149">
        <f>'Vaccine coverage'!AJ149</f>
        <v>0.5712584473</v>
      </c>
      <c r="AK190" s="149">
        <f>'Vaccine coverage'!AK149</f>
        <v>0.404828162</v>
      </c>
      <c r="AL190" s="149">
        <f>'Vaccine coverage'!AL149</f>
        <v>0.6073017263</v>
      </c>
      <c r="AM190" s="149">
        <f>'Vaccine coverage'!AM149</f>
        <v>0.6988536335</v>
      </c>
      <c r="AN190" s="149">
        <f>'Vaccine coverage'!AN149</f>
        <v>0.7725756131</v>
      </c>
      <c r="AO190" s="149">
        <f>'Vaccine coverage'!AO149</f>
        <v>0.6441085445</v>
      </c>
      <c r="AP190" s="149">
        <f>'Vaccine coverage'!AP149</f>
        <v>0.65380487</v>
      </c>
      <c r="AQ190" s="149">
        <f>'Vaccine coverage'!AQ149</f>
        <v>0.8059927554</v>
      </c>
      <c r="AR190" s="149">
        <f>'Vaccine coverage'!AR149</f>
        <v>0.4558909192</v>
      </c>
      <c r="AS190" s="149">
        <f>'Vaccine coverage'!AS149</f>
        <v>0.4112602864</v>
      </c>
      <c r="AT190" s="163"/>
    </row>
    <row r="191">
      <c r="A191" s="80"/>
      <c r="B191" s="81"/>
      <c r="C191" s="81"/>
      <c r="D191" s="81"/>
      <c r="E191" s="470" t="s">
        <v>359</v>
      </c>
      <c r="F191" s="172" t="str">
        <f>'Vaccine coverage'!F150</f>
        <v>%</v>
      </c>
      <c r="G191" s="276" t="s">
        <v>131</v>
      </c>
      <c r="H191" s="274" t="str">
        <f>'Vaccine coverage'!H150</f>
        <v>-</v>
      </c>
      <c r="I191" s="149">
        <f>'Vaccine coverage'!I150</f>
        <v>0</v>
      </c>
      <c r="J191" s="149">
        <f>'Vaccine coverage'!J150</f>
        <v>0</v>
      </c>
      <c r="K191" s="149">
        <f>'Vaccine coverage'!K150</f>
        <v>0</v>
      </c>
      <c r="L191" s="149">
        <f>'Vaccine coverage'!L150</f>
        <v>0</v>
      </c>
      <c r="M191" s="149">
        <f>'Vaccine coverage'!M150</f>
        <v>0</v>
      </c>
      <c r="N191" s="149">
        <f>'Vaccine coverage'!N150</f>
        <v>0</v>
      </c>
      <c r="O191" s="149">
        <f>'Vaccine coverage'!O150</f>
        <v>0</v>
      </c>
      <c r="P191" s="149">
        <f>'Vaccine coverage'!P150</f>
        <v>0</v>
      </c>
      <c r="Q191" s="149">
        <f>'Vaccine coverage'!Q150</f>
        <v>0</v>
      </c>
      <c r="R191" s="149">
        <f>'Vaccine coverage'!R150</f>
        <v>0</v>
      </c>
      <c r="S191" s="149">
        <f>'Vaccine coverage'!S150</f>
        <v>0</v>
      </c>
      <c r="T191" s="149">
        <f>'Vaccine coverage'!T150</f>
        <v>0</v>
      </c>
      <c r="U191" s="149">
        <f>'Vaccine coverage'!U150</f>
        <v>0</v>
      </c>
      <c r="V191" s="149">
        <f>'Vaccine coverage'!V150</f>
        <v>0</v>
      </c>
      <c r="W191" s="149">
        <f>'Vaccine coverage'!W150</f>
        <v>0</v>
      </c>
      <c r="X191" s="149">
        <f>'Vaccine coverage'!X150</f>
        <v>0</v>
      </c>
      <c r="Y191" s="149">
        <f>'Vaccine coverage'!Y150</f>
        <v>0</v>
      </c>
      <c r="Z191" s="149">
        <f>'Vaccine coverage'!Z150</f>
        <v>0</v>
      </c>
      <c r="AA191" s="149">
        <f>'Vaccine coverage'!AA150</f>
        <v>0</v>
      </c>
      <c r="AB191" s="149">
        <f>'Vaccine coverage'!AB150</f>
        <v>0</v>
      </c>
      <c r="AC191" s="149">
        <f>'Vaccine coverage'!AC150</f>
        <v>0</v>
      </c>
      <c r="AD191" s="149">
        <f>'Vaccine coverage'!AD150</f>
        <v>0</v>
      </c>
      <c r="AE191" s="149">
        <f>'Vaccine coverage'!AE150</f>
        <v>0</v>
      </c>
      <c r="AF191" s="149">
        <f>'Vaccine coverage'!AF150</f>
        <v>0</v>
      </c>
      <c r="AG191" s="149">
        <f>'Vaccine coverage'!AG150</f>
        <v>0</v>
      </c>
      <c r="AH191" s="149">
        <f>'Vaccine coverage'!AH150</f>
        <v>0</v>
      </c>
      <c r="AI191" s="149">
        <f>'Vaccine coverage'!AI150</f>
        <v>0</v>
      </c>
      <c r="AJ191" s="149">
        <f>'Vaccine coverage'!AJ150</f>
        <v>0</v>
      </c>
      <c r="AK191" s="149">
        <f>'Vaccine coverage'!AK150</f>
        <v>0</v>
      </c>
      <c r="AL191" s="149">
        <f>'Vaccine coverage'!AL150</f>
        <v>0</v>
      </c>
      <c r="AM191" s="149">
        <f>'Vaccine coverage'!AM150</f>
        <v>0</v>
      </c>
      <c r="AN191" s="149">
        <f>'Vaccine coverage'!AN150</f>
        <v>0</v>
      </c>
      <c r="AO191" s="149">
        <f>'Vaccine coverage'!AO150</f>
        <v>0</v>
      </c>
      <c r="AP191" s="149">
        <f>'Vaccine coverage'!AP150</f>
        <v>0</v>
      </c>
      <c r="AQ191" s="149">
        <f>'Vaccine coverage'!AQ150</f>
        <v>0</v>
      </c>
      <c r="AR191" s="149">
        <f>'Vaccine coverage'!AR150</f>
        <v>0</v>
      </c>
      <c r="AS191" s="149">
        <f>'Vaccine coverage'!AS150</f>
        <v>0</v>
      </c>
      <c r="AT191" s="163"/>
    </row>
    <row r="192">
      <c r="A192" s="80"/>
      <c r="B192" s="81"/>
      <c r="C192" s="81"/>
      <c r="D192" s="81"/>
      <c r="E192" s="494" t="s">
        <v>363</v>
      </c>
      <c r="F192" s="231" t="str">
        <f>'Vaccine coverage'!F151</f>
        <v>%</v>
      </c>
      <c r="G192" s="291" t="s">
        <v>131</v>
      </c>
      <c r="H192" s="306" t="str">
        <f>'Vaccine coverage'!H151</f>
        <v>-</v>
      </c>
      <c r="I192" s="240">
        <f>'Vaccine coverage'!I151</f>
        <v>0.2654947142</v>
      </c>
      <c r="J192" s="240">
        <f>'Vaccine coverage'!J151</f>
        <v>0.3461682554</v>
      </c>
      <c r="K192" s="240">
        <f>'Vaccine coverage'!K151</f>
        <v>0.3320019543</v>
      </c>
      <c r="L192" s="240">
        <f>'Vaccine coverage'!L151</f>
        <v>0.4999402847</v>
      </c>
      <c r="M192" s="240">
        <f>'Vaccine coverage'!M151</f>
        <v>0.3235830783</v>
      </c>
      <c r="N192" s="240">
        <f>'Vaccine coverage'!N151</f>
        <v>0.3245641915</v>
      </c>
      <c r="O192" s="240">
        <f>'Vaccine coverage'!O151</f>
        <v>0.4442495184</v>
      </c>
      <c r="P192" s="240">
        <f>'Vaccine coverage'!P151</f>
        <v>0.1447542448</v>
      </c>
      <c r="Q192" s="240">
        <f>'Vaccine coverage'!Q151</f>
        <v>0.3115142752</v>
      </c>
      <c r="R192" s="240">
        <f>'Vaccine coverage'!R151</f>
        <v>0.7279204568</v>
      </c>
      <c r="S192" s="240">
        <f>'Vaccine coverage'!S151</f>
        <v>0.5515457526</v>
      </c>
      <c r="T192" s="240">
        <f>'Vaccine coverage'!T151</f>
        <v>0.6798128197</v>
      </c>
      <c r="U192" s="240">
        <f>'Vaccine coverage'!U151</f>
        <v>0.7119305656</v>
      </c>
      <c r="V192" s="240">
        <f>'Vaccine coverage'!V151</f>
        <v>0.5911160671</v>
      </c>
      <c r="W192" s="240">
        <f>'Vaccine coverage'!W151</f>
        <v>0.609152982</v>
      </c>
      <c r="X192" s="240">
        <f>'Vaccine coverage'!X151</f>
        <v>0.4850216877</v>
      </c>
      <c r="Y192" s="240">
        <f>'Vaccine coverage'!Y151</f>
        <v>0.7679947878</v>
      </c>
      <c r="Z192" s="240">
        <f>'Vaccine coverage'!Z151</f>
        <v>0.685820638</v>
      </c>
      <c r="AA192" s="240">
        <f>'Vaccine coverage'!AA151</f>
        <v>0.7508642841</v>
      </c>
      <c r="AB192" s="240">
        <f>'Vaccine coverage'!AB151</f>
        <v>0.8311603314</v>
      </c>
      <c r="AC192" s="240">
        <f>'Vaccine coverage'!AC151</f>
        <v>0.8746766348</v>
      </c>
      <c r="AD192" s="240">
        <f>'Vaccine coverage'!AD151</f>
        <v>0.8055941269</v>
      </c>
      <c r="AE192" s="240">
        <f>'Vaccine coverage'!AE151</f>
        <v>0.8305937266</v>
      </c>
      <c r="AF192" s="240">
        <f>'Vaccine coverage'!AF151</f>
        <v>0.7509786928</v>
      </c>
      <c r="AG192" s="240">
        <f>'Vaccine coverage'!AG151</f>
        <v>0.687831993</v>
      </c>
      <c r="AH192" s="240">
        <f>'Vaccine coverage'!AH151</f>
        <v>0.6568043851</v>
      </c>
      <c r="AI192" s="240">
        <f>'Vaccine coverage'!AI151</f>
        <v>0.8732278466</v>
      </c>
      <c r="AJ192" s="240">
        <f>'Vaccine coverage'!AJ151</f>
        <v>0.5325270515</v>
      </c>
      <c r="AK192" s="240">
        <f>'Vaccine coverage'!AK151</f>
        <v>0.4297689847</v>
      </c>
      <c r="AL192" s="240">
        <f>'Vaccine coverage'!AL151</f>
        <v>0.5746423492</v>
      </c>
      <c r="AM192" s="240">
        <f>'Vaccine coverage'!AM151</f>
        <v>0.6923863122</v>
      </c>
      <c r="AN192" s="240">
        <f>'Vaccine coverage'!AN151</f>
        <v>0.7384112572</v>
      </c>
      <c r="AO192" s="240">
        <f>'Vaccine coverage'!AO151</f>
        <v>0.5721014039</v>
      </c>
      <c r="AP192" s="240">
        <f>'Vaccine coverage'!AP151</f>
        <v>0.679322936</v>
      </c>
      <c r="AQ192" s="240">
        <f>'Vaccine coverage'!AQ151</f>
        <v>0.7779876286</v>
      </c>
      <c r="AR192" s="240">
        <f>'Vaccine coverage'!AR151</f>
        <v>0.4738128593</v>
      </c>
      <c r="AS192" s="240">
        <f>'Vaccine coverage'!AS151</f>
        <v>0.430659244</v>
      </c>
      <c r="AT192" s="248"/>
    </row>
    <row r="193">
      <c r="A193" s="80"/>
      <c r="B193" s="81"/>
      <c r="C193" s="81"/>
      <c r="D193" s="81"/>
      <c r="E193" s="82"/>
      <c r="F193" s="83"/>
      <c r="G193" s="135"/>
      <c r="H193" s="85"/>
      <c r="I193" s="86"/>
      <c r="J193" s="86"/>
      <c r="K193" s="86"/>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c r="AQ193" s="86"/>
      <c r="AR193" s="86"/>
      <c r="AS193" s="86"/>
      <c r="AT193" s="88"/>
    </row>
    <row r="194">
      <c r="A194" s="80"/>
      <c r="B194" s="81"/>
      <c r="C194" s="90" t="s">
        <v>15</v>
      </c>
      <c r="F194" s="83"/>
      <c r="G194" s="135"/>
      <c r="H194" s="85"/>
      <c r="I194" s="86"/>
      <c r="J194" s="86"/>
      <c r="K194" s="86"/>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c r="AQ194" s="86"/>
      <c r="AR194" s="86"/>
      <c r="AS194" s="86"/>
      <c r="AT194" s="88"/>
    </row>
    <row r="195">
      <c r="A195" s="80"/>
      <c r="B195" s="81"/>
      <c r="C195" s="81"/>
      <c r="D195" s="81"/>
      <c r="E195" s="458" t="s">
        <v>263</v>
      </c>
      <c r="F195" s="151" t="str">
        <f>'Vaccine efficacy'!F49</f>
        <v>%</v>
      </c>
      <c r="G195" s="271" t="s">
        <v>131</v>
      </c>
      <c r="H195" s="156">
        <f>'Vaccine efficacy'!H49</f>
        <v>0.7226738</v>
      </c>
      <c r="I195" s="289" t="str">
        <f>'Vaccine efficacy'!I49</f>
        <v>-</v>
      </c>
      <c r="J195" s="289" t="str">
        <f>'Vaccine efficacy'!J49</f>
        <v>-</v>
      </c>
      <c r="K195" s="289" t="str">
        <f>'Vaccine efficacy'!K49</f>
        <v>-</v>
      </c>
      <c r="L195" s="289" t="str">
        <f>'Vaccine efficacy'!L49</f>
        <v>-</v>
      </c>
      <c r="M195" s="289" t="str">
        <f>'Vaccine efficacy'!M49</f>
        <v>-</v>
      </c>
      <c r="N195" s="289" t="str">
        <f>'Vaccine efficacy'!N49</f>
        <v>-</v>
      </c>
      <c r="O195" s="289" t="str">
        <f>'Vaccine efficacy'!O49</f>
        <v>-</v>
      </c>
      <c r="P195" s="289" t="str">
        <f>'Vaccine efficacy'!P49</f>
        <v>-</v>
      </c>
      <c r="Q195" s="289" t="str">
        <f>'Vaccine efficacy'!Q49</f>
        <v>-</v>
      </c>
      <c r="R195" s="289" t="str">
        <f>'Vaccine efficacy'!R49</f>
        <v>-</v>
      </c>
      <c r="S195" s="289" t="str">
        <f>'Vaccine efficacy'!S49</f>
        <v>-</v>
      </c>
      <c r="T195" s="289" t="str">
        <f>'Vaccine efficacy'!T49</f>
        <v>-</v>
      </c>
      <c r="U195" s="289" t="str">
        <f>'Vaccine efficacy'!U49</f>
        <v>-</v>
      </c>
      <c r="V195" s="289" t="str">
        <f>'Vaccine efficacy'!V49</f>
        <v>-</v>
      </c>
      <c r="W195" s="289" t="str">
        <f>'Vaccine efficacy'!W49</f>
        <v>-</v>
      </c>
      <c r="X195" s="289" t="str">
        <f>'Vaccine efficacy'!X49</f>
        <v>-</v>
      </c>
      <c r="Y195" s="289" t="str">
        <f>'Vaccine efficacy'!Y49</f>
        <v>-</v>
      </c>
      <c r="Z195" s="289" t="str">
        <f>'Vaccine efficacy'!Z49</f>
        <v>-</v>
      </c>
      <c r="AA195" s="289" t="str">
        <f>'Vaccine efficacy'!AA49</f>
        <v>-</v>
      </c>
      <c r="AB195" s="289" t="str">
        <f>'Vaccine efficacy'!AB49</f>
        <v>-</v>
      </c>
      <c r="AC195" s="289" t="str">
        <f>'Vaccine efficacy'!AC49</f>
        <v>-</v>
      </c>
      <c r="AD195" s="289" t="str">
        <f>'Vaccine efficacy'!AD49</f>
        <v>-</v>
      </c>
      <c r="AE195" s="289" t="str">
        <f>'Vaccine efficacy'!AE49</f>
        <v>-</v>
      </c>
      <c r="AF195" s="289" t="str">
        <f>'Vaccine efficacy'!AF49</f>
        <v>-</v>
      </c>
      <c r="AG195" s="289" t="str">
        <f>'Vaccine efficacy'!AG49</f>
        <v>-</v>
      </c>
      <c r="AH195" s="289" t="str">
        <f>'Vaccine efficacy'!AH49</f>
        <v>-</v>
      </c>
      <c r="AI195" s="289" t="str">
        <f>'Vaccine efficacy'!AI49</f>
        <v>-</v>
      </c>
      <c r="AJ195" s="289" t="str">
        <f>'Vaccine efficacy'!AJ49</f>
        <v>-</v>
      </c>
      <c r="AK195" s="289" t="str">
        <f>'Vaccine efficacy'!AK49</f>
        <v>-</v>
      </c>
      <c r="AL195" s="289" t="str">
        <f>'Vaccine efficacy'!AL49</f>
        <v>-</v>
      </c>
      <c r="AM195" s="289" t="str">
        <f>'Vaccine efficacy'!AM49</f>
        <v>-</v>
      </c>
      <c r="AN195" s="289" t="str">
        <f>'Vaccine efficacy'!AN49</f>
        <v>-</v>
      </c>
      <c r="AO195" s="289" t="str">
        <f>'Vaccine efficacy'!AO49</f>
        <v>-</v>
      </c>
      <c r="AP195" s="289" t="str">
        <f>'Vaccine efficacy'!AP49</f>
        <v>-</v>
      </c>
      <c r="AQ195" s="289" t="str">
        <f>'Vaccine efficacy'!AQ49</f>
        <v>-</v>
      </c>
      <c r="AR195" s="289" t="str">
        <f>'Vaccine efficacy'!AR49</f>
        <v>-</v>
      </c>
      <c r="AS195" s="289" t="str">
        <f>'Vaccine efficacy'!AS49</f>
        <v>-</v>
      </c>
      <c r="AT195" s="136"/>
    </row>
    <row r="196">
      <c r="A196" s="80"/>
      <c r="B196" s="81"/>
      <c r="C196" s="81"/>
      <c r="D196" s="81"/>
      <c r="E196" s="470" t="s">
        <v>266</v>
      </c>
      <c r="F196" s="172" t="str">
        <f>'Vaccine efficacy'!F50</f>
        <v>%</v>
      </c>
      <c r="G196" s="276" t="s">
        <v>131</v>
      </c>
      <c r="H196" s="176">
        <f>'Vaccine efficacy'!H50</f>
        <v>0.7141717553</v>
      </c>
      <c r="I196" s="310" t="str">
        <f>'Vaccine efficacy'!I50</f>
        <v>-</v>
      </c>
      <c r="J196" s="310" t="str">
        <f>'Vaccine efficacy'!J50</f>
        <v>-</v>
      </c>
      <c r="K196" s="310" t="str">
        <f>'Vaccine efficacy'!K50</f>
        <v>-</v>
      </c>
      <c r="L196" s="310" t="str">
        <f>'Vaccine efficacy'!L50</f>
        <v>-</v>
      </c>
      <c r="M196" s="310" t="str">
        <f>'Vaccine efficacy'!M50</f>
        <v>-</v>
      </c>
      <c r="N196" s="310" t="str">
        <f>'Vaccine efficacy'!N50</f>
        <v>-</v>
      </c>
      <c r="O196" s="310" t="str">
        <f>'Vaccine efficacy'!O50</f>
        <v>-</v>
      </c>
      <c r="P196" s="310" t="str">
        <f>'Vaccine efficacy'!P50</f>
        <v>-</v>
      </c>
      <c r="Q196" s="310" t="str">
        <f>'Vaccine efficacy'!Q50</f>
        <v>-</v>
      </c>
      <c r="R196" s="310" t="str">
        <f>'Vaccine efficacy'!R50</f>
        <v>-</v>
      </c>
      <c r="S196" s="310" t="str">
        <f>'Vaccine efficacy'!S50</f>
        <v>-</v>
      </c>
      <c r="T196" s="310" t="str">
        <f>'Vaccine efficacy'!T50</f>
        <v>-</v>
      </c>
      <c r="U196" s="310" t="str">
        <f>'Vaccine efficacy'!U50</f>
        <v>-</v>
      </c>
      <c r="V196" s="310" t="str">
        <f>'Vaccine efficacy'!V50</f>
        <v>-</v>
      </c>
      <c r="W196" s="310" t="str">
        <f>'Vaccine efficacy'!W50</f>
        <v>-</v>
      </c>
      <c r="X196" s="310" t="str">
        <f>'Vaccine efficacy'!X50</f>
        <v>-</v>
      </c>
      <c r="Y196" s="310" t="str">
        <f>'Vaccine efficacy'!Y50</f>
        <v>-</v>
      </c>
      <c r="Z196" s="310" t="str">
        <f>'Vaccine efficacy'!Z50</f>
        <v>-</v>
      </c>
      <c r="AA196" s="310" t="str">
        <f>'Vaccine efficacy'!AA50</f>
        <v>-</v>
      </c>
      <c r="AB196" s="310" t="str">
        <f>'Vaccine efficacy'!AB50</f>
        <v>-</v>
      </c>
      <c r="AC196" s="310" t="str">
        <f>'Vaccine efficacy'!AC50</f>
        <v>-</v>
      </c>
      <c r="AD196" s="310" t="str">
        <f>'Vaccine efficacy'!AD50</f>
        <v>-</v>
      </c>
      <c r="AE196" s="310" t="str">
        <f>'Vaccine efficacy'!AE50</f>
        <v>-</v>
      </c>
      <c r="AF196" s="310" t="str">
        <f>'Vaccine efficacy'!AF50</f>
        <v>-</v>
      </c>
      <c r="AG196" s="310" t="str">
        <f>'Vaccine efficacy'!AG50</f>
        <v>-</v>
      </c>
      <c r="AH196" s="310" t="str">
        <f>'Vaccine efficacy'!AH50</f>
        <v>-</v>
      </c>
      <c r="AI196" s="310" t="str">
        <f>'Vaccine efficacy'!AI50</f>
        <v>-</v>
      </c>
      <c r="AJ196" s="310" t="str">
        <f>'Vaccine efficacy'!AJ50</f>
        <v>-</v>
      </c>
      <c r="AK196" s="310" t="str">
        <f>'Vaccine efficacy'!AK50</f>
        <v>-</v>
      </c>
      <c r="AL196" s="310" t="str">
        <f>'Vaccine efficacy'!AL50</f>
        <v>-</v>
      </c>
      <c r="AM196" s="310" t="str">
        <f>'Vaccine efficacy'!AM50</f>
        <v>-</v>
      </c>
      <c r="AN196" s="310" t="str">
        <f>'Vaccine efficacy'!AN50</f>
        <v>-</v>
      </c>
      <c r="AO196" s="310" t="str">
        <f>'Vaccine efficacy'!AO50</f>
        <v>-</v>
      </c>
      <c r="AP196" s="310" t="str">
        <f>'Vaccine efficacy'!AP50</f>
        <v>-</v>
      </c>
      <c r="AQ196" s="310" t="str">
        <f>'Vaccine efficacy'!AQ50</f>
        <v>-</v>
      </c>
      <c r="AR196" s="310" t="str">
        <f>'Vaccine efficacy'!AR50</f>
        <v>-</v>
      </c>
      <c r="AS196" s="310" t="str">
        <f>'Vaccine efficacy'!AS50</f>
        <v>-</v>
      </c>
      <c r="AT196" s="163"/>
    </row>
    <row r="197">
      <c r="A197" s="80"/>
      <c r="B197" s="81"/>
      <c r="C197" s="81"/>
      <c r="D197" s="81"/>
      <c r="E197" s="470" t="s">
        <v>269</v>
      </c>
      <c r="F197" s="172" t="str">
        <f>'Vaccine efficacy'!F51</f>
        <v>%</v>
      </c>
      <c r="G197" s="276" t="s">
        <v>131</v>
      </c>
      <c r="H197" s="176">
        <f>'Vaccine efficacy'!H51</f>
        <v>0.6971676659</v>
      </c>
      <c r="I197" s="310" t="str">
        <f>'Vaccine efficacy'!I51</f>
        <v>-</v>
      </c>
      <c r="J197" s="310" t="str">
        <f>'Vaccine efficacy'!J51</f>
        <v>-</v>
      </c>
      <c r="K197" s="310" t="str">
        <f>'Vaccine efficacy'!K51</f>
        <v>-</v>
      </c>
      <c r="L197" s="310" t="str">
        <f>'Vaccine efficacy'!L51</f>
        <v>-</v>
      </c>
      <c r="M197" s="310" t="str">
        <f>'Vaccine efficacy'!M51</f>
        <v>-</v>
      </c>
      <c r="N197" s="310" t="str">
        <f>'Vaccine efficacy'!N51</f>
        <v>-</v>
      </c>
      <c r="O197" s="310" t="str">
        <f>'Vaccine efficacy'!O51</f>
        <v>-</v>
      </c>
      <c r="P197" s="310" t="str">
        <f>'Vaccine efficacy'!P51</f>
        <v>-</v>
      </c>
      <c r="Q197" s="310" t="str">
        <f>'Vaccine efficacy'!Q51</f>
        <v>-</v>
      </c>
      <c r="R197" s="310" t="str">
        <f>'Vaccine efficacy'!R51</f>
        <v>-</v>
      </c>
      <c r="S197" s="310" t="str">
        <f>'Vaccine efficacy'!S51</f>
        <v>-</v>
      </c>
      <c r="T197" s="310" t="str">
        <f>'Vaccine efficacy'!T51</f>
        <v>-</v>
      </c>
      <c r="U197" s="310" t="str">
        <f>'Vaccine efficacy'!U51</f>
        <v>-</v>
      </c>
      <c r="V197" s="310" t="str">
        <f>'Vaccine efficacy'!V51</f>
        <v>-</v>
      </c>
      <c r="W197" s="310" t="str">
        <f>'Vaccine efficacy'!W51</f>
        <v>-</v>
      </c>
      <c r="X197" s="310" t="str">
        <f>'Vaccine efficacy'!X51</f>
        <v>-</v>
      </c>
      <c r="Y197" s="310" t="str">
        <f>'Vaccine efficacy'!Y51</f>
        <v>-</v>
      </c>
      <c r="Z197" s="310" t="str">
        <f>'Vaccine efficacy'!Z51</f>
        <v>-</v>
      </c>
      <c r="AA197" s="310" t="str">
        <f>'Vaccine efficacy'!AA51</f>
        <v>-</v>
      </c>
      <c r="AB197" s="310" t="str">
        <f>'Vaccine efficacy'!AB51</f>
        <v>-</v>
      </c>
      <c r="AC197" s="310" t="str">
        <f>'Vaccine efficacy'!AC51</f>
        <v>-</v>
      </c>
      <c r="AD197" s="310" t="str">
        <f>'Vaccine efficacy'!AD51</f>
        <v>-</v>
      </c>
      <c r="AE197" s="310" t="str">
        <f>'Vaccine efficacy'!AE51</f>
        <v>-</v>
      </c>
      <c r="AF197" s="310" t="str">
        <f>'Vaccine efficacy'!AF51</f>
        <v>-</v>
      </c>
      <c r="AG197" s="310" t="str">
        <f>'Vaccine efficacy'!AG51</f>
        <v>-</v>
      </c>
      <c r="AH197" s="310" t="str">
        <f>'Vaccine efficacy'!AH51</f>
        <v>-</v>
      </c>
      <c r="AI197" s="310" t="str">
        <f>'Vaccine efficacy'!AI51</f>
        <v>-</v>
      </c>
      <c r="AJ197" s="310" t="str">
        <f>'Vaccine efficacy'!AJ51</f>
        <v>-</v>
      </c>
      <c r="AK197" s="310" t="str">
        <f>'Vaccine efficacy'!AK51</f>
        <v>-</v>
      </c>
      <c r="AL197" s="310" t="str">
        <f>'Vaccine efficacy'!AL51</f>
        <v>-</v>
      </c>
      <c r="AM197" s="310" t="str">
        <f>'Vaccine efficacy'!AM51</f>
        <v>-</v>
      </c>
      <c r="AN197" s="310" t="str">
        <f>'Vaccine efficacy'!AN51</f>
        <v>-</v>
      </c>
      <c r="AO197" s="310" t="str">
        <f>'Vaccine efficacy'!AO51</f>
        <v>-</v>
      </c>
      <c r="AP197" s="310" t="str">
        <f>'Vaccine efficacy'!AP51</f>
        <v>-</v>
      </c>
      <c r="AQ197" s="310" t="str">
        <f>'Vaccine efficacy'!AQ51</f>
        <v>-</v>
      </c>
      <c r="AR197" s="310" t="str">
        <f>'Vaccine efficacy'!AR51</f>
        <v>-</v>
      </c>
      <c r="AS197" s="310" t="str">
        <f>'Vaccine efficacy'!AS51</f>
        <v>-</v>
      </c>
      <c r="AT197" s="163"/>
    </row>
    <row r="198">
      <c r="A198" s="80"/>
      <c r="B198" s="81"/>
      <c r="C198" s="81"/>
      <c r="D198" s="81"/>
      <c r="E198" s="470" t="s">
        <v>273</v>
      </c>
      <c r="F198" s="172" t="str">
        <f>'Vaccine efficacy'!F52</f>
        <v>%</v>
      </c>
      <c r="G198" s="276" t="s">
        <v>131</v>
      </c>
      <c r="H198" s="176">
        <f>'Vaccine efficacy'!H52</f>
        <v>0.4931185929</v>
      </c>
      <c r="I198" s="310" t="str">
        <f>'Vaccine efficacy'!I52</f>
        <v>-</v>
      </c>
      <c r="J198" s="310" t="str">
        <f>'Vaccine efficacy'!J52</f>
        <v>-</v>
      </c>
      <c r="K198" s="310" t="str">
        <f>'Vaccine efficacy'!K52</f>
        <v>-</v>
      </c>
      <c r="L198" s="310" t="str">
        <f>'Vaccine efficacy'!L52</f>
        <v>-</v>
      </c>
      <c r="M198" s="310" t="str">
        <f>'Vaccine efficacy'!M52</f>
        <v>-</v>
      </c>
      <c r="N198" s="310" t="str">
        <f>'Vaccine efficacy'!N52</f>
        <v>-</v>
      </c>
      <c r="O198" s="310" t="str">
        <f>'Vaccine efficacy'!O52</f>
        <v>-</v>
      </c>
      <c r="P198" s="310" t="str">
        <f>'Vaccine efficacy'!P52</f>
        <v>-</v>
      </c>
      <c r="Q198" s="310" t="str">
        <f>'Vaccine efficacy'!Q52</f>
        <v>-</v>
      </c>
      <c r="R198" s="310" t="str">
        <f>'Vaccine efficacy'!R52</f>
        <v>-</v>
      </c>
      <c r="S198" s="310" t="str">
        <f>'Vaccine efficacy'!S52</f>
        <v>-</v>
      </c>
      <c r="T198" s="310" t="str">
        <f>'Vaccine efficacy'!T52</f>
        <v>-</v>
      </c>
      <c r="U198" s="310" t="str">
        <f>'Vaccine efficacy'!U52</f>
        <v>-</v>
      </c>
      <c r="V198" s="310" t="str">
        <f>'Vaccine efficacy'!V52</f>
        <v>-</v>
      </c>
      <c r="W198" s="310" t="str">
        <f>'Vaccine efficacy'!W52</f>
        <v>-</v>
      </c>
      <c r="X198" s="310" t="str">
        <f>'Vaccine efficacy'!X52</f>
        <v>-</v>
      </c>
      <c r="Y198" s="310" t="str">
        <f>'Vaccine efficacy'!Y52</f>
        <v>-</v>
      </c>
      <c r="Z198" s="310" t="str">
        <f>'Vaccine efficacy'!Z52</f>
        <v>-</v>
      </c>
      <c r="AA198" s="310" t="str">
        <f>'Vaccine efficacy'!AA52</f>
        <v>-</v>
      </c>
      <c r="AB198" s="310" t="str">
        <f>'Vaccine efficacy'!AB52</f>
        <v>-</v>
      </c>
      <c r="AC198" s="310" t="str">
        <f>'Vaccine efficacy'!AC52</f>
        <v>-</v>
      </c>
      <c r="AD198" s="310" t="str">
        <f>'Vaccine efficacy'!AD52</f>
        <v>-</v>
      </c>
      <c r="AE198" s="310" t="str">
        <f>'Vaccine efficacy'!AE52</f>
        <v>-</v>
      </c>
      <c r="AF198" s="310" t="str">
        <f>'Vaccine efficacy'!AF52</f>
        <v>-</v>
      </c>
      <c r="AG198" s="310" t="str">
        <f>'Vaccine efficacy'!AG52</f>
        <v>-</v>
      </c>
      <c r="AH198" s="310" t="str">
        <f>'Vaccine efficacy'!AH52</f>
        <v>-</v>
      </c>
      <c r="AI198" s="310" t="str">
        <f>'Vaccine efficacy'!AI52</f>
        <v>-</v>
      </c>
      <c r="AJ198" s="310" t="str">
        <f>'Vaccine efficacy'!AJ52</f>
        <v>-</v>
      </c>
      <c r="AK198" s="310" t="str">
        <f>'Vaccine efficacy'!AK52</f>
        <v>-</v>
      </c>
      <c r="AL198" s="310" t="str">
        <f>'Vaccine efficacy'!AL52</f>
        <v>-</v>
      </c>
      <c r="AM198" s="310" t="str">
        <f>'Vaccine efficacy'!AM52</f>
        <v>-</v>
      </c>
      <c r="AN198" s="310" t="str">
        <f>'Vaccine efficacy'!AN52</f>
        <v>-</v>
      </c>
      <c r="AO198" s="310" t="str">
        <f>'Vaccine efficacy'!AO52</f>
        <v>-</v>
      </c>
      <c r="AP198" s="310" t="str">
        <f>'Vaccine efficacy'!AP52</f>
        <v>-</v>
      </c>
      <c r="AQ198" s="310" t="str">
        <f>'Vaccine efficacy'!AQ52</f>
        <v>-</v>
      </c>
      <c r="AR198" s="310" t="str">
        <f>'Vaccine efficacy'!AR52</f>
        <v>-</v>
      </c>
      <c r="AS198" s="310" t="str">
        <f>'Vaccine efficacy'!AS52</f>
        <v>-</v>
      </c>
      <c r="AT198" s="163"/>
    </row>
    <row r="199">
      <c r="A199" s="80"/>
      <c r="B199" s="81"/>
      <c r="C199" s="81"/>
      <c r="D199" s="81"/>
      <c r="E199" s="470" t="s">
        <v>275</v>
      </c>
      <c r="F199" s="172" t="str">
        <f>'Vaccine efficacy'!F53</f>
        <v>%</v>
      </c>
      <c r="G199" s="276" t="s">
        <v>131</v>
      </c>
      <c r="H199" s="176">
        <f>'Vaccine efficacy'!H53</f>
        <v>0.3910940565</v>
      </c>
      <c r="I199" s="310" t="str">
        <f>'Vaccine efficacy'!I53</f>
        <v>-</v>
      </c>
      <c r="J199" s="310" t="str">
        <f>'Vaccine efficacy'!J53</f>
        <v>-</v>
      </c>
      <c r="K199" s="310" t="str">
        <f>'Vaccine efficacy'!K53</f>
        <v>-</v>
      </c>
      <c r="L199" s="310" t="str">
        <f>'Vaccine efficacy'!L53</f>
        <v>-</v>
      </c>
      <c r="M199" s="310" t="str">
        <f>'Vaccine efficacy'!M53</f>
        <v>-</v>
      </c>
      <c r="N199" s="310" t="str">
        <f>'Vaccine efficacy'!N53</f>
        <v>-</v>
      </c>
      <c r="O199" s="310" t="str">
        <f>'Vaccine efficacy'!O53</f>
        <v>-</v>
      </c>
      <c r="P199" s="310" t="str">
        <f>'Vaccine efficacy'!P53</f>
        <v>-</v>
      </c>
      <c r="Q199" s="310" t="str">
        <f>'Vaccine efficacy'!Q53</f>
        <v>-</v>
      </c>
      <c r="R199" s="310" t="str">
        <f>'Vaccine efficacy'!R53</f>
        <v>-</v>
      </c>
      <c r="S199" s="310" t="str">
        <f>'Vaccine efficacy'!S53</f>
        <v>-</v>
      </c>
      <c r="T199" s="310" t="str">
        <f>'Vaccine efficacy'!T53</f>
        <v>-</v>
      </c>
      <c r="U199" s="310" t="str">
        <f>'Vaccine efficacy'!U53</f>
        <v>-</v>
      </c>
      <c r="V199" s="310" t="str">
        <f>'Vaccine efficacy'!V53</f>
        <v>-</v>
      </c>
      <c r="W199" s="310" t="str">
        <f>'Vaccine efficacy'!W53</f>
        <v>-</v>
      </c>
      <c r="X199" s="310" t="str">
        <f>'Vaccine efficacy'!X53</f>
        <v>-</v>
      </c>
      <c r="Y199" s="310" t="str">
        <f>'Vaccine efficacy'!Y53</f>
        <v>-</v>
      </c>
      <c r="Z199" s="310" t="str">
        <f>'Vaccine efficacy'!Z53</f>
        <v>-</v>
      </c>
      <c r="AA199" s="310" t="str">
        <f>'Vaccine efficacy'!AA53</f>
        <v>-</v>
      </c>
      <c r="AB199" s="310" t="str">
        <f>'Vaccine efficacy'!AB53</f>
        <v>-</v>
      </c>
      <c r="AC199" s="310" t="str">
        <f>'Vaccine efficacy'!AC53</f>
        <v>-</v>
      </c>
      <c r="AD199" s="310" t="str">
        <f>'Vaccine efficacy'!AD53</f>
        <v>-</v>
      </c>
      <c r="AE199" s="310" t="str">
        <f>'Vaccine efficacy'!AE53</f>
        <v>-</v>
      </c>
      <c r="AF199" s="310" t="str">
        <f>'Vaccine efficacy'!AF53</f>
        <v>-</v>
      </c>
      <c r="AG199" s="310" t="str">
        <f>'Vaccine efficacy'!AG53</f>
        <v>-</v>
      </c>
      <c r="AH199" s="310" t="str">
        <f>'Vaccine efficacy'!AH53</f>
        <v>-</v>
      </c>
      <c r="AI199" s="310" t="str">
        <f>'Vaccine efficacy'!AI53</f>
        <v>-</v>
      </c>
      <c r="AJ199" s="310" t="str">
        <f>'Vaccine efficacy'!AJ53</f>
        <v>-</v>
      </c>
      <c r="AK199" s="310" t="str">
        <f>'Vaccine efficacy'!AK53</f>
        <v>-</v>
      </c>
      <c r="AL199" s="310" t="str">
        <f>'Vaccine efficacy'!AL53</f>
        <v>-</v>
      </c>
      <c r="AM199" s="310" t="str">
        <f>'Vaccine efficacy'!AM53</f>
        <v>-</v>
      </c>
      <c r="AN199" s="310" t="str">
        <f>'Vaccine efficacy'!AN53</f>
        <v>-</v>
      </c>
      <c r="AO199" s="310" t="str">
        <f>'Vaccine efficacy'!AO53</f>
        <v>-</v>
      </c>
      <c r="AP199" s="310" t="str">
        <f>'Vaccine efficacy'!AP53</f>
        <v>-</v>
      </c>
      <c r="AQ199" s="310" t="str">
        <f>'Vaccine efficacy'!AQ53</f>
        <v>-</v>
      </c>
      <c r="AR199" s="310" t="str">
        <f>'Vaccine efficacy'!AR53</f>
        <v>-</v>
      </c>
      <c r="AS199" s="310" t="str">
        <f>'Vaccine efficacy'!AS53</f>
        <v>-</v>
      </c>
      <c r="AT199" s="163"/>
    </row>
    <row r="200">
      <c r="A200" s="80"/>
      <c r="B200" s="81"/>
      <c r="C200" s="81"/>
      <c r="D200" s="81"/>
      <c r="E200" s="494" t="s">
        <v>279</v>
      </c>
      <c r="F200" s="231" t="str">
        <f>'Vaccine efficacy'!F54</f>
        <v>%</v>
      </c>
      <c r="G200" s="291" t="s">
        <v>131</v>
      </c>
      <c r="H200" s="234">
        <f>'Vaccine efficacy'!H54</f>
        <v>0.6653194526</v>
      </c>
      <c r="I200" s="427" t="str">
        <f>'Vaccine efficacy'!I54</f>
        <v>-</v>
      </c>
      <c r="J200" s="427" t="str">
        <f>'Vaccine efficacy'!J54</f>
        <v>-</v>
      </c>
      <c r="K200" s="427" t="str">
        <f>'Vaccine efficacy'!K54</f>
        <v>-</v>
      </c>
      <c r="L200" s="427" t="str">
        <f>'Vaccine efficacy'!L54</f>
        <v>-</v>
      </c>
      <c r="M200" s="427" t="str">
        <f>'Vaccine efficacy'!M54</f>
        <v>-</v>
      </c>
      <c r="N200" s="427" t="str">
        <f>'Vaccine efficacy'!N54</f>
        <v>-</v>
      </c>
      <c r="O200" s="427" t="str">
        <f>'Vaccine efficacy'!O54</f>
        <v>-</v>
      </c>
      <c r="P200" s="427" t="str">
        <f>'Vaccine efficacy'!P54</f>
        <v>-</v>
      </c>
      <c r="Q200" s="427" t="str">
        <f>'Vaccine efficacy'!Q54</f>
        <v>-</v>
      </c>
      <c r="R200" s="427" t="str">
        <f>'Vaccine efficacy'!R54</f>
        <v>-</v>
      </c>
      <c r="S200" s="427" t="str">
        <f>'Vaccine efficacy'!S54</f>
        <v>-</v>
      </c>
      <c r="T200" s="427" t="str">
        <f>'Vaccine efficacy'!T54</f>
        <v>-</v>
      </c>
      <c r="U200" s="427" t="str">
        <f>'Vaccine efficacy'!U54</f>
        <v>-</v>
      </c>
      <c r="V200" s="427" t="str">
        <f>'Vaccine efficacy'!V54</f>
        <v>-</v>
      </c>
      <c r="W200" s="427" t="str">
        <f>'Vaccine efficacy'!W54</f>
        <v>-</v>
      </c>
      <c r="X200" s="427" t="str">
        <f>'Vaccine efficacy'!X54</f>
        <v>-</v>
      </c>
      <c r="Y200" s="427" t="str">
        <f>'Vaccine efficacy'!Y54</f>
        <v>-</v>
      </c>
      <c r="Z200" s="427" t="str">
        <f>'Vaccine efficacy'!Z54</f>
        <v>-</v>
      </c>
      <c r="AA200" s="427" t="str">
        <f>'Vaccine efficacy'!AA54</f>
        <v>-</v>
      </c>
      <c r="AB200" s="427" t="str">
        <f>'Vaccine efficacy'!AB54</f>
        <v>-</v>
      </c>
      <c r="AC200" s="427" t="str">
        <f>'Vaccine efficacy'!AC54</f>
        <v>-</v>
      </c>
      <c r="AD200" s="427" t="str">
        <f>'Vaccine efficacy'!AD54</f>
        <v>-</v>
      </c>
      <c r="AE200" s="427" t="str">
        <f>'Vaccine efficacy'!AE54</f>
        <v>-</v>
      </c>
      <c r="AF200" s="427" t="str">
        <f>'Vaccine efficacy'!AF54</f>
        <v>-</v>
      </c>
      <c r="AG200" s="427" t="str">
        <f>'Vaccine efficacy'!AG54</f>
        <v>-</v>
      </c>
      <c r="AH200" s="427" t="str">
        <f>'Vaccine efficacy'!AH54</f>
        <v>-</v>
      </c>
      <c r="AI200" s="427" t="str">
        <f>'Vaccine efficacy'!AI54</f>
        <v>-</v>
      </c>
      <c r="AJ200" s="427" t="str">
        <f>'Vaccine efficacy'!AJ54</f>
        <v>-</v>
      </c>
      <c r="AK200" s="427" t="str">
        <f>'Vaccine efficacy'!AK54</f>
        <v>-</v>
      </c>
      <c r="AL200" s="427" t="str">
        <f>'Vaccine efficacy'!AL54</f>
        <v>-</v>
      </c>
      <c r="AM200" s="427" t="str">
        <f>'Vaccine efficacy'!AM54</f>
        <v>-</v>
      </c>
      <c r="AN200" s="427" t="str">
        <f>'Vaccine efficacy'!AN54</f>
        <v>-</v>
      </c>
      <c r="AO200" s="427" t="str">
        <f>'Vaccine efficacy'!AO54</f>
        <v>-</v>
      </c>
      <c r="AP200" s="427" t="str">
        <f>'Vaccine efficacy'!AP54</f>
        <v>-</v>
      </c>
      <c r="AQ200" s="427" t="str">
        <f>'Vaccine efficacy'!AQ54</f>
        <v>-</v>
      </c>
      <c r="AR200" s="427" t="str">
        <f>'Vaccine efficacy'!AR54</f>
        <v>-</v>
      </c>
      <c r="AS200" s="427" t="str">
        <f>'Vaccine efficacy'!AS54</f>
        <v>-</v>
      </c>
      <c r="AT200" s="248"/>
    </row>
    <row r="201">
      <c r="A201" s="80"/>
      <c r="B201" s="81"/>
      <c r="C201" s="81"/>
      <c r="D201" s="81"/>
      <c r="E201" s="82"/>
      <c r="F201" s="83"/>
      <c r="G201" s="135"/>
      <c r="H201" s="85"/>
      <c r="I201" s="86"/>
      <c r="J201" s="86"/>
      <c r="K201" s="86"/>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c r="AQ201" s="86"/>
      <c r="AR201" s="86"/>
      <c r="AS201" s="86"/>
      <c r="AT201" s="88"/>
    </row>
    <row r="202">
      <c r="A202" s="80"/>
      <c r="B202" s="81"/>
      <c r="C202" s="112" t="s">
        <v>815</v>
      </c>
      <c r="F202" s="83"/>
      <c r="G202" s="135"/>
      <c r="H202" s="85"/>
      <c r="I202" s="86"/>
      <c r="J202" s="86"/>
      <c r="K202" s="86"/>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c r="AQ202" s="86"/>
      <c r="AR202" s="86"/>
      <c r="AS202" s="86"/>
      <c r="AT202" s="88"/>
    </row>
    <row r="203">
      <c r="A203" s="80"/>
      <c r="B203" s="81"/>
      <c r="C203" s="81"/>
      <c r="D203" s="81"/>
      <c r="E203" s="188" t="s">
        <v>817</v>
      </c>
      <c r="F203" s="189" t="s">
        <v>122</v>
      </c>
      <c r="G203" s="271" t="s">
        <v>149</v>
      </c>
      <c r="H203" s="200" t="s">
        <v>150</v>
      </c>
      <c r="I203" s="264">
        <f t="shared" ref="I203:AS203" si="51">I178/((I187*(1-$H195))+(1-I187))</f>
        <v>0.005392708156</v>
      </c>
      <c r="J203" s="264">
        <f t="shared" si="51"/>
        <v>0.002873095412</v>
      </c>
      <c r="K203" s="264">
        <f t="shared" si="51"/>
        <v>0.006379008727</v>
      </c>
      <c r="L203" s="264">
        <f t="shared" si="51"/>
        <v>0.001649147548</v>
      </c>
      <c r="M203" s="264">
        <f t="shared" si="51"/>
        <v>0.002611791468</v>
      </c>
      <c r="N203" s="264">
        <f t="shared" si="51"/>
        <v>0.003890071249</v>
      </c>
      <c r="O203" s="264">
        <f t="shared" si="51"/>
        <v>0.004005210316</v>
      </c>
      <c r="P203" s="264">
        <f t="shared" si="51"/>
        <v>0.00572922887</v>
      </c>
      <c r="Q203" s="264">
        <f t="shared" si="51"/>
        <v>0.007921387478</v>
      </c>
      <c r="R203" s="264">
        <f t="shared" si="51"/>
        <v>0.0009537295084</v>
      </c>
      <c r="S203" s="264">
        <f t="shared" si="51"/>
        <v>0.002739807059</v>
      </c>
      <c r="T203" s="264">
        <f t="shared" si="51"/>
        <v>0.0005943834749</v>
      </c>
      <c r="U203" s="264">
        <f t="shared" si="51"/>
        <v>0.0006333435098</v>
      </c>
      <c r="V203" s="264">
        <f t="shared" si="51"/>
        <v>0.0007189912288</v>
      </c>
      <c r="W203" s="264">
        <f t="shared" si="51"/>
        <v>0.001209773302</v>
      </c>
      <c r="X203" s="264">
        <f t="shared" si="51"/>
        <v>0.00114192787</v>
      </c>
      <c r="Y203" s="264">
        <f t="shared" si="51"/>
        <v>0.0008989283333</v>
      </c>
      <c r="Z203" s="264">
        <f t="shared" si="51"/>
        <v>0.0008615727338</v>
      </c>
      <c r="AA203" s="264">
        <f t="shared" si="51"/>
        <v>0.001417031172</v>
      </c>
      <c r="AB203" s="264">
        <f t="shared" si="51"/>
        <v>0.001035779125</v>
      </c>
      <c r="AC203" s="264">
        <f t="shared" si="51"/>
        <v>0.0008949201705</v>
      </c>
      <c r="AD203" s="264">
        <f t="shared" si="51"/>
        <v>0.0005698566611</v>
      </c>
      <c r="AE203" s="264">
        <f t="shared" si="51"/>
        <v>0.0008928296749</v>
      </c>
      <c r="AF203" s="264">
        <f t="shared" si="51"/>
        <v>0.0006006753782</v>
      </c>
      <c r="AG203" s="264">
        <f t="shared" si="51"/>
        <v>0.000609193918</v>
      </c>
      <c r="AH203" s="264">
        <f t="shared" si="51"/>
        <v>0.0003967464648</v>
      </c>
      <c r="AI203" s="264">
        <f t="shared" si="51"/>
        <v>0.0003902389456</v>
      </c>
      <c r="AJ203" s="264">
        <f t="shared" si="51"/>
        <v>0.00107759487</v>
      </c>
      <c r="AK203" s="264">
        <f t="shared" si="51"/>
        <v>0.001455194203</v>
      </c>
      <c r="AL203" s="264">
        <f t="shared" si="51"/>
        <v>0.0005540399933</v>
      </c>
      <c r="AM203" s="264">
        <f t="shared" si="51"/>
        <v>0.0006977781867</v>
      </c>
      <c r="AN203" s="264">
        <f t="shared" si="51"/>
        <v>0.0003825299108</v>
      </c>
      <c r="AO203" s="264">
        <f t="shared" si="51"/>
        <v>0.0003285353274</v>
      </c>
      <c r="AP203" s="264">
        <f t="shared" si="51"/>
        <v>0.0009778952752</v>
      </c>
      <c r="AQ203" s="264">
        <f t="shared" si="51"/>
        <v>0.0008560299806</v>
      </c>
      <c r="AR203" s="264">
        <f t="shared" si="51"/>
        <v>0.002305329458</v>
      </c>
      <c r="AS203" s="264">
        <f t="shared" si="51"/>
        <v>0.00280103669</v>
      </c>
      <c r="AT203" s="136"/>
    </row>
    <row r="204">
      <c r="A204" s="80"/>
      <c r="B204" s="81"/>
      <c r="C204" s="81"/>
      <c r="D204" s="81"/>
      <c r="E204" s="214" t="s">
        <v>822</v>
      </c>
      <c r="F204" s="215" t="s">
        <v>122</v>
      </c>
      <c r="G204" s="276" t="s">
        <v>149</v>
      </c>
      <c r="H204" s="187" t="s">
        <v>150</v>
      </c>
      <c r="I204" s="284">
        <f t="shared" ref="I204:AS204" si="52">I179/((I188*(1-$H196))+(1-I188))</f>
        <v>0.003078155813</v>
      </c>
      <c r="J204" s="284">
        <f t="shared" si="52"/>
        <v>0.002859751918</v>
      </c>
      <c r="K204" s="284">
        <f t="shared" si="52"/>
        <v>0.003691956724</v>
      </c>
      <c r="L204" s="284">
        <f t="shared" si="52"/>
        <v>0.001969562577</v>
      </c>
      <c r="M204" s="284">
        <f t="shared" si="52"/>
        <v>0.002177758405</v>
      </c>
      <c r="N204" s="284">
        <f t="shared" si="52"/>
        <v>0.002862561331</v>
      </c>
      <c r="O204" s="284">
        <f t="shared" si="52"/>
        <v>0.003634013521</v>
      </c>
      <c r="P204" s="284">
        <f t="shared" si="52"/>
        <v>0.004044118556</v>
      </c>
      <c r="Q204" s="284">
        <f t="shared" si="52"/>
        <v>0.005136230083</v>
      </c>
      <c r="R204" s="284">
        <f t="shared" si="52"/>
        <v>0.0007341172018</v>
      </c>
      <c r="S204" s="284">
        <f t="shared" si="52"/>
        <v>0.001891228488</v>
      </c>
      <c r="T204" s="284">
        <f t="shared" si="52"/>
        <v>0.0007932194968</v>
      </c>
      <c r="U204" s="284">
        <f t="shared" si="52"/>
        <v>0.001074560807</v>
      </c>
      <c r="V204" s="284">
        <f t="shared" si="52"/>
        <v>0.001440603696</v>
      </c>
      <c r="W204" s="284">
        <f t="shared" si="52"/>
        <v>0.001199513471</v>
      </c>
      <c r="X204" s="284">
        <f t="shared" si="52"/>
        <v>0.00166065395</v>
      </c>
      <c r="Y204" s="284">
        <f t="shared" si="52"/>
        <v>0.00105694828</v>
      </c>
      <c r="Z204" s="284">
        <f t="shared" si="52"/>
        <v>0.0009215195264</v>
      </c>
      <c r="AA204" s="284">
        <f t="shared" si="52"/>
        <v>0.001130415405</v>
      </c>
      <c r="AB204" s="284">
        <f t="shared" si="52"/>
        <v>0.000876961758</v>
      </c>
      <c r="AC204" s="284">
        <f t="shared" si="52"/>
        <v>0.0005628978544</v>
      </c>
      <c r="AD204" s="284">
        <f t="shared" si="52"/>
        <v>0.0006816311771</v>
      </c>
      <c r="AE204" s="284">
        <f t="shared" si="52"/>
        <v>0.0007815110438</v>
      </c>
      <c r="AF204" s="284">
        <f t="shared" si="52"/>
        <v>0.0004608054382</v>
      </c>
      <c r="AG204" s="284">
        <f t="shared" si="52"/>
        <v>0.001899760541</v>
      </c>
      <c r="AH204" s="284">
        <f t="shared" si="52"/>
        <v>0.0007019240747</v>
      </c>
      <c r="AI204" s="284">
        <f t="shared" si="52"/>
        <v>0.0004173365554</v>
      </c>
      <c r="AJ204" s="284">
        <f t="shared" si="52"/>
        <v>0.001255190436</v>
      </c>
      <c r="AK204" s="284">
        <f t="shared" si="52"/>
        <v>0.001680876699</v>
      </c>
      <c r="AL204" s="284">
        <f t="shared" si="52"/>
        <v>0.0008106297561</v>
      </c>
      <c r="AM204" s="284">
        <f t="shared" si="52"/>
        <v>0.0006473648993</v>
      </c>
      <c r="AN204" s="284">
        <f t="shared" si="52"/>
        <v>0.0004137241639</v>
      </c>
      <c r="AO204" s="284">
        <f t="shared" si="52"/>
        <v>0.0007964293415</v>
      </c>
      <c r="AP204" s="284">
        <f t="shared" si="52"/>
        <v>0.0007901728337</v>
      </c>
      <c r="AQ204" s="284">
        <f t="shared" si="52"/>
        <v>0.0008297996332</v>
      </c>
      <c r="AR204" s="284">
        <f t="shared" si="52"/>
        <v>0.001906210255</v>
      </c>
      <c r="AS204" s="284">
        <f t="shared" si="52"/>
        <v>0.002501974587</v>
      </c>
      <c r="AT204" s="163"/>
    </row>
    <row r="205">
      <c r="A205" s="80"/>
      <c r="B205" s="81"/>
      <c r="C205" s="81"/>
      <c r="D205" s="81"/>
      <c r="E205" s="214" t="s">
        <v>824</v>
      </c>
      <c r="F205" s="215" t="s">
        <v>122</v>
      </c>
      <c r="G205" s="276" t="s">
        <v>149</v>
      </c>
      <c r="H205" s="187" t="s">
        <v>150</v>
      </c>
      <c r="I205" s="284">
        <f t="shared" ref="I205:AS205" si="53">I180/((I189*(1-$H197))+(1-I189))</f>
        <v>0.0008297830332</v>
      </c>
      <c r="J205" s="284">
        <f t="shared" si="53"/>
        <v>0.0007331965804</v>
      </c>
      <c r="K205" s="284">
        <f t="shared" si="53"/>
        <v>0.0008648849191</v>
      </c>
      <c r="L205" s="284">
        <f t="shared" si="53"/>
        <v>0.0005431166359</v>
      </c>
      <c r="M205" s="284">
        <f t="shared" si="53"/>
        <v>0.0006996755027</v>
      </c>
      <c r="N205" s="284">
        <f t="shared" si="53"/>
        <v>0.0005857266194</v>
      </c>
      <c r="O205" s="284">
        <f t="shared" si="53"/>
        <v>0.0006505928856</v>
      </c>
      <c r="P205" s="284">
        <f t="shared" si="53"/>
        <v>0.0008327130291</v>
      </c>
      <c r="Q205" s="284">
        <f t="shared" si="53"/>
        <v>0.0008420970013</v>
      </c>
      <c r="R205" s="284">
        <f t="shared" si="53"/>
        <v>0.0004334640881</v>
      </c>
      <c r="S205" s="284">
        <f t="shared" si="53"/>
        <v>0.0007911498345</v>
      </c>
      <c r="T205" s="284">
        <f t="shared" si="53"/>
        <v>0.0002829941136</v>
      </c>
      <c r="U205" s="284">
        <f t="shared" si="53"/>
        <v>0.0003368661479</v>
      </c>
      <c r="V205" s="284">
        <f t="shared" si="53"/>
        <v>0.0003141421969</v>
      </c>
      <c r="W205" s="284">
        <f t="shared" si="53"/>
        <v>0.0004254869338</v>
      </c>
      <c r="X205" s="284">
        <f t="shared" si="53"/>
        <v>0.0002555604773</v>
      </c>
      <c r="Y205" s="284">
        <f t="shared" si="53"/>
        <v>0.0003543983359</v>
      </c>
      <c r="Z205" s="284">
        <f t="shared" si="53"/>
        <v>0.0003495748396</v>
      </c>
      <c r="AA205" s="284">
        <f t="shared" si="53"/>
        <v>0.000546576265</v>
      </c>
      <c r="AB205" s="284">
        <f t="shared" si="53"/>
        <v>0.0004933979306</v>
      </c>
      <c r="AC205" s="284">
        <f t="shared" si="53"/>
        <v>0.0003611712439</v>
      </c>
      <c r="AD205" s="284">
        <f t="shared" si="53"/>
        <v>0.0002349697876</v>
      </c>
      <c r="AE205" s="284">
        <f t="shared" si="53"/>
        <v>0.0003709843354</v>
      </c>
      <c r="AF205" s="284">
        <f t="shared" si="53"/>
        <v>0.0002573601062</v>
      </c>
      <c r="AG205" s="284">
        <f t="shared" si="53"/>
        <v>0.0002448847554</v>
      </c>
      <c r="AH205" s="284">
        <f t="shared" si="53"/>
        <v>0.0001651199557</v>
      </c>
      <c r="AI205" s="284">
        <f t="shared" si="53"/>
        <v>0.0001965540747</v>
      </c>
      <c r="AJ205" s="284">
        <f t="shared" si="53"/>
        <v>0.0003429094548</v>
      </c>
      <c r="AK205" s="284">
        <f t="shared" si="53"/>
        <v>0.0004251553</v>
      </c>
      <c r="AL205" s="284">
        <f t="shared" si="53"/>
        <v>0.0002200544904</v>
      </c>
      <c r="AM205" s="284">
        <f t="shared" si="53"/>
        <v>0.0003125526639</v>
      </c>
      <c r="AN205" s="284">
        <f t="shared" si="53"/>
        <v>0.0001433732923</v>
      </c>
      <c r="AO205" s="284">
        <f t="shared" si="53"/>
        <v>0.000168786809</v>
      </c>
      <c r="AP205" s="284">
        <f t="shared" si="53"/>
        <v>0.000303237025</v>
      </c>
      <c r="AQ205" s="284">
        <f t="shared" si="53"/>
        <v>0.0003855951856</v>
      </c>
      <c r="AR205" s="284">
        <f t="shared" si="53"/>
        <v>0.0007294698245</v>
      </c>
      <c r="AS205" s="284">
        <f t="shared" si="53"/>
        <v>0.0004583762978</v>
      </c>
      <c r="AT205" s="163"/>
    </row>
    <row r="206">
      <c r="A206" s="80"/>
      <c r="B206" s="81"/>
      <c r="C206" s="81"/>
      <c r="D206" s="81"/>
      <c r="E206" s="214" t="s">
        <v>829</v>
      </c>
      <c r="F206" s="215" t="s">
        <v>122</v>
      </c>
      <c r="G206" s="276" t="s">
        <v>149</v>
      </c>
      <c r="H206" s="187" t="s">
        <v>150</v>
      </c>
      <c r="I206" s="284">
        <f t="shared" ref="I206:AS206" si="54">I181/((I190*(1-$H198))+(1-I190))</f>
        <v>0.01248446451</v>
      </c>
      <c r="J206" s="284">
        <f t="shared" si="54"/>
        <v>0.01062149717</v>
      </c>
      <c r="K206" s="284">
        <f t="shared" si="54"/>
        <v>0.01291172922</v>
      </c>
      <c r="L206" s="284">
        <f t="shared" si="54"/>
        <v>0.007670545472</v>
      </c>
      <c r="M206" s="284">
        <f t="shared" si="54"/>
        <v>0.01040691025</v>
      </c>
      <c r="N206" s="284">
        <f t="shared" si="54"/>
        <v>0.008610760548</v>
      </c>
      <c r="O206" s="284">
        <f t="shared" si="54"/>
        <v>0.009538973493</v>
      </c>
      <c r="P206" s="284">
        <f t="shared" si="54"/>
        <v>0.01292138047</v>
      </c>
      <c r="Q206" s="284">
        <f t="shared" si="54"/>
        <v>0.01261367337</v>
      </c>
      <c r="R206" s="284">
        <f t="shared" si="54"/>
        <v>0.005338153444</v>
      </c>
      <c r="S206" s="284">
        <f t="shared" si="54"/>
        <v>0.01081608507</v>
      </c>
      <c r="T206" s="284">
        <f t="shared" si="54"/>
        <v>0.003423437154</v>
      </c>
      <c r="U206" s="284">
        <f t="shared" si="54"/>
        <v>0.004090438254</v>
      </c>
      <c r="V206" s="284">
        <f t="shared" si="54"/>
        <v>0.004186815789</v>
      </c>
      <c r="W206" s="284">
        <f t="shared" si="54"/>
        <v>0.005430592946</v>
      </c>
      <c r="X206" s="284">
        <f t="shared" si="54"/>
        <v>0.003378282496</v>
      </c>
      <c r="Y206" s="284">
        <f t="shared" si="54"/>
        <v>0.004212506324</v>
      </c>
      <c r="Z206" s="284">
        <f t="shared" si="54"/>
        <v>0.004424714781</v>
      </c>
      <c r="AA206" s="284">
        <f t="shared" si="54"/>
        <v>0.006391566327</v>
      </c>
      <c r="AB206" s="284">
        <f t="shared" si="54"/>
        <v>0.005474978448</v>
      </c>
      <c r="AC206" s="284">
        <f t="shared" si="54"/>
        <v>0.004032361634</v>
      </c>
      <c r="AD206" s="284">
        <f t="shared" si="54"/>
        <v>0.002709775035</v>
      </c>
      <c r="AE206" s="284">
        <f t="shared" si="54"/>
        <v>0.004409050658</v>
      </c>
      <c r="AF206" s="284">
        <f t="shared" si="54"/>
        <v>0.003042582305</v>
      </c>
      <c r="AG206" s="284">
        <f t="shared" si="54"/>
        <v>0.003301094266</v>
      </c>
      <c r="AH206" s="284">
        <f t="shared" si="54"/>
        <v>0.002165467269</v>
      </c>
      <c r="AI206" s="284">
        <f t="shared" si="54"/>
        <v>0.002184123121</v>
      </c>
      <c r="AJ206" s="284">
        <f t="shared" si="54"/>
        <v>0.004728248791</v>
      </c>
      <c r="AK206" s="284">
        <f t="shared" si="54"/>
        <v>0.006139234516</v>
      </c>
      <c r="AL206" s="284">
        <f t="shared" si="54"/>
        <v>0.002976766447</v>
      </c>
      <c r="AM206" s="284">
        <f t="shared" si="54"/>
        <v>0.004016960738</v>
      </c>
      <c r="AN206" s="284">
        <f t="shared" si="54"/>
        <v>0.001701898114</v>
      </c>
      <c r="AO206" s="284">
        <f t="shared" si="54"/>
        <v>0.002192538717</v>
      </c>
      <c r="AP206" s="284">
        <f t="shared" si="54"/>
        <v>0.003833670869</v>
      </c>
      <c r="AQ206" s="284">
        <f t="shared" si="54"/>
        <v>0.004590625635</v>
      </c>
      <c r="AR206" s="284">
        <f t="shared" si="54"/>
        <v>0.01055848942</v>
      </c>
      <c r="AS206" s="284">
        <f t="shared" si="54"/>
        <v>0.006620651404</v>
      </c>
      <c r="AT206" s="163"/>
    </row>
    <row r="207">
      <c r="A207" s="80"/>
      <c r="B207" s="81"/>
      <c r="C207" s="81"/>
      <c r="D207" s="81"/>
      <c r="E207" s="214" t="s">
        <v>835</v>
      </c>
      <c r="F207" s="215" t="s">
        <v>122</v>
      </c>
      <c r="G207" s="276" t="s">
        <v>149</v>
      </c>
      <c r="H207" s="187" t="s">
        <v>150</v>
      </c>
      <c r="I207" s="284">
        <f t="shared" ref="I207:AS207" si="55">I182/((I191*(1-$H199))+(1-I191))</f>
        <v>0.01116871721</v>
      </c>
      <c r="J207" s="284">
        <f t="shared" si="55"/>
        <v>0.007739557175</v>
      </c>
      <c r="K207" s="284">
        <f t="shared" si="55"/>
        <v>0.009307897445</v>
      </c>
      <c r="L207" s="284">
        <f t="shared" si="55"/>
        <v>0.004118837143</v>
      </c>
      <c r="M207" s="284">
        <f t="shared" si="55"/>
        <v>0.007342543843</v>
      </c>
      <c r="N207" s="284">
        <f t="shared" si="55"/>
        <v>0.007748440737</v>
      </c>
      <c r="O207" s="284">
        <f t="shared" si="55"/>
        <v>0.008528855712</v>
      </c>
      <c r="P207" s="284">
        <f t="shared" si="55"/>
        <v>0.01248961222</v>
      </c>
      <c r="Q207" s="284">
        <f t="shared" si="55"/>
        <v>0.01518290891</v>
      </c>
      <c r="R207" s="284">
        <f t="shared" si="55"/>
        <v>0.003027179469</v>
      </c>
      <c r="S207" s="284">
        <f t="shared" si="55"/>
        <v>0.006833772591</v>
      </c>
      <c r="T207" s="284">
        <f t="shared" si="55"/>
        <v>0.00136381193</v>
      </c>
      <c r="U207" s="284">
        <f t="shared" si="55"/>
        <v>0.00107218255</v>
      </c>
      <c r="V207" s="284">
        <f t="shared" si="55"/>
        <v>0.00313342186</v>
      </c>
      <c r="W207" s="284">
        <f t="shared" si="55"/>
        <v>0.004286502216</v>
      </c>
      <c r="X207" s="284">
        <f t="shared" si="55"/>
        <v>0.003672820205</v>
      </c>
      <c r="Y207" s="284">
        <f t="shared" si="55"/>
        <v>0.001682067029</v>
      </c>
      <c r="Z207" s="284">
        <f t="shared" si="55"/>
        <v>0.001775293204</v>
      </c>
      <c r="AA207" s="284">
        <f t="shared" si="55"/>
        <v>0.002880465845</v>
      </c>
      <c r="AB207" s="284">
        <f t="shared" si="55"/>
        <v>0.001569866001</v>
      </c>
      <c r="AC207" s="284">
        <f t="shared" si="55"/>
        <v>0.001443506189</v>
      </c>
      <c r="AD207" s="284">
        <f t="shared" si="55"/>
        <v>0.000940165684</v>
      </c>
      <c r="AE207" s="284">
        <f t="shared" si="55"/>
        <v>0.001557551633</v>
      </c>
      <c r="AF207" s="284">
        <f t="shared" si="55"/>
        <v>0.0009315068657</v>
      </c>
      <c r="AG207" s="284">
        <f t="shared" si="55"/>
        <v>0.001308937038</v>
      </c>
      <c r="AH207" s="284">
        <f t="shared" si="55"/>
        <v>0.0009775408388</v>
      </c>
      <c r="AI207" s="284">
        <f t="shared" si="55"/>
        <v>0.0008060380859</v>
      </c>
      <c r="AJ207" s="284">
        <f t="shared" si="55"/>
        <v>0.002429155992</v>
      </c>
      <c r="AK207" s="284">
        <f t="shared" si="55"/>
        <v>0.004531125785</v>
      </c>
      <c r="AL207" s="284">
        <f t="shared" si="55"/>
        <v>0.001381282571</v>
      </c>
      <c r="AM207" s="284">
        <f t="shared" si="55"/>
        <v>0.001419056945</v>
      </c>
      <c r="AN207" s="284">
        <f t="shared" si="55"/>
        <v>0.0007439969438</v>
      </c>
      <c r="AO207" s="284">
        <f t="shared" si="55"/>
        <v>0.0008787569774</v>
      </c>
      <c r="AP207" s="284">
        <f t="shared" si="55"/>
        <v>0.002157401657</v>
      </c>
      <c r="AQ207" s="284">
        <f t="shared" si="55"/>
        <v>0.001670974975</v>
      </c>
      <c r="AR207" s="284">
        <f t="shared" si="55"/>
        <v>0.007592841422</v>
      </c>
      <c r="AS207" s="284">
        <f t="shared" si="55"/>
        <v>0.005498118833</v>
      </c>
      <c r="AT207" s="163"/>
    </row>
    <row r="208">
      <c r="A208" s="80"/>
      <c r="B208" s="81"/>
      <c r="C208" s="81"/>
      <c r="D208" s="81"/>
      <c r="E208" s="214" t="s">
        <v>838</v>
      </c>
      <c r="F208" s="215" t="s">
        <v>122</v>
      </c>
      <c r="G208" s="276" t="s">
        <v>149</v>
      </c>
      <c r="H208" s="187" t="s">
        <v>150</v>
      </c>
      <c r="I208" s="284">
        <f t="shared" ref="I208:AS208" si="56">I183/((I192*(1-$H200))+(1-I192))</f>
        <v>0.001644301247</v>
      </c>
      <c r="J208" s="284">
        <f t="shared" si="56"/>
        <v>0.0009530514249</v>
      </c>
      <c r="K208" s="284">
        <f t="shared" si="56"/>
        <v>0.001895928986</v>
      </c>
      <c r="L208" s="284">
        <f t="shared" si="56"/>
        <v>0.0007162953622</v>
      </c>
      <c r="M208" s="284">
        <f t="shared" si="56"/>
        <v>0.0006496762169</v>
      </c>
      <c r="N208" s="284">
        <f t="shared" si="56"/>
        <v>0.001668210075</v>
      </c>
      <c r="O208" s="284">
        <f t="shared" si="56"/>
        <v>0.001741713892</v>
      </c>
      <c r="P208" s="284">
        <f t="shared" si="56"/>
        <v>0.00196341941</v>
      </c>
      <c r="Q208" s="284">
        <f t="shared" si="56"/>
        <v>0.002579390705</v>
      </c>
      <c r="R208" s="284">
        <f t="shared" si="56"/>
        <v>0.0002094638039</v>
      </c>
      <c r="S208" s="284">
        <f t="shared" si="56"/>
        <v>0.0006268070763</v>
      </c>
      <c r="T208" s="284">
        <f t="shared" si="56"/>
        <v>0.0002741809172</v>
      </c>
      <c r="U208" s="284">
        <f t="shared" si="56"/>
        <v>0.0002142151738</v>
      </c>
      <c r="V208" s="284">
        <f t="shared" si="56"/>
        <v>0.0004675900352</v>
      </c>
      <c r="W208" s="284">
        <f t="shared" si="56"/>
        <v>0.0003596721697</v>
      </c>
      <c r="X208" s="284">
        <f t="shared" si="56"/>
        <v>0.0006677329864</v>
      </c>
      <c r="Y208" s="284">
        <f t="shared" si="56"/>
        <v>0.0003765132222</v>
      </c>
      <c r="Z208" s="284">
        <f t="shared" si="56"/>
        <v>0.0002919451038</v>
      </c>
      <c r="AA208" s="284">
        <f t="shared" si="56"/>
        <v>0.0003847491012</v>
      </c>
      <c r="AB208" s="284">
        <f t="shared" si="56"/>
        <v>0.0003258860276</v>
      </c>
      <c r="AC208" s="284">
        <f t="shared" si="56"/>
        <v>0.0003287167768</v>
      </c>
      <c r="AD208" s="284">
        <f t="shared" si="56"/>
        <v>0.0002042265206</v>
      </c>
      <c r="AE208" s="284">
        <f t="shared" si="56"/>
        <v>0.0002282893837</v>
      </c>
      <c r="AF208" s="284">
        <f t="shared" si="56"/>
        <v>0.0001571666519</v>
      </c>
      <c r="AG208" s="284">
        <f t="shared" si="56"/>
        <v>0.0003672259081</v>
      </c>
      <c r="AH208" s="284">
        <f t="shared" si="56"/>
        <v>0.0003452198505</v>
      </c>
      <c r="AI208" s="284">
        <f t="shared" si="56"/>
        <v>0.0001569658819</v>
      </c>
      <c r="AJ208" s="284">
        <f t="shared" si="56"/>
        <v>0.0004111334011</v>
      </c>
      <c r="AK208" s="284">
        <f t="shared" si="56"/>
        <v>0.0005942317205</v>
      </c>
      <c r="AL208" s="284">
        <f t="shared" si="56"/>
        <v>0.0002315597204</v>
      </c>
      <c r="AM208" s="284">
        <f t="shared" si="56"/>
        <v>0.0002748187078</v>
      </c>
      <c r="AN208" s="284">
        <f t="shared" si="56"/>
        <v>0.0001577099807</v>
      </c>
      <c r="AO208" s="284">
        <f t="shared" si="56"/>
        <v>0.0002204748022</v>
      </c>
      <c r="AP208" s="284">
        <f t="shared" si="56"/>
        <v>0.000317588417</v>
      </c>
      <c r="AQ208" s="284">
        <f t="shared" si="56"/>
        <v>0.0002818901682</v>
      </c>
      <c r="AR208" s="284">
        <f t="shared" si="56"/>
        <v>0.0006456052041</v>
      </c>
      <c r="AS208" s="284">
        <f t="shared" si="56"/>
        <v>0.001243009334</v>
      </c>
      <c r="AT208" s="163"/>
    </row>
    <row r="209">
      <c r="A209" s="80"/>
      <c r="B209" s="81"/>
      <c r="C209" s="81"/>
      <c r="D209" s="81"/>
      <c r="E209" s="194" t="s">
        <v>231</v>
      </c>
      <c r="F209" s="195" t="s">
        <v>122</v>
      </c>
      <c r="G209" s="291" t="s">
        <v>149</v>
      </c>
      <c r="H209" s="197" t="s">
        <v>150</v>
      </c>
      <c r="I209" s="457">
        <f t="shared" ref="I209:AS209" si="57">SUM(I203:I208)</f>
        <v>0.03459812996</v>
      </c>
      <c r="J209" s="457">
        <f t="shared" si="57"/>
        <v>0.02578014968</v>
      </c>
      <c r="K209" s="457">
        <f t="shared" si="57"/>
        <v>0.03505140602</v>
      </c>
      <c r="L209" s="457">
        <f t="shared" si="57"/>
        <v>0.01666750474</v>
      </c>
      <c r="M209" s="457">
        <f t="shared" si="57"/>
        <v>0.02388835568</v>
      </c>
      <c r="N209" s="457">
        <f t="shared" si="57"/>
        <v>0.02536577056</v>
      </c>
      <c r="O209" s="457">
        <f t="shared" si="57"/>
        <v>0.02809935982</v>
      </c>
      <c r="P209" s="457">
        <f t="shared" si="57"/>
        <v>0.03798047256</v>
      </c>
      <c r="Q209" s="457">
        <f t="shared" si="57"/>
        <v>0.04427568756</v>
      </c>
      <c r="R209" s="457">
        <f t="shared" si="57"/>
        <v>0.01069610751</v>
      </c>
      <c r="S209" s="457">
        <f t="shared" si="57"/>
        <v>0.02369885012</v>
      </c>
      <c r="T209" s="457">
        <f t="shared" si="57"/>
        <v>0.006732027086</v>
      </c>
      <c r="U209" s="457">
        <f t="shared" si="57"/>
        <v>0.007421606442</v>
      </c>
      <c r="V209" s="457">
        <f t="shared" si="57"/>
        <v>0.01026156481</v>
      </c>
      <c r="W209" s="457">
        <f t="shared" si="57"/>
        <v>0.01291154104</v>
      </c>
      <c r="X209" s="457">
        <f t="shared" si="57"/>
        <v>0.01077697798</v>
      </c>
      <c r="Y209" s="457">
        <f t="shared" si="57"/>
        <v>0.008581361525</v>
      </c>
      <c r="Z209" s="457">
        <f t="shared" si="57"/>
        <v>0.008624620188</v>
      </c>
      <c r="AA209" s="457">
        <f t="shared" si="57"/>
        <v>0.01275080411</v>
      </c>
      <c r="AB209" s="457">
        <f t="shared" si="57"/>
        <v>0.00977686929</v>
      </c>
      <c r="AC209" s="457">
        <f t="shared" si="57"/>
        <v>0.007623573869</v>
      </c>
      <c r="AD209" s="457">
        <f t="shared" si="57"/>
        <v>0.005340624866</v>
      </c>
      <c r="AE209" s="457">
        <f t="shared" si="57"/>
        <v>0.008240216729</v>
      </c>
      <c r="AF209" s="457">
        <f t="shared" si="57"/>
        <v>0.005450096745</v>
      </c>
      <c r="AG209" s="457">
        <f t="shared" si="57"/>
        <v>0.007731096426</v>
      </c>
      <c r="AH209" s="457">
        <f t="shared" si="57"/>
        <v>0.004752018453</v>
      </c>
      <c r="AI209" s="457">
        <f t="shared" si="57"/>
        <v>0.004151256665</v>
      </c>
      <c r="AJ209" s="457">
        <f t="shared" si="57"/>
        <v>0.01024423294</v>
      </c>
      <c r="AK209" s="457">
        <f t="shared" si="57"/>
        <v>0.01482581822</v>
      </c>
      <c r="AL209" s="457">
        <f t="shared" si="57"/>
        <v>0.006174332977</v>
      </c>
      <c r="AM209" s="457">
        <f t="shared" si="57"/>
        <v>0.007368532141</v>
      </c>
      <c r="AN209" s="457">
        <f t="shared" si="57"/>
        <v>0.003543232406</v>
      </c>
      <c r="AO209" s="457">
        <f t="shared" si="57"/>
        <v>0.004585521975</v>
      </c>
      <c r="AP209" s="457">
        <f t="shared" si="57"/>
        <v>0.008379966077</v>
      </c>
      <c r="AQ209" s="457">
        <f t="shared" si="57"/>
        <v>0.008614915577</v>
      </c>
      <c r="AR209" s="457">
        <f t="shared" si="57"/>
        <v>0.02373794559</v>
      </c>
      <c r="AS209" s="457">
        <f t="shared" si="57"/>
        <v>0.01912316715</v>
      </c>
      <c r="AT209" s="248"/>
    </row>
    <row r="210">
      <c r="A210" s="81"/>
      <c r="B210" s="81"/>
      <c r="C210" s="90"/>
      <c r="D210" s="90"/>
      <c r="E210" s="243"/>
      <c r="F210" s="108"/>
      <c r="G210" s="109"/>
      <c r="H210" s="607"/>
      <c r="I210" s="608"/>
      <c r="J210" s="608"/>
      <c r="K210" s="608"/>
      <c r="L210" s="608"/>
      <c r="M210" s="608"/>
      <c r="N210" s="608"/>
      <c r="O210" s="608"/>
      <c r="P210" s="608"/>
      <c r="Q210" s="608"/>
      <c r="R210" s="608"/>
      <c r="S210" s="608"/>
      <c r="T210" s="245"/>
      <c r="U210" s="608"/>
      <c r="V210" s="608"/>
      <c r="W210" s="608"/>
      <c r="X210" s="608"/>
      <c r="Y210" s="608"/>
      <c r="Z210" s="608"/>
      <c r="AA210" s="608"/>
      <c r="AB210" s="608"/>
      <c r="AC210" s="608"/>
      <c r="AD210" s="608"/>
      <c r="AE210" s="608"/>
      <c r="AF210" s="608"/>
      <c r="AG210" s="608"/>
      <c r="AH210" s="608"/>
      <c r="AI210" s="608"/>
      <c r="AJ210" s="608"/>
      <c r="AK210" s="608"/>
      <c r="AL210" s="608"/>
      <c r="AM210" s="608"/>
      <c r="AN210" s="608"/>
      <c r="AO210" s="608"/>
      <c r="AP210" s="608"/>
      <c r="AQ210" s="608"/>
      <c r="AR210" s="608"/>
      <c r="AS210" s="608"/>
      <c r="AT210" s="88"/>
    </row>
    <row r="211">
      <c r="A211" s="81"/>
      <c r="B211" s="81"/>
      <c r="C211" s="112" t="s">
        <v>295</v>
      </c>
      <c r="F211" s="108"/>
      <c r="G211" s="109"/>
      <c r="H211" s="607"/>
      <c r="I211" s="608"/>
      <c r="J211" s="608"/>
      <c r="K211" s="608"/>
      <c r="L211" s="608"/>
      <c r="M211" s="608"/>
      <c r="N211" s="608"/>
      <c r="O211" s="608"/>
      <c r="P211" s="608"/>
      <c r="Q211" s="608"/>
      <c r="R211" s="608"/>
      <c r="S211" s="608"/>
      <c r="T211" s="245"/>
      <c r="U211" s="608"/>
      <c r="V211" s="608"/>
      <c r="W211" s="608"/>
      <c r="X211" s="608"/>
      <c r="Y211" s="608"/>
      <c r="Z211" s="608"/>
      <c r="AA211" s="608"/>
      <c r="AB211" s="608"/>
      <c r="AC211" s="608"/>
      <c r="AD211" s="608"/>
      <c r="AE211" s="608"/>
      <c r="AF211" s="608"/>
      <c r="AG211" s="608"/>
      <c r="AH211" s="608"/>
      <c r="AI211" s="608"/>
      <c r="AJ211" s="608"/>
      <c r="AK211" s="608"/>
      <c r="AL211" s="608"/>
      <c r="AM211" s="608"/>
      <c r="AN211" s="608"/>
      <c r="AO211" s="608"/>
      <c r="AP211" s="608"/>
      <c r="AQ211" s="608"/>
      <c r="AR211" s="608"/>
      <c r="AS211" s="608"/>
      <c r="AT211" s="88"/>
    </row>
    <row r="212">
      <c r="A212" s="81"/>
      <c r="B212" s="81"/>
      <c r="C212" s="90"/>
      <c r="D212" s="90"/>
      <c r="E212" s="113" t="s">
        <v>298</v>
      </c>
      <c r="F212" s="189" t="s">
        <v>122</v>
      </c>
      <c r="G212" s="189" t="s">
        <v>149</v>
      </c>
      <c r="H212" s="200" t="s">
        <v>150</v>
      </c>
      <c r="I212" s="192">
        <f t="shared" ref="I212:AS212" si="58">I203/I$209</f>
        <v>0.1558670414</v>
      </c>
      <c r="J212" s="192">
        <f t="shared" si="58"/>
        <v>0.111446033</v>
      </c>
      <c r="K212" s="192">
        <f t="shared" si="58"/>
        <v>0.1819900954</v>
      </c>
      <c r="L212" s="192">
        <f t="shared" si="58"/>
        <v>0.09894387757</v>
      </c>
      <c r="M212" s="192">
        <f t="shared" si="58"/>
        <v>0.109333246</v>
      </c>
      <c r="N212" s="192">
        <f t="shared" si="58"/>
        <v>0.1533590805</v>
      </c>
      <c r="O212" s="192">
        <f t="shared" si="58"/>
        <v>0.1425374223</v>
      </c>
      <c r="P212" s="192">
        <f t="shared" si="58"/>
        <v>0.1508466979</v>
      </c>
      <c r="Q212" s="192">
        <f t="shared" si="58"/>
        <v>0.178910547</v>
      </c>
      <c r="R212" s="192">
        <f t="shared" si="58"/>
        <v>0.08916603606</v>
      </c>
      <c r="S212" s="192">
        <f t="shared" si="58"/>
        <v>0.1156092825</v>
      </c>
      <c r="T212" s="192">
        <f t="shared" si="58"/>
        <v>0.08829190187</v>
      </c>
      <c r="U212" s="192">
        <f t="shared" si="58"/>
        <v>0.0853377924</v>
      </c>
      <c r="V212" s="192">
        <f t="shared" si="58"/>
        <v>0.07006643163</v>
      </c>
      <c r="W212" s="192">
        <f t="shared" si="58"/>
        <v>0.09369704965</v>
      </c>
      <c r="X212" s="192">
        <f t="shared" si="58"/>
        <v>0.1059599334</v>
      </c>
      <c r="Y212" s="192">
        <f t="shared" si="58"/>
        <v>0.1047535791</v>
      </c>
      <c r="Z212" s="192">
        <f t="shared" si="58"/>
        <v>0.09989688996</v>
      </c>
      <c r="AA212" s="192">
        <f t="shared" si="58"/>
        <v>0.1111326909</v>
      </c>
      <c r="AB212" s="192">
        <f t="shared" si="58"/>
        <v>0.1059417994</v>
      </c>
      <c r="AC212" s="192">
        <f t="shared" si="58"/>
        <v>0.1173885353</v>
      </c>
      <c r="AD212" s="192">
        <f t="shared" si="58"/>
        <v>0.1067022447</v>
      </c>
      <c r="AE212" s="192">
        <f t="shared" si="58"/>
        <v>0.1083502661</v>
      </c>
      <c r="AF212" s="192">
        <f t="shared" si="58"/>
        <v>0.1102137093</v>
      </c>
      <c r="AG212" s="192">
        <f t="shared" si="58"/>
        <v>0.0787978683</v>
      </c>
      <c r="AH212" s="192">
        <f t="shared" si="58"/>
        <v>0.08349009347</v>
      </c>
      <c r="AI212" s="192">
        <f t="shared" si="58"/>
        <v>0.09400501514</v>
      </c>
      <c r="AJ212" s="192">
        <f t="shared" si="58"/>
        <v>0.1051903911</v>
      </c>
      <c r="AK212" s="192">
        <f t="shared" si="58"/>
        <v>0.09815270775</v>
      </c>
      <c r="AL212" s="192">
        <f t="shared" si="58"/>
        <v>0.08973276876</v>
      </c>
      <c r="AM212" s="192">
        <f t="shared" si="58"/>
        <v>0.09469704052</v>
      </c>
      <c r="AN212" s="192">
        <f t="shared" si="58"/>
        <v>0.1079607169</v>
      </c>
      <c r="AO212" s="192">
        <f t="shared" si="58"/>
        <v>0.07164622243</v>
      </c>
      <c r="AP212" s="192">
        <f t="shared" si="58"/>
        <v>0.1166944193</v>
      </c>
      <c r="AQ212" s="192">
        <f t="shared" si="58"/>
        <v>0.09936603243</v>
      </c>
      <c r="AR212" s="192">
        <f t="shared" si="58"/>
        <v>0.09711579504</v>
      </c>
      <c r="AS212" s="192">
        <f t="shared" si="58"/>
        <v>0.1464734721</v>
      </c>
      <c r="AT212" s="136"/>
    </row>
    <row r="213">
      <c r="A213" s="81"/>
      <c r="B213" s="81"/>
      <c r="C213" s="90"/>
      <c r="D213" s="90"/>
      <c r="E213" s="140" t="s">
        <v>307</v>
      </c>
      <c r="F213" s="215" t="s">
        <v>122</v>
      </c>
      <c r="G213" s="215" t="s">
        <v>149</v>
      </c>
      <c r="H213" s="187" t="s">
        <v>150</v>
      </c>
      <c r="I213" s="218">
        <f t="shared" ref="I213:AS213" si="59">I204/I$209</f>
        <v>0.08896884937</v>
      </c>
      <c r="J213" s="218">
        <f t="shared" si="59"/>
        <v>0.1109284451</v>
      </c>
      <c r="K213" s="218">
        <f t="shared" si="59"/>
        <v>0.1053297754</v>
      </c>
      <c r="L213" s="218">
        <f t="shared" si="59"/>
        <v>0.1181678126</v>
      </c>
      <c r="M213" s="218">
        <f t="shared" si="59"/>
        <v>0.09116401454</v>
      </c>
      <c r="N213" s="218">
        <f t="shared" si="59"/>
        <v>0.1128513452</v>
      </c>
      <c r="O213" s="218">
        <f t="shared" si="59"/>
        <v>0.129327271</v>
      </c>
      <c r="P213" s="218">
        <f t="shared" si="59"/>
        <v>0.1064788899</v>
      </c>
      <c r="Q213" s="218">
        <f t="shared" si="59"/>
        <v>0.1160056538</v>
      </c>
      <c r="R213" s="218">
        <f t="shared" si="59"/>
        <v>0.06863405222</v>
      </c>
      <c r="S213" s="218">
        <f t="shared" si="59"/>
        <v>0.07980254224</v>
      </c>
      <c r="T213" s="218">
        <f t="shared" si="59"/>
        <v>0.117827734</v>
      </c>
      <c r="U213" s="218">
        <f t="shared" si="59"/>
        <v>0.1447881688</v>
      </c>
      <c r="V213" s="218">
        <f t="shared" si="59"/>
        <v>0.1403883056</v>
      </c>
      <c r="W213" s="218">
        <f t="shared" si="59"/>
        <v>0.09290242488</v>
      </c>
      <c r="X213" s="218">
        <f t="shared" si="59"/>
        <v>0.1540927292</v>
      </c>
      <c r="Y213" s="218">
        <f t="shared" si="59"/>
        <v>0.1231679002</v>
      </c>
      <c r="Z213" s="218">
        <f t="shared" si="59"/>
        <v>0.1068475488</v>
      </c>
      <c r="AA213" s="218">
        <f t="shared" si="59"/>
        <v>0.08865444052</v>
      </c>
      <c r="AB213" s="218">
        <f t="shared" si="59"/>
        <v>0.08969760482</v>
      </c>
      <c r="AC213" s="218">
        <f t="shared" si="59"/>
        <v>0.07383647934</v>
      </c>
      <c r="AD213" s="218">
        <f t="shared" si="59"/>
        <v>0.1276313529</v>
      </c>
      <c r="AE213" s="218">
        <f t="shared" si="59"/>
        <v>0.09484107876</v>
      </c>
      <c r="AF213" s="218">
        <f t="shared" si="59"/>
        <v>0.08454995567</v>
      </c>
      <c r="AG213" s="218">
        <f t="shared" si="59"/>
        <v>0.2457297692</v>
      </c>
      <c r="AH213" s="218">
        <f t="shared" si="59"/>
        <v>0.1477107216</v>
      </c>
      <c r="AI213" s="218">
        <f t="shared" si="59"/>
        <v>0.100532583</v>
      </c>
      <c r="AJ213" s="218">
        <f t="shared" si="59"/>
        <v>0.1225265418</v>
      </c>
      <c r="AK213" s="218">
        <f t="shared" si="59"/>
        <v>0.1133749702</v>
      </c>
      <c r="AL213" s="218">
        <f t="shared" si="59"/>
        <v>0.1312902558</v>
      </c>
      <c r="AM213" s="218">
        <f t="shared" si="59"/>
        <v>0.08785534038</v>
      </c>
      <c r="AN213" s="218">
        <f t="shared" si="59"/>
        <v>0.1167646139</v>
      </c>
      <c r="AO213" s="218">
        <f t="shared" si="59"/>
        <v>0.1736834641</v>
      </c>
      <c r="AP213" s="218">
        <f t="shared" si="59"/>
        <v>0.09429308263</v>
      </c>
      <c r="AQ213" s="218">
        <f t="shared" si="59"/>
        <v>0.09632127277</v>
      </c>
      <c r="AR213" s="218">
        <f t="shared" si="59"/>
        <v>0.08030224217</v>
      </c>
      <c r="AS213" s="218">
        <f t="shared" si="59"/>
        <v>0.1308347392</v>
      </c>
      <c r="AT213" s="163"/>
    </row>
    <row r="214">
      <c r="A214" s="81"/>
      <c r="B214" s="81"/>
      <c r="C214" s="90"/>
      <c r="D214" s="90"/>
      <c r="E214" s="140" t="s">
        <v>311</v>
      </c>
      <c r="F214" s="215" t="s">
        <v>122</v>
      </c>
      <c r="G214" s="215" t="s">
        <v>149</v>
      </c>
      <c r="H214" s="187" t="s">
        <v>150</v>
      </c>
      <c r="I214" s="218">
        <f t="shared" ref="I214:AS214" si="60">I205/I$209</f>
        <v>0.02398346483</v>
      </c>
      <c r="J214" s="218">
        <f t="shared" si="60"/>
        <v>0.0284403539</v>
      </c>
      <c r="K214" s="218">
        <f t="shared" si="60"/>
        <v>0.0246747568</v>
      </c>
      <c r="L214" s="218">
        <f t="shared" si="60"/>
        <v>0.03258535962</v>
      </c>
      <c r="M214" s="218">
        <f t="shared" si="60"/>
        <v>0.02928939572</v>
      </c>
      <c r="N214" s="218">
        <f t="shared" si="60"/>
        <v>0.02309122122</v>
      </c>
      <c r="O214" s="218">
        <f t="shared" si="60"/>
        <v>0.02315329921</v>
      </c>
      <c r="P214" s="218">
        <f t="shared" si="60"/>
        <v>0.02192476747</v>
      </c>
      <c r="Q214" s="218">
        <f t="shared" si="60"/>
        <v>0.01901939976</v>
      </c>
      <c r="R214" s="218">
        <f t="shared" si="60"/>
        <v>0.04052540492</v>
      </c>
      <c r="S214" s="218">
        <f t="shared" si="60"/>
        <v>0.03338346927</v>
      </c>
      <c r="T214" s="218">
        <f t="shared" si="60"/>
        <v>0.0420369838</v>
      </c>
      <c r="U214" s="218">
        <f t="shared" si="60"/>
        <v>0.0453899234</v>
      </c>
      <c r="V214" s="218">
        <f t="shared" si="60"/>
        <v>0.03061347883</v>
      </c>
      <c r="W214" s="218">
        <f t="shared" si="60"/>
        <v>0.03295400081</v>
      </c>
      <c r="X214" s="218">
        <f t="shared" si="60"/>
        <v>0.02371355659</v>
      </c>
      <c r="Y214" s="218">
        <f t="shared" si="60"/>
        <v>0.04129861385</v>
      </c>
      <c r="Z214" s="218">
        <f t="shared" si="60"/>
        <v>0.04053220107</v>
      </c>
      <c r="AA214" s="218">
        <f t="shared" si="60"/>
        <v>0.0428660232</v>
      </c>
      <c r="AB214" s="218">
        <f t="shared" si="60"/>
        <v>0.05046584095</v>
      </c>
      <c r="AC214" s="218">
        <f t="shared" si="60"/>
        <v>0.04737558134</v>
      </c>
      <c r="AD214" s="218">
        <f t="shared" si="60"/>
        <v>0.04399668458</v>
      </c>
      <c r="AE214" s="218">
        <f t="shared" si="60"/>
        <v>0.04502118665</v>
      </c>
      <c r="AF214" s="218">
        <f t="shared" si="60"/>
        <v>0.0472211996</v>
      </c>
      <c r="AG214" s="218">
        <f t="shared" si="60"/>
        <v>0.03167529441</v>
      </c>
      <c r="AH214" s="218">
        <f t="shared" si="60"/>
        <v>0.03474733049</v>
      </c>
      <c r="AI214" s="218">
        <f t="shared" si="60"/>
        <v>0.04734809014</v>
      </c>
      <c r="AJ214" s="218">
        <f t="shared" si="60"/>
        <v>0.03347341442</v>
      </c>
      <c r="AK214" s="218">
        <f t="shared" si="60"/>
        <v>0.02867668372</v>
      </c>
      <c r="AL214" s="218">
        <f t="shared" si="60"/>
        <v>0.03564020457</v>
      </c>
      <c r="AM214" s="218">
        <f t="shared" si="60"/>
        <v>0.04241722203</v>
      </c>
      <c r="AN214" s="218">
        <f t="shared" si="60"/>
        <v>0.04046398201</v>
      </c>
      <c r="AO214" s="218">
        <f t="shared" si="60"/>
        <v>0.03680863594</v>
      </c>
      <c r="AP214" s="218">
        <f t="shared" si="60"/>
        <v>0.03618594899</v>
      </c>
      <c r="AQ214" s="218">
        <f t="shared" si="60"/>
        <v>0.04475902081</v>
      </c>
      <c r="AR214" s="218">
        <f t="shared" si="60"/>
        <v>0.03073011613</v>
      </c>
      <c r="AS214" s="218">
        <f t="shared" si="60"/>
        <v>0.02396968527</v>
      </c>
      <c r="AT214" s="163"/>
    </row>
    <row r="215">
      <c r="A215" s="81"/>
      <c r="B215" s="81"/>
      <c r="C215" s="90"/>
      <c r="D215" s="90"/>
      <c r="E215" s="140" t="s">
        <v>316</v>
      </c>
      <c r="F215" s="215" t="s">
        <v>122</v>
      </c>
      <c r="G215" s="215" t="s">
        <v>149</v>
      </c>
      <c r="H215" s="187" t="s">
        <v>150</v>
      </c>
      <c r="I215" s="218">
        <f t="shared" ref="I215:AS215" si="61">I206/I$209</f>
        <v>0.3608421761</v>
      </c>
      <c r="J215" s="218">
        <f t="shared" si="61"/>
        <v>0.4120029286</v>
      </c>
      <c r="K215" s="218">
        <f t="shared" si="61"/>
        <v>0.3683655146</v>
      </c>
      <c r="L215" s="218">
        <f t="shared" si="61"/>
        <v>0.460209587</v>
      </c>
      <c r="M215" s="218">
        <f t="shared" si="61"/>
        <v>0.4356478272</v>
      </c>
      <c r="N215" s="218">
        <f t="shared" si="61"/>
        <v>0.3394637875</v>
      </c>
      <c r="O215" s="218">
        <f t="shared" si="61"/>
        <v>0.3394729828</v>
      </c>
      <c r="P215" s="218">
        <f t="shared" si="61"/>
        <v>0.3402111559</v>
      </c>
      <c r="Q215" s="218">
        <f t="shared" si="61"/>
        <v>0.2848893844</v>
      </c>
      <c r="R215" s="218">
        <f t="shared" si="61"/>
        <v>0.4990744003</v>
      </c>
      <c r="S215" s="218">
        <f t="shared" si="61"/>
        <v>0.456397041</v>
      </c>
      <c r="T215" s="218">
        <f t="shared" si="61"/>
        <v>0.5085299138</v>
      </c>
      <c r="U215" s="218">
        <f t="shared" si="61"/>
        <v>0.5511526764</v>
      </c>
      <c r="V215" s="218">
        <f t="shared" si="61"/>
        <v>0.4080094867</v>
      </c>
      <c r="W215" s="218">
        <f t="shared" si="61"/>
        <v>0.4205999059</v>
      </c>
      <c r="X215" s="218">
        <f t="shared" si="61"/>
        <v>0.3134721534</v>
      </c>
      <c r="Y215" s="218">
        <f t="shared" si="61"/>
        <v>0.4908902057</v>
      </c>
      <c r="Z215" s="218">
        <f t="shared" si="61"/>
        <v>0.5130330014</v>
      </c>
      <c r="AA215" s="218">
        <f t="shared" si="61"/>
        <v>0.5012677059</v>
      </c>
      <c r="AB215" s="218">
        <f t="shared" si="61"/>
        <v>0.5599930086</v>
      </c>
      <c r="AC215" s="218">
        <f t="shared" si="61"/>
        <v>0.5289332409</v>
      </c>
      <c r="AD215" s="218">
        <f t="shared" si="61"/>
        <v>0.5073891358</v>
      </c>
      <c r="AE215" s="218">
        <f t="shared" si="61"/>
        <v>0.5350648901</v>
      </c>
      <c r="AF215" s="218">
        <f t="shared" si="61"/>
        <v>0.5582620726</v>
      </c>
      <c r="AG215" s="218">
        <f t="shared" si="61"/>
        <v>0.4269891467</v>
      </c>
      <c r="AH215" s="218">
        <f t="shared" si="61"/>
        <v>0.4556942045</v>
      </c>
      <c r="AI215" s="218">
        <f t="shared" si="61"/>
        <v>0.5261354085</v>
      </c>
      <c r="AJ215" s="218">
        <f t="shared" si="61"/>
        <v>0.4615522525</v>
      </c>
      <c r="AK215" s="218">
        <f t="shared" si="61"/>
        <v>0.4140907721</v>
      </c>
      <c r="AL215" s="218">
        <f t="shared" si="61"/>
        <v>0.4821195192</v>
      </c>
      <c r="AM215" s="218">
        <f t="shared" si="61"/>
        <v>0.5451507385</v>
      </c>
      <c r="AN215" s="218">
        <f t="shared" si="61"/>
        <v>0.4803235914</v>
      </c>
      <c r="AO215" s="218">
        <f t="shared" si="61"/>
        <v>0.4781437597</v>
      </c>
      <c r="AP215" s="218">
        <f t="shared" si="61"/>
        <v>0.4574804759</v>
      </c>
      <c r="AQ215" s="218">
        <f t="shared" si="61"/>
        <v>0.5328694859</v>
      </c>
      <c r="AR215" s="218">
        <f t="shared" si="61"/>
        <v>0.4447937326</v>
      </c>
      <c r="AS215" s="218">
        <f t="shared" si="61"/>
        <v>0.3462110305</v>
      </c>
      <c r="AT215" s="163"/>
    </row>
    <row r="216">
      <c r="A216" s="81"/>
      <c r="B216" s="81"/>
      <c r="C216" s="90"/>
      <c r="D216" s="90"/>
      <c r="E216" s="140" t="s">
        <v>321</v>
      </c>
      <c r="F216" s="215" t="s">
        <v>122</v>
      </c>
      <c r="G216" s="215" t="s">
        <v>149</v>
      </c>
      <c r="H216" s="187" t="s">
        <v>150</v>
      </c>
      <c r="I216" s="218">
        <f t="shared" ref="I216:AS216" si="62">I207/I$209</f>
        <v>0.3228127422</v>
      </c>
      <c r="J216" s="218">
        <f t="shared" si="62"/>
        <v>0.3002138185</v>
      </c>
      <c r="K216" s="218">
        <f t="shared" si="62"/>
        <v>0.2655499024</v>
      </c>
      <c r="L216" s="218">
        <f t="shared" si="62"/>
        <v>0.2471178024</v>
      </c>
      <c r="M216" s="218">
        <f t="shared" si="62"/>
        <v>0.307369161</v>
      </c>
      <c r="N216" s="218">
        <f t="shared" si="62"/>
        <v>0.3054683759</v>
      </c>
      <c r="O216" s="218">
        <f t="shared" si="62"/>
        <v>0.3035249118</v>
      </c>
      <c r="P216" s="218">
        <f t="shared" si="62"/>
        <v>0.3288429917</v>
      </c>
      <c r="Q216" s="218">
        <f t="shared" si="62"/>
        <v>0.3429175187</v>
      </c>
      <c r="R216" s="218">
        <f t="shared" si="62"/>
        <v>0.283016926</v>
      </c>
      <c r="S216" s="218">
        <f t="shared" si="62"/>
        <v>0.2883588257</v>
      </c>
      <c r="T216" s="218">
        <f t="shared" si="62"/>
        <v>0.2025856273</v>
      </c>
      <c r="U216" s="218">
        <f t="shared" si="62"/>
        <v>0.1444677185</v>
      </c>
      <c r="V216" s="218">
        <f t="shared" si="62"/>
        <v>0.3053551694</v>
      </c>
      <c r="W216" s="218">
        <f t="shared" si="62"/>
        <v>0.3319899773</v>
      </c>
      <c r="X216" s="218">
        <f t="shared" si="62"/>
        <v>0.3408024225</v>
      </c>
      <c r="Y216" s="218">
        <f t="shared" si="62"/>
        <v>0.1960140036</v>
      </c>
      <c r="Z216" s="218">
        <f t="shared" si="62"/>
        <v>0.2058401605</v>
      </c>
      <c r="AA216" s="218">
        <f t="shared" si="62"/>
        <v>0.2259046425</v>
      </c>
      <c r="AB216" s="218">
        <f t="shared" si="62"/>
        <v>0.1605693964</v>
      </c>
      <c r="AC216" s="218">
        <f t="shared" si="62"/>
        <v>0.1893477015</v>
      </c>
      <c r="AD216" s="218">
        <f t="shared" si="62"/>
        <v>0.17604039</v>
      </c>
      <c r="AE216" s="218">
        <f t="shared" si="62"/>
        <v>0.1890182848</v>
      </c>
      <c r="AF216" s="218">
        <f t="shared" si="62"/>
        <v>0.170915657</v>
      </c>
      <c r="AG216" s="218">
        <f t="shared" si="62"/>
        <v>0.1693080729</v>
      </c>
      <c r="AH216" s="218">
        <f t="shared" si="62"/>
        <v>0.2057106572</v>
      </c>
      <c r="AI216" s="218">
        <f t="shared" si="62"/>
        <v>0.1941672489</v>
      </c>
      <c r="AJ216" s="218">
        <f t="shared" si="62"/>
        <v>0.237124244</v>
      </c>
      <c r="AK216" s="218">
        <f t="shared" si="62"/>
        <v>0.3056239943</v>
      </c>
      <c r="AL216" s="218">
        <f t="shared" si="62"/>
        <v>0.2237136506</v>
      </c>
      <c r="AM216" s="218">
        <f t="shared" si="62"/>
        <v>0.1925833962</v>
      </c>
      <c r="AN216" s="218">
        <f t="shared" si="62"/>
        <v>0.2099768964</v>
      </c>
      <c r="AO216" s="218">
        <f t="shared" si="62"/>
        <v>0.1916372841</v>
      </c>
      <c r="AP216" s="218">
        <f t="shared" si="62"/>
        <v>0.2574475406</v>
      </c>
      <c r="AQ216" s="218">
        <f t="shared" si="62"/>
        <v>0.1939630121</v>
      </c>
      <c r="AR216" s="218">
        <f t="shared" si="62"/>
        <v>0.319860933</v>
      </c>
      <c r="AS216" s="218">
        <f t="shared" si="62"/>
        <v>0.2875108914</v>
      </c>
      <c r="AT216" s="163"/>
    </row>
    <row r="217">
      <c r="A217" s="81"/>
      <c r="B217" s="81"/>
      <c r="C217" s="90"/>
      <c r="D217" s="90"/>
      <c r="E217" s="237" t="s">
        <v>326</v>
      </c>
      <c r="F217" s="195" t="s">
        <v>122</v>
      </c>
      <c r="G217" s="195" t="s">
        <v>149</v>
      </c>
      <c r="H217" s="197" t="s">
        <v>150</v>
      </c>
      <c r="I217" s="211">
        <f t="shared" ref="I217:AS217" si="63">I208/I$209</f>
        <v>0.04752572606</v>
      </c>
      <c r="J217" s="211">
        <f t="shared" si="63"/>
        <v>0.03696842093</v>
      </c>
      <c r="K217" s="211">
        <f t="shared" si="63"/>
        <v>0.05408995533</v>
      </c>
      <c r="L217" s="211">
        <f t="shared" si="63"/>
        <v>0.04297556073</v>
      </c>
      <c r="M217" s="211">
        <f t="shared" si="63"/>
        <v>0.02719635565</v>
      </c>
      <c r="N217" s="211">
        <f t="shared" si="63"/>
        <v>0.06576618958</v>
      </c>
      <c r="O217" s="211">
        <f t="shared" si="63"/>
        <v>0.06198411293</v>
      </c>
      <c r="P217" s="211">
        <f t="shared" si="63"/>
        <v>0.05169549713</v>
      </c>
      <c r="Q217" s="211">
        <f t="shared" si="63"/>
        <v>0.05825749633</v>
      </c>
      <c r="R217" s="211">
        <f t="shared" si="63"/>
        <v>0.01958318048</v>
      </c>
      <c r="S217" s="211">
        <f t="shared" si="63"/>
        <v>0.02644883921</v>
      </c>
      <c r="T217" s="211">
        <f t="shared" si="63"/>
        <v>0.04072783928</v>
      </c>
      <c r="U217" s="211">
        <f t="shared" si="63"/>
        <v>0.02886372047</v>
      </c>
      <c r="V217" s="211">
        <f t="shared" si="63"/>
        <v>0.04556712783</v>
      </c>
      <c r="W217" s="211">
        <f t="shared" si="63"/>
        <v>0.02785664148</v>
      </c>
      <c r="X217" s="211">
        <f t="shared" si="63"/>
        <v>0.06195920483</v>
      </c>
      <c r="Y217" s="211">
        <f t="shared" si="63"/>
        <v>0.04387569748</v>
      </c>
      <c r="Z217" s="211">
        <f t="shared" si="63"/>
        <v>0.03385019832</v>
      </c>
      <c r="AA217" s="211">
        <f t="shared" si="63"/>
        <v>0.03017449706</v>
      </c>
      <c r="AB217" s="211">
        <f t="shared" si="63"/>
        <v>0.03333234985</v>
      </c>
      <c r="AC217" s="211">
        <f t="shared" si="63"/>
        <v>0.04311846156</v>
      </c>
      <c r="AD217" s="211">
        <f t="shared" si="63"/>
        <v>0.03824019206</v>
      </c>
      <c r="AE217" s="211">
        <f t="shared" si="63"/>
        <v>0.02770429361</v>
      </c>
      <c r="AF217" s="211">
        <f t="shared" si="63"/>
        <v>0.02883740588</v>
      </c>
      <c r="AG217" s="211">
        <f t="shared" si="63"/>
        <v>0.04749984839</v>
      </c>
      <c r="AH217" s="211">
        <f t="shared" si="63"/>
        <v>0.07264699283</v>
      </c>
      <c r="AI217" s="211">
        <f t="shared" si="63"/>
        <v>0.03781165429</v>
      </c>
      <c r="AJ217" s="211">
        <f t="shared" si="63"/>
        <v>0.04013315622</v>
      </c>
      <c r="AK217" s="211">
        <f t="shared" si="63"/>
        <v>0.04008087186</v>
      </c>
      <c r="AL217" s="211">
        <f t="shared" si="63"/>
        <v>0.03750360099</v>
      </c>
      <c r="AM217" s="211">
        <f t="shared" si="63"/>
        <v>0.03729626235</v>
      </c>
      <c r="AN217" s="211">
        <f t="shared" si="63"/>
        <v>0.04451019935</v>
      </c>
      <c r="AO217" s="211">
        <f t="shared" si="63"/>
        <v>0.04808063365</v>
      </c>
      <c r="AP217" s="211">
        <f t="shared" si="63"/>
        <v>0.03789853253</v>
      </c>
      <c r="AQ217" s="211">
        <f t="shared" si="63"/>
        <v>0.03272117593</v>
      </c>
      <c r="AR217" s="211">
        <f t="shared" si="63"/>
        <v>0.02719718106</v>
      </c>
      <c r="AS217" s="211">
        <f t="shared" si="63"/>
        <v>0.06500018141</v>
      </c>
      <c r="AT217" s="248"/>
    </row>
    <row r="218">
      <c r="A218" s="81"/>
      <c r="B218" s="81"/>
      <c r="C218" s="90"/>
      <c r="D218" s="90"/>
      <c r="E218" s="243"/>
      <c r="F218" s="108"/>
      <c r="G218" s="109"/>
      <c r="H218" s="607"/>
      <c r="I218" s="608"/>
      <c r="J218" s="608"/>
      <c r="K218" s="608"/>
      <c r="L218" s="608"/>
      <c r="M218" s="608"/>
      <c r="N218" s="608"/>
      <c r="O218" s="608"/>
      <c r="P218" s="608"/>
      <c r="Q218" s="608"/>
      <c r="R218" s="608"/>
      <c r="S218" s="608"/>
      <c r="T218" s="245"/>
      <c r="U218" s="608"/>
      <c r="V218" s="608"/>
      <c r="W218" s="608"/>
      <c r="X218" s="608"/>
      <c r="Y218" s="608"/>
      <c r="Z218" s="608"/>
      <c r="AA218" s="608"/>
      <c r="AB218" s="608"/>
      <c r="AC218" s="608"/>
      <c r="AD218" s="608"/>
      <c r="AE218" s="608"/>
      <c r="AF218" s="608"/>
      <c r="AG218" s="608"/>
      <c r="AH218" s="608"/>
      <c r="AI218" s="608"/>
      <c r="AJ218" s="608"/>
      <c r="AK218" s="608"/>
      <c r="AL218" s="608"/>
      <c r="AM218" s="608"/>
      <c r="AN218" s="608"/>
      <c r="AO218" s="608"/>
      <c r="AP218" s="608"/>
      <c r="AQ218" s="608"/>
      <c r="AR218" s="608"/>
      <c r="AS218" s="608"/>
      <c r="AT218" s="88"/>
    </row>
    <row r="219">
      <c r="A219" s="72" t="s">
        <v>849</v>
      </c>
      <c r="B219" s="14"/>
      <c r="C219" s="14"/>
      <c r="D219" s="14"/>
      <c r="E219" s="14"/>
      <c r="F219" s="14"/>
      <c r="G219" s="14"/>
      <c r="H219" s="168"/>
      <c r="I219" s="261"/>
      <c r="J219" s="261"/>
      <c r="K219" s="261"/>
      <c r="L219" s="261"/>
      <c r="M219" s="261"/>
      <c r="N219" s="261"/>
      <c r="O219" s="261"/>
      <c r="P219" s="261"/>
      <c r="Q219" s="261"/>
      <c r="R219" s="261"/>
      <c r="S219" s="261"/>
      <c r="T219" s="261"/>
      <c r="U219" s="261"/>
      <c r="V219" s="261"/>
      <c r="W219" s="261"/>
      <c r="X219" s="261"/>
      <c r="Y219" s="261"/>
      <c r="Z219" s="261"/>
      <c r="AA219" s="261"/>
      <c r="AB219" s="261"/>
      <c r="AC219" s="261"/>
      <c r="AD219" s="261"/>
      <c r="AE219" s="261"/>
      <c r="AF219" s="261"/>
      <c r="AG219" s="261"/>
      <c r="AH219" s="261"/>
      <c r="AI219" s="261"/>
      <c r="AJ219" s="261"/>
      <c r="AK219" s="261"/>
      <c r="AL219" s="261"/>
      <c r="AM219" s="261"/>
      <c r="AN219" s="261"/>
      <c r="AO219" s="261"/>
      <c r="AP219" s="261"/>
      <c r="AQ219" s="261"/>
      <c r="AR219" s="261"/>
      <c r="AS219" s="261"/>
      <c r="AT219" s="171"/>
    </row>
    <row r="220">
      <c r="A220" s="80"/>
      <c r="B220" s="81"/>
      <c r="C220" s="81"/>
      <c r="D220" s="81"/>
      <c r="E220" s="82"/>
      <c r="F220" s="83"/>
      <c r="G220" s="173"/>
      <c r="H220" s="85"/>
      <c r="I220" s="174"/>
      <c r="J220" s="174"/>
      <c r="K220" s="174"/>
      <c r="L220" s="174"/>
      <c r="M220" s="174"/>
      <c r="N220" s="174"/>
      <c r="O220" s="174"/>
      <c r="P220" s="174"/>
      <c r="Q220" s="174"/>
      <c r="R220" s="86"/>
      <c r="S220" s="174"/>
      <c r="T220" s="174"/>
      <c r="U220" s="174"/>
      <c r="V220" s="174"/>
      <c r="W220" s="174"/>
      <c r="X220" s="174"/>
      <c r="Y220" s="174"/>
      <c r="Z220" s="174"/>
      <c r="AA220" s="174"/>
      <c r="AB220" s="174"/>
      <c r="AC220" s="174"/>
      <c r="AD220" s="174"/>
      <c r="AE220" s="174"/>
      <c r="AF220" s="174"/>
      <c r="AG220" s="174"/>
      <c r="AH220" s="174"/>
      <c r="AI220" s="174"/>
      <c r="AJ220" s="174"/>
      <c r="AK220" s="174"/>
      <c r="AL220" s="174"/>
      <c r="AM220" s="174"/>
      <c r="AN220" s="174"/>
      <c r="AO220" s="174"/>
      <c r="AP220" s="174"/>
      <c r="AQ220" s="174"/>
      <c r="AR220" s="174"/>
      <c r="AS220" s="174"/>
      <c r="AT220" s="88"/>
    </row>
    <row r="221">
      <c r="A221" s="80"/>
      <c r="B221" s="81"/>
      <c r="C221" s="112" t="s">
        <v>850</v>
      </c>
      <c r="F221" s="83"/>
      <c r="G221" s="91"/>
      <c r="H221" s="85"/>
      <c r="I221" s="86"/>
      <c r="J221" s="86"/>
      <c r="K221" s="86"/>
      <c r="L221" s="86"/>
      <c r="M221" s="86"/>
      <c r="N221" s="86"/>
      <c r="O221" s="86"/>
      <c r="P221" s="86"/>
      <c r="Q221" s="86"/>
      <c r="R221" s="86"/>
      <c r="S221" s="86"/>
      <c r="T221" s="111"/>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c r="AQ221" s="86"/>
      <c r="AR221" s="86"/>
      <c r="AS221" s="86"/>
      <c r="AT221" s="88"/>
    </row>
    <row r="222">
      <c r="A222" s="80"/>
      <c r="B222" s="81"/>
      <c r="C222" s="90"/>
      <c r="D222" s="90"/>
      <c r="E222" s="113" t="s">
        <v>851</v>
      </c>
      <c r="F222" s="189" t="str">
        <f>Inputs!F184</f>
        <v>%</v>
      </c>
      <c r="G222" s="190" t="str">
        <f>Inputs!G184</f>
        <v>input</v>
      </c>
      <c r="H222" s="156">
        <f>Inputs!H184</f>
        <v>-0.1</v>
      </c>
      <c r="I222" s="264" t="str">
        <f>Inputs!I184</f>
        <v>-</v>
      </c>
      <c r="J222" s="264" t="str">
        <f>Inputs!J184</f>
        <v>-</v>
      </c>
      <c r="K222" s="264" t="str">
        <f>Inputs!K184</f>
        <v>-</v>
      </c>
      <c r="L222" s="264" t="str">
        <f>Inputs!L184</f>
        <v>-</v>
      </c>
      <c r="M222" s="264" t="str">
        <f>Inputs!M184</f>
        <v>-</v>
      </c>
      <c r="N222" s="264" t="str">
        <f>Inputs!N184</f>
        <v>-</v>
      </c>
      <c r="O222" s="264" t="str">
        <f>Inputs!O184</f>
        <v>-</v>
      </c>
      <c r="P222" s="264" t="str">
        <f>Inputs!P184</f>
        <v>-</v>
      </c>
      <c r="Q222" s="264" t="str">
        <f>Inputs!Q184</f>
        <v>-</v>
      </c>
      <c r="R222" s="264" t="str">
        <f>Inputs!R184</f>
        <v>-</v>
      </c>
      <c r="S222" s="264" t="str">
        <f>Inputs!S184</f>
        <v>-</v>
      </c>
      <c r="T222" s="119" t="str">
        <f>Inputs!T184</f>
        <v>-</v>
      </c>
      <c r="U222" s="264" t="str">
        <f>Inputs!U184</f>
        <v>-</v>
      </c>
      <c r="V222" s="264" t="str">
        <f>Inputs!V184</f>
        <v>-</v>
      </c>
      <c r="W222" s="264" t="str">
        <f>Inputs!W184</f>
        <v>-</v>
      </c>
      <c r="X222" s="264" t="str">
        <f>Inputs!X184</f>
        <v>-</v>
      </c>
      <c r="Y222" s="264" t="str">
        <f>Inputs!Y184</f>
        <v>-</v>
      </c>
      <c r="Z222" s="264" t="str">
        <f>Inputs!Z184</f>
        <v>-</v>
      </c>
      <c r="AA222" s="264" t="str">
        <f>Inputs!AA184</f>
        <v>-</v>
      </c>
      <c r="AB222" s="264" t="str">
        <f>Inputs!AB184</f>
        <v>-</v>
      </c>
      <c r="AC222" s="264" t="str">
        <f>Inputs!AC184</f>
        <v>-</v>
      </c>
      <c r="AD222" s="264" t="str">
        <f>Inputs!AD184</f>
        <v>-</v>
      </c>
      <c r="AE222" s="264" t="str">
        <f>Inputs!AE184</f>
        <v>-</v>
      </c>
      <c r="AF222" s="264" t="str">
        <f>Inputs!AF184</f>
        <v>-</v>
      </c>
      <c r="AG222" s="264" t="str">
        <f>Inputs!AG184</f>
        <v>-</v>
      </c>
      <c r="AH222" s="264" t="str">
        <f>Inputs!AH184</f>
        <v>-</v>
      </c>
      <c r="AI222" s="264" t="str">
        <f>Inputs!AI184</f>
        <v>-</v>
      </c>
      <c r="AJ222" s="264" t="str">
        <f>Inputs!AJ184</f>
        <v>-</v>
      </c>
      <c r="AK222" s="264" t="str">
        <f>Inputs!AK184</f>
        <v>-</v>
      </c>
      <c r="AL222" s="264" t="str">
        <f>Inputs!AL184</f>
        <v>-</v>
      </c>
      <c r="AM222" s="264" t="str">
        <f>Inputs!AM184</f>
        <v>-</v>
      </c>
      <c r="AN222" s="264" t="str">
        <f>Inputs!AN184</f>
        <v>-</v>
      </c>
      <c r="AO222" s="264" t="str">
        <f>Inputs!AO184</f>
        <v>-</v>
      </c>
      <c r="AP222" s="264" t="str">
        <f>Inputs!AP184</f>
        <v>-</v>
      </c>
      <c r="AQ222" s="264" t="str">
        <f>Inputs!AQ184</f>
        <v>-</v>
      </c>
      <c r="AR222" s="264" t="str">
        <f>Inputs!AR184</f>
        <v>-</v>
      </c>
      <c r="AS222" s="264" t="str">
        <f>Inputs!AS184</f>
        <v>-</v>
      </c>
      <c r="AT222" s="136"/>
    </row>
    <row r="223">
      <c r="A223" s="80"/>
      <c r="B223" s="81"/>
      <c r="C223" s="325"/>
      <c r="D223" s="325"/>
      <c r="E223" s="113" t="s">
        <v>854</v>
      </c>
      <c r="F223" s="189" t="s">
        <v>122</v>
      </c>
      <c r="G223" s="190" t="s">
        <v>149</v>
      </c>
      <c r="H223" s="200" t="s">
        <v>150</v>
      </c>
      <c r="I223" s="264">
        <f t="shared" ref="I223:AS223" si="64">I9*(1+$H222)</f>
        <v>0.0004780314</v>
      </c>
      <c r="J223" s="264">
        <f t="shared" si="64"/>
        <v>0.0002347605</v>
      </c>
      <c r="K223" s="264">
        <f t="shared" si="64"/>
        <v>0.0005391981</v>
      </c>
      <c r="L223" s="264">
        <f t="shared" si="64"/>
        <v>0.0001255743</v>
      </c>
      <c r="M223" s="264">
        <f t="shared" si="64"/>
        <v>0.0002547027</v>
      </c>
      <c r="N223" s="264">
        <f t="shared" si="64"/>
        <v>0.0003703185</v>
      </c>
      <c r="O223" s="264">
        <f t="shared" si="64"/>
        <v>0.0004017366</v>
      </c>
      <c r="P223" s="264">
        <f t="shared" si="64"/>
        <v>0.0005958081</v>
      </c>
      <c r="Q223" s="264">
        <f t="shared" si="64"/>
        <v>0.0006688161</v>
      </c>
      <c r="R223" s="264">
        <f t="shared" si="64"/>
        <v>0.00005589</v>
      </c>
      <c r="S223" s="264">
        <f t="shared" si="64"/>
        <v>0.0001887534</v>
      </c>
      <c r="T223" s="264">
        <f t="shared" si="64"/>
        <v>0.00005013</v>
      </c>
      <c r="U223" s="264">
        <f t="shared" si="64"/>
        <v>0.00005481</v>
      </c>
      <c r="V223" s="264">
        <f t="shared" si="64"/>
        <v>0.00005679</v>
      </c>
      <c r="W223" s="264">
        <f t="shared" si="64"/>
        <v>0.0001360485</v>
      </c>
      <c r="X223" s="264">
        <f t="shared" si="64"/>
        <v>0.0001256211</v>
      </c>
      <c r="Y223" s="264">
        <f t="shared" si="64"/>
        <v>0.00005841</v>
      </c>
      <c r="Z223" s="264">
        <f t="shared" si="64"/>
        <v>0.0000684</v>
      </c>
      <c r="AA223" s="264">
        <f t="shared" si="64"/>
        <v>0.0001048689</v>
      </c>
      <c r="AB223" s="264">
        <f t="shared" si="64"/>
        <v>0.00005535</v>
      </c>
      <c r="AC223" s="264">
        <f t="shared" si="64"/>
        <v>0.00005076</v>
      </c>
      <c r="AD223" s="264">
        <f t="shared" si="64"/>
        <v>0.00005355</v>
      </c>
      <c r="AE223" s="264">
        <f t="shared" si="64"/>
        <v>0.00006912</v>
      </c>
      <c r="AF223" s="264">
        <f t="shared" si="64"/>
        <v>0.00004788</v>
      </c>
      <c r="AG223" s="264">
        <f t="shared" si="64"/>
        <v>0.00005211</v>
      </c>
      <c r="AH223" s="264">
        <f t="shared" si="64"/>
        <v>0.00004905</v>
      </c>
      <c r="AI223" s="264">
        <f t="shared" si="64"/>
        <v>0.00004257</v>
      </c>
      <c r="AJ223" s="264">
        <f t="shared" si="64"/>
        <v>0.0001044531</v>
      </c>
      <c r="AK223" s="264">
        <f t="shared" si="64"/>
        <v>0.0001617066</v>
      </c>
      <c r="AL223" s="264">
        <f t="shared" si="64"/>
        <v>0.00006687</v>
      </c>
      <c r="AM223" s="264">
        <f t="shared" si="64"/>
        <v>0.00006264</v>
      </c>
      <c r="AN223" s="264">
        <f t="shared" si="64"/>
        <v>0.00003519</v>
      </c>
      <c r="AO223" s="264">
        <f t="shared" si="64"/>
        <v>0.00002961</v>
      </c>
      <c r="AP223" s="264">
        <f t="shared" si="64"/>
        <v>0.0001026756</v>
      </c>
      <c r="AQ223" s="264">
        <f t="shared" si="64"/>
        <v>0.00005859</v>
      </c>
      <c r="AR223" s="264">
        <f t="shared" si="64"/>
        <v>0.0002116584</v>
      </c>
      <c r="AS223" s="264">
        <f t="shared" si="64"/>
        <v>0.0003497634</v>
      </c>
      <c r="AT223" s="136"/>
    </row>
    <row r="224">
      <c r="A224" s="80"/>
      <c r="B224" s="81"/>
      <c r="C224" s="325"/>
      <c r="D224" s="325"/>
      <c r="E224" s="140" t="s">
        <v>856</v>
      </c>
      <c r="F224" s="215" t="s">
        <v>122</v>
      </c>
      <c r="G224" s="216" t="s">
        <v>149</v>
      </c>
      <c r="H224" s="187" t="s">
        <v>150</v>
      </c>
      <c r="I224" s="284">
        <f t="shared" ref="I224:AS224" si="65">SUM(I21,I37,I53)*(1+$H222)</f>
        <v>0.0002972196</v>
      </c>
      <c r="J224" s="284">
        <f t="shared" si="65"/>
        <v>0.0002633085</v>
      </c>
      <c r="K224" s="284">
        <f t="shared" si="65"/>
        <v>0.0003588237</v>
      </c>
      <c r="L224" s="284">
        <f t="shared" si="65"/>
        <v>0.0001956933</v>
      </c>
      <c r="M224" s="284">
        <f t="shared" si="65"/>
        <v>0.0002183895</v>
      </c>
      <c r="N224" s="284">
        <f t="shared" si="65"/>
        <v>0.0002903364</v>
      </c>
      <c r="O224" s="284">
        <f t="shared" si="65"/>
        <v>0.0003911076</v>
      </c>
      <c r="P224" s="284">
        <f t="shared" si="65"/>
        <v>0.0005019732</v>
      </c>
      <c r="Q224" s="284">
        <f t="shared" si="65"/>
        <v>0.0005123646</v>
      </c>
      <c r="R224" s="284">
        <f t="shared" si="65"/>
        <v>0.000055638</v>
      </c>
      <c r="S224" s="284">
        <f t="shared" si="65"/>
        <v>0.0001468494</v>
      </c>
      <c r="T224" s="284">
        <f t="shared" si="65"/>
        <v>0.000058905</v>
      </c>
      <c r="U224" s="284">
        <f t="shared" si="65"/>
        <v>0.000090549</v>
      </c>
      <c r="V224" s="284">
        <f t="shared" si="65"/>
        <v>0.0001178379</v>
      </c>
      <c r="W224" s="284">
        <f t="shared" si="65"/>
        <v>0.000090009</v>
      </c>
      <c r="X224" s="284">
        <f t="shared" si="65"/>
        <v>0.0001336545</v>
      </c>
      <c r="Y224" s="284">
        <f t="shared" si="65"/>
        <v>0.000062046</v>
      </c>
      <c r="Z224" s="284">
        <f t="shared" si="65"/>
        <v>0.000080883</v>
      </c>
      <c r="AA224" s="284">
        <f t="shared" si="65"/>
        <v>0.000080109</v>
      </c>
      <c r="AB224" s="284">
        <f t="shared" si="65"/>
        <v>0.00005085</v>
      </c>
      <c r="AC224" s="284">
        <f t="shared" si="65"/>
        <v>0.0000389988</v>
      </c>
      <c r="AD224" s="284">
        <f t="shared" si="65"/>
        <v>0.000044001</v>
      </c>
      <c r="AE224" s="284">
        <f t="shared" si="65"/>
        <v>0.000056151</v>
      </c>
      <c r="AF224" s="284">
        <f t="shared" si="65"/>
        <v>0.000034533</v>
      </c>
      <c r="AG224" s="284">
        <f t="shared" si="65"/>
        <v>0.0001982511</v>
      </c>
      <c r="AH224" s="284">
        <f t="shared" si="65"/>
        <v>0.000078075</v>
      </c>
      <c r="AI224" s="284">
        <f t="shared" si="65"/>
        <v>0.0000315567</v>
      </c>
      <c r="AJ224" s="284">
        <f t="shared" si="65"/>
        <v>0.0001165995</v>
      </c>
      <c r="AK224" s="284">
        <f t="shared" si="65"/>
        <v>0.0001699596</v>
      </c>
      <c r="AL224" s="284">
        <f t="shared" si="65"/>
        <v>0.000072729</v>
      </c>
      <c r="AM224" s="284">
        <f t="shared" si="65"/>
        <v>0.000059535</v>
      </c>
      <c r="AN224" s="284">
        <f t="shared" si="65"/>
        <v>0.0000322884</v>
      </c>
      <c r="AO224" s="284">
        <f t="shared" si="65"/>
        <v>0.000072351</v>
      </c>
      <c r="AP224" s="284">
        <f t="shared" si="65"/>
        <v>0.000076527</v>
      </c>
      <c r="AQ224" s="284">
        <f t="shared" si="65"/>
        <v>0.000058743</v>
      </c>
      <c r="AR224" s="284">
        <f t="shared" si="65"/>
        <v>0.0001797417</v>
      </c>
      <c r="AS224" s="284">
        <f t="shared" si="65"/>
        <v>0.0002350899</v>
      </c>
      <c r="AT224" s="163"/>
    </row>
    <row r="225">
      <c r="A225" s="80"/>
      <c r="B225" s="81"/>
      <c r="C225" s="325"/>
      <c r="D225" s="325"/>
      <c r="E225" s="140" t="s">
        <v>859</v>
      </c>
      <c r="F225" s="215" t="s">
        <v>122</v>
      </c>
      <c r="G225" s="216" t="s">
        <v>149</v>
      </c>
      <c r="H225" s="187" t="s">
        <v>150</v>
      </c>
      <c r="I225" s="284">
        <f t="shared" ref="I225:AS225" si="66">SUM(I89,I122)*(1+$H222)</f>
        <v>0.00005333726991</v>
      </c>
      <c r="J225" s="284">
        <f t="shared" si="66"/>
        <v>0.00004619072989</v>
      </c>
      <c r="K225" s="284">
        <f t="shared" si="66"/>
        <v>0.0000561080098</v>
      </c>
      <c r="L225" s="284">
        <f t="shared" si="66"/>
        <v>0.00003356333777</v>
      </c>
      <c r="M225" s="284">
        <f t="shared" si="66"/>
        <v>0.00005253618624</v>
      </c>
      <c r="N225" s="284">
        <f t="shared" si="66"/>
        <v>0.0000431959314</v>
      </c>
      <c r="O225" s="284">
        <f t="shared" si="66"/>
        <v>0.0000462968282</v>
      </c>
      <c r="P225" s="284">
        <f t="shared" si="66"/>
        <v>0.00006393351143</v>
      </c>
      <c r="Q225" s="284">
        <f t="shared" si="66"/>
        <v>0.00006703017633</v>
      </c>
      <c r="R225" s="284">
        <f t="shared" si="66"/>
        <v>0.00002004549594</v>
      </c>
      <c r="S225" s="284">
        <f t="shared" si="66"/>
        <v>0.00004480075782</v>
      </c>
      <c r="T225" s="284">
        <f t="shared" si="66"/>
        <v>0.00001643989736</v>
      </c>
      <c r="U225" s="284">
        <f t="shared" si="66"/>
        <v>0.0000175029586</v>
      </c>
      <c r="V225" s="284">
        <f t="shared" si="66"/>
        <v>0.00001768973465</v>
      </c>
      <c r="W225" s="284">
        <f t="shared" si="66"/>
        <v>0.00003178242191</v>
      </c>
      <c r="X225" s="284">
        <f t="shared" si="66"/>
        <v>0.0000242322375</v>
      </c>
      <c r="Y225" s="284">
        <f t="shared" si="66"/>
        <v>0.0000238255773</v>
      </c>
      <c r="Z225" s="284">
        <f t="shared" si="66"/>
        <v>0.00002246073607</v>
      </c>
      <c r="AA225" s="284">
        <f t="shared" si="66"/>
        <v>0.00003063900697</v>
      </c>
      <c r="AB225" s="284">
        <f t="shared" si="66"/>
        <v>0.00001823467296</v>
      </c>
      <c r="AC225" s="284">
        <f t="shared" si="66"/>
        <v>0.00001707755242</v>
      </c>
      <c r="AD225" s="284">
        <f t="shared" si="66"/>
        <v>0.00001498887059</v>
      </c>
      <c r="AE225" s="284">
        <f t="shared" si="66"/>
        <v>0.0000225594145</v>
      </c>
      <c r="AF225" s="284">
        <f t="shared" si="66"/>
        <v>0.00001575063889</v>
      </c>
      <c r="AG225" s="284">
        <f t="shared" si="66"/>
        <v>0.00001655060361</v>
      </c>
      <c r="AH225" s="284">
        <f t="shared" si="66"/>
        <v>0.00001489681898</v>
      </c>
      <c r="AI225" s="284">
        <f t="shared" si="66"/>
        <v>0.00001566106536</v>
      </c>
      <c r="AJ225" s="284">
        <f t="shared" si="66"/>
        <v>0.00002860294397</v>
      </c>
      <c r="AK225" s="284">
        <f t="shared" si="66"/>
        <v>0.00003437261046</v>
      </c>
      <c r="AL225" s="284">
        <f t="shared" si="66"/>
        <v>0.00001960919512</v>
      </c>
      <c r="AM225" s="284">
        <f t="shared" si="66"/>
        <v>0.00002150655526</v>
      </c>
      <c r="AN225" s="284">
        <f t="shared" si="66"/>
        <v>0.00001135914339</v>
      </c>
      <c r="AO225" s="284">
        <f t="shared" si="66"/>
        <v>0.00001141774679</v>
      </c>
      <c r="AP225" s="284">
        <f t="shared" si="66"/>
        <v>0.0000262953678</v>
      </c>
      <c r="AQ225" s="284">
        <f t="shared" si="66"/>
        <v>0.00001946548576</v>
      </c>
      <c r="AR225" s="284">
        <f t="shared" si="66"/>
        <v>0.0000472928649</v>
      </c>
      <c r="AS225" s="284">
        <f t="shared" si="66"/>
        <v>0.00003841977085</v>
      </c>
      <c r="AT225" s="163"/>
    </row>
    <row r="226">
      <c r="A226" s="80"/>
      <c r="B226" s="81"/>
      <c r="C226" s="325"/>
      <c r="D226" s="325"/>
      <c r="E226" s="140" t="s">
        <v>860</v>
      </c>
      <c r="F226" s="215" t="s">
        <v>122</v>
      </c>
      <c r="G226" s="216" t="s">
        <v>149</v>
      </c>
      <c r="H226" s="187" t="s">
        <v>150</v>
      </c>
      <c r="I226" s="284">
        <f t="shared" ref="I226:AS226" si="67">SUM(I95,I130)*(1+$H222)</f>
        <v>0.000810646904</v>
      </c>
      <c r="J226" s="284">
        <f t="shared" si="67"/>
        <v>0.0007042515794</v>
      </c>
      <c r="K226" s="284">
        <f t="shared" si="67"/>
        <v>0.0008515256873</v>
      </c>
      <c r="L226" s="284">
        <f t="shared" si="67"/>
        <v>0.0005157142137</v>
      </c>
      <c r="M226" s="284">
        <f t="shared" si="67"/>
        <v>0.0008068358905</v>
      </c>
      <c r="N226" s="284">
        <f t="shared" si="67"/>
        <v>0.0006566723963</v>
      </c>
      <c r="O226" s="284">
        <f t="shared" si="67"/>
        <v>0.0006959142436</v>
      </c>
      <c r="P226" s="284">
        <f t="shared" si="67"/>
        <v>0.0009593231208</v>
      </c>
      <c r="Q226" s="284">
        <f t="shared" si="67"/>
        <v>0.001009397887</v>
      </c>
      <c r="R226" s="284">
        <f t="shared" si="67"/>
        <v>0.0003144533036</v>
      </c>
      <c r="S226" s="284">
        <f t="shared" si="67"/>
        <v>0.0006932286609</v>
      </c>
      <c r="T226" s="284">
        <f t="shared" si="67"/>
        <v>0.0002566693249</v>
      </c>
      <c r="U226" s="284">
        <f t="shared" si="67"/>
        <v>0.0002751211379</v>
      </c>
      <c r="V226" s="284">
        <f t="shared" si="67"/>
        <v>0.00027429167</v>
      </c>
      <c r="W226" s="284">
        <f t="shared" si="67"/>
        <v>0.0004947990477</v>
      </c>
      <c r="X226" s="284">
        <f t="shared" si="67"/>
        <v>0.0003708343023</v>
      </c>
      <c r="Y226" s="284">
        <f t="shared" si="67"/>
        <v>0.000387438852</v>
      </c>
      <c r="Z226" s="284">
        <f t="shared" si="67"/>
        <v>0.0003510924307</v>
      </c>
      <c r="AA226" s="284">
        <f t="shared" si="67"/>
        <v>0.0004786664552</v>
      </c>
      <c r="AB226" s="284">
        <f t="shared" si="67"/>
        <v>0.0002858249171</v>
      </c>
      <c r="AC226" s="284">
        <f t="shared" si="67"/>
        <v>0.0002684131556</v>
      </c>
      <c r="AD226" s="284">
        <f t="shared" si="67"/>
        <v>0.0002330860404</v>
      </c>
      <c r="AE226" s="284">
        <f t="shared" si="67"/>
        <v>0.0003533098932</v>
      </c>
      <c r="AF226" s="284">
        <f t="shared" si="67"/>
        <v>0.0002467021958</v>
      </c>
      <c r="AG226" s="284">
        <f t="shared" si="67"/>
        <v>0.0002588786229</v>
      </c>
      <c r="AH226" s="284">
        <f t="shared" si="67"/>
        <v>0.0002310939534</v>
      </c>
      <c r="AI226" s="284">
        <f t="shared" si="67"/>
        <v>0.0002449592652</v>
      </c>
      <c r="AJ226" s="284">
        <f t="shared" si="67"/>
        <v>0.0004449093451</v>
      </c>
      <c r="AK226" s="284">
        <f t="shared" si="67"/>
        <v>0.0005261473341</v>
      </c>
      <c r="AL226" s="284">
        <f t="shared" si="67"/>
        <v>0.0003025073628</v>
      </c>
      <c r="AM226" s="284">
        <f t="shared" si="67"/>
        <v>0.0003370837403</v>
      </c>
      <c r="AN226" s="284">
        <f t="shared" si="67"/>
        <v>0.0001774499108</v>
      </c>
      <c r="AO226" s="284">
        <f t="shared" si="67"/>
        <v>0.0001764427686</v>
      </c>
      <c r="AP226" s="284">
        <f t="shared" si="67"/>
        <v>0.0004082061002</v>
      </c>
      <c r="AQ226" s="284">
        <f t="shared" si="67"/>
        <v>0.0003046574074</v>
      </c>
      <c r="AR226" s="284">
        <f t="shared" si="67"/>
        <v>0.000729895878</v>
      </c>
      <c r="AS226" s="284">
        <f t="shared" si="67"/>
        <v>0.0005815298768</v>
      </c>
      <c r="AT226" s="163"/>
    </row>
    <row r="227">
      <c r="A227" s="80"/>
      <c r="B227" s="81"/>
      <c r="C227" s="325"/>
      <c r="D227" s="325"/>
      <c r="E227" s="140" t="s">
        <v>862</v>
      </c>
      <c r="F227" s="215" t="s">
        <v>122</v>
      </c>
      <c r="G227" s="216" t="s">
        <v>149</v>
      </c>
      <c r="H227" s="187" t="s">
        <v>150</v>
      </c>
      <c r="I227" s="284">
        <f t="shared" ref="I227:AS227" si="68">I155*(1+$H222)</f>
        <v>0.0005182666608</v>
      </c>
      <c r="J227" s="284">
        <f t="shared" si="68"/>
        <v>0.0003150714352</v>
      </c>
      <c r="K227" s="284">
        <f t="shared" si="68"/>
        <v>0.0003310076789</v>
      </c>
      <c r="L227" s="284">
        <f t="shared" si="68"/>
        <v>0.0001241767256</v>
      </c>
      <c r="M227" s="284">
        <f t="shared" si="68"/>
        <v>0.0002357636415</v>
      </c>
      <c r="N227" s="284">
        <f t="shared" si="68"/>
        <v>0.0003432454654</v>
      </c>
      <c r="O227" s="284">
        <f t="shared" si="68"/>
        <v>0.0003961223709</v>
      </c>
      <c r="P227" s="284">
        <f t="shared" si="68"/>
        <v>0.000488167204</v>
      </c>
      <c r="Q227" s="284">
        <f t="shared" si="68"/>
        <v>0.0004995101727</v>
      </c>
      <c r="R227" s="284">
        <f t="shared" si="68"/>
        <v>0.0001193775502</v>
      </c>
      <c r="S227" s="284">
        <f t="shared" si="68"/>
        <v>0.0002673933289</v>
      </c>
      <c r="T227" s="284">
        <f t="shared" si="68"/>
        <v>0.0000569683445</v>
      </c>
      <c r="U227" s="284">
        <f t="shared" si="68"/>
        <v>0.0000483696067</v>
      </c>
      <c r="V227" s="284">
        <f t="shared" si="68"/>
        <v>0.0001804513557</v>
      </c>
      <c r="W227" s="284">
        <f t="shared" si="68"/>
        <v>0.0002625886186</v>
      </c>
      <c r="X227" s="284">
        <f t="shared" si="68"/>
        <v>0.0002377706163</v>
      </c>
      <c r="Y227" s="284">
        <f t="shared" si="68"/>
        <v>0.0001127245337</v>
      </c>
      <c r="Z227" s="284">
        <f t="shared" si="68"/>
        <v>0.00006496118917</v>
      </c>
      <c r="AA227" s="284">
        <f t="shared" si="68"/>
        <v>0.0001409081579</v>
      </c>
      <c r="AB227" s="284">
        <f t="shared" si="68"/>
        <v>0.00005455030696</v>
      </c>
      <c r="AC227" s="284">
        <f t="shared" si="68"/>
        <v>0.00005462373737</v>
      </c>
      <c r="AD227" s="284">
        <f t="shared" si="68"/>
        <v>0.0000667962114</v>
      </c>
      <c r="AE227" s="284">
        <f t="shared" si="68"/>
        <v>0.00005307062887</v>
      </c>
      <c r="AF227" s="284">
        <f t="shared" si="68"/>
        <v>0.00004411064298</v>
      </c>
      <c r="AG227" s="284">
        <f t="shared" si="68"/>
        <v>0.00008139041294</v>
      </c>
      <c r="AH227" s="284">
        <f t="shared" si="68"/>
        <v>0.00006969689705</v>
      </c>
      <c r="AI227" s="284">
        <f t="shared" si="68"/>
        <v>0.00002793307518</v>
      </c>
      <c r="AJ227" s="284">
        <f t="shared" si="68"/>
        <v>0.0001348558686</v>
      </c>
      <c r="AK227" s="284">
        <f t="shared" si="68"/>
        <v>0.0002170244963</v>
      </c>
      <c r="AL227" s="284">
        <f t="shared" si="68"/>
        <v>0.0000638018005</v>
      </c>
      <c r="AM227" s="284">
        <f t="shared" si="68"/>
        <v>0.00008180774858</v>
      </c>
      <c r="AN227" s="284">
        <f t="shared" si="68"/>
        <v>0.00003894320857</v>
      </c>
      <c r="AO227" s="284">
        <f t="shared" si="68"/>
        <v>0.00006234241724</v>
      </c>
      <c r="AP227" s="284">
        <f t="shared" si="68"/>
        <v>0.0001543949994</v>
      </c>
      <c r="AQ227" s="284">
        <f t="shared" si="68"/>
        <v>0.00005245920079</v>
      </c>
      <c r="AR227" s="284">
        <f t="shared" si="68"/>
        <v>0.0003119578382</v>
      </c>
      <c r="AS227" s="284">
        <f t="shared" si="68"/>
        <v>0.0003538762699</v>
      </c>
      <c r="AT227" s="163"/>
    </row>
    <row r="228">
      <c r="A228" s="80"/>
      <c r="B228" s="81"/>
      <c r="C228" s="325"/>
      <c r="D228" s="325"/>
      <c r="E228" s="140" t="s">
        <v>863</v>
      </c>
      <c r="F228" s="215" t="s">
        <v>122</v>
      </c>
      <c r="G228" s="216" t="s">
        <v>149</v>
      </c>
      <c r="H228" s="187" t="s">
        <v>150</v>
      </c>
      <c r="I228" s="284">
        <f t="shared" ref="I228:AS228" si="69">I163*(1+$H222)</f>
        <v>0.0002327094</v>
      </c>
      <c r="J228" s="284">
        <f t="shared" si="69"/>
        <v>0.0001249533</v>
      </c>
      <c r="K228" s="284">
        <f t="shared" si="69"/>
        <v>0.0002613474</v>
      </c>
      <c r="L228" s="284">
        <f t="shared" si="69"/>
        <v>0.0000981387</v>
      </c>
      <c r="M228" s="284">
        <f t="shared" si="69"/>
        <v>0.0000918108</v>
      </c>
      <c r="N228" s="284">
        <f t="shared" si="69"/>
        <v>0.0002332143</v>
      </c>
      <c r="O228" s="284">
        <f t="shared" si="69"/>
        <v>0.0002216538</v>
      </c>
      <c r="P228" s="284">
        <f t="shared" si="69"/>
        <v>0.0003097224</v>
      </c>
      <c r="Q228" s="284">
        <f t="shared" si="69"/>
        <v>0.0003243492</v>
      </c>
      <c r="R228" s="284">
        <f t="shared" si="69"/>
        <v>0.00002196</v>
      </c>
      <c r="S228" s="284">
        <f t="shared" si="69"/>
        <v>0.000072</v>
      </c>
      <c r="T228" s="284">
        <f t="shared" si="69"/>
        <v>0.0000306</v>
      </c>
      <c r="U228" s="284">
        <f t="shared" si="69"/>
        <v>0.00002385</v>
      </c>
      <c r="V228" s="284">
        <f t="shared" si="69"/>
        <v>0.00005004</v>
      </c>
      <c r="W228" s="284">
        <f t="shared" si="69"/>
        <v>0.00004473</v>
      </c>
      <c r="X228" s="284">
        <f t="shared" si="69"/>
        <v>0.00008307</v>
      </c>
      <c r="Y228" s="284">
        <f t="shared" si="69"/>
        <v>0.00003528</v>
      </c>
      <c r="Z228" s="284">
        <f t="shared" si="69"/>
        <v>0.00003483</v>
      </c>
      <c r="AA228" s="284">
        <f t="shared" si="69"/>
        <v>0.00004563</v>
      </c>
      <c r="AB228" s="284">
        <f t="shared" si="69"/>
        <v>0.00002448</v>
      </c>
      <c r="AC228" s="284">
        <f t="shared" si="69"/>
        <v>0.00002763</v>
      </c>
      <c r="AD228" s="284">
        <f t="shared" si="69"/>
        <v>0.00002115</v>
      </c>
      <c r="AE228" s="284">
        <f t="shared" si="69"/>
        <v>0.00002214</v>
      </c>
      <c r="AF228" s="284">
        <f t="shared" si="69"/>
        <v>0.00001782</v>
      </c>
      <c r="AG228" s="284">
        <f t="shared" si="69"/>
        <v>0.00003978</v>
      </c>
      <c r="AH228" s="284">
        <f t="shared" si="69"/>
        <v>0.00004401</v>
      </c>
      <c r="AI228" s="284">
        <f t="shared" si="69"/>
        <v>0.00001647</v>
      </c>
      <c r="AJ228" s="284">
        <f t="shared" si="69"/>
        <v>0.00005355</v>
      </c>
      <c r="AK228" s="284">
        <f t="shared" si="69"/>
        <v>0.00007812</v>
      </c>
      <c r="AL228" s="284">
        <f t="shared" si="69"/>
        <v>0.00002898</v>
      </c>
      <c r="AM228" s="284">
        <f t="shared" si="69"/>
        <v>0.00003006</v>
      </c>
      <c r="AN228" s="284">
        <f t="shared" si="69"/>
        <v>0.00001737</v>
      </c>
      <c r="AO228" s="284">
        <f t="shared" si="69"/>
        <v>0.00002556</v>
      </c>
      <c r="AP228" s="284">
        <f t="shared" si="69"/>
        <v>0.00004338</v>
      </c>
      <c r="AQ228" s="284">
        <f t="shared" si="69"/>
        <v>0.00002673</v>
      </c>
      <c r="AR228" s="284">
        <f t="shared" si="69"/>
        <v>0.00008289</v>
      </c>
      <c r="AS228" s="284">
        <f t="shared" si="69"/>
        <v>0.0001549629</v>
      </c>
      <c r="AT228" s="163"/>
    </row>
    <row r="229">
      <c r="A229" s="80"/>
      <c r="B229" s="81"/>
      <c r="C229" s="325"/>
      <c r="D229" s="325"/>
      <c r="E229" s="237" t="s">
        <v>248</v>
      </c>
      <c r="F229" s="195" t="s">
        <v>122</v>
      </c>
      <c r="G229" s="196" t="s">
        <v>149</v>
      </c>
      <c r="H229" s="197" t="s">
        <v>150</v>
      </c>
      <c r="I229" s="457">
        <f t="shared" ref="I229:AS229" si="70">SUM(I223:I228)</f>
        <v>0.002390211235</v>
      </c>
      <c r="J229" s="457">
        <f t="shared" si="70"/>
        <v>0.001688536045</v>
      </c>
      <c r="K229" s="457">
        <f t="shared" si="70"/>
        <v>0.002398010576</v>
      </c>
      <c r="L229" s="457">
        <f t="shared" si="70"/>
        <v>0.001092860577</v>
      </c>
      <c r="M229" s="457">
        <f t="shared" si="70"/>
        <v>0.001660038718</v>
      </c>
      <c r="N229" s="457">
        <f t="shared" si="70"/>
        <v>0.001936982993</v>
      </c>
      <c r="O229" s="457">
        <f t="shared" si="70"/>
        <v>0.002152831443</v>
      </c>
      <c r="P229" s="457">
        <f t="shared" si="70"/>
        <v>0.002918927536</v>
      </c>
      <c r="Q229" s="457">
        <f t="shared" si="70"/>
        <v>0.003081468136</v>
      </c>
      <c r="R229" s="457">
        <f t="shared" si="70"/>
        <v>0.0005873643498</v>
      </c>
      <c r="S229" s="457">
        <f t="shared" si="70"/>
        <v>0.001413025548</v>
      </c>
      <c r="T229" s="457">
        <f t="shared" si="70"/>
        <v>0.0004697125668</v>
      </c>
      <c r="U229" s="457">
        <f t="shared" si="70"/>
        <v>0.0005102027032</v>
      </c>
      <c r="V229" s="457">
        <f t="shared" si="70"/>
        <v>0.0006971006603</v>
      </c>
      <c r="W229" s="457">
        <f t="shared" si="70"/>
        <v>0.001059957588</v>
      </c>
      <c r="X229" s="457">
        <f t="shared" si="70"/>
        <v>0.0009751827561</v>
      </c>
      <c r="Y229" s="457">
        <f t="shared" si="70"/>
        <v>0.000679724963</v>
      </c>
      <c r="Z229" s="457">
        <f t="shared" si="70"/>
        <v>0.0006226273559</v>
      </c>
      <c r="AA229" s="457">
        <f t="shared" si="70"/>
        <v>0.00088082152</v>
      </c>
      <c r="AB229" s="457">
        <f t="shared" si="70"/>
        <v>0.000489289897</v>
      </c>
      <c r="AC229" s="457">
        <f t="shared" si="70"/>
        <v>0.0004575032454</v>
      </c>
      <c r="AD229" s="457">
        <f t="shared" si="70"/>
        <v>0.0004335721224</v>
      </c>
      <c r="AE229" s="457">
        <f t="shared" si="70"/>
        <v>0.0005763509365</v>
      </c>
      <c r="AF229" s="457">
        <f t="shared" si="70"/>
        <v>0.0004067964777</v>
      </c>
      <c r="AG229" s="457">
        <f t="shared" si="70"/>
        <v>0.0006469607395</v>
      </c>
      <c r="AH229" s="457">
        <f t="shared" si="70"/>
        <v>0.0004868226695</v>
      </c>
      <c r="AI229" s="457">
        <f t="shared" si="70"/>
        <v>0.0003791501057</v>
      </c>
      <c r="AJ229" s="457">
        <f t="shared" si="70"/>
        <v>0.0008829707577</v>
      </c>
      <c r="AK229" s="457">
        <f t="shared" si="70"/>
        <v>0.001187330641</v>
      </c>
      <c r="AL229" s="457">
        <f t="shared" si="70"/>
        <v>0.0005544973584</v>
      </c>
      <c r="AM229" s="457">
        <f t="shared" si="70"/>
        <v>0.0005926330442</v>
      </c>
      <c r="AN229" s="457">
        <f t="shared" si="70"/>
        <v>0.0003126006628</v>
      </c>
      <c r="AO229" s="457">
        <f t="shared" si="70"/>
        <v>0.0003777239327</v>
      </c>
      <c r="AP229" s="457">
        <f t="shared" si="70"/>
        <v>0.0008114790674</v>
      </c>
      <c r="AQ229" s="457">
        <f t="shared" si="70"/>
        <v>0.0005206450939</v>
      </c>
      <c r="AR229" s="457">
        <f t="shared" si="70"/>
        <v>0.001563436681</v>
      </c>
      <c r="AS229" s="457">
        <f t="shared" si="70"/>
        <v>0.001713642118</v>
      </c>
      <c r="AT229" s="248"/>
    </row>
    <row r="230">
      <c r="A230" s="80"/>
      <c r="B230" s="81"/>
      <c r="C230" s="325"/>
      <c r="D230" s="325"/>
      <c r="E230" s="243"/>
      <c r="F230" s="83"/>
      <c r="G230" s="91"/>
      <c r="H230" s="85"/>
      <c r="I230" s="86"/>
      <c r="J230" s="86"/>
      <c r="K230" s="86"/>
      <c r="L230" s="86"/>
      <c r="M230" s="86"/>
      <c r="N230" s="86"/>
      <c r="O230" s="86"/>
      <c r="P230" s="86"/>
      <c r="Q230" s="86"/>
      <c r="R230" s="86"/>
      <c r="S230" s="86"/>
      <c r="T230" s="111"/>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c r="AQ230" s="86"/>
      <c r="AR230" s="86"/>
      <c r="AS230" s="86"/>
      <c r="AT230" s="88"/>
    </row>
    <row r="231">
      <c r="A231" s="80"/>
      <c r="B231" s="81"/>
      <c r="C231" s="325" t="s">
        <v>868</v>
      </c>
      <c r="F231" s="83"/>
      <c r="G231" s="91"/>
      <c r="H231" s="85"/>
      <c r="I231" s="86"/>
      <c r="J231" s="86"/>
      <c r="K231" s="86"/>
      <c r="L231" s="86"/>
      <c r="M231" s="86"/>
      <c r="N231" s="86"/>
      <c r="O231" s="86"/>
      <c r="P231" s="86"/>
      <c r="Q231" s="86"/>
      <c r="R231" s="86"/>
      <c r="S231" s="86"/>
      <c r="T231" s="111"/>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c r="AQ231" s="86"/>
      <c r="AR231" s="86"/>
      <c r="AS231" s="86"/>
      <c r="AT231" s="88"/>
    </row>
    <row r="232">
      <c r="A232" s="80"/>
      <c r="B232" s="81"/>
      <c r="C232" s="112"/>
      <c r="D232" s="112"/>
      <c r="E232" s="113" t="s">
        <v>455</v>
      </c>
      <c r="F232" s="151" t="str">
        <f>Inputs!F182</f>
        <v>%</v>
      </c>
      <c r="G232" s="256" t="str">
        <f>Inputs!G182</f>
        <v>input</v>
      </c>
      <c r="H232" s="156">
        <f>Inputs!H182</f>
        <v>-0.5</v>
      </c>
      <c r="I232" s="418" t="str">
        <f>Inputs!I182</f>
        <v>-</v>
      </c>
      <c r="J232" s="418" t="str">
        <f>Inputs!J182</f>
        <v>-</v>
      </c>
      <c r="K232" s="418" t="str">
        <f>Inputs!K182</f>
        <v>-</v>
      </c>
      <c r="L232" s="418" t="str">
        <f>Inputs!L182</f>
        <v>-</v>
      </c>
      <c r="M232" s="418" t="str">
        <f>Inputs!M182</f>
        <v>-</v>
      </c>
      <c r="N232" s="418" t="str">
        <f>Inputs!N182</f>
        <v>-</v>
      </c>
      <c r="O232" s="418" t="str">
        <f>Inputs!O182</f>
        <v>-</v>
      </c>
      <c r="P232" s="418" t="str">
        <f>Inputs!P182</f>
        <v>-</v>
      </c>
      <c r="Q232" s="418" t="str">
        <f>Inputs!Q182</f>
        <v>-</v>
      </c>
      <c r="R232" s="418" t="str">
        <f>Inputs!R182</f>
        <v>-</v>
      </c>
      <c r="S232" s="418" t="str">
        <f>Inputs!S182</f>
        <v>-</v>
      </c>
      <c r="T232" s="119" t="str">
        <f>Inputs!T182</f>
        <v>-</v>
      </c>
      <c r="U232" s="418" t="str">
        <f>Inputs!U182</f>
        <v>-</v>
      </c>
      <c r="V232" s="418" t="str">
        <f>Inputs!V182</f>
        <v>-</v>
      </c>
      <c r="W232" s="418" t="str">
        <f>Inputs!W182</f>
        <v>-</v>
      </c>
      <c r="X232" s="418" t="str">
        <f>Inputs!X182</f>
        <v>-</v>
      </c>
      <c r="Y232" s="418" t="str">
        <f>Inputs!Y182</f>
        <v>-</v>
      </c>
      <c r="Z232" s="418" t="str">
        <f>Inputs!Z182</f>
        <v>-</v>
      </c>
      <c r="AA232" s="418" t="str">
        <f>Inputs!AA182</f>
        <v>-</v>
      </c>
      <c r="AB232" s="418" t="str">
        <f>Inputs!AB182</f>
        <v>-</v>
      </c>
      <c r="AC232" s="418" t="str">
        <f>Inputs!AC182</f>
        <v>-</v>
      </c>
      <c r="AD232" s="418" t="str">
        <f>Inputs!AD182</f>
        <v>-</v>
      </c>
      <c r="AE232" s="418" t="str">
        <f>Inputs!AE182</f>
        <v>-</v>
      </c>
      <c r="AF232" s="418" t="str">
        <f>Inputs!AF182</f>
        <v>-</v>
      </c>
      <c r="AG232" s="418" t="str">
        <f>Inputs!AG182</f>
        <v>-</v>
      </c>
      <c r="AH232" s="418" t="str">
        <f>Inputs!AH182</f>
        <v>-</v>
      </c>
      <c r="AI232" s="418" t="str">
        <f>Inputs!AI182</f>
        <v>-</v>
      </c>
      <c r="AJ232" s="418" t="str">
        <f>Inputs!AJ182</f>
        <v>-</v>
      </c>
      <c r="AK232" s="418" t="str">
        <f>Inputs!AK182</f>
        <v>-</v>
      </c>
      <c r="AL232" s="418" t="str">
        <f>Inputs!AL182</f>
        <v>-</v>
      </c>
      <c r="AM232" s="418" t="str">
        <f>Inputs!AM182</f>
        <v>-</v>
      </c>
      <c r="AN232" s="418" t="str">
        <f>Inputs!AN182</f>
        <v>-</v>
      </c>
      <c r="AO232" s="418" t="str">
        <f>Inputs!AO182</f>
        <v>-</v>
      </c>
      <c r="AP232" s="418" t="str">
        <f>Inputs!AP182</f>
        <v>-</v>
      </c>
      <c r="AQ232" s="418" t="str">
        <f>Inputs!AQ182</f>
        <v>-</v>
      </c>
      <c r="AR232" s="418" t="str">
        <f>Inputs!AR182</f>
        <v>-</v>
      </c>
      <c r="AS232" s="418" t="str">
        <f>Inputs!AS182</f>
        <v>-</v>
      </c>
      <c r="AT232" s="136"/>
    </row>
    <row r="233">
      <c r="A233" s="80"/>
      <c r="B233" s="81"/>
      <c r="C233" s="112"/>
      <c r="D233" s="112"/>
      <c r="E233" s="140" t="s">
        <v>462</v>
      </c>
      <c r="F233" s="215" t="s">
        <v>122</v>
      </c>
      <c r="G233" s="216" t="s">
        <v>149</v>
      </c>
      <c r="H233" s="187" t="s">
        <v>150</v>
      </c>
      <c r="I233" s="218">
        <f t="shared" ref="I233:AS233" si="71">I187*(1+$H$232)</f>
        <v>0.2261828013</v>
      </c>
      <c r="J233" s="218">
        <f t="shared" si="71"/>
        <v>0.2840524703</v>
      </c>
      <c r="K233" s="218">
        <f t="shared" si="71"/>
        <v>0.2231263988</v>
      </c>
      <c r="L233" s="218">
        <f t="shared" si="71"/>
        <v>0.3243448234</v>
      </c>
      <c r="M233" s="218">
        <f t="shared" si="71"/>
        <v>0.2354196174</v>
      </c>
      <c r="N233" s="218">
        <f t="shared" si="71"/>
        <v>0.2138741039</v>
      </c>
      <c r="O233" s="218">
        <f t="shared" si="71"/>
        <v>0.2158568567</v>
      </c>
      <c r="P233" s="218">
        <f t="shared" si="71"/>
        <v>0.1252177309</v>
      </c>
      <c r="Q233" s="218">
        <f t="shared" si="71"/>
        <v>0.1747913176</v>
      </c>
      <c r="R233" s="218">
        <f t="shared" si="71"/>
        <v>0.4448716451</v>
      </c>
      <c r="S233" s="218">
        <f t="shared" si="71"/>
        <v>0.3782187021</v>
      </c>
      <c r="T233" s="218">
        <f t="shared" si="71"/>
        <v>0.4208245564</v>
      </c>
      <c r="U233" s="218">
        <f t="shared" si="71"/>
        <v>0.4331110451</v>
      </c>
      <c r="V233" s="218">
        <f t="shared" si="71"/>
        <v>0.3626934573</v>
      </c>
      <c r="W233" s="218">
        <f t="shared" si="71"/>
        <v>0.37095589</v>
      </c>
      <c r="X233" s="218">
        <f t="shared" si="71"/>
        <v>0.3642448768</v>
      </c>
      <c r="Y233" s="218">
        <f t="shared" si="71"/>
        <v>0.4541373998</v>
      </c>
      <c r="Z233" s="218">
        <f t="shared" si="71"/>
        <v>0.4118077814</v>
      </c>
      <c r="AA233" s="218">
        <f t="shared" si="71"/>
        <v>0.4553698483</v>
      </c>
      <c r="AB233" s="218">
        <f t="shared" si="71"/>
        <v>0.4734410858</v>
      </c>
      <c r="AC233" s="218">
        <f t="shared" si="71"/>
        <v>0.4646453614</v>
      </c>
      <c r="AD233" s="218">
        <f t="shared" si="71"/>
        <v>0.4816900586</v>
      </c>
      <c r="AE233" s="218">
        <f t="shared" si="71"/>
        <v>0.457639605</v>
      </c>
      <c r="AF233" s="218">
        <f t="shared" si="71"/>
        <v>0.4766916193</v>
      </c>
      <c r="AG233" s="218">
        <f t="shared" si="71"/>
        <v>0.4147861169</v>
      </c>
      <c r="AH233" s="218">
        <f t="shared" si="71"/>
        <v>0.361713017</v>
      </c>
      <c r="AI233" s="218">
        <f t="shared" si="71"/>
        <v>0.4691727609</v>
      </c>
      <c r="AJ233" s="218">
        <f t="shared" si="71"/>
        <v>0.3581805271</v>
      </c>
      <c r="AK233" s="218">
        <f t="shared" si="71"/>
        <v>0.2624696057</v>
      </c>
      <c r="AL233" s="218">
        <f t="shared" si="71"/>
        <v>0.3815153355</v>
      </c>
      <c r="AM233" s="218">
        <f t="shared" si="71"/>
        <v>0.396294987</v>
      </c>
      <c r="AN233" s="218">
        <f t="shared" si="71"/>
        <v>0.4521324382</v>
      </c>
      <c r="AO233" s="218">
        <f t="shared" si="71"/>
        <v>0.3997793579</v>
      </c>
      <c r="AP233" s="218">
        <f t="shared" si="71"/>
        <v>0.4203161654</v>
      </c>
      <c r="AQ233" s="218">
        <f t="shared" si="71"/>
        <v>0.4315872183</v>
      </c>
      <c r="AR233" s="218">
        <f t="shared" si="71"/>
        <v>0.2774945355</v>
      </c>
      <c r="AS233" s="218">
        <f t="shared" si="71"/>
        <v>0.2291029229</v>
      </c>
      <c r="AT233" s="163"/>
    </row>
    <row r="234">
      <c r="A234" s="80"/>
      <c r="B234" s="81"/>
      <c r="C234" s="112"/>
      <c r="D234" s="112"/>
      <c r="E234" s="140" t="s">
        <v>873</v>
      </c>
      <c r="F234" s="215" t="s">
        <v>122</v>
      </c>
      <c r="G234" s="216" t="s">
        <v>149</v>
      </c>
      <c r="H234" s="187" t="s">
        <v>150</v>
      </c>
      <c r="I234" s="218">
        <f t="shared" ref="I234:AS234" si="72">I188*(1+$H$232)</f>
        <v>0.1670116571</v>
      </c>
      <c r="J234" s="218">
        <f t="shared" si="72"/>
        <v>0.2130920735</v>
      </c>
      <c r="K234" s="218">
        <f t="shared" si="72"/>
        <v>0.1749571391</v>
      </c>
      <c r="L234" s="218">
        <f t="shared" si="72"/>
        <v>0.2607982768</v>
      </c>
      <c r="M234" s="218">
        <f t="shared" si="72"/>
        <v>0.1806994444</v>
      </c>
      <c r="N234" s="218">
        <f t="shared" si="72"/>
        <v>0.1739098789</v>
      </c>
      <c r="O234" s="218">
        <f t="shared" si="72"/>
        <v>0.1899055593</v>
      </c>
      <c r="P234" s="218">
        <f t="shared" si="72"/>
        <v>0.06958720017</v>
      </c>
      <c r="Q234" s="218">
        <f t="shared" si="72"/>
        <v>0.1224597044</v>
      </c>
      <c r="R234" s="218">
        <f t="shared" si="72"/>
        <v>0.3943543862</v>
      </c>
      <c r="S234" s="218">
        <f t="shared" si="72"/>
        <v>0.2993994068</v>
      </c>
      <c r="T234" s="218">
        <f t="shared" si="72"/>
        <v>0.3958306029</v>
      </c>
      <c r="U234" s="218">
        <f t="shared" si="72"/>
        <v>0.4060866445</v>
      </c>
      <c r="V234" s="218">
        <f t="shared" si="72"/>
        <v>0.3238256842</v>
      </c>
      <c r="W234" s="218">
        <f t="shared" si="72"/>
        <v>0.3454216175</v>
      </c>
      <c r="X234" s="218">
        <f t="shared" si="72"/>
        <v>0.2846403025</v>
      </c>
      <c r="Y234" s="218">
        <f t="shared" si="72"/>
        <v>0.4234272363</v>
      </c>
      <c r="Z234" s="218">
        <f t="shared" si="72"/>
        <v>0.3609832685</v>
      </c>
      <c r="AA234" s="218">
        <f t="shared" si="72"/>
        <v>0.422659416</v>
      </c>
      <c r="AB234" s="218">
        <f t="shared" si="72"/>
        <v>0.4416005699</v>
      </c>
      <c r="AC234" s="218">
        <f t="shared" si="72"/>
        <v>0.4389084393</v>
      </c>
      <c r="AD234" s="218">
        <f t="shared" si="72"/>
        <v>0.4435096046</v>
      </c>
      <c r="AE234" s="218">
        <f t="shared" si="72"/>
        <v>0.411806535</v>
      </c>
      <c r="AF234" s="218">
        <f t="shared" si="72"/>
        <v>0.4255745194</v>
      </c>
      <c r="AG234" s="218">
        <f t="shared" si="72"/>
        <v>0.3243604187</v>
      </c>
      <c r="AH234" s="218">
        <f t="shared" si="72"/>
        <v>0.3190657973</v>
      </c>
      <c r="AI234" s="218">
        <f t="shared" si="72"/>
        <v>0.4464387385</v>
      </c>
      <c r="AJ234" s="218">
        <f t="shared" si="72"/>
        <v>0.2854446526</v>
      </c>
      <c r="AK234" s="218">
        <f t="shared" si="72"/>
        <v>0.2117440313</v>
      </c>
      <c r="AL234" s="218">
        <f t="shared" si="72"/>
        <v>0.3052697688</v>
      </c>
      <c r="AM234" s="218">
        <f t="shared" si="72"/>
        <v>0.3559322753</v>
      </c>
      <c r="AN234" s="218">
        <f t="shared" si="72"/>
        <v>0.4004354515</v>
      </c>
      <c r="AO234" s="218">
        <f t="shared" si="72"/>
        <v>0.3325271501</v>
      </c>
      <c r="AP234" s="218">
        <f t="shared" si="72"/>
        <v>0.3450895314</v>
      </c>
      <c r="AQ234" s="218">
        <f t="shared" si="72"/>
        <v>0.4068201058</v>
      </c>
      <c r="AR234" s="218">
        <f t="shared" si="72"/>
        <v>0.2288450133</v>
      </c>
      <c r="AS234" s="218">
        <f t="shared" si="72"/>
        <v>0.2118701126</v>
      </c>
      <c r="AT234" s="163"/>
    </row>
    <row r="235">
      <c r="A235" s="80"/>
      <c r="B235" s="81"/>
      <c r="C235" s="112"/>
      <c r="D235" s="112"/>
      <c r="E235" s="140" t="s">
        <v>474</v>
      </c>
      <c r="F235" s="215" t="s">
        <v>122</v>
      </c>
      <c r="G235" s="216" t="s">
        <v>149</v>
      </c>
      <c r="H235" s="187" t="s">
        <v>150</v>
      </c>
      <c r="I235" s="218">
        <f t="shared" ref="I235:AS235" si="73">I190*(1+$H$232)</f>
        <v>0.1671718741</v>
      </c>
      <c r="J235" s="218">
        <f t="shared" si="73"/>
        <v>0.2113669088</v>
      </c>
      <c r="K235" s="218">
        <f t="shared" si="73"/>
        <v>0.1759617654</v>
      </c>
      <c r="L235" s="218">
        <f t="shared" si="73"/>
        <v>0.2671601128</v>
      </c>
      <c r="M235" s="218">
        <f t="shared" si="73"/>
        <v>0.1823509488</v>
      </c>
      <c r="N235" s="218">
        <f t="shared" si="73"/>
        <v>0.1666016235</v>
      </c>
      <c r="O235" s="218">
        <f t="shared" si="73"/>
        <v>0.1899010569</v>
      </c>
      <c r="P235" s="218">
        <f t="shared" si="73"/>
        <v>0.05646627949</v>
      </c>
      <c r="Q235" s="218">
        <f t="shared" si="73"/>
        <v>0.1280479188</v>
      </c>
      <c r="R235" s="218">
        <f t="shared" si="73"/>
        <v>0.3962119997</v>
      </c>
      <c r="S235" s="218">
        <f t="shared" si="73"/>
        <v>0.3017012298</v>
      </c>
      <c r="T235" s="218">
        <f t="shared" si="73"/>
        <v>0.3918657063</v>
      </c>
      <c r="U235" s="218">
        <f t="shared" si="73"/>
        <v>0.403449831</v>
      </c>
      <c r="V235" s="218">
        <f t="shared" si="73"/>
        <v>0.3254996101</v>
      </c>
      <c r="W235" s="218">
        <f t="shared" si="73"/>
        <v>0.3317980238</v>
      </c>
      <c r="X235" s="218">
        <f t="shared" si="73"/>
        <v>0.2567543615</v>
      </c>
      <c r="Y235" s="218">
        <f t="shared" si="73"/>
        <v>0.4317725092</v>
      </c>
      <c r="Z235" s="218">
        <f t="shared" si="73"/>
        <v>0.3546170939</v>
      </c>
      <c r="AA235" s="218">
        <f t="shared" si="73"/>
        <v>0.420657002</v>
      </c>
      <c r="AB235" s="218">
        <f t="shared" si="73"/>
        <v>0.4285667579</v>
      </c>
      <c r="AC235" s="218">
        <f t="shared" si="73"/>
        <v>0.4258062245</v>
      </c>
      <c r="AD235" s="218">
        <f t="shared" si="73"/>
        <v>0.4557120419</v>
      </c>
      <c r="AE235" s="218">
        <f t="shared" si="73"/>
        <v>0.4133972494</v>
      </c>
      <c r="AF235" s="218">
        <f t="shared" si="73"/>
        <v>0.4326149451</v>
      </c>
      <c r="AG235" s="218">
        <f t="shared" si="73"/>
        <v>0.3279624909</v>
      </c>
      <c r="AH235" s="218">
        <f t="shared" si="73"/>
        <v>0.3040394246</v>
      </c>
      <c r="AI235" s="218">
        <f t="shared" si="73"/>
        <v>0.4423278293</v>
      </c>
      <c r="AJ235" s="218">
        <f t="shared" si="73"/>
        <v>0.2856292237</v>
      </c>
      <c r="AK235" s="218">
        <f t="shared" si="73"/>
        <v>0.202414081</v>
      </c>
      <c r="AL235" s="218">
        <f t="shared" si="73"/>
        <v>0.3036508631</v>
      </c>
      <c r="AM235" s="218">
        <f t="shared" si="73"/>
        <v>0.3494268167</v>
      </c>
      <c r="AN235" s="218">
        <f t="shared" si="73"/>
        <v>0.3862878065</v>
      </c>
      <c r="AO235" s="218">
        <f t="shared" si="73"/>
        <v>0.3220542723</v>
      </c>
      <c r="AP235" s="218">
        <f t="shared" si="73"/>
        <v>0.326902435</v>
      </c>
      <c r="AQ235" s="218">
        <f t="shared" si="73"/>
        <v>0.4029963777</v>
      </c>
      <c r="AR235" s="218">
        <f t="shared" si="73"/>
        <v>0.2279454596</v>
      </c>
      <c r="AS235" s="218">
        <f t="shared" si="73"/>
        <v>0.2056301432</v>
      </c>
      <c r="AT235" s="163"/>
    </row>
    <row r="236">
      <c r="A236" s="80"/>
      <c r="B236" s="81"/>
      <c r="C236" s="112"/>
      <c r="D236" s="112"/>
      <c r="E236" s="140" t="s">
        <v>476</v>
      </c>
      <c r="F236" s="215" t="s">
        <v>122</v>
      </c>
      <c r="G236" s="216" t="s">
        <v>149</v>
      </c>
      <c r="H236" s="187" t="s">
        <v>150</v>
      </c>
      <c r="I236" s="218">
        <f t="shared" ref="I236:AS236" si="74">I191*(1+$H$232)</f>
        <v>0</v>
      </c>
      <c r="J236" s="218">
        <f t="shared" si="74"/>
        <v>0</v>
      </c>
      <c r="K236" s="218">
        <f t="shared" si="74"/>
        <v>0</v>
      </c>
      <c r="L236" s="218">
        <f t="shared" si="74"/>
        <v>0</v>
      </c>
      <c r="M236" s="218">
        <f t="shared" si="74"/>
        <v>0</v>
      </c>
      <c r="N236" s="218">
        <f t="shared" si="74"/>
        <v>0</v>
      </c>
      <c r="O236" s="218">
        <f t="shared" si="74"/>
        <v>0</v>
      </c>
      <c r="P236" s="218">
        <f t="shared" si="74"/>
        <v>0</v>
      </c>
      <c r="Q236" s="218">
        <f t="shared" si="74"/>
        <v>0</v>
      </c>
      <c r="R236" s="218">
        <f t="shared" si="74"/>
        <v>0</v>
      </c>
      <c r="S236" s="218">
        <f t="shared" si="74"/>
        <v>0</v>
      </c>
      <c r="T236" s="218">
        <f t="shared" si="74"/>
        <v>0</v>
      </c>
      <c r="U236" s="218">
        <f t="shared" si="74"/>
        <v>0</v>
      </c>
      <c r="V236" s="218">
        <f t="shared" si="74"/>
        <v>0</v>
      </c>
      <c r="W236" s="218">
        <f t="shared" si="74"/>
        <v>0</v>
      </c>
      <c r="X236" s="218">
        <f t="shared" si="74"/>
        <v>0</v>
      </c>
      <c r="Y236" s="218">
        <f t="shared" si="74"/>
        <v>0</v>
      </c>
      <c r="Z236" s="218">
        <f t="shared" si="74"/>
        <v>0</v>
      </c>
      <c r="AA236" s="218">
        <f t="shared" si="74"/>
        <v>0</v>
      </c>
      <c r="AB236" s="218">
        <f t="shared" si="74"/>
        <v>0</v>
      </c>
      <c r="AC236" s="218">
        <f t="shared" si="74"/>
        <v>0</v>
      </c>
      <c r="AD236" s="218">
        <f t="shared" si="74"/>
        <v>0</v>
      </c>
      <c r="AE236" s="218">
        <f t="shared" si="74"/>
        <v>0</v>
      </c>
      <c r="AF236" s="218">
        <f t="shared" si="74"/>
        <v>0</v>
      </c>
      <c r="AG236" s="218">
        <f t="shared" si="74"/>
        <v>0</v>
      </c>
      <c r="AH236" s="218">
        <f t="shared" si="74"/>
        <v>0</v>
      </c>
      <c r="AI236" s="218">
        <f t="shared" si="74"/>
        <v>0</v>
      </c>
      <c r="AJ236" s="218">
        <f t="shared" si="74"/>
        <v>0</v>
      </c>
      <c r="AK236" s="218">
        <f t="shared" si="74"/>
        <v>0</v>
      </c>
      <c r="AL236" s="218">
        <f t="shared" si="74"/>
        <v>0</v>
      </c>
      <c r="AM236" s="218">
        <f t="shared" si="74"/>
        <v>0</v>
      </c>
      <c r="AN236" s="218">
        <f t="shared" si="74"/>
        <v>0</v>
      </c>
      <c r="AO236" s="218">
        <f t="shared" si="74"/>
        <v>0</v>
      </c>
      <c r="AP236" s="218">
        <f t="shared" si="74"/>
        <v>0</v>
      </c>
      <c r="AQ236" s="218">
        <f t="shared" si="74"/>
        <v>0</v>
      </c>
      <c r="AR236" s="218">
        <f t="shared" si="74"/>
        <v>0</v>
      </c>
      <c r="AS236" s="218">
        <f t="shared" si="74"/>
        <v>0</v>
      </c>
      <c r="AT236" s="163"/>
    </row>
    <row r="237">
      <c r="A237" s="80"/>
      <c r="B237" s="81"/>
      <c r="C237" s="112"/>
      <c r="D237" s="112"/>
      <c r="E237" s="237" t="s">
        <v>478</v>
      </c>
      <c r="F237" s="195" t="s">
        <v>122</v>
      </c>
      <c r="G237" s="196" t="s">
        <v>149</v>
      </c>
      <c r="H237" s="197" t="s">
        <v>150</v>
      </c>
      <c r="I237" s="211">
        <f t="shared" ref="I237:AS237" si="75">I192*(1+$H$232)</f>
        <v>0.1327473571</v>
      </c>
      <c r="J237" s="211">
        <f t="shared" si="75"/>
        <v>0.1730841277</v>
      </c>
      <c r="K237" s="211">
        <f t="shared" si="75"/>
        <v>0.1660009771</v>
      </c>
      <c r="L237" s="211">
        <f t="shared" si="75"/>
        <v>0.2499701423</v>
      </c>
      <c r="M237" s="211">
        <f t="shared" si="75"/>
        <v>0.1617915391</v>
      </c>
      <c r="N237" s="211">
        <f t="shared" si="75"/>
        <v>0.1622820958</v>
      </c>
      <c r="O237" s="211">
        <f t="shared" si="75"/>
        <v>0.2221247592</v>
      </c>
      <c r="P237" s="211">
        <f t="shared" si="75"/>
        <v>0.07237712242</v>
      </c>
      <c r="Q237" s="211">
        <f t="shared" si="75"/>
        <v>0.1557571376</v>
      </c>
      <c r="R237" s="211">
        <f t="shared" si="75"/>
        <v>0.3639602284</v>
      </c>
      <c r="S237" s="211">
        <f t="shared" si="75"/>
        <v>0.2757728763</v>
      </c>
      <c r="T237" s="211">
        <f t="shared" si="75"/>
        <v>0.3399064098</v>
      </c>
      <c r="U237" s="211">
        <f t="shared" si="75"/>
        <v>0.3559652828</v>
      </c>
      <c r="V237" s="211">
        <f t="shared" si="75"/>
        <v>0.2955580336</v>
      </c>
      <c r="W237" s="211">
        <f t="shared" si="75"/>
        <v>0.304576491</v>
      </c>
      <c r="X237" s="211">
        <f t="shared" si="75"/>
        <v>0.2425108438</v>
      </c>
      <c r="Y237" s="211">
        <f t="shared" si="75"/>
        <v>0.3839973939</v>
      </c>
      <c r="Z237" s="211">
        <f t="shared" si="75"/>
        <v>0.342910319</v>
      </c>
      <c r="AA237" s="211">
        <f t="shared" si="75"/>
        <v>0.375432142</v>
      </c>
      <c r="AB237" s="211">
        <f t="shared" si="75"/>
        <v>0.4155801657</v>
      </c>
      <c r="AC237" s="211">
        <f t="shared" si="75"/>
        <v>0.4373383174</v>
      </c>
      <c r="AD237" s="211">
        <f t="shared" si="75"/>
        <v>0.4027970634</v>
      </c>
      <c r="AE237" s="211">
        <f t="shared" si="75"/>
        <v>0.4152968633</v>
      </c>
      <c r="AF237" s="211">
        <f t="shared" si="75"/>
        <v>0.3754893464</v>
      </c>
      <c r="AG237" s="211">
        <f t="shared" si="75"/>
        <v>0.3439159965</v>
      </c>
      <c r="AH237" s="211">
        <f t="shared" si="75"/>
        <v>0.3284021926</v>
      </c>
      <c r="AI237" s="211">
        <f t="shared" si="75"/>
        <v>0.4366139233</v>
      </c>
      <c r="AJ237" s="211">
        <f t="shared" si="75"/>
        <v>0.2662635257</v>
      </c>
      <c r="AK237" s="211">
        <f t="shared" si="75"/>
        <v>0.2148844923</v>
      </c>
      <c r="AL237" s="211">
        <f t="shared" si="75"/>
        <v>0.2873211746</v>
      </c>
      <c r="AM237" s="211">
        <f t="shared" si="75"/>
        <v>0.3461931561</v>
      </c>
      <c r="AN237" s="211">
        <f t="shared" si="75"/>
        <v>0.3692056286</v>
      </c>
      <c r="AO237" s="211">
        <f t="shared" si="75"/>
        <v>0.286050702</v>
      </c>
      <c r="AP237" s="211">
        <f t="shared" si="75"/>
        <v>0.339661468</v>
      </c>
      <c r="AQ237" s="211">
        <f t="shared" si="75"/>
        <v>0.3889938143</v>
      </c>
      <c r="AR237" s="211">
        <f t="shared" si="75"/>
        <v>0.2369064296</v>
      </c>
      <c r="AS237" s="211">
        <f t="shared" si="75"/>
        <v>0.215329622</v>
      </c>
      <c r="AT237" s="248"/>
    </row>
    <row r="238">
      <c r="A238" s="80"/>
      <c r="B238" s="81"/>
      <c r="C238" s="112"/>
      <c r="D238" s="112"/>
      <c r="E238" s="243"/>
      <c r="F238" s="83"/>
      <c r="G238" s="91"/>
      <c r="H238" s="85"/>
      <c r="I238" s="86"/>
      <c r="J238" s="86"/>
      <c r="K238" s="86"/>
      <c r="L238" s="86"/>
      <c r="M238" s="86"/>
      <c r="N238" s="86"/>
      <c r="O238" s="86"/>
      <c r="P238" s="86"/>
      <c r="Q238" s="86"/>
      <c r="R238" s="86"/>
      <c r="S238" s="86"/>
      <c r="T238" s="111"/>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c r="AQ238" s="86"/>
      <c r="AR238" s="86"/>
      <c r="AS238" s="86"/>
      <c r="AT238" s="88"/>
    </row>
    <row r="239">
      <c r="A239" s="80"/>
      <c r="B239" s="81"/>
      <c r="C239" s="90" t="s">
        <v>376</v>
      </c>
      <c r="F239" s="83"/>
      <c r="G239" s="91"/>
      <c r="H239" s="85"/>
      <c r="I239" s="86"/>
      <c r="J239" s="86"/>
      <c r="K239" s="86"/>
      <c r="L239" s="86"/>
      <c r="M239" s="86"/>
      <c r="N239" s="86"/>
      <c r="O239" s="86"/>
      <c r="P239" s="86"/>
      <c r="Q239" s="86"/>
      <c r="R239" s="86"/>
      <c r="S239" s="86"/>
      <c r="T239" s="111"/>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c r="AQ239" s="86"/>
      <c r="AR239" s="86"/>
      <c r="AS239" s="86"/>
      <c r="AT239" s="88"/>
    </row>
    <row r="240">
      <c r="A240" s="80"/>
      <c r="B240" s="81"/>
      <c r="C240" s="112"/>
      <c r="D240" s="112"/>
      <c r="E240" s="113" t="s">
        <v>878</v>
      </c>
      <c r="F240" s="189" t="str">
        <f>Inputs!F183</f>
        <v>%</v>
      </c>
      <c r="G240" s="256" t="str">
        <f>Inputs!G183</f>
        <v>input</v>
      </c>
      <c r="H240" s="156">
        <f>Inputs!H183</f>
        <v>-0.1</v>
      </c>
      <c r="I240" s="418" t="str">
        <f>Inputs!I183</f>
        <v>-</v>
      </c>
      <c r="J240" s="418" t="str">
        <f>Inputs!J183</f>
        <v>-</v>
      </c>
      <c r="K240" s="418" t="str">
        <f>Inputs!K183</f>
        <v>-</v>
      </c>
      <c r="L240" s="418" t="str">
        <f>Inputs!L183</f>
        <v>-</v>
      </c>
      <c r="M240" s="418" t="str">
        <f>Inputs!M183</f>
        <v>-</v>
      </c>
      <c r="N240" s="418" t="str">
        <f>Inputs!N183</f>
        <v>-</v>
      </c>
      <c r="O240" s="418" t="str">
        <f>Inputs!O183</f>
        <v>-</v>
      </c>
      <c r="P240" s="418" t="str">
        <f>Inputs!P183</f>
        <v>-</v>
      </c>
      <c r="Q240" s="418" t="str">
        <f>Inputs!Q183</f>
        <v>-</v>
      </c>
      <c r="R240" s="418" t="str">
        <f>Inputs!R183</f>
        <v>-</v>
      </c>
      <c r="S240" s="418" t="str">
        <f>Inputs!S183</f>
        <v>-</v>
      </c>
      <c r="T240" s="119" t="str">
        <f>Inputs!T183</f>
        <v>-</v>
      </c>
      <c r="U240" s="418" t="str">
        <f>Inputs!U183</f>
        <v>-</v>
      </c>
      <c r="V240" s="418" t="str">
        <f>Inputs!V183</f>
        <v>-</v>
      </c>
      <c r="W240" s="418" t="str">
        <f>Inputs!W183</f>
        <v>-</v>
      </c>
      <c r="X240" s="418" t="str">
        <f>Inputs!X183</f>
        <v>-</v>
      </c>
      <c r="Y240" s="418" t="str">
        <f>Inputs!Y183</f>
        <v>-</v>
      </c>
      <c r="Z240" s="418" t="str">
        <f>Inputs!Z183</f>
        <v>-</v>
      </c>
      <c r="AA240" s="418" t="str">
        <f>Inputs!AA183</f>
        <v>-</v>
      </c>
      <c r="AB240" s="418" t="str">
        <f>Inputs!AB183</f>
        <v>-</v>
      </c>
      <c r="AC240" s="418" t="str">
        <f>Inputs!AC183</f>
        <v>-</v>
      </c>
      <c r="AD240" s="418" t="str">
        <f>Inputs!AD183</f>
        <v>-</v>
      </c>
      <c r="AE240" s="418" t="str">
        <f>Inputs!AE183</f>
        <v>-</v>
      </c>
      <c r="AF240" s="418" t="str">
        <f>Inputs!AF183</f>
        <v>-</v>
      </c>
      <c r="AG240" s="418" t="str">
        <f>Inputs!AG183</f>
        <v>-</v>
      </c>
      <c r="AH240" s="418" t="str">
        <f>Inputs!AH183</f>
        <v>-</v>
      </c>
      <c r="AI240" s="418" t="str">
        <f>Inputs!AI183</f>
        <v>-</v>
      </c>
      <c r="AJ240" s="418" t="str">
        <f>Inputs!AJ183</f>
        <v>-</v>
      </c>
      <c r="AK240" s="418" t="str">
        <f>Inputs!AK183</f>
        <v>-</v>
      </c>
      <c r="AL240" s="418" t="str">
        <f>Inputs!AL183</f>
        <v>-</v>
      </c>
      <c r="AM240" s="418" t="str">
        <f>Inputs!AM183</f>
        <v>-</v>
      </c>
      <c r="AN240" s="418" t="str">
        <f>Inputs!AN183</f>
        <v>-</v>
      </c>
      <c r="AO240" s="418" t="str">
        <f>Inputs!AO183</f>
        <v>-</v>
      </c>
      <c r="AP240" s="418" t="str">
        <f>Inputs!AP183</f>
        <v>-</v>
      </c>
      <c r="AQ240" s="418" t="str">
        <f>Inputs!AQ183</f>
        <v>-</v>
      </c>
      <c r="AR240" s="418" t="str">
        <f>Inputs!AR183</f>
        <v>-</v>
      </c>
      <c r="AS240" s="418" t="str">
        <f>Inputs!AS183</f>
        <v>-</v>
      </c>
      <c r="AT240" s="136"/>
    </row>
    <row r="241">
      <c r="A241" s="80"/>
      <c r="B241" s="81"/>
      <c r="C241" s="112"/>
      <c r="D241" s="112"/>
      <c r="E241" s="140" t="s">
        <v>378</v>
      </c>
      <c r="F241" s="215" t="s">
        <v>122</v>
      </c>
      <c r="G241" s="216" t="s">
        <v>149</v>
      </c>
      <c r="H241" s="176">
        <f t="shared" ref="H241:H246" si="76">H195*(1+$H$240)</f>
        <v>0.65040642</v>
      </c>
      <c r="I241" s="232" t="s">
        <v>150</v>
      </c>
      <c r="J241" s="232" t="s">
        <v>150</v>
      </c>
      <c r="K241" s="232" t="s">
        <v>150</v>
      </c>
      <c r="L241" s="232" t="s">
        <v>150</v>
      </c>
      <c r="M241" s="232" t="s">
        <v>150</v>
      </c>
      <c r="N241" s="232" t="s">
        <v>150</v>
      </c>
      <c r="O241" s="232" t="s">
        <v>150</v>
      </c>
      <c r="P241" s="232" t="s">
        <v>150</v>
      </c>
      <c r="Q241" s="232" t="s">
        <v>150</v>
      </c>
      <c r="R241" s="232" t="s">
        <v>150</v>
      </c>
      <c r="S241" s="232" t="s">
        <v>150</v>
      </c>
      <c r="T241" s="232" t="s">
        <v>150</v>
      </c>
      <c r="U241" s="232" t="s">
        <v>150</v>
      </c>
      <c r="V241" s="232" t="s">
        <v>150</v>
      </c>
      <c r="W241" s="232" t="s">
        <v>150</v>
      </c>
      <c r="X241" s="232" t="s">
        <v>150</v>
      </c>
      <c r="Y241" s="232" t="s">
        <v>150</v>
      </c>
      <c r="Z241" s="232" t="s">
        <v>150</v>
      </c>
      <c r="AA241" s="232" t="s">
        <v>150</v>
      </c>
      <c r="AB241" s="232" t="s">
        <v>150</v>
      </c>
      <c r="AC241" s="232" t="s">
        <v>150</v>
      </c>
      <c r="AD241" s="232" t="s">
        <v>150</v>
      </c>
      <c r="AE241" s="232" t="s">
        <v>150</v>
      </c>
      <c r="AF241" s="232" t="s">
        <v>150</v>
      </c>
      <c r="AG241" s="232" t="s">
        <v>150</v>
      </c>
      <c r="AH241" s="232" t="s">
        <v>150</v>
      </c>
      <c r="AI241" s="232" t="s">
        <v>150</v>
      </c>
      <c r="AJ241" s="232" t="s">
        <v>150</v>
      </c>
      <c r="AK241" s="232" t="s">
        <v>150</v>
      </c>
      <c r="AL241" s="232" t="s">
        <v>150</v>
      </c>
      <c r="AM241" s="232" t="s">
        <v>150</v>
      </c>
      <c r="AN241" s="232" t="s">
        <v>150</v>
      </c>
      <c r="AO241" s="232" t="s">
        <v>150</v>
      </c>
      <c r="AP241" s="232" t="s">
        <v>150</v>
      </c>
      <c r="AQ241" s="232" t="s">
        <v>150</v>
      </c>
      <c r="AR241" s="232" t="s">
        <v>150</v>
      </c>
      <c r="AS241" s="232" t="s">
        <v>150</v>
      </c>
      <c r="AT241" s="163"/>
    </row>
    <row r="242">
      <c r="A242" s="80"/>
      <c r="B242" s="81"/>
      <c r="C242" s="112"/>
      <c r="D242" s="112"/>
      <c r="E242" s="140" t="s">
        <v>382</v>
      </c>
      <c r="F242" s="215" t="s">
        <v>122</v>
      </c>
      <c r="G242" s="216" t="s">
        <v>149</v>
      </c>
      <c r="H242" s="176">
        <f t="shared" si="76"/>
        <v>0.6427545798</v>
      </c>
      <c r="I242" s="232" t="s">
        <v>150</v>
      </c>
      <c r="J242" s="232" t="s">
        <v>150</v>
      </c>
      <c r="K242" s="232" t="s">
        <v>150</v>
      </c>
      <c r="L242" s="232" t="s">
        <v>150</v>
      </c>
      <c r="M242" s="232" t="s">
        <v>150</v>
      </c>
      <c r="N242" s="232" t="s">
        <v>150</v>
      </c>
      <c r="O242" s="232" t="s">
        <v>150</v>
      </c>
      <c r="P242" s="232" t="s">
        <v>150</v>
      </c>
      <c r="Q242" s="232" t="s">
        <v>150</v>
      </c>
      <c r="R242" s="232" t="s">
        <v>150</v>
      </c>
      <c r="S242" s="232" t="s">
        <v>150</v>
      </c>
      <c r="T242" s="232" t="s">
        <v>150</v>
      </c>
      <c r="U242" s="232" t="s">
        <v>150</v>
      </c>
      <c r="V242" s="232" t="s">
        <v>150</v>
      </c>
      <c r="W242" s="232" t="s">
        <v>150</v>
      </c>
      <c r="X242" s="232" t="s">
        <v>150</v>
      </c>
      <c r="Y242" s="232" t="s">
        <v>150</v>
      </c>
      <c r="Z242" s="232" t="s">
        <v>150</v>
      </c>
      <c r="AA242" s="232" t="s">
        <v>150</v>
      </c>
      <c r="AB242" s="232" t="s">
        <v>150</v>
      </c>
      <c r="AC242" s="232" t="s">
        <v>150</v>
      </c>
      <c r="AD242" s="232" t="s">
        <v>150</v>
      </c>
      <c r="AE242" s="232" t="s">
        <v>150</v>
      </c>
      <c r="AF242" s="232" t="s">
        <v>150</v>
      </c>
      <c r="AG242" s="232" t="s">
        <v>150</v>
      </c>
      <c r="AH242" s="232" t="s">
        <v>150</v>
      </c>
      <c r="AI242" s="232" t="s">
        <v>150</v>
      </c>
      <c r="AJ242" s="232" t="s">
        <v>150</v>
      </c>
      <c r="AK242" s="232" t="s">
        <v>150</v>
      </c>
      <c r="AL242" s="232" t="s">
        <v>150</v>
      </c>
      <c r="AM242" s="232" t="s">
        <v>150</v>
      </c>
      <c r="AN242" s="232" t="s">
        <v>150</v>
      </c>
      <c r="AO242" s="232" t="s">
        <v>150</v>
      </c>
      <c r="AP242" s="232" t="s">
        <v>150</v>
      </c>
      <c r="AQ242" s="232" t="s">
        <v>150</v>
      </c>
      <c r="AR242" s="232" t="s">
        <v>150</v>
      </c>
      <c r="AS242" s="232" t="s">
        <v>150</v>
      </c>
      <c r="AT242" s="163"/>
    </row>
    <row r="243">
      <c r="A243" s="80"/>
      <c r="B243" s="81"/>
      <c r="C243" s="112"/>
      <c r="D243" s="112"/>
      <c r="E243" s="140" t="s">
        <v>387</v>
      </c>
      <c r="F243" s="215" t="s">
        <v>122</v>
      </c>
      <c r="G243" s="216" t="s">
        <v>149</v>
      </c>
      <c r="H243" s="176">
        <f t="shared" si="76"/>
        <v>0.6274508993</v>
      </c>
      <c r="I243" s="232" t="s">
        <v>150</v>
      </c>
      <c r="J243" s="232" t="s">
        <v>150</v>
      </c>
      <c r="K243" s="232" t="s">
        <v>150</v>
      </c>
      <c r="L243" s="232" t="s">
        <v>150</v>
      </c>
      <c r="M243" s="232" t="s">
        <v>150</v>
      </c>
      <c r="N243" s="232" t="s">
        <v>150</v>
      </c>
      <c r="O243" s="232" t="s">
        <v>150</v>
      </c>
      <c r="P243" s="232" t="s">
        <v>150</v>
      </c>
      <c r="Q243" s="232" t="s">
        <v>150</v>
      </c>
      <c r="R243" s="232" t="s">
        <v>150</v>
      </c>
      <c r="S243" s="232" t="s">
        <v>150</v>
      </c>
      <c r="T243" s="232" t="s">
        <v>150</v>
      </c>
      <c r="U243" s="232" t="s">
        <v>150</v>
      </c>
      <c r="V243" s="232" t="s">
        <v>150</v>
      </c>
      <c r="W243" s="232" t="s">
        <v>150</v>
      </c>
      <c r="X243" s="232" t="s">
        <v>150</v>
      </c>
      <c r="Y243" s="232" t="s">
        <v>150</v>
      </c>
      <c r="Z243" s="232" t="s">
        <v>150</v>
      </c>
      <c r="AA243" s="232" t="s">
        <v>150</v>
      </c>
      <c r="AB243" s="232" t="s">
        <v>150</v>
      </c>
      <c r="AC243" s="232" t="s">
        <v>150</v>
      </c>
      <c r="AD243" s="232" t="s">
        <v>150</v>
      </c>
      <c r="AE243" s="232" t="s">
        <v>150</v>
      </c>
      <c r="AF243" s="232" t="s">
        <v>150</v>
      </c>
      <c r="AG243" s="232" t="s">
        <v>150</v>
      </c>
      <c r="AH243" s="232" t="s">
        <v>150</v>
      </c>
      <c r="AI243" s="232" t="s">
        <v>150</v>
      </c>
      <c r="AJ243" s="232" t="s">
        <v>150</v>
      </c>
      <c r="AK243" s="232" t="s">
        <v>150</v>
      </c>
      <c r="AL243" s="232" t="s">
        <v>150</v>
      </c>
      <c r="AM243" s="232" t="s">
        <v>150</v>
      </c>
      <c r="AN243" s="232" t="s">
        <v>150</v>
      </c>
      <c r="AO243" s="232" t="s">
        <v>150</v>
      </c>
      <c r="AP243" s="232" t="s">
        <v>150</v>
      </c>
      <c r="AQ243" s="232" t="s">
        <v>150</v>
      </c>
      <c r="AR243" s="232" t="s">
        <v>150</v>
      </c>
      <c r="AS243" s="232" t="s">
        <v>150</v>
      </c>
      <c r="AT243" s="163"/>
    </row>
    <row r="244">
      <c r="A244" s="80"/>
      <c r="B244" s="81"/>
      <c r="C244" s="112"/>
      <c r="D244" s="112"/>
      <c r="E244" s="140" t="s">
        <v>392</v>
      </c>
      <c r="F244" s="215" t="s">
        <v>122</v>
      </c>
      <c r="G244" s="216" t="s">
        <v>149</v>
      </c>
      <c r="H244" s="176">
        <f t="shared" si="76"/>
        <v>0.4438067336</v>
      </c>
      <c r="I244" s="232" t="s">
        <v>150</v>
      </c>
      <c r="J244" s="232" t="s">
        <v>150</v>
      </c>
      <c r="K244" s="232" t="s">
        <v>150</v>
      </c>
      <c r="L244" s="232" t="s">
        <v>150</v>
      </c>
      <c r="M244" s="232" t="s">
        <v>150</v>
      </c>
      <c r="N244" s="232" t="s">
        <v>150</v>
      </c>
      <c r="O244" s="232" t="s">
        <v>150</v>
      </c>
      <c r="P244" s="232" t="s">
        <v>150</v>
      </c>
      <c r="Q244" s="232" t="s">
        <v>150</v>
      </c>
      <c r="R244" s="232" t="s">
        <v>150</v>
      </c>
      <c r="S244" s="232" t="s">
        <v>150</v>
      </c>
      <c r="T244" s="232" t="s">
        <v>150</v>
      </c>
      <c r="U244" s="232" t="s">
        <v>150</v>
      </c>
      <c r="V244" s="232" t="s">
        <v>150</v>
      </c>
      <c r="W244" s="232" t="s">
        <v>150</v>
      </c>
      <c r="X244" s="232" t="s">
        <v>150</v>
      </c>
      <c r="Y244" s="232" t="s">
        <v>150</v>
      </c>
      <c r="Z244" s="232" t="s">
        <v>150</v>
      </c>
      <c r="AA244" s="232" t="s">
        <v>150</v>
      </c>
      <c r="AB244" s="232" t="s">
        <v>150</v>
      </c>
      <c r="AC244" s="232" t="s">
        <v>150</v>
      </c>
      <c r="AD244" s="232" t="s">
        <v>150</v>
      </c>
      <c r="AE244" s="232" t="s">
        <v>150</v>
      </c>
      <c r="AF244" s="232" t="s">
        <v>150</v>
      </c>
      <c r="AG244" s="232" t="s">
        <v>150</v>
      </c>
      <c r="AH244" s="232" t="s">
        <v>150</v>
      </c>
      <c r="AI244" s="232" t="s">
        <v>150</v>
      </c>
      <c r="AJ244" s="232" t="s">
        <v>150</v>
      </c>
      <c r="AK244" s="232" t="s">
        <v>150</v>
      </c>
      <c r="AL244" s="232" t="s">
        <v>150</v>
      </c>
      <c r="AM244" s="232" t="s">
        <v>150</v>
      </c>
      <c r="AN244" s="232" t="s">
        <v>150</v>
      </c>
      <c r="AO244" s="232" t="s">
        <v>150</v>
      </c>
      <c r="AP244" s="232" t="s">
        <v>150</v>
      </c>
      <c r="AQ244" s="232" t="s">
        <v>150</v>
      </c>
      <c r="AR244" s="232" t="s">
        <v>150</v>
      </c>
      <c r="AS244" s="232" t="s">
        <v>150</v>
      </c>
      <c r="AT244" s="163"/>
    </row>
    <row r="245">
      <c r="A245" s="80"/>
      <c r="B245" s="81"/>
      <c r="C245" s="112"/>
      <c r="D245" s="112"/>
      <c r="E245" s="140" t="s">
        <v>397</v>
      </c>
      <c r="F245" s="215" t="s">
        <v>122</v>
      </c>
      <c r="G245" s="216" t="s">
        <v>149</v>
      </c>
      <c r="H245" s="176">
        <f t="shared" si="76"/>
        <v>0.3519846508</v>
      </c>
      <c r="I245" s="232" t="s">
        <v>150</v>
      </c>
      <c r="J245" s="232" t="s">
        <v>150</v>
      </c>
      <c r="K245" s="232" t="s">
        <v>150</v>
      </c>
      <c r="L245" s="232" t="s">
        <v>150</v>
      </c>
      <c r="M245" s="232" t="s">
        <v>150</v>
      </c>
      <c r="N245" s="232" t="s">
        <v>150</v>
      </c>
      <c r="O245" s="232" t="s">
        <v>150</v>
      </c>
      <c r="P245" s="232" t="s">
        <v>150</v>
      </c>
      <c r="Q245" s="232" t="s">
        <v>150</v>
      </c>
      <c r="R245" s="232" t="s">
        <v>150</v>
      </c>
      <c r="S245" s="232" t="s">
        <v>150</v>
      </c>
      <c r="T245" s="232" t="s">
        <v>150</v>
      </c>
      <c r="U245" s="232" t="s">
        <v>150</v>
      </c>
      <c r="V245" s="232" t="s">
        <v>150</v>
      </c>
      <c r="W245" s="232" t="s">
        <v>150</v>
      </c>
      <c r="X245" s="232" t="s">
        <v>150</v>
      </c>
      <c r="Y245" s="232" t="s">
        <v>150</v>
      </c>
      <c r="Z245" s="232" t="s">
        <v>150</v>
      </c>
      <c r="AA245" s="232" t="s">
        <v>150</v>
      </c>
      <c r="AB245" s="232" t="s">
        <v>150</v>
      </c>
      <c r="AC245" s="232" t="s">
        <v>150</v>
      </c>
      <c r="AD245" s="232" t="s">
        <v>150</v>
      </c>
      <c r="AE245" s="232" t="s">
        <v>150</v>
      </c>
      <c r="AF245" s="232" t="s">
        <v>150</v>
      </c>
      <c r="AG245" s="232" t="s">
        <v>150</v>
      </c>
      <c r="AH245" s="232" t="s">
        <v>150</v>
      </c>
      <c r="AI245" s="232" t="s">
        <v>150</v>
      </c>
      <c r="AJ245" s="232" t="s">
        <v>150</v>
      </c>
      <c r="AK245" s="232" t="s">
        <v>150</v>
      </c>
      <c r="AL245" s="232" t="s">
        <v>150</v>
      </c>
      <c r="AM245" s="232" t="s">
        <v>150</v>
      </c>
      <c r="AN245" s="232" t="s">
        <v>150</v>
      </c>
      <c r="AO245" s="232" t="s">
        <v>150</v>
      </c>
      <c r="AP245" s="232" t="s">
        <v>150</v>
      </c>
      <c r="AQ245" s="232" t="s">
        <v>150</v>
      </c>
      <c r="AR245" s="232" t="s">
        <v>150</v>
      </c>
      <c r="AS245" s="232" t="s">
        <v>150</v>
      </c>
      <c r="AT245" s="163"/>
    </row>
    <row r="246">
      <c r="A246" s="80"/>
      <c r="B246" s="81"/>
      <c r="C246" s="112"/>
      <c r="D246" s="112"/>
      <c r="E246" s="237" t="s">
        <v>405</v>
      </c>
      <c r="F246" s="195" t="s">
        <v>122</v>
      </c>
      <c r="G246" s="196" t="s">
        <v>149</v>
      </c>
      <c r="H246" s="234">
        <f t="shared" si="76"/>
        <v>0.5987875074</v>
      </c>
      <c r="I246" s="292" t="s">
        <v>150</v>
      </c>
      <c r="J246" s="292" t="s">
        <v>150</v>
      </c>
      <c r="K246" s="292" t="s">
        <v>150</v>
      </c>
      <c r="L246" s="292" t="s">
        <v>150</v>
      </c>
      <c r="M246" s="292" t="s">
        <v>150</v>
      </c>
      <c r="N246" s="292" t="s">
        <v>150</v>
      </c>
      <c r="O246" s="292" t="s">
        <v>150</v>
      </c>
      <c r="P246" s="292" t="s">
        <v>150</v>
      </c>
      <c r="Q246" s="292" t="s">
        <v>150</v>
      </c>
      <c r="R246" s="292" t="s">
        <v>150</v>
      </c>
      <c r="S246" s="292" t="s">
        <v>150</v>
      </c>
      <c r="T246" s="292" t="s">
        <v>150</v>
      </c>
      <c r="U246" s="292" t="s">
        <v>150</v>
      </c>
      <c r="V246" s="292" t="s">
        <v>150</v>
      </c>
      <c r="W246" s="292" t="s">
        <v>150</v>
      </c>
      <c r="X246" s="292" t="s">
        <v>150</v>
      </c>
      <c r="Y246" s="292" t="s">
        <v>150</v>
      </c>
      <c r="Z246" s="292" t="s">
        <v>150</v>
      </c>
      <c r="AA246" s="292" t="s">
        <v>150</v>
      </c>
      <c r="AB246" s="292" t="s">
        <v>150</v>
      </c>
      <c r="AC246" s="292" t="s">
        <v>150</v>
      </c>
      <c r="AD246" s="292" t="s">
        <v>150</v>
      </c>
      <c r="AE246" s="292" t="s">
        <v>150</v>
      </c>
      <c r="AF246" s="292" t="s">
        <v>150</v>
      </c>
      <c r="AG246" s="292" t="s">
        <v>150</v>
      </c>
      <c r="AH246" s="292" t="s">
        <v>150</v>
      </c>
      <c r="AI246" s="292" t="s">
        <v>150</v>
      </c>
      <c r="AJ246" s="292" t="s">
        <v>150</v>
      </c>
      <c r="AK246" s="292" t="s">
        <v>150</v>
      </c>
      <c r="AL246" s="292" t="s">
        <v>150</v>
      </c>
      <c r="AM246" s="292" t="s">
        <v>150</v>
      </c>
      <c r="AN246" s="292" t="s">
        <v>150</v>
      </c>
      <c r="AO246" s="292" t="s">
        <v>150</v>
      </c>
      <c r="AP246" s="292" t="s">
        <v>150</v>
      </c>
      <c r="AQ246" s="292" t="s">
        <v>150</v>
      </c>
      <c r="AR246" s="292" t="s">
        <v>150</v>
      </c>
      <c r="AS246" s="292" t="s">
        <v>150</v>
      </c>
      <c r="AT246" s="248"/>
    </row>
    <row r="247">
      <c r="A247" s="80"/>
      <c r="B247" s="81"/>
      <c r="C247" s="112"/>
      <c r="D247" s="112"/>
      <c r="E247" s="243"/>
      <c r="F247" s="83"/>
      <c r="G247" s="91"/>
      <c r="H247" s="85"/>
      <c r="I247" s="86"/>
      <c r="J247" s="86"/>
      <c r="K247" s="86"/>
      <c r="L247" s="86"/>
      <c r="M247" s="86"/>
      <c r="N247" s="86"/>
      <c r="O247" s="86"/>
      <c r="P247" s="86"/>
      <c r="Q247" s="86"/>
      <c r="R247" s="86"/>
      <c r="S247" s="86"/>
      <c r="T247" s="111"/>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c r="AQ247" s="86"/>
      <c r="AR247" s="86"/>
      <c r="AS247" s="86"/>
      <c r="AT247" s="88"/>
    </row>
    <row r="248">
      <c r="A248" s="80"/>
      <c r="B248" s="81"/>
      <c r="C248" s="112" t="s">
        <v>886</v>
      </c>
      <c r="F248" s="83"/>
      <c r="G248" s="91"/>
      <c r="H248" s="85"/>
      <c r="I248" s="86"/>
      <c r="J248" s="86"/>
      <c r="K248" s="86"/>
      <c r="L248" s="86"/>
      <c r="M248" s="86"/>
      <c r="N248" s="86"/>
      <c r="O248" s="86"/>
      <c r="P248" s="86"/>
      <c r="Q248" s="86"/>
      <c r="R248" s="86"/>
      <c r="S248" s="86"/>
      <c r="T248" s="111"/>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c r="AQ248" s="86"/>
      <c r="AR248" s="86"/>
      <c r="AS248" s="86"/>
      <c r="AT248" s="88"/>
    </row>
    <row r="249">
      <c r="A249" s="80"/>
      <c r="B249" s="81"/>
      <c r="C249" s="90"/>
      <c r="D249" s="90"/>
      <c r="E249" s="113" t="s">
        <v>887</v>
      </c>
      <c r="F249" s="189" t="s">
        <v>122</v>
      </c>
      <c r="G249" s="190" t="s">
        <v>149</v>
      </c>
      <c r="H249" s="200" t="s">
        <v>150</v>
      </c>
      <c r="I249" s="264">
        <f t="shared" ref="I249:AS249" si="77">(I223/((I233*(1-$H241))+(1-I233)))</f>
        <v>0.0005604847262</v>
      </c>
      <c r="J249" s="264">
        <f t="shared" si="77"/>
        <v>0.0002879612027</v>
      </c>
      <c r="K249" s="264">
        <f t="shared" si="77"/>
        <v>0.0006307316731</v>
      </c>
      <c r="L249" s="264">
        <f t="shared" si="77"/>
        <v>0.0001591473896</v>
      </c>
      <c r="M249" s="264">
        <f t="shared" si="77"/>
        <v>0.0003007536227</v>
      </c>
      <c r="N249" s="264">
        <f t="shared" si="77"/>
        <v>0.0004301552905</v>
      </c>
      <c r="O249" s="264">
        <f t="shared" si="77"/>
        <v>0.0004673500654</v>
      </c>
      <c r="P249" s="264">
        <f t="shared" si="77"/>
        <v>0.0006486344573</v>
      </c>
      <c r="Q249" s="264">
        <f t="shared" si="77"/>
        <v>0.0007546034967</v>
      </c>
      <c r="R249" s="264">
        <f t="shared" si="77"/>
        <v>0.00007864601911</v>
      </c>
      <c r="S249" s="264">
        <f t="shared" si="77"/>
        <v>0.0002503347037</v>
      </c>
      <c r="T249" s="264">
        <f t="shared" si="77"/>
        <v>0.00006902173025</v>
      </c>
      <c r="U249" s="264">
        <f t="shared" si="77"/>
        <v>0.00007630497422</v>
      </c>
      <c r="V249" s="264">
        <f t="shared" si="77"/>
        <v>0.00007432255298</v>
      </c>
      <c r="W249" s="264">
        <f t="shared" si="77"/>
        <v>0.0001793113165</v>
      </c>
      <c r="X249" s="264">
        <f t="shared" si="77"/>
        <v>0.0001646210016</v>
      </c>
      <c r="Y249" s="264">
        <f t="shared" si="77"/>
        <v>0.00008289502528</v>
      </c>
      <c r="Z249" s="264">
        <f t="shared" si="77"/>
        <v>0.00009342251221</v>
      </c>
      <c r="AA249" s="264">
        <f t="shared" si="77"/>
        <v>0.0001489986438</v>
      </c>
      <c r="AB249" s="264">
        <f t="shared" si="77"/>
        <v>0.00007997735743</v>
      </c>
      <c r="AC249" s="264">
        <f t="shared" si="77"/>
        <v>0.00007274377425</v>
      </c>
      <c r="AD249" s="264">
        <f t="shared" si="77"/>
        <v>0.00007798100484</v>
      </c>
      <c r="AE249" s="264">
        <f t="shared" si="77"/>
        <v>0.00009841271582</v>
      </c>
      <c r="AF249" s="264">
        <f t="shared" si="77"/>
        <v>0.00006939565812</v>
      </c>
      <c r="AG249" s="264">
        <f t="shared" si="77"/>
        <v>0.00007136201162</v>
      </c>
      <c r="AH249" s="264">
        <f t="shared" si="77"/>
        <v>0.00006413948537</v>
      </c>
      <c r="AI249" s="264">
        <f t="shared" si="77"/>
        <v>0.00006126528361</v>
      </c>
      <c r="AJ249" s="264">
        <f t="shared" si="77"/>
        <v>0.0001361773791</v>
      </c>
      <c r="AK249" s="264">
        <f t="shared" si="77"/>
        <v>0.0001949944817</v>
      </c>
      <c r="AL249" s="264">
        <f t="shared" si="77"/>
        <v>0.000088939433</v>
      </c>
      <c r="AM249" s="264">
        <f t="shared" si="77"/>
        <v>0.00008439236998</v>
      </c>
      <c r="AN249" s="264">
        <f t="shared" si="77"/>
        <v>0.00004984912392</v>
      </c>
      <c r="AO249" s="264">
        <f t="shared" si="77"/>
        <v>0.00004001454421</v>
      </c>
      <c r="AP249" s="264">
        <f t="shared" si="77"/>
        <v>0.0001413050587</v>
      </c>
      <c r="AQ249" s="264">
        <f t="shared" si="77"/>
        <v>0.00008145499532</v>
      </c>
      <c r="AR249" s="264">
        <f t="shared" si="77"/>
        <v>0.0002582725154</v>
      </c>
      <c r="AS249" s="264">
        <f t="shared" si="77"/>
        <v>0.0004110076557</v>
      </c>
      <c r="AT249" s="136"/>
    </row>
    <row r="250">
      <c r="A250" s="80"/>
      <c r="B250" s="81"/>
      <c r="C250" s="90"/>
      <c r="D250" s="90"/>
      <c r="E250" s="113" t="s">
        <v>889</v>
      </c>
      <c r="F250" s="189" t="s">
        <v>122</v>
      </c>
      <c r="G250" s="190" t="s">
        <v>149</v>
      </c>
      <c r="H250" s="200" t="s">
        <v>150</v>
      </c>
      <c r="I250" s="264">
        <f t="shared" ref="I250:AS250" si="78">(I224/((I234*(1-$H242))+(1-I234)))</f>
        <v>0.0003329622697</v>
      </c>
      <c r="J250" s="264">
        <f t="shared" si="78"/>
        <v>0.0003050962898</v>
      </c>
      <c r="K250" s="264">
        <f t="shared" si="78"/>
        <v>0.0004042876686</v>
      </c>
      <c r="L250" s="264">
        <f t="shared" si="78"/>
        <v>0.0002351035385</v>
      </c>
      <c r="M250" s="264">
        <f t="shared" si="78"/>
        <v>0.0002470875853</v>
      </c>
      <c r="N250" s="264">
        <f t="shared" si="78"/>
        <v>0.0003268749276</v>
      </c>
      <c r="O250" s="264">
        <f t="shared" si="78"/>
        <v>0.0004454846442</v>
      </c>
      <c r="P250" s="264">
        <f t="shared" si="78"/>
        <v>0.0005254764432</v>
      </c>
      <c r="Q250" s="264">
        <f t="shared" si="78"/>
        <v>0.000556139168</v>
      </c>
      <c r="R250" s="264">
        <f t="shared" si="78"/>
        <v>0.00007452912827</v>
      </c>
      <c r="S250" s="264">
        <f t="shared" si="78"/>
        <v>0.0001818434071</v>
      </c>
      <c r="T250" s="264">
        <f t="shared" si="78"/>
        <v>0.00007900581119</v>
      </c>
      <c r="U250" s="264">
        <f t="shared" si="78"/>
        <v>0.0001225314231</v>
      </c>
      <c r="V250" s="264">
        <f t="shared" si="78"/>
        <v>0.0001488116153</v>
      </c>
      <c r="W250" s="264">
        <f t="shared" si="78"/>
        <v>0.0001156959735</v>
      </c>
      <c r="X250" s="264">
        <f t="shared" si="78"/>
        <v>0.0001635825606</v>
      </c>
      <c r="Y250" s="264">
        <f t="shared" si="78"/>
        <v>0.00008524673356</v>
      </c>
      <c r="Z250" s="264">
        <f t="shared" si="78"/>
        <v>0.0001053196494</v>
      </c>
      <c r="AA250" s="264">
        <f t="shared" si="78"/>
        <v>0.0001099894146</v>
      </c>
      <c r="AB250" s="264">
        <f t="shared" si="78"/>
        <v>0.00007100376452</v>
      </c>
      <c r="AC250" s="264">
        <f t="shared" si="78"/>
        <v>0.00005432423107</v>
      </c>
      <c r="AD250" s="264">
        <f t="shared" si="78"/>
        <v>0.00006154569876</v>
      </c>
      <c r="AE250" s="264">
        <f t="shared" si="78"/>
        <v>0.00007636376625</v>
      </c>
      <c r="AF250" s="264">
        <f t="shared" si="78"/>
        <v>0.0000475359946</v>
      </c>
      <c r="AG250" s="264">
        <f t="shared" si="78"/>
        <v>0.0002504701563</v>
      </c>
      <c r="AH250" s="264">
        <f t="shared" si="78"/>
        <v>0.00009821755455</v>
      </c>
      <c r="AI250" s="264">
        <f t="shared" si="78"/>
        <v>0.00004425597653</v>
      </c>
      <c r="AJ250" s="264">
        <f t="shared" si="78"/>
        <v>0.0001427989449</v>
      </c>
      <c r="AK250" s="264">
        <f t="shared" si="78"/>
        <v>0.0001967351441</v>
      </c>
      <c r="AL250" s="264">
        <f t="shared" si="78"/>
        <v>0.00009048298745</v>
      </c>
      <c r="AM250" s="264">
        <f t="shared" si="78"/>
        <v>0.0000771955812</v>
      </c>
      <c r="AN250" s="264">
        <f t="shared" si="78"/>
        <v>0.00004347913442</v>
      </c>
      <c r="AO250" s="264">
        <f t="shared" si="78"/>
        <v>0.00009201840097</v>
      </c>
      <c r="AP250" s="264">
        <f t="shared" si="78"/>
        <v>0.00009833946877</v>
      </c>
      <c r="AQ250" s="264">
        <f t="shared" si="78"/>
        <v>0.00007954210635</v>
      </c>
      <c r="AR250" s="264">
        <f t="shared" si="78"/>
        <v>0.0002107396428</v>
      </c>
      <c r="AS250" s="264">
        <f t="shared" si="78"/>
        <v>0.0002721516428</v>
      </c>
      <c r="AT250" s="136"/>
    </row>
    <row r="251">
      <c r="A251" s="80"/>
      <c r="B251" s="81"/>
      <c r="C251" s="90"/>
      <c r="D251" s="90"/>
      <c r="E251" s="113" t="s">
        <v>891</v>
      </c>
      <c r="F251" s="189" t="s">
        <v>122</v>
      </c>
      <c r="G251" s="190" t="s">
        <v>149</v>
      </c>
      <c r="H251" s="200" t="s">
        <v>150</v>
      </c>
      <c r="I251" s="264">
        <f t="shared" ref="I251:AS251" si="79">(I225/((I234*(1-$H243))+(1-I234)))</f>
        <v>0.00005958084259</v>
      </c>
      <c r="J251" s="264">
        <f t="shared" si="79"/>
        <v>0.00005331985055</v>
      </c>
      <c r="K251" s="264">
        <f t="shared" si="79"/>
        <v>0.00006302691652</v>
      </c>
      <c r="L251" s="264">
        <f t="shared" si="79"/>
        <v>0.00004013016171</v>
      </c>
      <c r="M251" s="264">
        <f t="shared" si="79"/>
        <v>0.00005925445845</v>
      </c>
      <c r="N251" s="264">
        <f t="shared" si="79"/>
        <v>0.00004848680746</v>
      </c>
      <c r="O251" s="264">
        <f t="shared" si="79"/>
        <v>0.00005255964729</v>
      </c>
      <c r="P251" s="264">
        <f t="shared" si="79"/>
        <v>0.00006685246041</v>
      </c>
      <c r="Q251" s="264">
        <f t="shared" si="79"/>
        <v>0.00007260928907</v>
      </c>
      <c r="R251" s="264">
        <f t="shared" si="79"/>
        <v>0.00002663633869</v>
      </c>
      <c r="S251" s="264">
        <f t="shared" si="79"/>
        <v>0.00005516372922</v>
      </c>
      <c r="T251" s="264">
        <f t="shared" si="79"/>
        <v>0.00002187216048</v>
      </c>
      <c r="U251" s="264">
        <f t="shared" si="79"/>
        <v>0.0000234875808</v>
      </c>
      <c r="V251" s="264">
        <f t="shared" si="79"/>
        <v>0.00002220054637</v>
      </c>
      <c r="W251" s="264">
        <f t="shared" si="79"/>
        <v>0.00004057684966</v>
      </c>
      <c r="X251" s="264">
        <f t="shared" si="79"/>
        <v>0.00002950106282</v>
      </c>
      <c r="Y251" s="264">
        <f t="shared" si="79"/>
        <v>0.00003244576046</v>
      </c>
      <c r="Z251" s="264">
        <f t="shared" si="79"/>
        <v>0.00002903776995</v>
      </c>
      <c r="AA251" s="264">
        <f t="shared" si="79"/>
        <v>0.00004169695816</v>
      </c>
      <c r="AB251" s="264">
        <f t="shared" si="79"/>
        <v>0.00002522373212</v>
      </c>
      <c r="AC251" s="264">
        <f t="shared" si="79"/>
        <v>0.0000235680363</v>
      </c>
      <c r="AD251" s="264">
        <f t="shared" si="79"/>
        <v>0.00002076827714</v>
      </c>
      <c r="AE251" s="264">
        <f t="shared" si="79"/>
        <v>0.00003041944586</v>
      </c>
      <c r="AF251" s="264">
        <f t="shared" si="79"/>
        <v>0.00002148870608</v>
      </c>
      <c r="AG251" s="264">
        <f t="shared" si="79"/>
        <v>0.0000207796913</v>
      </c>
      <c r="AH251" s="264">
        <f t="shared" si="79"/>
        <v>0.0000186256364</v>
      </c>
      <c r="AI251" s="264">
        <f t="shared" si="79"/>
        <v>0.0000217550568</v>
      </c>
      <c r="AJ251" s="264">
        <f t="shared" si="79"/>
        <v>0.00003484350252</v>
      </c>
      <c r="AK251" s="264">
        <f t="shared" si="79"/>
        <v>0.00003963900886</v>
      </c>
      <c r="AL251" s="264">
        <f t="shared" si="79"/>
        <v>0.00002425505104</v>
      </c>
      <c r="AM251" s="264">
        <f t="shared" si="79"/>
        <v>0.00002769072577</v>
      </c>
      <c r="AN251" s="264">
        <f t="shared" si="79"/>
        <v>0.00001517088183</v>
      </c>
      <c r="AO251" s="264">
        <f t="shared" si="79"/>
        <v>0.00001442808725</v>
      </c>
      <c r="AP251" s="264">
        <f t="shared" si="79"/>
        <v>0.00003356255923</v>
      </c>
      <c r="AQ251" s="264">
        <f t="shared" si="79"/>
        <v>0.00002613727796</v>
      </c>
      <c r="AR251" s="264">
        <f t="shared" si="79"/>
        <v>0.00005522216017</v>
      </c>
      <c r="AS251" s="264">
        <f t="shared" si="79"/>
        <v>0.00004431029726</v>
      </c>
      <c r="AT251" s="136"/>
    </row>
    <row r="252">
      <c r="A252" s="80"/>
      <c r="B252" s="81"/>
      <c r="C252" s="90"/>
      <c r="D252" s="90"/>
      <c r="E252" s="113" t="s">
        <v>896</v>
      </c>
      <c r="F252" s="189" t="s">
        <v>122</v>
      </c>
      <c r="G252" s="190" t="s">
        <v>149</v>
      </c>
      <c r="H252" s="200" t="s">
        <v>150</v>
      </c>
      <c r="I252" s="264">
        <f t="shared" ref="I252:AS252" si="80">(I226/((I235*(1-$H244))+(1-I235)))</f>
        <v>0.0008756101772</v>
      </c>
      <c r="J252" s="264">
        <f t="shared" si="80"/>
        <v>0.000777153263</v>
      </c>
      <c r="K252" s="264">
        <f t="shared" si="80"/>
        <v>0.0009236568357</v>
      </c>
      <c r="L252" s="264">
        <f t="shared" si="80"/>
        <v>0.000585086423</v>
      </c>
      <c r="M252" s="264">
        <f t="shared" si="80"/>
        <v>0.000877881601</v>
      </c>
      <c r="N252" s="264">
        <f t="shared" si="80"/>
        <v>0.0007091026846</v>
      </c>
      <c r="O252" s="264">
        <f t="shared" si="80"/>
        <v>0.0007599634857</v>
      </c>
      <c r="P252" s="264">
        <f t="shared" si="80"/>
        <v>0.0009839818184</v>
      </c>
      <c r="Q252" s="264">
        <f t="shared" si="80"/>
        <v>0.001070216729</v>
      </c>
      <c r="R252" s="264">
        <f t="shared" si="80"/>
        <v>0.0003815447199</v>
      </c>
      <c r="S252" s="264">
        <f t="shared" si="80"/>
        <v>0.0008003998263</v>
      </c>
      <c r="T252" s="264">
        <f t="shared" si="80"/>
        <v>0.0003107048202</v>
      </c>
      <c r="U252" s="264">
        <f t="shared" si="80"/>
        <v>0.0003351268594</v>
      </c>
      <c r="V252" s="264">
        <f t="shared" si="80"/>
        <v>0.0003206060772</v>
      </c>
      <c r="W252" s="264">
        <f t="shared" si="80"/>
        <v>0.0005802421379</v>
      </c>
      <c r="X252" s="264">
        <f t="shared" si="80"/>
        <v>0.0004185249313</v>
      </c>
      <c r="Y252" s="264">
        <f t="shared" si="80"/>
        <v>0.0004792802296</v>
      </c>
      <c r="Z252" s="264">
        <f t="shared" si="80"/>
        <v>0.0004166682924</v>
      </c>
      <c r="AA252" s="264">
        <f t="shared" si="80"/>
        <v>0.0005885415112</v>
      </c>
      <c r="AB252" s="264">
        <f t="shared" si="80"/>
        <v>0.0003529577723</v>
      </c>
      <c r="AC252" s="264">
        <f t="shared" si="80"/>
        <v>0.0003309557378</v>
      </c>
      <c r="AD252" s="264">
        <f t="shared" si="80"/>
        <v>0.000292178599</v>
      </c>
      <c r="AE252" s="264">
        <f t="shared" si="80"/>
        <v>0.0004326959655</v>
      </c>
      <c r="AF252" s="264">
        <f t="shared" si="80"/>
        <v>0.000305323527</v>
      </c>
      <c r="AG252" s="264">
        <f t="shared" si="80"/>
        <v>0.0003029776082</v>
      </c>
      <c r="AH252" s="264">
        <f t="shared" si="80"/>
        <v>0.0002671404866</v>
      </c>
      <c r="AI252" s="264">
        <f t="shared" si="80"/>
        <v>0.0003047924905</v>
      </c>
      <c r="AJ252" s="264">
        <f t="shared" si="80"/>
        <v>0.0005094950657</v>
      </c>
      <c r="AK252" s="264">
        <f t="shared" si="80"/>
        <v>0.0005780776267</v>
      </c>
      <c r="AL252" s="264">
        <f t="shared" si="80"/>
        <v>0.0003496234179</v>
      </c>
      <c r="AM252" s="264">
        <f t="shared" si="80"/>
        <v>0.0003989524832</v>
      </c>
      <c r="AN252" s="264">
        <f t="shared" si="80"/>
        <v>0.0002141658976</v>
      </c>
      <c r="AO252" s="264">
        <f t="shared" si="80"/>
        <v>0.0002058673605</v>
      </c>
      <c r="AP252" s="264">
        <f t="shared" si="80"/>
        <v>0.0004774795505</v>
      </c>
      <c r="AQ252" s="264">
        <f t="shared" si="80"/>
        <v>0.0003710142327</v>
      </c>
      <c r="AR252" s="264">
        <f t="shared" si="80"/>
        <v>0.0008120454217</v>
      </c>
      <c r="AS252" s="264">
        <f t="shared" si="80"/>
        <v>0.0006399299071</v>
      </c>
      <c r="AT252" s="136"/>
    </row>
    <row r="253">
      <c r="A253" s="80"/>
      <c r="B253" s="81"/>
      <c r="C253" s="90"/>
      <c r="D253" s="90"/>
      <c r="E253" s="113" t="s">
        <v>900</v>
      </c>
      <c r="F253" s="215" t="s">
        <v>122</v>
      </c>
      <c r="G253" s="216" t="s">
        <v>149</v>
      </c>
      <c r="H253" s="187" t="s">
        <v>150</v>
      </c>
      <c r="I253" s="264">
        <f t="shared" ref="I253:AS253" si="81">(I227/((I236*(1-$H245))+(1-I236)))</f>
        <v>0.0005182666608</v>
      </c>
      <c r="J253" s="264">
        <f t="shared" si="81"/>
        <v>0.0003150714352</v>
      </c>
      <c r="K253" s="264">
        <f t="shared" si="81"/>
        <v>0.0003310076789</v>
      </c>
      <c r="L253" s="264">
        <f t="shared" si="81"/>
        <v>0.0001241767256</v>
      </c>
      <c r="M253" s="264">
        <f t="shared" si="81"/>
        <v>0.0002357636415</v>
      </c>
      <c r="N253" s="264">
        <f t="shared" si="81"/>
        <v>0.0003432454654</v>
      </c>
      <c r="O253" s="264">
        <f t="shared" si="81"/>
        <v>0.0003961223709</v>
      </c>
      <c r="P253" s="264">
        <f t="shared" si="81"/>
        <v>0.000488167204</v>
      </c>
      <c r="Q253" s="264">
        <f t="shared" si="81"/>
        <v>0.0004995101727</v>
      </c>
      <c r="R253" s="264">
        <f t="shared" si="81"/>
        <v>0.0001193775502</v>
      </c>
      <c r="S253" s="264">
        <f t="shared" si="81"/>
        <v>0.0002673933289</v>
      </c>
      <c r="T253" s="264">
        <f t="shared" si="81"/>
        <v>0.0000569683445</v>
      </c>
      <c r="U253" s="264">
        <f t="shared" si="81"/>
        <v>0.0000483696067</v>
      </c>
      <c r="V253" s="264">
        <f t="shared" si="81"/>
        <v>0.0001804513557</v>
      </c>
      <c r="W253" s="264">
        <f t="shared" si="81"/>
        <v>0.0002625886186</v>
      </c>
      <c r="X253" s="264">
        <f t="shared" si="81"/>
        <v>0.0002377706163</v>
      </c>
      <c r="Y253" s="264">
        <f t="shared" si="81"/>
        <v>0.0001127245337</v>
      </c>
      <c r="Z253" s="264">
        <f t="shared" si="81"/>
        <v>0.00006496118917</v>
      </c>
      <c r="AA253" s="264">
        <f t="shared" si="81"/>
        <v>0.0001409081579</v>
      </c>
      <c r="AB253" s="264">
        <f t="shared" si="81"/>
        <v>0.00005455030696</v>
      </c>
      <c r="AC253" s="264">
        <f t="shared" si="81"/>
        <v>0.00005462373737</v>
      </c>
      <c r="AD253" s="264">
        <f t="shared" si="81"/>
        <v>0.0000667962114</v>
      </c>
      <c r="AE253" s="264">
        <f t="shared" si="81"/>
        <v>0.00005307062887</v>
      </c>
      <c r="AF253" s="264">
        <f t="shared" si="81"/>
        <v>0.00004411064298</v>
      </c>
      <c r="AG253" s="264">
        <f t="shared" si="81"/>
        <v>0.00008139041294</v>
      </c>
      <c r="AH253" s="264">
        <f t="shared" si="81"/>
        <v>0.00006969689705</v>
      </c>
      <c r="AI253" s="264">
        <f t="shared" si="81"/>
        <v>0.00002793307518</v>
      </c>
      <c r="AJ253" s="264">
        <f t="shared" si="81"/>
        <v>0.0001348558686</v>
      </c>
      <c r="AK253" s="264">
        <f t="shared" si="81"/>
        <v>0.0002170244963</v>
      </c>
      <c r="AL253" s="264">
        <f t="shared" si="81"/>
        <v>0.0000638018005</v>
      </c>
      <c r="AM253" s="264">
        <f t="shared" si="81"/>
        <v>0.00008180774858</v>
      </c>
      <c r="AN253" s="264">
        <f t="shared" si="81"/>
        <v>0.00003894320857</v>
      </c>
      <c r="AO253" s="264">
        <f t="shared" si="81"/>
        <v>0.00006234241724</v>
      </c>
      <c r="AP253" s="264">
        <f t="shared" si="81"/>
        <v>0.0001543949994</v>
      </c>
      <c r="AQ253" s="264">
        <f t="shared" si="81"/>
        <v>0.00005245920079</v>
      </c>
      <c r="AR253" s="264">
        <f t="shared" si="81"/>
        <v>0.0003119578382</v>
      </c>
      <c r="AS253" s="264">
        <f t="shared" si="81"/>
        <v>0.0003538762699</v>
      </c>
      <c r="AT253" s="163"/>
    </row>
    <row r="254">
      <c r="A254" s="80"/>
      <c r="B254" s="81"/>
      <c r="C254" s="90"/>
      <c r="D254" s="90"/>
      <c r="E254" s="140" t="s">
        <v>920</v>
      </c>
      <c r="F254" s="215" t="s">
        <v>122</v>
      </c>
      <c r="G254" s="216" t="s">
        <v>149</v>
      </c>
      <c r="H254" s="187" t="s">
        <v>150</v>
      </c>
      <c r="I254" s="264">
        <f t="shared" ref="I254:AS254" si="82">(I228/((I237*(1-$H246))+(1-I237)))</f>
        <v>0.0002528041603</v>
      </c>
      <c r="J254" s="264">
        <f t="shared" si="82"/>
        <v>0.0001394008942</v>
      </c>
      <c r="K254" s="264">
        <f t="shared" si="82"/>
        <v>0.0002901923164</v>
      </c>
      <c r="L254" s="264">
        <f t="shared" si="82"/>
        <v>0.0001154137083</v>
      </c>
      <c r="M254" s="264">
        <f t="shared" si="82"/>
        <v>0.0001016594397</v>
      </c>
      <c r="N254" s="264">
        <f t="shared" si="82"/>
        <v>0.0002583154565</v>
      </c>
      <c r="O254" s="264">
        <f t="shared" si="82"/>
        <v>0.0002556576863</v>
      </c>
      <c r="P254" s="264">
        <f t="shared" si="82"/>
        <v>0.0003237533918</v>
      </c>
      <c r="Q254" s="264">
        <f t="shared" si="82"/>
        <v>0.0003577112973</v>
      </c>
      <c r="R254" s="264">
        <f t="shared" si="82"/>
        <v>0.00002807950164</v>
      </c>
      <c r="S254" s="264">
        <f t="shared" si="82"/>
        <v>0.00008624090484</v>
      </c>
      <c r="T254" s="264">
        <f t="shared" si="82"/>
        <v>0.00003841960874</v>
      </c>
      <c r="U254" s="264">
        <f t="shared" si="82"/>
        <v>0.00003031063885</v>
      </c>
      <c r="V254" s="264">
        <f t="shared" si="82"/>
        <v>0.00006080020493</v>
      </c>
      <c r="W254" s="264">
        <f t="shared" si="82"/>
        <v>0.00005470733822</v>
      </c>
      <c r="X254" s="264">
        <f t="shared" si="82"/>
        <v>0.00009718204404</v>
      </c>
      <c r="Y254" s="264">
        <f t="shared" si="82"/>
        <v>0.00004581418601</v>
      </c>
      <c r="Z254" s="264">
        <f t="shared" si="82"/>
        <v>0.00004382953704</v>
      </c>
      <c r="AA254" s="264">
        <f t="shared" si="82"/>
        <v>0.00005886253864</v>
      </c>
      <c r="AB254" s="264">
        <f t="shared" si="82"/>
        <v>0.00003258977748</v>
      </c>
      <c r="AC254" s="264">
        <f t="shared" si="82"/>
        <v>0.00003743256859</v>
      </c>
      <c r="AD254" s="264">
        <f t="shared" si="82"/>
        <v>0.00002787258445</v>
      </c>
      <c r="AE254" s="264">
        <f t="shared" si="82"/>
        <v>0.00002946792325</v>
      </c>
      <c r="AF254" s="264">
        <f t="shared" si="82"/>
        <v>0.00002298875278</v>
      </c>
      <c r="AG254" s="264">
        <f t="shared" si="82"/>
        <v>0.00005009650329</v>
      </c>
      <c r="AH254" s="264">
        <f t="shared" si="82"/>
        <v>0.00005478262732</v>
      </c>
      <c r="AI254" s="264">
        <f t="shared" si="82"/>
        <v>0.00002230012033</v>
      </c>
      <c r="AJ254" s="264">
        <f t="shared" si="82"/>
        <v>0.00006370717004</v>
      </c>
      <c r="AK254" s="264">
        <f t="shared" si="82"/>
        <v>0.00008965605845</v>
      </c>
      <c r="AL254" s="264">
        <f t="shared" si="82"/>
        <v>0.00003500187395</v>
      </c>
      <c r="AM254" s="264">
        <f t="shared" si="82"/>
        <v>0.0000379208446</v>
      </c>
      <c r="AN254" s="264">
        <f t="shared" si="82"/>
        <v>0.00002229998525</v>
      </c>
      <c r="AO254" s="264">
        <f t="shared" si="82"/>
        <v>0.00003084287893</v>
      </c>
      <c r="AP254" s="264">
        <f t="shared" si="82"/>
        <v>0.00005445541746</v>
      </c>
      <c r="AQ254" s="264">
        <f t="shared" si="82"/>
        <v>0.00003484664124</v>
      </c>
      <c r="AR254" s="264">
        <f t="shared" si="82"/>
        <v>0.00009659224905</v>
      </c>
      <c r="AS254" s="264">
        <f t="shared" si="82"/>
        <v>0.0001779008458</v>
      </c>
      <c r="AT254" s="163"/>
    </row>
    <row r="255">
      <c r="A255" s="80"/>
      <c r="B255" s="81"/>
      <c r="C255" s="90"/>
      <c r="D255" s="90"/>
      <c r="E255" s="237" t="s">
        <v>264</v>
      </c>
      <c r="F255" s="195" t="s">
        <v>122</v>
      </c>
      <c r="G255" s="196" t="s">
        <v>149</v>
      </c>
      <c r="H255" s="197" t="s">
        <v>150</v>
      </c>
      <c r="I255" s="457">
        <f t="shared" ref="I255:AS255" si="83">SUM(I249:I254)</f>
        <v>0.002599708837</v>
      </c>
      <c r="J255" s="457">
        <f t="shared" si="83"/>
        <v>0.001878002935</v>
      </c>
      <c r="K255" s="457">
        <f t="shared" si="83"/>
        <v>0.002642903089</v>
      </c>
      <c r="L255" s="457">
        <f t="shared" si="83"/>
        <v>0.001259057947</v>
      </c>
      <c r="M255" s="457">
        <f t="shared" si="83"/>
        <v>0.001822400349</v>
      </c>
      <c r="N255" s="457">
        <f t="shared" si="83"/>
        <v>0.002116180632</v>
      </c>
      <c r="O255" s="457">
        <f t="shared" si="83"/>
        <v>0.0023771379</v>
      </c>
      <c r="P255" s="457">
        <f t="shared" si="83"/>
        <v>0.003036865775</v>
      </c>
      <c r="Q255" s="457">
        <f t="shared" si="83"/>
        <v>0.003310790153</v>
      </c>
      <c r="R255" s="457">
        <f t="shared" si="83"/>
        <v>0.0007088132578</v>
      </c>
      <c r="S255" s="457">
        <f t="shared" si="83"/>
        <v>0.0016413759</v>
      </c>
      <c r="T255" s="457">
        <f t="shared" si="83"/>
        <v>0.0005759924753</v>
      </c>
      <c r="U255" s="457">
        <f t="shared" si="83"/>
        <v>0.000636131083</v>
      </c>
      <c r="V255" s="457">
        <f t="shared" si="83"/>
        <v>0.0008071923525</v>
      </c>
      <c r="W255" s="457">
        <f t="shared" si="83"/>
        <v>0.001233122234</v>
      </c>
      <c r="X255" s="457">
        <f t="shared" si="83"/>
        <v>0.001111182217</v>
      </c>
      <c r="Y255" s="457">
        <f t="shared" si="83"/>
        <v>0.0008384064686</v>
      </c>
      <c r="Z255" s="457">
        <f t="shared" si="83"/>
        <v>0.0007532389501</v>
      </c>
      <c r="AA255" s="457">
        <f t="shared" si="83"/>
        <v>0.001088997224</v>
      </c>
      <c r="AB255" s="457">
        <f t="shared" si="83"/>
        <v>0.0006163027108</v>
      </c>
      <c r="AC255" s="457">
        <f t="shared" si="83"/>
        <v>0.0005736480854</v>
      </c>
      <c r="AD255" s="457">
        <f t="shared" si="83"/>
        <v>0.0005471423756</v>
      </c>
      <c r="AE255" s="457">
        <f t="shared" si="83"/>
        <v>0.0007204304456</v>
      </c>
      <c r="AF255" s="457">
        <f t="shared" si="83"/>
        <v>0.0005108432816</v>
      </c>
      <c r="AG255" s="457">
        <f t="shared" si="83"/>
        <v>0.0007770763836</v>
      </c>
      <c r="AH255" s="457">
        <f t="shared" si="83"/>
        <v>0.0005726026873</v>
      </c>
      <c r="AI255" s="457">
        <f t="shared" si="83"/>
        <v>0.0004823020029</v>
      </c>
      <c r="AJ255" s="457">
        <f t="shared" si="83"/>
        <v>0.001021877931</v>
      </c>
      <c r="AK255" s="457">
        <f t="shared" si="83"/>
        <v>0.001316126816</v>
      </c>
      <c r="AL255" s="457">
        <f t="shared" si="83"/>
        <v>0.0006521045639</v>
      </c>
      <c r="AM255" s="457">
        <f t="shared" si="83"/>
        <v>0.0007079597534</v>
      </c>
      <c r="AN255" s="457">
        <f t="shared" si="83"/>
        <v>0.0003839082315</v>
      </c>
      <c r="AO255" s="457">
        <f t="shared" si="83"/>
        <v>0.0004455136891</v>
      </c>
      <c r="AP255" s="457">
        <f t="shared" si="83"/>
        <v>0.000959537054</v>
      </c>
      <c r="AQ255" s="457">
        <f t="shared" si="83"/>
        <v>0.0006454544543</v>
      </c>
      <c r="AR255" s="457">
        <f t="shared" si="83"/>
        <v>0.001744829827</v>
      </c>
      <c r="AS255" s="457">
        <f t="shared" si="83"/>
        <v>0.001899176618</v>
      </c>
      <c r="AT255" s="698"/>
    </row>
    <row r="256">
      <c r="A256" s="80"/>
      <c r="B256" s="81"/>
      <c r="C256" s="90"/>
      <c r="D256" s="90"/>
      <c r="E256" s="243"/>
      <c r="F256" s="108"/>
      <c r="G256" s="122"/>
      <c r="H256" s="85"/>
      <c r="I256" s="111"/>
      <c r="J256" s="111"/>
      <c r="K256" s="111"/>
      <c r="L256" s="111"/>
      <c r="M256" s="111"/>
      <c r="N256" s="111"/>
      <c r="O256" s="111"/>
      <c r="P256" s="111"/>
      <c r="Q256" s="111"/>
      <c r="R256" s="111"/>
      <c r="S256" s="111"/>
      <c r="T256" s="111"/>
      <c r="U256" s="111"/>
      <c r="V256" s="111"/>
      <c r="W256" s="111"/>
      <c r="X256" s="111"/>
      <c r="Y256" s="111"/>
      <c r="Z256" s="111"/>
      <c r="AA256" s="111"/>
      <c r="AB256" s="111"/>
      <c r="AC256" s="111"/>
      <c r="AD256" s="111"/>
      <c r="AE256" s="111"/>
      <c r="AF256" s="111"/>
      <c r="AG256" s="111"/>
      <c r="AH256" s="111"/>
      <c r="AI256" s="111"/>
      <c r="AJ256" s="111"/>
      <c r="AK256" s="111"/>
      <c r="AL256" s="111"/>
      <c r="AM256" s="111"/>
      <c r="AN256" s="111"/>
      <c r="AO256" s="111"/>
      <c r="AP256" s="111"/>
      <c r="AQ256" s="111"/>
      <c r="AR256" s="111"/>
      <c r="AS256" s="111"/>
      <c r="AT256" s="88"/>
    </row>
    <row r="257">
      <c r="A257" s="80"/>
      <c r="B257" s="81"/>
      <c r="C257" s="112" t="s">
        <v>414</v>
      </c>
      <c r="F257" s="108"/>
      <c r="G257" s="122"/>
      <c r="H257" s="85"/>
      <c r="I257" s="111"/>
      <c r="J257" s="111"/>
      <c r="K257" s="111"/>
      <c r="L257" s="111"/>
      <c r="M257" s="111"/>
      <c r="N257" s="111"/>
      <c r="O257" s="111"/>
      <c r="P257" s="111"/>
      <c r="Q257" s="111"/>
      <c r="R257" s="111"/>
      <c r="S257" s="111"/>
      <c r="T257" s="111"/>
      <c r="U257" s="111"/>
      <c r="V257" s="111"/>
      <c r="W257" s="111"/>
      <c r="X257" s="111"/>
      <c r="Y257" s="111"/>
      <c r="Z257" s="111"/>
      <c r="AA257" s="111"/>
      <c r="AB257" s="111"/>
      <c r="AC257" s="111"/>
      <c r="AD257" s="111"/>
      <c r="AE257" s="111"/>
      <c r="AF257" s="111"/>
      <c r="AG257" s="111"/>
      <c r="AH257" s="111"/>
      <c r="AI257" s="111"/>
      <c r="AJ257" s="111"/>
      <c r="AK257" s="111"/>
      <c r="AL257" s="111"/>
      <c r="AM257" s="111"/>
      <c r="AN257" s="111"/>
      <c r="AO257" s="111"/>
      <c r="AP257" s="111"/>
      <c r="AQ257" s="111"/>
      <c r="AR257" s="111"/>
      <c r="AS257" s="111"/>
      <c r="AT257" s="88"/>
    </row>
    <row r="258">
      <c r="A258" s="80"/>
      <c r="B258" s="81"/>
      <c r="C258" s="90"/>
      <c r="D258" s="90"/>
      <c r="E258" s="113" t="s">
        <v>415</v>
      </c>
      <c r="F258" s="189" t="s">
        <v>122</v>
      </c>
      <c r="G258" s="190" t="s">
        <v>149</v>
      </c>
      <c r="H258" s="200" t="s">
        <v>150</v>
      </c>
      <c r="I258" s="119">
        <f t="shared" ref="I258:AS258" si="84">I249/I$255</f>
        <v>0.2155951922</v>
      </c>
      <c r="J258" s="119">
        <f t="shared" si="84"/>
        <v>0.1533337341</v>
      </c>
      <c r="K258" s="119">
        <f t="shared" si="84"/>
        <v>0.2386510787</v>
      </c>
      <c r="L258" s="119">
        <f t="shared" si="84"/>
        <v>0.126401958</v>
      </c>
      <c r="M258" s="119">
        <f t="shared" si="84"/>
        <v>0.1650315876</v>
      </c>
      <c r="N258" s="119">
        <f t="shared" si="84"/>
        <v>0.2032696472</v>
      </c>
      <c r="O258" s="119">
        <f t="shared" si="84"/>
        <v>0.196602</v>
      </c>
      <c r="P258" s="119">
        <f t="shared" si="84"/>
        <v>0.2135868047</v>
      </c>
      <c r="Q258" s="119">
        <f t="shared" si="84"/>
        <v>0.2279224783</v>
      </c>
      <c r="R258" s="119">
        <f t="shared" si="84"/>
        <v>0.1109544979</v>
      </c>
      <c r="S258" s="119">
        <f t="shared" si="84"/>
        <v>0.1525151574</v>
      </c>
      <c r="T258" s="119">
        <f t="shared" si="84"/>
        <v>0.1198309582</v>
      </c>
      <c r="U258" s="119">
        <f t="shared" si="84"/>
        <v>0.1199516519</v>
      </c>
      <c r="V258" s="119">
        <f t="shared" si="84"/>
        <v>0.09207539288</v>
      </c>
      <c r="W258" s="119">
        <f t="shared" si="84"/>
        <v>0.1454124429</v>
      </c>
      <c r="X258" s="119">
        <f t="shared" si="84"/>
        <v>0.1481494206</v>
      </c>
      <c r="Y258" s="119">
        <f t="shared" si="84"/>
        <v>0.09887212037</v>
      </c>
      <c r="Z258" s="119">
        <f t="shared" si="84"/>
        <v>0.1240277235</v>
      </c>
      <c r="AA258" s="119">
        <f t="shared" si="84"/>
        <v>0.1368218765</v>
      </c>
      <c r="AB258" s="119">
        <f t="shared" si="84"/>
        <v>0.1297696019</v>
      </c>
      <c r="AC258" s="119">
        <f t="shared" si="84"/>
        <v>0.1268090596</v>
      </c>
      <c r="AD258" s="119">
        <f t="shared" si="84"/>
        <v>0.1425241552</v>
      </c>
      <c r="AE258" s="119">
        <f t="shared" si="84"/>
        <v>0.1366026608</v>
      </c>
      <c r="AF258" s="119">
        <f t="shared" si="84"/>
        <v>0.1358452986</v>
      </c>
      <c r="AG258" s="119">
        <f t="shared" si="84"/>
        <v>0.09183397299</v>
      </c>
      <c r="AH258" s="119">
        <f t="shared" si="84"/>
        <v>0.112013944</v>
      </c>
      <c r="AI258" s="119">
        <f t="shared" si="84"/>
        <v>0.1270268073</v>
      </c>
      <c r="AJ258" s="119">
        <f t="shared" si="84"/>
        <v>0.1332618848</v>
      </c>
      <c r="AK258" s="119">
        <f t="shared" si="84"/>
        <v>0.1481578214</v>
      </c>
      <c r="AL258" s="119">
        <f t="shared" si="84"/>
        <v>0.1363883002</v>
      </c>
      <c r="AM258" s="119">
        <f t="shared" si="84"/>
        <v>0.119205039</v>
      </c>
      <c r="AN258" s="119">
        <f t="shared" si="84"/>
        <v>0.1298464576</v>
      </c>
      <c r="AO258" s="119">
        <f t="shared" si="84"/>
        <v>0.08981664354</v>
      </c>
      <c r="AP258" s="119">
        <f t="shared" si="84"/>
        <v>0.1472637853</v>
      </c>
      <c r="AQ258" s="119">
        <f t="shared" si="84"/>
        <v>0.1261978979</v>
      </c>
      <c r="AR258" s="119">
        <f t="shared" si="84"/>
        <v>0.1480216072</v>
      </c>
      <c r="AS258" s="119">
        <f t="shared" si="84"/>
        <v>0.2164136035</v>
      </c>
      <c r="AT258" s="136"/>
    </row>
    <row r="259">
      <c r="A259" s="80"/>
      <c r="B259" s="81"/>
      <c r="C259" s="90"/>
      <c r="D259" s="90"/>
      <c r="E259" s="140" t="s">
        <v>421</v>
      </c>
      <c r="F259" s="215" t="s">
        <v>122</v>
      </c>
      <c r="G259" s="216" t="s">
        <v>149</v>
      </c>
      <c r="H259" s="187" t="s">
        <v>150</v>
      </c>
      <c r="I259" s="149">
        <f t="shared" ref="I259:AS259" si="85">I250/I$255</f>
        <v>0.1280767542</v>
      </c>
      <c r="J259" s="149">
        <f t="shared" si="85"/>
        <v>0.1624578343</v>
      </c>
      <c r="K259" s="149">
        <f t="shared" si="85"/>
        <v>0.152971053</v>
      </c>
      <c r="L259" s="149">
        <f t="shared" si="85"/>
        <v>0.1867297205</v>
      </c>
      <c r="M259" s="149">
        <f t="shared" si="85"/>
        <v>0.135583592</v>
      </c>
      <c r="N259" s="149">
        <f t="shared" si="85"/>
        <v>0.1544645682</v>
      </c>
      <c r="O259" s="149">
        <f t="shared" si="85"/>
        <v>0.1874037868</v>
      </c>
      <c r="P259" s="149">
        <f t="shared" si="85"/>
        <v>0.1730324888</v>
      </c>
      <c r="Q259" s="149">
        <f t="shared" si="85"/>
        <v>0.1679777764</v>
      </c>
      <c r="R259" s="149">
        <f t="shared" si="85"/>
        <v>0.105146352</v>
      </c>
      <c r="S259" s="149">
        <f t="shared" si="85"/>
        <v>0.1107871799</v>
      </c>
      <c r="T259" s="149">
        <f t="shared" si="85"/>
        <v>0.1371646585</v>
      </c>
      <c r="U259" s="149">
        <f t="shared" si="85"/>
        <v>0.1926197702</v>
      </c>
      <c r="V259" s="149">
        <f t="shared" si="85"/>
        <v>0.1843570679</v>
      </c>
      <c r="W259" s="149">
        <f t="shared" si="85"/>
        <v>0.09382360507</v>
      </c>
      <c r="X259" s="149">
        <f t="shared" si="85"/>
        <v>0.1472148835</v>
      </c>
      <c r="Y259" s="149">
        <f t="shared" si="85"/>
        <v>0.1016770943</v>
      </c>
      <c r="Z259" s="149">
        <f t="shared" si="85"/>
        <v>0.1398223623</v>
      </c>
      <c r="AA259" s="149">
        <f t="shared" si="85"/>
        <v>0.1010006381</v>
      </c>
      <c r="AB259" s="149">
        <f t="shared" si="85"/>
        <v>0.1152092361</v>
      </c>
      <c r="AC259" s="149">
        <f t="shared" si="85"/>
        <v>0.09469957706</v>
      </c>
      <c r="AD259" s="149">
        <f t="shared" si="85"/>
        <v>0.1124857103</v>
      </c>
      <c r="AE259" s="149">
        <f t="shared" si="85"/>
        <v>0.1059974168</v>
      </c>
      <c r="AF259" s="149">
        <f t="shared" si="85"/>
        <v>0.09305396844</v>
      </c>
      <c r="AG259" s="149">
        <f t="shared" si="85"/>
        <v>0.3223237272</v>
      </c>
      <c r="AH259" s="149">
        <f t="shared" si="85"/>
        <v>0.1715282808</v>
      </c>
      <c r="AI259" s="149">
        <f t="shared" si="85"/>
        <v>0.09175988543</v>
      </c>
      <c r="AJ259" s="149">
        <f t="shared" si="85"/>
        <v>0.139741686</v>
      </c>
      <c r="AK259" s="149">
        <f t="shared" si="85"/>
        <v>0.1494803857</v>
      </c>
      <c r="AL259" s="149">
        <f t="shared" si="85"/>
        <v>0.1387553354</v>
      </c>
      <c r="AM259" s="149">
        <f t="shared" si="85"/>
        <v>0.1090395052</v>
      </c>
      <c r="AN259" s="149">
        <f t="shared" si="85"/>
        <v>0.113253978</v>
      </c>
      <c r="AO259" s="149">
        <f t="shared" si="85"/>
        <v>0.2065444973</v>
      </c>
      <c r="AP259" s="149">
        <f t="shared" si="85"/>
        <v>0.1024863692</v>
      </c>
      <c r="AQ259" s="149">
        <f t="shared" si="85"/>
        <v>0.1232342667</v>
      </c>
      <c r="AR259" s="149">
        <f t="shared" si="85"/>
        <v>0.120779482</v>
      </c>
      <c r="AS259" s="149">
        <f t="shared" si="85"/>
        <v>0.1432998069</v>
      </c>
      <c r="AT259" s="163"/>
    </row>
    <row r="260">
      <c r="A260" s="80"/>
      <c r="B260" s="81"/>
      <c r="C260" s="90"/>
      <c r="D260" s="90"/>
      <c r="E260" s="140" t="s">
        <v>425</v>
      </c>
      <c r="F260" s="215" t="s">
        <v>122</v>
      </c>
      <c r="G260" s="216" t="s">
        <v>149</v>
      </c>
      <c r="H260" s="187" t="s">
        <v>150</v>
      </c>
      <c r="I260" s="149">
        <f t="shared" ref="I260:AS260" si="86">I251/I$255</f>
        <v>0.02291827521</v>
      </c>
      <c r="J260" s="149">
        <f t="shared" si="86"/>
        <v>0.02839178232</v>
      </c>
      <c r="K260" s="149">
        <f t="shared" si="86"/>
        <v>0.02384760787</v>
      </c>
      <c r="L260" s="149">
        <f t="shared" si="86"/>
        <v>0.03187316503</v>
      </c>
      <c r="M260" s="149">
        <f t="shared" si="86"/>
        <v>0.03251451225</v>
      </c>
      <c r="N260" s="149">
        <f t="shared" si="86"/>
        <v>0.02291241434</v>
      </c>
      <c r="O260" s="149">
        <f t="shared" si="86"/>
        <v>0.02211047466</v>
      </c>
      <c r="P260" s="149">
        <f t="shared" si="86"/>
        <v>0.02201363687</v>
      </c>
      <c r="Q260" s="149">
        <f t="shared" si="86"/>
        <v>0.02193110578</v>
      </c>
      <c r="R260" s="149">
        <f t="shared" si="86"/>
        <v>0.03757878172</v>
      </c>
      <c r="S260" s="149">
        <f t="shared" si="86"/>
        <v>0.03360822418</v>
      </c>
      <c r="T260" s="149">
        <f t="shared" si="86"/>
        <v>0.03797299691</v>
      </c>
      <c r="U260" s="149">
        <f t="shared" si="86"/>
        <v>0.03692254856</v>
      </c>
      <c r="V260" s="149">
        <f t="shared" si="86"/>
        <v>0.02750341514</v>
      </c>
      <c r="W260" s="149">
        <f t="shared" si="86"/>
        <v>0.03290578057</v>
      </c>
      <c r="X260" s="149">
        <f t="shared" si="86"/>
        <v>0.02654925752</v>
      </c>
      <c r="Y260" s="149">
        <f t="shared" si="86"/>
        <v>0.03869932028</v>
      </c>
      <c r="Z260" s="149">
        <f t="shared" si="86"/>
        <v>0.03855054222</v>
      </c>
      <c r="AA260" s="149">
        <f t="shared" si="86"/>
        <v>0.03828931537</v>
      </c>
      <c r="AB260" s="149">
        <f t="shared" si="86"/>
        <v>0.04092750474</v>
      </c>
      <c r="AC260" s="149">
        <f t="shared" si="86"/>
        <v>0.04108448525</v>
      </c>
      <c r="AD260" s="149">
        <f t="shared" si="86"/>
        <v>0.03795772009</v>
      </c>
      <c r="AE260" s="149">
        <f t="shared" si="86"/>
        <v>0.04222398713</v>
      </c>
      <c r="AF260" s="149">
        <f t="shared" si="86"/>
        <v>0.04206516334</v>
      </c>
      <c r="AG260" s="149">
        <f t="shared" si="86"/>
        <v>0.02674086066</v>
      </c>
      <c r="AH260" s="149">
        <f t="shared" si="86"/>
        <v>0.03252802827</v>
      </c>
      <c r="AI260" s="149">
        <f t="shared" si="86"/>
        <v>0.04510671046</v>
      </c>
      <c r="AJ260" s="149">
        <f t="shared" si="86"/>
        <v>0.03409751935</v>
      </c>
      <c r="AK260" s="149">
        <f t="shared" si="86"/>
        <v>0.03011792509</v>
      </c>
      <c r="AL260" s="149">
        <f t="shared" si="86"/>
        <v>0.03719503341</v>
      </c>
      <c r="AM260" s="149">
        <f t="shared" si="86"/>
        <v>0.03911341802</v>
      </c>
      <c r="AN260" s="149">
        <f t="shared" si="86"/>
        <v>0.03951694853</v>
      </c>
      <c r="AO260" s="149">
        <f t="shared" si="86"/>
        <v>0.03238528378</v>
      </c>
      <c r="AP260" s="149">
        <f t="shared" si="86"/>
        <v>0.03497786677</v>
      </c>
      <c r="AQ260" s="149">
        <f t="shared" si="86"/>
        <v>0.04049438002</v>
      </c>
      <c r="AR260" s="149">
        <f t="shared" si="86"/>
        <v>0.03164902348</v>
      </c>
      <c r="AS260" s="149">
        <f t="shared" si="86"/>
        <v>0.02333131991</v>
      </c>
      <c r="AT260" s="163"/>
    </row>
    <row r="261">
      <c r="A261" s="80"/>
      <c r="B261" s="81"/>
      <c r="C261" s="90"/>
      <c r="D261" s="90"/>
      <c r="E261" s="140" t="s">
        <v>429</v>
      </c>
      <c r="F261" s="215" t="s">
        <v>122</v>
      </c>
      <c r="G261" s="216" t="s">
        <v>149</v>
      </c>
      <c r="H261" s="187" t="s">
        <v>150</v>
      </c>
      <c r="I261" s="149">
        <f t="shared" ref="I261:AS261" si="87">I252/I$255</f>
        <v>0.3368108631</v>
      </c>
      <c r="J261" s="149">
        <f t="shared" si="87"/>
        <v>0.4138189821</v>
      </c>
      <c r="K261" s="149">
        <f t="shared" si="87"/>
        <v>0.3494856998</v>
      </c>
      <c r="L261" s="149">
        <f t="shared" si="87"/>
        <v>0.4647017435</v>
      </c>
      <c r="M261" s="149">
        <f t="shared" si="87"/>
        <v>0.4817172043</v>
      </c>
      <c r="N261" s="149">
        <f t="shared" si="87"/>
        <v>0.3350860857</v>
      </c>
      <c r="O261" s="149">
        <f t="shared" si="87"/>
        <v>0.3196968446</v>
      </c>
      <c r="P261" s="149">
        <f t="shared" si="87"/>
        <v>0.3240122848</v>
      </c>
      <c r="Q261" s="149">
        <f t="shared" si="87"/>
        <v>0.3232511514</v>
      </c>
      <c r="R261" s="149">
        <f t="shared" si="87"/>
        <v>0.5382866583</v>
      </c>
      <c r="S261" s="149">
        <f t="shared" si="87"/>
        <v>0.4876395628</v>
      </c>
      <c r="T261" s="149">
        <f t="shared" si="87"/>
        <v>0.5394251375</v>
      </c>
      <c r="U261" s="149">
        <f t="shared" si="87"/>
        <v>0.5268204437</v>
      </c>
      <c r="V261" s="149">
        <f t="shared" si="87"/>
        <v>0.397186713</v>
      </c>
      <c r="W261" s="149">
        <f t="shared" si="87"/>
        <v>0.4705471377</v>
      </c>
      <c r="X261" s="149">
        <f t="shared" si="87"/>
        <v>0.3766483346</v>
      </c>
      <c r="Y261" s="149">
        <f t="shared" si="87"/>
        <v>0.5716561686</v>
      </c>
      <c r="Z261" s="149">
        <f t="shared" si="87"/>
        <v>0.5531688083</v>
      </c>
      <c r="AA261" s="149">
        <f t="shared" si="87"/>
        <v>0.5404435366</v>
      </c>
      <c r="AB261" s="149">
        <f t="shared" si="87"/>
        <v>0.5727019631</v>
      </c>
      <c r="AC261" s="149">
        <f t="shared" si="87"/>
        <v>0.5769316524</v>
      </c>
      <c r="AD261" s="149">
        <f t="shared" si="87"/>
        <v>0.5340083533</v>
      </c>
      <c r="AE261" s="149">
        <f t="shared" si="87"/>
        <v>0.6006075509</v>
      </c>
      <c r="AF261" s="149">
        <f t="shared" si="87"/>
        <v>0.5976853137</v>
      </c>
      <c r="AG261" s="149">
        <f t="shared" si="87"/>
        <v>0.3898942428</v>
      </c>
      <c r="AH261" s="149">
        <f t="shared" si="87"/>
        <v>0.4665372562</v>
      </c>
      <c r="AI261" s="149">
        <f t="shared" si="87"/>
        <v>0.6319536071</v>
      </c>
      <c r="AJ261" s="149">
        <f t="shared" si="87"/>
        <v>0.4985870135</v>
      </c>
      <c r="AK261" s="149">
        <f t="shared" si="87"/>
        <v>0.4392263873</v>
      </c>
      <c r="AL261" s="149">
        <f t="shared" si="87"/>
        <v>0.5361462521</v>
      </c>
      <c r="AM261" s="149">
        <f t="shared" si="87"/>
        <v>0.5635242418</v>
      </c>
      <c r="AN261" s="149">
        <f t="shared" si="87"/>
        <v>0.5578570084</v>
      </c>
      <c r="AO261" s="149">
        <f t="shared" si="87"/>
        <v>0.4620898651</v>
      </c>
      <c r="AP261" s="149">
        <f t="shared" si="87"/>
        <v>0.4976144991</v>
      </c>
      <c r="AQ261" s="149">
        <f t="shared" si="87"/>
        <v>0.5748108642</v>
      </c>
      <c r="AR261" s="149">
        <f t="shared" si="87"/>
        <v>0.4654009285</v>
      </c>
      <c r="AS261" s="149">
        <f t="shared" si="87"/>
        <v>0.336951235</v>
      </c>
      <c r="AT261" s="163"/>
    </row>
    <row r="262">
      <c r="A262" s="80"/>
      <c r="B262" s="81"/>
      <c r="C262" s="90"/>
      <c r="D262" s="90"/>
      <c r="E262" s="140" t="s">
        <v>434</v>
      </c>
      <c r="F262" s="215" t="s">
        <v>122</v>
      </c>
      <c r="G262" s="216" t="s">
        <v>149</v>
      </c>
      <c r="H262" s="187" t="s">
        <v>150</v>
      </c>
      <c r="I262" s="149">
        <f t="shared" ref="I262:AS262" si="88">I253/I$255</f>
        <v>0.1993556561</v>
      </c>
      <c r="J262" s="149">
        <f t="shared" si="88"/>
        <v>0.1677694051</v>
      </c>
      <c r="K262" s="149">
        <f t="shared" si="88"/>
        <v>0.1252439714</v>
      </c>
      <c r="L262" s="149">
        <f t="shared" si="88"/>
        <v>0.09862669618</v>
      </c>
      <c r="M262" s="149">
        <f t="shared" si="88"/>
        <v>0.12936984</v>
      </c>
      <c r="N262" s="149">
        <f t="shared" si="88"/>
        <v>0.1622004569</v>
      </c>
      <c r="O262" s="149">
        <f t="shared" si="88"/>
        <v>0.1666383641</v>
      </c>
      <c r="P262" s="149">
        <f t="shared" si="88"/>
        <v>0.1607470465</v>
      </c>
      <c r="Q262" s="149">
        <f t="shared" si="88"/>
        <v>0.1508734017</v>
      </c>
      <c r="R262" s="149">
        <f t="shared" si="88"/>
        <v>0.1684189014</v>
      </c>
      <c r="S262" s="149">
        <f t="shared" si="88"/>
        <v>0.1629080389</v>
      </c>
      <c r="T262" s="149">
        <f t="shared" si="88"/>
        <v>0.09890466792</v>
      </c>
      <c r="U262" s="149">
        <f t="shared" si="88"/>
        <v>0.07603716906</v>
      </c>
      <c r="V262" s="149">
        <f t="shared" si="88"/>
        <v>0.2235543425</v>
      </c>
      <c r="W262" s="149">
        <f t="shared" si="88"/>
        <v>0.2129461389</v>
      </c>
      <c r="X262" s="149">
        <f t="shared" si="88"/>
        <v>0.2139798611</v>
      </c>
      <c r="Y262" s="149">
        <f t="shared" si="88"/>
        <v>0.1344509352</v>
      </c>
      <c r="Z262" s="149">
        <f t="shared" si="88"/>
        <v>0.08624247213</v>
      </c>
      <c r="AA262" s="149">
        <f t="shared" si="88"/>
        <v>0.1293925777</v>
      </c>
      <c r="AB262" s="149">
        <f t="shared" si="88"/>
        <v>0.08851219701</v>
      </c>
      <c r="AC262" s="149">
        <f t="shared" si="88"/>
        <v>0.09522168514</v>
      </c>
      <c r="AD262" s="149">
        <f t="shared" si="88"/>
        <v>0.122081956</v>
      </c>
      <c r="AE262" s="149">
        <f t="shared" si="88"/>
        <v>0.0736651667</v>
      </c>
      <c r="AF262" s="149">
        <f t="shared" si="88"/>
        <v>0.08634867986</v>
      </c>
      <c r="AG262" s="149">
        <f t="shared" si="88"/>
        <v>0.1047392697</v>
      </c>
      <c r="AH262" s="149">
        <f t="shared" si="88"/>
        <v>0.1217194725</v>
      </c>
      <c r="AI262" s="149">
        <f t="shared" si="88"/>
        <v>0.05791615008</v>
      </c>
      <c r="AJ262" s="149">
        <f t="shared" si="88"/>
        <v>0.1319686672</v>
      </c>
      <c r="AK262" s="149">
        <f t="shared" si="88"/>
        <v>0.164896341</v>
      </c>
      <c r="AL262" s="149">
        <f t="shared" si="88"/>
        <v>0.09783983127</v>
      </c>
      <c r="AM262" s="149">
        <f t="shared" si="88"/>
        <v>0.1155542362</v>
      </c>
      <c r="AN262" s="149">
        <f t="shared" si="88"/>
        <v>0.1014388475</v>
      </c>
      <c r="AO262" s="149">
        <f t="shared" si="88"/>
        <v>0.139933786</v>
      </c>
      <c r="AP262" s="149">
        <f t="shared" si="88"/>
        <v>0.1609057188</v>
      </c>
      <c r="AQ262" s="149">
        <f t="shared" si="88"/>
        <v>0.0812748296</v>
      </c>
      <c r="AR262" s="149">
        <f t="shared" si="88"/>
        <v>0.1787898357</v>
      </c>
      <c r="AS262" s="149">
        <f t="shared" si="88"/>
        <v>0.1863314167</v>
      </c>
      <c r="AT262" s="163"/>
    </row>
    <row r="263">
      <c r="A263" s="80"/>
      <c r="B263" s="81"/>
      <c r="C263" s="90"/>
      <c r="D263" s="90"/>
      <c r="E263" s="237" t="s">
        <v>440</v>
      </c>
      <c r="F263" s="195" t="s">
        <v>122</v>
      </c>
      <c r="G263" s="196" t="s">
        <v>149</v>
      </c>
      <c r="H263" s="197" t="s">
        <v>150</v>
      </c>
      <c r="I263" s="240">
        <f t="shared" ref="I263:AS263" si="89">I254/I$255</f>
        <v>0.09724325923</v>
      </c>
      <c r="J263" s="240">
        <f t="shared" si="89"/>
        <v>0.07422826213</v>
      </c>
      <c r="K263" s="240">
        <f t="shared" si="89"/>
        <v>0.1098005892</v>
      </c>
      <c r="L263" s="240">
        <f t="shared" si="89"/>
        <v>0.09166671682</v>
      </c>
      <c r="M263" s="240">
        <f t="shared" si="89"/>
        <v>0.05578326396</v>
      </c>
      <c r="N263" s="240">
        <f t="shared" si="89"/>
        <v>0.1220668277</v>
      </c>
      <c r="O263" s="240">
        <f t="shared" si="89"/>
        <v>0.1075485298</v>
      </c>
      <c r="P263" s="240">
        <f t="shared" si="89"/>
        <v>0.1066077383</v>
      </c>
      <c r="Q263" s="240">
        <f t="shared" si="89"/>
        <v>0.1080440864</v>
      </c>
      <c r="R263" s="240">
        <f t="shared" si="89"/>
        <v>0.03961480874</v>
      </c>
      <c r="S263" s="240">
        <f t="shared" si="89"/>
        <v>0.0525418369</v>
      </c>
      <c r="T263" s="240">
        <f t="shared" si="89"/>
        <v>0.06670158098</v>
      </c>
      <c r="U263" s="240">
        <f t="shared" si="89"/>
        <v>0.04764841658</v>
      </c>
      <c r="V263" s="240">
        <f t="shared" si="89"/>
        <v>0.07532306858</v>
      </c>
      <c r="W263" s="240">
        <f t="shared" si="89"/>
        <v>0.04436489482</v>
      </c>
      <c r="X263" s="240">
        <f t="shared" si="89"/>
        <v>0.08745824275</v>
      </c>
      <c r="Y263" s="240">
        <f t="shared" si="89"/>
        <v>0.05464436132</v>
      </c>
      <c r="Z263" s="240">
        <f t="shared" si="89"/>
        <v>0.05818809161</v>
      </c>
      <c r="AA263" s="240">
        <f t="shared" si="89"/>
        <v>0.05405205572</v>
      </c>
      <c r="AB263" s="240">
        <f t="shared" si="89"/>
        <v>0.05287949721</v>
      </c>
      <c r="AC263" s="240">
        <f t="shared" si="89"/>
        <v>0.06525354053</v>
      </c>
      <c r="AD263" s="240">
        <f t="shared" si="89"/>
        <v>0.05094210519</v>
      </c>
      <c r="AE263" s="240">
        <f t="shared" si="89"/>
        <v>0.04090321756</v>
      </c>
      <c r="AF263" s="240">
        <f t="shared" si="89"/>
        <v>0.04500157604</v>
      </c>
      <c r="AG263" s="240">
        <f t="shared" si="89"/>
        <v>0.06446792663</v>
      </c>
      <c r="AH263" s="240">
        <f t="shared" si="89"/>
        <v>0.0956730182</v>
      </c>
      <c r="AI263" s="240">
        <f t="shared" si="89"/>
        <v>0.04623683956</v>
      </c>
      <c r="AJ263" s="240">
        <f t="shared" si="89"/>
        <v>0.06234322918</v>
      </c>
      <c r="AK263" s="240">
        <f t="shared" si="89"/>
        <v>0.06812113951</v>
      </c>
      <c r="AL263" s="240">
        <f t="shared" si="89"/>
        <v>0.05367524764</v>
      </c>
      <c r="AM263" s="240">
        <f t="shared" si="89"/>
        <v>0.05356355982</v>
      </c>
      <c r="AN263" s="240">
        <f t="shared" si="89"/>
        <v>0.05808675986</v>
      </c>
      <c r="AO263" s="240">
        <f t="shared" si="89"/>
        <v>0.0692299242</v>
      </c>
      <c r="AP263" s="240">
        <f t="shared" si="89"/>
        <v>0.0567517609</v>
      </c>
      <c r="AQ263" s="240">
        <f t="shared" si="89"/>
        <v>0.05398776166</v>
      </c>
      <c r="AR263" s="240">
        <f t="shared" si="89"/>
        <v>0.05535912301</v>
      </c>
      <c r="AS263" s="240">
        <f t="shared" si="89"/>
        <v>0.09367261794</v>
      </c>
      <c r="AT263" s="248"/>
    </row>
    <row r="264">
      <c r="A264" s="80"/>
      <c r="B264" s="81"/>
      <c r="C264" s="90"/>
      <c r="D264" s="90"/>
      <c r="E264" s="243"/>
      <c r="F264" s="108"/>
      <c r="G264" s="122"/>
      <c r="H264" s="85"/>
      <c r="I264" s="111"/>
      <c r="J264" s="111"/>
      <c r="K264" s="111"/>
      <c r="L264" s="111"/>
      <c r="M264" s="111"/>
      <c r="N264" s="111"/>
      <c r="O264" s="111"/>
      <c r="P264" s="111"/>
      <c r="Q264" s="111"/>
      <c r="R264" s="111"/>
      <c r="S264" s="111"/>
      <c r="T264" s="111"/>
      <c r="U264" s="111"/>
      <c r="V264" s="111"/>
      <c r="W264" s="111"/>
      <c r="X264" s="111"/>
      <c r="Y264" s="111"/>
      <c r="Z264" s="111"/>
      <c r="AA264" s="111"/>
      <c r="AB264" s="111"/>
      <c r="AC264" s="111"/>
      <c r="AD264" s="111"/>
      <c r="AE264" s="111"/>
      <c r="AF264" s="111"/>
      <c r="AG264" s="111"/>
      <c r="AH264" s="111"/>
      <c r="AI264" s="111"/>
      <c r="AJ264" s="111"/>
      <c r="AK264" s="111"/>
      <c r="AL264" s="111"/>
      <c r="AM264" s="111"/>
      <c r="AN264" s="111"/>
      <c r="AO264" s="111"/>
      <c r="AP264" s="111"/>
      <c r="AQ264" s="111"/>
      <c r="AR264" s="111"/>
      <c r="AS264" s="111"/>
      <c r="AT264" s="88"/>
    </row>
    <row r="265">
      <c r="A265" s="80"/>
      <c r="B265" s="81"/>
      <c r="C265" s="112" t="s">
        <v>928</v>
      </c>
      <c r="F265" s="83"/>
      <c r="G265" s="91"/>
      <c r="H265" s="85"/>
      <c r="I265" s="86"/>
      <c r="J265" s="86"/>
      <c r="K265" s="86"/>
      <c r="L265" s="86"/>
      <c r="M265" s="86"/>
      <c r="N265" s="86"/>
      <c r="O265" s="86"/>
      <c r="P265" s="86"/>
      <c r="Q265" s="86"/>
      <c r="R265" s="86"/>
      <c r="S265" s="86"/>
      <c r="T265" s="111"/>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c r="AQ265" s="86"/>
      <c r="AR265" s="86"/>
      <c r="AS265" s="86"/>
      <c r="AT265" s="88"/>
    </row>
    <row r="266">
      <c r="A266" s="80"/>
      <c r="B266" s="81"/>
      <c r="C266" s="90"/>
      <c r="D266" s="90"/>
      <c r="E266" s="113" t="s">
        <v>930</v>
      </c>
      <c r="F266" s="189" t="str">
        <f>Inputs!F187</f>
        <v>%</v>
      </c>
      <c r="G266" s="190" t="str">
        <f>Inputs!G187</f>
        <v>input</v>
      </c>
      <c r="H266" s="156">
        <f>Inputs!H187</f>
        <v>-0.3</v>
      </c>
      <c r="I266" s="264" t="str">
        <f>Inputs!I187</f>
        <v>-</v>
      </c>
      <c r="J266" s="264" t="str">
        <f>Inputs!J187</f>
        <v>-</v>
      </c>
      <c r="K266" s="264" t="str">
        <f>Inputs!K187</f>
        <v>-</v>
      </c>
      <c r="L266" s="264" t="str">
        <f>Inputs!L187</f>
        <v>-</v>
      </c>
      <c r="M266" s="264" t="str">
        <f>Inputs!M187</f>
        <v>-</v>
      </c>
      <c r="N266" s="264" t="str">
        <f>Inputs!N187</f>
        <v>-</v>
      </c>
      <c r="O266" s="264" t="str">
        <f>Inputs!O187</f>
        <v>-</v>
      </c>
      <c r="P266" s="264" t="str">
        <f>Inputs!P187</f>
        <v>-</v>
      </c>
      <c r="Q266" s="264" t="str">
        <f>Inputs!Q187</f>
        <v>-</v>
      </c>
      <c r="R266" s="264" t="str">
        <f>Inputs!R187</f>
        <v>-</v>
      </c>
      <c r="S266" s="264" t="str">
        <f>Inputs!S187</f>
        <v>-</v>
      </c>
      <c r="T266" s="119" t="str">
        <f>Inputs!T187</f>
        <v>-</v>
      </c>
      <c r="U266" s="264" t="str">
        <f>Inputs!U187</f>
        <v>-</v>
      </c>
      <c r="V266" s="264" t="str">
        <f>Inputs!V187</f>
        <v>-</v>
      </c>
      <c r="W266" s="264" t="str">
        <f>Inputs!W187</f>
        <v>-</v>
      </c>
      <c r="X266" s="264" t="str">
        <f>Inputs!X187</f>
        <v>-</v>
      </c>
      <c r="Y266" s="264" t="str">
        <f>Inputs!Y187</f>
        <v>-</v>
      </c>
      <c r="Z266" s="264" t="str">
        <f>Inputs!Z187</f>
        <v>-</v>
      </c>
      <c r="AA266" s="264" t="str">
        <f>Inputs!AA187</f>
        <v>-</v>
      </c>
      <c r="AB266" s="264" t="str">
        <f>Inputs!AB187</f>
        <v>-</v>
      </c>
      <c r="AC266" s="264" t="str">
        <f>Inputs!AC187</f>
        <v>-</v>
      </c>
      <c r="AD266" s="264" t="str">
        <f>Inputs!AD187</f>
        <v>-</v>
      </c>
      <c r="AE266" s="264" t="str">
        <f>Inputs!AE187</f>
        <v>-</v>
      </c>
      <c r="AF266" s="264" t="str">
        <f>Inputs!AF187</f>
        <v>-</v>
      </c>
      <c r="AG266" s="264" t="str">
        <f>Inputs!AG187</f>
        <v>-</v>
      </c>
      <c r="AH266" s="264" t="str">
        <f>Inputs!AH187</f>
        <v>-</v>
      </c>
      <c r="AI266" s="264" t="str">
        <f>Inputs!AI187</f>
        <v>-</v>
      </c>
      <c r="AJ266" s="264" t="str">
        <f>Inputs!AJ187</f>
        <v>-</v>
      </c>
      <c r="AK266" s="264" t="str">
        <f>Inputs!AK187</f>
        <v>-</v>
      </c>
      <c r="AL266" s="264" t="str">
        <f>Inputs!AL187</f>
        <v>-</v>
      </c>
      <c r="AM266" s="264" t="str">
        <f>Inputs!AM187</f>
        <v>-</v>
      </c>
      <c r="AN266" s="264" t="str">
        <f>Inputs!AN187</f>
        <v>-</v>
      </c>
      <c r="AO266" s="264" t="str">
        <f>Inputs!AO187</f>
        <v>-</v>
      </c>
      <c r="AP266" s="264" t="str">
        <f>Inputs!AP187</f>
        <v>-</v>
      </c>
      <c r="AQ266" s="264" t="str">
        <f>Inputs!AQ187</f>
        <v>-</v>
      </c>
      <c r="AR266" s="264" t="str">
        <f>Inputs!AR187</f>
        <v>-</v>
      </c>
      <c r="AS266" s="264" t="str">
        <f>Inputs!AS187</f>
        <v>-</v>
      </c>
      <c r="AT266" s="136"/>
    </row>
    <row r="267">
      <c r="A267" s="80"/>
      <c r="B267" s="81"/>
      <c r="C267" s="325"/>
      <c r="D267" s="325"/>
      <c r="E267" s="113" t="s">
        <v>931</v>
      </c>
      <c r="F267" s="189" t="s">
        <v>122</v>
      </c>
      <c r="G267" s="190" t="s">
        <v>149</v>
      </c>
      <c r="H267" s="200" t="s">
        <v>150</v>
      </c>
      <c r="I267" s="264">
        <f t="shared" ref="I267:AS267" si="90">I10*(1+$H266)</f>
        <v>0.0050051771</v>
      </c>
      <c r="J267" s="264">
        <f t="shared" si="90"/>
        <v>0.0028054369</v>
      </c>
      <c r="K267" s="264">
        <f t="shared" si="90"/>
        <v>0.0060801636</v>
      </c>
      <c r="L267" s="264">
        <f t="shared" si="90"/>
        <v>0.0019904304</v>
      </c>
      <c r="M267" s="264">
        <f t="shared" si="90"/>
        <v>0.0026705315</v>
      </c>
      <c r="N267" s="264">
        <f t="shared" si="90"/>
        <v>0.0048071107</v>
      </c>
      <c r="O267" s="264">
        <f t="shared" si="90"/>
        <v>0.0051417758</v>
      </c>
      <c r="P267" s="264">
        <f t="shared" si="90"/>
        <v>0.0070728014</v>
      </c>
      <c r="Q267" s="264">
        <f t="shared" si="90"/>
        <v>0.0061760468</v>
      </c>
      <c r="R267" s="264">
        <f t="shared" si="90"/>
        <v>0.0011987108</v>
      </c>
      <c r="S267" s="264">
        <f t="shared" si="90"/>
        <v>0.0022782025</v>
      </c>
      <c r="T267" s="264">
        <f t="shared" si="90"/>
        <v>0.0013632969</v>
      </c>
      <c r="U267" s="264">
        <f t="shared" si="90"/>
        <v>0.0013241018</v>
      </c>
      <c r="V267" s="264">
        <f t="shared" si="90"/>
        <v>0.0015395331</v>
      </c>
      <c r="W267" s="264">
        <f t="shared" si="90"/>
        <v>0.002276512</v>
      </c>
      <c r="X267" s="264">
        <f t="shared" si="90"/>
        <v>0.0020475658</v>
      </c>
      <c r="Y267" s="264">
        <f t="shared" si="90"/>
        <v>0.0015074654</v>
      </c>
      <c r="Z267" s="264">
        <f t="shared" si="90"/>
        <v>0.0015036063</v>
      </c>
      <c r="AA267" s="264">
        <f t="shared" si="90"/>
        <v>0.0019440351</v>
      </c>
      <c r="AB267" s="264">
        <f t="shared" si="90"/>
        <v>0.0014125069</v>
      </c>
      <c r="AC267" s="264">
        <f t="shared" si="90"/>
        <v>0.0012745873</v>
      </c>
      <c r="AD267" s="264">
        <f t="shared" si="90"/>
        <v>0.001340759</v>
      </c>
      <c r="AE267" s="264">
        <f t="shared" si="90"/>
        <v>0.0012275522</v>
      </c>
      <c r="AF267" s="264">
        <f t="shared" si="90"/>
        <v>0.001174747</v>
      </c>
      <c r="AG267" s="264">
        <f t="shared" si="90"/>
        <v>0.0014021462</v>
      </c>
      <c r="AH267" s="264">
        <f t="shared" si="90"/>
        <v>0.0016822099</v>
      </c>
      <c r="AI267" s="264">
        <f t="shared" si="90"/>
        <v>0.0008494171</v>
      </c>
      <c r="AJ267" s="264">
        <f t="shared" si="90"/>
        <v>0.0021741265</v>
      </c>
      <c r="AK267" s="264">
        <f t="shared" si="90"/>
        <v>0.0027652779</v>
      </c>
      <c r="AL267" s="264">
        <f t="shared" si="90"/>
        <v>0.001648969</v>
      </c>
      <c r="AM267" s="264">
        <f t="shared" si="90"/>
        <v>0.0014628922</v>
      </c>
      <c r="AN267" s="264">
        <f t="shared" si="90"/>
        <v>0.0009093231</v>
      </c>
      <c r="AO267" s="264">
        <f t="shared" si="90"/>
        <v>0.0010127404</v>
      </c>
      <c r="AP267" s="264">
        <f t="shared" si="90"/>
        <v>0.002174858</v>
      </c>
      <c r="AQ267" s="264">
        <f t="shared" si="90"/>
        <v>0.0012993204</v>
      </c>
      <c r="AR267" s="264">
        <f t="shared" si="90"/>
        <v>0.0029914318</v>
      </c>
      <c r="AS267" s="264">
        <f t="shared" si="90"/>
        <v>0.0046956798</v>
      </c>
      <c r="AT267" s="136"/>
    </row>
    <row r="268">
      <c r="A268" s="80"/>
      <c r="B268" s="81"/>
      <c r="C268" s="325"/>
      <c r="D268" s="325"/>
      <c r="E268" s="140" t="s">
        <v>934</v>
      </c>
      <c r="F268" s="215" t="s">
        <v>122</v>
      </c>
      <c r="G268" s="216" t="s">
        <v>149</v>
      </c>
      <c r="H268" s="187" t="s">
        <v>150</v>
      </c>
      <c r="I268" s="284">
        <f t="shared" ref="I268:AS268" si="91">SUM(I22,I38,I54)*(1+$H266)</f>
        <v>0.00010829</v>
      </c>
      <c r="J268" s="284">
        <f t="shared" si="91"/>
        <v>0.00009177</v>
      </c>
      <c r="K268" s="284">
        <f t="shared" si="91"/>
        <v>0.00014084</v>
      </c>
      <c r="L268" s="284">
        <f t="shared" si="91"/>
        <v>0.00007056</v>
      </c>
      <c r="M268" s="284">
        <f t="shared" si="91"/>
        <v>0.0000672</v>
      </c>
      <c r="N268" s="284">
        <f t="shared" si="91"/>
        <v>0.00010661</v>
      </c>
      <c r="O268" s="284">
        <f t="shared" si="91"/>
        <v>0.0001591989</v>
      </c>
      <c r="P268" s="284">
        <f t="shared" si="91"/>
        <v>0.0002413537</v>
      </c>
      <c r="Q268" s="284">
        <f t="shared" si="91"/>
        <v>0.0002037728</v>
      </c>
      <c r="R268" s="284">
        <f t="shared" si="91"/>
        <v>0.000028931</v>
      </c>
      <c r="S268" s="284">
        <f t="shared" si="91"/>
        <v>0.000059829</v>
      </c>
      <c r="T268" s="284">
        <f t="shared" si="91"/>
        <v>0.000030527</v>
      </c>
      <c r="U268" s="284">
        <f t="shared" si="91"/>
        <v>0.0000314167</v>
      </c>
      <c r="V268" s="284">
        <f t="shared" si="91"/>
        <v>0.000051422</v>
      </c>
      <c r="W268" s="284">
        <f t="shared" si="91"/>
        <v>0.000042175</v>
      </c>
      <c r="X268" s="284">
        <f t="shared" si="91"/>
        <v>0.000050232</v>
      </c>
      <c r="Y268" s="284">
        <f t="shared" si="91"/>
        <v>0.000031185</v>
      </c>
      <c r="Z268" s="284">
        <f t="shared" si="91"/>
        <v>0.000033355</v>
      </c>
      <c r="AA268" s="284">
        <f t="shared" si="91"/>
        <v>0.000039928</v>
      </c>
      <c r="AB268" s="284">
        <f t="shared" si="91"/>
        <v>0.000029365</v>
      </c>
      <c r="AC268" s="284">
        <f t="shared" si="91"/>
        <v>0.0000242732</v>
      </c>
      <c r="AD268" s="284">
        <f t="shared" si="91"/>
        <v>0.000027839</v>
      </c>
      <c r="AE268" s="284">
        <f t="shared" si="91"/>
        <v>0.00002884</v>
      </c>
      <c r="AF268" s="284">
        <f t="shared" si="91"/>
        <v>0.000024563</v>
      </c>
      <c r="AG268" s="284">
        <f t="shared" si="91"/>
        <v>0.000060564</v>
      </c>
      <c r="AH268" s="284">
        <f t="shared" si="91"/>
        <v>0.000041132</v>
      </c>
      <c r="AI268" s="284">
        <f t="shared" si="91"/>
        <v>0.000017185</v>
      </c>
      <c r="AJ268" s="284">
        <f t="shared" si="91"/>
        <v>0.000050729</v>
      </c>
      <c r="AK268" s="284">
        <f t="shared" si="91"/>
        <v>0.00008638</v>
      </c>
      <c r="AL268" s="284">
        <f t="shared" si="91"/>
        <v>0.000043456</v>
      </c>
      <c r="AM268" s="284">
        <f t="shared" si="91"/>
        <v>0.000030499</v>
      </c>
      <c r="AN268" s="284">
        <f t="shared" si="91"/>
        <v>0.0000198401</v>
      </c>
      <c r="AO268" s="284">
        <f t="shared" si="91"/>
        <v>0.000036344</v>
      </c>
      <c r="AP268" s="284">
        <f t="shared" si="91"/>
        <v>0.000040495</v>
      </c>
      <c r="AQ268" s="284">
        <f t="shared" si="91"/>
        <v>0.000029351</v>
      </c>
      <c r="AR268" s="284">
        <f t="shared" si="91"/>
        <v>0.0000763</v>
      </c>
      <c r="AS268" s="284">
        <f t="shared" si="91"/>
        <v>0.00011354</v>
      </c>
      <c r="AT268" s="163"/>
    </row>
    <row r="269">
      <c r="A269" s="80"/>
      <c r="B269" s="81"/>
      <c r="C269" s="325"/>
      <c r="D269" s="325"/>
      <c r="E269" s="140" t="s">
        <v>935</v>
      </c>
      <c r="F269" s="215" t="s">
        <v>122</v>
      </c>
      <c r="G269" s="216" t="s">
        <v>149</v>
      </c>
      <c r="H269" s="187" t="s">
        <v>150</v>
      </c>
      <c r="I269" s="284">
        <f t="shared" ref="I269:AS269" si="92">SUM(I90,I123)*(1+$H266)</f>
        <v>0.00008327448916</v>
      </c>
      <c r="J269" s="284">
        <f t="shared" si="92"/>
        <v>0.00006416882997</v>
      </c>
      <c r="K269" s="284">
        <f t="shared" si="92"/>
        <v>0.0001015766784</v>
      </c>
      <c r="L269" s="284">
        <f t="shared" si="92"/>
        <v>0.00006120059358</v>
      </c>
      <c r="M269" s="284">
        <f t="shared" si="92"/>
        <v>0.00006712943041</v>
      </c>
      <c r="N269" s="284">
        <f t="shared" si="92"/>
        <v>0.00008098697236</v>
      </c>
      <c r="O269" s="284">
        <f t="shared" si="92"/>
        <v>0.00008354872901</v>
      </c>
      <c r="P269" s="284">
        <f t="shared" si="92"/>
        <v>0.0001116930022</v>
      </c>
      <c r="Q269" s="284">
        <f t="shared" si="92"/>
        <v>0.00009993466681</v>
      </c>
      <c r="R269" s="284">
        <f t="shared" si="92"/>
        <v>0.00004884297391</v>
      </c>
      <c r="S269" s="284">
        <f t="shared" si="92"/>
        <v>0.00007385499511</v>
      </c>
      <c r="T269" s="284">
        <f t="shared" si="92"/>
        <v>0.0000518937454</v>
      </c>
      <c r="U269" s="284">
        <f t="shared" si="92"/>
        <v>0.00005331295176</v>
      </c>
      <c r="V269" s="284">
        <f t="shared" si="92"/>
        <v>0.00005886599858</v>
      </c>
      <c r="W269" s="284">
        <f t="shared" si="92"/>
        <v>0.00007218243171</v>
      </c>
      <c r="X269" s="284">
        <f t="shared" si="92"/>
        <v>0.00005626136832</v>
      </c>
      <c r="Y269" s="284">
        <f t="shared" si="92"/>
        <v>0.00008805348126</v>
      </c>
      <c r="Z269" s="284">
        <f t="shared" si="92"/>
        <v>0.00005783371407</v>
      </c>
      <c r="AA269" s="284">
        <f t="shared" si="92"/>
        <v>0.00006555274863</v>
      </c>
      <c r="AB269" s="284">
        <f t="shared" si="92"/>
        <v>0.00005474253212</v>
      </c>
      <c r="AC269" s="284">
        <f t="shared" si="92"/>
        <v>0.00004928078791</v>
      </c>
      <c r="AD269" s="284">
        <f t="shared" si="92"/>
        <v>0.00005101394924</v>
      </c>
      <c r="AE269" s="284">
        <f t="shared" si="92"/>
        <v>0.00004966377772</v>
      </c>
      <c r="AF269" s="284">
        <f t="shared" si="92"/>
        <v>0.00004751599521</v>
      </c>
      <c r="AG269" s="284">
        <f t="shared" si="92"/>
        <v>0.00005421478588</v>
      </c>
      <c r="AH269" s="284">
        <f t="shared" si="92"/>
        <v>0.0000590875741</v>
      </c>
      <c r="AI269" s="284">
        <f t="shared" si="92"/>
        <v>0.00004143810904</v>
      </c>
      <c r="AJ269" s="284">
        <f t="shared" si="92"/>
        <v>0.00007027536046</v>
      </c>
      <c r="AK269" s="284">
        <f t="shared" si="92"/>
        <v>0.00007764260788</v>
      </c>
      <c r="AL269" s="284">
        <f t="shared" si="92"/>
        <v>0.00006027869025</v>
      </c>
      <c r="AM269" s="284">
        <f t="shared" si="92"/>
        <v>0.00005455852386</v>
      </c>
      <c r="AN269" s="284">
        <f t="shared" si="92"/>
        <v>0.00003788033336</v>
      </c>
      <c r="AO269" s="284">
        <f t="shared" si="92"/>
        <v>0.00004466717473</v>
      </c>
      <c r="AP269" s="284">
        <f t="shared" si="92"/>
        <v>0.00007179545524</v>
      </c>
      <c r="AQ269" s="284">
        <f t="shared" si="92"/>
        <v>0.00005345026722</v>
      </c>
      <c r="AR269" s="284">
        <f t="shared" si="92"/>
        <v>0.00008265489859</v>
      </c>
      <c r="AS269" s="284">
        <f t="shared" si="92"/>
        <v>0.00008454229299</v>
      </c>
      <c r="AT269" s="163"/>
    </row>
    <row r="270">
      <c r="A270" s="80"/>
      <c r="B270" s="81"/>
      <c r="C270" s="325"/>
      <c r="D270" s="325"/>
      <c r="E270" s="140" t="s">
        <v>937</v>
      </c>
      <c r="F270" s="215" t="s">
        <v>122</v>
      </c>
      <c r="G270" s="216" t="s">
        <v>149</v>
      </c>
      <c r="H270" s="187" t="s">
        <v>150</v>
      </c>
      <c r="I270" s="284">
        <f t="shared" ref="I270:AS270" si="93">SUM(I96,I131)*(1+$H266)</f>
        <v>0.001262806869</v>
      </c>
      <c r="J270" s="284">
        <f t="shared" si="93"/>
        <v>0.0009785235146</v>
      </c>
      <c r="K270" s="284">
        <f t="shared" si="93"/>
        <v>0.001530276446</v>
      </c>
      <c r="L270" s="284">
        <f t="shared" si="93"/>
        <v>0.0009425045536</v>
      </c>
      <c r="M270" s="284">
        <f t="shared" si="93"/>
        <v>0.001026847676</v>
      </c>
      <c r="N270" s="284">
        <f t="shared" si="93"/>
        <v>0.001228857185</v>
      </c>
      <c r="O270" s="284">
        <f t="shared" si="93"/>
        <v>0.001257744317</v>
      </c>
      <c r="P270" s="284">
        <f t="shared" si="93"/>
        <v>0.001671253737</v>
      </c>
      <c r="Q270" s="284">
        <f t="shared" si="93"/>
        <v>0.001495686121</v>
      </c>
      <c r="R270" s="284">
        <f t="shared" si="93"/>
        <v>0.0007750502997</v>
      </c>
      <c r="S270" s="284">
        <f t="shared" si="93"/>
        <v>0.001140951646</v>
      </c>
      <c r="T270" s="284">
        <f t="shared" si="93"/>
        <v>0.000824255154</v>
      </c>
      <c r="U270" s="284">
        <f t="shared" si="93"/>
        <v>0.0008504817886</v>
      </c>
      <c r="V270" s="284">
        <f t="shared" si="93"/>
        <v>0.0009279808647</v>
      </c>
      <c r="W270" s="284">
        <f t="shared" si="93"/>
        <v>0.001131886303</v>
      </c>
      <c r="X270" s="284">
        <f t="shared" si="93"/>
        <v>0.0008628194352</v>
      </c>
      <c r="Y270" s="284">
        <f t="shared" si="93"/>
        <v>0.001466797956</v>
      </c>
      <c r="Z270" s="284">
        <f t="shared" si="93"/>
        <v>0.0009153162151</v>
      </c>
      <c r="AA270" s="284">
        <f t="shared" si="93"/>
        <v>0.00103217586</v>
      </c>
      <c r="AB270" s="284">
        <f t="shared" si="93"/>
        <v>0.0008728645003</v>
      </c>
      <c r="AC270" s="284">
        <f t="shared" si="93"/>
        <v>0.0007881559014</v>
      </c>
      <c r="AD270" s="284">
        <f t="shared" si="93"/>
        <v>0.0008075031499</v>
      </c>
      <c r="AE270" s="284">
        <f t="shared" si="93"/>
        <v>0.0007809940286</v>
      </c>
      <c r="AF270" s="284">
        <f t="shared" si="93"/>
        <v>0.0007572646671</v>
      </c>
      <c r="AG270" s="284">
        <f t="shared" si="93"/>
        <v>0.0008606804544</v>
      </c>
      <c r="AH270" s="284">
        <f t="shared" si="93"/>
        <v>0.0009360887121</v>
      </c>
      <c r="AI270" s="284">
        <f t="shared" si="93"/>
        <v>0.0006575725172</v>
      </c>
      <c r="AJ270" s="284">
        <f t="shared" si="93"/>
        <v>0.001100606769</v>
      </c>
      <c r="AK270" s="284">
        <f t="shared" si="93"/>
        <v>0.001192649246</v>
      </c>
      <c r="AL270" s="284">
        <f t="shared" si="93"/>
        <v>0.000942628182</v>
      </c>
      <c r="AM270" s="284">
        <f t="shared" si="93"/>
        <v>0.0008650573458</v>
      </c>
      <c r="AN270" s="284">
        <f t="shared" si="93"/>
        <v>0.0006036196451</v>
      </c>
      <c r="AO270" s="284">
        <f t="shared" si="93"/>
        <v>0.0007049551629</v>
      </c>
      <c r="AP270" s="284">
        <f t="shared" si="93"/>
        <v>0.001125002333</v>
      </c>
      <c r="AQ270" s="284">
        <f t="shared" si="93"/>
        <v>0.000849840816</v>
      </c>
      <c r="AR270" s="284">
        <f t="shared" si="93"/>
        <v>0.001278338126</v>
      </c>
      <c r="AS270" s="284">
        <f t="shared" si="93"/>
        <v>0.001277885712</v>
      </c>
      <c r="AT270" s="163"/>
    </row>
    <row r="271">
      <c r="A271" s="80"/>
      <c r="B271" s="81"/>
      <c r="C271" s="325"/>
      <c r="D271" s="325"/>
      <c r="E271" s="140" t="s">
        <v>939</v>
      </c>
      <c r="F271" s="215" t="s">
        <v>122</v>
      </c>
      <c r="G271" s="216" t="s">
        <v>149</v>
      </c>
      <c r="H271" s="187" t="s">
        <v>150</v>
      </c>
      <c r="I271" s="284">
        <f t="shared" ref="I271:AS271" si="94">I156*(1+$H266)</f>
        <v>0.001377649756</v>
      </c>
      <c r="J271" s="284">
        <f t="shared" si="94"/>
        <v>0.0007547706333</v>
      </c>
      <c r="K271" s="284">
        <f t="shared" si="94"/>
        <v>0.001059977466</v>
      </c>
      <c r="L271" s="284">
        <f t="shared" si="94"/>
        <v>0.0003982793225</v>
      </c>
      <c r="M271" s="284">
        <f t="shared" si="94"/>
        <v>0.000591047061</v>
      </c>
      <c r="N271" s="284">
        <f t="shared" si="94"/>
        <v>0.001102224674</v>
      </c>
      <c r="O271" s="284">
        <f t="shared" si="94"/>
        <v>0.001201448385</v>
      </c>
      <c r="P271" s="284">
        <f t="shared" si="94"/>
        <v>0.001554995674</v>
      </c>
      <c r="Q271" s="284">
        <f t="shared" si="94"/>
        <v>0.001352740079</v>
      </c>
      <c r="R271" s="284">
        <f t="shared" si="94"/>
        <v>0.0002685724384</v>
      </c>
      <c r="S271" s="284">
        <f t="shared" si="94"/>
        <v>0.0007072331969</v>
      </c>
      <c r="T271" s="284">
        <f t="shared" si="94"/>
        <v>0.0002744713889</v>
      </c>
      <c r="U271" s="284">
        <f t="shared" si="94"/>
        <v>0.0002188360257</v>
      </c>
      <c r="V271" s="284">
        <f t="shared" si="94"/>
        <v>0.0006076386845</v>
      </c>
      <c r="W271" s="284">
        <f t="shared" si="94"/>
        <v>0.0007983133489</v>
      </c>
      <c r="X271" s="284">
        <f t="shared" si="94"/>
        <v>0.0006818568612</v>
      </c>
      <c r="Y271" s="284">
        <f t="shared" si="94"/>
        <v>0.0004922925908</v>
      </c>
      <c r="Z271" s="284">
        <f t="shared" si="94"/>
        <v>0.0002776398434</v>
      </c>
      <c r="AA271" s="284">
        <f t="shared" si="94"/>
        <v>0.0005120604177</v>
      </c>
      <c r="AB271" s="284">
        <f t="shared" si="94"/>
        <v>0.0002559210062</v>
      </c>
      <c r="AC271" s="284">
        <f t="shared" si="94"/>
        <v>0.0002598135559</v>
      </c>
      <c r="AD271" s="284">
        <f t="shared" si="94"/>
        <v>0.000311743779</v>
      </c>
      <c r="AE271" s="284">
        <f t="shared" si="94"/>
        <v>0.000203892917</v>
      </c>
      <c r="AF271" s="284">
        <f t="shared" si="94"/>
        <v>0.0001961184366</v>
      </c>
      <c r="AG271" s="284">
        <f t="shared" si="94"/>
        <v>0.0003832506884</v>
      </c>
      <c r="AH271" s="284">
        <f t="shared" si="94"/>
        <v>0.0003919226107</v>
      </c>
      <c r="AI271" s="284">
        <f t="shared" si="94"/>
        <v>0.0001248798699</v>
      </c>
      <c r="AJ271" s="284">
        <f t="shared" si="94"/>
        <v>0.0005471524863</v>
      </c>
      <c r="AK271" s="284">
        <f t="shared" si="94"/>
        <v>0.000806616192</v>
      </c>
      <c r="AL271" s="284">
        <f t="shared" si="94"/>
        <v>0.0003033401996</v>
      </c>
      <c r="AM271" s="284">
        <f t="shared" si="94"/>
        <v>0.0003429189031</v>
      </c>
      <c r="AN271" s="284">
        <f t="shared" si="94"/>
        <v>0.0001935245514</v>
      </c>
      <c r="AO271" s="284">
        <f t="shared" si="94"/>
        <v>0.0003141459496</v>
      </c>
      <c r="AP271" s="284">
        <f t="shared" si="94"/>
        <v>0.000647827545</v>
      </c>
      <c r="AQ271" s="284">
        <f t="shared" si="94"/>
        <v>0.0002366077837</v>
      </c>
      <c r="AR271" s="284">
        <f t="shared" si="94"/>
        <v>0.0009886286921</v>
      </c>
      <c r="AS271" s="284">
        <f t="shared" si="94"/>
        <v>0.001198341922</v>
      </c>
      <c r="AT271" s="163"/>
    </row>
    <row r="272">
      <c r="A272" s="80"/>
      <c r="B272" s="81"/>
      <c r="C272" s="325"/>
      <c r="D272" s="325"/>
      <c r="E272" s="140" t="s">
        <v>940</v>
      </c>
      <c r="F272" s="215" t="s">
        <v>122</v>
      </c>
      <c r="G272" s="216" t="s">
        <v>149</v>
      </c>
      <c r="H272" s="187" t="s">
        <v>150</v>
      </c>
      <c r="I272" s="284">
        <f t="shared" ref="I272:AS272" si="95">I164*(1+$H266)</f>
        <v>0.00003717</v>
      </c>
      <c r="J272" s="284">
        <f t="shared" si="95"/>
        <v>0.0000168</v>
      </c>
      <c r="K272" s="284">
        <f t="shared" si="95"/>
        <v>0.00005411</v>
      </c>
      <c r="L272" s="284">
        <f t="shared" si="95"/>
        <v>0.00001561</v>
      </c>
      <c r="M272" s="284">
        <f t="shared" si="95"/>
        <v>0.0000133</v>
      </c>
      <c r="N272" s="284">
        <f t="shared" si="95"/>
        <v>0.00004144</v>
      </c>
      <c r="O272" s="284">
        <f t="shared" si="95"/>
        <v>0.0000357</v>
      </c>
      <c r="P272" s="284">
        <f t="shared" si="95"/>
        <v>0.00005677</v>
      </c>
      <c r="Q272" s="284">
        <f t="shared" si="95"/>
        <v>0.00005446</v>
      </c>
      <c r="R272" s="284">
        <f t="shared" si="95"/>
        <v>0.000003997</v>
      </c>
      <c r="S272" s="284">
        <f t="shared" si="95"/>
        <v>0.00001302</v>
      </c>
      <c r="T272" s="284">
        <f t="shared" si="95"/>
        <v>0.000006013</v>
      </c>
      <c r="U272" s="284">
        <f t="shared" si="95"/>
        <v>0.000005033</v>
      </c>
      <c r="V272" s="284">
        <f t="shared" si="95"/>
        <v>0.00000973</v>
      </c>
      <c r="W272" s="284">
        <f t="shared" si="95"/>
        <v>0.00000875</v>
      </c>
      <c r="X272" s="284">
        <f t="shared" si="95"/>
        <v>0.00001673</v>
      </c>
      <c r="Y272" s="284">
        <f t="shared" si="95"/>
        <v>0.000006699</v>
      </c>
      <c r="Z272" s="284">
        <f t="shared" si="95"/>
        <v>0.000006482</v>
      </c>
      <c r="AA272" s="284">
        <f t="shared" si="95"/>
        <v>0.00000819</v>
      </c>
      <c r="AB272" s="284">
        <f t="shared" si="95"/>
        <v>0.000004564</v>
      </c>
      <c r="AC272" s="284">
        <f t="shared" si="95"/>
        <v>0.000004879</v>
      </c>
      <c r="AD272" s="284">
        <f t="shared" si="95"/>
        <v>0.000004606</v>
      </c>
      <c r="AE272" s="284">
        <f t="shared" si="95"/>
        <v>0.000004599</v>
      </c>
      <c r="AF272" s="284">
        <f t="shared" si="95"/>
        <v>0.000003724</v>
      </c>
      <c r="AG272" s="284">
        <f t="shared" si="95"/>
        <v>0.00000819</v>
      </c>
      <c r="AH272" s="284">
        <f t="shared" si="95"/>
        <v>0.00000868</v>
      </c>
      <c r="AI272" s="284">
        <f t="shared" si="95"/>
        <v>0.000003269</v>
      </c>
      <c r="AJ272" s="284">
        <f t="shared" si="95"/>
        <v>0.00001057</v>
      </c>
      <c r="AK272" s="284">
        <f t="shared" si="95"/>
        <v>0.00001554</v>
      </c>
      <c r="AL272" s="284">
        <f t="shared" si="95"/>
        <v>0.000006587</v>
      </c>
      <c r="AM272" s="284">
        <f t="shared" si="95"/>
        <v>0.000005635</v>
      </c>
      <c r="AN272" s="284">
        <f t="shared" si="95"/>
        <v>0.0000035</v>
      </c>
      <c r="AO272" s="284">
        <f t="shared" si="95"/>
        <v>0.000005243</v>
      </c>
      <c r="AP272" s="284">
        <f t="shared" si="95"/>
        <v>0.00000938</v>
      </c>
      <c r="AQ272" s="284">
        <f t="shared" si="95"/>
        <v>0.000004697</v>
      </c>
      <c r="AR272" s="284">
        <f t="shared" si="95"/>
        <v>0.000014</v>
      </c>
      <c r="AS272" s="284">
        <f t="shared" si="95"/>
        <v>0.00003353</v>
      </c>
      <c r="AT272" s="163"/>
    </row>
    <row r="273">
      <c r="A273" s="80"/>
      <c r="B273" s="81"/>
      <c r="C273" s="325"/>
      <c r="D273" s="325"/>
      <c r="E273" s="237" t="s">
        <v>290</v>
      </c>
      <c r="F273" s="195" t="s">
        <v>122</v>
      </c>
      <c r="G273" s="196" t="s">
        <v>149</v>
      </c>
      <c r="H273" s="197" t="s">
        <v>150</v>
      </c>
      <c r="I273" s="457">
        <f t="shared" ref="I273:AS273" si="96">SUM(I267:I272)</f>
        <v>0.007874368215</v>
      </c>
      <c r="J273" s="457">
        <f t="shared" si="96"/>
        <v>0.004711469878</v>
      </c>
      <c r="K273" s="457">
        <f t="shared" si="96"/>
        <v>0.00896694419</v>
      </c>
      <c r="L273" s="457">
        <f t="shared" si="96"/>
        <v>0.00347858487</v>
      </c>
      <c r="M273" s="457">
        <f t="shared" si="96"/>
        <v>0.004436055667</v>
      </c>
      <c r="N273" s="457">
        <f t="shared" si="96"/>
        <v>0.007367229531</v>
      </c>
      <c r="O273" s="457">
        <f t="shared" si="96"/>
        <v>0.007879416132</v>
      </c>
      <c r="P273" s="457">
        <f t="shared" si="96"/>
        <v>0.01070886751</v>
      </c>
      <c r="Q273" s="457">
        <f t="shared" si="96"/>
        <v>0.009382640467</v>
      </c>
      <c r="R273" s="457">
        <f t="shared" si="96"/>
        <v>0.002324104512</v>
      </c>
      <c r="S273" s="457">
        <f t="shared" si="96"/>
        <v>0.004273091338</v>
      </c>
      <c r="T273" s="457">
        <f t="shared" si="96"/>
        <v>0.002550457188</v>
      </c>
      <c r="U273" s="457">
        <f t="shared" si="96"/>
        <v>0.002483182266</v>
      </c>
      <c r="V273" s="457">
        <f t="shared" si="96"/>
        <v>0.003195170648</v>
      </c>
      <c r="W273" s="457">
        <f t="shared" si="96"/>
        <v>0.004329819083</v>
      </c>
      <c r="X273" s="457">
        <f t="shared" si="96"/>
        <v>0.003715465465</v>
      </c>
      <c r="Y273" s="457">
        <f t="shared" si="96"/>
        <v>0.003592493428</v>
      </c>
      <c r="Z273" s="457">
        <f t="shared" si="96"/>
        <v>0.002794233073</v>
      </c>
      <c r="AA273" s="457">
        <f t="shared" si="96"/>
        <v>0.003601942127</v>
      </c>
      <c r="AB273" s="457">
        <f t="shared" si="96"/>
        <v>0.002629963939</v>
      </c>
      <c r="AC273" s="457">
        <f t="shared" si="96"/>
        <v>0.002400989745</v>
      </c>
      <c r="AD273" s="457">
        <f t="shared" si="96"/>
        <v>0.002543464878</v>
      </c>
      <c r="AE273" s="457">
        <f t="shared" si="96"/>
        <v>0.002295541923</v>
      </c>
      <c r="AF273" s="457">
        <f t="shared" si="96"/>
        <v>0.002203933099</v>
      </c>
      <c r="AG273" s="457">
        <f t="shared" si="96"/>
        <v>0.002769046129</v>
      </c>
      <c r="AH273" s="457">
        <f t="shared" si="96"/>
        <v>0.003119120797</v>
      </c>
      <c r="AI273" s="457">
        <f t="shared" si="96"/>
        <v>0.001693761596</v>
      </c>
      <c r="AJ273" s="457">
        <f t="shared" si="96"/>
        <v>0.003953460116</v>
      </c>
      <c r="AK273" s="457">
        <f t="shared" si="96"/>
        <v>0.004944105945</v>
      </c>
      <c r="AL273" s="457">
        <f t="shared" si="96"/>
        <v>0.003005259072</v>
      </c>
      <c r="AM273" s="457">
        <f t="shared" si="96"/>
        <v>0.002761560973</v>
      </c>
      <c r="AN273" s="457">
        <f t="shared" si="96"/>
        <v>0.00176768773</v>
      </c>
      <c r="AO273" s="457">
        <f t="shared" si="96"/>
        <v>0.002118095687</v>
      </c>
      <c r="AP273" s="457">
        <f t="shared" si="96"/>
        <v>0.004069358334</v>
      </c>
      <c r="AQ273" s="457">
        <f t="shared" si="96"/>
        <v>0.002473267267</v>
      </c>
      <c r="AR273" s="457">
        <f t="shared" si="96"/>
        <v>0.005431353517</v>
      </c>
      <c r="AS273" s="457">
        <f t="shared" si="96"/>
        <v>0.007403519727</v>
      </c>
      <c r="AT273" s="248"/>
    </row>
    <row r="274">
      <c r="A274" s="80"/>
      <c r="B274" s="81"/>
      <c r="C274" s="90"/>
      <c r="D274" s="90"/>
      <c r="E274" s="243"/>
      <c r="F274" s="108"/>
      <c r="G274" s="122"/>
      <c r="H274" s="85"/>
      <c r="I274" s="111"/>
      <c r="J274" s="111"/>
      <c r="K274" s="111"/>
      <c r="L274" s="111"/>
      <c r="M274" s="111"/>
      <c r="N274" s="111"/>
      <c r="O274" s="111"/>
      <c r="P274" s="111"/>
      <c r="Q274" s="111"/>
      <c r="R274" s="111"/>
      <c r="S274" s="111"/>
      <c r="T274" s="111"/>
      <c r="U274" s="111"/>
      <c r="V274" s="111"/>
      <c r="W274" s="111"/>
      <c r="X274" s="111"/>
      <c r="Y274" s="111"/>
      <c r="Z274" s="111"/>
      <c r="AA274" s="111"/>
      <c r="AB274" s="111"/>
      <c r="AC274" s="111"/>
      <c r="AD274" s="111"/>
      <c r="AE274" s="111"/>
      <c r="AF274" s="111"/>
      <c r="AG274" s="111"/>
      <c r="AH274" s="111"/>
      <c r="AI274" s="111"/>
      <c r="AJ274" s="111"/>
      <c r="AK274" s="111"/>
      <c r="AL274" s="111"/>
      <c r="AM274" s="111"/>
      <c r="AN274" s="111"/>
      <c r="AO274" s="111"/>
      <c r="AP274" s="111"/>
      <c r="AQ274" s="111"/>
      <c r="AR274" s="111"/>
      <c r="AS274" s="111"/>
      <c r="AT274" s="88"/>
    </row>
    <row r="275">
      <c r="A275" s="80"/>
      <c r="B275" s="81"/>
      <c r="C275" s="325" t="s">
        <v>942</v>
      </c>
      <c r="F275" s="83"/>
      <c r="G275" s="91"/>
      <c r="H275" s="85"/>
      <c r="I275" s="86"/>
      <c r="J275" s="86"/>
      <c r="K275" s="86"/>
      <c r="L275" s="86"/>
      <c r="M275" s="86"/>
      <c r="N275" s="86"/>
      <c r="O275" s="86"/>
      <c r="P275" s="86"/>
      <c r="Q275" s="86"/>
      <c r="R275" s="86"/>
      <c r="S275" s="86"/>
      <c r="T275" s="111"/>
      <c r="U275" s="86"/>
      <c r="V275" s="86"/>
      <c r="W275" s="86"/>
      <c r="X275" s="86"/>
      <c r="Y275" s="86"/>
      <c r="Z275" s="86"/>
      <c r="AA275" s="86"/>
      <c r="AB275" s="86"/>
      <c r="AC275" s="86"/>
      <c r="AD275" s="86"/>
      <c r="AE275" s="86"/>
      <c r="AF275" s="86"/>
      <c r="AG275" s="86"/>
      <c r="AH275" s="86"/>
      <c r="AI275" s="86"/>
      <c r="AJ275" s="86"/>
      <c r="AK275" s="86"/>
      <c r="AL275" s="86"/>
      <c r="AM275" s="86"/>
      <c r="AN275" s="86"/>
      <c r="AO275" s="86"/>
      <c r="AP275" s="86"/>
      <c r="AQ275" s="86"/>
      <c r="AR275" s="86"/>
      <c r="AS275" s="86"/>
      <c r="AT275" s="88"/>
    </row>
    <row r="276">
      <c r="A276" s="80"/>
      <c r="B276" s="81"/>
      <c r="C276" s="112"/>
      <c r="D276" s="112"/>
      <c r="E276" s="113" t="s">
        <v>611</v>
      </c>
      <c r="F276" s="151" t="str">
        <f>Inputs!F185</f>
        <v>%</v>
      </c>
      <c r="G276" s="256" t="str">
        <f>Inputs!G185</f>
        <v>input</v>
      </c>
      <c r="H276" s="156">
        <f>Inputs!H185</f>
        <v>-0.8</v>
      </c>
      <c r="I276" s="418" t="str">
        <f>Inputs!I185</f>
        <v>-</v>
      </c>
      <c r="J276" s="418" t="str">
        <f>Inputs!J185</f>
        <v>-</v>
      </c>
      <c r="K276" s="418" t="str">
        <f>Inputs!K185</f>
        <v>-</v>
      </c>
      <c r="L276" s="418" t="str">
        <f>Inputs!L185</f>
        <v>-</v>
      </c>
      <c r="M276" s="418" t="str">
        <f>Inputs!M185</f>
        <v>-</v>
      </c>
      <c r="N276" s="418" t="str">
        <f>Inputs!N185</f>
        <v>-</v>
      </c>
      <c r="O276" s="418" t="str">
        <f>Inputs!O185</f>
        <v>-</v>
      </c>
      <c r="P276" s="418" t="str">
        <f>Inputs!P185</f>
        <v>-</v>
      </c>
      <c r="Q276" s="418" t="str">
        <f>Inputs!Q185</f>
        <v>-</v>
      </c>
      <c r="R276" s="418" t="str">
        <f>Inputs!R185</f>
        <v>-</v>
      </c>
      <c r="S276" s="418" t="str">
        <f>Inputs!S185</f>
        <v>-</v>
      </c>
      <c r="T276" s="119" t="str">
        <f>Inputs!T185</f>
        <v>-</v>
      </c>
      <c r="U276" s="418" t="str">
        <f>Inputs!U185</f>
        <v>-</v>
      </c>
      <c r="V276" s="418" t="str">
        <f>Inputs!V185</f>
        <v>-</v>
      </c>
      <c r="W276" s="418" t="str">
        <f>Inputs!W185</f>
        <v>-</v>
      </c>
      <c r="X276" s="418" t="str">
        <f>Inputs!X185</f>
        <v>-</v>
      </c>
      <c r="Y276" s="418" t="str">
        <f>Inputs!Y185</f>
        <v>-</v>
      </c>
      <c r="Z276" s="418" t="str">
        <f>Inputs!Z185</f>
        <v>-</v>
      </c>
      <c r="AA276" s="418" t="str">
        <f>Inputs!AA185</f>
        <v>-</v>
      </c>
      <c r="AB276" s="418" t="str">
        <f>Inputs!AB185</f>
        <v>-</v>
      </c>
      <c r="AC276" s="418" t="str">
        <f>Inputs!AC185</f>
        <v>-</v>
      </c>
      <c r="AD276" s="418" t="str">
        <f>Inputs!AD185</f>
        <v>-</v>
      </c>
      <c r="AE276" s="418" t="str">
        <f>Inputs!AE185</f>
        <v>-</v>
      </c>
      <c r="AF276" s="418" t="str">
        <f>Inputs!AF185</f>
        <v>-</v>
      </c>
      <c r="AG276" s="418" t="str">
        <f>Inputs!AG185</f>
        <v>-</v>
      </c>
      <c r="AH276" s="418" t="str">
        <f>Inputs!AH185</f>
        <v>-</v>
      </c>
      <c r="AI276" s="418" t="str">
        <f>Inputs!AI185</f>
        <v>-</v>
      </c>
      <c r="AJ276" s="418" t="str">
        <f>Inputs!AJ185</f>
        <v>-</v>
      </c>
      <c r="AK276" s="418" t="str">
        <f>Inputs!AK185</f>
        <v>-</v>
      </c>
      <c r="AL276" s="418" t="str">
        <f>Inputs!AL185</f>
        <v>-</v>
      </c>
      <c r="AM276" s="418" t="str">
        <f>Inputs!AM185</f>
        <v>-</v>
      </c>
      <c r="AN276" s="418" t="str">
        <f>Inputs!AN185</f>
        <v>-</v>
      </c>
      <c r="AO276" s="418" t="str">
        <f>Inputs!AO185</f>
        <v>-</v>
      </c>
      <c r="AP276" s="418" t="str">
        <f>Inputs!AP185</f>
        <v>-</v>
      </c>
      <c r="AQ276" s="418" t="str">
        <f>Inputs!AQ185</f>
        <v>-</v>
      </c>
      <c r="AR276" s="418" t="str">
        <f>Inputs!AR185</f>
        <v>-</v>
      </c>
      <c r="AS276" s="418" t="str">
        <f>Inputs!AS185</f>
        <v>-</v>
      </c>
      <c r="AT276" s="136"/>
    </row>
    <row r="277">
      <c r="A277" s="80"/>
      <c r="B277" s="81"/>
      <c r="C277" s="112"/>
      <c r="D277" s="112"/>
      <c r="E277" s="140" t="s">
        <v>620</v>
      </c>
      <c r="F277" s="215" t="s">
        <v>122</v>
      </c>
      <c r="G277" s="216" t="s">
        <v>149</v>
      </c>
      <c r="H277" s="187" t="s">
        <v>150</v>
      </c>
      <c r="I277" s="218">
        <f t="shared" ref="I277:AS277" si="97">I187*(1+$H$276)</f>
        <v>0.09047312053</v>
      </c>
      <c r="J277" s="218">
        <f t="shared" si="97"/>
        <v>0.1136209881</v>
      </c>
      <c r="K277" s="218">
        <f t="shared" si="97"/>
        <v>0.0892505595</v>
      </c>
      <c r="L277" s="218">
        <f t="shared" si="97"/>
        <v>0.1297379294</v>
      </c>
      <c r="M277" s="218">
        <f t="shared" si="97"/>
        <v>0.09416784695</v>
      </c>
      <c r="N277" s="218">
        <f t="shared" si="97"/>
        <v>0.08554964155</v>
      </c>
      <c r="O277" s="218">
        <f t="shared" si="97"/>
        <v>0.08634274268</v>
      </c>
      <c r="P277" s="218">
        <f t="shared" si="97"/>
        <v>0.05008709235</v>
      </c>
      <c r="Q277" s="218">
        <f t="shared" si="97"/>
        <v>0.06991652702</v>
      </c>
      <c r="R277" s="218">
        <f t="shared" si="97"/>
        <v>0.177948658</v>
      </c>
      <c r="S277" s="218">
        <f t="shared" si="97"/>
        <v>0.1512874808</v>
      </c>
      <c r="T277" s="218">
        <f t="shared" si="97"/>
        <v>0.1683298226</v>
      </c>
      <c r="U277" s="218">
        <f t="shared" si="97"/>
        <v>0.173244418</v>
      </c>
      <c r="V277" s="218">
        <f t="shared" si="97"/>
        <v>0.1450773829</v>
      </c>
      <c r="W277" s="218">
        <f t="shared" si="97"/>
        <v>0.148382356</v>
      </c>
      <c r="X277" s="218">
        <f t="shared" si="97"/>
        <v>0.1456979507</v>
      </c>
      <c r="Y277" s="218">
        <f t="shared" si="97"/>
        <v>0.1816549599</v>
      </c>
      <c r="Z277" s="218">
        <f t="shared" si="97"/>
        <v>0.1647231126</v>
      </c>
      <c r="AA277" s="218">
        <f t="shared" si="97"/>
        <v>0.1821479393</v>
      </c>
      <c r="AB277" s="218">
        <f t="shared" si="97"/>
        <v>0.1893764343</v>
      </c>
      <c r="AC277" s="218">
        <f t="shared" si="97"/>
        <v>0.1858581446</v>
      </c>
      <c r="AD277" s="218">
        <f t="shared" si="97"/>
        <v>0.1926760235</v>
      </c>
      <c r="AE277" s="218">
        <f t="shared" si="97"/>
        <v>0.183055842</v>
      </c>
      <c r="AF277" s="218">
        <f t="shared" si="97"/>
        <v>0.1906766477</v>
      </c>
      <c r="AG277" s="218">
        <f t="shared" si="97"/>
        <v>0.1659144468</v>
      </c>
      <c r="AH277" s="218">
        <f t="shared" si="97"/>
        <v>0.1446852068</v>
      </c>
      <c r="AI277" s="218">
        <f t="shared" si="97"/>
        <v>0.1876691044</v>
      </c>
      <c r="AJ277" s="218">
        <f t="shared" si="97"/>
        <v>0.1432722108</v>
      </c>
      <c r="AK277" s="218">
        <f t="shared" si="97"/>
        <v>0.1049878423</v>
      </c>
      <c r="AL277" s="218">
        <f t="shared" si="97"/>
        <v>0.1526061342</v>
      </c>
      <c r="AM277" s="218">
        <f t="shared" si="97"/>
        <v>0.1585179948</v>
      </c>
      <c r="AN277" s="218">
        <f t="shared" si="97"/>
        <v>0.1808529753</v>
      </c>
      <c r="AO277" s="218">
        <f t="shared" si="97"/>
        <v>0.1599117432</v>
      </c>
      <c r="AP277" s="218">
        <f t="shared" si="97"/>
        <v>0.1681264662</v>
      </c>
      <c r="AQ277" s="218">
        <f t="shared" si="97"/>
        <v>0.1726348873</v>
      </c>
      <c r="AR277" s="218">
        <f t="shared" si="97"/>
        <v>0.1109978142</v>
      </c>
      <c r="AS277" s="218">
        <f t="shared" si="97"/>
        <v>0.09164116918</v>
      </c>
      <c r="AT277" s="163"/>
    </row>
    <row r="278">
      <c r="A278" s="80"/>
      <c r="B278" s="81"/>
      <c r="C278" s="112"/>
      <c r="D278" s="112"/>
      <c r="E278" s="140" t="s">
        <v>946</v>
      </c>
      <c r="F278" s="215" t="s">
        <v>122</v>
      </c>
      <c r="G278" s="216" t="s">
        <v>149</v>
      </c>
      <c r="H278" s="187" t="s">
        <v>150</v>
      </c>
      <c r="I278" s="218">
        <f t="shared" ref="I278:AS278" si="98">I188*(1+$H$276)</f>
        <v>0.06680466284</v>
      </c>
      <c r="J278" s="218">
        <f t="shared" si="98"/>
        <v>0.08523682939</v>
      </c>
      <c r="K278" s="218">
        <f t="shared" si="98"/>
        <v>0.06998285566</v>
      </c>
      <c r="L278" s="218">
        <f t="shared" si="98"/>
        <v>0.1043193107</v>
      </c>
      <c r="M278" s="218">
        <f t="shared" si="98"/>
        <v>0.07227977776</v>
      </c>
      <c r="N278" s="218">
        <f t="shared" si="98"/>
        <v>0.06956395157</v>
      </c>
      <c r="O278" s="218">
        <f t="shared" si="98"/>
        <v>0.07596222371</v>
      </c>
      <c r="P278" s="218">
        <f t="shared" si="98"/>
        <v>0.02783488007</v>
      </c>
      <c r="Q278" s="218">
        <f t="shared" si="98"/>
        <v>0.04898388174</v>
      </c>
      <c r="R278" s="218">
        <f t="shared" si="98"/>
        <v>0.1577417545</v>
      </c>
      <c r="S278" s="218">
        <f t="shared" si="98"/>
        <v>0.1197597627</v>
      </c>
      <c r="T278" s="218">
        <f t="shared" si="98"/>
        <v>0.1583322412</v>
      </c>
      <c r="U278" s="218">
        <f t="shared" si="98"/>
        <v>0.1624346578</v>
      </c>
      <c r="V278" s="218">
        <f t="shared" si="98"/>
        <v>0.1295302737</v>
      </c>
      <c r="W278" s="218">
        <f t="shared" si="98"/>
        <v>0.138168647</v>
      </c>
      <c r="X278" s="218">
        <f t="shared" si="98"/>
        <v>0.113856121</v>
      </c>
      <c r="Y278" s="218">
        <f t="shared" si="98"/>
        <v>0.1693708945</v>
      </c>
      <c r="Z278" s="218">
        <f t="shared" si="98"/>
        <v>0.1443933074</v>
      </c>
      <c r="AA278" s="218">
        <f t="shared" si="98"/>
        <v>0.1690637664</v>
      </c>
      <c r="AB278" s="218">
        <f t="shared" si="98"/>
        <v>0.1766402279</v>
      </c>
      <c r="AC278" s="218">
        <f t="shared" si="98"/>
        <v>0.1755633757</v>
      </c>
      <c r="AD278" s="218">
        <f t="shared" si="98"/>
        <v>0.1774038418</v>
      </c>
      <c r="AE278" s="218">
        <f t="shared" si="98"/>
        <v>0.164722614</v>
      </c>
      <c r="AF278" s="218">
        <f t="shared" si="98"/>
        <v>0.1702298077</v>
      </c>
      <c r="AG278" s="218">
        <f t="shared" si="98"/>
        <v>0.1297441675</v>
      </c>
      <c r="AH278" s="218">
        <f t="shared" si="98"/>
        <v>0.1276263189</v>
      </c>
      <c r="AI278" s="218">
        <f t="shared" si="98"/>
        <v>0.1785754954</v>
      </c>
      <c r="AJ278" s="218">
        <f t="shared" si="98"/>
        <v>0.114177861</v>
      </c>
      <c r="AK278" s="218">
        <f t="shared" si="98"/>
        <v>0.0846976125</v>
      </c>
      <c r="AL278" s="218">
        <f t="shared" si="98"/>
        <v>0.1221079075</v>
      </c>
      <c r="AM278" s="218">
        <f t="shared" si="98"/>
        <v>0.1423729101</v>
      </c>
      <c r="AN278" s="218">
        <f t="shared" si="98"/>
        <v>0.1601741806</v>
      </c>
      <c r="AO278" s="218">
        <f t="shared" si="98"/>
        <v>0.13301086</v>
      </c>
      <c r="AP278" s="218">
        <f t="shared" si="98"/>
        <v>0.1380358126</v>
      </c>
      <c r="AQ278" s="218">
        <f t="shared" si="98"/>
        <v>0.1627280423</v>
      </c>
      <c r="AR278" s="218">
        <f t="shared" si="98"/>
        <v>0.09153800532</v>
      </c>
      <c r="AS278" s="218">
        <f t="shared" si="98"/>
        <v>0.08474804506</v>
      </c>
      <c r="AT278" s="163"/>
    </row>
    <row r="279">
      <c r="A279" s="80"/>
      <c r="B279" s="81"/>
      <c r="C279" s="112"/>
      <c r="D279" s="112"/>
      <c r="E279" s="140" t="s">
        <v>625</v>
      </c>
      <c r="F279" s="215" t="s">
        <v>122</v>
      </c>
      <c r="G279" s="216" t="s">
        <v>149</v>
      </c>
      <c r="H279" s="187" t="s">
        <v>150</v>
      </c>
      <c r="I279" s="218">
        <f t="shared" ref="I279:AS279" si="99">I190*(1+$H$276)</f>
        <v>0.06686874965</v>
      </c>
      <c r="J279" s="218">
        <f t="shared" si="99"/>
        <v>0.08454676351</v>
      </c>
      <c r="K279" s="218">
        <f t="shared" si="99"/>
        <v>0.07038470616</v>
      </c>
      <c r="L279" s="218">
        <f t="shared" si="99"/>
        <v>0.1068640451</v>
      </c>
      <c r="M279" s="218">
        <f t="shared" si="99"/>
        <v>0.07294037951</v>
      </c>
      <c r="N279" s="218">
        <f t="shared" si="99"/>
        <v>0.06664064941</v>
      </c>
      <c r="O279" s="218">
        <f t="shared" si="99"/>
        <v>0.07596042275</v>
      </c>
      <c r="P279" s="218">
        <f t="shared" si="99"/>
        <v>0.0225865118</v>
      </c>
      <c r="Q279" s="218">
        <f t="shared" si="99"/>
        <v>0.05121916752</v>
      </c>
      <c r="R279" s="218">
        <f t="shared" si="99"/>
        <v>0.1584847999</v>
      </c>
      <c r="S279" s="218">
        <f t="shared" si="99"/>
        <v>0.1206804919</v>
      </c>
      <c r="T279" s="218">
        <f t="shared" si="99"/>
        <v>0.1567462825</v>
      </c>
      <c r="U279" s="218">
        <f t="shared" si="99"/>
        <v>0.1613799324</v>
      </c>
      <c r="V279" s="218">
        <f t="shared" si="99"/>
        <v>0.130199844</v>
      </c>
      <c r="W279" s="218">
        <f t="shared" si="99"/>
        <v>0.1327192095</v>
      </c>
      <c r="X279" s="218">
        <f t="shared" si="99"/>
        <v>0.1027017446</v>
      </c>
      <c r="Y279" s="218">
        <f t="shared" si="99"/>
        <v>0.1727090037</v>
      </c>
      <c r="Z279" s="218">
        <f t="shared" si="99"/>
        <v>0.1418468376</v>
      </c>
      <c r="AA279" s="218">
        <f t="shared" si="99"/>
        <v>0.1682628008</v>
      </c>
      <c r="AB279" s="218">
        <f t="shared" si="99"/>
        <v>0.1714267032</v>
      </c>
      <c r="AC279" s="218">
        <f t="shared" si="99"/>
        <v>0.1703224898</v>
      </c>
      <c r="AD279" s="218">
        <f t="shared" si="99"/>
        <v>0.1822848167</v>
      </c>
      <c r="AE279" s="218">
        <f t="shared" si="99"/>
        <v>0.1653588997</v>
      </c>
      <c r="AF279" s="218">
        <f t="shared" si="99"/>
        <v>0.173045978</v>
      </c>
      <c r="AG279" s="218">
        <f t="shared" si="99"/>
        <v>0.1311849964</v>
      </c>
      <c r="AH279" s="218">
        <f t="shared" si="99"/>
        <v>0.1216157699</v>
      </c>
      <c r="AI279" s="218">
        <f t="shared" si="99"/>
        <v>0.1769311317</v>
      </c>
      <c r="AJ279" s="218">
        <f t="shared" si="99"/>
        <v>0.1142516895</v>
      </c>
      <c r="AK279" s="218">
        <f t="shared" si="99"/>
        <v>0.08096563239</v>
      </c>
      <c r="AL279" s="218">
        <f t="shared" si="99"/>
        <v>0.1214603453</v>
      </c>
      <c r="AM279" s="218">
        <f t="shared" si="99"/>
        <v>0.1397707267</v>
      </c>
      <c r="AN279" s="218">
        <f t="shared" si="99"/>
        <v>0.1545151226</v>
      </c>
      <c r="AO279" s="218">
        <f t="shared" si="99"/>
        <v>0.1288217089</v>
      </c>
      <c r="AP279" s="218">
        <f t="shared" si="99"/>
        <v>0.130760974</v>
      </c>
      <c r="AQ279" s="218">
        <f t="shared" si="99"/>
        <v>0.1611985511</v>
      </c>
      <c r="AR279" s="218">
        <f t="shared" si="99"/>
        <v>0.09117818383</v>
      </c>
      <c r="AS279" s="218">
        <f t="shared" si="99"/>
        <v>0.08225205728</v>
      </c>
      <c r="AT279" s="163"/>
    </row>
    <row r="280">
      <c r="A280" s="80"/>
      <c r="B280" s="81"/>
      <c r="C280" s="112"/>
      <c r="D280" s="112"/>
      <c r="E280" s="140" t="s">
        <v>628</v>
      </c>
      <c r="F280" s="215" t="s">
        <v>122</v>
      </c>
      <c r="G280" s="216" t="s">
        <v>149</v>
      </c>
      <c r="H280" s="187" t="s">
        <v>150</v>
      </c>
      <c r="I280" s="218">
        <f t="shared" ref="I280:AS280" si="100">I191*(1+$H$276)</f>
        <v>0</v>
      </c>
      <c r="J280" s="218">
        <f t="shared" si="100"/>
        <v>0</v>
      </c>
      <c r="K280" s="218">
        <f t="shared" si="100"/>
        <v>0</v>
      </c>
      <c r="L280" s="218">
        <f t="shared" si="100"/>
        <v>0</v>
      </c>
      <c r="M280" s="218">
        <f t="shared" si="100"/>
        <v>0</v>
      </c>
      <c r="N280" s="218">
        <f t="shared" si="100"/>
        <v>0</v>
      </c>
      <c r="O280" s="218">
        <f t="shared" si="100"/>
        <v>0</v>
      </c>
      <c r="P280" s="218">
        <f t="shared" si="100"/>
        <v>0</v>
      </c>
      <c r="Q280" s="218">
        <f t="shared" si="100"/>
        <v>0</v>
      </c>
      <c r="R280" s="218">
        <f t="shared" si="100"/>
        <v>0</v>
      </c>
      <c r="S280" s="218">
        <f t="shared" si="100"/>
        <v>0</v>
      </c>
      <c r="T280" s="218">
        <f t="shared" si="100"/>
        <v>0</v>
      </c>
      <c r="U280" s="218">
        <f t="shared" si="100"/>
        <v>0</v>
      </c>
      <c r="V280" s="218">
        <f t="shared" si="100"/>
        <v>0</v>
      </c>
      <c r="W280" s="218">
        <f t="shared" si="100"/>
        <v>0</v>
      </c>
      <c r="X280" s="218">
        <f t="shared" si="100"/>
        <v>0</v>
      </c>
      <c r="Y280" s="218">
        <f t="shared" si="100"/>
        <v>0</v>
      </c>
      <c r="Z280" s="218">
        <f t="shared" si="100"/>
        <v>0</v>
      </c>
      <c r="AA280" s="218">
        <f t="shared" si="100"/>
        <v>0</v>
      </c>
      <c r="AB280" s="218">
        <f t="shared" si="100"/>
        <v>0</v>
      </c>
      <c r="AC280" s="218">
        <f t="shared" si="100"/>
        <v>0</v>
      </c>
      <c r="AD280" s="218">
        <f t="shared" si="100"/>
        <v>0</v>
      </c>
      <c r="AE280" s="218">
        <f t="shared" si="100"/>
        <v>0</v>
      </c>
      <c r="AF280" s="218">
        <f t="shared" si="100"/>
        <v>0</v>
      </c>
      <c r="AG280" s="218">
        <f t="shared" si="100"/>
        <v>0</v>
      </c>
      <c r="AH280" s="218">
        <f t="shared" si="100"/>
        <v>0</v>
      </c>
      <c r="AI280" s="218">
        <f t="shared" si="100"/>
        <v>0</v>
      </c>
      <c r="AJ280" s="218">
        <f t="shared" si="100"/>
        <v>0</v>
      </c>
      <c r="AK280" s="218">
        <f t="shared" si="100"/>
        <v>0</v>
      </c>
      <c r="AL280" s="218">
        <f t="shared" si="100"/>
        <v>0</v>
      </c>
      <c r="AM280" s="218">
        <f t="shared" si="100"/>
        <v>0</v>
      </c>
      <c r="AN280" s="218">
        <f t="shared" si="100"/>
        <v>0</v>
      </c>
      <c r="AO280" s="218">
        <f t="shared" si="100"/>
        <v>0</v>
      </c>
      <c r="AP280" s="218">
        <f t="shared" si="100"/>
        <v>0</v>
      </c>
      <c r="AQ280" s="218">
        <f t="shared" si="100"/>
        <v>0</v>
      </c>
      <c r="AR280" s="218">
        <f t="shared" si="100"/>
        <v>0</v>
      </c>
      <c r="AS280" s="218">
        <f t="shared" si="100"/>
        <v>0</v>
      </c>
      <c r="AT280" s="163"/>
    </row>
    <row r="281">
      <c r="A281" s="80"/>
      <c r="B281" s="81"/>
      <c r="C281" s="112"/>
      <c r="D281" s="112"/>
      <c r="E281" s="237" t="s">
        <v>629</v>
      </c>
      <c r="F281" s="195" t="s">
        <v>122</v>
      </c>
      <c r="G281" s="196" t="s">
        <v>149</v>
      </c>
      <c r="H281" s="197" t="s">
        <v>150</v>
      </c>
      <c r="I281" s="211">
        <f t="shared" ref="I281:AS281" si="101">I192*(1+$H$276)</f>
        <v>0.05309894283</v>
      </c>
      <c r="J281" s="211">
        <f t="shared" si="101"/>
        <v>0.06923365108</v>
      </c>
      <c r="K281" s="211">
        <f t="shared" si="101"/>
        <v>0.06640039085</v>
      </c>
      <c r="L281" s="211">
        <f t="shared" si="101"/>
        <v>0.09998805693</v>
      </c>
      <c r="M281" s="211">
        <f t="shared" si="101"/>
        <v>0.06471661565</v>
      </c>
      <c r="N281" s="211">
        <f t="shared" si="101"/>
        <v>0.06491283831</v>
      </c>
      <c r="O281" s="211">
        <f t="shared" si="101"/>
        <v>0.08884990368</v>
      </c>
      <c r="P281" s="211">
        <f t="shared" si="101"/>
        <v>0.02895084897</v>
      </c>
      <c r="Q281" s="211">
        <f t="shared" si="101"/>
        <v>0.06230285504</v>
      </c>
      <c r="R281" s="211">
        <f t="shared" si="101"/>
        <v>0.1455840914</v>
      </c>
      <c r="S281" s="211">
        <f t="shared" si="101"/>
        <v>0.1103091505</v>
      </c>
      <c r="T281" s="211">
        <f t="shared" si="101"/>
        <v>0.1359625639</v>
      </c>
      <c r="U281" s="211">
        <f t="shared" si="101"/>
        <v>0.1423861131</v>
      </c>
      <c r="V281" s="211">
        <f t="shared" si="101"/>
        <v>0.1182232134</v>
      </c>
      <c r="W281" s="211">
        <f t="shared" si="101"/>
        <v>0.1218305964</v>
      </c>
      <c r="X281" s="211">
        <f t="shared" si="101"/>
        <v>0.09700433754</v>
      </c>
      <c r="Y281" s="211">
        <f t="shared" si="101"/>
        <v>0.1535989576</v>
      </c>
      <c r="Z281" s="211">
        <f t="shared" si="101"/>
        <v>0.1371641276</v>
      </c>
      <c r="AA281" s="211">
        <f t="shared" si="101"/>
        <v>0.1501728568</v>
      </c>
      <c r="AB281" s="211">
        <f t="shared" si="101"/>
        <v>0.1662320663</v>
      </c>
      <c r="AC281" s="211">
        <f t="shared" si="101"/>
        <v>0.174935327</v>
      </c>
      <c r="AD281" s="211">
        <f t="shared" si="101"/>
        <v>0.1611188254</v>
      </c>
      <c r="AE281" s="211">
        <f t="shared" si="101"/>
        <v>0.1661187453</v>
      </c>
      <c r="AF281" s="211">
        <f t="shared" si="101"/>
        <v>0.1501957386</v>
      </c>
      <c r="AG281" s="211">
        <f t="shared" si="101"/>
        <v>0.1375663986</v>
      </c>
      <c r="AH281" s="211">
        <f t="shared" si="101"/>
        <v>0.131360877</v>
      </c>
      <c r="AI281" s="211">
        <f t="shared" si="101"/>
        <v>0.1746455693</v>
      </c>
      <c r="AJ281" s="211">
        <f t="shared" si="101"/>
        <v>0.1065054103</v>
      </c>
      <c r="AK281" s="211">
        <f t="shared" si="101"/>
        <v>0.08595379693</v>
      </c>
      <c r="AL281" s="211">
        <f t="shared" si="101"/>
        <v>0.1149284698</v>
      </c>
      <c r="AM281" s="211">
        <f t="shared" si="101"/>
        <v>0.1384772624</v>
      </c>
      <c r="AN281" s="211">
        <f t="shared" si="101"/>
        <v>0.1476822514</v>
      </c>
      <c r="AO281" s="211">
        <f t="shared" si="101"/>
        <v>0.1144202808</v>
      </c>
      <c r="AP281" s="211">
        <f t="shared" si="101"/>
        <v>0.1358645872</v>
      </c>
      <c r="AQ281" s="211">
        <f t="shared" si="101"/>
        <v>0.1555975257</v>
      </c>
      <c r="AR281" s="211">
        <f t="shared" si="101"/>
        <v>0.09476257185</v>
      </c>
      <c r="AS281" s="211">
        <f t="shared" si="101"/>
        <v>0.08613184879</v>
      </c>
      <c r="AT281" s="248"/>
    </row>
    <row r="282">
      <c r="A282" s="80"/>
      <c r="B282" s="81"/>
      <c r="C282" s="112"/>
      <c r="D282" s="112"/>
      <c r="E282" s="243"/>
      <c r="F282" s="83"/>
      <c r="G282" s="91"/>
      <c r="H282" s="85"/>
      <c r="I282" s="86"/>
      <c r="J282" s="86"/>
      <c r="K282" s="86"/>
      <c r="L282" s="86"/>
      <c r="M282" s="86"/>
      <c r="N282" s="86"/>
      <c r="O282" s="86"/>
      <c r="P282" s="86"/>
      <c r="Q282" s="86"/>
      <c r="R282" s="86"/>
      <c r="S282" s="86"/>
      <c r="T282" s="111"/>
      <c r="U282" s="86"/>
      <c r="V282" s="86"/>
      <c r="W282" s="86"/>
      <c r="X282" s="86"/>
      <c r="Y282" s="86"/>
      <c r="Z282" s="86"/>
      <c r="AA282" s="86"/>
      <c r="AB282" s="86"/>
      <c r="AC282" s="86"/>
      <c r="AD282" s="86"/>
      <c r="AE282" s="86"/>
      <c r="AF282" s="86"/>
      <c r="AG282" s="86"/>
      <c r="AH282" s="86"/>
      <c r="AI282" s="86"/>
      <c r="AJ282" s="86"/>
      <c r="AK282" s="86"/>
      <c r="AL282" s="86"/>
      <c r="AM282" s="86"/>
      <c r="AN282" s="86"/>
      <c r="AO282" s="86"/>
      <c r="AP282" s="86"/>
      <c r="AQ282" s="86"/>
      <c r="AR282" s="86"/>
      <c r="AS282" s="86"/>
      <c r="AT282" s="88"/>
    </row>
    <row r="283">
      <c r="A283" s="80"/>
      <c r="B283" s="81"/>
      <c r="C283" s="90" t="s">
        <v>488</v>
      </c>
      <c r="F283" s="83"/>
      <c r="G283" s="91"/>
      <c r="H283" s="85"/>
      <c r="I283" s="86"/>
      <c r="J283" s="86"/>
      <c r="K283" s="86"/>
      <c r="L283" s="86"/>
      <c r="M283" s="86"/>
      <c r="N283" s="86"/>
      <c r="O283" s="86"/>
      <c r="P283" s="86"/>
      <c r="Q283" s="86"/>
      <c r="R283" s="86"/>
      <c r="S283" s="86"/>
      <c r="T283" s="111"/>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c r="AQ283" s="86"/>
      <c r="AR283" s="86"/>
      <c r="AS283" s="86"/>
      <c r="AT283" s="88"/>
    </row>
    <row r="284">
      <c r="A284" s="80"/>
      <c r="B284" s="81"/>
      <c r="C284" s="112"/>
      <c r="D284" s="112"/>
      <c r="E284" s="113" t="s">
        <v>951</v>
      </c>
      <c r="F284" s="189" t="str">
        <f>Inputs!F186</f>
        <v>%</v>
      </c>
      <c r="G284" s="256" t="str">
        <f>Inputs!G186</f>
        <v>input</v>
      </c>
      <c r="H284" s="156">
        <f>Inputs!H186</f>
        <v>-0.4</v>
      </c>
      <c r="I284" s="418" t="str">
        <f>Inputs!I186</f>
        <v>-</v>
      </c>
      <c r="J284" s="418" t="str">
        <f>Inputs!J186</f>
        <v>-</v>
      </c>
      <c r="K284" s="418" t="str">
        <f>Inputs!K186</f>
        <v>-</v>
      </c>
      <c r="L284" s="418" t="str">
        <f>Inputs!L186</f>
        <v>-</v>
      </c>
      <c r="M284" s="418" t="str">
        <f>Inputs!M186</f>
        <v>-</v>
      </c>
      <c r="N284" s="418" t="str">
        <f>Inputs!N186</f>
        <v>-</v>
      </c>
      <c r="O284" s="418" t="str">
        <f>Inputs!O186</f>
        <v>-</v>
      </c>
      <c r="P284" s="418" t="str">
        <f>Inputs!P186</f>
        <v>-</v>
      </c>
      <c r="Q284" s="418" t="str">
        <f>Inputs!Q186</f>
        <v>-</v>
      </c>
      <c r="R284" s="418" t="str">
        <f>Inputs!R186</f>
        <v>-</v>
      </c>
      <c r="S284" s="418" t="str">
        <f>Inputs!S186</f>
        <v>-</v>
      </c>
      <c r="T284" s="119" t="str">
        <f>Inputs!T186</f>
        <v>-</v>
      </c>
      <c r="U284" s="418" t="str">
        <f>Inputs!U186</f>
        <v>-</v>
      </c>
      <c r="V284" s="418" t="str">
        <f>Inputs!V186</f>
        <v>-</v>
      </c>
      <c r="W284" s="418" t="str">
        <f>Inputs!W186</f>
        <v>-</v>
      </c>
      <c r="X284" s="418" t="str">
        <f>Inputs!X186</f>
        <v>-</v>
      </c>
      <c r="Y284" s="418" t="str">
        <f>Inputs!Y186</f>
        <v>-</v>
      </c>
      <c r="Z284" s="418" t="str">
        <f>Inputs!Z186</f>
        <v>-</v>
      </c>
      <c r="AA284" s="418" t="str">
        <f>Inputs!AA186</f>
        <v>-</v>
      </c>
      <c r="AB284" s="418" t="str">
        <f>Inputs!AB186</f>
        <v>-</v>
      </c>
      <c r="AC284" s="418" t="str">
        <f>Inputs!AC186</f>
        <v>-</v>
      </c>
      <c r="AD284" s="418" t="str">
        <f>Inputs!AD186</f>
        <v>-</v>
      </c>
      <c r="AE284" s="418" t="str">
        <f>Inputs!AE186</f>
        <v>-</v>
      </c>
      <c r="AF284" s="418" t="str">
        <f>Inputs!AF186</f>
        <v>-</v>
      </c>
      <c r="AG284" s="418" t="str">
        <f>Inputs!AG186</f>
        <v>-</v>
      </c>
      <c r="AH284" s="418" t="str">
        <f>Inputs!AH186</f>
        <v>-</v>
      </c>
      <c r="AI284" s="418" t="str">
        <f>Inputs!AI186</f>
        <v>-</v>
      </c>
      <c r="AJ284" s="418" t="str">
        <f>Inputs!AJ186</f>
        <v>-</v>
      </c>
      <c r="AK284" s="418" t="str">
        <f>Inputs!AK186</f>
        <v>-</v>
      </c>
      <c r="AL284" s="418" t="str">
        <f>Inputs!AL186</f>
        <v>-</v>
      </c>
      <c r="AM284" s="418" t="str">
        <f>Inputs!AM186</f>
        <v>-</v>
      </c>
      <c r="AN284" s="418" t="str">
        <f>Inputs!AN186</f>
        <v>-</v>
      </c>
      <c r="AO284" s="418" t="str">
        <f>Inputs!AO186</f>
        <v>-</v>
      </c>
      <c r="AP284" s="418" t="str">
        <f>Inputs!AP186</f>
        <v>-</v>
      </c>
      <c r="AQ284" s="418" t="str">
        <f>Inputs!AQ186</f>
        <v>-</v>
      </c>
      <c r="AR284" s="418" t="str">
        <f>Inputs!AR186</f>
        <v>-</v>
      </c>
      <c r="AS284" s="418" t="str">
        <f>Inputs!AS186</f>
        <v>-</v>
      </c>
      <c r="AT284" s="136"/>
    </row>
    <row r="285">
      <c r="A285" s="80"/>
      <c r="B285" s="81"/>
      <c r="C285" s="112"/>
      <c r="D285" s="112"/>
      <c r="E285" s="140" t="s">
        <v>489</v>
      </c>
      <c r="F285" s="215" t="s">
        <v>122</v>
      </c>
      <c r="G285" s="216" t="s">
        <v>149</v>
      </c>
      <c r="H285" s="176">
        <f t="shared" ref="H285:H290" si="102">H195*(1+H$284)</f>
        <v>0.43360428</v>
      </c>
      <c r="I285" s="232" t="s">
        <v>150</v>
      </c>
      <c r="J285" s="232" t="s">
        <v>150</v>
      </c>
      <c r="K285" s="232" t="s">
        <v>150</v>
      </c>
      <c r="L285" s="232" t="s">
        <v>150</v>
      </c>
      <c r="M285" s="232" t="s">
        <v>150</v>
      </c>
      <c r="N285" s="232" t="s">
        <v>150</v>
      </c>
      <c r="O285" s="232" t="s">
        <v>150</v>
      </c>
      <c r="P285" s="232" t="s">
        <v>150</v>
      </c>
      <c r="Q285" s="232" t="s">
        <v>150</v>
      </c>
      <c r="R285" s="232" t="s">
        <v>150</v>
      </c>
      <c r="S285" s="232" t="s">
        <v>150</v>
      </c>
      <c r="T285" s="232" t="s">
        <v>150</v>
      </c>
      <c r="U285" s="232" t="s">
        <v>150</v>
      </c>
      <c r="V285" s="232" t="s">
        <v>150</v>
      </c>
      <c r="W285" s="232" t="s">
        <v>150</v>
      </c>
      <c r="X285" s="232" t="s">
        <v>150</v>
      </c>
      <c r="Y285" s="232" t="s">
        <v>150</v>
      </c>
      <c r="Z285" s="232" t="s">
        <v>150</v>
      </c>
      <c r="AA285" s="232" t="s">
        <v>150</v>
      </c>
      <c r="AB285" s="232" t="s">
        <v>150</v>
      </c>
      <c r="AC285" s="232" t="s">
        <v>150</v>
      </c>
      <c r="AD285" s="232" t="s">
        <v>150</v>
      </c>
      <c r="AE285" s="232" t="s">
        <v>150</v>
      </c>
      <c r="AF285" s="232" t="s">
        <v>150</v>
      </c>
      <c r="AG285" s="232" t="s">
        <v>150</v>
      </c>
      <c r="AH285" s="232" t="s">
        <v>150</v>
      </c>
      <c r="AI285" s="232" t="s">
        <v>150</v>
      </c>
      <c r="AJ285" s="232" t="s">
        <v>150</v>
      </c>
      <c r="AK285" s="232" t="s">
        <v>150</v>
      </c>
      <c r="AL285" s="232" t="s">
        <v>150</v>
      </c>
      <c r="AM285" s="232" t="s">
        <v>150</v>
      </c>
      <c r="AN285" s="232" t="s">
        <v>150</v>
      </c>
      <c r="AO285" s="232" t="s">
        <v>150</v>
      </c>
      <c r="AP285" s="232" t="s">
        <v>150</v>
      </c>
      <c r="AQ285" s="232" t="s">
        <v>150</v>
      </c>
      <c r="AR285" s="232" t="s">
        <v>150</v>
      </c>
      <c r="AS285" s="232" t="s">
        <v>150</v>
      </c>
      <c r="AT285" s="163"/>
    </row>
    <row r="286">
      <c r="A286" s="80"/>
      <c r="B286" s="81"/>
      <c r="C286" s="112"/>
      <c r="D286" s="112"/>
      <c r="E286" s="140" t="s">
        <v>499</v>
      </c>
      <c r="F286" s="215" t="s">
        <v>122</v>
      </c>
      <c r="G286" s="216" t="s">
        <v>149</v>
      </c>
      <c r="H286" s="176">
        <f t="shared" si="102"/>
        <v>0.4285030532</v>
      </c>
      <c r="I286" s="232" t="s">
        <v>150</v>
      </c>
      <c r="J286" s="232" t="s">
        <v>150</v>
      </c>
      <c r="K286" s="232" t="s">
        <v>150</v>
      </c>
      <c r="L286" s="232" t="s">
        <v>150</v>
      </c>
      <c r="M286" s="232" t="s">
        <v>150</v>
      </c>
      <c r="N286" s="232" t="s">
        <v>150</v>
      </c>
      <c r="O286" s="232" t="s">
        <v>150</v>
      </c>
      <c r="P286" s="232" t="s">
        <v>150</v>
      </c>
      <c r="Q286" s="232" t="s">
        <v>150</v>
      </c>
      <c r="R286" s="232" t="s">
        <v>150</v>
      </c>
      <c r="S286" s="232" t="s">
        <v>150</v>
      </c>
      <c r="T286" s="232" t="s">
        <v>150</v>
      </c>
      <c r="U286" s="232" t="s">
        <v>150</v>
      </c>
      <c r="V286" s="232" t="s">
        <v>150</v>
      </c>
      <c r="W286" s="232" t="s">
        <v>150</v>
      </c>
      <c r="X286" s="232" t="s">
        <v>150</v>
      </c>
      <c r="Y286" s="232" t="s">
        <v>150</v>
      </c>
      <c r="Z286" s="232" t="s">
        <v>150</v>
      </c>
      <c r="AA286" s="232" t="s">
        <v>150</v>
      </c>
      <c r="AB286" s="232" t="s">
        <v>150</v>
      </c>
      <c r="AC286" s="232" t="s">
        <v>150</v>
      </c>
      <c r="AD286" s="232" t="s">
        <v>150</v>
      </c>
      <c r="AE286" s="232" t="s">
        <v>150</v>
      </c>
      <c r="AF286" s="232" t="s">
        <v>150</v>
      </c>
      <c r="AG286" s="232" t="s">
        <v>150</v>
      </c>
      <c r="AH286" s="232" t="s">
        <v>150</v>
      </c>
      <c r="AI286" s="232" t="s">
        <v>150</v>
      </c>
      <c r="AJ286" s="232" t="s">
        <v>150</v>
      </c>
      <c r="AK286" s="232" t="s">
        <v>150</v>
      </c>
      <c r="AL286" s="232" t="s">
        <v>150</v>
      </c>
      <c r="AM286" s="232" t="s">
        <v>150</v>
      </c>
      <c r="AN286" s="232" t="s">
        <v>150</v>
      </c>
      <c r="AO286" s="232" t="s">
        <v>150</v>
      </c>
      <c r="AP286" s="232" t="s">
        <v>150</v>
      </c>
      <c r="AQ286" s="232" t="s">
        <v>150</v>
      </c>
      <c r="AR286" s="232" t="s">
        <v>150</v>
      </c>
      <c r="AS286" s="232" t="s">
        <v>150</v>
      </c>
      <c r="AT286" s="163"/>
    </row>
    <row r="287">
      <c r="A287" s="80"/>
      <c r="B287" s="81"/>
      <c r="C287" s="112"/>
      <c r="D287" s="112"/>
      <c r="E287" s="140" t="s">
        <v>508</v>
      </c>
      <c r="F287" s="215" t="s">
        <v>122</v>
      </c>
      <c r="G287" s="216" t="s">
        <v>149</v>
      </c>
      <c r="H287" s="176">
        <f t="shared" si="102"/>
        <v>0.4183005995</v>
      </c>
      <c r="I287" s="232" t="s">
        <v>150</v>
      </c>
      <c r="J287" s="232" t="s">
        <v>150</v>
      </c>
      <c r="K287" s="232" t="s">
        <v>150</v>
      </c>
      <c r="L287" s="232" t="s">
        <v>150</v>
      </c>
      <c r="M287" s="232" t="s">
        <v>150</v>
      </c>
      <c r="N287" s="232" t="s">
        <v>150</v>
      </c>
      <c r="O287" s="232" t="s">
        <v>150</v>
      </c>
      <c r="P287" s="232" t="s">
        <v>150</v>
      </c>
      <c r="Q287" s="232" t="s">
        <v>150</v>
      </c>
      <c r="R287" s="232" t="s">
        <v>150</v>
      </c>
      <c r="S287" s="232" t="s">
        <v>150</v>
      </c>
      <c r="T287" s="232" t="s">
        <v>150</v>
      </c>
      <c r="U287" s="232" t="s">
        <v>150</v>
      </c>
      <c r="V287" s="232" t="s">
        <v>150</v>
      </c>
      <c r="W287" s="232" t="s">
        <v>150</v>
      </c>
      <c r="X287" s="232" t="s">
        <v>150</v>
      </c>
      <c r="Y287" s="232" t="s">
        <v>150</v>
      </c>
      <c r="Z287" s="232" t="s">
        <v>150</v>
      </c>
      <c r="AA287" s="232" t="s">
        <v>150</v>
      </c>
      <c r="AB287" s="232" t="s">
        <v>150</v>
      </c>
      <c r="AC287" s="232" t="s">
        <v>150</v>
      </c>
      <c r="AD287" s="232" t="s">
        <v>150</v>
      </c>
      <c r="AE287" s="232" t="s">
        <v>150</v>
      </c>
      <c r="AF287" s="232" t="s">
        <v>150</v>
      </c>
      <c r="AG287" s="232" t="s">
        <v>150</v>
      </c>
      <c r="AH287" s="232" t="s">
        <v>150</v>
      </c>
      <c r="AI287" s="232" t="s">
        <v>150</v>
      </c>
      <c r="AJ287" s="232" t="s">
        <v>150</v>
      </c>
      <c r="AK287" s="232" t="s">
        <v>150</v>
      </c>
      <c r="AL287" s="232" t="s">
        <v>150</v>
      </c>
      <c r="AM287" s="232" t="s">
        <v>150</v>
      </c>
      <c r="AN287" s="232" t="s">
        <v>150</v>
      </c>
      <c r="AO287" s="232" t="s">
        <v>150</v>
      </c>
      <c r="AP287" s="232" t="s">
        <v>150</v>
      </c>
      <c r="AQ287" s="232" t="s">
        <v>150</v>
      </c>
      <c r="AR287" s="232" t="s">
        <v>150</v>
      </c>
      <c r="AS287" s="232" t="s">
        <v>150</v>
      </c>
      <c r="AT287" s="163"/>
    </row>
    <row r="288">
      <c r="A288" s="80"/>
      <c r="B288" s="81"/>
      <c r="C288" s="112"/>
      <c r="D288" s="112"/>
      <c r="E288" s="140" t="s">
        <v>516</v>
      </c>
      <c r="F288" s="215" t="s">
        <v>122</v>
      </c>
      <c r="G288" s="216" t="s">
        <v>149</v>
      </c>
      <c r="H288" s="176">
        <f t="shared" si="102"/>
        <v>0.2958711558</v>
      </c>
      <c r="I288" s="232" t="s">
        <v>150</v>
      </c>
      <c r="J288" s="232" t="s">
        <v>150</v>
      </c>
      <c r="K288" s="232" t="s">
        <v>150</v>
      </c>
      <c r="L288" s="232" t="s">
        <v>150</v>
      </c>
      <c r="M288" s="232" t="s">
        <v>150</v>
      </c>
      <c r="N288" s="232" t="s">
        <v>150</v>
      </c>
      <c r="O288" s="232" t="s">
        <v>150</v>
      </c>
      <c r="P288" s="232" t="s">
        <v>150</v>
      </c>
      <c r="Q288" s="232" t="s">
        <v>150</v>
      </c>
      <c r="R288" s="232" t="s">
        <v>150</v>
      </c>
      <c r="S288" s="232" t="s">
        <v>150</v>
      </c>
      <c r="T288" s="232" t="s">
        <v>150</v>
      </c>
      <c r="U288" s="232" t="s">
        <v>150</v>
      </c>
      <c r="V288" s="232" t="s">
        <v>150</v>
      </c>
      <c r="W288" s="232" t="s">
        <v>150</v>
      </c>
      <c r="X288" s="232" t="s">
        <v>150</v>
      </c>
      <c r="Y288" s="232" t="s">
        <v>150</v>
      </c>
      <c r="Z288" s="232" t="s">
        <v>150</v>
      </c>
      <c r="AA288" s="232" t="s">
        <v>150</v>
      </c>
      <c r="AB288" s="232" t="s">
        <v>150</v>
      </c>
      <c r="AC288" s="232" t="s">
        <v>150</v>
      </c>
      <c r="AD288" s="232" t="s">
        <v>150</v>
      </c>
      <c r="AE288" s="232" t="s">
        <v>150</v>
      </c>
      <c r="AF288" s="232" t="s">
        <v>150</v>
      </c>
      <c r="AG288" s="232" t="s">
        <v>150</v>
      </c>
      <c r="AH288" s="232" t="s">
        <v>150</v>
      </c>
      <c r="AI288" s="232" t="s">
        <v>150</v>
      </c>
      <c r="AJ288" s="232" t="s">
        <v>150</v>
      </c>
      <c r="AK288" s="232" t="s">
        <v>150</v>
      </c>
      <c r="AL288" s="232" t="s">
        <v>150</v>
      </c>
      <c r="AM288" s="232" t="s">
        <v>150</v>
      </c>
      <c r="AN288" s="232" t="s">
        <v>150</v>
      </c>
      <c r="AO288" s="232" t="s">
        <v>150</v>
      </c>
      <c r="AP288" s="232" t="s">
        <v>150</v>
      </c>
      <c r="AQ288" s="232" t="s">
        <v>150</v>
      </c>
      <c r="AR288" s="232" t="s">
        <v>150</v>
      </c>
      <c r="AS288" s="232" t="s">
        <v>150</v>
      </c>
      <c r="AT288" s="163"/>
    </row>
    <row r="289">
      <c r="A289" s="80"/>
      <c r="B289" s="81"/>
      <c r="C289" s="112"/>
      <c r="D289" s="112"/>
      <c r="E289" s="140" t="s">
        <v>524</v>
      </c>
      <c r="F289" s="215" t="s">
        <v>122</v>
      </c>
      <c r="G289" s="216" t="s">
        <v>149</v>
      </c>
      <c r="H289" s="176">
        <f t="shared" si="102"/>
        <v>0.2346564339</v>
      </c>
      <c r="I289" s="232" t="s">
        <v>150</v>
      </c>
      <c r="J289" s="232" t="s">
        <v>150</v>
      </c>
      <c r="K289" s="232" t="s">
        <v>150</v>
      </c>
      <c r="L289" s="232" t="s">
        <v>150</v>
      </c>
      <c r="M289" s="232" t="s">
        <v>150</v>
      </c>
      <c r="N289" s="232" t="s">
        <v>150</v>
      </c>
      <c r="O289" s="232" t="s">
        <v>150</v>
      </c>
      <c r="P289" s="232" t="s">
        <v>150</v>
      </c>
      <c r="Q289" s="232" t="s">
        <v>150</v>
      </c>
      <c r="R289" s="232" t="s">
        <v>150</v>
      </c>
      <c r="S289" s="232" t="s">
        <v>150</v>
      </c>
      <c r="T289" s="232" t="s">
        <v>150</v>
      </c>
      <c r="U289" s="232" t="s">
        <v>150</v>
      </c>
      <c r="V289" s="232" t="s">
        <v>150</v>
      </c>
      <c r="W289" s="232" t="s">
        <v>150</v>
      </c>
      <c r="X289" s="232" t="s">
        <v>150</v>
      </c>
      <c r="Y289" s="232" t="s">
        <v>150</v>
      </c>
      <c r="Z289" s="232" t="s">
        <v>150</v>
      </c>
      <c r="AA289" s="232" t="s">
        <v>150</v>
      </c>
      <c r="AB289" s="232" t="s">
        <v>150</v>
      </c>
      <c r="AC289" s="232" t="s">
        <v>150</v>
      </c>
      <c r="AD289" s="232" t="s">
        <v>150</v>
      </c>
      <c r="AE289" s="232" t="s">
        <v>150</v>
      </c>
      <c r="AF289" s="232" t="s">
        <v>150</v>
      </c>
      <c r="AG289" s="232" t="s">
        <v>150</v>
      </c>
      <c r="AH289" s="232" t="s">
        <v>150</v>
      </c>
      <c r="AI289" s="232" t="s">
        <v>150</v>
      </c>
      <c r="AJ289" s="232" t="s">
        <v>150</v>
      </c>
      <c r="AK289" s="232" t="s">
        <v>150</v>
      </c>
      <c r="AL289" s="232" t="s">
        <v>150</v>
      </c>
      <c r="AM289" s="232" t="s">
        <v>150</v>
      </c>
      <c r="AN289" s="232" t="s">
        <v>150</v>
      </c>
      <c r="AO289" s="232" t="s">
        <v>150</v>
      </c>
      <c r="AP289" s="232" t="s">
        <v>150</v>
      </c>
      <c r="AQ289" s="232" t="s">
        <v>150</v>
      </c>
      <c r="AR289" s="232" t="s">
        <v>150</v>
      </c>
      <c r="AS289" s="232" t="s">
        <v>150</v>
      </c>
      <c r="AT289" s="163"/>
    </row>
    <row r="290">
      <c r="A290" s="80"/>
      <c r="B290" s="81"/>
      <c r="C290" s="112"/>
      <c r="D290" s="112"/>
      <c r="E290" s="237" t="s">
        <v>551</v>
      </c>
      <c r="F290" s="195" t="s">
        <v>122</v>
      </c>
      <c r="G290" s="196" t="s">
        <v>149</v>
      </c>
      <c r="H290" s="234">
        <f t="shared" si="102"/>
        <v>0.3991916716</v>
      </c>
      <c r="I290" s="292" t="s">
        <v>150</v>
      </c>
      <c r="J290" s="292" t="s">
        <v>150</v>
      </c>
      <c r="K290" s="292" t="s">
        <v>150</v>
      </c>
      <c r="L290" s="292" t="s">
        <v>150</v>
      </c>
      <c r="M290" s="292" t="s">
        <v>150</v>
      </c>
      <c r="N290" s="292" t="s">
        <v>150</v>
      </c>
      <c r="O290" s="292" t="s">
        <v>150</v>
      </c>
      <c r="P290" s="292" t="s">
        <v>150</v>
      </c>
      <c r="Q290" s="292" t="s">
        <v>150</v>
      </c>
      <c r="R290" s="292" t="s">
        <v>150</v>
      </c>
      <c r="S290" s="292" t="s">
        <v>150</v>
      </c>
      <c r="T290" s="292" t="s">
        <v>150</v>
      </c>
      <c r="U290" s="292" t="s">
        <v>150</v>
      </c>
      <c r="V290" s="292" t="s">
        <v>150</v>
      </c>
      <c r="W290" s="292" t="s">
        <v>150</v>
      </c>
      <c r="X290" s="292" t="s">
        <v>150</v>
      </c>
      <c r="Y290" s="292" t="s">
        <v>150</v>
      </c>
      <c r="Z290" s="292" t="s">
        <v>150</v>
      </c>
      <c r="AA290" s="292" t="s">
        <v>150</v>
      </c>
      <c r="AB290" s="292" t="s">
        <v>150</v>
      </c>
      <c r="AC290" s="292" t="s">
        <v>150</v>
      </c>
      <c r="AD290" s="292" t="s">
        <v>150</v>
      </c>
      <c r="AE290" s="292" t="s">
        <v>150</v>
      </c>
      <c r="AF290" s="292" t="s">
        <v>150</v>
      </c>
      <c r="AG290" s="292" t="s">
        <v>150</v>
      </c>
      <c r="AH290" s="292" t="s">
        <v>150</v>
      </c>
      <c r="AI290" s="292" t="s">
        <v>150</v>
      </c>
      <c r="AJ290" s="292" t="s">
        <v>150</v>
      </c>
      <c r="AK290" s="292" t="s">
        <v>150</v>
      </c>
      <c r="AL290" s="292" t="s">
        <v>150</v>
      </c>
      <c r="AM290" s="292" t="s">
        <v>150</v>
      </c>
      <c r="AN290" s="292" t="s">
        <v>150</v>
      </c>
      <c r="AO290" s="292" t="s">
        <v>150</v>
      </c>
      <c r="AP290" s="292" t="s">
        <v>150</v>
      </c>
      <c r="AQ290" s="292" t="s">
        <v>150</v>
      </c>
      <c r="AR290" s="292" t="s">
        <v>150</v>
      </c>
      <c r="AS290" s="292" t="s">
        <v>150</v>
      </c>
      <c r="AT290" s="248"/>
    </row>
    <row r="291">
      <c r="A291" s="80"/>
      <c r="B291" s="81"/>
      <c r="C291" s="112"/>
      <c r="D291" s="112"/>
      <c r="E291" s="243"/>
      <c r="F291" s="83"/>
      <c r="G291" s="91"/>
      <c r="H291" s="85"/>
      <c r="I291" s="86"/>
      <c r="J291" s="86"/>
      <c r="K291" s="86"/>
      <c r="L291" s="86"/>
      <c r="M291" s="86"/>
      <c r="N291" s="86"/>
      <c r="O291" s="86"/>
      <c r="P291" s="86"/>
      <c r="Q291" s="86"/>
      <c r="R291" s="86"/>
      <c r="S291" s="86"/>
      <c r="T291" s="111"/>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c r="AQ291" s="86"/>
      <c r="AR291" s="86"/>
      <c r="AS291" s="86"/>
      <c r="AT291" s="88"/>
    </row>
    <row r="292">
      <c r="A292" s="80"/>
      <c r="B292" s="81"/>
      <c r="C292" s="112" t="s">
        <v>953</v>
      </c>
      <c r="F292" s="83"/>
      <c r="G292" s="91"/>
      <c r="H292" s="85"/>
      <c r="I292" s="86"/>
      <c r="J292" s="86"/>
      <c r="K292" s="86"/>
      <c r="L292" s="86"/>
      <c r="M292" s="86"/>
      <c r="N292" s="86"/>
      <c r="O292" s="86"/>
      <c r="P292" s="86"/>
      <c r="Q292" s="86"/>
      <c r="R292" s="86"/>
      <c r="S292" s="86"/>
      <c r="T292" s="111"/>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c r="AQ292" s="86"/>
      <c r="AR292" s="86"/>
      <c r="AS292" s="86"/>
      <c r="AT292" s="88"/>
    </row>
    <row r="293">
      <c r="A293" s="80"/>
      <c r="B293" s="81"/>
      <c r="C293" s="90"/>
      <c r="D293" s="90"/>
      <c r="E293" s="113" t="s">
        <v>954</v>
      </c>
      <c r="F293" s="189" t="s">
        <v>122</v>
      </c>
      <c r="G293" s="190" t="s">
        <v>149</v>
      </c>
      <c r="H293" s="200" t="s">
        <v>150</v>
      </c>
      <c r="I293" s="264">
        <f t="shared" ref="I293:AS293" si="103">(I10/((I277*(1-$H285))+(1-I277)))</f>
        <v>0.007442207312</v>
      </c>
      <c r="J293" s="264">
        <f t="shared" si="103"/>
        <v>0.004215447543</v>
      </c>
      <c r="K293" s="264">
        <f t="shared" si="103"/>
        <v>0.009035621347</v>
      </c>
      <c r="L293" s="264">
        <f t="shared" si="103"/>
        <v>0.003012966176</v>
      </c>
      <c r="M293" s="264">
        <f t="shared" si="103"/>
        <v>0.003977450598</v>
      </c>
      <c r="N293" s="264">
        <f t="shared" si="103"/>
        <v>0.007131854954</v>
      </c>
      <c r="O293" s="264">
        <f t="shared" si="103"/>
        <v>0.007631091241</v>
      </c>
      <c r="P293" s="264">
        <f t="shared" si="103"/>
        <v>0.01032831205</v>
      </c>
      <c r="Q293" s="264">
        <f t="shared" si="103"/>
        <v>0.00909876306</v>
      </c>
      <c r="R293" s="264">
        <f t="shared" si="103"/>
        <v>0.001855622535</v>
      </c>
      <c r="S293" s="264">
        <f t="shared" si="103"/>
        <v>0.003483059895</v>
      </c>
      <c r="T293" s="264">
        <f t="shared" si="103"/>
        <v>0.002100909283</v>
      </c>
      <c r="U293" s="264">
        <f t="shared" si="103"/>
        <v>0.002045209131</v>
      </c>
      <c r="V293" s="264">
        <f t="shared" si="103"/>
        <v>0.002346972031</v>
      </c>
      <c r="W293" s="264">
        <f t="shared" si="103"/>
        <v>0.003475789608</v>
      </c>
      <c r="X293" s="264">
        <f t="shared" si="103"/>
        <v>0.003122349207</v>
      </c>
      <c r="Y293" s="264">
        <f t="shared" si="103"/>
        <v>0.002337650218</v>
      </c>
      <c r="Z293" s="264">
        <f t="shared" si="103"/>
        <v>0.002313230684</v>
      </c>
      <c r="AA293" s="264">
        <f t="shared" si="103"/>
        <v>0.003015345356</v>
      </c>
      <c r="AB293" s="264">
        <f t="shared" si="103"/>
        <v>0.002198386238</v>
      </c>
      <c r="AC293" s="264">
        <f t="shared" si="103"/>
        <v>0.001980440495</v>
      </c>
      <c r="AD293" s="264">
        <f t="shared" si="103"/>
        <v>0.002089977479</v>
      </c>
      <c r="AE293" s="264">
        <f t="shared" si="103"/>
        <v>0.001904840416</v>
      </c>
      <c r="AF293" s="264">
        <f t="shared" si="103"/>
        <v>0.001829467063</v>
      </c>
      <c r="AG293" s="264">
        <f t="shared" si="103"/>
        <v>0.002158339569</v>
      </c>
      <c r="AH293" s="264">
        <f t="shared" si="103"/>
        <v>0.002564013256</v>
      </c>
      <c r="AI293" s="264">
        <f t="shared" si="103"/>
        <v>0.001320943635</v>
      </c>
      <c r="AJ293" s="264">
        <f t="shared" si="103"/>
        <v>0.00331162452</v>
      </c>
      <c r="AK293" s="264">
        <f t="shared" si="103"/>
        <v>0.004138808725</v>
      </c>
      <c r="AL293" s="264">
        <f t="shared" si="103"/>
        <v>0.002522591583</v>
      </c>
      <c r="AM293" s="264">
        <f t="shared" si="103"/>
        <v>0.002244091572</v>
      </c>
      <c r="AN293" s="264">
        <f t="shared" si="103"/>
        <v>0.001409569501</v>
      </c>
      <c r="AO293" s="264">
        <f t="shared" si="103"/>
        <v>0.001554562932</v>
      </c>
      <c r="AP293" s="264">
        <f t="shared" si="103"/>
        <v>0.003351247105</v>
      </c>
      <c r="AQ293" s="264">
        <f t="shared" si="103"/>
        <v>0.002006358412</v>
      </c>
      <c r="AR293" s="264">
        <f t="shared" si="103"/>
        <v>0.004489552231</v>
      </c>
      <c r="AS293" s="264">
        <f t="shared" si="103"/>
        <v>0.006985697706</v>
      </c>
      <c r="AT293" s="136"/>
    </row>
    <row r="294">
      <c r="A294" s="80"/>
      <c r="B294" s="81"/>
      <c r="C294" s="90"/>
      <c r="D294" s="90"/>
      <c r="E294" s="113" t="s">
        <v>955</v>
      </c>
      <c r="F294" s="189" t="s">
        <v>122</v>
      </c>
      <c r="G294" s="190" t="s">
        <v>149</v>
      </c>
      <c r="H294" s="200" t="s">
        <v>150</v>
      </c>
      <c r="I294" s="264">
        <f t="shared" ref="I294:AS294" si="104">(SUM(I22,I38,I54)/((I278*(1-$H286))+(1-I278)))</f>
        <v>0.0001592589469</v>
      </c>
      <c r="J294" s="264">
        <f t="shared" si="104"/>
        <v>0.000136069848</v>
      </c>
      <c r="K294" s="264">
        <f t="shared" si="104"/>
        <v>0.000207420086</v>
      </c>
      <c r="L294" s="264">
        <f t="shared" si="104"/>
        <v>0.0001055167179</v>
      </c>
      <c r="M294" s="264">
        <f t="shared" si="104"/>
        <v>0.00009906835556</v>
      </c>
      <c r="N294" s="264">
        <f t="shared" si="104"/>
        <v>0.0001569792963</v>
      </c>
      <c r="O294" s="264">
        <f t="shared" si="104"/>
        <v>0.0002350788263</v>
      </c>
      <c r="P294" s="264">
        <f t="shared" si="104"/>
        <v>0.0003489530789</v>
      </c>
      <c r="Q294" s="264">
        <f t="shared" si="104"/>
        <v>0.0002973451993</v>
      </c>
      <c r="R294" s="264">
        <f t="shared" si="104"/>
        <v>0.00004432612815</v>
      </c>
      <c r="S294" s="264">
        <f t="shared" si="104"/>
        <v>0.00009009335911</v>
      </c>
      <c r="T294" s="264">
        <f t="shared" si="104"/>
        <v>0.00004678410748</v>
      </c>
      <c r="U294" s="264">
        <f t="shared" si="104"/>
        <v>0.00004823858635</v>
      </c>
      <c r="V294" s="264">
        <f t="shared" si="104"/>
        <v>0.00007777694046</v>
      </c>
      <c r="W294" s="264">
        <f t="shared" si="104"/>
        <v>0.00006404162863</v>
      </c>
      <c r="X294" s="264">
        <f t="shared" si="104"/>
        <v>0.00007544057164</v>
      </c>
      <c r="Y294" s="264">
        <f t="shared" si="104"/>
        <v>0.00004803627831</v>
      </c>
      <c r="Z294" s="264">
        <f t="shared" si="104"/>
        <v>0.00005079269505</v>
      </c>
      <c r="AA294" s="264">
        <f t="shared" si="104"/>
        <v>0.00006149496194</v>
      </c>
      <c r="AB294" s="264">
        <f t="shared" si="104"/>
        <v>0.00004538524932</v>
      </c>
      <c r="AC294" s="264">
        <f t="shared" si="104"/>
        <v>0.00003749686851</v>
      </c>
      <c r="AD294" s="264">
        <f t="shared" si="104"/>
        <v>0.00004304196811</v>
      </c>
      <c r="AE294" s="264">
        <f t="shared" si="104"/>
        <v>0.00004432891874</v>
      </c>
      <c r="AF294" s="264">
        <f t="shared" si="104"/>
        <v>0.0000378510033</v>
      </c>
      <c r="AG294" s="264">
        <f t="shared" si="104"/>
        <v>0.00009161331284</v>
      </c>
      <c r="AH294" s="264">
        <f t="shared" si="104"/>
        <v>0.0000621593893</v>
      </c>
      <c r="AI294" s="264">
        <f t="shared" si="104"/>
        <v>0.00002658422906</v>
      </c>
      <c r="AJ294" s="264">
        <f t="shared" si="104"/>
        <v>0.00007619803152</v>
      </c>
      <c r="AK294" s="264">
        <f t="shared" si="104"/>
        <v>0.0001280472423</v>
      </c>
      <c r="AL294" s="264">
        <f t="shared" si="104"/>
        <v>0.00006550759387</v>
      </c>
      <c r="AM294" s="264">
        <f t="shared" si="104"/>
        <v>0.00004640078309</v>
      </c>
      <c r="AN294" s="264">
        <f t="shared" si="104"/>
        <v>0.00003043168233</v>
      </c>
      <c r="AO294" s="264">
        <f t="shared" si="104"/>
        <v>0.00005505806524</v>
      </c>
      <c r="AP294" s="264">
        <f t="shared" si="104"/>
        <v>0.00006148687272</v>
      </c>
      <c r="AQ294" s="264">
        <f t="shared" si="104"/>
        <v>0.00004507290979</v>
      </c>
      <c r="AR294" s="264">
        <f t="shared" si="104"/>
        <v>0.0001134499984</v>
      </c>
      <c r="AS294" s="264">
        <f t="shared" si="104"/>
        <v>0.0001683122241</v>
      </c>
      <c r="AT294" s="136"/>
    </row>
    <row r="295">
      <c r="A295" s="80"/>
      <c r="B295" s="81"/>
      <c r="C295" s="90"/>
      <c r="D295" s="90"/>
      <c r="E295" s="113" t="s">
        <v>956</v>
      </c>
      <c r="F295" s="189" t="s">
        <v>122</v>
      </c>
      <c r="G295" s="190" t="s">
        <v>149</v>
      </c>
      <c r="H295" s="200" t="s">
        <v>150</v>
      </c>
      <c r="I295" s="264">
        <f t="shared" ref="I295:AS295" si="105">(SUM(I90,I123)/((I278*(1-$H287))+(1-I278)))</f>
        <v>0.000122383493</v>
      </c>
      <c r="J295" s="264">
        <f t="shared" si="105"/>
        <v>0.00009505905115</v>
      </c>
      <c r="K295" s="264">
        <f t="shared" si="105"/>
        <v>0.0001494855615</v>
      </c>
      <c r="L295" s="264">
        <f t="shared" si="105"/>
        <v>0.00009141863903</v>
      </c>
      <c r="M295" s="264">
        <f t="shared" si="105"/>
        <v>0.00009888906498</v>
      </c>
      <c r="N295" s="264">
        <f t="shared" si="105"/>
        <v>0.000119163161</v>
      </c>
      <c r="O295" s="264">
        <f t="shared" si="105"/>
        <v>0.0001232723102</v>
      </c>
      <c r="P295" s="264">
        <f t="shared" si="105"/>
        <v>0.0001614411471</v>
      </c>
      <c r="Q295" s="264">
        <f t="shared" si="105"/>
        <v>0.0001457502301</v>
      </c>
      <c r="R295" s="264">
        <f t="shared" si="105"/>
        <v>0.00007470497021</v>
      </c>
      <c r="S295" s="264">
        <f t="shared" si="105"/>
        <v>0.000111071318</v>
      </c>
      <c r="T295" s="264">
        <f t="shared" si="105"/>
        <v>0.00007939209809</v>
      </c>
      <c r="U295" s="264">
        <f t="shared" si="105"/>
        <v>0.00008171350772</v>
      </c>
      <c r="V295" s="264">
        <f t="shared" si="105"/>
        <v>0.00008891175283</v>
      </c>
      <c r="W295" s="264">
        <f t="shared" si="105"/>
        <v>0.0001094431382</v>
      </c>
      <c r="X295" s="264">
        <f t="shared" si="105"/>
        <v>0.00008439267596</v>
      </c>
      <c r="Y295" s="264">
        <f t="shared" si="105"/>
        <v>0.0001353822413</v>
      </c>
      <c r="Z295" s="264">
        <f t="shared" si="105"/>
        <v>0.00008793058169</v>
      </c>
      <c r="AA295" s="264">
        <f t="shared" si="105"/>
        <v>0.0001007734276</v>
      </c>
      <c r="AB295" s="264">
        <f t="shared" si="105"/>
        <v>0.00008444300208</v>
      </c>
      <c r="AC295" s="264">
        <f t="shared" si="105"/>
        <v>0.00007598104147</v>
      </c>
      <c r="AD295" s="264">
        <f t="shared" si="105"/>
        <v>0.00007871863318</v>
      </c>
      <c r="AE295" s="264">
        <f t="shared" si="105"/>
        <v>0.00007619861</v>
      </c>
      <c r="AF295" s="264">
        <f t="shared" si="105"/>
        <v>0.00007308411025</v>
      </c>
      <c r="AG295" s="264">
        <f t="shared" si="105"/>
        <v>0.00008189426481</v>
      </c>
      <c r="AH295" s="264">
        <f t="shared" si="105"/>
        <v>0.00008917133585</v>
      </c>
      <c r="AI295" s="264">
        <f t="shared" si="105"/>
        <v>0.00006397620861</v>
      </c>
      <c r="AJ295" s="264">
        <f t="shared" si="105"/>
        <v>0.0001054287181</v>
      </c>
      <c r="AK295" s="264">
        <f t="shared" si="105"/>
        <v>0.0001149920725</v>
      </c>
      <c r="AL295" s="264">
        <f t="shared" si="105"/>
        <v>0.00009074760358</v>
      </c>
      <c r="AM295" s="264">
        <f t="shared" si="105"/>
        <v>0.00008287642693</v>
      </c>
      <c r="AN295" s="264">
        <f t="shared" si="105"/>
        <v>0.00005800087607</v>
      </c>
      <c r="AO295" s="264">
        <f t="shared" si="105"/>
        <v>0.00006756972953</v>
      </c>
      <c r="AP295" s="264">
        <f t="shared" si="105"/>
        <v>0.0001088499846</v>
      </c>
      <c r="AQ295" s="264">
        <f t="shared" si="105"/>
        <v>0.00008193476135</v>
      </c>
      <c r="AR295" s="264">
        <f t="shared" si="105"/>
        <v>0.0001227797111</v>
      </c>
      <c r="AS295" s="264">
        <f t="shared" si="105"/>
        <v>0.0001252135442</v>
      </c>
      <c r="AT295" s="136"/>
    </row>
    <row r="296">
      <c r="A296" s="80"/>
      <c r="B296" s="81"/>
      <c r="C296" s="90"/>
      <c r="D296" s="90"/>
      <c r="E296" s="113" t="s">
        <v>958</v>
      </c>
      <c r="F296" s="189" t="s">
        <v>122</v>
      </c>
      <c r="G296" s="190" t="s">
        <v>149</v>
      </c>
      <c r="H296" s="200" t="s">
        <v>150</v>
      </c>
      <c r="I296" s="264">
        <f t="shared" ref="I296:AS296" si="106">(SUM(I96,I131)/((I279*(1-$H288))+(1-I279)))</f>
        <v>0.0018404217</v>
      </c>
      <c r="J296" s="264">
        <f t="shared" si="106"/>
        <v>0.00143375607</v>
      </c>
      <c r="K296" s="264">
        <f t="shared" si="106"/>
        <v>0.002232602724</v>
      </c>
      <c r="L296" s="264">
        <f t="shared" si="106"/>
        <v>0.001390396621</v>
      </c>
      <c r="M296" s="264">
        <f t="shared" si="106"/>
        <v>0.001499281169</v>
      </c>
      <c r="N296" s="264">
        <f t="shared" si="106"/>
        <v>0.001790819943</v>
      </c>
      <c r="O296" s="264">
        <f t="shared" si="106"/>
        <v>0.001838087695</v>
      </c>
      <c r="P296" s="264">
        <f t="shared" si="106"/>
        <v>0.002403567654</v>
      </c>
      <c r="Q296" s="264">
        <f t="shared" si="106"/>
        <v>0.00216957276</v>
      </c>
      <c r="R296" s="264">
        <f t="shared" si="106"/>
        <v>0.001161687496</v>
      </c>
      <c r="S296" s="264">
        <f t="shared" si="106"/>
        <v>0.001690283995</v>
      </c>
      <c r="T296" s="264">
        <f t="shared" si="106"/>
        <v>0.001234772019</v>
      </c>
      <c r="U296" s="264">
        <f t="shared" si="106"/>
        <v>0.001275894993</v>
      </c>
      <c r="V296" s="264">
        <f t="shared" si="106"/>
        <v>0.001378801669</v>
      </c>
      <c r="W296" s="264">
        <f t="shared" si="106"/>
        <v>0.0016830709</v>
      </c>
      <c r="X296" s="264">
        <f t="shared" si="106"/>
        <v>0.001271227322</v>
      </c>
      <c r="Y296" s="264">
        <f t="shared" si="106"/>
        <v>0.002208267252</v>
      </c>
      <c r="Z296" s="264">
        <f t="shared" si="106"/>
        <v>0.001364876249</v>
      </c>
      <c r="AA296" s="264">
        <f t="shared" si="106"/>
        <v>0.001551791501</v>
      </c>
      <c r="AB296" s="264">
        <f t="shared" si="106"/>
        <v>0.001313574047</v>
      </c>
      <c r="AC296" s="264">
        <f t="shared" si="106"/>
        <v>0.001185687984</v>
      </c>
      <c r="AD296" s="264">
        <f t="shared" si="106"/>
        <v>0.00121933828</v>
      </c>
      <c r="AE296" s="264">
        <f t="shared" si="106"/>
        <v>0.001173099568</v>
      </c>
      <c r="AF296" s="264">
        <f t="shared" si="106"/>
        <v>0.001140183268</v>
      </c>
      <c r="AG296" s="264">
        <f t="shared" si="106"/>
        <v>0.001279193957</v>
      </c>
      <c r="AH296" s="264">
        <f t="shared" si="106"/>
        <v>0.001387184076</v>
      </c>
      <c r="AI296" s="264">
        <f t="shared" si="106"/>
        <v>0.0009912817381</v>
      </c>
      <c r="AJ296" s="264">
        <f t="shared" si="106"/>
        <v>0.001627304424</v>
      </c>
      <c r="AK296" s="264">
        <f t="shared" si="106"/>
        <v>0.001745601203</v>
      </c>
      <c r="AL296" s="264">
        <f t="shared" si="106"/>
        <v>0.001396808246</v>
      </c>
      <c r="AM296" s="264">
        <f t="shared" si="106"/>
        <v>0.001289106063</v>
      </c>
      <c r="AN296" s="264">
        <f t="shared" si="106"/>
        <v>0.0009036243843</v>
      </c>
      <c r="AO296" s="264">
        <f t="shared" si="106"/>
        <v>0.001046984218</v>
      </c>
      <c r="AP296" s="264">
        <f t="shared" si="106"/>
        <v>0.001671826483</v>
      </c>
      <c r="AQ296" s="264">
        <f t="shared" si="106"/>
        <v>0.001274861558</v>
      </c>
      <c r="AR296" s="264">
        <f t="shared" si="106"/>
        <v>0.001876828515</v>
      </c>
      <c r="AS296" s="264">
        <f t="shared" si="106"/>
        <v>0.001871085781</v>
      </c>
      <c r="AT296" s="136"/>
    </row>
    <row r="297">
      <c r="A297" s="80"/>
      <c r="B297" s="81"/>
      <c r="C297" s="90"/>
      <c r="D297" s="90"/>
      <c r="E297" s="113" t="s">
        <v>960</v>
      </c>
      <c r="F297" s="215" t="s">
        <v>122</v>
      </c>
      <c r="G297" s="216" t="s">
        <v>149</v>
      </c>
      <c r="H297" s="187" t="s">
        <v>150</v>
      </c>
      <c r="I297" s="264">
        <f t="shared" ref="I297:AS297" si="107">(I156/((I280*(1-$H289))+(1-I280)))</f>
        <v>0.00196807108</v>
      </c>
      <c r="J297" s="264">
        <f t="shared" si="107"/>
        <v>0.001078243762</v>
      </c>
      <c r="K297" s="264">
        <f t="shared" si="107"/>
        <v>0.001514253523</v>
      </c>
      <c r="L297" s="264">
        <f t="shared" si="107"/>
        <v>0.0005689704607</v>
      </c>
      <c r="M297" s="264">
        <f t="shared" si="107"/>
        <v>0.0008443529443</v>
      </c>
      <c r="N297" s="264">
        <f t="shared" si="107"/>
        <v>0.001574606677</v>
      </c>
      <c r="O297" s="264">
        <f t="shared" si="107"/>
        <v>0.001716354836</v>
      </c>
      <c r="P297" s="264">
        <f t="shared" si="107"/>
        <v>0.002221422391</v>
      </c>
      <c r="Q297" s="264">
        <f t="shared" si="107"/>
        <v>0.001932485827</v>
      </c>
      <c r="R297" s="264">
        <f t="shared" si="107"/>
        <v>0.000383674912</v>
      </c>
      <c r="S297" s="264">
        <f t="shared" si="107"/>
        <v>0.001010333138</v>
      </c>
      <c r="T297" s="264">
        <f t="shared" si="107"/>
        <v>0.0003921019842</v>
      </c>
      <c r="U297" s="264">
        <f t="shared" si="107"/>
        <v>0.0003126228939</v>
      </c>
      <c r="V297" s="264">
        <f t="shared" si="107"/>
        <v>0.0008680552636</v>
      </c>
      <c r="W297" s="264">
        <f t="shared" si="107"/>
        <v>0.001140447641</v>
      </c>
      <c r="X297" s="264">
        <f t="shared" si="107"/>
        <v>0.0009740812302</v>
      </c>
      <c r="Y297" s="264">
        <f t="shared" si="107"/>
        <v>0.0007032751298</v>
      </c>
      <c r="Z297" s="264">
        <f t="shared" si="107"/>
        <v>0.0003966283478</v>
      </c>
      <c r="AA297" s="264">
        <f t="shared" si="107"/>
        <v>0.0007315148825</v>
      </c>
      <c r="AB297" s="264">
        <f t="shared" si="107"/>
        <v>0.0003656014375</v>
      </c>
      <c r="AC297" s="264">
        <f t="shared" si="107"/>
        <v>0.0003711622227</v>
      </c>
      <c r="AD297" s="264">
        <f t="shared" si="107"/>
        <v>0.0004453482557</v>
      </c>
      <c r="AE297" s="264">
        <f t="shared" si="107"/>
        <v>0.0002912755957</v>
      </c>
      <c r="AF297" s="264">
        <f t="shared" si="107"/>
        <v>0.0002801691951</v>
      </c>
      <c r="AG297" s="264">
        <f t="shared" si="107"/>
        <v>0.0005475009835</v>
      </c>
      <c r="AH297" s="264">
        <f t="shared" si="107"/>
        <v>0.0005598894438</v>
      </c>
      <c r="AI297" s="264">
        <f t="shared" si="107"/>
        <v>0.0001783998142</v>
      </c>
      <c r="AJ297" s="264">
        <f t="shared" si="107"/>
        <v>0.000781646409</v>
      </c>
      <c r="AK297" s="264">
        <f t="shared" si="107"/>
        <v>0.001152308846</v>
      </c>
      <c r="AL297" s="264">
        <f t="shared" si="107"/>
        <v>0.0004333431423</v>
      </c>
      <c r="AM297" s="264">
        <f t="shared" si="107"/>
        <v>0.0004898841472</v>
      </c>
      <c r="AN297" s="264">
        <f t="shared" si="107"/>
        <v>0.0002764636449</v>
      </c>
      <c r="AO297" s="264">
        <f t="shared" si="107"/>
        <v>0.000448779928</v>
      </c>
      <c r="AP297" s="264">
        <f t="shared" si="107"/>
        <v>0.0009254679215</v>
      </c>
      <c r="AQ297" s="264">
        <f t="shared" si="107"/>
        <v>0.0003380111196</v>
      </c>
      <c r="AR297" s="264">
        <f t="shared" si="107"/>
        <v>0.001412326703</v>
      </c>
      <c r="AS297" s="264">
        <f t="shared" si="107"/>
        <v>0.001711917032</v>
      </c>
      <c r="AT297" s="163"/>
    </row>
    <row r="298">
      <c r="A298" s="80"/>
      <c r="B298" s="81"/>
      <c r="C298" s="90"/>
      <c r="D298" s="90"/>
      <c r="E298" s="140" t="s">
        <v>961</v>
      </c>
      <c r="F298" s="215" t="s">
        <v>122</v>
      </c>
      <c r="G298" s="216" t="s">
        <v>149</v>
      </c>
      <c r="H298" s="187" t="s">
        <v>150</v>
      </c>
      <c r="I298" s="264">
        <f t="shared" ref="I298:AS298" si="108">(I164/((I281*(1-$H290))+(1-I281)))</f>
        <v>0.00005424991681</v>
      </c>
      <c r="J298" s="264">
        <f t="shared" si="108"/>
        <v>0.00002468215293</v>
      </c>
      <c r="K298" s="264">
        <f t="shared" si="108"/>
        <v>0.0000794047404</v>
      </c>
      <c r="L298" s="264">
        <f t="shared" si="108"/>
        <v>0.00002322709557</v>
      </c>
      <c r="M298" s="264">
        <f t="shared" si="108"/>
        <v>0.00001950386948</v>
      </c>
      <c r="N298" s="264">
        <f t="shared" si="108"/>
        <v>0.00006077483798</v>
      </c>
      <c r="O298" s="264">
        <f t="shared" si="108"/>
        <v>0.00005287539188</v>
      </c>
      <c r="P298" s="264">
        <f t="shared" si="108"/>
        <v>0.00008204822625</v>
      </c>
      <c r="Q298" s="264">
        <f t="shared" si="108"/>
        <v>0.00007978429779</v>
      </c>
      <c r="R298" s="264">
        <f t="shared" si="108"/>
        <v>0.000006062317375</v>
      </c>
      <c r="S298" s="264">
        <f t="shared" si="108"/>
        <v>0.00001945676898</v>
      </c>
      <c r="T298" s="264">
        <f t="shared" si="108"/>
        <v>0.00000908297985</v>
      </c>
      <c r="U298" s="264">
        <f t="shared" si="108"/>
        <v>0.000007623303627</v>
      </c>
      <c r="V298" s="264">
        <f t="shared" si="108"/>
        <v>0.0000145884849</v>
      </c>
      <c r="W298" s="264">
        <f t="shared" si="108"/>
        <v>0.00001313899891</v>
      </c>
      <c r="X298" s="264">
        <f t="shared" si="108"/>
        <v>0.00002486276905</v>
      </c>
      <c r="Y298" s="264">
        <f t="shared" si="108"/>
        <v>0.00001019511799</v>
      </c>
      <c r="Z298" s="264">
        <f t="shared" si="108"/>
        <v>0.000009796399684</v>
      </c>
      <c r="AA298" s="264">
        <f t="shared" si="108"/>
        <v>0.00001244611674</v>
      </c>
      <c r="AB298" s="264">
        <f t="shared" si="108"/>
        <v>0.000006983408188</v>
      </c>
      <c r="AC298" s="264">
        <f t="shared" si="108"/>
        <v>0.000007493275878</v>
      </c>
      <c r="AD298" s="264">
        <f t="shared" si="108"/>
        <v>0.000007032298398</v>
      </c>
      <c r="AE298" s="264">
        <f t="shared" si="108"/>
        <v>0.000007036620993</v>
      </c>
      <c r="AF298" s="264">
        <f t="shared" si="108"/>
        <v>0.00000565931491</v>
      </c>
      <c r="AG298" s="264">
        <f t="shared" si="108"/>
        <v>0.00001237984357</v>
      </c>
      <c r="AH298" s="264">
        <f t="shared" si="108"/>
        <v>0.00001308621726</v>
      </c>
      <c r="AI298" s="264">
        <f t="shared" si="108"/>
        <v>0.000005019978098</v>
      </c>
      <c r="AJ298" s="264">
        <f t="shared" si="108"/>
        <v>0.00001577049971</v>
      </c>
      <c r="AK298" s="264">
        <f t="shared" si="108"/>
        <v>0.00002298879236</v>
      </c>
      <c r="AL298" s="264">
        <f t="shared" si="108"/>
        <v>0.000009862475462</v>
      </c>
      <c r="AM298" s="264">
        <f t="shared" si="108"/>
        <v>0.000008521033981</v>
      </c>
      <c r="AN298" s="264">
        <f t="shared" si="108"/>
        <v>0.000005313233864</v>
      </c>
      <c r="AO298" s="264">
        <f t="shared" si="108"/>
        <v>0.000007848484417</v>
      </c>
      <c r="AP298" s="264">
        <f t="shared" si="108"/>
        <v>0.00001416843966</v>
      </c>
      <c r="AQ298" s="264">
        <f t="shared" si="108"/>
        <v>0.000007154381808</v>
      </c>
      <c r="AR298" s="264">
        <f t="shared" si="108"/>
        <v>0.0000207863136</v>
      </c>
      <c r="AS298" s="264">
        <f t="shared" si="108"/>
        <v>0.00004960559496</v>
      </c>
      <c r="AT298" s="163"/>
    </row>
    <row r="299">
      <c r="A299" s="80"/>
      <c r="B299" s="81"/>
      <c r="C299" s="90"/>
      <c r="D299" s="90"/>
      <c r="E299" s="237" t="s">
        <v>313</v>
      </c>
      <c r="F299" s="195" t="s">
        <v>122</v>
      </c>
      <c r="G299" s="196" t="s">
        <v>149</v>
      </c>
      <c r="H299" s="197" t="s">
        <v>150</v>
      </c>
      <c r="I299" s="457">
        <f t="shared" ref="I299:AS299" si="109">SUM(I293:I298)</f>
        <v>0.01158659245</v>
      </c>
      <c r="J299" s="457">
        <f t="shared" si="109"/>
        <v>0.006983258427</v>
      </c>
      <c r="K299" s="457">
        <f t="shared" si="109"/>
        <v>0.01321878798</v>
      </c>
      <c r="L299" s="457">
        <f t="shared" si="109"/>
        <v>0.00519249571</v>
      </c>
      <c r="M299" s="457">
        <f t="shared" si="109"/>
        <v>0.006538546002</v>
      </c>
      <c r="N299" s="457">
        <f t="shared" si="109"/>
        <v>0.01083419887</v>
      </c>
      <c r="O299" s="457">
        <f t="shared" si="109"/>
        <v>0.0115967603</v>
      </c>
      <c r="P299" s="457">
        <f t="shared" si="109"/>
        <v>0.01554574455</v>
      </c>
      <c r="Q299" s="457">
        <f t="shared" si="109"/>
        <v>0.01372370137</v>
      </c>
      <c r="R299" s="457">
        <f t="shared" si="109"/>
        <v>0.003526078359</v>
      </c>
      <c r="S299" s="457">
        <f t="shared" si="109"/>
        <v>0.006404298474</v>
      </c>
      <c r="T299" s="457">
        <f t="shared" si="109"/>
        <v>0.003863042472</v>
      </c>
      <c r="U299" s="457">
        <f t="shared" si="109"/>
        <v>0.003771302415</v>
      </c>
      <c r="V299" s="457">
        <f t="shared" si="109"/>
        <v>0.004775106142</v>
      </c>
      <c r="W299" s="457">
        <f t="shared" si="109"/>
        <v>0.006485931916</v>
      </c>
      <c r="X299" s="457">
        <f t="shared" si="109"/>
        <v>0.005552353776</v>
      </c>
      <c r="Y299" s="457">
        <f t="shared" si="109"/>
        <v>0.005442806237</v>
      </c>
      <c r="Z299" s="457">
        <f t="shared" si="109"/>
        <v>0.004223254957</v>
      </c>
      <c r="AA299" s="457">
        <f t="shared" si="109"/>
        <v>0.005473366246</v>
      </c>
      <c r="AB299" s="457">
        <f t="shared" si="109"/>
        <v>0.004014373382</v>
      </c>
      <c r="AC299" s="457">
        <f t="shared" si="109"/>
        <v>0.003658261887</v>
      </c>
      <c r="AD299" s="457">
        <f t="shared" si="109"/>
        <v>0.003883456914</v>
      </c>
      <c r="AE299" s="457">
        <f t="shared" si="109"/>
        <v>0.003496779729</v>
      </c>
      <c r="AF299" s="457">
        <f t="shared" si="109"/>
        <v>0.003366413954</v>
      </c>
      <c r="AG299" s="457">
        <f t="shared" si="109"/>
        <v>0.004170921931</v>
      </c>
      <c r="AH299" s="457">
        <f t="shared" si="109"/>
        <v>0.004675503718</v>
      </c>
      <c r="AI299" s="457">
        <f t="shared" si="109"/>
        <v>0.002586205603</v>
      </c>
      <c r="AJ299" s="457">
        <f t="shared" si="109"/>
        <v>0.005917972602</v>
      </c>
      <c r="AK299" s="457">
        <f t="shared" si="109"/>
        <v>0.007302746882</v>
      </c>
      <c r="AL299" s="457">
        <f t="shared" si="109"/>
        <v>0.004518860643</v>
      </c>
      <c r="AM299" s="457">
        <f t="shared" si="109"/>
        <v>0.004160880027</v>
      </c>
      <c r="AN299" s="457">
        <f t="shared" si="109"/>
        <v>0.002683403322</v>
      </c>
      <c r="AO299" s="457">
        <f t="shared" si="109"/>
        <v>0.003180803357</v>
      </c>
      <c r="AP299" s="457">
        <f t="shared" si="109"/>
        <v>0.006133046806</v>
      </c>
      <c r="AQ299" s="457">
        <f t="shared" si="109"/>
        <v>0.003753393143</v>
      </c>
      <c r="AR299" s="457">
        <f t="shared" si="109"/>
        <v>0.008035723472</v>
      </c>
      <c r="AS299" s="457">
        <f t="shared" si="109"/>
        <v>0.01091183188</v>
      </c>
      <c r="AT299" s="248"/>
    </row>
    <row r="300">
      <c r="A300" s="80"/>
      <c r="B300" s="81"/>
      <c r="C300" s="90"/>
      <c r="D300" s="90"/>
      <c r="E300" s="243"/>
      <c r="F300" s="108"/>
      <c r="G300" s="122"/>
      <c r="H300" s="85"/>
      <c r="I300" s="111"/>
      <c r="J300" s="111"/>
      <c r="K300" s="111"/>
      <c r="L300" s="111"/>
      <c r="M300" s="111"/>
      <c r="N300" s="111"/>
      <c r="O300" s="111"/>
      <c r="P300" s="111"/>
      <c r="Q300" s="111"/>
      <c r="R300" s="111"/>
      <c r="S300" s="111"/>
      <c r="T300" s="111"/>
      <c r="U300" s="111"/>
      <c r="V300" s="111"/>
      <c r="W300" s="111"/>
      <c r="X300" s="111"/>
      <c r="Y300" s="111"/>
      <c r="Z300" s="111"/>
      <c r="AA300" s="111"/>
      <c r="AB300" s="111"/>
      <c r="AC300" s="111"/>
      <c r="AD300" s="111"/>
      <c r="AE300" s="111"/>
      <c r="AF300" s="111"/>
      <c r="AG300" s="111"/>
      <c r="AH300" s="111"/>
      <c r="AI300" s="111"/>
      <c r="AJ300" s="111"/>
      <c r="AK300" s="111"/>
      <c r="AL300" s="111"/>
      <c r="AM300" s="111"/>
      <c r="AN300" s="111"/>
      <c r="AO300" s="111"/>
      <c r="AP300" s="111"/>
      <c r="AQ300" s="111"/>
      <c r="AR300" s="111"/>
      <c r="AS300" s="111"/>
      <c r="AT300" s="88"/>
    </row>
    <row r="301">
      <c r="A301" s="80"/>
      <c r="B301" s="81"/>
      <c r="C301" s="112" t="s">
        <v>560</v>
      </c>
      <c r="F301" s="108"/>
      <c r="G301" s="122"/>
      <c r="H301" s="85"/>
      <c r="I301" s="111"/>
      <c r="J301" s="111"/>
      <c r="K301" s="111"/>
      <c r="L301" s="111"/>
      <c r="M301" s="111"/>
      <c r="N301" s="111"/>
      <c r="O301" s="111"/>
      <c r="P301" s="111"/>
      <c r="Q301" s="111"/>
      <c r="R301" s="111"/>
      <c r="S301" s="111"/>
      <c r="T301" s="111"/>
      <c r="U301" s="111"/>
      <c r="V301" s="111"/>
      <c r="W301" s="111"/>
      <c r="X301" s="111"/>
      <c r="Y301" s="111"/>
      <c r="Z301" s="111"/>
      <c r="AA301" s="111"/>
      <c r="AB301" s="111"/>
      <c r="AC301" s="111"/>
      <c r="AD301" s="111"/>
      <c r="AE301" s="111"/>
      <c r="AF301" s="111"/>
      <c r="AG301" s="111"/>
      <c r="AH301" s="111"/>
      <c r="AI301" s="111"/>
      <c r="AJ301" s="111"/>
      <c r="AK301" s="111"/>
      <c r="AL301" s="111"/>
      <c r="AM301" s="111"/>
      <c r="AN301" s="111"/>
      <c r="AO301" s="111"/>
      <c r="AP301" s="111"/>
      <c r="AQ301" s="111"/>
      <c r="AR301" s="111"/>
      <c r="AS301" s="111"/>
      <c r="AT301" s="88"/>
    </row>
    <row r="302">
      <c r="A302" s="80"/>
      <c r="B302" s="81"/>
      <c r="C302" s="90"/>
      <c r="D302" s="90"/>
      <c r="E302" s="113" t="s">
        <v>562</v>
      </c>
      <c r="F302" s="189" t="s">
        <v>122</v>
      </c>
      <c r="G302" s="190" t="s">
        <v>149</v>
      </c>
      <c r="H302" s="200" t="s">
        <v>150</v>
      </c>
      <c r="I302" s="119">
        <f t="shared" ref="I302:AS302" si="110">I293/I$299</f>
        <v>0.6423119951</v>
      </c>
      <c r="J302" s="119">
        <f t="shared" si="110"/>
        <v>0.6036505147</v>
      </c>
      <c r="K302" s="119">
        <f t="shared" si="110"/>
        <v>0.6835438589</v>
      </c>
      <c r="L302" s="119">
        <f t="shared" si="110"/>
        <v>0.5802539557</v>
      </c>
      <c r="M302" s="119">
        <f t="shared" si="110"/>
        <v>0.6083081157</v>
      </c>
      <c r="N302" s="119">
        <f t="shared" si="110"/>
        <v>0.6582724796</v>
      </c>
      <c r="O302" s="119">
        <f t="shared" si="110"/>
        <v>0.6580364726</v>
      </c>
      <c r="P302" s="119">
        <f t="shared" si="110"/>
        <v>0.6643819483</v>
      </c>
      <c r="Q302" s="119">
        <f t="shared" si="110"/>
        <v>0.6629962874</v>
      </c>
      <c r="R302" s="119">
        <f t="shared" si="110"/>
        <v>0.5262567494</v>
      </c>
      <c r="S302" s="119">
        <f t="shared" si="110"/>
        <v>0.5438628304</v>
      </c>
      <c r="T302" s="119">
        <f t="shared" si="110"/>
        <v>0.5438483523</v>
      </c>
      <c r="U302" s="119">
        <f t="shared" si="110"/>
        <v>0.5423084402</v>
      </c>
      <c r="V302" s="119">
        <f t="shared" si="110"/>
        <v>0.4915015418</v>
      </c>
      <c r="W302" s="119">
        <f t="shared" si="110"/>
        <v>0.5358967152</v>
      </c>
      <c r="X302" s="119">
        <f t="shared" si="110"/>
        <v>0.5623469493</v>
      </c>
      <c r="Y302" s="119">
        <f t="shared" si="110"/>
        <v>0.4294935582</v>
      </c>
      <c r="Z302" s="119">
        <f t="shared" si="110"/>
        <v>0.5477364516</v>
      </c>
      <c r="AA302" s="119">
        <f t="shared" si="110"/>
        <v>0.5509124039</v>
      </c>
      <c r="AB302" s="119">
        <f t="shared" si="110"/>
        <v>0.5476287403</v>
      </c>
      <c r="AC302" s="119">
        <f t="shared" si="110"/>
        <v>0.5413610496</v>
      </c>
      <c r="AD302" s="119">
        <f t="shared" si="110"/>
        <v>0.5381744989</v>
      </c>
      <c r="AE302" s="119">
        <f t="shared" si="110"/>
        <v>0.5447413229</v>
      </c>
      <c r="AF302" s="119">
        <f t="shared" si="110"/>
        <v>0.5434468511</v>
      </c>
      <c r="AG302" s="119">
        <f t="shared" si="110"/>
        <v>0.5174730204</v>
      </c>
      <c r="AH302" s="119">
        <f t="shared" si="110"/>
        <v>0.5483929455</v>
      </c>
      <c r="AI302" s="119">
        <f t="shared" si="110"/>
        <v>0.5107651277</v>
      </c>
      <c r="AJ302" s="119">
        <f t="shared" si="110"/>
        <v>0.5595876734</v>
      </c>
      <c r="AK302" s="119">
        <f t="shared" si="110"/>
        <v>0.5667468409</v>
      </c>
      <c r="AL302" s="119">
        <f t="shared" si="110"/>
        <v>0.5582361975</v>
      </c>
      <c r="AM302" s="119">
        <f t="shared" si="110"/>
        <v>0.5393309967</v>
      </c>
      <c r="AN302" s="119">
        <f t="shared" si="110"/>
        <v>0.5252917029</v>
      </c>
      <c r="AO302" s="119">
        <f t="shared" si="110"/>
        <v>0.4887328002</v>
      </c>
      <c r="AP302" s="119">
        <f t="shared" si="110"/>
        <v>0.5464245114</v>
      </c>
      <c r="AQ302" s="119">
        <f t="shared" si="110"/>
        <v>0.5345452331</v>
      </c>
      <c r="AR302" s="119">
        <f t="shared" si="110"/>
        <v>0.5586991944</v>
      </c>
      <c r="AS302" s="119">
        <f t="shared" si="110"/>
        <v>0.6401947704</v>
      </c>
      <c r="AT302" s="136"/>
    </row>
    <row r="303">
      <c r="A303" s="80"/>
      <c r="B303" s="81"/>
      <c r="C303" s="90"/>
      <c r="D303" s="90"/>
      <c r="E303" s="140" t="s">
        <v>571</v>
      </c>
      <c r="F303" s="215" t="s">
        <v>122</v>
      </c>
      <c r="G303" s="216" t="s">
        <v>149</v>
      </c>
      <c r="H303" s="187" t="s">
        <v>150</v>
      </c>
      <c r="I303" s="149">
        <f t="shared" ref="I303:AS303" si="111">I294/I$299</f>
        <v>0.01374510648</v>
      </c>
      <c r="J303" s="149">
        <f t="shared" si="111"/>
        <v>0.01948515144</v>
      </c>
      <c r="K303" s="149">
        <f t="shared" si="111"/>
        <v>0.01569130894</v>
      </c>
      <c r="L303" s="149">
        <f t="shared" si="111"/>
        <v>0.02032100243</v>
      </c>
      <c r="M303" s="149">
        <f t="shared" si="111"/>
        <v>0.01515143512</v>
      </c>
      <c r="N303" s="149">
        <f t="shared" si="111"/>
        <v>0.01448923895</v>
      </c>
      <c r="O303" s="149">
        <f t="shared" si="111"/>
        <v>0.02027107746</v>
      </c>
      <c r="P303" s="149">
        <f t="shared" si="111"/>
        <v>0.02244685533</v>
      </c>
      <c r="Q303" s="149">
        <f t="shared" si="111"/>
        <v>0.02166654543</v>
      </c>
      <c r="R303" s="149">
        <f t="shared" si="111"/>
        <v>0.01257094246</v>
      </c>
      <c r="S303" s="149">
        <f t="shared" si="111"/>
        <v>0.01406763902</v>
      </c>
      <c r="T303" s="149">
        <f t="shared" si="111"/>
        <v>0.01211068939</v>
      </c>
      <c r="U303" s="149">
        <f t="shared" si="111"/>
        <v>0.01279096212</v>
      </c>
      <c r="V303" s="149">
        <f t="shared" si="111"/>
        <v>0.01628800243</v>
      </c>
      <c r="W303" s="149">
        <f t="shared" si="111"/>
        <v>0.009873928598</v>
      </c>
      <c r="X303" s="149">
        <f t="shared" si="111"/>
        <v>0.01358713344</v>
      </c>
      <c r="Y303" s="149">
        <f t="shared" si="111"/>
        <v>0.008825645489</v>
      </c>
      <c r="Z303" s="149">
        <f t="shared" si="111"/>
        <v>0.01202690711</v>
      </c>
      <c r="AA303" s="149">
        <f t="shared" si="111"/>
        <v>0.01123530916</v>
      </c>
      <c r="AB303" s="149">
        <f t="shared" si="111"/>
        <v>0.01130568709</v>
      </c>
      <c r="AC303" s="149">
        <f t="shared" si="111"/>
        <v>0.01024991367</v>
      </c>
      <c r="AD303" s="149">
        <f t="shared" si="111"/>
        <v>0.0110834159</v>
      </c>
      <c r="AE303" s="149">
        <f t="shared" si="111"/>
        <v>0.01267706924</v>
      </c>
      <c r="AF303" s="149">
        <f t="shared" si="111"/>
        <v>0.01124371625</v>
      </c>
      <c r="AG303" s="149">
        <f t="shared" si="111"/>
        <v>0.02196476327</v>
      </c>
      <c r="AH303" s="149">
        <f t="shared" si="111"/>
        <v>0.01329469359</v>
      </c>
      <c r="AI303" s="149">
        <f t="shared" si="111"/>
        <v>0.01027924038</v>
      </c>
      <c r="AJ303" s="149">
        <f t="shared" si="111"/>
        <v>0.0128756986</v>
      </c>
      <c r="AK303" s="149">
        <f t="shared" si="111"/>
        <v>0.0175341203</v>
      </c>
      <c r="AL303" s="149">
        <f t="shared" si="111"/>
        <v>0.01449648463</v>
      </c>
      <c r="AM303" s="149">
        <f t="shared" si="111"/>
        <v>0.01115167532</v>
      </c>
      <c r="AN303" s="149">
        <f t="shared" si="111"/>
        <v>0.01134070383</v>
      </c>
      <c r="AO303" s="149">
        <f t="shared" si="111"/>
        <v>0.01730948413</v>
      </c>
      <c r="AP303" s="149">
        <f t="shared" si="111"/>
        <v>0.01002550195</v>
      </c>
      <c r="AQ303" s="149">
        <f t="shared" si="111"/>
        <v>0.01200857679</v>
      </c>
      <c r="AR303" s="149">
        <f t="shared" si="111"/>
        <v>0.01411820589</v>
      </c>
      <c r="AS303" s="149">
        <f t="shared" si="111"/>
        <v>0.01542474498</v>
      </c>
      <c r="AT303" s="163"/>
    </row>
    <row r="304">
      <c r="A304" s="80"/>
      <c r="B304" s="81"/>
      <c r="C304" s="90"/>
      <c r="D304" s="90"/>
      <c r="E304" s="140" t="s">
        <v>577</v>
      </c>
      <c r="F304" s="215" t="s">
        <v>122</v>
      </c>
      <c r="G304" s="216" t="s">
        <v>149</v>
      </c>
      <c r="H304" s="187" t="s">
        <v>150</v>
      </c>
      <c r="I304" s="149">
        <f t="shared" ref="I304:AS304" si="112">I295/I$299</f>
        <v>0.01056250951</v>
      </c>
      <c r="J304" s="149">
        <f t="shared" si="112"/>
        <v>0.01361242064</v>
      </c>
      <c r="K304" s="149">
        <f t="shared" si="112"/>
        <v>0.0113085679</v>
      </c>
      <c r="L304" s="149">
        <f t="shared" si="112"/>
        <v>0.01760591518</v>
      </c>
      <c r="M304" s="149">
        <f t="shared" si="112"/>
        <v>0.01512401457</v>
      </c>
      <c r="N304" s="149">
        <f t="shared" si="112"/>
        <v>0.01099879765</v>
      </c>
      <c r="O304" s="149">
        <f t="shared" si="112"/>
        <v>0.01062989206</v>
      </c>
      <c r="P304" s="149">
        <f t="shared" si="112"/>
        <v>0.0103849093</v>
      </c>
      <c r="Q304" s="149">
        <f t="shared" si="112"/>
        <v>0.01062032947</v>
      </c>
      <c r="R304" s="149">
        <f t="shared" si="112"/>
        <v>0.02118641805</v>
      </c>
      <c r="S304" s="149">
        <f t="shared" si="112"/>
        <v>0.01734324508</v>
      </c>
      <c r="T304" s="149">
        <f t="shared" si="112"/>
        <v>0.0205517021</v>
      </c>
      <c r="U304" s="149">
        <f t="shared" si="112"/>
        <v>0.02166718516</v>
      </c>
      <c r="V304" s="149">
        <f t="shared" si="112"/>
        <v>0.01861984848</v>
      </c>
      <c r="W304" s="149">
        <f t="shared" si="112"/>
        <v>0.01687392647</v>
      </c>
      <c r="X304" s="149">
        <f t="shared" si="112"/>
        <v>0.01519944142</v>
      </c>
      <c r="Y304" s="149">
        <f t="shared" si="112"/>
        <v>0.02487361031</v>
      </c>
      <c r="Z304" s="149">
        <f t="shared" si="112"/>
        <v>0.02082057147</v>
      </c>
      <c r="AA304" s="149">
        <f t="shared" si="112"/>
        <v>0.01841159957</v>
      </c>
      <c r="AB304" s="149">
        <f t="shared" si="112"/>
        <v>0.02103516391</v>
      </c>
      <c r="AC304" s="149">
        <f t="shared" si="112"/>
        <v>0.02076971081</v>
      </c>
      <c r="AD304" s="149">
        <f t="shared" si="112"/>
        <v>0.0202702476</v>
      </c>
      <c r="AE304" s="149">
        <f t="shared" si="112"/>
        <v>0.02179108091</v>
      </c>
      <c r="AF304" s="149">
        <f t="shared" si="112"/>
        <v>0.02170978116</v>
      </c>
      <c r="AG304" s="149">
        <f t="shared" si="112"/>
        <v>0.01963457148</v>
      </c>
      <c r="AH304" s="149">
        <f t="shared" si="112"/>
        <v>0.01907202758</v>
      </c>
      <c r="AI304" s="149">
        <f t="shared" si="112"/>
        <v>0.0247374797</v>
      </c>
      <c r="AJ304" s="149">
        <f t="shared" si="112"/>
        <v>0.01781500611</v>
      </c>
      <c r="AK304" s="149">
        <f t="shared" si="112"/>
        <v>0.01574641356</v>
      </c>
      <c r="AL304" s="149">
        <f t="shared" si="112"/>
        <v>0.02008196551</v>
      </c>
      <c r="AM304" s="149">
        <f t="shared" si="112"/>
        <v>0.01991800446</v>
      </c>
      <c r="AN304" s="149">
        <f t="shared" si="112"/>
        <v>0.02161466955</v>
      </c>
      <c r="AO304" s="149">
        <f t="shared" si="112"/>
        <v>0.02124297605</v>
      </c>
      <c r="AP304" s="149">
        <f t="shared" si="112"/>
        <v>0.01774810922</v>
      </c>
      <c r="AQ304" s="149">
        <f t="shared" si="112"/>
        <v>0.02182951751</v>
      </c>
      <c r="AR304" s="149">
        <f t="shared" si="112"/>
        <v>0.01527923547</v>
      </c>
      <c r="AS304" s="149">
        <f t="shared" si="112"/>
        <v>0.01147502505</v>
      </c>
      <c r="AT304" s="163"/>
    </row>
    <row r="305">
      <c r="A305" s="80"/>
      <c r="B305" s="81"/>
      <c r="C305" s="90"/>
      <c r="D305" s="90"/>
      <c r="E305" s="140" t="s">
        <v>585</v>
      </c>
      <c r="F305" s="215" t="s">
        <v>122</v>
      </c>
      <c r="G305" s="216" t="s">
        <v>149</v>
      </c>
      <c r="H305" s="187" t="s">
        <v>150</v>
      </c>
      <c r="I305" s="149">
        <f t="shared" ref="I305:AS305" si="113">I296/I$299</f>
        <v>0.1588406348</v>
      </c>
      <c r="J305" s="149">
        <f t="shared" si="113"/>
        <v>0.205313334</v>
      </c>
      <c r="K305" s="149">
        <f t="shared" si="113"/>
        <v>0.1688961747</v>
      </c>
      <c r="L305" s="149">
        <f t="shared" si="113"/>
        <v>0.2677703938</v>
      </c>
      <c r="M305" s="149">
        <f t="shared" si="113"/>
        <v>0.2292988638</v>
      </c>
      <c r="N305" s="149">
        <f t="shared" si="113"/>
        <v>0.1652932501</v>
      </c>
      <c r="O305" s="149">
        <f t="shared" si="113"/>
        <v>0.1585001024</v>
      </c>
      <c r="P305" s="149">
        <f t="shared" si="113"/>
        <v>0.1546125788</v>
      </c>
      <c r="Q305" s="149">
        <f t="shared" si="113"/>
        <v>0.1580894761</v>
      </c>
      <c r="R305" s="149">
        <f t="shared" si="113"/>
        <v>0.3294559502</v>
      </c>
      <c r="S305" s="149">
        <f t="shared" si="113"/>
        <v>0.2639296094</v>
      </c>
      <c r="T305" s="149">
        <f t="shared" si="113"/>
        <v>0.3196371844</v>
      </c>
      <c r="U305" s="149">
        <f t="shared" si="113"/>
        <v>0.3383168075</v>
      </c>
      <c r="V305" s="149">
        <f t="shared" si="113"/>
        <v>0.2887478577</v>
      </c>
      <c r="W305" s="149">
        <f t="shared" si="113"/>
        <v>0.2594956164</v>
      </c>
      <c r="X305" s="149">
        <f t="shared" si="113"/>
        <v>0.2289528681</v>
      </c>
      <c r="Y305" s="149">
        <f t="shared" si="113"/>
        <v>0.4057221874</v>
      </c>
      <c r="Z305" s="149">
        <f t="shared" si="113"/>
        <v>0.3231811156</v>
      </c>
      <c r="AA305" s="149">
        <f t="shared" si="113"/>
        <v>0.2835168398</v>
      </c>
      <c r="AB305" s="149">
        <f t="shared" si="113"/>
        <v>0.3272177054</v>
      </c>
      <c r="AC305" s="149">
        <f t="shared" si="113"/>
        <v>0.3241123845</v>
      </c>
      <c r="AD305" s="149">
        <f t="shared" si="113"/>
        <v>0.3139826981</v>
      </c>
      <c r="AE305" s="149">
        <f t="shared" si="113"/>
        <v>0.3354799727</v>
      </c>
      <c r="AF305" s="149">
        <f t="shared" si="113"/>
        <v>0.3386937208</v>
      </c>
      <c r="AG305" s="149">
        <f t="shared" si="113"/>
        <v>0.306693335</v>
      </c>
      <c r="AH305" s="149">
        <f t="shared" si="113"/>
        <v>0.2966918988</v>
      </c>
      <c r="AI305" s="149">
        <f t="shared" si="113"/>
        <v>0.3832957971</v>
      </c>
      <c r="AJ305" s="149">
        <f t="shared" si="113"/>
        <v>0.2749766742</v>
      </c>
      <c r="AK305" s="149">
        <f t="shared" si="113"/>
        <v>0.2390335077</v>
      </c>
      <c r="AL305" s="149">
        <f t="shared" si="113"/>
        <v>0.3091062894</v>
      </c>
      <c r="AM305" s="149">
        <f t="shared" si="113"/>
        <v>0.3098157253</v>
      </c>
      <c r="AN305" s="149">
        <f t="shared" si="113"/>
        <v>0.3367456456</v>
      </c>
      <c r="AO305" s="149">
        <f t="shared" si="113"/>
        <v>0.3291571658</v>
      </c>
      <c r="AP305" s="149">
        <f t="shared" si="113"/>
        <v>0.2725931394</v>
      </c>
      <c r="AQ305" s="149">
        <f t="shared" si="113"/>
        <v>0.3396557486</v>
      </c>
      <c r="AR305" s="149">
        <f t="shared" si="113"/>
        <v>0.2335606149</v>
      </c>
      <c r="AS305" s="149">
        <f t="shared" si="113"/>
        <v>0.171473113</v>
      </c>
      <c r="AT305" s="163"/>
    </row>
    <row r="306">
      <c r="A306" s="80"/>
      <c r="B306" s="81"/>
      <c r="C306" s="90"/>
      <c r="D306" s="90"/>
      <c r="E306" s="140" t="s">
        <v>595</v>
      </c>
      <c r="F306" s="215" t="s">
        <v>122</v>
      </c>
      <c r="G306" s="216" t="s">
        <v>149</v>
      </c>
      <c r="H306" s="187" t="s">
        <v>150</v>
      </c>
      <c r="I306" s="149">
        <f t="shared" ref="I306:AS306" si="114">I297/I$299</f>
        <v>0.1698576254</v>
      </c>
      <c r="J306" s="149">
        <f t="shared" si="114"/>
        <v>0.1544041042</v>
      </c>
      <c r="K306" s="149">
        <f t="shared" si="114"/>
        <v>0.1145531288</v>
      </c>
      <c r="L306" s="149">
        <f t="shared" si="114"/>
        <v>0.1095755283</v>
      </c>
      <c r="M306" s="149">
        <f t="shared" si="114"/>
        <v>0.1291346645</v>
      </c>
      <c r="N306" s="149">
        <f t="shared" si="114"/>
        <v>0.1453366969</v>
      </c>
      <c r="O306" s="149">
        <f t="shared" si="114"/>
        <v>0.1480029587</v>
      </c>
      <c r="P306" s="149">
        <f t="shared" si="114"/>
        <v>0.1428958507</v>
      </c>
      <c r="Q306" s="149">
        <f t="shared" si="114"/>
        <v>0.140813748</v>
      </c>
      <c r="R306" s="149">
        <f t="shared" si="114"/>
        <v>0.1088106596</v>
      </c>
      <c r="S306" s="149">
        <f t="shared" si="114"/>
        <v>0.1577585964</v>
      </c>
      <c r="T306" s="149">
        <f t="shared" si="114"/>
        <v>0.1015008214</v>
      </c>
      <c r="U306" s="149">
        <f t="shared" si="114"/>
        <v>0.08289520687</v>
      </c>
      <c r="V306" s="149">
        <f t="shared" si="114"/>
        <v>0.1817876373</v>
      </c>
      <c r="W306" s="149">
        <f t="shared" si="114"/>
        <v>0.1758340445</v>
      </c>
      <c r="X306" s="149">
        <f t="shared" si="114"/>
        <v>0.1754357286</v>
      </c>
      <c r="Y306" s="149">
        <f t="shared" si="114"/>
        <v>0.1292118622</v>
      </c>
      <c r="Z306" s="149">
        <f t="shared" si="114"/>
        <v>0.09391532167</v>
      </c>
      <c r="AA306" s="149">
        <f t="shared" si="114"/>
        <v>0.1336499057</v>
      </c>
      <c r="AB306" s="149">
        <f t="shared" si="114"/>
        <v>0.09107310226</v>
      </c>
      <c r="AC306" s="149">
        <f t="shared" si="114"/>
        <v>0.1014586255</v>
      </c>
      <c r="AD306" s="149">
        <f t="shared" si="114"/>
        <v>0.1146783048</v>
      </c>
      <c r="AE306" s="149">
        <f t="shared" si="114"/>
        <v>0.0832982396</v>
      </c>
      <c r="AF306" s="149">
        <f t="shared" si="114"/>
        <v>0.08322481991</v>
      </c>
      <c r="AG306" s="149">
        <f t="shared" si="114"/>
        <v>0.1312661787</v>
      </c>
      <c r="AH306" s="149">
        <f t="shared" si="114"/>
        <v>0.1197495452</v>
      </c>
      <c r="AI306" s="149">
        <f t="shared" si="114"/>
        <v>0.06898129598</v>
      </c>
      <c r="AJ306" s="149">
        <f t="shared" si="114"/>
        <v>0.1320800993</v>
      </c>
      <c r="AK306" s="149">
        <f t="shared" si="114"/>
        <v>0.1577911524</v>
      </c>
      <c r="AL306" s="149">
        <f t="shared" si="114"/>
        <v>0.09589654926</v>
      </c>
      <c r="AM306" s="149">
        <f t="shared" si="114"/>
        <v>0.1177357059</v>
      </c>
      <c r="AN306" s="149">
        <f t="shared" si="114"/>
        <v>0.1030272425</v>
      </c>
      <c r="AO306" s="149">
        <f t="shared" si="114"/>
        <v>0.1410901202</v>
      </c>
      <c r="AP306" s="149">
        <f t="shared" si="114"/>
        <v>0.1508985584</v>
      </c>
      <c r="AQ306" s="149">
        <f t="shared" si="114"/>
        <v>0.09005481353</v>
      </c>
      <c r="AR306" s="149">
        <f t="shared" si="114"/>
        <v>0.175756011</v>
      </c>
      <c r="AS306" s="149">
        <f t="shared" si="114"/>
        <v>0.1568863093</v>
      </c>
      <c r="AT306" s="163"/>
    </row>
    <row r="307">
      <c r="A307" s="80"/>
      <c r="B307" s="81"/>
      <c r="C307" s="90"/>
      <c r="D307" s="90"/>
      <c r="E307" s="237" t="s">
        <v>601</v>
      </c>
      <c r="F307" s="195" t="s">
        <v>122</v>
      </c>
      <c r="G307" s="196" t="s">
        <v>149</v>
      </c>
      <c r="H307" s="197" t="s">
        <v>150</v>
      </c>
      <c r="I307" s="240">
        <f t="shared" ref="I307:AS307" si="115">I298/I$299</f>
        <v>0.00468212868</v>
      </c>
      <c r="J307" s="240">
        <f t="shared" si="115"/>
        <v>0.003534475085</v>
      </c>
      <c r="K307" s="240">
        <f t="shared" si="115"/>
        <v>0.006006960738</v>
      </c>
      <c r="L307" s="240">
        <f t="shared" si="115"/>
        <v>0.004473204577</v>
      </c>
      <c r="M307" s="240">
        <f t="shared" si="115"/>
        <v>0.002982906211</v>
      </c>
      <c r="N307" s="240">
        <f t="shared" si="115"/>
        <v>0.005609536867</v>
      </c>
      <c r="O307" s="240">
        <f t="shared" si="115"/>
        <v>0.004559496835</v>
      </c>
      <c r="P307" s="240">
        <f t="shared" si="115"/>
        <v>0.005277857615</v>
      </c>
      <c r="Q307" s="240">
        <f t="shared" si="115"/>
        <v>0.005813613661</v>
      </c>
      <c r="R307" s="240">
        <f t="shared" si="115"/>
        <v>0.001719280389</v>
      </c>
      <c r="S307" s="240">
        <f t="shared" si="115"/>
        <v>0.003038079668</v>
      </c>
      <c r="T307" s="240">
        <f t="shared" si="115"/>
        <v>0.00235125032</v>
      </c>
      <c r="U307" s="240">
        <f t="shared" si="115"/>
        <v>0.002021398124</v>
      </c>
      <c r="V307" s="240">
        <f t="shared" si="115"/>
        <v>0.003055112173</v>
      </c>
      <c r="W307" s="240">
        <f t="shared" si="115"/>
        <v>0.002025768861</v>
      </c>
      <c r="X307" s="240">
        <f t="shared" si="115"/>
        <v>0.004477879122</v>
      </c>
      <c r="Y307" s="240">
        <f t="shared" si="115"/>
        <v>0.00187313631</v>
      </c>
      <c r="Z307" s="240">
        <f t="shared" si="115"/>
        <v>0.002319632554</v>
      </c>
      <c r="AA307" s="240">
        <f t="shared" si="115"/>
        <v>0.002273941882</v>
      </c>
      <c r="AB307" s="240">
        <f t="shared" si="115"/>
        <v>0.001739601059</v>
      </c>
      <c r="AC307" s="240">
        <f t="shared" si="115"/>
        <v>0.002048315869</v>
      </c>
      <c r="AD307" s="240">
        <f t="shared" si="115"/>
        <v>0.001810834665</v>
      </c>
      <c r="AE307" s="240">
        <f t="shared" si="115"/>
        <v>0.002012314626</v>
      </c>
      <c r="AF307" s="240">
        <f t="shared" si="115"/>
        <v>0.001681110816</v>
      </c>
      <c r="AG307" s="240">
        <f t="shared" si="115"/>
        <v>0.002968131214</v>
      </c>
      <c r="AH307" s="240">
        <f t="shared" si="115"/>
        <v>0.002798889285</v>
      </c>
      <c r="AI307" s="240">
        <f t="shared" si="115"/>
        <v>0.001941059169</v>
      </c>
      <c r="AJ307" s="240">
        <f t="shared" si="115"/>
        <v>0.002664848382</v>
      </c>
      <c r="AK307" s="240">
        <f t="shared" si="115"/>
        <v>0.003147965106</v>
      </c>
      <c r="AL307" s="240">
        <f t="shared" si="115"/>
        <v>0.002182513744</v>
      </c>
      <c r="AM307" s="240">
        <f t="shared" si="115"/>
        <v>0.002047892255</v>
      </c>
      <c r="AN307" s="240">
        <f t="shared" si="115"/>
        <v>0.001980035509</v>
      </c>
      <c r="AO307" s="240">
        <f t="shared" si="115"/>
        <v>0.002467453513</v>
      </c>
      <c r="AP307" s="240">
        <f t="shared" si="115"/>
        <v>0.002310179607</v>
      </c>
      <c r="AQ307" s="240">
        <f t="shared" si="115"/>
        <v>0.001906110428</v>
      </c>
      <c r="AR307" s="240">
        <f t="shared" si="115"/>
        <v>0.00258673829</v>
      </c>
      <c r="AS307" s="240">
        <f t="shared" si="115"/>
        <v>0.004546037319</v>
      </c>
      <c r="AT307" s="248"/>
    </row>
    <row r="308">
      <c r="A308" s="80"/>
      <c r="B308" s="81"/>
      <c r="C308" s="90"/>
      <c r="D308" s="90"/>
      <c r="E308" s="243"/>
      <c r="F308" s="108"/>
      <c r="G308" s="122"/>
      <c r="H308" s="85"/>
      <c r="I308" s="111"/>
      <c r="J308" s="111"/>
      <c r="K308" s="111"/>
      <c r="L308" s="111"/>
      <c r="M308" s="111"/>
      <c r="N308" s="111"/>
      <c r="O308" s="111"/>
      <c r="P308" s="111"/>
      <c r="Q308" s="111"/>
      <c r="R308" s="111"/>
      <c r="S308" s="111"/>
      <c r="T308" s="111"/>
      <c r="U308" s="111"/>
      <c r="V308" s="111"/>
      <c r="W308" s="111"/>
      <c r="X308" s="111"/>
      <c r="Y308" s="111"/>
      <c r="Z308" s="111"/>
      <c r="AA308" s="111"/>
      <c r="AB308" s="111"/>
      <c r="AC308" s="111"/>
      <c r="AD308" s="111"/>
      <c r="AE308" s="111"/>
      <c r="AF308" s="111"/>
      <c r="AG308" s="111"/>
      <c r="AH308" s="111"/>
      <c r="AI308" s="111"/>
      <c r="AJ308" s="111"/>
      <c r="AK308" s="111"/>
      <c r="AL308" s="111"/>
      <c r="AM308" s="111"/>
      <c r="AN308" s="111"/>
      <c r="AO308" s="111"/>
      <c r="AP308" s="111"/>
      <c r="AQ308" s="111"/>
      <c r="AR308" s="111"/>
      <c r="AS308" s="111"/>
      <c r="AT308" s="88"/>
    </row>
    <row r="309">
      <c r="A309" s="80"/>
      <c r="B309" s="81"/>
      <c r="C309" s="112" t="s">
        <v>970</v>
      </c>
      <c r="F309" s="83"/>
      <c r="G309" s="91"/>
      <c r="H309" s="85"/>
      <c r="I309" s="86"/>
      <c r="J309" s="86"/>
      <c r="K309" s="86"/>
      <c r="L309" s="86"/>
      <c r="M309" s="86"/>
      <c r="N309" s="86"/>
      <c r="O309" s="86"/>
      <c r="P309" s="86"/>
      <c r="Q309" s="86"/>
      <c r="R309" s="86"/>
      <c r="S309" s="86"/>
      <c r="T309" s="111"/>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c r="AQ309" s="86"/>
      <c r="AR309" s="86"/>
      <c r="AS309" s="86"/>
      <c r="AT309" s="88"/>
    </row>
    <row r="310">
      <c r="A310" s="80"/>
      <c r="B310" s="81"/>
      <c r="C310" s="90"/>
      <c r="D310" s="90"/>
      <c r="E310" s="113" t="s">
        <v>973</v>
      </c>
      <c r="F310" s="189" t="str">
        <f>Inputs!F190</f>
        <v>%</v>
      </c>
      <c r="G310" s="190" t="str">
        <f>Inputs!G190</f>
        <v>input</v>
      </c>
      <c r="H310" s="156">
        <f>Inputs!H190</f>
        <v>-0.6</v>
      </c>
      <c r="I310" s="264" t="str">
        <f>Inputs!I190</f>
        <v>-</v>
      </c>
      <c r="J310" s="264" t="str">
        <f>Inputs!J190</f>
        <v>-</v>
      </c>
      <c r="K310" s="264" t="str">
        <f>Inputs!K190</f>
        <v>-</v>
      </c>
      <c r="L310" s="264" t="str">
        <f>Inputs!L190</f>
        <v>-</v>
      </c>
      <c r="M310" s="264" t="str">
        <f>Inputs!M190</f>
        <v>-</v>
      </c>
      <c r="N310" s="264" t="str">
        <f>Inputs!N190</f>
        <v>-</v>
      </c>
      <c r="O310" s="264" t="str">
        <f>Inputs!O190</f>
        <v>-</v>
      </c>
      <c r="P310" s="264" t="str">
        <f>Inputs!P190</f>
        <v>-</v>
      </c>
      <c r="Q310" s="264" t="str">
        <f>Inputs!Q190</f>
        <v>-</v>
      </c>
      <c r="R310" s="264" t="str">
        <f>Inputs!R190</f>
        <v>-</v>
      </c>
      <c r="S310" s="264" t="str">
        <f>Inputs!S190</f>
        <v>-</v>
      </c>
      <c r="T310" s="119" t="str">
        <f>Inputs!T190</f>
        <v>-</v>
      </c>
      <c r="U310" s="264" t="str">
        <f>Inputs!U190</f>
        <v>-</v>
      </c>
      <c r="V310" s="264" t="str">
        <f>Inputs!V190</f>
        <v>-</v>
      </c>
      <c r="W310" s="264" t="str">
        <f>Inputs!W190</f>
        <v>-</v>
      </c>
      <c r="X310" s="264" t="str">
        <f>Inputs!X190</f>
        <v>-</v>
      </c>
      <c r="Y310" s="264" t="str">
        <f>Inputs!Y190</f>
        <v>-</v>
      </c>
      <c r="Z310" s="264" t="str">
        <f>Inputs!Z190</f>
        <v>-</v>
      </c>
      <c r="AA310" s="264" t="str">
        <f>Inputs!AA190</f>
        <v>-</v>
      </c>
      <c r="AB310" s="264" t="str">
        <f>Inputs!AB190</f>
        <v>-</v>
      </c>
      <c r="AC310" s="264" t="str">
        <f>Inputs!AC190</f>
        <v>-</v>
      </c>
      <c r="AD310" s="264" t="str">
        <f>Inputs!AD190</f>
        <v>-</v>
      </c>
      <c r="AE310" s="264" t="str">
        <f>Inputs!AE190</f>
        <v>-</v>
      </c>
      <c r="AF310" s="264" t="str">
        <f>Inputs!AF190</f>
        <v>-</v>
      </c>
      <c r="AG310" s="264" t="str">
        <f>Inputs!AG190</f>
        <v>-</v>
      </c>
      <c r="AH310" s="264" t="str">
        <f>Inputs!AH190</f>
        <v>-</v>
      </c>
      <c r="AI310" s="264" t="str">
        <f>Inputs!AI190</f>
        <v>-</v>
      </c>
      <c r="AJ310" s="264" t="str">
        <f>Inputs!AJ190</f>
        <v>-</v>
      </c>
      <c r="AK310" s="264" t="str">
        <f>Inputs!AK190</f>
        <v>-</v>
      </c>
      <c r="AL310" s="264" t="str">
        <f>Inputs!AL190</f>
        <v>-</v>
      </c>
      <c r="AM310" s="264" t="str">
        <f>Inputs!AM190</f>
        <v>-</v>
      </c>
      <c r="AN310" s="264" t="str">
        <f>Inputs!AN190</f>
        <v>-</v>
      </c>
      <c r="AO310" s="264" t="str">
        <f>Inputs!AO190</f>
        <v>-</v>
      </c>
      <c r="AP310" s="264" t="str">
        <f>Inputs!AP190</f>
        <v>-</v>
      </c>
      <c r="AQ310" s="264" t="str">
        <f>Inputs!AQ190</f>
        <v>-</v>
      </c>
      <c r="AR310" s="264" t="str">
        <f>Inputs!AR190</f>
        <v>-</v>
      </c>
      <c r="AS310" s="264" t="str">
        <f>Inputs!AS190</f>
        <v>-</v>
      </c>
      <c r="AT310" s="136"/>
    </row>
    <row r="311">
      <c r="A311" s="80"/>
      <c r="B311" s="81"/>
      <c r="C311" s="90"/>
      <c r="D311" s="90"/>
      <c r="E311" s="113" t="s">
        <v>976</v>
      </c>
      <c r="F311" s="189" t="s">
        <v>122</v>
      </c>
      <c r="G311" s="190" t="s">
        <v>149</v>
      </c>
      <c r="H311" s="200" t="s">
        <v>150</v>
      </c>
      <c r="I311" s="264">
        <f t="shared" ref="I311:AS311" si="116">I11*(1+$H310)</f>
        <v>0.0197447248</v>
      </c>
      <c r="J311" s="264">
        <f t="shared" si="116"/>
        <v>0.0120969272</v>
      </c>
      <c r="K311" s="264">
        <f t="shared" si="116"/>
        <v>0.0209349408</v>
      </c>
      <c r="L311" s="264">
        <f t="shared" si="116"/>
        <v>0.0069874588</v>
      </c>
      <c r="M311" s="264">
        <f t="shared" si="116"/>
        <v>0.0098190092</v>
      </c>
      <c r="N311" s="264">
        <f t="shared" si="116"/>
        <v>0.0172369948</v>
      </c>
      <c r="O311" s="264">
        <f t="shared" si="116"/>
        <v>0.0211514848</v>
      </c>
      <c r="P311" s="264">
        <f t="shared" si="116"/>
        <v>0.0223718856</v>
      </c>
      <c r="Q311" s="264">
        <f t="shared" si="116"/>
        <v>0.0261108888</v>
      </c>
      <c r="R311" s="264">
        <f t="shared" si="116"/>
        <v>0.0050399516</v>
      </c>
      <c r="S311" s="264">
        <f t="shared" si="116"/>
        <v>0.0092019052</v>
      </c>
      <c r="T311" s="264">
        <f t="shared" si="116"/>
        <v>0.0052116544</v>
      </c>
      <c r="U311" s="264">
        <f t="shared" si="116"/>
        <v>0.0049339784</v>
      </c>
      <c r="V311" s="264">
        <f t="shared" si="116"/>
        <v>0.0058623708</v>
      </c>
      <c r="W311" s="264">
        <f t="shared" si="116"/>
        <v>0.0084037008</v>
      </c>
      <c r="X311" s="264">
        <f t="shared" si="116"/>
        <v>0.0088671624</v>
      </c>
      <c r="Y311" s="264">
        <f t="shared" si="116"/>
        <v>0.0057767056</v>
      </c>
      <c r="Z311" s="264">
        <f t="shared" si="116"/>
        <v>0.0047778404</v>
      </c>
      <c r="AA311" s="264">
        <f t="shared" si="116"/>
        <v>0.007150308</v>
      </c>
      <c r="AB311" s="264">
        <f t="shared" si="116"/>
        <v>0.004366236</v>
      </c>
      <c r="AC311" s="264">
        <f t="shared" si="116"/>
        <v>0.0048194784</v>
      </c>
      <c r="AD311" s="264">
        <f t="shared" si="116"/>
        <v>0.0054699584</v>
      </c>
      <c r="AE311" s="264">
        <f t="shared" si="116"/>
        <v>0.003917148</v>
      </c>
      <c r="AF311" s="264">
        <f t="shared" si="116"/>
        <v>0.0046441324</v>
      </c>
      <c r="AG311" s="264">
        <f t="shared" si="116"/>
        <v>0.0060341872</v>
      </c>
      <c r="AH311" s="264">
        <f t="shared" si="116"/>
        <v>0.0055867408</v>
      </c>
      <c r="AI311" s="264">
        <f t="shared" si="116"/>
        <v>0.002957082</v>
      </c>
      <c r="AJ311" s="264">
        <f t="shared" si="116"/>
        <v>0.0061639896</v>
      </c>
      <c r="AK311" s="264">
        <f t="shared" si="116"/>
        <v>0.009929406</v>
      </c>
      <c r="AL311" s="264">
        <f t="shared" si="116"/>
        <v>0.0063466676</v>
      </c>
      <c r="AM311" s="264">
        <f t="shared" si="116"/>
        <v>0.00566302</v>
      </c>
      <c r="AN311" s="264">
        <f t="shared" si="116"/>
        <v>0.0046344004</v>
      </c>
      <c r="AO311" s="264">
        <f t="shared" si="116"/>
        <v>0.0034198728</v>
      </c>
      <c r="AP311" s="264">
        <f t="shared" si="116"/>
        <v>0.0061028748</v>
      </c>
      <c r="AQ311" s="264">
        <f t="shared" si="116"/>
        <v>0.0047476688</v>
      </c>
      <c r="AR311" s="264">
        <f t="shared" si="116"/>
        <v>0.0083404424</v>
      </c>
      <c r="AS311" s="264">
        <f t="shared" si="116"/>
        <v>0.0175083776</v>
      </c>
      <c r="AT311" s="136"/>
    </row>
    <row r="312">
      <c r="A312" s="80"/>
      <c r="B312" s="81"/>
      <c r="C312" s="90"/>
      <c r="D312" s="90"/>
      <c r="E312" s="113" t="s">
        <v>977</v>
      </c>
      <c r="F312" s="189" t="s">
        <v>122</v>
      </c>
      <c r="G312" s="190" t="s">
        <v>149</v>
      </c>
      <c r="H312" s="200" t="s">
        <v>150</v>
      </c>
      <c r="I312" s="264">
        <f t="shared" ref="I312:AS312" si="117">SUM(I23,I39,I55)*(1+$H310)</f>
        <v>0.0001493064</v>
      </c>
      <c r="J312" s="264">
        <f t="shared" si="117"/>
        <v>0.0001640912</v>
      </c>
      <c r="K312" s="264">
        <f t="shared" si="117"/>
        <v>0.0001477192</v>
      </c>
      <c r="L312" s="264">
        <f t="shared" si="117"/>
        <v>0.000097816</v>
      </c>
      <c r="M312" s="264">
        <f t="shared" si="117"/>
        <v>0.0000934748</v>
      </c>
      <c r="N312" s="264">
        <f t="shared" si="117"/>
        <v>0.0001282652</v>
      </c>
      <c r="O312" s="264">
        <f t="shared" si="117"/>
        <v>0.0002189976</v>
      </c>
      <c r="P312" s="264">
        <f t="shared" si="117"/>
        <v>0.000267298</v>
      </c>
      <c r="Q312" s="264">
        <f t="shared" si="117"/>
        <v>0.0002701688</v>
      </c>
      <c r="R312" s="264">
        <f t="shared" si="117"/>
        <v>0.00004411</v>
      </c>
      <c r="S312" s="264">
        <f t="shared" si="117"/>
        <v>0.000081218</v>
      </c>
      <c r="T312" s="264">
        <f t="shared" si="117"/>
        <v>0.000043548</v>
      </c>
      <c r="U312" s="264">
        <f t="shared" si="117"/>
        <v>0.000035088</v>
      </c>
      <c r="V312" s="264">
        <f t="shared" si="117"/>
        <v>0.000064642</v>
      </c>
      <c r="W312" s="264">
        <f t="shared" si="117"/>
        <v>0.00005253</v>
      </c>
      <c r="X312" s="264">
        <f t="shared" si="117"/>
        <v>0.0000650772</v>
      </c>
      <c r="Y312" s="264">
        <f t="shared" si="117"/>
        <v>0.000045098</v>
      </c>
      <c r="Z312" s="264">
        <f t="shared" si="117"/>
        <v>0.000039364</v>
      </c>
      <c r="AA312" s="264">
        <f t="shared" si="117"/>
        <v>0.0000604284</v>
      </c>
      <c r="AB312" s="264">
        <f t="shared" si="117"/>
        <v>0.000038628</v>
      </c>
      <c r="AC312" s="264">
        <f t="shared" si="117"/>
        <v>0.0000393716</v>
      </c>
      <c r="AD312" s="264">
        <f t="shared" si="117"/>
        <v>0.0000440156</v>
      </c>
      <c r="AE312" s="264">
        <f t="shared" si="117"/>
        <v>0.000032004</v>
      </c>
      <c r="AF312" s="264">
        <f t="shared" si="117"/>
        <v>0.000037144</v>
      </c>
      <c r="AG312" s="264">
        <f t="shared" si="117"/>
        <v>0.0000710564</v>
      </c>
      <c r="AH312" s="264">
        <f t="shared" si="117"/>
        <v>0.0000536316</v>
      </c>
      <c r="AI312" s="264">
        <f t="shared" si="117"/>
        <v>0.0000211628</v>
      </c>
      <c r="AJ312" s="264">
        <f t="shared" si="117"/>
        <v>0.0000549688</v>
      </c>
      <c r="AK312" s="264">
        <f t="shared" si="117"/>
        <v>0.000105546</v>
      </c>
      <c r="AL312" s="264">
        <f t="shared" si="117"/>
        <v>0.0000590868</v>
      </c>
      <c r="AM312" s="264">
        <f t="shared" si="117"/>
        <v>0.0000452292</v>
      </c>
      <c r="AN312" s="264">
        <f t="shared" si="117"/>
        <v>0.0000343264</v>
      </c>
      <c r="AO312" s="264">
        <f t="shared" si="117"/>
        <v>0.0000478012</v>
      </c>
      <c r="AP312" s="264">
        <f t="shared" si="117"/>
        <v>0.00004414</v>
      </c>
      <c r="AQ312" s="264">
        <f t="shared" si="117"/>
        <v>0.000041988</v>
      </c>
      <c r="AR312" s="264">
        <f t="shared" si="117"/>
        <v>0.0000914788</v>
      </c>
      <c r="AS312" s="264">
        <f t="shared" si="117"/>
        <v>0.0001321852</v>
      </c>
      <c r="AT312" s="136"/>
    </row>
    <row r="313">
      <c r="A313" s="80"/>
      <c r="B313" s="81"/>
      <c r="C313" s="90"/>
      <c r="D313" s="90"/>
      <c r="E313" s="113" t="s">
        <v>980</v>
      </c>
      <c r="F313" s="189" t="s">
        <v>122</v>
      </c>
      <c r="G313" s="190" t="s">
        <v>149</v>
      </c>
      <c r="H313" s="200" t="s">
        <v>150</v>
      </c>
      <c r="I313" s="264">
        <f t="shared" ref="I313:AS313" si="118">SUM(I91,I124)*(1+$H310)</f>
        <v>0.0003174539619</v>
      </c>
      <c r="J313" s="264">
        <f t="shared" si="118"/>
        <v>0.0003114100079</v>
      </c>
      <c r="K313" s="264">
        <f t="shared" si="118"/>
        <v>0.0003270416851</v>
      </c>
      <c r="L313" s="264">
        <f t="shared" si="118"/>
        <v>0.0002206809092</v>
      </c>
      <c r="M313" s="264">
        <f t="shared" si="118"/>
        <v>0.0002446105177</v>
      </c>
      <c r="N313" s="264">
        <f t="shared" si="118"/>
        <v>0.0002814843801</v>
      </c>
      <c r="O313" s="264">
        <f t="shared" si="118"/>
        <v>0.0003387555845</v>
      </c>
      <c r="P313" s="264">
        <f t="shared" si="118"/>
        <v>0.0003298406493</v>
      </c>
      <c r="Q313" s="264">
        <f t="shared" si="118"/>
        <v>0.0004007285175</v>
      </c>
      <c r="R313" s="264">
        <f t="shared" si="118"/>
        <v>0.0002006092609</v>
      </c>
      <c r="S313" s="264">
        <f t="shared" si="118"/>
        <v>0.0003012811643</v>
      </c>
      <c r="T313" s="264">
        <f t="shared" si="118"/>
        <v>0.0002223460986</v>
      </c>
      <c r="U313" s="264">
        <f t="shared" si="118"/>
        <v>0.0002066666457</v>
      </c>
      <c r="V313" s="264">
        <f t="shared" si="118"/>
        <v>0.0002486911059</v>
      </c>
      <c r="W313" s="264">
        <f t="shared" si="118"/>
        <v>0.0002782436015</v>
      </c>
      <c r="X313" s="264">
        <f t="shared" si="118"/>
        <v>0.000253618182</v>
      </c>
      <c r="Y313" s="264">
        <f t="shared" si="118"/>
        <v>0.0003976598268</v>
      </c>
      <c r="Z313" s="264">
        <f t="shared" si="118"/>
        <v>0.0002012726327</v>
      </c>
      <c r="AA313" s="264">
        <f t="shared" si="118"/>
        <v>0.0002535107531</v>
      </c>
      <c r="AB313" s="264">
        <f t="shared" si="118"/>
        <v>0.0001820745418</v>
      </c>
      <c r="AC313" s="264">
        <f t="shared" si="118"/>
        <v>0.000201866153</v>
      </c>
      <c r="AD313" s="264">
        <f t="shared" si="118"/>
        <v>0.0002180349075</v>
      </c>
      <c r="AE313" s="264">
        <f t="shared" si="118"/>
        <v>0.0001455546013</v>
      </c>
      <c r="AF313" s="264">
        <f t="shared" si="118"/>
        <v>0.0001854363475</v>
      </c>
      <c r="AG313" s="264">
        <f t="shared" si="118"/>
        <v>0.0002448679343</v>
      </c>
      <c r="AH313" s="264">
        <f t="shared" si="118"/>
        <v>0.0002171409228</v>
      </c>
      <c r="AI313" s="264">
        <f t="shared" si="118"/>
        <v>0.0001468946843</v>
      </c>
      <c r="AJ313" s="264">
        <f t="shared" si="118"/>
        <v>0.0002019322233</v>
      </c>
      <c r="AK313" s="264">
        <f t="shared" si="118"/>
        <v>0.000268235155</v>
      </c>
      <c r="AL313" s="264">
        <f t="shared" si="118"/>
        <v>0.0002338348183</v>
      </c>
      <c r="AM313" s="264">
        <f t="shared" si="118"/>
        <v>0.0002300403766</v>
      </c>
      <c r="AN313" s="264">
        <f t="shared" si="118"/>
        <v>0.0001865121868</v>
      </c>
      <c r="AO313" s="264">
        <f t="shared" si="118"/>
        <v>0.0001819128857</v>
      </c>
      <c r="AP313" s="264">
        <f t="shared" si="118"/>
        <v>0.0002035894785</v>
      </c>
      <c r="AQ313" s="264">
        <f t="shared" si="118"/>
        <v>0.0002000317312</v>
      </c>
      <c r="AR313" s="264">
        <f t="shared" si="118"/>
        <v>0.0002272011087</v>
      </c>
      <c r="AS313" s="264">
        <f t="shared" si="118"/>
        <v>0.0002990283692</v>
      </c>
      <c r="AT313" s="136"/>
    </row>
    <row r="314">
      <c r="A314" s="80"/>
      <c r="B314" s="81"/>
      <c r="C314" s="90"/>
      <c r="D314" s="90"/>
      <c r="E314" s="113" t="s">
        <v>982</v>
      </c>
      <c r="F314" s="189" t="s">
        <v>122</v>
      </c>
      <c r="G314" s="190" t="s">
        <v>149</v>
      </c>
      <c r="H314" s="200" t="s">
        <v>150</v>
      </c>
      <c r="I314" s="264">
        <f t="shared" ref="I314:AS314" si="119">SUM(I97,I132)*(1+$H310)</f>
        <v>0.005337923035</v>
      </c>
      <c r="J314" s="264">
        <f t="shared" si="119"/>
        <v>0.00524689461</v>
      </c>
      <c r="K314" s="264">
        <f t="shared" si="119"/>
        <v>0.005493147653</v>
      </c>
      <c r="L314" s="264">
        <f t="shared" si="119"/>
        <v>0.003728511123</v>
      </c>
      <c r="M314" s="264">
        <f t="shared" si="119"/>
        <v>0.004122999178</v>
      </c>
      <c r="N314" s="264">
        <f t="shared" si="119"/>
        <v>0.004728642306</v>
      </c>
      <c r="O314" s="264">
        <f t="shared" si="119"/>
        <v>0.005669099806</v>
      </c>
      <c r="P314" s="264">
        <f t="shared" si="119"/>
        <v>0.005496191437</v>
      </c>
      <c r="Q314" s="264">
        <f t="shared" si="119"/>
        <v>0.006706862793</v>
      </c>
      <c r="R314" s="264">
        <f t="shared" si="119"/>
        <v>0.003429687046</v>
      </c>
      <c r="S314" s="264">
        <f t="shared" si="119"/>
        <v>0.005122888908</v>
      </c>
      <c r="T314" s="264">
        <f t="shared" si="119"/>
        <v>0.003797684542</v>
      </c>
      <c r="U314" s="264">
        <f t="shared" si="119"/>
        <v>0.003544841719</v>
      </c>
      <c r="V314" s="264">
        <f t="shared" si="119"/>
        <v>0.004234638919</v>
      </c>
      <c r="W314" s="264">
        <f t="shared" si="119"/>
        <v>0.004744790739</v>
      </c>
      <c r="X314" s="264">
        <f t="shared" si="119"/>
        <v>0.004297700435</v>
      </c>
      <c r="Y314" s="264">
        <f t="shared" si="119"/>
        <v>0.006931182658</v>
      </c>
      <c r="Z314" s="264">
        <f t="shared" si="119"/>
        <v>0.003437510486</v>
      </c>
      <c r="AA314" s="264">
        <f t="shared" si="119"/>
        <v>0.004328601791</v>
      </c>
      <c r="AB314" s="264">
        <f t="shared" si="119"/>
        <v>0.003113033834</v>
      </c>
      <c r="AC314" s="264">
        <f t="shared" si="119"/>
        <v>0.003458036648</v>
      </c>
      <c r="AD314" s="264">
        <f t="shared" si="119"/>
        <v>0.003729338962</v>
      </c>
      <c r="AE314" s="264">
        <f t="shared" si="119"/>
        <v>0.002482116579</v>
      </c>
      <c r="AF314" s="264">
        <f t="shared" si="119"/>
        <v>0.00317555754</v>
      </c>
      <c r="AG314" s="264">
        <f t="shared" si="119"/>
        <v>0.004194021227</v>
      </c>
      <c r="AH314" s="264">
        <f t="shared" si="119"/>
        <v>0.003703362394</v>
      </c>
      <c r="AI314" s="264">
        <f t="shared" si="119"/>
        <v>0.002510767243</v>
      </c>
      <c r="AJ314" s="264">
        <f t="shared" si="119"/>
        <v>0.003433752696</v>
      </c>
      <c r="AK314" s="264">
        <f t="shared" si="119"/>
        <v>0.004531712746</v>
      </c>
      <c r="AL314" s="264">
        <f t="shared" si="119"/>
        <v>0.00397648541</v>
      </c>
      <c r="AM314" s="264">
        <f t="shared" si="119"/>
        <v>0.003935971902</v>
      </c>
      <c r="AN314" s="264">
        <f t="shared" si="119"/>
        <v>0.003193428296</v>
      </c>
      <c r="AO314" s="264">
        <f t="shared" si="119"/>
        <v>0.003099764069</v>
      </c>
      <c r="AP314" s="264">
        <f t="shared" si="119"/>
        <v>0.003463964245</v>
      </c>
      <c r="AQ314" s="264">
        <f t="shared" si="119"/>
        <v>0.003416538474</v>
      </c>
      <c r="AR314" s="264">
        <f t="shared" si="119"/>
        <v>0.003834082025</v>
      </c>
      <c r="AS314" s="264">
        <f t="shared" si="119"/>
        <v>0.005026007451</v>
      </c>
      <c r="AT314" s="136"/>
    </row>
    <row r="315">
      <c r="A315" s="80"/>
      <c r="B315" s="81"/>
      <c r="C315" s="90"/>
      <c r="D315" s="90"/>
      <c r="E315" s="113" t="s">
        <v>984</v>
      </c>
      <c r="F315" s="215" t="s">
        <v>122</v>
      </c>
      <c r="G315" s="216" t="s">
        <v>149</v>
      </c>
      <c r="H315" s="187" t="s">
        <v>150</v>
      </c>
      <c r="I315" s="264">
        <f t="shared" ref="I315:AS315" si="120">I157*(1+$H310)</f>
        <v>0.005938637712</v>
      </c>
      <c r="J315" s="264">
        <f t="shared" si="120"/>
        <v>0.004274297763</v>
      </c>
      <c r="K315" s="264">
        <f t="shared" si="120"/>
        <v>0.004131327485</v>
      </c>
      <c r="L315" s="264">
        <f t="shared" si="120"/>
        <v>0.001554179575</v>
      </c>
      <c r="M315" s="264">
        <f t="shared" si="120"/>
        <v>0.002453382534</v>
      </c>
      <c r="N315" s="264">
        <f t="shared" si="120"/>
        <v>0.004426642041</v>
      </c>
      <c r="O315" s="264">
        <f t="shared" si="120"/>
        <v>0.00579491386</v>
      </c>
      <c r="P315" s="264">
        <f t="shared" si="120"/>
        <v>0.005543327093</v>
      </c>
      <c r="Q315" s="264">
        <f t="shared" si="120"/>
        <v>0.006605035196</v>
      </c>
      <c r="R315" s="264">
        <f t="shared" si="120"/>
        <v>0.0009284298196</v>
      </c>
      <c r="S315" s="264">
        <f t="shared" si="120"/>
        <v>0.002969024396</v>
      </c>
      <c r="T315" s="264">
        <f t="shared" si="120"/>
        <v>0.00112694563</v>
      </c>
      <c r="U315" s="264">
        <f t="shared" si="120"/>
        <v>0.0007876559766</v>
      </c>
      <c r="V315" s="264">
        <f t="shared" si="120"/>
        <v>0.002242845457</v>
      </c>
      <c r="W315" s="264">
        <f t="shared" si="120"/>
        <v>0.002977533304</v>
      </c>
      <c r="X315" s="264">
        <f t="shared" si="120"/>
        <v>0.003141920989</v>
      </c>
      <c r="Y315" s="264">
        <f t="shared" si="120"/>
        <v>0.001827378089</v>
      </c>
      <c r="Z315" s="264">
        <f t="shared" si="120"/>
        <v>0.000927264609</v>
      </c>
      <c r="AA315" s="264">
        <f t="shared" si="120"/>
        <v>0.001991835473</v>
      </c>
      <c r="AB315" s="264">
        <f t="shared" si="120"/>
        <v>0.0008000006493</v>
      </c>
      <c r="AC315" s="264">
        <f t="shared" si="120"/>
        <v>0.0009832084948</v>
      </c>
      <c r="AD315" s="264">
        <f t="shared" si="120"/>
        <v>0.001220242183</v>
      </c>
      <c r="AE315" s="264">
        <f t="shared" si="120"/>
        <v>0.0005990517546</v>
      </c>
      <c r="AF315" s="264">
        <f t="shared" si="120"/>
        <v>0.0007203683022</v>
      </c>
      <c r="AG315" s="264">
        <f t="shared" si="120"/>
        <v>0.001600515926</v>
      </c>
      <c r="AH315" s="264">
        <f t="shared" si="120"/>
        <v>0.00133171471</v>
      </c>
      <c r="AI315" s="264">
        <f t="shared" si="120"/>
        <v>0.0004001003638</v>
      </c>
      <c r="AJ315" s="264">
        <f t="shared" si="120"/>
        <v>0.001627035825</v>
      </c>
      <c r="AK315" s="264">
        <f t="shared" si="120"/>
        <v>0.003118472785</v>
      </c>
      <c r="AL315" s="264">
        <f t="shared" si="120"/>
        <v>0.001177075106</v>
      </c>
      <c r="AM315" s="264">
        <f t="shared" si="120"/>
        <v>0.001384339918</v>
      </c>
      <c r="AN315" s="264">
        <f t="shared" si="120"/>
        <v>0.0008469383835</v>
      </c>
      <c r="AO315" s="264">
        <f t="shared" si="120"/>
        <v>0.001162055615</v>
      </c>
      <c r="AP315" s="264">
        <f t="shared" si="120"/>
        <v>0.001900872293</v>
      </c>
      <c r="AQ315" s="264">
        <f t="shared" si="120"/>
        <v>0.0008442775049</v>
      </c>
      <c r="AR315" s="264">
        <f t="shared" si="120"/>
        <v>0.003026480022</v>
      </c>
      <c r="AS315" s="264">
        <f t="shared" si="120"/>
        <v>0.004952269618</v>
      </c>
      <c r="AT315" s="163"/>
    </row>
    <row r="316">
      <c r="A316" s="80"/>
      <c r="B316" s="81"/>
      <c r="C316" s="90"/>
      <c r="D316" s="90"/>
      <c r="E316" s="140" t="s">
        <v>986</v>
      </c>
      <c r="F316" s="215" t="s">
        <v>122</v>
      </c>
      <c r="G316" s="216" t="s">
        <v>149</v>
      </c>
      <c r="H316" s="187" t="s">
        <v>150</v>
      </c>
      <c r="I316" s="264">
        <f t="shared" ref="I316:AS316" si="121">I165*(1+$H310)</f>
        <v>0.0000052</v>
      </c>
      <c r="J316" s="264">
        <f t="shared" si="121"/>
        <v>0.000002788</v>
      </c>
      <c r="K316" s="264">
        <f t="shared" si="121"/>
        <v>0.00000544</v>
      </c>
      <c r="L316" s="264">
        <f t="shared" si="121"/>
        <v>0.000002096</v>
      </c>
      <c r="M316" s="264">
        <f t="shared" si="121"/>
        <v>0.00000204</v>
      </c>
      <c r="N316" s="264">
        <f t="shared" si="121"/>
        <v>0.0000054</v>
      </c>
      <c r="O316" s="264">
        <f t="shared" si="121"/>
        <v>0.00000512</v>
      </c>
      <c r="P316" s="264">
        <f t="shared" si="121"/>
        <v>0.00000688</v>
      </c>
      <c r="Q316" s="264">
        <f t="shared" si="121"/>
        <v>0.00000712</v>
      </c>
      <c r="R316" s="264">
        <f t="shared" si="121"/>
        <v>0.000000512</v>
      </c>
      <c r="S316" s="264">
        <f t="shared" si="121"/>
        <v>0.00000146</v>
      </c>
      <c r="T316" s="264">
        <f t="shared" si="121"/>
        <v>0.000000828</v>
      </c>
      <c r="U316" s="264">
        <f t="shared" si="121"/>
        <v>0.000000596</v>
      </c>
      <c r="V316" s="264">
        <f t="shared" si="121"/>
        <v>0.000001148</v>
      </c>
      <c r="W316" s="264">
        <f t="shared" si="121"/>
        <v>0.000001012</v>
      </c>
      <c r="X316" s="264">
        <f t="shared" si="121"/>
        <v>0.000002148</v>
      </c>
      <c r="Y316" s="264">
        <f t="shared" si="121"/>
        <v>0.00000086</v>
      </c>
      <c r="Z316" s="264">
        <f t="shared" si="121"/>
        <v>0.000000748</v>
      </c>
      <c r="AA316" s="264">
        <f t="shared" si="121"/>
        <v>0.00000096</v>
      </c>
      <c r="AB316" s="264">
        <f t="shared" si="121"/>
        <v>0.000000596</v>
      </c>
      <c r="AC316" s="264">
        <f t="shared" si="121"/>
        <v>0.000000668</v>
      </c>
      <c r="AD316" s="264">
        <f t="shared" si="121"/>
        <v>0.00000052</v>
      </c>
      <c r="AE316" s="264">
        <f t="shared" si="121"/>
        <v>0.000000548</v>
      </c>
      <c r="AF316" s="264">
        <f t="shared" si="121"/>
        <v>0.000000472</v>
      </c>
      <c r="AG316" s="264">
        <f t="shared" si="121"/>
        <v>0.000000972</v>
      </c>
      <c r="AH316" s="264">
        <f t="shared" si="121"/>
        <v>0.00000124</v>
      </c>
      <c r="AI316" s="264">
        <f t="shared" si="121"/>
        <v>0.000000432</v>
      </c>
      <c r="AJ316" s="264">
        <f t="shared" si="121"/>
        <v>0.000001212</v>
      </c>
      <c r="AK316" s="264">
        <f t="shared" si="121"/>
        <v>0.000002044</v>
      </c>
      <c r="AL316" s="264">
        <f t="shared" si="121"/>
        <v>0.000000796</v>
      </c>
      <c r="AM316" s="264">
        <f t="shared" si="121"/>
        <v>0.000000668</v>
      </c>
      <c r="AN316" s="264">
        <f t="shared" si="121"/>
        <v>0.00000048</v>
      </c>
      <c r="AO316" s="264">
        <f t="shared" si="121"/>
        <v>0.000000696</v>
      </c>
      <c r="AP316" s="264">
        <f t="shared" si="121"/>
        <v>0.00000102</v>
      </c>
      <c r="AQ316" s="264">
        <f t="shared" si="121"/>
        <v>0.000000644</v>
      </c>
      <c r="AR316" s="264">
        <f t="shared" si="121"/>
        <v>0.000001948</v>
      </c>
      <c r="AS316" s="264">
        <f t="shared" si="121"/>
        <v>0.000003952</v>
      </c>
      <c r="AT316" s="163"/>
    </row>
    <row r="317">
      <c r="A317" s="80"/>
      <c r="B317" s="81"/>
      <c r="C317" s="90"/>
      <c r="D317" s="90"/>
      <c r="E317" s="237" t="s">
        <v>334</v>
      </c>
      <c r="F317" s="195" t="s">
        <v>122</v>
      </c>
      <c r="G317" s="196" t="s">
        <v>149</v>
      </c>
      <c r="H317" s="197" t="s">
        <v>150</v>
      </c>
      <c r="I317" s="457">
        <f t="shared" ref="I317:AS317" si="122">SUM(I311:I316)</f>
        <v>0.03149324591</v>
      </c>
      <c r="J317" s="457">
        <f t="shared" si="122"/>
        <v>0.02209640878</v>
      </c>
      <c r="K317" s="457">
        <f t="shared" si="122"/>
        <v>0.03103961682</v>
      </c>
      <c r="L317" s="457">
        <f t="shared" si="122"/>
        <v>0.01259074241</v>
      </c>
      <c r="M317" s="457">
        <f t="shared" si="122"/>
        <v>0.01673551623</v>
      </c>
      <c r="N317" s="457">
        <f t="shared" si="122"/>
        <v>0.02680742873</v>
      </c>
      <c r="O317" s="457">
        <f t="shared" si="122"/>
        <v>0.03317837165</v>
      </c>
      <c r="P317" s="457">
        <f t="shared" si="122"/>
        <v>0.03401542278</v>
      </c>
      <c r="Q317" s="457">
        <f t="shared" si="122"/>
        <v>0.04010080411</v>
      </c>
      <c r="R317" s="457">
        <f t="shared" si="122"/>
        <v>0.009643299727</v>
      </c>
      <c r="S317" s="457">
        <f t="shared" si="122"/>
        <v>0.01767777767</v>
      </c>
      <c r="T317" s="457">
        <f t="shared" si="122"/>
        <v>0.01040300667</v>
      </c>
      <c r="U317" s="457">
        <f t="shared" si="122"/>
        <v>0.009508826741</v>
      </c>
      <c r="V317" s="457">
        <f t="shared" si="122"/>
        <v>0.01265433628</v>
      </c>
      <c r="W317" s="457">
        <f t="shared" si="122"/>
        <v>0.01645781044</v>
      </c>
      <c r="X317" s="457">
        <f t="shared" si="122"/>
        <v>0.01662762721</v>
      </c>
      <c r="Y317" s="457">
        <f t="shared" si="122"/>
        <v>0.01497888417</v>
      </c>
      <c r="Z317" s="457">
        <f t="shared" si="122"/>
        <v>0.009384000127</v>
      </c>
      <c r="AA317" s="457">
        <f t="shared" si="122"/>
        <v>0.01378564442</v>
      </c>
      <c r="AB317" s="457">
        <f t="shared" si="122"/>
        <v>0.008500569025</v>
      </c>
      <c r="AC317" s="457">
        <f t="shared" si="122"/>
        <v>0.009502629296</v>
      </c>
      <c r="AD317" s="457">
        <f t="shared" si="122"/>
        <v>0.01068211005</v>
      </c>
      <c r="AE317" s="457">
        <f t="shared" si="122"/>
        <v>0.007176422934</v>
      </c>
      <c r="AF317" s="457">
        <f t="shared" si="122"/>
        <v>0.00876311059</v>
      </c>
      <c r="AG317" s="457">
        <f t="shared" si="122"/>
        <v>0.01214562069</v>
      </c>
      <c r="AH317" s="457">
        <f t="shared" si="122"/>
        <v>0.01089383043</v>
      </c>
      <c r="AI317" s="457">
        <f t="shared" si="122"/>
        <v>0.006036439091</v>
      </c>
      <c r="AJ317" s="457">
        <f t="shared" si="122"/>
        <v>0.01148289114</v>
      </c>
      <c r="AK317" s="457">
        <f t="shared" si="122"/>
        <v>0.01795541669</v>
      </c>
      <c r="AL317" s="457">
        <f t="shared" si="122"/>
        <v>0.01179394573</v>
      </c>
      <c r="AM317" s="457">
        <f t="shared" si="122"/>
        <v>0.0112592694</v>
      </c>
      <c r="AN317" s="457">
        <f t="shared" si="122"/>
        <v>0.008896085666</v>
      </c>
      <c r="AO317" s="457">
        <f t="shared" si="122"/>
        <v>0.00791210257</v>
      </c>
      <c r="AP317" s="457">
        <f t="shared" si="122"/>
        <v>0.01171646082</v>
      </c>
      <c r="AQ317" s="457">
        <f t="shared" si="122"/>
        <v>0.00925114851</v>
      </c>
      <c r="AR317" s="457">
        <f t="shared" si="122"/>
        <v>0.01552163235</v>
      </c>
      <c r="AS317" s="457">
        <f t="shared" si="122"/>
        <v>0.02792182024</v>
      </c>
      <c r="AT317" s="248"/>
    </row>
    <row r="318">
      <c r="A318" s="80"/>
      <c r="B318" s="81"/>
      <c r="C318" s="90"/>
      <c r="D318" s="90"/>
      <c r="E318" s="243"/>
      <c r="F318" s="108"/>
      <c r="G318" s="122"/>
      <c r="H318" s="85"/>
      <c r="I318" s="111"/>
      <c r="J318" s="111"/>
      <c r="K318" s="111"/>
      <c r="L318" s="111"/>
      <c r="M318" s="111"/>
      <c r="N318" s="111"/>
      <c r="O318" s="111"/>
      <c r="P318" s="111"/>
      <c r="Q318" s="111"/>
      <c r="R318" s="111"/>
      <c r="S318" s="111"/>
      <c r="T318" s="111"/>
      <c r="U318" s="111"/>
      <c r="V318" s="111"/>
      <c r="W318" s="111"/>
      <c r="X318" s="111"/>
      <c r="Y318" s="111"/>
      <c r="Z318" s="111"/>
      <c r="AA318" s="111"/>
      <c r="AB318" s="111"/>
      <c r="AC318" s="111"/>
      <c r="AD318" s="111"/>
      <c r="AE318" s="111"/>
      <c r="AF318" s="111"/>
      <c r="AG318" s="111"/>
      <c r="AH318" s="111"/>
      <c r="AI318" s="111"/>
      <c r="AJ318" s="111"/>
      <c r="AK318" s="111"/>
      <c r="AL318" s="111"/>
      <c r="AM318" s="111"/>
      <c r="AN318" s="111"/>
      <c r="AO318" s="111"/>
      <c r="AP318" s="111"/>
      <c r="AQ318" s="111"/>
      <c r="AR318" s="111"/>
      <c r="AS318" s="111"/>
      <c r="AT318" s="88"/>
    </row>
    <row r="319">
      <c r="A319" s="80"/>
      <c r="B319" s="81"/>
      <c r="C319" s="325" t="s">
        <v>987</v>
      </c>
      <c r="F319" s="83"/>
      <c r="G319" s="91"/>
      <c r="H319" s="85"/>
      <c r="I319" s="86"/>
      <c r="J319" s="86"/>
      <c r="K319" s="86"/>
      <c r="L319" s="86"/>
      <c r="M319" s="86"/>
      <c r="N319" s="86"/>
      <c r="O319" s="86"/>
      <c r="P319" s="86"/>
      <c r="Q319" s="86"/>
      <c r="R319" s="86"/>
      <c r="S319" s="86"/>
      <c r="T319" s="111"/>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c r="AQ319" s="86"/>
      <c r="AR319" s="86"/>
      <c r="AS319" s="86"/>
      <c r="AT319" s="88"/>
    </row>
    <row r="320">
      <c r="A320" s="80"/>
      <c r="B320" s="81"/>
      <c r="C320" s="112"/>
      <c r="D320" s="112"/>
      <c r="E320" s="113" t="s">
        <v>714</v>
      </c>
      <c r="F320" s="151" t="str">
        <f>Inputs!F188</f>
        <v>%</v>
      </c>
      <c r="G320" s="256" t="str">
        <f>Inputs!G188</f>
        <v>input</v>
      </c>
      <c r="H320" s="156">
        <f>Inputs!H188</f>
        <v>-0.9</v>
      </c>
      <c r="I320" s="418" t="str">
        <f>Inputs!I188</f>
        <v>-</v>
      </c>
      <c r="J320" s="418" t="str">
        <f>Inputs!J188</f>
        <v>-</v>
      </c>
      <c r="K320" s="418" t="str">
        <f>Inputs!K188</f>
        <v>-</v>
      </c>
      <c r="L320" s="418" t="str">
        <f>Inputs!L188</f>
        <v>-</v>
      </c>
      <c r="M320" s="418" t="str">
        <f>Inputs!M188</f>
        <v>-</v>
      </c>
      <c r="N320" s="418" t="str">
        <f>Inputs!N188</f>
        <v>-</v>
      </c>
      <c r="O320" s="418" t="str">
        <f>Inputs!O188</f>
        <v>-</v>
      </c>
      <c r="P320" s="418" t="str">
        <f>Inputs!P188</f>
        <v>-</v>
      </c>
      <c r="Q320" s="418" t="str">
        <f>Inputs!Q188</f>
        <v>-</v>
      </c>
      <c r="R320" s="418" t="str">
        <f>Inputs!R188</f>
        <v>-</v>
      </c>
      <c r="S320" s="418" t="str">
        <f>Inputs!S188</f>
        <v>-</v>
      </c>
      <c r="T320" s="119" t="str">
        <f>Inputs!T188</f>
        <v>-</v>
      </c>
      <c r="U320" s="418" t="str">
        <f>Inputs!U188</f>
        <v>-</v>
      </c>
      <c r="V320" s="418" t="str">
        <f>Inputs!V188</f>
        <v>-</v>
      </c>
      <c r="W320" s="418" t="str">
        <f>Inputs!W188</f>
        <v>-</v>
      </c>
      <c r="X320" s="418" t="str">
        <f>Inputs!X188</f>
        <v>-</v>
      </c>
      <c r="Y320" s="418" t="str">
        <f>Inputs!Y188</f>
        <v>-</v>
      </c>
      <c r="Z320" s="418" t="str">
        <f>Inputs!Z188</f>
        <v>-</v>
      </c>
      <c r="AA320" s="418" t="str">
        <f>Inputs!AA188</f>
        <v>-</v>
      </c>
      <c r="AB320" s="418" t="str">
        <f>Inputs!AB188</f>
        <v>-</v>
      </c>
      <c r="AC320" s="418" t="str">
        <f>Inputs!AC188</f>
        <v>-</v>
      </c>
      <c r="AD320" s="418" t="str">
        <f>Inputs!AD188</f>
        <v>-</v>
      </c>
      <c r="AE320" s="418" t="str">
        <f>Inputs!AE188</f>
        <v>-</v>
      </c>
      <c r="AF320" s="418" t="str">
        <f>Inputs!AF188</f>
        <v>-</v>
      </c>
      <c r="AG320" s="418" t="str">
        <f>Inputs!AG188</f>
        <v>-</v>
      </c>
      <c r="AH320" s="418" t="str">
        <f>Inputs!AH188</f>
        <v>-</v>
      </c>
      <c r="AI320" s="418" t="str">
        <f>Inputs!AI188</f>
        <v>-</v>
      </c>
      <c r="AJ320" s="418" t="str">
        <f>Inputs!AJ188</f>
        <v>-</v>
      </c>
      <c r="AK320" s="418" t="str">
        <f>Inputs!AK188</f>
        <v>-</v>
      </c>
      <c r="AL320" s="418" t="str">
        <f>Inputs!AL188</f>
        <v>-</v>
      </c>
      <c r="AM320" s="418" t="str">
        <f>Inputs!AM188</f>
        <v>-</v>
      </c>
      <c r="AN320" s="418" t="str">
        <f>Inputs!AN188</f>
        <v>-</v>
      </c>
      <c r="AO320" s="418" t="str">
        <f>Inputs!AO188</f>
        <v>-</v>
      </c>
      <c r="AP320" s="418" t="str">
        <f>Inputs!AP188</f>
        <v>-</v>
      </c>
      <c r="AQ320" s="418" t="str">
        <f>Inputs!AQ188</f>
        <v>-</v>
      </c>
      <c r="AR320" s="418" t="str">
        <f>Inputs!AR188</f>
        <v>-</v>
      </c>
      <c r="AS320" s="418" t="str">
        <f>Inputs!AS188</f>
        <v>-</v>
      </c>
      <c r="AT320" s="136"/>
    </row>
    <row r="321">
      <c r="A321" s="80"/>
      <c r="B321" s="81"/>
      <c r="C321" s="112"/>
      <c r="D321" s="112"/>
      <c r="E321" s="140" t="s">
        <v>718</v>
      </c>
      <c r="F321" s="215" t="s">
        <v>122</v>
      </c>
      <c r="G321" s="216" t="s">
        <v>149</v>
      </c>
      <c r="H321" s="187" t="s">
        <v>150</v>
      </c>
      <c r="I321" s="218">
        <f t="shared" ref="I321:AS321" si="123">I187*(1+$H$320)</f>
        <v>0.04523656027</v>
      </c>
      <c r="J321" s="218">
        <f t="shared" si="123"/>
        <v>0.05681049406</v>
      </c>
      <c r="K321" s="218">
        <f t="shared" si="123"/>
        <v>0.04462527975</v>
      </c>
      <c r="L321" s="218">
        <f t="shared" si="123"/>
        <v>0.06486896469</v>
      </c>
      <c r="M321" s="218">
        <f t="shared" si="123"/>
        <v>0.04708392348</v>
      </c>
      <c r="N321" s="218">
        <f t="shared" si="123"/>
        <v>0.04277482077</v>
      </c>
      <c r="O321" s="218">
        <f t="shared" si="123"/>
        <v>0.04317137134</v>
      </c>
      <c r="P321" s="218">
        <f t="shared" si="123"/>
        <v>0.02504354618</v>
      </c>
      <c r="Q321" s="218">
        <f t="shared" si="123"/>
        <v>0.03495826351</v>
      </c>
      <c r="R321" s="218">
        <f t="shared" si="123"/>
        <v>0.08897432901</v>
      </c>
      <c r="S321" s="218">
        <f t="shared" si="123"/>
        <v>0.07564374042</v>
      </c>
      <c r="T321" s="218">
        <f t="shared" si="123"/>
        <v>0.08416491128</v>
      </c>
      <c r="U321" s="218">
        <f t="shared" si="123"/>
        <v>0.08662220902</v>
      </c>
      <c r="V321" s="218">
        <f t="shared" si="123"/>
        <v>0.07253869145</v>
      </c>
      <c r="W321" s="218">
        <f t="shared" si="123"/>
        <v>0.07419117799</v>
      </c>
      <c r="X321" s="218">
        <f t="shared" si="123"/>
        <v>0.07284897536</v>
      </c>
      <c r="Y321" s="218">
        <f t="shared" si="123"/>
        <v>0.09082747996</v>
      </c>
      <c r="Z321" s="218">
        <f t="shared" si="123"/>
        <v>0.08236155629</v>
      </c>
      <c r="AA321" s="218">
        <f t="shared" si="123"/>
        <v>0.09107396966</v>
      </c>
      <c r="AB321" s="218">
        <f t="shared" si="123"/>
        <v>0.09468821716</v>
      </c>
      <c r="AC321" s="218">
        <f t="shared" si="123"/>
        <v>0.09292907229</v>
      </c>
      <c r="AD321" s="218">
        <f t="shared" si="123"/>
        <v>0.09633801173</v>
      </c>
      <c r="AE321" s="218">
        <f t="shared" si="123"/>
        <v>0.091527921</v>
      </c>
      <c r="AF321" s="218">
        <f t="shared" si="123"/>
        <v>0.09533832385</v>
      </c>
      <c r="AG321" s="218">
        <f t="shared" si="123"/>
        <v>0.08295722338</v>
      </c>
      <c r="AH321" s="218">
        <f t="shared" si="123"/>
        <v>0.0723426034</v>
      </c>
      <c r="AI321" s="218">
        <f t="shared" si="123"/>
        <v>0.09383455219</v>
      </c>
      <c r="AJ321" s="218">
        <f t="shared" si="123"/>
        <v>0.07163610542</v>
      </c>
      <c r="AK321" s="218">
        <f t="shared" si="123"/>
        <v>0.05249392114</v>
      </c>
      <c r="AL321" s="218">
        <f t="shared" si="123"/>
        <v>0.07630306711</v>
      </c>
      <c r="AM321" s="218">
        <f t="shared" si="123"/>
        <v>0.0792589974</v>
      </c>
      <c r="AN321" s="218">
        <f t="shared" si="123"/>
        <v>0.09042648764</v>
      </c>
      <c r="AO321" s="218">
        <f t="shared" si="123"/>
        <v>0.07995587158</v>
      </c>
      <c r="AP321" s="218">
        <f t="shared" si="123"/>
        <v>0.08406323309</v>
      </c>
      <c r="AQ321" s="218">
        <f t="shared" si="123"/>
        <v>0.08631744365</v>
      </c>
      <c r="AR321" s="218">
        <f t="shared" si="123"/>
        <v>0.0554989071</v>
      </c>
      <c r="AS321" s="218">
        <f t="shared" si="123"/>
        <v>0.04582058459</v>
      </c>
      <c r="AT321" s="163"/>
    </row>
    <row r="322">
      <c r="A322" s="80"/>
      <c r="B322" s="81"/>
      <c r="C322" s="112"/>
      <c r="D322" s="112"/>
      <c r="E322" s="140" t="s">
        <v>989</v>
      </c>
      <c r="F322" s="215" t="s">
        <v>122</v>
      </c>
      <c r="G322" s="216" t="s">
        <v>149</v>
      </c>
      <c r="H322" s="187" t="s">
        <v>150</v>
      </c>
      <c r="I322" s="218">
        <f t="shared" ref="I322:AS322" si="124">I188*(1+$H$320)</f>
        <v>0.03340233142</v>
      </c>
      <c r="J322" s="218">
        <f t="shared" si="124"/>
        <v>0.04261841469</v>
      </c>
      <c r="K322" s="218">
        <f t="shared" si="124"/>
        <v>0.03499142783</v>
      </c>
      <c r="L322" s="218">
        <f t="shared" si="124"/>
        <v>0.05215965535</v>
      </c>
      <c r="M322" s="218">
        <f t="shared" si="124"/>
        <v>0.03613988888</v>
      </c>
      <c r="N322" s="218">
        <f t="shared" si="124"/>
        <v>0.03478197579</v>
      </c>
      <c r="O322" s="218">
        <f t="shared" si="124"/>
        <v>0.03798111186</v>
      </c>
      <c r="P322" s="218">
        <f t="shared" si="124"/>
        <v>0.01391744003</v>
      </c>
      <c r="Q322" s="218">
        <f t="shared" si="124"/>
        <v>0.02449194087</v>
      </c>
      <c r="R322" s="218">
        <f t="shared" si="124"/>
        <v>0.07887087723</v>
      </c>
      <c r="S322" s="218">
        <f t="shared" si="124"/>
        <v>0.05987988135</v>
      </c>
      <c r="T322" s="218">
        <f t="shared" si="124"/>
        <v>0.07916612058</v>
      </c>
      <c r="U322" s="218">
        <f t="shared" si="124"/>
        <v>0.08121732891</v>
      </c>
      <c r="V322" s="218">
        <f t="shared" si="124"/>
        <v>0.06476513683</v>
      </c>
      <c r="W322" s="218">
        <f t="shared" si="124"/>
        <v>0.0690843235</v>
      </c>
      <c r="X322" s="218">
        <f t="shared" si="124"/>
        <v>0.0569280605</v>
      </c>
      <c r="Y322" s="218">
        <f t="shared" si="124"/>
        <v>0.08468544726</v>
      </c>
      <c r="Z322" s="218">
        <f t="shared" si="124"/>
        <v>0.0721966537</v>
      </c>
      <c r="AA322" s="218">
        <f t="shared" si="124"/>
        <v>0.0845318832</v>
      </c>
      <c r="AB322" s="218">
        <f t="shared" si="124"/>
        <v>0.08832011397</v>
      </c>
      <c r="AC322" s="218">
        <f t="shared" si="124"/>
        <v>0.08778168785</v>
      </c>
      <c r="AD322" s="218">
        <f t="shared" si="124"/>
        <v>0.08870192092</v>
      </c>
      <c r="AE322" s="218">
        <f t="shared" si="124"/>
        <v>0.08236130701</v>
      </c>
      <c r="AF322" s="218">
        <f t="shared" si="124"/>
        <v>0.08511490387</v>
      </c>
      <c r="AG322" s="218">
        <f t="shared" si="124"/>
        <v>0.06487208373</v>
      </c>
      <c r="AH322" s="218">
        <f t="shared" si="124"/>
        <v>0.06381315946</v>
      </c>
      <c r="AI322" s="218">
        <f t="shared" si="124"/>
        <v>0.08928774769</v>
      </c>
      <c r="AJ322" s="218">
        <f t="shared" si="124"/>
        <v>0.05708893052</v>
      </c>
      <c r="AK322" s="218">
        <f t="shared" si="124"/>
        <v>0.04234880625</v>
      </c>
      <c r="AL322" s="218">
        <f t="shared" si="124"/>
        <v>0.06105395375</v>
      </c>
      <c r="AM322" s="218">
        <f t="shared" si="124"/>
        <v>0.07118645505</v>
      </c>
      <c r="AN322" s="218">
        <f t="shared" si="124"/>
        <v>0.0800870903</v>
      </c>
      <c r="AO322" s="218">
        <f t="shared" si="124"/>
        <v>0.06650543002</v>
      </c>
      <c r="AP322" s="218">
        <f t="shared" si="124"/>
        <v>0.06901790628</v>
      </c>
      <c r="AQ322" s="218">
        <f t="shared" si="124"/>
        <v>0.08136402117</v>
      </c>
      <c r="AR322" s="218">
        <f t="shared" si="124"/>
        <v>0.04576900266</v>
      </c>
      <c r="AS322" s="218">
        <f t="shared" si="124"/>
        <v>0.04237402253</v>
      </c>
      <c r="AT322" s="163"/>
    </row>
    <row r="323">
      <c r="A323" s="80"/>
      <c r="B323" s="81"/>
      <c r="C323" s="112"/>
      <c r="D323" s="112"/>
      <c r="E323" s="140" t="s">
        <v>726</v>
      </c>
      <c r="F323" s="215" t="s">
        <v>122</v>
      </c>
      <c r="G323" s="216" t="s">
        <v>149</v>
      </c>
      <c r="H323" s="187" t="s">
        <v>150</v>
      </c>
      <c r="I323" s="218">
        <f t="shared" ref="I323:AS323" si="125">I190*(1+$H$320)</f>
        <v>0.03343437483</v>
      </c>
      <c r="J323" s="218">
        <f t="shared" si="125"/>
        <v>0.04227338176</v>
      </c>
      <c r="K323" s="218">
        <f t="shared" si="125"/>
        <v>0.03519235308</v>
      </c>
      <c r="L323" s="218">
        <f t="shared" si="125"/>
        <v>0.05343202257</v>
      </c>
      <c r="M323" s="218">
        <f t="shared" si="125"/>
        <v>0.03647018976</v>
      </c>
      <c r="N323" s="218">
        <f t="shared" si="125"/>
        <v>0.0333203247</v>
      </c>
      <c r="O323" s="218">
        <f t="shared" si="125"/>
        <v>0.03798021137</v>
      </c>
      <c r="P323" s="218">
        <f t="shared" si="125"/>
        <v>0.0112932559</v>
      </c>
      <c r="Q323" s="218">
        <f t="shared" si="125"/>
        <v>0.02560958376</v>
      </c>
      <c r="R323" s="218">
        <f t="shared" si="125"/>
        <v>0.07924239994</v>
      </c>
      <c r="S323" s="218">
        <f t="shared" si="125"/>
        <v>0.06034024596</v>
      </c>
      <c r="T323" s="218">
        <f t="shared" si="125"/>
        <v>0.07837314125</v>
      </c>
      <c r="U323" s="218">
        <f t="shared" si="125"/>
        <v>0.0806899662</v>
      </c>
      <c r="V323" s="218">
        <f t="shared" si="125"/>
        <v>0.06509992202</v>
      </c>
      <c r="W323" s="218">
        <f t="shared" si="125"/>
        <v>0.06635960477</v>
      </c>
      <c r="X323" s="218">
        <f t="shared" si="125"/>
        <v>0.05135087231</v>
      </c>
      <c r="Y323" s="218">
        <f t="shared" si="125"/>
        <v>0.08635450183</v>
      </c>
      <c r="Z323" s="218">
        <f t="shared" si="125"/>
        <v>0.07092341878</v>
      </c>
      <c r="AA323" s="218">
        <f t="shared" si="125"/>
        <v>0.0841314004</v>
      </c>
      <c r="AB323" s="218">
        <f t="shared" si="125"/>
        <v>0.08571335158</v>
      </c>
      <c r="AC323" s="218">
        <f t="shared" si="125"/>
        <v>0.08516124489</v>
      </c>
      <c r="AD323" s="218">
        <f t="shared" si="125"/>
        <v>0.09114240837</v>
      </c>
      <c r="AE323" s="218">
        <f t="shared" si="125"/>
        <v>0.08267944987</v>
      </c>
      <c r="AF323" s="218">
        <f t="shared" si="125"/>
        <v>0.08652298901</v>
      </c>
      <c r="AG323" s="218">
        <f t="shared" si="125"/>
        <v>0.06559249818</v>
      </c>
      <c r="AH323" s="218">
        <f t="shared" si="125"/>
        <v>0.06080788493</v>
      </c>
      <c r="AI323" s="218">
        <f t="shared" si="125"/>
        <v>0.08846556586</v>
      </c>
      <c r="AJ323" s="218">
        <f t="shared" si="125"/>
        <v>0.05712584473</v>
      </c>
      <c r="AK323" s="218">
        <f t="shared" si="125"/>
        <v>0.0404828162</v>
      </c>
      <c r="AL323" s="218">
        <f t="shared" si="125"/>
        <v>0.06073017263</v>
      </c>
      <c r="AM323" s="218">
        <f t="shared" si="125"/>
        <v>0.06988536335</v>
      </c>
      <c r="AN323" s="218">
        <f t="shared" si="125"/>
        <v>0.07725756131</v>
      </c>
      <c r="AO323" s="218">
        <f t="shared" si="125"/>
        <v>0.06441085445</v>
      </c>
      <c r="AP323" s="218">
        <f t="shared" si="125"/>
        <v>0.065380487</v>
      </c>
      <c r="AQ323" s="218">
        <f t="shared" si="125"/>
        <v>0.08059927554</v>
      </c>
      <c r="AR323" s="218">
        <f t="shared" si="125"/>
        <v>0.04558909192</v>
      </c>
      <c r="AS323" s="218">
        <f t="shared" si="125"/>
        <v>0.04112602864</v>
      </c>
      <c r="AT323" s="163"/>
    </row>
    <row r="324">
      <c r="A324" s="80"/>
      <c r="B324" s="81"/>
      <c r="C324" s="112"/>
      <c r="D324" s="112"/>
      <c r="E324" s="140" t="s">
        <v>730</v>
      </c>
      <c r="F324" s="215" t="s">
        <v>122</v>
      </c>
      <c r="G324" s="216" t="s">
        <v>149</v>
      </c>
      <c r="H324" s="187" t="s">
        <v>150</v>
      </c>
      <c r="I324" s="218">
        <f t="shared" ref="I324:AS324" si="126">I191*(1+$H$320)</f>
        <v>0</v>
      </c>
      <c r="J324" s="218">
        <f t="shared" si="126"/>
        <v>0</v>
      </c>
      <c r="K324" s="218">
        <f t="shared" si="126"/>
        <v>0</v>
      </c>
      <c r="L324" s="218">
        <f t="shared" si="126"/>
        <v>0</v>
      </c>
      <c r="M324" s="218">
        <f t="shared" si="126"/>
        <v>0</v>
      </c>
      <c r="N324" s="218">
        <f t="shared" si="126"/>
        <v>0</v>
      </c>
      <c r="O324" s="218">
        <f t="shared" si="126"/>
        <v>0</v>
      </c>
      <c r="P324" s="218">
        <f t="shared" si="126"/>
        <v>0</v>
      </c>
      <c r="Q324" s="218">
        <f t="shared" si="126"/>
        <v>0</v>
      </c>
      <c r="R324" s="218">
        <f t="shared" si="126"/>
        <v>0</v>
      </c>
      <c r="S324" s="218">
        <f t="shared" si="126"/>
        <v>0</v>
      </c>
      <c r="T324" s="218">
        <f t="shared" si="126"/>
        <v>0</v>
      </c>
      <c r="U324" s="218">
        <f t="shared" si="126"/>
        <v>0</v>
      </c>
      <c r="V324" s="218">
        <f t="shared" si="126"/>
        <v>0</v>
      </c>
      <c r="W324" s="218">
        <f t="shared" si="126"/>
        <v>0</v>
      </c>
      <c r="X324" s="218">
        <f t="shared" si="126"/>
        <v>0</v>
      </c>
      <c r="Y324" s="218">
        <f t="shared" si="126"/>
        <v>0</v>
      </c>
      <c r="Z324" s="218">
        <f t="shared" si="126"/>
        <v>0</v>
      </c>
      <c r="AA324" s="218">
        <f t="shared" si="126"/>
        <v>0</v>
      </c>
      <c r="AB324" s="218">
        <f t="shared" si="126"/>
        <v>0</v>
      </c>
      <c r="AC324" s="218">
        <f t="shared" si="126"/>
        <v>0</v>
      </c>
      <c r="AD324" s="218">
        <f t="shared" si="126"/>
        <v>0</v>
      </c>
      <c r="AE324" s="218">
        <f t="shared" si="126"/>
        <v>0</v>
      </c>
      <c r="AF324" s="218">
        <f t="shared" si="126"/>
        <v>0</v>
      </c>
      <c r="AG324" s="218">
        <f t="shared" si="126"/>
        <v>0</v>
      </c>
      <c r="AH324" s="218">
        <f t="shared" si="126"/>
        <v>0</v>
      </c>
      <c r="AI324" s="218">
        <f t="shared" si="126"/>
        <v>0</v>
      </c>
      <c r="AJ324" s="218">
        <f t="shared" si="126"/>
        <v>0</v>
      </c>
      <c r="AK324" s="218">
        <f t="shared" si="126"/>
        <v>0</v>
      </c>
      <c r="AL324" s="218">
        <f t="shared" si="126"/>
        <v>0</v>
      </c>
      <c r="AM324" s="218">
        <f t="shared" si="126"/>
        <v>0</v>
      </c>
      <c r="AN324" s="218">
        <f t="shared" si="126"/>
        <v>0</v>
      </c>
      <c r="AO324" s="218">
        <f t="shared" si="126"/>
        <v>0</v>
      </c>
      <c r="AP324" s="218">
        <f t="shared" si="126"/>
        <v>0</v>
      </c>
      <c r="AQ324" s="218">
        <f t="shared" si="126"/>
        <v>0</v>
      </c>
      <c r="AR324" s="218">
        <f t="shared" si="126"/>
        <v>0</v>
      </c>
      <c r="AS324" s="218">
        <f t="shared" si="126"/>
        <v>0</v>
      </c>
      <c r="AT324" s="163"/>
    </row>
    <row r="325">
      <c r="A325" s="80"/>
      <c r="B325" s="81"/>
      <c r="C325" s="112"/>
      <c r="D325" s="112"/>
      <c r="E325" s="237" t="s">
        <v>734</v>
      </c>
      <c r="F325" s="195" t="s">
        <v>122</v>
      </c>
      <c r="G325" s="196" t="s">
        <v>149</v>
      </c>
      <c r="H325" s="197" t="s">
        <v>150</v>
      </c>
      <c r="I325" s="211">
        <f t="shared" ref="I325:AS325" si="127">I192*(1+$H$320)</f>
        <v>0.02654947142</v>
      </c>
      <c r="J325" s="211">
        <f t="shared" si="127"/>
        <v>0.03461682554</v>
      </c>
      <c r="K325" s="211">
        <f t="shared" si="127"/>
        <v>0.03320019543</v>
      </c>
      <c r="L325" s="211">
        <f t="shared" si="127"/>
        <v>0.04999402847</v>
      </c>
      <c r="M325" s="211">
        <f t="shared" si="127"/>
        <v>0.03235830783</v>
      </c>
      <c r="N325" s="211">
        <f t="shared" si="127"/>
        <v>0.03245641915</v>
      </c>
      <c r="O325" s="211">
        <f t="shared" si="127"/>
        <v>0.04442495184</v>
      </c>
      <c r="P325" s="211">
        <f t="shared" si="127"/>
        <v>0.01447542448</v>
      </c>
      <c r="Q325" s="211">
        <f t="shared" si="127"/>
        <v>0.03115142752</v>
      </c>
      <c r="R325" s="211">
        <f t="shared" si="127"/>
        <v>0.07279204568</v>
      </c>
      <c r="S325" s="211">
        <f t="shared" si="127"/>
        <v>0.05515457526</v>
      </c>
      <c r="T325" s="211">
        <f t="shared" si="127"/>
        <v>0.06798128197</v>
      </c>
      <c r="U325" s="211">
        <f t="shared" si="127"/>
        <v>0.07119305656</v>
      </c>
      <c r="V325" s="211">
        <f t="shared" si="127"/>
        <v>0.05911160671</v>
      </c>
      <c r="W325" s="211">
        <f t="shared" si="127"/>
        <v>0.0609152982</v>
      </c>
      <c r="X325" s="211">
        <f t="shared" si="127"/>
        <v>0.04850216877</v>
      </c>
      <c r="Y325" s="211">
        <f t="shared" si="127"/>
        <v>0.07679947878</v>
      </c>
      <c r="Z325" s="211">
        <f t="shared" si="127"/>
        <v>0.0685820638</v>
      </c>
      <c r="AA325" s="211">
        <f t="shared" si="127"/>
        <v>0.07508642841</v>
      </c>
      <c r="AB325" s="211">
        <f t="shared" si="127"/>
        <v>0.08311603314</v>
      </c>
      <c r="AC325" s="211">
        <f t="shared" si="127"/>
        <v>0.08746766348</v>
      </c>
      <c r="AD325" s="211">
        <f t="shared" si="127"/>
        <v>0.08055941269</v>
      </c>
      <c r="AE325" s="211">
        <f t="shared" si="127"/>
        <v>0.08305937266</v>
      </c>
      <c r="AF325" s="211">
        <f t="shared" si="127"/>
        <v>0.07509786928</v>
      </c>
      <c r="AG325" s="211">
        <f t="shared" si="127"/>
        <v>0.0687831993</v>
      </c>
      <c r="AH325" s="211">
        <f t="shared" si="127"/>
        <v>0.06568043851</v>
      </c>
      <c r="AI325" s="211">
        <f t="shared" si="127"/>
        <v>0.08732278466</v>
      </c>
      <c r="AJ325" s="211">
        <f t="shared" si="127"/>
        <v>0.05325270515</v>
      </c>
      <c r="AK325" s="211">
        <f t="shared" si="127"/>
        <v>0.04297689847</v>
      </c>
      <c r="AL325" s="211">
        <f t="shared" si="127"/>
        <v>0.05746423492</v>
      </c>
      <c r="AM325" s="211">
        <f t="shared" si="127"/>
        <v>0.06923863122</v>
      </c>
      <c r="AN325" s="211">
        <f t="shared" si="127"/>
        <v>0.07384112572</v>
      </c>
      <c r="AO325" s="211">
        <f t="shared" si="127"/>
        <v>0.05721014039</v>
      </c>
      <c r="AP325" s="211">
        <f t="shared" si="127"/>
        <v>0.0679322936</v>
      </c>
      <c r="AQ325" s="211">
        <f t="shared" si="127"/>
        <v>0.07779876286</v>
      </c>
      <c r="AR325" s="211">
        <f t="shared" si="127"/>
        <v>0.04738128593</v>
      </c>
      <c r="AS325" s="211">
        <f t="shared" si="127"/>
        <v>0.0430659244</v>
      </c>
      <c r="AT325" s="248"/>
    </row>
    <row r="326">
      <c r="A326" s="80"/>
      <c r="B326" s="81"/>
      <c r="C326" s="112"/>
      <c r="D326" s="112"/>
      <c r="E326" s="243"/>
      <c r="F326" s="83"/>
      <c r="G326" s="91"/>
      <c r="H326" s="85"/>
      <c r="I326" s="86"/>
      <c r="J326" s="86"/>
      <c r="K326" s="86"/>
      <c r="L326" s="86"/>
      <c r="M326" s="86"/>
      <c r="N326" s="86"/>
      <c r="O326" s="86"/>
      <c r="P326" s="86"/>
      <c r="Q326" s="86"/>
      <c r="R326" s="86"/>
      <c r="S326" s="86"/>
      <c r="T326" s="111"/>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c r="AQ326" s="86"/>
      <c r="AR326" s="86"/>
      <c r="AS326" s="86"/>
      <c r="AT326" s="88"/>
    </row>
    <row r="327">
      <c r="A327" s="80"/>
      <c r="B327" s="81"/>
      <c r="C327" s="90" t="s">
        <v>637</v>
      </c>
      <c r="F327" s="83"/>
      <c r="G327" s="91"/>
      <c r="H327" s="85"/>
      <c r="I327" s="86"/>
      <c r="J327" s="86"/>
      <c r="K327" s="86"/>
      <c r="L327" s="86"/>
      <c r="M327" s="86"/>
      <c r="N327" s="86"/>
      <c r="O327" s="86"/>
      <c r="P327" s="86"/>
      <c r="Q327" s="86"/>
      <c r="R327" s="86"/>
      <c r="S327" s="86"/>
      <c r="T327" s="111"/>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c r="AQ327" s="86"/>
      <c r="AR327" s="86"/>
      <c r="AS327" s="86"/>
      <c r="AT327" s="88"/>
    </row>
    <row r="328">
      <c r="A328" s="80"/>
      <c r="B328" s="81"/>
      <c r="C328" s="112"/>
      <c r="D328" s="112"/>
      <c r="E328" s="113" t="s">
        <v>990</v>
      </c>
      <c r="F328" s="189" t="str">
        <f>Inputs!F189</f>
        <v>%</v>
      </c>
      <c r="G328" s="256" t="str">
        <f>Inputs!G189</f>
        <v>input</v>
      </c>
      <c r="H328" s="156">
        <f>Inputs!H189</f>
        <v>-0.7</v>
      </c>
      <c r="I328" s="418" t="str">
        <f>Inputs!I189</f>
        <v>-</v>
      </c>
      <c r="J328" s="418" t="str">
        <f>Inputs!J189</f>
        <v>-</v>
      </c>
      <c r="K328" s="418" t="str">
        <f>Inputs!K189</f>
        <v>-</v>
      </c>
      <c r="L328" s="418" t="str">
        <f>Inputs!L189</f>
        <v>-</v>
      </c>
      <c r="M328" s="418" t="str">
        <f>Inputs!M189</f>
        <v>-</v>
      </c>
      <c r="N328" s="418" t="str">
        <f>Inputs!N189</f>
        <v>-</v>
      </c>
      <c r="O328" s="418" t="str">
        <f>Inputs!O189</f>
        <v>-</v>
      </c>
      <c r="P328" s="418" t="str">
        <f>Inputs!P189</f>
        <v>-</v>
      </c>
      <c r="Q328" s="418" t="str">
        <f>Inputs!Q189</f>
        <v>-</v>
      </c>
      <c r="R328" s="418" t="str">
        <f>Inputs!R189</f>
        <v>-</v>
      </c>
      <c r="S328" s="418" t="str">
        <f>Inputs!S189</f>
        <v>-</v>
      </c>
      <c r="T328" s="119" t="str">
        <f>Inputs!T189</f>
        <v>-</v>
      </c>
      <c r="U328" s="418" t="str">
        <f>Inputs!U189</f>
        <v>-</v>
      </c>
      <c r="V328" s="418" t="str">
        <f>Inputs!V189</f>
        <v>-</v>
      </c>
      <c r="W328" s="418" t="str">
        <f>Inputs!W189</f>
        <v>-</v>
      </c>
      <c r="X328" s="418" t="str">
        <f>Inputs!X189</f>
        <v>-</v>
      </c>
      <c r="Y328" s="418" t="str">
        <f>Inputs!Y189</f>
        <v>-</v>
      </c>
      <c r="Z328" s="418" t="str">
        <f>Inputs!Z189</f>
        <v>-</v>
      </c>
      <c r="AA328" s="418" t="str">
        <f>Inputs!AA189</f>
        <v>-</v>
      </c>
      <c r="AB328" s="418" t="str">
        <f>Inputs!AB189</f>
        <v>-</v>
      </c>
      <c r="AC328" s="418" t="str">
        <f>Inputs!AC189</f>
        <v>-</v>
      </c>
      <c r="AD328" s="418" t="str">
        <f>Inputs!AD189</f>
        <v>-</v>
      </c>
      <c r="AE328" s="418" t="str">
        <f>Inputs!AE189</f>
        <v>-</v>
      </c>
      <c r="AF328" s="418" t="str">
        <f>Inputs!AF189</f>
        <v>-</v>
      </c>
      <c r="AG328" s="418" t="str">
        <f>Inputs!AG189</f>
        <v>-</v>
      </c>
      <c r="AH328" s="418" t="str">
        <f>Inputs!AH189</f>
        <v>-</v>
      </c>
      <c r="AI328" s="418" t="str">
        <f>Inputs!AI189</f>
        <v>-</v>
      </c>
      <c r="AJ328" s="418" t="str">
        <f>Inputs!AJ189</f>
        <v>-</v>
      </c>
      <c r="AK328" s="418" t="str">
        <f>Inputs!AK189</f>
        <v>-</v>
      </c>
      <c r="AL328" s="418" t="str">
        <f>Inputs!AL189</f>
        <v>-</v>
      </c>
      <c r="AM328" s="418" t="str">
        <f>Inputs!AM189</f>
        <v>-</v>
      </c>
      <c r="AN328" s="418" t="str">
        <f>Inputs!AN189</f>
        <v>-</v>
      </c>
      <c r="AO328" s="418" t="str">
        <f>Inputs!AO189</f>
        <v>-</v>
      </c>
      <c r="AP328" s="418" t="str">
        <f>Inputs!AP189</f>
        <v>-</v>
      </c>
      <c r="AQ328" s="418" t="str">
        <f>Inputs!AQ189</f>
        <v>-</v>
      </c>
      <c r="AR328" s="418" t="str">
        <f>Inputs!AR189</f>
        <v>-</v>
      </c>
      <c r="AS328" s="418" t="str">
        <f>Inputs!AS189</f>
        <v>-</v>
      </c>
      <c r="AT328" s="136"/>
    </row>
    <row r="329">
      <c r="A329" s="80"/>
      <c r="B329" s="81"/>
      <c r="C329" s="112"/>
      <c r="D329" s="112"/>
      <c r="E329" s="140" t="s">
        <v>638</v>
      </c>
      <c r="F329" s="215" t="s">
        <v>122</v>
      </c>
      <c r="G329" s="216" t="s">
        <v>149</v>
      </c>
      <c r="H329" s="176">
        <f t="shared" ref="H329:H334" si="128">H195*(1+H$328)</f>
        <v>0.21680214</v>
      </c>
      <c r="I329" s="232" t="s">
        <v>150</v>
      </c>
      <c r="J329" s="232" t="s">
        <v>150</v>
      </c>
      <c r="K329" s="232" t="s">
        <v>150</v>
      </c>
      <c r="L329" s="232" t="s">
        <v>150</v>
      </c>
      <c r="M329" s="232" t="s">
        <v>150</v>
      </c>
      <c r="N329" s="232" t="s">
        <v>150</v>
      </c>
      <c r="O329" s="232" t="s">
        <v>150</v>
      </c>
      <c r="P329" s="232" t="s">
        <v>150</v>
      </c>
      <c r="Q329" s="232" t="s">
        <v>150</v>
      </c>
      <c r="R329" s="232" t="s">
        <v>150</v>
      </c>
      <c r="S329" s="232" t="s">
        <v>150</v>
      </c>
      <c r="T329" s="232" t="s">
        <v>150</v>
      </c>
      <c r="U329" s="232" t="s">
        <v>150</v>
      </c>
      <c r="V329" s="232" t="s">
        <v>150</v>
      </c>
      <c r="W329" s="232" t="s">
        <v>150</v>
      </c>
      <c r="X329" s="232" t="s">
        <v>150</v>
      </c>
      <c r="Y329" s="232" t="s">
        <v>150</v>
      </c>
      <c r="Z329" s="232" t="s">
        <v>150</v>
      </c>
      <c r="AA329" s="232" t="s">
        <v>150</v>
      </c>
      <c r="AB329" s="232" t="s">
        <v>150</v>
      </c>
      <c r="AC329" s="232" t="s">
        <v>150</v>
      </c>
      <c r="AD329" s="232" t="s">
        <v>150</v>
      </c>
      <c r="AE329" s="232" t="s">
        <v>150</v>
      </c>
      <c r="AF329" s="232" t="s">
        <v>150</v>
      </c>
      <c r="AG329" s="232" t="s">
        <v>150</v>
      </c>
      <c r="AH329" s="232" t="s">
        <v>150</v>
      </c>
      <c r="AI329" s="232" t="s">
        <v>150</v>
      </c>
      <c r="AJ329" s="232" t="s">
        <v>150</v>
      </c>
      <c r="AK329" s="232" t="s">
        <v>150</v>
      </c>
      <c r="AL329" s="232" t="s">
        <v>150</v>
      </c>
      <c r="AM329" s="232" t="s">
        <v>150</v>
      </c>
      <c r="AN329" s="232" t="s">
        <v>150</v>
      </c>
      <c r="AO329" s="232" t="s">
        <v>150</v>
      </c>
      <c r="AP329" s="232" t="s">
        <v>150</v>
      </c>
      <c r="AQ329" s="232" t="s">
        <v>150</v>
      </c>
      <c r="AR329" s="232" t="s">
        <v>150</v>
      </c>
      <c r="AS329" s="232" t="s">
        <v>150</v>
      </c>
      <c r="AT329" s="163"/>
    </row>
    <row r="330">
      <c r="A330" s="80"/>
      <c r="B330" s="81"/>
      <c r="C330" s="112"/>
      <c r="D330" s="112"/>
      <c r="E330" s="140" t="s">
        <v>643</v>
      </c>
      <c r="F330" s="215" t="s">
        <v>122</v>
      </c>
      <c r="G330" s="216" t="s">
        <v>149</v>
      </c>
      <c r="H330" s="176">
        <f t="shared" si="128"/>
        <v>0.2142515266</v>
      </c>
      <c r="I330" s="232" t="s">
        <v>150</v>
      </c>
      <c r="J330" s="232" t="s">
        <v>150</v>
      </c>
      <c r="K330" s="232" t="s">
        <v>150</v>
      </c>
      <c r="L330" s="232" t="s">
        <v>150</v>
      </c>
      <c r="M330" s="232" t="s">
        <v>150</v>
      </c>
      <c r="N330" s="232" t="s">
        <v>150</v>
      </c>
      <c r="O330" s="232" t="s">
        <v>150</v>
      </c>
      <c r="P330" s="232" t="s">
        <v>150</v>
      </c>
      <c r="Q330" s="232" t="s">
        <v>150</v>
      </c>
      <c r="R330" s="232" t="s">
        <v>150</v>
      </c>
      <c r="S330" s="232" t="s">
        <v>150</v>
      </c>
      <c r="T330" s="232" t="s">
        <v>150</v>
      </c>
      <c r="U330" s="232" t="s">
        <v>150</v>
      </c>
      <c r="V330" s="232" t="s">
        <v>150</v>
      </c>
      <c r="W330" s="232" t="s">
        <v>150</v>
      </c>
      <c r="X330" s="232" t="s">
        <v>150</v>
      </c>
      <c r="Y330" s="232" t="s">
        <v>150</v>
      </c>
      <c r="Z330" s="232" t="s">
        <v>150</v>
      </c>
      <c r="AA330" s="232" t="s">
        <v>150</v>
      </c>
      <c r="AB330" s="232" t="s">
        <v>150</v>
      </c>
      <c r="AC330" s="232" t="s">
        <v>150</v>
      </c>
      <c r="AD330" s="232" t="s">
        <v>150</v>
      </c>
      <c r="AE330" s="232" t="s">
        <v>150</v>
      </c>
      <c r="AF330" s="232" t="s">
        <v>150</v>
      </c>
      <c r="AG330" s="232" t="s">
        <v>150</v>
      </c>
      <c r="AH330" s="232" t="s">
        <v>150</v>
      </c>
      <c r="AI330" s="232" t="s">
        <v>150</v>
      </c>
      <c r="AJ330" s="232" t="s">
        <v>150</v>
      </c>
      <c r="AK330" s="232" t="s">
        <v>150</v>
      </c>
      <c r="AL330" s="232" t="s">
        <v>150</v>
      </c>
      <c r="AM330" s="232" t="s">
        <v>150</v>
      </c>
      <c r="AN330" s="232" t="s">
        <v>150</v>
      </c>
      <c r="AO330" s="232" t="s">
        <v>150</v>
      </c>
      <c r="AP330" s="232" t="s">
        <v>150</v>
      </c>
      <c r="AQ330" s="232" t="s">
        <v>150</v>
      </c>
      <c r="AR330" s="232" t="s">
        <v>150</v>
      </c>
      <c r="AS330" s="232" t="s">
        <v>150</v>
      </c>
      <c r="AT330" s="163"/>
    </row>
    <row r="331">
      <c r="A331" s="80"/>
      <c r="B331" s="81"/>
      <c r="C331" s="112"/>
      <c r="D331" s="112"/>
      <c r="E331" s="140" t="s">
        <v>646</v>
      </c>
      <c r="F331" s="215" t="s">
        <v>122</v>
      </c>
      <c r="G331" s="216" t="s">
        <v>149</v>
      </c>
      <c r="H331" s="176">
        <f t="shared" si="128"/>
        <v>0.2091502998</v>
      </c>
      <c r="I331" s="232" t="s">
        <v>150</v>
      </c>
      <c r="J331" s="232" t="s">
        <v>150</v>
      </c>
      <c r="K331" s="232" t="s">
        <v>150</v>
      </c>
      <c r="L331" s="232" t="s">
        <v>150</v>
      </c>
      <c r="M331" s="232" t="s">
        <v>150</v>
      </c>
      <c r="N331" s="232" t="s">
        <v>150</v>
      </c>
      <c r="O331" s="232" t="s">
        <v>150</v>
      </c>
      <c r="P331" s="232" t="s">
        <v>150</v>
      </c>
      <c r="Q331" s="232" t="s">
        <v>150</v>
      </c>
      <c r="R331" s="232" t="s">
        <v>150</v>
      </c>
      <c r="S331" s="232" t="s">
        <v>150</v>
      </c>
      <c r="T331" s="232" t="s">
        <v>150</v>
      </c>
      <c r="U331" s="232" t="s">
        <v>150</v>
      </c>
      <c r="V331" s="232" t="s">
        <v>150</v>
      </c>
      <c r="W331" s="232" t="s">
        <v>150</v>
      </c>
      <c r="X331" s="232" t="s">
        <v>150</v>
      </c>
      <c r="Y331" s="232" t="s">
        <v>150</v>
      </c>
      <c r="Z331" s="232" t="s">
        <v>150</v>
      </c>
      <c r="AA331" s="232" t="s">
        <v>150</v>
      </c>
      <c r="AB331" s="232" t="s">
        <v>150</v>
      </c>
      <c r="AC331" s="232" t="s">
        <v>150</v>
      </c>
      <c r="AD331" s="232" t="s">
        <v>150</v>
      </c>
      <c r="AE331" s="232" t="s">
        <v>150</v>
      </c>
      <c r="AF331" s="232" t="s">
        <v>150</v>
      </c>
      <c r="AG331" s="232" t="s">
        <v>150</v>
      </c>
      <c r="AH331" s="232" t="s">
        <v>150</v>
      </c>
      <c r="AI331" s="232" t="s">
        <v>150</v>
      </c>
      <c r="AJ331" s="232" t="s">
        <v>150</v>
      </c>
      <c r="AK331" s="232" t="s">
        <v>150</v>
      </c>
      <c r="AL331" s="232" t="s">
        <v>150</v>
      </c>
      <c r="AM331" s="232" t="s">
        <v>150</v>
      </c>
      <c r="AN331" s="232" t="s">
        <v>150</v>
      </c>
      <c r="AO331" s="232" t="s">
        <v>150</v>
      </c>
      <c r="AP331" s="232" t="s">
        <v>150</v>
      </c>
      <c r="AQ331" s="232" t="s">
        <v>150</v>
      </c>
      <c r="AR331" s="232" t="s">
        <v>150</v>
      </c>
      <c r="AS331" s="232" t="s">
        <v>150</v>
      </c>
      <c r="AT331" s="163"/>
    </row>
    <row r="332">
      <c r="A332" s="80"/>
      <c r="B332" s="81"/>
      <c r="C332" s="112"/>
      <c r="D332" s="112"/>
      <c r="E332" s="140" t="s">
        <v>652</v>
      </c>
      <c r="F332" s="215" t="s">
        <v>122</v>
      </c>
      <c r="G332" s="216" t="s">
        <v>149</v>
      </c>
      <c r="H332" s="176">
        <f t="shared" si="128"/>
        <v>0.1479355779</v>
      </c>
      <c r="I332" s="232" t="s">
        <v>150</v>
      </c>
      <c r="J332" s="232" t="s">
        <v>150</v>
      </c>
      <c r="K332" s="232" t="s">
        <v>150</v>
      </c>
      <c r="L332" s="232" t="s">
        <v>150</v>
      </c>
      <c r="M332" s="232" t="s">
        <v>150</v>
      </c>
      <c r="N332" s="232" t="s">
        <v>150</v>
      </c>
      <c r="O332" s="232" t="s">
        <v>150</v>
      </c>
      <c r="P332" s="232" t="s">
        <v>150</v>
      </c>
      <c r="Q332" s="232" t="s">
        <v>150</v>
      </c>
      <c r="R332" s="232" t="s">
        <v>150</v>
      </c>
      <c r="S332" s="232" t="s">
        <v>150</v>
      </c>
      <c r="T332" s="232" t="s">
        <v>150</v>
      </c>
      <c r="U332" s="232" t="s">
        <v>150</v>
      </c>
      <c r="V332" s="232" t="s">
        <v>150</v>
      </c>
      <c r="W332" s="232" t="s">
        <v>150</v>
      </c>
      <c r="X332" s="232" t="s">
        <v>150</v>
      </c>
      <c r="Y332" s="232" t="s">
        <v>150</v>
      </c>
      <c r="Z332" s="232" t="s">
        <v>150</v>
      </c>
      <c r="AA332" s="232" t="s">
        <v>150</v>
      </c>
      <c r="AB332" s="232" t="s">
        <v>150</v>
      </c>
      <c r="AC332" s="232" t="s">
        <v>150</v>
      </c>
      <c r="AD332" s="232" t="s">
        <v>150</v>
      </c>
      <c r="AE332" s="232" t="s">
        <v>150</v>
      </c>
      <c r="AF332" s="232" t="s">
        <v>150</v>
      </c>
      <c r="AG332" s="232" t="s">
        <v>150</v>
      </c>
      <c r="AH332" s="232" t="s">
        <v>150</v>
      </c>
      <c r="AI332" s="232" t="s">
        <v>150</v>
      </c>
      <c r="AJ332" s="232" t="s">
        <v>150</v>
      </c>
      <c r="AK332" s="232" t="s">
        <v>150</v>
      </c>
      <c r="AL332" s="232" t="s">
        <v>150</v>
      </c>
      <c r="AM332" s="232" t="s">
        <v>150</v>
      </c>
      <c r="AN332" s="232" t="s">
        <v>150</v>
      </c>
      <c r="AO332" s="232" t="s">
        <v>150</v>
      </c>
      <c r="AP332" s="232" t="s">
        <v>150</v>
      </c>
      <c r="AQ332" s="232" t="s">
        <v>150</v>
      </c>
      <c r="AR332" s="232" t="s">
        <v>150</v>
      </c>
      <c r="AS332" s="232" t="s">
        <v>150</v>
      </c>
      <c r="AT332" s="163"/>
    </row>
    <row r="333">
      <c r="A333" s="80"/>
      <c r="B333" s="81"/>
      <c r="C333" s="112"/>
      <c r="D333" s="112"/>
      <c r="E333" s="140" t="s">
        <v>658</v>
      </c>
      <c r="F333" s="215" t="s">
        <v>122</v>
      </c>
      <c r="G333" s="216" t="s">
        <v>149</v>
      </c>
      <c r="H333" s="176">
        <f t="shared" si="128"/>
        <v>0.1173282169</v>
      </c>
      <c r="I333" s="232" t="s">
        <v>150</v>
      </c>
      <c r="J333" s="232" t="s">
        <v>150</v>
      </c>
      <c r="K333" s="232" t="s">
        <v>150</v>
      </c>
      <c r="L333" s="232" t="s">
        <v>150</v>
      </c>
      <c r="M333" s="232" t="s">
        <v>150</v>
      </c>
      <c r="N333" s="232" t="s">
        <v>150</v>
      </c>
      <c r="O333" s="232" t="s">
        <v>150</v>
      </c>
      <c r="P333" s="232" t="s">
        <v>150</v>
      </c>
      <c r="Q333" s="232" t="s">
        <v>150</v>
      </c>
      <c r="R333" s="232" t="s">
        <v>150</v>
      </c>
      <c r="S333" s="232" t="s">
        <v>150</v>
      </c>
      <c r="T333" s="232" t="s">
        <v>150</v>
      </c>
      <c r="U333" s="232" t="s">
        <v>150</v>
      </c>
      <c r="V333" s="232" t="s">
        <v>150</v>
      </c>
      <c r="W333" s="232" t="s">
        <v>150</v>
      </c>
      <c r="X333" s="232" t="s">
        <v>150</v>
      </c>
      <c r="Y333" s="232" t="s">
        <v>150</v>
      </c>
      <c r="Z333" s="232" t="s">
        <v>150</v>
      </c>
      <c r="AA333" s="232" t="s">
        <v>150</v>
      </c>
      <c r="AB333" s="232" t="s">
        <v>150</v>
      </c>
      <c r="AC333" s="232" t="s">
        <v>150</v>
      </c>
      <c r="AD333" s="232" t="s">
        <v>150</v>
      </c>
      <c r="AE333" s="232" t="s">
        <v>150</v>
      </c>
      <c r="AF333" s="232" t="s">
        <v>150</v>
      </c>
      <c r="AG333" s="232" t="s">
        <v>150</v>
      </c>
      <c r="AH333" s="232" t="s">
        <v>150</v>
      </c>
      <c r="AI333" s="232" t="s">
        <v>150</v>
      </c>
      <c r="AJ333" s="232" t="s">
        <v>150</v>
      </c>
      <c r="AK333" s="232" t="s">
        <v>150</v>
      </c>
      <c r="AL333" s="232" t="s">
        <v>150</v>
      </c>
      <c r="AM333" s="232" t="s">
        <v>150</v>
      </c>
      <c r="AN333" s="232" t="s">
        <v>150</v>
      </c>
      <c r="AO333" s="232" t="s">
        <v>150</v>
      </c>
      <c r="AP333" s="232" t="s">
        <v>150</v>
      </c>
      <c r="AQ333" s="232" t="s">
        <v>150</v>
      </c>
      <c r="AR333" s="232" t="s">
        <v>150</v>
      </c>
      <c r="AS333" s="232" t="s">
        <v>150</v>
      </c>
      <c r="AT333" s="163"/>
    </row>
    <row r="334">
      <c r="A334" s="80"/>
      <c r="B334" s="81"/>
      <c r="C334" s="112"/>
      <c r="D334" s="112"/>
      <c r="E334" s="237" t="s">
        <v>669</v>
      </c>
      <c r="F334" s="195" t="s">
        <v>122</v>
      </c>
      <c r="G334" s="196" t="s">
        <v>149</v>
      </c>
      <c r="H334" s="234">
        <f t="shared" si="128"/>
        <v>0.1995958358</v>
      </c>
      <c r="I334" s="292" t="s">
        <v>150</v>
      </c>
      <c r="J334" s="292" t="s">
        <v>150</v>
      </c>
      <c r="K334" s="292" t="s">
        <v>150</v>
      </c>
      <c r="L334" s="292" t="s">
        <v>150</v>
      </c>
      <c r="M334" s="292" t="s">
        <v>150</v>
      </c>
      <c r="N334" s="292" t="s">
        <v>150</v>
      </c>
      <c r="O334" s="292" t="s">
        <v>150</v>
      </c>
      <c r="P334" s="292" t="s">
        <v>150</v>
      </c>
      <c r="Q334" s="292" t="s">
        <v>150</v>
      </c>
      <c r="R334" s="292" t="s">
        <v>150</v>
      </c>
      <c r="S334" s="292" t="s">
        <v>150</v>
      </c>
      <c r="T334" s="292" t="s">
        <v>150</v>
      </c>
      <c r="U334" s="292" t="s">
        <v>150</v>
      </c>
      <c r="V334" s="292" t="s">
        <v>150</v>
      </c>
      <c r="W334" s="292" t="s">
        <v>150</v>
      </c>
      <c r="X334" s="292" t="s">
        <v>150</v>
      </c>
      <c r="Y334" s="292" t="s">
        <v>150</v>
      </c>
      <c r="Z334" s="292" t="s">
        <v>150</v>
      </c>
      <c r="AA334" s="292" t="s">
        <v>150</v>
      </c>
      <c r="AB334" s="292" t="s">
        <v>150</v>
      </c>
      <c r="AC334" s="292" t="s">
        <v>150</v>
      </c>
      <c r="AD334" s="292" t="s">
        <v>150</v>
      </c>
      <c r="AE334" s="292" t="s">
        <v>150</v>
      </c>
      <c r="AF334" s="292" t="s">
        <v>150</v>
      </c>
      <c r="AG334" s="292" t="s">
        <v>150</v>
      </c>
      <c r="AH334" s="292" t="s">
        <v>150</v>
      </c>
      <c r="AI334" s="292" t="s">
        <v>150</v>
      </c>
      <c r="AJ334" s="292" t="s">
        <v>150</v>
      </c>
      <c r="AK334" s="292" t="s">
        <v>150</v>
      </c>
      <c r="AL334" s="292" t="s">
        <v>150</v>
      </c>
      <c r="AM334" s="292" t="s">
        <v>150</v>
      </c>
      <c r="AN334" s="292" t="s">
        <v>150</v>
      </c>
      <c r="AO334" s="292" t="s">
        <v>150</v>
      </c>
      <c r="AP334" s="292" t="s">
        <v>150</v>
      </c>
      <c r="AQ334" s="292" t="s">
        <v>150</v>
      </c>
      <c r="AR334" s="292" t="s">
        <v>150</v>
      </c>
      <c r="AS334" s="292" t="s">
        <v>150</v>
      </c>
      <c r="AT334" s="248"/>
    </row>
    <row r="335">
      <c r="A335" s="80"/>
      <c r="B335" s="81"/>
      <c r="C335" s="112"/>
      <c r="D335" s="112"/>
      <c r="E335" s="243"/>
      <c r="F335" s="83"/>
      <c r="G335" s="91"/>
      <c r="H335" s="85"/>
      <c r="I335" s="86"/>
      <c r="J335" s="86"/>
      <c r="K335" s="86"/>
      <c r="L335" s="86"/>
      <c r="M335" s="86"/>
      <c r="N335" s="86"/>
      <c r="O335" s="86"/>
      <c r="P335" s="86"/>
      <c r="Q335" s="86"/>
      <c r="R335" s="86"/>
      <c r="S335" s="86"/>
      <c r="T335" s="111"/>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c r="AQ335" s="86"/>
      <c r="AR335" s="86"/>
      <c r="AS335" s="86"/>
      <c r="AT335" s="88"/>
    </row>
    <row r="336">
      <c r="A336" s="80"/>
      <c r="B336" s="81"/>
      <c r="C336" s="112" t="s">
        <v>991</v>
      </c>
      <c r="F336" s="83"/>
      <c r="G336" s="91"/>
      <c r="H336" s="85"/>
      <c r="I336" s="86"/>
      <c r="J336" s="86"/>
      <c r="K336" s="86"/>
      <c r="L336" s="86"/>
      <c r="M336" s="86"/>
      <c r="N336" s="86"/>
      <c r="O336" s="86"/>
      <c r="P336" s="86"/>
      <c r="Q336" s="86"/>
      <c r="R336" s="86"/>
      <c r="S336" s="86"/>
      <c r="T336" s="111"/>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c r="AQ336" s="86"/>
      <c r="AR336" s="86"/>
      <c r="AS336" s="86"/>
      <c r="AT336" s="88"/>
    </row>
    <row r="337">
      <c r="A337" s="80"/>
      <c r="B337" s="81"/>
      <c r="C337" s="90"/>
      <c r="D337" s="90"/>
      <c r="E337" s="113" t="s">
        <v>992</v>
      </c>
      <c r="F337" s="189" t="s">
        <v>122</v>
      </c>
      <c r="G337" s="190" t="s">
        <v>149</v>
      </c>
      <c r="H337" s="200" t="s">
        <v>150</v>
      </c>
      <c r="I337" s="264">
        <f t="shared" ref="I337:AS337" si="129">(I11/((I321*(1-$H329))+(1-I321)))</f>
        <v>0.04985071708</v>
      </c>
      <c r="J337" s="264">
        <f t="shared" si="129"/>
        <v>0.0306194466</v>
      </c>
      <c r="K337" s="264">
        <f t="shared" si="129"/>
        <v>0.05284865514</v>
      </c>
      <c r="L337" s="264">
        <f t="shared" si="129"/>
        <v>0.01771782572</v>
      </c>
      <c r="M337" s="264">
        <f t="shared" si="129"/>
        <v>0.02480068581</v>
      </c>
      <c r="N337" s="264">
        <f t="shared" si="129"/>
        <v>0.04349585331</v>
      </c>
      <c r="O337" s="264">
        <f t="shared" si="129"/>
        <v>0.05337831411</v>
      </c>
      <c r="P337" s="264">
        <f t="shared" si="129"/>
        <v>0.05623504185</v>
      </c>
      <c r="Q337" s="264">
        <f t="shared" si="129"/>
        <v>0.06577573805</v>
      </c>
      <c r="R337" s="264">
        <f t="shared" si="129"/>
        <v>0.01284770906</v>
      </c>
      <c r="S337" s="264">
        <f t="shared" si="129"/>
        <v>0.0233883251</v>
      </c>
      <c r="T337" s="264">
        <f t="shared" si="129"/>
        <v>0.01327129916</v>
      </c>
      <c r="U337" s="264">
        <f t="shared" si="129"/>
        <v>0.01257102841</v>
      </c>
      <c r="V337" s="264">
        <f t="shared" si="129"/>
        <v>0.01489009675</v>
      </c>
      <c r="W337" s="264">
        <f t="shared" si="129"/>
        <v>0.02135270614</v>
      </c>
      <c r="X337" s="264">
        <f t="shared" si="129"/>
        <v>0.02252364018</v>
      </c>
      <c r="Y337" s="264">
        <f t="shared" si="129"/>
        <v>0.01473185773</v>
      </c>
      <c r="Z337" s="264">
        <f t="shared" si="129"/>
        <v>0.01216176341</v>
      </c>
      <c r="AA337" s="264">
        <f t="shared" si="129"/>
        <v>0.01823583718</v>
      </c>
      <c r="AB337" s="264">
        <f t="shared" si="129"/>
        <v>0.01114436837</v>
      </c>
      <c r="AC337" s="264">
        <f t="shared" si="129"/>
        <v>0.012296435</v>
      </c>
      <c r="AD337" s="264">
        <f t="shared" si="129"/>
        <v>0.01396660655</v>
      </c>
      <c r="AE337" s="264">
        <f t="shared" si="129"/>
        <v>0.009991128449</v>
      </c>
      <c r="AF337" s="264">
        <f t="shared" si="129"/>
        <v>0.01185537632</v>
      </c>
      <c r="AG337" s="264">
        <f t="shared" si="129"/>
        <v>0.01536175381</v>
      </c>
      <c r="AH337" s="264">
        <f t="shared" si="129"/>
        <v>0.01418939898</v>
      </c>
      <c r="AI337" s="264">
        <f t="shared" si="129"/>
        <v>0.007546221803</v>
      </c>
      <c r="AJ337" s="264">
        <f t="shared" si="129"/>
        <v>0.01565307981</v>
      </c>
      <c r="AK337" s="264">
        <f t="shared" si="129"/>
        <v>0.02510927854</v>
      </c>
      <c r="AL337" s="264">
        <f t="shared" si="129"/>
        <v>0.01613356115</v>
      </c>
      <c r="AM337" s="264">
        <f t="shared" si="129"/>
        <v>0.01440507998</v>
      </c>
      <c r="AN337" s="264">
        <f t="shared" si="129"/>
        <v>0.0118176826</v>
      </c>
      <c r="AO337" s="264">
        <f t="shared" si="129"/>
        <v>0.008700501753</v>
      </c>
      <c r="AP337" s="264">
        <f t="shared" si="129"/>
        <v>0.0155404124</v>
      </c>
      <c r="AQ337" s="264">
        <f t="shared" si="129"/>
        <v>0.01209552532</v>
      </c>
      <c r="AR337" s="264">
        <f t="shared" si="129"/>
        <v>0.02110504788</v>
      </c>
      <c r="AS337" s="264">
        <f t="shared" si="129"/>
        <v>0.04421012744</v>
      </c>
      <c r="AT337" s="136"/>
    </row>
    <row r="338">
      <c r="A338" s="80"/>
      <c r="B338" s="81"/>
      <c r="C338" s="90"/>
      <c r="D338" s="90"/>
      <c r="E338" s="113" t="s">
        <v>993</v>
      </c>
      <c r="F338" s="189" t="s">
        <v>122</v>
      </c>
      <c r="G338" s="190" t="s">
        <v>149</v>
      </c>
      <c r="H338" s="200" t="s">
        <v>150</v>
      </c>
      <c r="I338" s="264">
        <f t="shared" ref="I338:AS338" si="130">(SUM(I23,I39,I55)/((I322*(1-$H330))+(1-I322)))</f>
        <v>0.0003759565331</v>
      </c>
      <c r="J338" s="264">
        <f t="shared" si="130"/>
        <v>0.0004140083351</v>
      </c>
      <c r="K338" s="264">
        <f t="shared" si="130"/>
        <v>0.0003720875279</v>
      </c>
      <c r="L338" s="264">
        <f t="shared" si="130"/>
        <v>0.0002473036894</v>
      </c>
      <c r="M338" s="264">
        <f t="shared" si="130"/>
        <v>0.0002355105645</v>
      </c>
      <c r="N338" s="264">
        <f t="shared" si="130"/>
        <v>0.0003230705513</v>
      </c>
      <c r="O338" s="264">
        <f t="shared" si="130"/>
        <v>0.0005519857906</v>
      </c>
      <c r="P338" s="264">
        <f t="shared" si="130"/>
        <v>0.0006702435542</v>
      </c>
      <c r="Q338" s="264">
        <f t="shared" si="130"/>
        <v>0.0006789849298</v>
      </c>
      <c r="R338" s="264">
        <f t="shared" si="130"/>
        <v>0.0001121704799</v>
      </c>
      <c r="S338" s="264">
        <f t="shared" si="130"/>
        <v>0.0002056837906</v>
      </c>
      <c r="T338" s="264">
        <f t="shared" si="130"/>
        <v>0.0001107484557</v>
      </c>
      <c r="U338" s="264">
        <f t="shared" si="130"/>
        <v>0.0000892734415</v>
      </c>
      <c r="V338" s="264">
        <f t="shared" si="130"/>
        <v>0.0001638789897</v>
      </c>
      <c r="W338" s="264">
        <f t="shared" si="130"/>
        <v>0.0001332979999</v>
      </c>
      <c r="X338" s="264">
        <f t="shared" si="130"/>
        <v>0.000164701856</v>
      </c>
      <c r="Y338" s="264">
        <f t="shared" si="130"/>
        <v>0.0001148284458</v>
      </c>
      <c r="Z338" s="264">
        <f t="shared" si="130"/>
        <v>0.00009995614598</v>
      </c>
      <c r="AA338" s="264">
        <f t="shared" si="130"/>
        <v>0.0001538575267</v>
      </c>
      <c r="AB338" s="264">
        <f t="shared" si="130"/>
        <v>0.00009843261269</v>
      </c>
      <c r="AC338" s="264">
        <f t="shared" si="130"/>
        <v>0.000100315673</v>
      </c>
      <c r="AD338" s="264">
        <f t="shared" si="130"/>
        <v>0.0001121707515</v>
      </c>
      <c r="AE338" s="264">
        <f t="shared" si="130"/>
        <v>0.00008144722057</v>
      </c>
      <c r="AF338" s="264">
        <f t="shared" si="130"/>
        <v>0.00009458484913</v>
      </c>
      <c r="AG338" s="264">
        <f t="shared" si="130"/>
        <v>0.0001801448226</v>
      </c>
      <c r="AH338" s="264">
        <f t="shared" si="130"/>
        <v>0.0001359375472</v>
      </c>
      <c r="AI338" s="264">
        <f t="shared" si="130"/>
        <v>0.0000539388522</v>
      </c>
      <c r="AJ338" s="264">
        <f t="shared" si="130"/>
        <v>0.000139123676</v>
      </c>
      <c r="AK338" s="264">
        <f t="shared" si="130"/>
        <v>0.0002662810469</v>
      </c>
      <c r="AL338" s="264">
        <f t="shared" si="130"/>
        <v>0.0001496748826</v>
      </c>
      <c r="AM338" s="264">
        <f t="shared" si="130"/>
        <v>0.0001148242777</v>
      </c>
      <c r="AN338" s="264">
        <f t="shared" si="130"/>
        <v>0.00008731420536</v>
      </c>
      <c r="AO338" s="264">
        <f t="shared" si="130"/>
        <v>0.0001212303986</v>
      </c>
      <c r="AP338" s="264">
        <f t="shared" si="130"/>
        <v>0.000112006258</v>
      </c>
      <c r="AQ338" s="264">
        <f t="shared" si="130"/>
        <v>0.0001068323404</v>
      </c>
      <c r="AR338" s="264">
        <f t="shared" si="130"/>
        <v>0.0002309618299</v>
      </c>
      <c r="AS338" s="264">
        <f t="shared" si="130"/>
        <v>0.0003334906613</v>
      </c>
      <c r="AT338" s="136"/>
    </row>
    <row r="339">
      <c r="A339" s="80"/>
      <c r="B339" s="81"/>
      <c r="C339" s="90"/>
      <c r="D339" s="90"/>
      <c r="E339" s="113" t="s">
        <v>995</v>
      </c>
      <c r="F339" s="189" t="s">
        <v>122</v>
      </c>
      <c r="G339" s="190" t="s">
        <v>149</v>
      </c>
      <c r="H339" s="200" t="s">
        <v>150</v>
      </c>
      <c r="I339" s="264">
        <f t="shared" ref="I339:AS339" si="131">(SUM(I91,I124)/((I322*(1-$H331))+(1-I322)))</f>
        <v>0.0007992183299</v>
      </c>
      <c r="J339" s="264">
        <f t="shared" si="131"/>
        <v>0.0007855269352</v>
      </c>
      <c r="K339" s="264">
        <f t="shared" si="131"/>
        <v>0.0008236319365</v>
      </c>
      <c r="L339" s="264">
        <f t="shared" si="131"/>
        <v>0.0005577872904</v>
      </c>
      <c r="M339" s="264">
        <f t="shared" si="131"/>
        <v>0.0006161838235</v>
      </c>
      <c r="N339" s="264">
        <f t="shared" si="131"/>
        <v>0.0007088677224</v>
      </c>
      <c r="O339" s="264">
        <f t="shared" si="131"/>
        <v>0.0008536703142</v>
      </c>
      <c r="P339" s="264">
        <f t="shared" si="131"/>
        <v>0.0008270089113</v>
      </c>
      <c r="Q339" s="264">
        <f t="shared" si="131"/>
        <v>0.001006979543</v>
      </c>
      <c r="R339" s="264">
        <f t="shared" si="131"/>
        <v>0.0005099349722</v>
      </c>
      <c r="S339" s="264">
        <f t="shared" si="131"/>
        <v>0.0007627555816</v>
      </c>
      <c r="T339" s="264">
        <f t="shared" si="131"/>
        <v>0.0005652240096</v>
      </c>
      <c r="U339" s="264">
        <f t="shared" si="131"/>
        <v>0.0005255946961</v>
      </c>
      <c r="V339" s="264">
        <f t="shared" si="131"/>
        <v>0.0006302651139</v>
      </c>
      <c r="W339" s="264">
        <f t="shared" si="131"/>
        <v>0.0007058072172</v>
      </c>
      <c r="X339" s="264">
        <f t="shared" si="131"/>
        <v>0.0006416856991</v>
      </c>
      <c r="Y339" s="264">
        <f t="shared" si="131"/>
        <v>0.001012075434</v>
      </c>
      <c r="Z339" s="264">
        <f t="shared" si="131"/>
        <v>0.0005108960881</v>
      </c>
      <c r="AA339" s="264">
        <f t="shared" si="131"/>
        <v>0.000645183645</v>
      </c>
      <c r="AB339" s="264">
        <f t="shared" si="131"/>
        <v>0.0004637528803</v>
      </c>
      <c r="AC339" s="264">
        <f t="shared" si="131"/>
        <v>0.0005141041111</v>
      </c>
      <c r="AD339" s="264">
        <f t="shared" si="131"/>
        <v>0.0005553908992</v>
      </c>
      <c r="AE339" s="264">
        <f t="shared" si="131"/>
        <v>0.0003702646421</v>
      </c>
      <c r="AF339" s="264">
        <f t="shared" si="131"/>
        <v>0.0004719932008</v>
      </c>
      <c r="AG339" s="264">
        <f t="shared" si="131"/>
        <v>0.0006205900108</v>
      </c>
      <c r="AH339" s="264">
        <f t="shared" si="131"/>
        <v>0.0005501955141</v>
      </c>
      <c r="AI339" s="264">
        <f t="shared" si="131"/>
        <v>0.0003742252013</v>
      </c>
      <c r="AJ339" s="264">
        <f t="shared" si="131"/>
        <v>0.0005109311615</v>
      </c>
      <c r="AK339" s="264">
        <f t="shared" si="131"/>
        <v>0.0006765805409</v>
      </c>
      <c r="AL339" s="264">
        <f t="shared" si="131"/>
        <v>0.0005921484575</v>
      </c>
      <c r="AM339" s="264">
        <f t="shared" si="131"/>
        <v>0.0005837928396</v>
      </c>
      <c r="AN339" s="264">
        <f t="shared" si="131"/>
        <v>0.0004742238294</v>
      </c>
      <c r="AO339" s="264">
        <f t="shared" si="131"/>
        <v>0.0004611972982</v>
      </c>
      <c r="AP339" s="264">
        <f t="shared" si="131"/>
        <v>0.0005164284</v>
      </c>
      <c r="AQ339" s="264">
        <f t="shared" si="131"/>
        <v>0.0005087366571</v>
      </c>
      <c r="AR339" s="264">
        <f t="shared" si="131"/>
        <v>0.0005734925872</v>
      </c>
      <c r="AS339" s="264">
        <f t="shared" si="131"/>
        <v>0.0007542555425</v>
      </c>
      <c r="AT339" s="136"/>
    </row>
    <row r="340">
      <c r="A340" s="80"/>
      <c r="B340" s="81"/>
      <c r="C340" s="90"/>
      <c r="D340" s="90"/>
      <c r="E340" s="113" t="s">
        <v>996</v>
      </c>
      <c r="F340" s="189" t="s">
        <v>122</v>
      </c>
      <c r="G340" s="190" t="s">
        <v>149</v>
      </c>
      <c r="H340" s="200" t="s">
        <v>150</v>
      </c>
      <c r="I340" s="264">
        <f t="shared" ref="I340:AS340" si="132">(SUM(I97,I132)/((I323*(1-$H332))+(1-I323)))</f>
        <v>0.01341114088</v>
      </c>
      <c r="J340" s="264">
        <f t="shared" si="132"/>
        <v>0.01319978451</v>
      </c>
      <c r="K340" s="264">
        <f t="shared" si="132"/>
        <v>0.01380473938</v>
      </c>
      <c r="L340" s="264">
        <f t="shared" si="132"/>
        <v>0.009395544865</v>
      </c>
      <c r="M340" s="264">
        <f t="shared" si="132"/>
        <v>0.01036341102</v>
      </c>
      <c r="N340" s="264">
        <f t="shared" si="132"/>
        <v>0.01188016621</v>
      </c>
      <c r="O340" s="264">
        <f t="shared" si="132"/>
        <v>0.01425283082</v>
      </c>
      <c r="P340" s="264">
        <f t="shared" si="132"/>
        <v>0.01376347287</v>
      </c>
      <c r="Q340" s="264">
        <f t="shared" si="132"/>
        <v>0.01683092209</v>
      </c>
      <c r="R340" s="264">
        <f t="shared" si="132"/>
        <v>0.008675923473</v>
      </c>
      <c r="S340" s="264">
        <f t="shared" si="132"/>
        <v>0.01292257524</v>
      </c>
      <c r="T340" s="264">
        <f t="shared" si="132"/>
        <v>0.009605580141</v>
      </c>
      <c r="U340" s="264">
        <f t="shared" si="132"/>
        <v>0.008969168516</v>
      </c>
      <c r="V340" s="264">
        <f t="shared" si="132"/>
        <v>0.01068954396</v>
      </c>
      <c r="W340" s="264">
        <f t="shared" si="132"/>
        <v>0.01197957974</v>
      </c>
      <c r="X340" s="264">
        <f t="shared" si="132"/>
        <v>0.01082649587</v>
      </c>
      <c r="Y340" s="264">
        <f t="shared" si="132"/>
        <v>0.0175521841</v>
      </c>
      <c r="Z340" s="264">
        <f t="shared" si="132"/>
        <v>0.008684899016</v>
      </c>
      <c r="AA340" s="264">
        <f t="shared" si="132"/>
        <v>0.01095788663</v>
      </c>
      <c r="AB340" s="264">
        <f t="shared" si="132"/>
        <v>0.007882535562</v>
      </c>
      <c r="AC340" s="264">
        <f t="shared" si="132"/>
        <v>0.008755395401</v>
      </c>
      <c r="AD340" s="264">
        <f t="shared" si="132"/>
        <v>0.009450774128</v>
      </c>
      <c r="AE340" s="264">
        <f t="shared" si="132"/>
        <v>0.006282129633</v>
      </c>
      <c r="AF340" s="264">
        <f t="shared" si="132"/>
        <v>0.008041827867</v>
      </c>
      <c r="AG340" s="264">
        <f t="shared" si="132"/>
        <v>0.01058779132</v>
      </c>
      <c r="AH340" s="264">
        <f t="shared" si="132"/>
        <v>0.009342447368</v>
      </c>
      <c r="AI340" s="264">
        <f t="shared" si="132"/>
        <v>0.006360154753</v>
      </c>
      <c r="AJ340" s="264">
        <f t="shared" si="132"/>
        <v>0.008657546185</v>
      </c>
      <c r="AK340" s="264">
        <f t="shared" si="132"/>
        <v>0.01139754001</v>
      </c>
      <c r="AL340" s="264">
        <f t="shared" si="132"/>
        <v>0.01003133659</v>
      </c>
      <c r="AM340" s="264">
        <f t="shared" si="132"/>
        <v>0.009942722911</v>
      </c>
      <c r="AN340" s="264">
        <f t="shared" si="132"/>
        <v>0.008075871016</v>
      </c>
      <c r="AO340" s="264">
        <f t="shared" si="132"/>
        <v>0.007823962022</v>
      </c>
      <c r="AP340" s="264">
        <f t="shared" si="132"/>
        <v>0.008744488178</v>
      </c>
      <c r="AQ340" s="264">
        <f t="shared" si="132"/>
        <v>0.008644417906</v>
      </c>
      <c r="AR340" s="264">
        <f t="shared" si="132"/>
        <v>0.00965028901</v>
      </c>
      <c r="AS340" s="264">
        <f t="shared" si="132"/>
        <v>0.01264193218</v>
      </c>
      <c r="AT340" s="136"/>
    </row>
    <row r="341">
      <c r="A341" s="80"/>
      <c r="B341" s="81"/>
      <c r="C341" s="90"/>
      <c r="D341" s="90"/>
      <c r="E341" s="113" t="s">
        <v>1000</v>
      </c>
      <c r="F341" s="215" t="s">
        <v>122</v>
      </c>
      <c r="G341" s="216" t="s">
        <v>149</v>
      </c>
      <c r="H341" s="187" t="s">
        <v>150</v>
      </c>
      <c r="I341" s="264">
        <f t="shared" ref="I341:AS341" si="133">(I157/((I324*(1-$H333))+(1-I324)))</f>
        <v>0.01484659428</v>
      </c>
      <c r="J341" s="264">
        <f t="shared" si="133"/>
        <v>0.01068574441</v>
      </c>
      <c r="K341" s="264">
        <f t="shared" si="133"/>
        <v>0.01032831871</v>
      </c>
      <c r="L341" s="264">
        <f t="shared" si="133"/>
        <v>0.003885448938</v>
      </c>
      <c r="M341" s="264">
        <f t="shared" si="133"/>
        <v>0.006133456336</v>
      </c>
      <c r="N341" s="264">
        <f t="shared" si="133"/>
        <v>0.0110666051</v>
      </c>
      <c r="O341" s="264">
        <f t="shared" si="133"/>
        <v>0.01448728465</v>
      </c>
      <c r="P341" s="264">
        <f t="shared" si="133"/>
        <v>0.01385831773</v>
      </c>
      <c r="Q341" s="264">
        <f t="shared" si="133"/>
        <v>0.01651258799</v>
      </c>
      <c r="R341" s="264">
        <f t="shared" si="133"/>
        <v>0.002321074549</v>
      </c>
      <c r="S341" s="264">
        <f t="shared" si="133"/>
        <v>0.00742256099</v>
      </c>
      <c r="T341" s="264">
        <f t="shared" si="133"/>
        <v>0.002817364075</v>
      </c>
      <c r="U341" s="264">
        <f t="shared" si="133"/>
        <v>0.001969139942</v>
      </c>
      <c r="V341" s="264">
        <f t="shared" si="133"/>
        <v>0.005607113642</v>
      </c>
      <c r="W341" s="264">
        <f t="shared" si="133"/>
        <v>0.007443833259</v>
      </c>
      <c r="X341" s="264">
        <f t="shared" si="133"/>
        <v>0.007854802471</v>
      </c>
      <c r="Y341" s="264">
        <f t="shared" si="133"/>
        <v>0.004568445221</v>
      </c>
      <c r="Z341" s="264">
        <f t="shared" si="133"/>
        <v>0.002318161523</v>
      </c>
      <c r="AA341" s="264">
        <f t="shared" si="133"/>
        <v>0.004979588682</v>
      </c>
      <c r="AB341" s="264">
        <f t="shared" si="133"/>
        <v>0.002000001623</v>
      </c>
      <c r="AC341" s="264">
        <f t="shared" si="133"/>
        <v>0.002458021237</v>
      </c>
      <c r="AD341" s="264">
        <f t="shared" si="133"/>
        <v>0.003050605458</v>
      </c>
      <c r="AE341" s="264">
        <f t="shared" si="133"/>
        <v>0.001497629386</v>
      </c>
      <c r="AF341" s="264">
        <f t="shared" si="133"/>
        <v>0.001800920755</v>
      </c>
      <c r="AG341" s="264">
        <f t="shared" si="133"/>
        <v>0.004001289816</v>
      </c>
      <c r="AH341" s="264">
        <f t="shared" si="133"/>
        <v>0.003329286775</v>
      </c>
      <c r="AI341" s="264">
        <f t="shared" si="133"/>
        <v>0.00100025091</v>
      </c>
      <c r="AJ341" s="264">
        <f t="shared" si="133"/>
        <v>0.004067589562</v>
      </c>
      <c r="AK341" s="264">
        <f t="shared" si="133"/>
        <v>0.007796181963</v>
      </c>
      <c r="AL341" s="264">
        <f t="shared" si="133"/>
        <v>0.002942687766</v>
      </c>
      <c r="AM341" s="264">
        <f t="shared" si="133"/>
        <v>0.003460849796</v>
      </c>
      <c r="AN341" s="264">
        <f t="shared" si="133"/>
        <v>0.002117345959</v>
      </c>
      <c r="AO341" s="264">
        <f t="shared" si="133"/>
        <v>0.002905139038</v>
      </c>
      <c r="AP341" s="264">
        <f t="shared" si="133"/>
        <v>0.004752180733</v>
      </c>
      <c r="AQ341" s="264">
        <f t="shared" si="133"/>
        <v>0.002110693762</v>
      </c>
      <c r="AR341" s="264">
        <f t="shared" si="133"/>
        <v>0.007566200054</v>
      </c>
      <c r="AS341" s="264">
        <f t="shared" si="133"/>
        <v>0.01238067405</v>
      </c>
      <c r="AT341" s="163"/>
    </row>
    <row r="342">
      <c r="A342" s="80"/>
      <c r="B342" s="81"/>
      <c r="C342" s="90"/>
      <c r="D342" s="90"/>
      <c r="E342" s="140" t="s">
        <v>1001</v>
      </c>
      <c r="F342" s="215" t="s">
        <v>122</v>
      </c>
      <c r="G342" s="216" t="s">
        <v>149</v>
      </c>
      <c r="H342" s="187" t="s">
        <v>150</v>
      </c>
      <c r="I342" s="264">
        <f t="shared" ref="I342:AS342" si="134">(I165/((I325*(1-$H334))+(1-I325)))</f>
        <v>0.00001306925613</v>
      </c>
      <c r="J342" s="264">
        <f t="shared" si="134"/>
        <v>0.000007018493397</v>
      </c>
      <c r="K342" s="264">
        <f t="shared" si="134"/>
        <v>0.00001369072323</v>
      </c>
      <c r="L342" s="264">
        <f t="shared" si="134"/>
        <v>0.000005292814882</v>
      </c>
      <c r="M342" s="264">
        <f t="shared" si="134"/>
        <v>0.000005133152897</v>
      </c>
      <c r="N342" s="264">
        <f t="shared" si="134"/>
        <v>0.00001358802549</v>
      </c>
      <c r="O342" s="264">
        <f t="shared" si="134"/>
        <v>0.00001291451345</v>
      </c>
      <c r="P342" s="264">
        <f t="shared" si="134"/>
        <v>0.00001724983883</v>
      </c>
      <c r="Q342" s="264">
        <f t="shared" si="134"/>
        <v>0.00001791136742</v>
      </c>
      <c r="R342" s="264">
        <f t="shared" si="134"/>
        <v>0.000001298871287</v>
      </c>
      <c r="S342" s="264">
        <f t="shared" si="134"/>
        <v>0.000003690628742</v>
      </c>
      <c r="T342" s="264">
        <f t="shared" si="134"/>
        <v>0.00000209847373</v>
      </c>
      <c r="U342" s="264">
        <f t="shared" si="134"/>
        <v>0.000001511477855</v>
      </c>
      <c r="V342" s="264">
        <f t="shared" si="134"/>
        <v>0.000002904265778</v>
      </c>
      <c r="W342" s="264">
        <f t="shared" si="134"/>
        <v>0.00000256113946</v>
      </c>
      <c r="X342" s="264">
        <f t="shared" si="134"/>
        <v>0.00000542249425</v>
      </c>
      <c r="Y342" s="264">
        <f t="shared" si="134"/>
        <v>0.000002183470099</v>
      </c>
      <c r="Z342" s="264">
        <f t="shared" si="134"/>
        <v>0.000001895953123</v>
      </c>
      <c r="AA342" s="264">
        <f t="shared" si="134"/>
        <v>0.000002436515914</v>
      </c>
      <c r="AB342" s="264">
        <f t="shared" si="134"/>
        <v>0.000001515135513</v>
      </c>
      <c r="AC342" s="264">
        <f t="shared" si="134"/>
        <v>0.000001699673203</v>
      </c>
      <c r="AD342" s="264">
        <f t="shared" si="134"/>
        <v>0.000001321244721</v>
      </c>
      <c r="AE342" s="264">
        <f t="shared" si="134"/>
        <v>0.000001393095156</v>
      </c>
      <c r="AF342" s="264">
        <f t="shared" si="134"/>
        <v>0.000001197956435</v>
      </c>
      <c r="AG342" s="264">
        <f t="shared" si="134"/>
        <v>0.000002463825466</v>
      </c>
      <c r="AH342" s="264">
        <f t="shared" si="134"/>
        <v>0.000003141179424</v>
      </c>
      <c r="AI342" s="264">
        <f t="shared" si="134"/>
        <v>0.000001099157507</v>
      </c>
      <c r="AJ342" s="264">
        <f t="shared" si="134"/>
        <v>0.00000306255192</v>
      </c>
      <c r="AK342" s="264">
        <f t="shared" si="134"/>
        <v>0.00000515421289</v>
      </c>
      <c r="AL342" s="264">
        <f t="shared" si="134"/>
        <v>0.000002013089374</v>
      </c>
      <c r="AM342" s="264">
        <f t="shared" si="134"/>
        <v>0.000001693402385</v>
      </c>
      <c r="AN342" s="264">
        <f t="shared" si="134"/>
        <v>0.000001217950621</v>
      </c>
      <c r="AO342" s="264">
        <f t="shared" si="134"/>
        <v>0.000001760098398</v>
      </c>
      <c r="AP342" s="264">
        <f t="shared" si="134"/>
        <v>0.00000258505071</v>
      </c>
      <c r="AQ342" s="264">
        <f t="shared" si="134"/>
        <v>0.000001635394918</v>
      </c>
      <c r="AR342" s="264">
        <f t="shared" si="134"/>
        <v>0.000004916495829</v>
      </c>
      <c r="AS342" s="264">
        <f t="shared" si="134"/>
        <v>0.000009965662635</v>
      </c>
      <c r="AT342" s="163"/>
    </row>
    <row r="343">
      <c r="A343" s="80"/>
      <c r="B343" s="81"/>
      <c r="C343" s="90"/>
      <c r="D343" s="90"/>
      <c r="E343" s="237" t="s">
        <v>351</v>
      </c>
      <c r="F343" s="195" t="s">
        <v>122</v>
      </c>
      <c r="G343" s="196" t="s">
        <v>149</v>
      </c>
      <c r="H343" s="197" t="s">
        <v>150</v>
      </c>
      <c r="I343" s="457">
        <f t="shared" ref="I343:AS343" si="135">SUM(I337:I342)</f>
        <v>0.07929669636</v>
      </c>
      <c r="J343" s="457">
        <f t="shared" si="135"/>
        <v>0.05571152928</v>
      </c>
      <c r="K343" s="457">
        <f t="shared" si="135"/>
        <v>0.07819112342</v>
      </c>
      <c r="L343" s="457">
        <f t="shared" si="135"/>
        <v>0.03180920332</v>
      </c>
      <c r="M343" s="457">
        <f t="shared" si="135"/>
        <v>0.0421543807</v>
      </c>
      <c r="N343" s="457">
        <f t="shared" si="135"/>
        <v>0.06748815092</v>
      </c>
      <c r="O343" s="457">
        <f t="shared" si="135"/>
        <v>0.0835370002</v>
      </c>
      <c r="P343" s="457">
        <f t="shared" si="135"/>
        <v>0.08537133476</v>
      </c>
      <c r="Q343" s="457">
        <f t="shared" si="135"/>
        <v>0.100823124</v>
      </c>
      <c r="R343" s="457">
        <f t="shared" si="135"/>
        <v>0.0244681114</v>
      </c>
      <c r="S343" s="457">
        <f t="shared" si="135"/>
        <v>0.04470559133</v>
      </c>
      <c r="T343" s="457">
        <f t="shared" si="135"/>
        <v>0.02637231431</v>
      </c>
      <c r="U343" s="457">
        <f t="shared" si="135"/>
        <v>0.02412571648</v>
      </c>
      <c r="V343" s="457">
        <f t="shared" si="135"/>
        <v>0.03198380273</v>
      </c>
      <c r="W343" s="457">
        <f t="shared" si="135"/>
        <v>0.0416177855</v>
      </c>
      <c r="X343" s="457">
        <f t="shared" si="135"/>
        <v>0.04201674857</v>
      </c>
      <c r="Y343" s="457">
        <f t="shared" si="135"/>
        <v>0.0379815744</v>
      </c>
      <c r="Z343" s="457">
        <f t="shared" si="135"/>
        <v>0.02377757214</v>
      </c>
      <c r="AA343" s="457">
        <f t="shared" si="135"/>
        <v>0.03497479018</v>
      </c>
      <c r="AB343" s="457">
        <f t="shared" si="135"/>
        <v>0.02159060618</v>
      </c>
      <c r="AC343" s="457">
        <f t="shared" si="135"/>
        <v>0.0241259711</v>
      </c>
      <c r="AD343" s="457">
        <f t="shared" si="135"/>
        <v>0.02713686904</v>
      </c>
      <c r="AE343" s="457">
        <f t="shared" si="135"/>
        <v>0.01822399243</v>
      </c>
      <c r="AF343" s="457">
        <f t="shared" si="135"/>
        <v>0.02226590095</v>
      </c>
      <c r="AG343" s="457">
        <f t="shared" si="135"/>
        <v>0.0307540336</v>
      </c>
      <c r="AH343" s="457">
        <f t="shared" si="135"/>
        <v>0.02755040736</v>
      </c>
      <c r="AI343" s="457">
        <f t="shared" si="135"/>
        <v>0.01533589068</v>
      </c>
      <c r="AJ343" s="457">
        <f t="shared" si="135"/>
        <v>0.02903133294</v>
      </c>
      <c r="AK343" s="457">
        <f t="shared" si="135"/>
        <v>0.04525101631</v>
      </c>
      <c r="AL343" s="457">
        <f t="shared" si="135"/>
        <v>0.02985142193</v>
      </c>
      <c r="AM343" s="457">
        <f t="shared" si="135"/>
        <v>0.02850896321</v>
      </c>
      <c r="AN343" s="457">
        <f t="shared" si="135"/>
        <v>0.02257365556</v>
      </c>
      <c r="AO343" s="457">
        <f t="shared" si="135"/>
        <v>0.02001379061</v>
      </c>
      <c r="AP343" s="457">
        <f t="shared" si="135"/>
        <v>0.02966810102</v>
      </c>
      <c r="AQ343" s="457">
        <f t="shared" si="135"/>
        <v>0.02346784138</v>
      </c>
      <c r="AR343" s="457">
        <f t="shared" si="135"/>
        <v>0.03913090786</v>
      </c>
      <c r="AS343" s="457">
        <f t="shared" si="135"/>
        <v>0.07033044553</v>
      </c>
      <c r="AT343" s="248"/>
    </row>
    <row r="344">
      <c r="A344" s="80"/>
      <c r="B344" s="81"/>
      <c r="C344" s="90"/>
      <c r="D344" s="90"/>
      <c r="E344" s="243"/>
      <c r="F344" s="108"/>
      <c r="G344" s="122"/>
      <c r="H344" s="85"/>
      <c r="I344" s="111"/>
      <c r="J344" s="111"/>
      <c r="K344" s="111"/>
      <c r="L344" s="111"/>
      <c r="M344" s="111"/>
      <c r="N344" s="111"/>
      <c r="O344" s="111"/>
      <c r="P344" s="111"/>
      <c r="Q344" s="111"/>
      <c r="R344" s="111"/>
      <c r="S344" s="111"/>
      <c r="T344" s="111"/>
      <c r="U344" s="111"/>
      <c r="V344" s="111"/>
      <c r="W344" s="111"/>
      <c r="X344" s="111"/>
      <c r="Y344" s="111"/>
      <c r="Z344" s="111"/>
      <c r="AA344" s="111"/>
      <c r="AB344" s="111"/>
      <c r="AC344" s="111"/>
      <c r="AD344" s="111"/>
      <c r="AE344" s="111"/>
      <c r="AF344" s="111"/>
      <c r="AG344" s="111"/>
      <c r="AH344" s="111"/>
      <c r="AI344" s="111"/>
      <c r="AJ344" s="111"/>
      <c r="AK344" s="111"/>
      <c r="AL344" s="111"/>
      <c r="AM344" s="111"/>
      <c r="AN344" s="111"/>
      <c r="AO344" s="111"/>
      <c r="AP344" s="111"/>
      <c r="AQ344" s="111"/>
      <c r="AR344" s="111"/>
      <c r="AS344" s="111"/>
      <c r="AT344" s="88"/>
    </row>
    <row r="345">
      <c r="A345" s="80"/>
      <c r="B345" s="81"/>
      <c r="C345" s="112" t="s">
        <v>676</v>
      </c>
      <c r="F345" s="108"/>
      <c r="G345" s="122"/>
      <c r="H345" s="85"/>
      <c r="I345" s="111"/>
      <c r="J345" s="111"/>
      <c r="K345" s="111"/>
      <c r="L345" s="111"/>
      <c r="M345" s="111"/>
      <c r="N345" s="111"/>
      <c r="O345" s="111"/>
      <c r="P345" s="111"/>
      <c r="Q345" s="111"/>
      <c r="R345" s="111"/>
      <c r="S345" s="111"/>
      <c r="T345" s="111"/>
      <c r="U345" s="111"/>
      <c r="V345" s="111"/>
      <c r="W345" s="111"/>
      <c r="X345" s="111"/>
      <c r="Y345" s="111"/>
      <c r="Z345" s="111"/>
      <c r="AA345" s="111"/>
      <c r="AB345" s="111"/>
      <c r="AC345" s="111"/>
      <c r="AD345" s="111"/>
      <c r="AE345" s="111"/>
      <c r="AF345" s="111"/>
      <c r="AG345" s="111"/>
      <c r="AH345" s="111"/>
      <c r="AI345" s="111"/>
      <c r="AJ345" s="111"/>
      <c r="AK345" s="111"/>
      <c r="AL345" s="111"/>
      <c r="AM345" s="111"/>
      <c r="AN345" s="111"/>
      <c r="AO345" s="111"/>
      <c r="AP345" s="111"/>
      <c r="AQ345" s="111"/>
      <c r="AR345" s="111"/>
      <c r="AS345" s="111"/>
      <c r="AT345" s="88"/>
    </row>
    <row r="346">
      <c r="A346" s="80"/>
      <c r="B346" s="81"/>
      <c r="C346" s="90"/>
      <c r="D346" s="90"/>
      <c r="E346" s="113" t="s">
        <v>677</v>
      </c>
      <c r="F346" s="189" t="s">
        <v>122</v>
      </c>
      <c r="G346" s="190" t="s">
        <v>149</v>
      </c>
      <c r="H346" s="200" t="s">
        <v>150</v>
      </c>
      <c r="I346" s="119">
        <f t="shared" ref="I346:AS346" si="136">I337/I$343</f>
        <v>0.6286607055</v>
      </c>
      <c r="J346" s="119">
        <f t="shared" si="136"/>
        <v>0.5496070023</v>
      </c>
      <c r="K346" s="119">
        <f t="shared" si="136"/>
        <v>0.6758907255</v>
      </c>
      <c r="L346" s="119">
        <f t="shared" si="136"/>
        <v>0.5570031272</v>
      </c>
      <c r="M346" s="119">
        <f t="shared" si="136"/>
        <v>0.5883299764</v>
      </c>
      <c r="N346" s="119">
        <f t="shared" si="136"/>
        <v>0.6444961481</v>
      </c>
      <c r="O346" s="119">
        <f t="shared" si="136"/>
        <v>0.6389781053</v>
      </c>
      <c r="P346" s="119">
        <f t="shared" si="136"/>
        <v>0.6587110534</v>
      </c>
      <c r="Q346" s="119">
        <f t="shared" si="136"/>
        <v>0.6523874233</v>
      </c>
      <c r="R346" s="119">
        <f t="shared" si="136"/>
        <v>0.5250797189</v>
      </c>
      <c r="S346" s="119">
        <f t="shared" si="136"/>
        <v>0.5231633091</v>
      </c>
      <c r="T346" s="119">
        <f t="shared" si="136"/>
        <v>0.5032284615</v>
      </c>
      <c r="U346" s="119">
        <f t="shared" si="136"/>
        <v>0.5210634229</v>
      </c>
      <c r="V346" s="119">
        <f t="shared" si="136"/>
        <v>0.4655511692</v>
      </c>
      <c r="W346" s="119">
        <f t="shared" si="136"/>
        <v>0.5130668507</v>
      </c>
      <c r="X346" s="119">
        <f t="shared" si="136"/>
        <v>0.5360633781</v>
      </c>
      <c r="Y346" s="119">
        <f t="shared" si="136"/>
        <v>0.387868538</v>
      </c>
      <c r="Z346" s="119">
        <f t="shared" si="136"/>
        <v>0.5114804549</v>
      </c>
      <c r="AA346" s="119">
        <f t="shared" si="136"/>
        <v>0.5213994733</v>
      </c>
      <c r="AB346" s="119">
        <f t="shared" si="136"/>
        <v>0.5161674608</v>
      </c>
      <c r="AC346" s="119">
        <f t="shared" si="136"/>
        <v>0.5096762718</v>
      </c>
      <c r="AD346" s="119">
        <f t="shared" si="136"/>
        <v>0.5146727331</v>
      </c>
      <c r="AE346" s="119">
        <f t="shared" si="136"/>
        <v>0.5482403754</v>
      </c>
      <c r="AF346" s="119">
        <f t="shared" si="136"/>
        <v>0.5324453903</v>
      </c>
      <c r="AG346" s="119">
        <f t="shared" si="136"/>
        <v>0.4995037075</v>
      </c>
      <c r="AH346" s="119">
        <f t="shared" si="136"/>
        <v>0.5150340897</v>
      </c>
      <c r="AI346" s="119">
        <f t="shared" si="136"/>
        <v>0.4920628323</v>
      </c>
      <c r="AJ346" s="119">
        <f t="shared" si="136"/>
        <v>0.5391788189</v>
      </c>
      <c r="AK346" s="119">
        <f t="shared" si="136"/>
        <v>0.5548887204</v>
      </c>
      <c r="AL346" s="119">
        <f t="shared" si="136"/>
        <v>0.5404620653</v>
      </c>
      <c r="AM346" s="119">
        <f t="shared" si="136"/>
        <v>0.5052824923</v>
      </c>
      <c r="AN346" s="119">
        <f t="shared" si="136"/>
        <v>0.5235165642</v>
      </c>
      <c r="AO346" s="119">
        <f t="shared" si="136"/>
        <v>0.4347253313</v>
      </c>
      <c r="AP346" s="119">
        <f t="shared" si="136"/>
        <v>0.5238088002</v>
      </c>
      <c r="AQ346" s="119">
        <f t="shared" si="136"/>
        <v>0.5154085169</v>
      </c>
      <c r="AR346" s="119">
        <f t="shared" si="136"/>
        <v>0.5393447031</v>
      </c>
      <c r="AS346" s="119">
        <f t="shared" si="136"/>
        <v>0.6286058208</v>
      </c>
      <c r="AT346" s="136"/>
    </row>
    <row r="347">
      <c r="A347" s="80"/>
      <c r="B347" s="81"/>
      <c r="C347" s="90"/>
      <c r="D347" s="90"/>
      <c r="E347" s="140" t="s">
        <v>684</v>
      </c>
      <c r="F347" s="215" t="s">
        <v>122</v>
      </c>
      <c r="G347" s="216" t="s">
        <v>149</v>
      </c>
      <c r="H347" s="187" t="s">
        <v>150</v>
      </c>
      <c r="I347" s="149">
        <f t="shared" ref="I347:AS347" si="137">I338/I$343</f>
        <v>0.004741137404</v>
      </c>
      <c r="J347" s="149">
        <f t="shared" si="137"/>
        <v>0.007431286495</v>
      </c>
      <c r="K347" s="149">
        <f t="shared" si="137"/>
        <v>0.004758692695</v>
      </c>
      <c r="L347" s="149">
        <f t="shared" si="137"/>
        <v>0.007774595513</v>
      </c>
      <c r="M347" s="149">
        <f t="shared" si="137"/>
        <v>0.005586858604</v>
      </c>
      <c r="N347" s="149">
        <f t="shared" si="137"/>
        <v>0.004787070721</v>
      </c>
      <c r="O347" s="149">
        <f t="shared" si="137"/>
        <v>0.0066076803</v>
      </c>
      <c r="P347" s="149">
        <f t="shared" si="137"/>
        <v>0.007850920407</v>
      </c>
      <c r="Q347" s="149">
        <f t="shared" si="137"/>
        <v>0.0067344167</v>
      </c>
      <c r="R347" s="149">
        <f t="shared" si="137"/>
        <v>0.004584353815</v>
      </c>
      <c r="S347" s="149">
        <f t="shared" si="137"/>
        <v>0.004600851582</v>
      </c>
      <c r="T347" s="149">
        <f t="shared" si="137"/>
        <v>0.004199421197</v>
      </c>
      <c r="U347" s="149">
        <f t="shared" si="137"/>
        <v>0.003700343638</v>
      </c>
      <c r="V347" s="149">
        <f t="shared" si="137"/>
        <v>0.005123811921</v>
      </c>
      <c r="W347" s="149">
        <f t="shared" si="137"/>
        <v>0.003202909485</v>
      </c>
      <c r="X347" s="149">
        <f t="shared" si="137"/>
        <v>0.003919909598</v>
      </c>
      <c r="Y347" s="149">
        <f t="shared" si="137"/>
        <v>0.003023267138</v>
      </c>
      <c r="Z347" s="149">
        <f t="shared" si="137"/>
        <v>0.004203799505</v>
      </c>
      <c r="AA347" s="149">
        <f t="shared" si="137"/>
        <v>0.00439909792</v>
      </c>
      <c r="AB347" s="149">
        <f t="shared" si="137"/>
        <v>0.004559048127</v>
      </c>
      <c r="AC347" s="149">
        <f t="shared" si="137"/>
        <v>0.004157995242</v>
      </c>
      <c r="AD347" s="149">
        <f t="shared" si="137"/>
        <v>0.004133518549</v>
      </c>
      <c r="AE347" s="149">
        <f t="shared" si="137"/>
        <v>0.004469230378</v>
      </c>
      <c r="AF347" s="149">
        <f t="shared" si="137"/>
        <v>0.004247968646</v>
      </c>
      <c r="AG347" s="149">
        <f t="shared" si="137"/>
        <v>0.00585759985</v>
      </c>
      <c r="AH347" s="149">
        <f t="shared" si="137"/>
        <v>0.004934139284</v>
      </c>
      <c r="AI347" s="149">
        <f t="shared" si="137"/>
        <v>0.003517164626</v>
      </c>
      <c r="AJ347" s="149">
        <f t="shared" si="137"/>
        <v>0.004792190434</v>
      </c>
      <c r="AK347" s="149">
        <f t="shared" si="137"/>
        <v>0.005884531853</v>
      </c>
      <c r="AL347" s="149">
        <f t="shared" si="137"/>
        <v>0.005013995076</v>
      </c>
      <c r="AM347" s="149">
        <f t="shared" si="137"/>
        <v>0.004027655332</v>
      </c>
      <c r="AN347" s="149">
        <f t="shared" si="137"/>
        <v>0.00386796924</v>
      </c>
      <c r="AO347" s="149">
        <f t="shared" si="137"/>
        <v>0.006057343208</v>
      </c>
      <c r="AP347" s="149">
        <f t="shared" si="137"/>
        <v>0.003775309311</v>
      </c>
      <c r="AQ347" s="149">
        <f t="shared" si="137"/>
        <v>0.004552286625</v>
      </c>
      <c r="AR347" s="149">
        <f t="shared" si="137"/>
        <v>0.005902286517</v>
      </c>
      <c r="AS347" s="149">
        <f t="shared" si="137"/>
        <v>0.004741768075</v>
      </c>
      <c r="AT347" s="163"/>
    </row>
    <row r="348">
      <c r="A348" s="80"/>
      <c r="B348" s="81"/>
      <c r="C348" s="90"/>
      <c r="D348" s="90"/>
      <c r="E348" s="140" t="s">
        <v>690</v>
      </c>
      <c r="F348" s="215" t="s">
        <v>122</v>
      </c>
      <c r="G348" s="216" t="s">
        <v>149</v>
      </c>
      <c r="H348" s="187" t="s">
        <v>150</v>
      </c>
      <c r="I348" s="149">
        <f t="shared" ref="I348:AS348" si="138">I339/I$343</f>
        <v>0.01007883514</v>
      </c>
      <c r="J348" s="149">
        <f t="shared" si="138"/>
        <v>0.01409989899</v>
      </c>
      <c r="K348" s="149">
        <f t="shared" si="138"/>
        <v>0.01053357338</v>
      </c>
      <c r="L348" s="149">
        <f t="shared" si="138"/>
        <v>0.01753540586</v>
      </c>
      <c r="M348" s="149">
        <f t="shared" si="138"/>
        <v>0.0146173141</v>
      </c>
      <c r="N348" s="149">
        <f t="shared" si="138"/>
        <v>0.01050358786</v>
      </c>
      <c r="O348" s="149">
        <f t="shared" si="138"/>
        <v>0.01021906834</v>
      </c>
      <c r="P348" s="149">
        <f t="shared" si="138"/>
        <v>0.009687196688</v>
      </c>
      <c r="Q348" s="149">
        <f t="shared" si="138"/>
        <v>0.009987585223</v>
      </c>
      <c r="R348" s="149">
        <f t="shared" si="138"/>
        <v>0.0208407982</v>
      </c>
      <c r="S348" s="149">
        <f t="shared" si="138"/>
        <v>0.01706174908</v>
      </c>
      <c r="T348" s="149">
        <f t="shared" si="138"/>
        <v>0.02143247661</v>
      </c>
      <c r="U348" s="149">
        <f t="shared" si="138"/>
        <v>0.02178566164</v>
      </c>
      <c r="V348" s="149">
        <f t="shared" si="138"/>
        <v>0.01970575917</v>
      </c>
      <c r="W348" s="149">
        <f t="shared" si="138"/>
        <v>0.01695926895</v>
      </c>
      <c r="X348" s="149">
        <f t="shared" si="138"/>
        <v>0.01527214078</v>
      </c>
      <c r="Y348" s="149">
        <f t="shared" si="138"/>
        <v>0.0266464845</v>
      </c>
      <c r="Z348" s="149">
        <f t="shared" si="138"/>
        <v>0.0214864699</v>
      </c>
      <c r="AA348" s="149">
        <f t="shared" si="138"/>
        <v>0.01844710552</v>
      </c>
      <c r="AB348" s="149">
        <f t="shared" si="138"/>
        <v>0.02147938211</v>
      </c>
      <c r="AC348" s="149">
        <f t="shared" si="138"/>
        <v>0.02130915721</v>
      </c>
      <c r="AD348" s="149">
        <f t="shared" si="138"/>
        <v>0.02046628513</v>
      </c>
      <c r="AE348" s="149">
        <f t="shared" si="138"/>
        <v>0.02031742735</v>
      </c>
      <c r="AF348" s="149">
        <f t="shared" si="138"/>
        <v>0.0211980284</v>
      </c>
      <c r="AG348" s="149">
        <f t="shared" si="138"/>
        <v>0.02017914199</v>
      </c>
      <c r="AH348" s="149">
        <f t="shared" si="138"/>
        <v>0.01997050377</v>
      </c>
      <c r="AI348" s="149">
        <f t="shared" si="138"/>
        <v>0.02440192156</v>
      </c>
      <c r="AJ348" s="149">
        <f t="shared" si="138"/>
        <v>0.01759930081</v>
      </c>
      <c r="AK348" s="149">
        <f t="shared" si="138"/>
        <v>0.01495172034</v>
      </c>
      <c r="AL348" s="149">
        <f t="shared" si="138"/>
        <v>0.01983652433</v>
      </c>
      <c r="AM348" s="149">
        <f t="shared" si="138"/>
        <v>0.02047751913</v>
      </c>
      <c r="AN348" s="149">
        <f t="shared" si="138"/>
        <v>0.02100784377</v>
      </c>
      <c r="AO348" s="149">
        <f t="shared" si="138"/>
        <v>0.02304397539</v>
      </c>
      <c r="AP348" s="149">
        <f t="shared" si="138"/>
        <v>0.01740685728</v>
      </c>
      <c r="AQ348" s="149">
        <f t="shared" si="138"/>
        <v>0.02167803373</v>
      </c>
      <c r="AR348" s="149">
        <f t="shared" si="138"/>
        <v>0.01465574449</v>
      </c>
      <c r="AS348" s="149">
        <f t="shared" si="138"/>
        <v>0.01072445279</v>
      </c>
      <c r="AT348" s="163"/>
    </row>
    <row r="349">
      <c r="A349" s="80"/>
      <c r="B349" s="81"/>
      <c r="C349" s="90"/>
      <c r="D349" s="90"/>
      <c r="E349" s="140" t="s">
        <v>696</v>
      </c>
      <c r="F349" s="215" t="s">
        <v>122</v>
      </c>
      <c r="G349" s="216" t="s">
        <v>149</v>
      </c>
      <c r="H349" s="187" t="s">
        <v>150</v>
      </c>
      <c r="I349" s="149">
        <f t="shared" ref="I349:AS349" si="139">I340/I$343</f>
        <v>0.1691260985</v>
      </c>
      <c r="J349" s="149">
        <f t="shared" si="139"/>
        <v>0.2369309311</v>
      </c>
      <c r="K349" s="149">
        <f t="shared" si="139"/>
        <v>0.1765512347</v>
      </c>
      <c r="L349" s="149">
        <f t="shared" si="139"/>
        <v>0.2953719013</v>
      </c>
      <c r="M349" s="149">
        <f t="shared" si="139"/>
        <v>0.2458442242</v>
      </c>
      <c r="N349" s="149">
        <f t="shared" si="139"/>
        <v>0.1760333636</v>
      </c>
      <c r="O349" s="149">
        <f t="shared" si="139"/>
        <v>0.1706169815</v>
      </c>
      <c r="P349" s="149">
        <f t="shared" si="139"/>
        <v>0.1612189023</v>
      </c>
      <c r="Q349" s="149">
        <f t="shared" si="139"/>
        <v>0.1669351377</v>
      </c>
      <c r="R349" s="149">
        <f t="shared" si="139"/>
        <v>0.3545808391</v>
      </c>
      <c r="S349" s="149">
        <f t="shared" si="139"/>
        <v>0.2890594858</v>
      </c>
      <c r="T349" s="149">
        <f t="shared" si="139"/>
        <v>0.3642297004</v>
      </c>
      <c r="U349" s="149">
        <f t="shared" si="139"/>
        <v>0.3717679648</v>
      </c>
      <c r="V349" s="149">
        <f t="shared" si="139"/>
        <v>0.3342174179</v>
      </c>
      <c r="W349" s="149">
        <f t="shared" si="139"/>
        <v>0.2878476017</v>
      </c>
      <c r="X349" s="149">
        <f t="shared" si="139"/>
        <v>0.2576709584</v>
      </c>
      <c r="Y349" s="149">
        <f t="shared" si="139"/>
        <v>0.462123658</v>
      </c>
      <c r="Z349" s="149">
        <f t="shared" si="139"/>
        <v>0.3652559212</v>
      </c>
      <c r="AA349" s="149">
        <f t="shared" si="139"/>
        <v>0.313308145</v>
      </c>
      <c r="AB349" s="149">
        <f t="shared" si="139"/>
        <v>0.3650909796</v>
      </c>
      <c r="AC349" s="149">
        <f t="shared" si="139"/>
        <v>0.3629033362</v>
      </c>
      <c r="AD349" s="149">
        <f t="shared" si="139"/>
        <v>0.3482632472</v>
      </c>
      <c r="AE349" s="149">
        <f t="shared" si="139"/>
        <v>0.3447175287</v>
      </c>
      <c r="AF349" s="149">
        <f t="shared" si="139"/>
        <v>0.3611723543</v>
      </c>
      <c r="AG349" s="149">
        <f t="shared" si="139"/>
        <v>0.3442732572</v>
      </c>
      <c r="AH349" s="149">
        <f t="shared" si="139"/>
        <v>0.3391037833</v>
      </c>
      <c r="AI349" s="149">
        <f t="shared" si="139"/>
        <v>0.4147235323</v>
      </c>
      <c r="AJ349" s="149">
        <f t="shared" si="139"/>
        <v>0.2982138713</v>
      </c>
      <c r="AK349" s="149">
        <f t="shared" si="139"/>
        <v>0.2518736801</v>
      </c>
      <c r="AL349" s="149">
        <f t="shared" si="139"/>
        <v>0.3360421695</v>
      </c>
      <c r="AM349" s="149">
        <f t="shared" si="139"/>
        <v>0.3487577867</v>
      </c>
      <c r="AN349" s="149">
        <f t="shared" si="139"/>
        <v>0.3577564561</v>
      </c>
      <c r="AO349" s="149">
        <f t="shared" si="139"/>
        <v>0.390928544</v>
      </c>
      <c r="AP349" s="149">
        <f t="shared" si="139"/>
        <v>0.2947437779</v>
      </c>
      <c r="AQ349" s="149">
        <f t="shared" si="139"/>
        <v>0.368351642</v>
      </c>
      <c r="AR349" s="149">
        <f t="shared" si="139"/>
        <v>0.2466155154</v>
      </c>
      <c r="AS349" s="149">
        <f t="shared" si="139"/>
        <v>0.1797504919</v>
      </c>
      <c r="AT349" s="163"/>
    </row>
    <row r="350">
      <c r="A350" s="80"/>
      <c r="B350" s="81"/>
      <c r="C350" s="90"/>
      <c r="D350" s="90"/>
      <c r="E350" s="140" t="s">
        <v>700</v>
      </c>
      <c r="F350" s="215" t="s">
        <v>122</v>
      </c>
      <c r="G350" s="216" t="s">
        <v>149</v>
      </c>
      <c r="H350" s="187" t="s">
        <v>150</v>
      </c>
      <c r="I350" s="149">
        <f t="shared" ref="I350:AS350" si="140">I341/I$343</f>
        <v>0.1872284088</v>
      </c>
      <c r="J350" s="149">
        <f t="shared" si="140"/>
        <v>0.1918049019</v>
      </c>
      <c r="K350" s="149">
        <f t="shared" si="140"/>
        <v>0.1320906807</v>
      </c>
      <c r="L350" s="149">
        <f t="shared" si="140"/>
        <v>0.1221485775</v>
      </c>
      <c r="M350" s="149">
        <f t="shared" si="140"/>
        <v>0.1454998563</v>
      </c>
      <c r="N350" s="149">
        <f t="shared" si="140"/>
        <v>0.1639784903</v>
      </c>
      <c r="O350" s="149">
        <f t="shared" si="140"/>
        <v>0.1734235682</v>
      </c>
      <c r="P350" s="149">
        <f t="shared" si="140"/>
        <v>0.1623298707</v>
      </c>
      <c r="Q350" s="149">
        <f t="shared" si="140"/>
        <v>0.1637777857</v>
      </c>
      <c r="R350" s="149">
        <f t="shared" si="140"/>
        <v>0.0948612057</v>
      </c>
      <c r="S350" s="149">
        <f t="shared" si="140"/>
        <v>0.1660320504</v>
      </c>
      <c r="T350" s="149">
        <f t="shared" si="140"/>
        <v>0.1068303692</v>
      </c>
      <c r="U350" s="149">
        <f t="shared" si="140"/>
        <v>0.08161995699</v>
      </c>
      <c r="V350" s="149">
        <f t="shared" si="140"/>
        <v>0.1753110376</v>
      </c>
      <c r="W350" s="149">
        <f t="shared" si="140"/>
        <v>0.1788618296</v>
      </c>
      <c r="X350" s="149">
        <f t="shared" si="140"/>
        <v>0.1869445575</v>
      </c>
      <c r="Y350" s="149">
        <f t="shared" si="140"/>
        <v>0.1202805648</v>
      </c>
      <c r="Z350" s="149">
        <f t="shared" si="140"/>
        <v>0.09749361747</v>
      </c>
      <c r="AA350" s="149">
        <f t="shared" si="140"/>
        <v>0.1423765134</v>
      </c>
      <c r="AB350" s="149">
        <f t="shared" si="140"/>
        <v>0.09263295371</v>
      </c>
      <c r="AC350" s="149">
        <f t="shared" si="140"/>
        <v>0.1018827896</v>
      </c>
      <c r="AD350" s="149">
        <f t="shared" si="140"/>
        <v>0.1124155279</v>
      </c>
      <c r="AE350" s="149">
        <f t="shared" si="140"/>
        <v>0.08217899522</v>
      </c>
      <c r="AF350" s="149">
        <f t="shared" si="140"/>
        <v>0.08088245606</v>
      </c>
      <c r="AG350" s="149">
        <f t="shared" si="140"/>
        <v>0.1301061795</v>
      </c>
      <c r="AH350" s="149">
        <f t="shared" si="140"/>
        <v>0.1208434682</v>
      </c>
      <c r="AI350" s="149">
        <f t="shared" si="140"/>
        <v>0.06522287689</v>
      </c>
      <c r="AJ350" s="149">
        <f t="shared" si="140"/>
        <v>0.1401103274</v>
      </c>
      <c r="AK350" s="149">
        <f t="shared" si="140"/>
        <v>0.1722874446</v>
      </c>
      <c r="AL350" s="149">
        <f t="shared" si="140"/>
        <v>0.09857780888</v>
      </c>
      <c r="AM350" s="149">
        <f t="shared" si="140"/>
        <v>0.1213951476</v>
      </c>
      <c r="AN350" s="149">
        <f t="shared" si="140"/>
        <v>0.0937972121</v>
      </c>
      <c r="AO350" s="149">
        <f t="shared" si="140"/>
        <v>0.1451568618</v>
      </c>
      <c r="AP350" s="149">
        <f t="shared" si="140"/>
        <v>0.160178123</v>
      </c>
      <c r="AQ350" s="149">
        <f t="shared" si="140"/>
        <v>0.08993983418</v>
      </c>
      <c r="AR350" s="149">
        <f t="shared" si="140"/>
        <v>0.1933561082</v>
      </c>
      <c r="AS350" s="149">
        <f t="shared" si="140"/>
        <v>0.1760357687</v>
      </c>
      <c r="AT350" s="163"/>
    </row>
    <row r="351">
      <c r="A351" s="80"/>
      <c r="B351" s="81"/>
      <c r="C351" s="90"/>
      <c r="D351" s="90"/>
      <c r="E351" s="237" t="s">
        <v>706</v>
      </c>
      <c r="F351" s="195" t="s">
        <v>122</v>
      </c>
      <c r="G351" s="196" t="s">
        <v>149</v>
      </c>
      <c r="H351" s="197" t="s">
        <v>150</v>
      </c>
      <c r="I351" s="240">
        <f t="shared" ref="I351:AS351" si="141">I342/I$343</f>
        <v>0.0001648146358</v>
      </c>
      <c r="J351" s="240">
        <f t="shared" si="141"/>
        <v>0.0001259791912</v>
      </c>
      <c r="K351" s="240">
        <f t="shared" si="141"/>
        <v>0.0001750930621</v>
      </c>
      <c r="L351" s="240">
        <f t="shared" si="141"/>
        <v>0.0001663925635</v>
      </c>
      <c r="M351" s="240">
        <f t="shared" si="141"/>
        <v>0.0001217703311</v>
      </c>
      <c r="N351" s="240">
        <f t="shared" si="141"/>
        <v>0.0002013394248</v>
      </c>
      <c r="O351" s="240">
        <f t="shared" si="141"/>
        <v>0.0001545963276</v>
      </c>
      <c r="P351" s="240">
        <f t="shared" si="141"/>
        <v>0.0002020565671</v>
      </c>
      <c r="Q351" s="240">
        <f t="shared" si="141"/>
        <v>0.0001776513831</v>
      </c>
      <c r="R351" s="240">
        <f t="shared" si="141"/>
        <v>0.00005308424772</v>
      </c>
      <c r="S351" s="240">
        <f t="shared" si="141"/>
        <v>0.00008255407507</v>
      </c>
      <c r="T351" s="240">
        <f t="shared" si="141"/>
        <v>0.00007957108751</v>
      </c>
      <c r="U351" s="240">
        <f t="shared" si="141"/>
        <v>0.00006265007118</v>
      </c>
      <c r="V351" s="240">
        <f t="shared" si="141"/>
        <v>0.00009080426749</v>
      </c>
      <c r="W351" s="240">
        <f t="shared" si="141"/>
        <v>0.00006153954204</v>
      </c>
      <c r="X351" s="240">
        <f t="shared" si="141"/>
        <v>0.0001290555418</v>
      </c>
      <c r="Y351" s="240">
        <f t="shared" si="141"/>
        <v>0.00005748761428</v>
      </c>
      <c r="Z351" s="240">
        <f t="shared" si="141"/>
        <v>0.00007973703588</v>
      </c>
      <c r="AA351" s="240">
        <f t="shared" si="141"/>
        <v>0.00006966491868</v>
      </c>
      <c r="AB351" s="240">
        <f t="shared" si="141"/>
        <v>0.00007017568198</v>
      </c>
      <c r="AC351" s="240">
        <f t="shared" si="141"/>
        <v>0.00007044993945</v>
      </c>
      <c r="AD351" s="240">
        <f t="shared" si="141"/>
        <v>0.00004868817841</v>
      </c>
      <c r="AE351" s="240">
        <f t="shared" si="141"/>
        <v>0.00007644291787</v>
      </c>
      <c r="AF351" s="240">
        <f t="shared" si="141"/>
        <v>0.00005380228886</v>
      </c>
      <c r="AG351" s="240">
        <f t="shared" si="141"/>
        <v>0.00008011389653</v>
      </c>
      <c r="AH351" s="240">
        <f t="shared" si="141"/>
        <v>0.0001140157161</v>
      </c>
      <c r="AI351" s="240">
        <f t="shared" si="141"/>
        <v>0.00007167223148</v>
      </c>
      <c r="AJ351" s="240">
        <f t="shared" si="141"/>
        <v>0.000105491261</v>
      </c>
      <c r="AK351" s="240">
        <f t="shared" si="141"/>
        <v>0.000113902699</v>
      </c>
      <c r="AL351" s="240">
        <f t="shared" si="141"/>
        <v>0.00006743696761</v>
      </c>
      <c r="AM351" s="240">
        <f t="shared" si="141"/>
        <v>0.00005939894665</v>
      </c>
      <c r="AN351" s="240">
        <f t="shared" si="141"/>
        <v>0.00005395451424</v>
      </c>
      <c r="AO351" s="240">
        <f t="shared" si="141"/>
        <v>0.00008794427963</v>
      </c>
      <c r="AP351" s="240">
        <f t="shared" si="141"/>
        <v>0.00008713232804</v>
      </c>
      <c r="AQ351" s="240">
        <f t="shared" si="141"/>
        <v>0.0000696866359</v>
      </c>
      <c r="AR351" s="240">
        <f t="shared" si="141"/>
        <v>0.0001256422633</v>
      </c>
      <c r="AS351" s="240">
        <f t="shared" si="141"/>
        <v>0.0001416977037</v>
      </c>
      <c r="AT351" s="248"/>
    </row>
    <row r="352">
      <c r="A352" s="80"/>
      <c r="B352" s="81"/>
      <c r="C352" s="90"/>
      <c r="D352" s="90"/>
      <c r="E352" s="243"/>
      <c r="F352" s="108"/>
      <c r="G352" s="109"/>
      <c r="H352" s="85"/>
      <c r="I352" s="111"/>
      <c r="J352" s="111"/>
      <c r="K352" s="111"/>
      <c r="L352" s="111"/>
      <c r="M352" s="111"/>
      <c r="N352" s="111"/>
      <c r="O352" s="111"/>
      <c r="P352" s="111"/>
      <c r="Q352" s="111"/>
      <c r="R352" s="111"/>
      <c r="S352" s="111"/>
      <c r="T352" s="111"/>
      <c r="U352" s="111"/>
      <c r="V352" s="111"/>
      <c r="W352" s="111"/>
      <c r="X352" s="111"/>
      <c r="Y352" s="111"/>
      <c r="Z352" s="111"/>
      <c r="AA352" s="111"/>
      <c r="AB352" s="111"/>
      <c r="AC352" s="111"/>
      <c r="AD352" s="111"/>
      <c r="AE352" s="111"/>
      <c r="AF352" s="111"/>
      <c r="AG352" s="111"/>
      <c r="AH352" s="111"/>
      <c r="AI352" s="111"/>
      <c r="AJ352" s="111"/>
      <c r="AK352" s="111"/>
      <c r="AL352" s="111"/>
      <c r="AM352" s="111"/>
      <c r="AN352" s="111"/>
      <c r="AO352" s="111"/>
      <c r="AP352" s="111"/>
      <c r="AQ352" s="111"/>
      <c r="AR352" s="111"/>
      <c r="AS352" s="111"/>
      <c r="AT352" s="88"/>
    </row>
    <row r="353">
      <c r="A353" s="72" t="s">
        <v>87</v>
      </c>
      <c r="B353" s="14"/>
      <c r="C353" s="14"/>
      <c r="D353" s="14"/>
      <c r="E353" s="14"/>
      <c r="F353" s="14"/>
      <c r="G353" s="14"/>
      <c r="H353" s="168"/>
      <c r="I353" s="261"/>
      <c r="J353" s="261"/>
      <c r="K353" s="261"/>
      <c r="L353" s="261"/>
      <c r="M353" s="261"/>
      <c r="N353" s="261"/>
      <c r="O353" s="261"/>
      <c r="P353" s="261"/>
      <c r="Q353" s="261"/>
      <c r="R353" s="261"/>
      <c r="S353" s="261"/>
      <c r="T353" s="261"/>
      <c r="U353" s="261"/>
      <c r="V353" s="261"/>
      <c r="W353" s="261"/>
      <c r="X353" s="261"/>
      <c r="Y353" s="261"/>
      <c r="Z353" s="261"/>
      <c r="AA353" s="261"/>
      <c r="AB353" s="261"/>
      <c r="AC353" s="261"/>
      <c r="AD353" s="261"/>
      <c r="AE353" s="261"/>
      <c r="AF353" s="261"/>
      <c r="AG353" s="261"/>
      <c r="AH353" s="261"/>
      <c r="AI353" s="261"/>
      <c r="AJ353" s="261"/>
      <c r="AK353" s="261"/>
      <c r="AL353" s="261"/>
      <c r="AM353" s="261"/>
      <c r="AN353" s="261"/>
      <c r="AO353" s="261"/>
      <c r="AP353" s="261"/>
      <c r="AQ353" s="261"/>
      <c r="AR353" s="261"/>
      <c r="AS353" s="261"/>
      <c r="AT353" s="171"/>
    </row>
    <row r="354">
      <c r="A354" s="81"/>
      <c r="B354" s="81"/>
      <c r="C354" s="90"/>
      <c r="D354" s="90"/>
      <c r="E354" s="243"/>
      <c r="F354" s="108"/>
      <c r="G354" s="109"/>
      <c r="H354" s="607"/>
      <c r="I354" s="608"/>
      <c r="J354" s="608"/>
      <c r="K354" s="608"/>
      <c r="L354" s="608"/>
      <c r="M354" s="608"/>
      <c r="N354" s="608"/>
      <c r="O354" s="608"/>
      <c r="P354" s="608"/>
      <c r="Q354" s="608"/>
      <c r="R354" s="608"/>
      <c r="S354" s="608"/>
      <c r="T354" s="245"/>
      <c r="U354" s="608"/>
      <c r="V354" s="608"/>
      <c r="W354" s="608"/>
      <c r="X354" s="608"/>
      <c r="Y354" s="608"/>
      <c r="Z354" s="608"/>
      <c r="AA354" s="608"/>
      <c r="AB354" s="608"/>
      <c r="AC354" s="608"/>
      <c r="AD354" s="608"/>
      <c r="AE354" s="608"/>
      <c r="AF354" s="608"/>
      <c r="AG354" s="608"/>
      <c r="AH354" s="608"/>
      <c r="AI354" s="608"/>
      <c r="AJ354" s="608"/>
      <c r="AK354" s="608"/>
      <c r="AL354" s="608"/>
      <c r="AM354" s="608"/>
      <c r="AN354" s="608"/>
      <c r="AO354" s="608"/>
      <c r="AP354" s="608"/>
      <c r="AQ354" s="608"/>
      <c r="AR354" s="608"/>
      <c r="AS354" s="608"/>
      <c r="AT354" s="88"/>
    </row>
    <row r="355">
      <c r="A355" s="80"/>
      <c r="B355" s="81"/>
      <c r="C355" s="107" t="s">
        <v>1003</v>
      </c>
      <c r="F355" s="83"/>
      <c r="G355" s="84"/>
      <c r="H355" s="85"/>
      <c r="I355" s="86"/>
      <c r="J355" s="86"/>
      <c r="K355" s="86"/>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c r="AQ355" s="86"/>
      <c r="AR355" s="86"/>
      <c r="AS355" s="86"/>
      <c r="AT355" s="88"/>
    </row>
    <row r="356">
      <c r="A356" s="81"/>
      <c r="B356" s="81"/>
      <c r="C356" s="90"/>
      <c r="D356" s="90"/>
      <c r="E356" s="113" t="s">
        <v>1004</v>
      </c>
      <c r="F356" s="189" t="s">
        <v>122</v>
      </c>
      <c r="G356" s="271" t="s">
        <v>149</v>
      </c>
      <c r="H356" s="200" t="s">
        <v>150</v>
      </c>
      <c r="I356" s="264">
        <f t="shared" ref="I356:AS356" si="142">$H195*I203</f>
        <v>0.003897168895</v>
      </c>
      <c r="J356" s="264">
        <f t="shared" si="142"/>
        <v>0.002076310779</v>
      </c>
      <c r="K356" s="264">
        <f t="shared" si="142"/>
        <v>0.004609942477</v>
      </c>
      <c r="L356" s="264">
        <f t="shared" si="142"/>
        <v>0.001191795725</v>
      </c>
      <c r="M356" s="264">
        <f t="shared" si="142"/>
        <v>0.001887473265</v>
      </c>
      <c r="N356" s="264">
        <f t="shared" si="142"/>
        <v>0.002811252572</v>
      </c>
      <c r="O356" s="264">
        <f t="shared" si="142"/>
        <v>0.002894460559</v>
      </c>
      <c r="P356" s="264">
        <f t="shared" si="142"/>
        <v>0.004140363598</v>
      </c>
      <c r="Q356" s="264">
        <f t="shared" si="142"/>
        <v>0.00572457919</v>
      </c>
      <c r="R356" s="264">
        <f t="shared" si="142"/>
        <v>0.000689235328</v>
      </c>
      <c r="S356" s="264">
        <f t="shared" si="142"/>
        <v>0.001979986779</v>
      </c>
      <c r="T356" s="264">
        <f t="shared" si="142"/>
        <v>0.0004295453645</v>
      </c>
      <c r="U356" s="264">
        <f t="shared" si="142"/>
        <v>0.000457700761</v>
      </c>
      <c r="V356" s="264">
        <f t="shared" si="142"/>
        <v>0.0005195961235</v>
      </c>
      <c r="W356" s="264">
        <f t="shared" si="142"/>
        <v>0.0008742714692</v>
      </c>
      <c r="X356" s="264">
        <f t="shared" si="142"/>
        <v>0.0008252413531</v>
      </c>
      <c r="Y356" s="264">
        <f t="shared" si="142"/>
        <v>0.0006496319546</v>
      </c>
      <c r="Z356" s="264">
        <f t="shared" si="142"/>
        <v>0.0006226360415</v>
      </c>
      <c r="AA356" s="264">
        <f t="shared" si="142"/>
        <v>0.001024051302</v>
      </c>
      <c r="AB356" s="264">
        <f t="shared" si="142"/>
        <v>0.0007485304361</v>
      </c>
      <c r="AC356" s="264">
        <f t="shared" si="142"/>
        <v>0.0006467353603</v>
      </c>
      <c r="AD356" s="264">
        <f t="shared" si="142"/>
        <v>0.0004118204787</v>
      </c>
      <c r="AE356" s="264">
        <f t="shared" si="142"/>
        <v>0.0006452246139</v>
      </c>
      <c r="AF356" s="264">
        <f t="shared" si="142"/>
        <v>0.0004340923582</v>
      </c>
      <c r="AG356" s="264">
        <f t="shared" si="142"/>
        <v>0.0004402484837</v>
      </c>
      <c r="AH356" s="264">
        <f t="shared" si="142"/>
        <v>0.0002867182754</v>
      </c>
      <c r="AI356" s="264">
        <f t="shared" si="142"/>
        <v>0.0002820154618</v>
      </c>
      <c r="AJ356" s="264">
        <f t="shared" si="142"/>
        <v>0.0007787495792</v>
      </c>
      <c r="AK356" s="264">
        <f t="shared" si="142"/>
        <v>0.001051630725</v>
      </c>
      <c r="AL356" s="264">
        <f t="shared" si="142"/>
        <v>0.0004003901873</v>
      </c>
      <c r="AM356" s="264">
        <f t="shared" si="142"/>
        <v>0.0005042660138</v>
      </c>
      <c r="AN356" s="264">
        <f t="shared" si="142"/>
        <v>0.0002764443442</v>
      </c>
      <c r="AO356" s="264">
        <f t="shared" si="142"/>
        <v>0.0002374238735</v>
      </c>
      <c r="AP356" s="264">
        <f t="shared" si="142"/>
        <v>0.0007066992945</v>
      </c>
      <c r="AQ356" s="264">
        <f t="shared" si="142"/>
        <v>0.000618630439</v>
      </c>
      <c r="AR356" s="264">
        <f t="shared" si="142"/>
        <v>0.0016660012</v>
      </c>
      <c r="AS356" s="264">
        <f t="shared" si="142"/>
        <v>0.002024235829</v>
      </c>
      <c r="AT356" s="136"/>
    </row>
    <row r="357">
      <c r="A357" s="81"/>
      <c r="B357" s="81"/>
      <c r="C357" s="90"/>
      <c r="D357" s="90"/>
      <c r="E357" s="140" t="s">
        <v>1005</v>
      </c>
      <c r="F357" s="215" t="s">
        <v>122</v>
      </c>
      <c r="G357" s="276" t="s">
        <v>149</v>
      </c>
      <c r="H357" s="187" t="s">
        <v>150</v>
      </c>
      <c r="I357" s="284">
        <f t="shared" ref="I357:AS357" si="143">$H196*I204</f>
        <v>0.00219833194</v>
      </c>
      <c r="J357" s="284">
        <f t="shared" si="143"/>
        <v>0.002042354047</v>
      </c>
      <c r="K357" s="284">
        <f t="shared" si="143"/>
        <v>0.002636691214</v>
      </c>
      <c r="L357" s="284">
        <f t="shared" si="143"/>
        <v>0.001406605963</v>
      </c>
      <c r="M357" s="284">
        <f t="shared" si="143"/>
        <v>0.001555293543</v>
      </c>
      <c r="N357" s="284">
        <f t="shared" si="143"/>
        <v>0.00204436045</v>
      </c>
      <c r="O357" s="284">
        <f t="shared" si="143"/>
        <v>0.002595309815</v>
      </c>
      <c r="P357" s="284">
        <f t="shared" si="143"/>
        <v>0.002888195248</v>
      </c>
      <c r="Q357" s="284">
        <f t="shared" si="143"/>
        <v>0.003668150454</v>
      </c>
      <c r="R357" s="284">
        <f t="shared" si="143"/>
        <v>0.0005242857706</v>
      </c>
      <c r="S357" s="284">
        <f t="shared" si="143"/>
        <v>0.001350661969</v>
      </c>
      <c r="T357" s="284">
        <f t="shared" si="143"/>
        <v>0.0005664949604</v>
      </c>
      <c r="U357" s="284">
        <f t="shared" si="143"/>
        <v>0.0007674209774</v>
      </c>
      <c r="V357" s="284">
        <f t="shared" si="143"/>
        <v>0.00102883847</v>
      </c>
      <c r="W357" s="284">
        <f t="shared" si="143"/>
        <v>0.0008566586414</v>
      </c>
      <c r="X357" s="284">
        <f t="shared" si="143"/>
        <v>0.001185992147</v>
      </c>
      <c r="Y357" s="284">
        <f t="shared" si="143"/>
        <v>0.0007548426085</v>
      </c>
      <c r="Z357" s="284">
        <f t="shared" si="143"/>
        <v>0.0006581232177</v>
      </c>
      <c r="AA357" s="284">
        <f t="shared" si="143"/>
        <v>0.0008073107539</v>
      </c>
      <c r="AB357" s="284">
        <f t="shared" si="143"/>
        <v>0.000626301318</v>
      </c>
      <c r="AC357" s="284">
        <f t="shared" si="143"/>
        <v>0.0004020057487</v>
      </c>
      <c r="AD357" s="284">
        <f t="shared" si="143"/>
        <v>0.0004868017342</v>
      </c>
      <c r="AE357" s="284">
        <f t="shared" si="143"/>
        <v>0.0005581331139</v>
      </c>
      <c r="AF357" s="284">
        <f t="shared" si="143"/>
        <v>0.0003290942286</v>
      </c>
      <c r="AG357" s="284">
        <f t="shared" si="143"/>
        <v>0.00135675532</v>
      </c>
      <c r="AH357" s="284">
        <f t="shared" si="143"/>
        <v>0.0005012943485</v>
      </c>
      <c r="AI357" s="284">
        <f t="shared" si="143"/>
        <v>0.0002980499803</v>
      </c>
      <c r="AJ357" s="284">
        <f t="shared" si="143"/>
        <v>0.0008964215568</v>
      </c>
      <c r="AK357" s="284">
        <f t="shared" si="143"/>
        <v>0.001200434663</v>
      </c>
      <c r="AL357" s="284">
        <f t="shared" si="143"/>
        <v>0.0005789288758</v>
      </c>
      <c r="AM357" s="284">
        <f t="shared" si="143"/>
        <v>0.0004623297265</v>
      </c>
      <c r="AN357" s="284">
        <f t="shared" si="143"/>
        <v>0.0002954701124</v>
      </c>
      <c r="AO357" s="284">
        <f t="shared" si="143"/>
        <v>0.0005687873408</v>
      </c>
      <c r="AP357" s="284">
        <f t="shared" si="143"/>
        <v>0.0005643191196</v>
      </c>
      <c r="AQ357" s="284">
        <f t="shared" si="143"/>
        <v>0.0005926194606</v>
      </c>
      <c r="AR357" s="284">
        <f t="shared" si="143"/>
        <v>0.001361361524</v>
      </c>
      <c r="AS357" s="284">
        <f t="shared" si="143"/>
        <v>0.001786839582</v>
      </c>
      <c r="AT357" s="163"/>
    </row>
    <row r="358">
      <c r="A358" s="81"/>
      <c r="B358" s="81"/>
      <c r="C358" s="90"/>
      <c r="D358" s="90"/>
      <c r="E358" s="140" t="s">
        <v>1006</v>
      </c>
      <c r="F358" s="215" t="s">
        <v>122</v>
      </c>
      <c r="G358" s="276" t="s">
        <v>149</v>
      </c>
      <c r="H358" s="187" t="s">
        <v>150</v>
      </c>
      <c r="I358" s="284">
        <f t="shared" ref="I358:AS358" si="144">$H197*I205</f>
        <v>0.0005784979004</v>
      </c>
      <c r="J358" s="284">
        <f t="shared" si="144"/>
        <v>0.0005111609486</v>
      </c>
      <c r="K358" s="284">
        <f t="shared" si="144"/>
        <v>0.0006029698003</v>
      </c>
      <c r="L358" s="284">
        <f t="shared" si="144"/>
        <v>0.0003786433574</v>
      </c>
      <c r="M358" s="284">
        <f t="shared" si="144"/>
        <v>0.0004877911371</v>
      </c>
      <c r="N358" s="284">
        <f t="shared" si="144"/>
        <v>0.0004083496601</v>
      </c>
      <c r="O358" s="284">
        <f t="shared" si="144"/>
        <v>0.0004535723235</v>
      </c>
      <c r="P358" s="284">
        <f t="shared" si="144"/>
        <v>0.0005805405989</v>
      </c>
      <c r="Q358" s="284">
        <f t="shared" si="144"/>
        <v>0.0005870828008</v>
      </c>
      <c r="R358" s="284">
        <f t="shared" si="144"/>
        <v>0.0003021971465</v>
      </c>
      <c r="S358" s="284">
        <f t="shared" si="144"/>
        <v>0.0005515640835</v>
      </c>
      <c r="T358" s="284">
        <f t="shared" si="144"/>
        <v>0.0001972943456</v>
      </c>
      <c r="U358" s="284">
        <f t="shared" si="144"/>
        <v>0.0002348521861</v>
      </c>
      <c r="V358" s="284">
        <f t="shared" si="144"/>
        <v>0.0002190097822</v>
      </c>
      <c r="W358" s="284">
        <f t="shared" si="144"/>
        <v>0.0002966357325</v>
      </c>
      <c r="X358" s="284">
        <f t="shared" si="144"/>
        <v>0.0001781685014</v>
      </c>
      <c r="Y358" s="284">
        <f t="shared" si="144"/>
        <v>0.0002470750606</v>
      </c>
      <c r="Z358" s="284">
        <f t="shared" si="144"/>
        <v>0.000243712275</v>
      </c>
      <c r="AA358" s="284">
        <f t="shared" si="144"/>
        <v>0.0003810552989</v>
      </c>
      <c r="AB358" s="284">
        <f t="shared" si="144"/>
        <v>0.0003439810836</v>
      </c>
      <c r="AC358" s="284">
        <f t="shared" si="144"/>
        <v>0.0002517969131</v>
      </c>
      <c r="AD358" s="284">
        <f t="shared" si="144"/>
        <v>0.0001638133384</v>
      </c>
      <c r="AE358" s="284">
        <f t="shared" si="144"/>
        <v>0.0002586382832</v>
      </c>
      <c r="AF358" s="284">
        <f t="shared" si="144"/>
        <v>0.0001794231446</v>
      </c>
      <c r="AG358" s="284">
        <f t="shared" si="144"/>
        <v>0.0001707257334</v>
      </c>
      <c r="AH358" s="284">
        <f t="shared" si="144"/>
        <v>0.0001151162941</v>
      </c>
      <c r="AI358" s="284">
        <f t="shared" si="144"/>
        <v>0.0001370311455</v>
      </c>
      <c r="AJ358" s="284">
        <f t="shared" si="144"/>
        <v>0.0002390653842</v>
      </c>
      <c r="AK358" s="284">
        <f t="shared" si="144"/>
        <v>0.0002964045282</v>
      </c>
      <c r="AL358" s="284">
        <f t="shared" si="144"/>
        <v>0.0001534148754</v>
      </c>
      <c r="AM358" s="284">
        <f t="shared" si="144"/>
        <v>0.0002179016111</v>
      </c>
      <c r="AN358" s="284">
        <f t="shared" si="144"/>
        <v>0.00009995522356</v>
      </c>
      <c r="AO358" s="284">
        <f t="shared" si="144"/>
        <v>0.0001176727056</v>
      </c>
      <c r="AP358" s="284">
        <f t="shared" si="144"/>
        <v>0.0002114070489</v>
      </c>
      <c r="AQ358" s="284">
        <f t="shared" si="144"/>
        <v>0.0002688244955</v>
      </c>
      <c r="AR358" s="284">
        <f t="shared" si="144"/>
        <v>0.0005085627749</v>
      </c>
      <c r="AS358" s="284">
        <f t="shared" si="144"/>
        <v>0.0003195651337</v>
      </c>
      <c r="AT358" s="163"/>
    </row>
    <row r="359">
      <c r="A359" s="81"/>
      <c r="B359" s="81"/>
      <c r="C359" s="90"/>
      <c r="D359" s="90"/>
      <c r="E359" s="140" t="s">
        <v>1007</v>
      </c>
      <c r="F359" s="215" t="s">
        <v>122</v>
      </c>
      <c r="G359" s="276" t="s">
        <v>149</v>
      </c>
      <c r="H359" s="187" t="s">
        <v>150</v>
      </c>
      <c r="I359" s="284">
        <f t="shared" ref="I359:AS359" si="145">$H198*I206</f>
        <v>0.006156321571</v>
      </c>
      <c r="J359" s="284">
        <f t="shared" si="145"/>
        <v>0.005237657738</v>
      </c>
      <c r="K359" s="284">
        <f t="shared" si="145"/>
        <v>0.006367013743</v>
      </c>
      <c r="L359" s="284">
        <f t="shared" si="145"/>
        <v>0.00378248859</v>
      </c>
      <c r="M359" s="284">
        <f t="shared" si="145"/>
        <v>0.005131840938</v>
      </c>
      <c r="N359" s="284">
        <f t="shared" si="145"/>
        <v>0.004246126125</v>
      </c>
      <c r="O359" s="284">
        <f t="shared" si="145"/>
        <v>0.004703845187</v>
      </c>
      <c r="P359" s="284">
        <f t="shared" si="145"/>
        <v>0.006371772956</v>
      </c>
      <c r="Q359" s="284">
        <f t="shared" si="145"/>
        <v>0.006220036865</v>
      </c>
      <c r="R359" s="284">
        <f t="shared" si="145"/>
        <v>0.002632342715</v>
      </c>
      <c r="S359" s="284">
        <f t="shared" si="145"/>
        <v>0.00533361265</v>
      </c>
      <c r="T359" s="284">
        <f t="shared" si="145"/>
        <v>0.001688160512</v>
      </c>
      <c r="U359" s="284">
        <f t="shared" si="145"/>
        <v>0.002017071156</v>
      </c>
      <c r="V359" s="284">
        <f t="shared" si="145"/>
        <v>0.002064596711</v>
      </c>
      <c r="W359" s="284">
        <f t="shared" si="145"/>
        <v>0.002677926352</v>
      </c>
      <c r="X359" s="284">
        <f t="shared" si="145"/>
        <v>0.001665893911</v>
      </c>
      <c r="Y359" s="284">
        <f t="shared" si="145"/>
        <v>0.002077265191</v>
      </c>
      <c r="Z359" s="284">
        <f t="shared" si="145"/>
        <v>0.002181909127</v>
      </c>
      <c r="AA359" s="284">
        <f t="shared" si="145"/>
        <v>0.003151800194</v>
      </c>
      <c r="AB359" s="284">
        <f t="shared" si="145"/>
        <v>0.002699813669</v>
      </c>
      <c r="AC359" s="284">
        <f t="shared" si="145"/>
        <v>0.001988432495</v>
      </c>
      <c r="AD359" s="284">
        <f t="shared" si="145"/>
        <v>0.001336240453</v>
      </c>
      <c r="AE359" s="284">
        <f t="shared" si="145"/>
        <v>0.002174184857</v>
      </c>
      <c r="AF359" s="284">
        <f t="shared" si="145"/>
        <v>0.001500353905</v>
      </c>
      <c r="AG359" s="284">
        <f t="shared" si="145"/>
        <v>0.00162783096</v>
      </c>
      <c r="AH359" s="284">
        <f t="shared" si="145"/>
        <v>0.001067832173</v>
      </c>
      <c r="AI359" s="284">
        <f t="shared" si="145"/>
        <v>0.00107703172</v>
      </c>
      <c r="AJ359" s="284">
        <f t="shared" si="145"/>
        <v>0.002331587391</v>
      </c>
      <c r="AK359" s="284">
        <f t="shared" si="145"/>
        <v>0.003027370686</v>
      </c>
      <c r="AL359" s="284">
        <f t="shared" si="145"/>
        <v>0.001467898882</v>
      </c>
      <c r="AM359" s="284">
        <f t="shared" si="145"/>
        <v>0.001980838027</v>
      </c>
      <c r="AN359" s="284">
        <f t="shared" si="145"/>
        <v>0.0008392376033</v>
      </c>
      <c r="AO359" s="284">
        <f t="shared" si="145"/>
        <v>0.001081181607</v>
      </c>
      <c r="AP359" s="284">
        <f t="shared" si="145"/>
        <v>0.001890454385</v>
      </c>
      <c r="AQ359" s="284">
        <f t="shared" si="145"/>
        <v>0.002263722854</v>
      </c>
      <c r="AR359" s="284">
        <f t="shared" si="145"/>
        <v>0.005206587447</v>
      </c>
      <c r="AS359" s="284">
        <f t="shared" si="145"/>
        <v>0.003264766305</v>
      </c>
      <c r="AT359" s="163"/>
    </row>
    <row r="360">
      <c r="A360" s="81"/>
      <c r="B360" s="81"/>
      <c r="C360" s="90"/>
      <c r="D360" s="90"/>
      <c r="E360" s="140" t="s">
        <v>1008</v>
      </c>
      <c r="F360" s="215" t="s">
        <v>122</v>
      </c>
      <c r="G360" s="276" t="s">
        <v>149</v>
      </c>
      <c r="H360" s="187" t="s">
        <v>150</v>
      </c>
      <c r="I360" s="284">
        <f t="shared" ref="I360:AS360" si="146">$H199*I207</f>
        <v>0.004368018918</v>
      </c>
      <c r="J360" s="284">
        <f t="shared" si="146"/>
        <v>0.003026894811</v>
      </c>
      <c r="K360" s="284">
        <f t="shared" si="146"/>
        <v>0.003640263369</v>
      </c>
      <c r="L360" s="284">
        <f t="shared" si="146"/>
        <v>0.001610852726</v>
      </c>
      <c r="M360" s="284">
        <f t="shared" si="146"/>
        <v>0.002871625257</v>
      </c>
      <c r="N360" s="284">
        <f t="shared" si="146"/>
        <v>0.003030369119</v>
      </c>
      <c r="O360" s="284">
        <f t="shared" si="146"/>
        <v>0.003335584778</v>
      </c>
      <c r="P360" s="284">
        <f t="shared" si="146"/>
        <v>0.004884613107</v>
      </c>
      <c r="Q360" s="284">
        <f t="shared" si="146"/>
        <v>0.005937945436</v>
      </c>
      <c r="R360" s="284">
        <f t="shared" si="146"/>
        <v>0.001183911898</v>
      </c>
      <c r="S360" s="284">
        <f t="shared" si="146"/>
        <v>0.002672647844</v>
      </c>
      <c r="T360" s="284">
        <f t="shared" si="146"/>
        <v>0.00053337874</v>
      </c>
      <c r="U360" s="284">
        <f t="shared" si="146"/>
        <v>0.0004193242229</v>
      </c>
      <c r="V360" s="284">
        <f t="shared" si="146"/>
        <v>0.001225462666</v>
      </c>
      <c r="W360" s="284">
        <f t="shared" si="146"/>
        <v>0.00167642554</v>
      </c>
      <c r="X360" s="284">
        <f t="shared" si="146"/>
        <v>0.001436418153</v>
      </c>
      <c r="Y360" s="284">
        <f t="shared" si="146"/>
        <v>0.0006578464176</v>
      </c>
      <c r="Z360" s="284">
        <f t="shared" si="146"/>
        <v>0.0006943066204</v>
      </c>
      <c r="AA360" s="284">
        <f t="shared" si="146"/>
        <v>0.001126533072</v>
      </c>
      <c r="AB360" s="284">
        <f t="shared" si="146"/>
        <v>0.0006139652624</v>
      </c>
      <c r="AC360" s="284">
        <f t="shared" si="146"/>
        <v>0.000564546691</v>
      </c>
      <c r="AD360" s="284">
        <f t="shared" si="146"/>
        <v>0.0003676932111</v>
      </c>
      <c r="AE360" s="284">
        <f t="shared" si="146"/>
        <v>0.0006091491862</v>
      </c>
      <c r="AF360" s="284">
        <f t="shared" si="146"/>
        <v>0.0003643067987</v>
      </c>
      <c r="AG360" s="284">
        <f t="shared" si="146"/>
        <v>0.0005119174957</v>
      </c>
      <c r="AH360" s="284">
        <f t="shared" si="146"/>
        <v>0.000382310412</v>
      </c>
      <c r="AI360" s="284">
        <f t="shared" si="146"/>
        <v>0.0003152367047</v>
      </c>
      <c r="AJ360" s="284">
        <f t="shared" si="146"/>
        <v>0.0009500284708</v>
      </c>
      <c r="AK360" s="284">
        <f t="shared" si="146"/>
        <v>0.001772096364</v>
      </c>
      <c r="AL360" s="284">
        <f t="shared" si="146"/>
        <v>0.0005402114036</v>
      </c>
      <c r="AM360" s="284">
        <f t="shared" si="146"/>
        <v>0.0005549847369</v>
      </c>
      <c r="AN360" s="284">
        <f t="shared" si="146"/>
        <v>0.0002909727828</v>
      </c>
      <c r="AO360" s="284">
        <f t="shared" si="146"/>
        <v>0.000343676631</v>
      </c>
      <c r="AP360" s="284">
        <f t="shared" si="146"/>
        <v>0.0008437469654</v>
      </c>
      <c r="AQ360" s="284">
        <f t="shared" si="146"/>
        <v>0.0006535083811</v>
      </c>
      <c r="AR360" s="284">
        <f t="shared" si="146"/>
        <v>0.002969515152</v>
      </c>
      <c r="AS360" s="284">
        <f t="shared" si="146"/>
        <v>0.002150281598</v>
      </c>
      <c r="AT360" s="163"/>
    </row>
    <row r="361">
      <c r="A361" s="81"/>
      <c r="B361" s="81"/>
      <c r="C361" s="90"/>
      <c r="D361" s="90"/>
      <c r="E361" s="140" t="s">
        <v>1009</v>
      </c>
      <c r="F361" s="215" t="s">
        <v>122</v>
      </c>
      <c r="G361" s="276" t="s">
        <v>149</v>
      </c>
      <c r="H361" s="187" t="s">
        <v>150</v>
      </c>
      <c r="I361" s="284">
        <f t="shared" ref="I361:AS361" si="147">$H200*I208</f>
        <v>0.001093985606</v>
      </c>
      <c r="J361" s="284">
        <f t="shared" si="147"/>
        <v>0.0006340836523</v>
      </c>
      <c r="K361" s="284">
        <f t="shared" si="147"/>
        <v>0.001261398435</v>
      </c>
      <c r="L361" s="284">
        <f t="shared" si="147"/>
        <v>0.0004765652383</v>
      </c>
      <c r="M361" s="284">
        <f t="shared" si="147"/>
        <v>0.000432242225</v>
      </c>
      <c r="N361" s="284">
        <f t="shared" si="147"/>
        <v>0.001109892614</v>
      </c>
      <c r="O361" s="284">
        <f t="shared" si="147"/>
        <v>0.001158796134</v>
      </c>
      <c r="P361" s="284">
        <f t="shared" si="147"/>
        <v>0.001306301127</v>
      </c>
      <c r="Q361" s="284">
        <f t="shared" si="147"/>
        <v>0.001716118812</v>
      </c>
      <c r="R361" s="284">
        <f t="shared" si="147"/>
        <v>0.0001393603433</v>
      </c>
      <c r="S361" s="284">
        <f t="shared" si="147"/>
        <v>0.0004170269409</v>
      </c>
      <c r="T361" s="284">
        <f t="shared" si="147"/>
        <v>0.0001824178977</v>
      </c>
      <c r="U361" s="284">
        <f t="shared" si="147"/>
        <v>0.0001425215222</v>
      </c>
      <c r="V361" s="284">
        <f t="shared" si="147"/>
        <v>0.0003110967463</v>
      </c>
      <c r="W361" s="284">
        <f t="shared" si="147"/>
        <v>0.0002392968911</v>
      </c>
      <c r="X361" s="284">
        <f t="shared" si="147"/>
        <v>0.000444255745</v>
      </c>
      <c r="Y361" s="284">
        <f t="shared" si="147"/>
        <v>0.0002505015709</v>
      </c>
      <c r="Z361" s="284">
        <f t="shared" si="147"/>
        <v>0.0001942367566</v>
      </c>
      <c r="AA361" s="284">
        <f t="shared" si="147"/>
        <v>0.0002559810614</v>
      </c>
      <c r="AB361" s="284">
        <f t="shared" si="147"/>
        <v>0.0002168183135</v>
      </c>
      <c r="AC361" s="284">
        <f t="shared" si="147"/>
        <v>0.000218701666</v>
      </c>
      <c r="AD361" s="284">
        <f t="shared" si="147"/>
        <v>0.0001358758769</v>
      </c>
      <c r="AE361" s="284">
        <f t="shared" si="147"/>
        <v>0.0001518853678</v>
      </c>
      <c r="AF361" s="284">
        <f t="shared" si="147"/>
        <v>0.0001045660308</v>
      </c>
      <c r="AG361" s="284">
        <f t="shared" si="147"/>
        <v>0.0002443225402</v>
      </c>
      <c r="AH361" s="284">
        <f t="shared" si="147"/>
        <v>0.000229681482</v>
      </c>
      <c r="AI361" s="284">
        <f t="shared" si="147"/>
        <v>0.0001044324546</v>
      </c>
      <c r="AJ361" s="284">
        <f t="shared" si="147"/>
        <v>0.0002735350494</v>
      </c>
      <c r="AK361" s="284">
        <f t="shared" si="147"/>
        <v>0.000395353923</v>
      </c>
      <c r="AL361" s="284">
        <f t="shared" si="147"/>
        <v>0.0001540611864</v>
      </c>
      <c r="AM361" s="284">
        <f t="shared" si="147"/>
        <v>0.0001828422323</v>
      </c>
      <c r="AN361" s="284">
        <f t="shared" si="147"/>
        <v>0.0001049275181</v>
      </c>
      <c r="AO361" s="284">
        <f t="shared" si="147"/>
        <v>0.0001466861747</v>
      </c>
      <c r="AP361" s="284">
        <f t="shared" si="147"/>
        <v>0.0002112977517</v>
      </c>
      <c r="AQ361" s="284">
        <f t="shared" si="147"/>
        <v>0.0001875470124</v>
      </c>
      <c r="AR361" s="284">
        <f t="shared" si="147"/>
        <v>0.000429533701</v>
      </c>
      <c r="AS361" s="284">
        <f t="shared" si="147"/>
        <v>0.0008269982894</v>
      </c>
      <c r="AT361" s="163"/>
    </row>
    <row r="362">
      <c r="A362" s="81"/>
      <c r="B362" s="81"/>
      <c r="C362" s="90"/>
      <c r="D362" s="90"/>
      <c r="E362" s="237" t="s">
        <v>1010</v>
      </c>
      <c r="F362" s="195" t="s">
        <v>122</v>
      </c>
      <c r="G362" s="291" t="s">
        <v>149</v>
      </c>
      <c r="H362" s="197" t="s">
        <v>150</v>
      </c>
      <c r="I362" s="755">
        <f t="shared" ref="I362:AS362" si="148">SUM(I356:I361)</f>
        <v>0.01829232483</v>
      </c>
      <c r="J362" s="457">
        <f t="shared" si="148"/>
        <v>0.01352846198</v>
      </c>
      <c r="K362" s="457">
        <f t="shared" si="148"/>
        <v>0.01911827904</v>
      </c>
      <c r="L362" s="457">
        <f t="shared" si="148"/>
        <v>0.008846951601</v>
      </c>
      <c r="M362" s="457">
        <f t="shared" si="148"/>
        <v>0.01236626636</v>
      </c>
      <c r="N362" s="457">
        <f t="shared" si="148"/>
        <v>0.01365035054</v>
      </c>
      <c r="O362" s="457">
        <f t="shared" si="148"/>
        <v>0.0151415688</v>
      </c>
      <c r="P362" s="457">
        <f t="shared" si="148"/>
        <v>0.02017178664</v>
      </c>
      <c r="Q362" s="457">
        <f t="shared" si="148"/>
        <v>0.02385391356</v>
      </c>
      <c r="R362" s="457">
        <f t="shared" si="148"/>
        <v>0.005471333202</v>
      </c>
      <c r="S362" s="457">
        <f t="shared" si="148"/>
        <v>0.01230550027</v>
      </c>
      <c r="T362" s="457">
        <f t="shared" si="148"/>
        <v>0.00359729182</v>
      </c>
      <c r="U362" s="457">
        <f t="shared" si="148"/>
        <v>0.004038890826</v>
      </c>
      <c r="V362" s="457">
        <f t="shared" si="148"/>
        <v>0.005368600499</v>
      </c>
      <c r="W362" s="457">
        <f t="shared" si="148"/>
        <v>0.006621214626</v>
      </c>
      <c r="X362" s="457">
        <f t="shared" si="148"/>
        <v>0.00573596981</v>
      </c>
      <c r="Y362" s="457">
        <f t="shared" si="148"/>
        <v>0.004637162803</v>
      </c>
      <c r="Z362" s="457">
        <f t="shared" si="148"/>
        <v>0.004594924038</v>
      </c>
      <c r="AA362" s="457">
        <f t="shared" si="148"/>
        <v>0.006746731681</v>
      </c>
      <c r="AB362" s="457">
        <f t="shared" si="148"/>
        <v>0.005249410082</v>
      </c>
      <c r="AC362" s="457">
        <f t="shared" si="148"/>
        <v>0.004072218874</v>
      </c>
      <c r="AD362" s="457">
        <f t="shared" si="148"/>
        <v>0.002902245092</v>
      </c>
      <c r="AE362" s="457">
        <f t="shared" si="148"/>
        <v>0.004397215422</v>
      </c>
      <c r="AF362" s="457">
        <f t="shared" si="148"/>
        <v>0.002911836466</v>
      </c>
      <c r="AG362" s="457">
        <f t="shared" si="148"/>
        <v>0.004351800533</v>
      </c>
      <c r="AH362" s="457">
        <f t="shared" si="148"/>
        <v>0.002582952985</v>
      </c>
      <c r="AI362" s="457">
        <f t="shared" si="148"/>
        <v>0.002213797467</v>
      </c>
      <c r="AJ362" s="457">
        <f t="shared" si="148"/>
        <v>0.005469387431</v>
      </c>
      <c r="AK362" s="457">
        <f t="shared" si="148"/>
        <v>0.007743290888</v>
      </c>
      <c r="AL362" s="457">
        <f t="shared" si="148"/>
        <v>0.00329490541</v>
      </c>
      <c r="AM362" s="457">
        <f t="shared" si="148"/>
        <v>0.003903162348</v>
      </c>
      <c r="AN362" s="457">
        <f t="shared" si="148"/>
        <v>0.001907007584</v>
      </c>
      <c r="AO362" s="457">
        <f t="shared" si="148"/>
        <v>0.002495428333</v>
      </c>
      <c r="AP362" s="457">
        <f t="shared" si="148"/>
        <v>0.004427924565</v>
      </c>
      <c r="AQ362" s="457">
        <f t="shared" si="148"/>
        <v>0.004584852642</v>
      </c>
      <c r="AR362" s="457">
        <f t="shared" si="148"/>
        <v>0.0121415618</v>
      </c>
      <c r="AS362" s="457">
        <f t="shared" si="148"/>
        <v>0.01037268674</v>
      </c>
      <c r="AT362" s="248"/>
    </row>
    <row r="363">
      <c r="A363" s="81"/>
      <c r="B363" s="81"/>
      <c r="C363" s="90"/>
      <c r="D363" s="90"/>
      <c r="E363" s="243"/>
      <c r="F363" s="108"/>
      <c r="G363" s="109"/>
      <c r="H363" s="85"/>
      <c r="I363" s="111"/>
      <c r="J363" s="111"/>
      <c r="K363" s="111"/>
      <c r="L363" s="111"/>
      <c r="M363" s="111"/>
      <c r="N363" s="111"/>
      <c r="O363" s="111"/>
      <c r="P363" s="111"/>
      <c r="Q363" s="111"/>
      <c r="R363" s="111"/>
      <c r="S363" s="111"/>
      <c r="T363" s="111"/>
      <c r="U363" s="111"/>
      <c r="V363" s="111"/>
      <c r="W363" s="111"/>
      <c r="X363" s="111"/>
      <c r="Y363" s="111"/>
      <c r="Z363" s="111"/>
      <c r="AA363" s="111"/>
      <c r="AB363" s="111"/>
      <c r="AC363" s="111"/>
      <c r="AD363" s="111"/>
      <c r="AE363" s="111"/>
      <c r="AF363" s="111"/>
      <c r="AG363" s="111"/>
      <c r="AH363" s="111"/>
      <c r="AI363" s="111"/>
      <c r="AJ363" s="111"/>
      <c r="AK363" s="111"/>
      <c r="AL363" s="111"/>
      <c r="AM363" s="111"/>
      <c r="AN363" s="111"/>
      <c r="AO363" s="111"/>
      <c r="AP363" s="111"/>
      <c r="AQ363" s="111"/>
      <c r="AR363" s="111"/>
      <c r="AS363" s="111"/>
      <c r="AT363" s="88"/>
    </row>
    <row r="364">
      <c r="A364" s="81"/>
      <c r="B364" s="81"/>
      <c r="C364" s="90" t="s">
        <v>1011</v>
      </c>
      <c r="F364" s="108"/>
      <c r="G364" s="109"/>
      <c r="H364" s="85"/>
      <c r="I364" s="111"/>
      <c r="J364" s="111"/>
      <c r="K364" s="111"/>
      <c r="L364" s="111"/>
      <c r="M364" s="111"/>
      <c r="N364" s="111"/>
      <c r="O364" s="111"/>
      <c r="P364" s="111"/>
      <c r="Q364" s="111"/>
      <c r="R364" s="111"/>
      <c r="S364" s="111"/>
      <c r="T364" s="111"/>
      <c r="U364" s="111"/>
      <c r="V364" s="111"/>
      <c r="W364" s="111"/>
      <c r="X364" s="111"/>
      <c r="Y364" s="111"/>
      <c r="Z364" s="111"/>
      <c r="AA364" s="111"/>
      <c r="AB364" s="111"/>
      <c r="AC364" s="111"/>
      <c r="AD364" s="111"/>
      <c r="AE364" s="111"/>
      <c r="AF364" s="111"/>
      <c r="AG364" s="111"/>
      <c r="AH364" s="111"/>
      <c r="AI364" s="111"/>
      <c r="AJ364" s="111"/>
      <c r="AK364" s="111"/>
      <c r="AL364" s="111"/>
      <c r="AM364" s="111"/>
      <c r="AN364" s="111"/>
      <c r="AO364" s="111"/>
      <c r="AP364" s="111"/>
      <c r="AQ364" s="111"/>
      <c r="AR364" s="111"/>
      <c r="AS364" s="111"/>
      <c r="AT364" s="88"/>
    </row>
    <row r="365">
      <c r="A365" s="81"/>
      <c r="B365" s="81"/>
      <c r="C365" s="90"/>
      <c r="D365" s="90"/>
      <c r="E365" s="113" t="s">
        <v>210</v>
      </c>
      <c r="F365" s="189" t="s">
        <v>122</v>
      </c>
      <c r="G365" s="271" t="s">
        <v>149</v>
      </c>
      <c r="H365" s="200" t="s">
        <v>150</v>
      </c>
      <c r="I365" s="119">
        <f t="shared" ref="I365:AS365" si="149">I356/SUM(I$356:I$361)</f>
        <v>0.2130494036</v>
      </c>
      <c r="J365" s="119">
        <f t="shared" si="149"/>
        <v>0.1534772233</v>
      </c>
      <c r="K365" s="119">
        <f t="shared" si="149"/>
        <v>0.2411274816</v>
      </c>
      <c r="L365" s="119">
        <f t="shared" si="149"/>
        <v>0.1347125857</v>
      </c>
      <c r="M365" s="119">
        <f t="shared" si="149"/>
        <v>0.152630811</v>
      </c>
      <c r="N365" s="119">
        <f t="shared" si="149"/>
        <v>0.2059472805</v>
      </c>
      <c r="O365" s="119">
        <f t="shared" si="149"/>
        <v>0.1911598856</v>
      </c>
      <c r="P365" s="119">
        <f t="shared" si="149"/>
        <v>0.2052551751</v>
      </c>
      <c r="Q365" s="119">
        <f t="shared" si="149"/>
        <v>0.2399849055</v>
      </c>
      <c r="R365" s="119">
        <f t="shared" si="149"/>
        <v>0.125972099</v>
      </c>
      <c r="S365" s="119">
        <f t="shared" si="149"/>
        <v>0.1609025831</v>
      </c>
      <c r="T365" s="119">
        <f t="shared" si="149"/>
        <v>0.1194079841</v>
      </c>
      <c r="U365" s="119">
        <f t="shared" si="149"/>
        <v>0.1133233803</v>
      </c>
      <c r="V365" s="119">
        <f t="shared" si="149"/>
        <v>0.09678427807</v>
      </c>
      <c r="W365" s="119">
        <f t="shared" si="149"/>
        <v>0.13204095</v>
      </c>
      <c r="X365" s="119">
        <f t="shared" si="149"/>
        <v>0.143871286</v>
      </c>
      <c r="Y365" s="119">
        <f t="shared" si="149"/>
        <v>0.1400925484</v>
      </c>
      <c r="Z365" s="119">
        <f t="shared" si="149"/>
        <v>0.1355051871</v>
      </c>
      <c r="AA365" s="119">
        <f t="shared" si="149"/>
        <v>0.1517847974</v>
      </c>
      <c r="AB365" s="119">
        <f t="shared" si="149"/>
        <v>0.1425932484</v>
      </c>
      <c r="AC365" s="119">
        <f t="shared" si="149"/>
        <v>0.1588164537</v>
      </c>
      <c r="AD365" s="119">
        <f t="shared" si="149"/>
        <v>0.1418972091</v>
      </c>
      <c r="AE365" s="119">
        <f t="shared" si="149"/>
        <v>0.1467348201</v>
      </c>
      <c r="AF365" s="119">
        <f t="shared" si="149"/>
        <v>0.14907855</v>
      </c>
      <c r="AG365" s="119">
        <f t="shared" si="149"/>
        <v>0.1011646743</v>
      </c>
      <c r="AH365" s="119">
        <f t="shared" si="149"/>
        <v>0.1110040628</v>
      </c>
      <c r="AI365" s="119">
        <f t="shared" si="149"/>
        <v>0.1273899107</v>
      </c>
      <c r="AJ365" s="119">
        <f t="shared" si="149"/>
        <v>0.142383327</v>
      </c>
      <c r="AK365" s="119">
        <f t="shared" si="149"/>
        <v>0.1358118583</v>
      </c>
      <c r="AL365" s="119">
        <f t="shared" si="149"/>
        <v>0.1215179611</v>
      </c>
      <c r="AM365" s="119">
        <f t="shared" si="149"/>
        <v>0.1291942197</v>
      </c>
      <c r="AN365" s="119">
        <f t="shared" si="149"/>
        <v>0.1449623727</v>
      </c>
      <c r="AO365" s="119">
        <f t="shared" si="149"/>
        <v>0.09514353522</v>
      </c>
      <c r="AP365" s="119">
        <f t="shared" si="149"/>
        <v>0.1596005723</v>
      </c>
      <c r="AQ365" s="119">
        <f t="shared" si="149"/>
        <v>0.1349291869</v>
      </c>
      <c r="AR365" s="119">
        <f t="shared" si="149"/>
        <v>0.1372147362</v>
      </c>
      <c r="AS365" s="119">
        <f t="shared" si="149"/>
        <v>0.1951505796</v>
      </c>
      <c r="AT365" s="136"/>
    </row>
    <row r="366">
      <c r="A366" s="81"/>
      <c r="B366" s="81"/>
      <c r="C366" s="756"/>
      <c r="D366" s="756"/>
      <c r="E366" s="140" t="s">
        <v>1012</v>
      </c>
      <c r="F366" s="215" t="s">
        <v>122</v>
      </c>
      <c r="G366" s="276" t="s">
        <v>149</v>
      </c>
      <c r="H366" s="187" t="s">
        <v>150</v>
      </c>
      <c r="I366" s="149">
        <f t="shared" ref="I366:AS366" si="150">I357/SUM(I$356:I$361)</f>
        <v>0.120177832</v>
      </c>
      <c r="J366" s="149">
        <f t="shared" si="150"/>
        <v>0.1509672016</v>
      </c>
      <c r="K366" s="149">
        <f t="shared" si="150"/>
        <v>0.1379146736</v>
      </c>
      <c r="L366" s="149">
        <f t="shared" si="150"/>
        <v>0.1589932924</v>
      </c>
      <c r="M366" s="149">
        <f t="shared" si="150"/>
        <v>0.1257690476</v>
      </c>
      <c r="N366" s="149">
        <f t="shared" si="150"/>
        <v>0.1497661503</v>
      </c>
      <c r="O366" s="149">
        <f t="shared" si="150"/>
        <v>0.1714029669</v>
      </c>
      <c r="P366" s="149">
        <f t="shared" si="150"/>
        <v>0.1431799424</v>
      </c>
      <c r="Q366" s="149">
        <f t="shared" si="150"/>
        <v>0.1537756245</v>
      </c>
      <c r="R366" s="149">
        <f t="shared" si="150"/>
        <v>0.09582413486</v>
      </c>
      <c r="S366" s="149">
        <f t="shared" si="150"/>
        <v>0.1097608337</v>
      </c>
      <c r="T366" s="149">
        <f t="shared" si="150"/>
        <v>0.1574781777</v>
      </c>
      <c r="U366" s="149">
        <f t="shared" si="150"/>
        <v>0.1900078538</v>
      </c>
      <c r="V366" s="149">
        <f t="shared" si="150"/>
        <v>0.1916399759</v>
      </c>
      <c r="W366" s="149">
        <f t="shared" si="150"/>
        <v>0.12938089</v>
      </c>
      <c r="X366" s="149">
        <f t="shared" si="150"/>
        <v>0.2067640148</v>
      </c>
      <c r="Y366" s="149">
        <f t="shared" si="150"/>
        <v>0.1627811316</v>
      </c>
      <c r="Z366" s="149">
        <f t="shared" si="150"/>
        <v>0.1432283129</v>
      </c>
      <c r="AA366" s="149">
        <f t="shared" si="150"/>
        <v>0.1196595318</v>
      </c>
      <c r="AB366" s="149">
        <f t="shared" si="150"/>
        <v>0.1193088953</v>
      </c>
      <c r="AC366" s="149">
        <f t="shared" si="150"/>
        <v>0.09871909177</v>
      </c>
      <c r="AD366" s="149">
        <f t="shared" si="150"/>
        <v>0.1677328133</v>
      </c>
      <c r="AE366" s="149">
        <f t="shared" si="150"/>
        <v>0.126928763</v>
      </c>
      <c r="AF366" s="149">
        <f t="shared" si="150"/>
        <v>0.113019475</v>
      </c>
      <c r="AG366" s="149">
        <f t="shared" si="150"/>
        <v>0.3117687288</v>
      </c>
      <c r="AH366" s="149">
        <f t="shared" si="150"/>
        <v>0.1940779997</v>
      </c>
      <c r="AI366" s="149">
        <f t="shared" si="150"/>
        <v>0.1346329033</v>
      </c>
      <c r="AJ366" s="149">
        <f t="shared" si="150"/>
        <v>0.1638979809</v>
      </c>
      <c r="AK366" s="149">
        <f t="shared" si="150"/>
        <v>0.1550290025</v>
      </c>
      <c r="AL366" s="149">
        <f t="shared" si="150"/>
        <v>0.1757042475</v>
      </c>
      <c r="AM366" s="149">
        <f t="shared" si="150"/>
        <v>0.1184500375</v>
      </c>
      <c r="AN366" s="149">
        <f t="shared" si="150"/>
        <v>0.1549391386</v>
      </c>
      <c r="AO366" s="149">
        <f t="shared" si="150"/>
        <v>0.2279317476</v>
      </c>
      <c r="AP366" s="149">
        <f t="shared" si="150"/>
        <v>0.1274455134</v>
      </c>
      <c r="AQ366" s="149">
        <f t="shared" si="150"/>
        <v>0.1292559449</v>
      </c>
      <c r="AR366" s="149">
        <f t="shared" si="150"/>
        <v>0.1121240864</v>
      </c>
      <c r="AS366" s="149">
        <f t="shared" si="150"/>
        <v>0.1722639107</v>
      </c>
      <c r="AT366" s="163"/>
    </row>
    <row r="367">
      <c r="A367" s="81"/>
      <c r="B367" s="81"/>
      <c r="C367" s="90"/>
      <c r="D367" s="90"/>
      <c r="E367" s="140" t="s">
        <v>1013</v>
      </c>
      <c r="F367" s="215" t="s">
        <v>122</v>
      </c>
      <c r="G367" s="276" t="s">
        <v>149</v>
      </c>
      <c r="H367" s="187" t="s">
        <v>150</v>
      </c>
      <c r="I367" s="149">
        <f t="shared" ref="I367:AS367" si="151">I358/SUM(I$356:I$361)</f>
        <v>0.03162517098</v>
      </c>
      <c r="J367" s="149">
        <f t="shared" si="151"/>
        <v>0.03778411393</v>
      </c>
      <c r="K367" s="149">
        <f t="shared" si="151"/>
        <v>0.03153891619</v>
      </c>
      <c r="L367" s="149">
        <f t="shared" si="151"/>
        <v>0.04279930246</v>
      </c>
      <c r="M367" s="149">
        <f t="shared" si="151"/>
        <v>0.03944530408</v>
      </c>
      <c r="N367" s="149">
        <f t="shared" si="151"/>
        <v>0.02991495778</v>
      </c>
      <c r="O367" s="149">
        <f t="shared" si="151"/>
        <v>0.02995543788</v>
      </c>
      <c r="P367" s="149">
        <f t="shared" si="151"/>
        <v>0.02877983043</v>
      </c>
      <c r="Q367" s="149">
        <f t="shared" si="151"/>
        <v>0.02461159253</v>
      </c>
      <c r="R367" s="149">
        <f t="shared" si="151"/>
        <v>0.0552328172</v>
      </c>
      <c r="S367" s="149">
        <f t="shared" si="151"/>
        <v>0.04482256484</v>
      </c>
      <c r="T367" s="149">
        <f t="shared" si="151"/>
        <v>0.05484524344</v>
      </c>
      <c r="U367" s="149">
        <f t="shared" si="151"/>
        <v>0.05814769356</v>
      </c>
      <c r="V367" s="149">
        <f t="shared" si="151"/>
        <v>0.04079457621</v>
      </c>
      <c r="W367" s="149">
        <f t="shared" si="151"/>
        <v>0.04480080307</v>
      </c>
      <c r="X367" s="149">
        <f t="shared" si="151"/>
        <v>0.03106161771</v>
      </c>
      <c r="Y367" s="149">
        <f t="shared" si="151"/>
        <v>0.05328151525</v>
      </c>
      <c r="Z367" s="149">
        <f t="shared" si="151"/>
        <v>0.0530394568</v>
      </c>
      <c r="AA367" s="149">
        <f t="shared" si="151"/>
        <v>0.05647998421</v>
      </c>
      <c r="AB367" s="149">
        <f t="shared" si="151"/>
        <v>0.06552756942</v>
      </c>
      <c r="AC367" s="149">
        <f t="shared" si="151"/>
        <v>0.06183285351</v>
      </c>
      <c r="AD367" s="149">
        <f t="shared" si="151"/>
        <v>0.0564436611</v>
      </c>
      <c r="AE367" s="149">
        <f t="shared" si="151"/>
        <v>0.05881865189</v>
      </c>
      <c r="AF367" s="149">
        <f t="shared" si="151"/>
        <v>0.06161855127</v>
      </c>
      <c r="AG367" s="149">
        <f t="shared" si="151"/>
        <v>0.03923105668</v>
      </c>
      <c r="AH367" s="149">
        <f t="shared" si="151"/>
        <v>0.04456770789</v>
      </c>
      <c r="AI367" s="149">
        <f t="shared" si="151"/>
        <v>0.06189868203</v>
      </c>
      <c r="AJ367" s="149">
        <f t="shared" si="151"/>
        <v>0.04370971836</v>
      </c>
      <c r="AK367" s="149">
        <f t="shared" si="151"/>
        <v>0.03827888329</v>
      </c>
      <c r="AL367" s="149">
        <f t="shared" si="151"/>
        <v>0.04656123814</v>
      </c>
      <c r="AM367" s="149">
        <f t="shared" si="151"/>
        <v>0.05582694024</v>
      </c>
      <c r="AN367" s="149">
        <f t="shared" si="151"/>
        <v>0.0524146964</v>
      </c>
      <c r="AO367" s="149">
        <f t="shared" si="151"/>
        <v>0.04715531362</v>
      </c>
      <c r="AP367" s="149">
        <f t="shared" si="151"/>
        <v>0.04774404935</v>
      </c>
      <c r="AQ367" s="149">
        <f t="shared" si="151"/>
        <v>0.05863318115</v>
      </c>
      <c r="AR367" s="149">
        <f t="shared" si="151"/>
        <v>0.0418861085</v>
      </c>
      <c r="AS367" s="149">
        <f t="shared" si="151"/>
        <v>0.03080832785</v>
      </c>
      <c r="AT367" s="163"/>
    </row>
    <row r="368">
      <c r="A368" s="81"/>
      <c r="B368" s="81"/>
      <c r="C368" s="90"/>
      <c r="D368" s="90"/>
      <c r="E368" s="140" t="s">
        <v>1014</v>
      </c>
      <c r="F368" s="215" t="s">
        <v>122</v>
      </c>
      <c r="G368" s="276" t="s">
        <v>149</v>
      </c>
      <c r="H368" s="187" t="s">
        <v>150</v>
      </c>
      <c r="I368" s="149">
        <f t="shared" ref="I368:AS368" si="152">I359/SUM(I$356:I$361)</f>
        <v>0.3365521675</v>
      </c>
      <c r="J368" s="149">
        <f t="shared" si="152"/>
        <v>0.3871584033</v>
      </c>
      <c r="K368" s="149">
        <f t="shared" si="152"/>
        <v>0.3330327866</v>
      </c>
      <c r="L368" s="149">
        <f t="shared" si="152"/>
        <v>0.4275471101</v>
      </c>
      <c r="M368" s="149">
        <f t="shared" si="152"/>
        <v>0.4149870937</v>
      </c>
      <c r="N368" s="149">
        <f t="shared" si="152"/>
        <v>0.3110635227</v>
      </c>
      <c r="O368" s="149">
        <f t="shared" si="152"/>
        <v>0.3106577165</v>
      </c>
      <c r="P368" s="149">
        <f t="shared" si="152"/>
        <v>0.3158754884</v>
      </c>
      <c r="Q368" s="149">
        <f t="shared" si="152"/>
        <v>0.2607554039</v>
      </c>
      <c r="R368" s="149">
        <f t="shared" si="152"/>
        <v>0.4811154097</v>
      </c>
      <c r="S368" s="149">
        <f t="shared" si="152"/>
        <v>0.4334332238</v>
      </c>
      <c r="T368" s="149">
        <f t="shared" si="152"/>
        <v>0.4692865068</v>
      </c>
      <c r="U368" s="149">
        <f t="shared" si="152"/>
        <v>0.4994121513</v>
      </c>
      <c r="V368" s="149">
        <f t="shared" si="152"/>
        <v>0.3845688855</v>
      </c>
      <c r="W368" s="149">
        <f t="shared" si="152"/>
        <v>0.4044463899</v>
      </c>
      <c r="X368" s="149">
        <f t="shared" si="152"/>
        <v>0.2904293373</v>
      </c>
      <c r="Y368" s="149">
        <f t="shared" si="152"/>
        <v>0.4479603756</v>
      </c>
      <c r="Z368" s="149">
        <f t="shared" si="152"/>
        <v>0.474852056</v>
      </c>
      <c r="AA368" s="149">
        <f t="shared" si="152"/>
        <v>0.4671595585</v>
      </c>
      <c r="AB368" s="149">
        <f t="shared" si="152"/>
        <v>0.514308013</v>
      </c>
      <c r="AC368" s="149">
        <f t="shared" si="152"/>
        <v>0.4882921465</v>
      </c>
      <c r="AD368" s="149">
        <f t="shared" si="152"/>
        <v>0.4604161297</v>
      </c>
      <c r="AE368" s="149">
        <f t="shared" si="152"/>
        <v>0.4944458363</v>
      </c>
      <c r="AF368" s="149">
        <f t="shared" si="152"/>
        <v>0.5152603598</v>
      </c>
      <c r="AG368" s="149">
        <f t="shared" si="152"/>
        <v>0.3740591848</v>
      </c>
      <c r="AH368" s="149">
        <f t="shared" si="152"/>
        <v>0.4134152573</v>
      </c>
      <c r="AI368" s="149">
        <f t="shared" si="152"/>
        <v>0.4865086966</v>
      </c>
      <c r="AJ368" s="149">
        <f t="shared" si="152"/>
        <v>0.4262977198</v>
      </c>
      <c r="AK368" s="149">
        <f t="shared" si="152"/>
        <v>0.3909669325</v>
      </c>
      <c r="AL368" s="149">
        <f t="shared" si="152"/>
        <v>0.4455056212</v>
      </c>
      <c r="AM368" s="149">
        <f t="shared" si="152"/>
        <v>0.5074956793</v>
      </c>
      <c r="AN368" s="149">
        <f t="shared" si="152"/>
        <v>0.4400808944</v>
      </c>
      <c r="AO368" s="149">
        <f t="shared" si="152"/>
        <v>0.4332649402</v>
      </c>
      <c r="AP368" s="149">
        <f t="shared" si="152"/>
        <v>0.4269391578</v>
      </c>
      <c r="AQ368" s="149">
        <f t="shared" si="152"/>
        <v>0.4937395006</v>
      </c>
      <c r="AR368" s="149">
        <f t="shared" si="152"/>
        <v>0.4288235347</v>
      </c>
      <c r="AS368" s="149">
        <f t="shared" si="152"/>
        <v>0.3147464478</v>
      </c>
      <c r="AT368" s="163"/>
    </row>
    <row r="369">
      <c r="A369" s="81"/>
      <c r="B369" s="81"/>
      <c r="C369" s="90"/>
      <c r="D369" s="90"/>
      <c r="E369" s="140" t="s">
        <v>1015</v>
      </c>
      <c r="F369" s="215" t="s">
        <v>122</v>
      </c>
      <c r="G369" s="276" t="s">
        <v>149</v>
      </c>
      <c r="H369" s="187" t="s">
        <v>150</v>
      </c>
      <c r="I369" s="149">
        <f t="shared" ref="I369:AS369" si="153">I360/SUM(I$356:I$361)</f>
        <v>0.2387897087</v>
      </c>
      <c r="J369" s="149">
        <f t="shared" si="153"/>
        <v>0.2237427149</v>
      </c>
      <c r="K369" s="149">
        <f t="shared" si="153"/>
        <v>0.1904074819</v>
      </c>
      <c r="L369" s="149">
        <f t="shared" si="153"/>
        <v>0.182079975</v>
      </c>
      <c r="M369" s="149">
        <f t="shared" si="153"/>
        <v>0.2322144107</v>
      </c>
      <c r="N369" s="149">
        <f t="shared" si="153"/>
        <v>0.2219993626</v>
      </c>
      <c r="O369" s="149">
        <f t="shared" si="153"/>
        <v>0.2202932089</v>
      </c>
      <c r="P369" s="149">
        <f t="shared" si="153"/>
        <v>0.2421507423</v>
      </c>
      <c r="Q369" s="149">
        <f t="shared" si="153"/>
        <v>0.2489296116</v>
      </c>
      <c r="R369" s="149">
        <f t="shared" si="153"/>
        <v>0.2163845364</v>
      </c>
      <c r="S369" s="149">
        <f t="shared" si="153"/>
        <v>0.2171913198</v>
      </c>
      <c r="T369" s="149">
        <f t="shared" si="153"/>
        <v>0.1482723022</v>
      </c>
      <c r="U369" s="149">
        <f t="shared" si="153"/>
        <v>0.1038216285</v>
      </c>
      <c r="V369" s="149">
        <f t="shared" si="153"/>
        <v>0.2282648273</v>
      </c>
      <c r="W369" s="149">
        <f t="shared" si="153"/>
        <v>0.2531900315</v>
      </c>
      <c r="X369" s="149">
        <f t="shared" si="153"/>
        <v>0.2504228928</v>
      </c>
      <c r="Y369" s="149">
        <f t="shared" si="153"/>
        <v>0.14186399</v>
      </c>
      <c r="Z369" s="149">
        <f t="shared" si="153"/>
        <v>0.1511029594</v>
      </c>
      <c r="AA369" s="149">
        <f t="shared" si="153"/>
        <v>0.1669746367</v>
      </c>
      <c r="AB369" s="149">
        <f t="shared" si="153"/>
        <v>0.1169589064</v>
      </c>
      <c r="AC369" s="149">
        <f t="shared" si="153"/>
        <v>0.1386336807</v>
      </c>
      <c r="AD369" s="149">
        <f t="shared" si="153"/>
        <v>0.1266926808</v>
      </c>
      <c r="AE369" s="149">
        <f t="shared" si="153"/>
        <v>0.1385306672</v>
      </c>
      <c r="AF369" s="149">
        <f t="shared" si="153"/>
        <v>0.1251123829</v>
      </c>
      <c r="AG369" s="149">
        <f t="shared" si="153"/>
        <v>0.1176334926</v>
      </c>
      <c r="AH369" s="149">
        <f t="shared" si="153"/>
        <v>0.1480129194</v>
      </c>
      <c r="AI369" s="149">
        <f t="shared" si="153"/>
        <v>0.1423963616</v>
      </c>
      <c r="AJ369" s="149">
        <f t="shared" si="153"/>
        <v>0.1736992456</v>
      </c>
      <c r="AK369" s="149">
        <f t="shared" si="153"/>
        <v>0.2288557138</v>
      </c>
      <c r="AL369" s="149">
        <f t="shared" si="153"/>
        <v>0.1639535393</v>
      </c>
      <c r="AM369" s="149">
        <f t="shared" si="153"/>
        <v>0.142188484</v>
      </c>
      <c r="AN369" s="149">
        <f t="shared" si="153"/>
        <v>0.1525808209</v>
      </c>
      <c r="AO369" s="149">
        <f t="shared" si="153"/>
        <v>0.137722501</v>
      </c>
      <c r="AP369" s="149">
        <f t="shared" si="153"/>
        <v>0.1905513414</v>
      </c>
      <c r="AQ369" s="149">
        <f t="shared" si="153"/>
        <v>0.142536398</v>
      </c>
      <c r="AR369" s="149">
        <f t="shared" si="153"/>
        <v>0.2445743967</v>
      </c>
      <c r="AS369" s="149">
        <f t="shared" si="153"/>
        <v>0.2073022788</v>
      </c>
      <c r="AT369" s="163"/>
    </row>
    <row r="370">
      <c r="A370" s="81"/>
      <c r="B370" s="81"/>
      <c r="C370" s="90"/>
      <c r="D370" s="90"/>
      <c r="E370" s="237" t="s">
        <v>1016</v>
      </c>
      <c r="F370" s="195" t="s">
        <v>122</v>
      </c>
      <c r="G370" s="291" t="s">
        <v>149</v>
      </c>
      <c r="H370" s="197" t="s">
        <v>150</v>
      </c>
      <c r="I370" s="240">
        <f t="shared" ref="I370:AS370" si="154">I361/SUM(I$356:I$361)</f>
        <v>0.05980571719</v>
      </c>
      <c r="J370" s="240">
        <f t="shared" si="154"/>
        <v>0.04687034295</v>
      </c>
      <c r="K370" s="240">
        <f t="shared" si="154"/>
        <v>0.06597866013</v>
      </c>
      <c r="L370" s="240">
        <f t="shared" si="154"/>
        <v>0.05386773431</v>
      </c>
      <c r="M370" s="240">
        <f t="shared" si="154"/>
        <v>0.03495333291</v>
      </c>
      <c r="N370" s="240">
        <f t="shared" si="154"/>
        <v>0.08130872617</v>
      </c>
      <c r="O370" s="240">
        <f t="shared" si="154"/>
        <v>0.07653078417</v>
      </c>
      <c r="P370" s="240">
        <f t="shared" si="154"/>
        <v>0.06475882135</v>
      </c>
      <c r="Q370" s="240">
        <f t="shared" si="154"/>
        <v>0.07194286203</v>
      </c>
      <c r="R370" s="240">
        <f t="shared" si="154"/>
        <v>0.02547100281</v>
      </c>
      <c r="S370" s="240">
        <f t="shared" si="154"/>
        <v>0.03388947478</v>
      </c>
      <c r="T370" s="240">
        <f t="shared" si="154"/>
        <v>0.05070978582</v>
      </c>
      <c r="U370" s="240">
        <f t="shared" si="154"/>
        <v>0.03528729256</v>
      </c>
      <c r="V370" s="240">
        <f t="shared" si="154"/>
        <v>0.05794745695</v>
      </c>
      <c r="W370" s="240">
        <f t="shared" si="154"/>
        <v>0.03614093555</v>
      </c>
      <c r="X370" s="240">
        <f t="shared" si="154"/>
        <v>0.07745085134</v>
      </c>
      <c r="Y370" s="240">
        <f t="shared" si="154"/>
        <v>0.05402043912</v>
      </c>
      <c r="Z370" s="240">
        <f t="shared" si="154"/>
        <v>0.04227202779</v>
      </c>
      <c r="AA370" s="240">
        <f t="shared" si="154"/>
        <v>0.0379414913</v>
      </c>
      <c r="AB370" s="240">
        <f t="shared" si="154"/>
        <v>0.04130336744</v>
      </c>
      <c r="AC370" s="240">
        <f t="shared" si="154"/>
        <v>0.05370577388</v>
      </c>
      <c r="AD370" s="240">
        <f t="shared" si="154"/>
        <v>0.04681750596</v>
      </c>
      <c r="AE370" s="240">
        <f t="shared" si="154"/>
        <v>0.03454126151</v>
      </c>
      <c r="AF370" s="240">
        <f t="shared" si="154"/>
        <v>0.03591068113</v>
      </c>
      <c r="AG370" s="240">
        <f t="shared" si="154"/>
        <v>0.05614286278</v>
      </c>
      <c r="AH370" s="240">
        <f t="shared" si="154"/>
        <v>0.08892205291</v>
      </c>
      <c r="AI370" s="240">
        <f t="shared" si="154"/>
        <v>0.0471734457</v>
      </c>
      <c r="AJ370" s="240">
        <f t="shared" si="154"/>
        <v>0.05001200826</v>
      </c>
      <c r="AK370" s="240">
        <f t="shared" si="154"/>
        <v>0.05105760957</v>
      </c>
      <c r="AL370" s="240">
        <f t="shared" si="154"/>
        <v>0.04675739277</v>
      </c>
      <c r="AM370" s="240">
        <f t="shared" si="154"/>
        <v>0.04684463929</v>
      </c>
      <c r="AN370" s="240">
        <f t="shared" si="154"/>
        <v>0.05502207695</v>
      </c>
      <c r="AO370" s="240">
        <f t="shared" si="154"/>
        <v>0.0587819625</v>
      </c>
      <c r="AP370" s="240">
        <f t="shared" si="154"/>
        <v>0.04771936573</v>
      </c>
      <c r="AQ370" s="240">
        <f t="shared" si="154"/>
        <v>0.04090578849</v>
      </c>
      <c r="AR370" s="240">
        <f t="shared" si="154"/>
        <v>0.03537713748</v>
      </c>
      <c r="AS370" s="240">
        <f t="shared" si="154"/>
        <v>0.07972845517</v>
      </c>
      <c r="AT370" s="248"/>
    </row>
    <row r="371">
      <c r="A371" s="81"/>
      <c r="B371" s="81"/>
      <c r="C371" s="90"/>
      <c r="D371" s="90"/>
      <c r="E371" s="243"/>
      <c r="F371" s="83"/>
      <c r="G371" s="135"/>
      <c r="H371" s="85"/>
      <c r="I371" s="86"/>
      <c r="J371" s="86"/>
      <c r="K371" s="86"/>
      <c r="L371" s="86"/>
      <c r="M371" s="86"/>
      <c r="N371" s="86"/>
      <c r="O371" s="86"/>
      <c r="P371" s="86"/>
      <c r="Q371" s="86"/>
      <c r="R371" s="111"/>
      <c r="S371" s="86"/>
      <c r="T371" s="111"/>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c r="AQ371" s="86"/>
      <c r="AR371" s="86"/>
      <c r="AS371" s="86"/>
      <c r="AT371" s="88"/>
    </row>
    <row r="372">
      <c r="A372" s="81"/>
      <c r="B372" s="81"/>
      <c r="C372" s="126" t="s">
        <v>688</v>
      </c>
      <c r="F372" s="83"/>
      <c r="G372" s="135"/>
      <c r="H372" s="85"/>
      <c r="I372" s="86"/>
      <c r="J372" s="86"/>
      <c r="K372" s="86"/>
      <c r="L372" s="86"/>
      <c r="M372" s="86"/>
      <c r="N372" s="86"/>
      <c r="O372" s="86"/>
      <c r="P372" s="86"/>
      <c r="Q372" s="86"/>
      <c r="R372" s="86"/>
      <c r="S372" s="86"/>
      <c r="T372" s="111"/>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c r="AQ372" s="86"/>
      <c r="AR372" s="86"/>
      <c r="AS372" s="86"/>
      <c r="AT372" s="88"/>
    </row>
    <row r="373">
      <c r="A373" s="81"/>
      <c r="B373" s="81"/>
      <c r="C373" s="90"/>
      <c r="D373" s="90"/>
      <c r="E373" s="113" t="s">
        <v>689</v>
      </c>
      <c r="F373" s="151" t="str">
        <f>Inputs!D87:F87</f>
        <v>%</v>
      </c>
      <c r="G373" s="154" t="str">
        <f>Inputs!E87:G87</f>
        <v>input</v>
      </c>
      <c r="H373" s="156">
        <f>Inputs!H87</f>
        <v>0.35</v>
      </c>
      <c r="I373" s="157" t="str">
        <f>Inputs!R87</f>
        <v>-</v>
      </c>
      <c r="J373" s="157" t="str">
        <f>Inputs!S87</f>
        <v>-</v>
      </c>
      <c r="K373" s="157" t="str">
        <f>Inputs!T87</f>
        <v>-</v>
      </c>
      <c r="L373" s="157" t="str">
        <f>Inputs!AH87</f>
        <v>-</v>
      </c>
      <c r="M373" s="157" t="str">
        <f>Inputs!U87</f>
        <v>-</v>
      </c>
      <c r="N373" s="157" t="str">
        <f>Inputs!I87</f>
        <v>-</v>
      </c>
      <c r="O373" s="157" t="str">
        <f>Inputs!V87</f>
        <v>-</v>
      </c>
      <c r="P373" s="157" t="str">
        <f>Inputs!W87</f>
        <v>-</v>
      </c>
      <c r="Q373" s="157" t="str">
        <f>Inputs!X87</f>
        <v>-</v>
      </c>
      <c r="R373" s="157" t="str">
        <f>Inputs!Y87</f>
        <v>-</v>
      </c>
      <c r="S373" s="157" t="str">
        <f>Inputs!Z87</f>
        <v>-</v>
      </c>
      <c r="T373" s="119" t="str">
        <f>Inputs!AA87</f>
        <v>-</v>
      </c>
      <c r="U373" s="157" t="str">
        <f>Inputs!AB87</f>
        <v>-</v>
      </c>
      <c r="V373" s="157" t="str">
        <f>Inputs!AC87</f>
        <v>-</v>
      </c>
      <c r="W373" s="157" t="str">
        <f>Inputs!AD87</f>
        <v>-</v>
      </c>
      <c r="X373" s="157" t="str">
        <f>Inputs!AE87</f>
        <v>-</v>
      </c>
      <c r="Y373" s="157" t="str">
        <f>Inputs!J87</f>
        <v>-</v>
      </c>
      <c r="Z373" s="157" t="str">
        <f>Inputs!AF87</f>
        <v>-</v>
      </c>
      <c r="AA373" s="157" t="str">
        <f>Inputs!K87</f>
        <v>-</v>
      </c>
      <c r="AB373" s="157" t="str">
        <f>Inputs!L87</f>
        <v>-</v>
      </c>
      <c r="AC373" s="157" t="str">
        <f>Inputs!M87</f>
        <v>-</v>
      </c>
      <c r="AD373" s="157" t="str">
        <f>Inputs!N87</f>
        <v>-</v>
      </c>
      <c r="AE373" s="157" t="str">
        <f>Inputs!O87</f>
        <v>-</v>
      </c>
      <c r="AF373" s="157" t="str">
        <f>Inputs!AG87</f>
        <v>-</v>
      </c>
      <c r="AG373" s="157" t="str">
        <f>Inputs!AI87</f>
        <v>-</v>
      </c>
      <c r="AH373" s="157" t="str">
        <f>Inputs!AJ87</f>
        <v>-</v>
      </c>
      <c r="AI373" s="157" t="str">
        <f>Inputs!AK87</f>
        <v>-</v>
      </c>
      <c r="AJ373" s="157" t="str">
        <f>Inputs!AL87</f>
        <v>-</v>
      </c>
      <c r="AK373" s="157" t="str">
        <f>Inputs!AM87</f>
        <v>-</v>
      </c>
      <c r="AL373" s="157" t="str">
        <f>Inputs!AN87</f>
        <v>-</v>
      </c>
      <c r="AM373" s="157" t="str">
        <f>Inputs!AO87</f>
        <v>-</v>
      </c>
      <c r="AN373" s="157" t="str">
        <f>Inputs!AP87</f>
        <v>-</v>
      </c>
      <c r="AO373" s="157" t="str">
        <f>Inputs!AQ87</f>
        <v>-</v>
      </c>
      <c r="AP373" s="157" t="str">
        <f>Inputs!P87</f>
        <v>-</v>
      </c>
      <c r="AQ373" s="157" t="str">
        <f>Inputs!AR87</f>
        <v>-</v>
      </c>
      <c r="AR373" s="157" t="str">
        <f>Inputs!AS87</f>
        <v>-</v>
      </c>
      <c r="AS373" s="157" t="str">
        <f>Inputs!Q87</f>
        <v>-</v>
      </c>
      <c r="AT373" s="136"/>
    </row>
    <row r="374">
      <c r="A374" s="81"/>
      <c r="B374" s="81"/>
      <c r="C374" s="90"/>
      <c r="D374" s="90"/>
      <c r="E374" s="140" t="s">
        <v>694</v>
      </c>
      <c r="F374" s="172" t="str">
        <f>Inputs!D88:F88</f>
        <v>%</v>
      </c>
      <c r="G374" s="175" t="str">
        <f>Inputs!E88:G88</f>
        <v>input</v>
      </c>
      <c r="H374" s="176">
        <f>Inputs!H88</f>
        <v>0.55</v>
      </c>
      <c r="I374" s="179" t="str">
        <f>Inputs!R88</f>
        <v>-</v>
      </c>
      <c r="J374" s="179" t="str">
        <f>Inputs!S88</f>
        <v>-</v>
      </c>
      <c r="K374" s="179" t="str">
        <f>Inputs!T88</f>
        <v>-</v>
      </c>
      <c r="L374" s="179" t="str">
        <f>Inputs!AH88</f>
        <v>-</v>
      </c>
      <c r="M374" s="179" t="str">
        <f>Inputs!U88</f>
        <v>-</v>
      </c>
      <c r="N374" s="179" t="str">
        <f>Inputs!I88</f>
        <v>-</v>
      </c>
      <c r="O374" s="179" t="str">
        <f>Inputs!V88</f>
        <v>-</v>
      </c>
      <c r="P374" s="179" t="str">
        <f>Inputs!W88</f>
        <v>-</v>
      </c>
      <c r="Q374" s="179" t="str">
        <f>Inputs!X88</f>
        <v>-</v>
      </c>
      <c r="R374" s="179" t="str">
        <f>Inputs!Y88</f>
        <v>-</v>
      </c>
      <c r="S374" s="179" t="str">
        <f>Inputs!Z88</f>
        <v>-</v>
      </c>
      <c r="T374" s="149" t="str">
        <f>Inputs!AA88</f>
        <v>-</v>
      </c>
      <c r="U374" s="179" t="str">
        <f>Inputs!AB88</f>
        <v>-</v>
      </c>
      <c r="V374" s="179" t="str">
        <f>Inputs!AC88</f>
        <v>-</v>
      </c>
      <c r="W374" s="179" t="str">
        <f>Inputs!AD88</f>
        <v>-</v>
      </c>
      <c r="X374" s="179" t="str">
        <f>Inputs!AE88</f>
        <v>-</v>
      </c>
      <c r="Y374" s="179" t="str">
        <f>Inputs!J88</f>
        <v>-</v>
      </c>
      <c r="Z374" s="179" t="str">
        <f>Inputs!AF88</f>
        <v>-</v>
      </c>
      <c r="AA374" s="179" t="str">
        <f>Inputs!K88</f>
        <v>-</v>
      </c>
      <c r="AB374" s="179" t="str">
        <f>Inputs!L88</f>
        <v>-</v>
      </c>
      <c r="AC374" s="179" t="str">
        <f>Inputs!M88</f>
        <v>-</v>
      </c>
      <c r="AD374" s="179" t="str">
        <f>Inputs!N88</f>
        <v>-</v>
      </c>
      <c r="AE374" s="179" t="str">
        <f>Inputs!O88</f>
        <v>-</v>
      </c>
      <c r="AF374" s="179" t="str">
        <f>Inputs!AG88</f>
        <v>-</v>
      </c>
      <c r="AG374" s="179" t="str">
        <f>Inputs!AI88</f>
        <v>-</v>
      </c>
      <c r="AH374" s="179" t="str">
        <f>Inputs!AJ88</f>
        <v>-</v>
      </c>
      <c r="AI374" s="179" t="str">
        <f>Inputs!AK88</f>
        <v>-</v>
      </c>
      <c r="AJ374" s="179" t="str">
        <f>Inputs!AL88</f>
        <v>-</v>
      </c>
      <c r="AK374" s="179" t="str">
        <f>Inputs!AM88</f>
        <v>-</v>
      </c>
      <c r="AL374" s="179" t="str">
        <f>Inputs!AN88</f>
        <v>-</v>
      </c>
      <c r="AM374" s="179" t="str">
        <f>Inputs!AO88</f>
        <v>-</v>
      </c>
      <c r="AN374" s="179" t="str">
        <f>Inputs!AP88</f>
        <v>-</v>
      </c>
      <c r="AO374" s="179" t="str">
        <f>Inputs!AQ88</f>
        <v>-</v>
      </c>
      <c r="AP374" s="179" t="str">
        <f>Inputs!P88</f>
        <v>-</v>
      </c>
      <c r="AQ374" s="179" t="str">
        <f>Inputs!AR88</f>
        <v>-</v>
      </c>
      <c r="AR374" s="179" t="str">
        <f>Inputs!AS88</f>
        <v>-</v>
      </c>
      <c r="AS374" s="179" t="str">
        <f>Inputs!Q88</f>
        <v>-</v>
      </c>
      <c r="AT374" s="163"/>
    </row>
    <row r="375">
      <c r="A375" s="81"/>
      <c r="B375" s="81"/>
      <c r="C375" s="90"/>
      <c r="D375" s="90"/>
      <c r="E375" s="140" t="s">
        <v>698</v>
      </c>
      <c r="F375" s="172" t="str">
        <f>Inputs!D89:F89</f>
        <v>%</v>
      </c>
      <c r="G375" s="175" t="str">
        <f>Inputs!E89:G89</f>
        <v>input</v>
      </c>
      <c r="H375" s="176">
        <f>Inputs!H89</f>
        <v>0.1</v>
      </c>
      <c r="I375" s="179" t="str">
        <f>Inputs!R89</f>
        <v>-</v>
      </c>
      <c r="J375" s="179" t="str">
        <f>Inputs!S89</f>
        <v>-</v>
      </c>
      <c r="K375" s="179" t="str">
        <f>Inputs!T89</f>
        <v>-</v>
      </c>
      <c r="L375" s="179" t="str">
        <f>Inputs!AH89</f>
        <v>-</v>
      </c>
      <c r="M375" s="179" t="str">
        <f>Inputs!U89</f>
        <v>-</v>
      </c>
      <c r="N375" s="179" t="str">
        <f>Inputs!I89</f>
        <v>-</v>
      </c>
      <c r="O375" s="179" t="str">
        <f>Inputs!V89</f>
        <v>-</v>
      </c>
      <c r="P375" s="179" t="str">
        <f>Inputs!W89</f>
        <v>-</v>
      </c>
      <c r="Q375" s="179" t="str">
        <f>Inputs!X89</f>
        <v>-</v>
      </c>
      <c r="R375" s="179" t="str">
        <f>Inputs!Y89</f>
        <v>-</v>
      </c>
      <c r="S375" s="179" t="str">
        <f>Inputs!Z89</f>
        <v>-</v>
      </c>
      <c r="T375" s="149" t="str">
        <f>Inputs!AA89</f>
        <v>-</v>
      </c>
      <c r="U375" s="179" t="str">
        <f>Inputs!AB89</f>
        <v>-</v>
      </c>
      <c r="V375" s="179" t="str">
        <f>Inputs!AC89</f>
        <v>-</v>
      </c>
      <c r="W375" s="179" t="str">
        <f>Inputs!AD89</f>
        <v>-</v>
      </c>
      <c r="X375" s="179" t="str">
        <f>Inputs!AE89</f>
        <v>-</v>
      </c>
      <c r="Y375" s="179" t="str">
        <f>Inputs!J89</f>
        <v>-</v>
      </c>
      <c r="Z375" s="179" t="str">
        <f>Inputs!AF89</f>
        <v>-</v>
      </c>
      <c r="AA375" s="179" t="str">
        <f>Inputs!K89</f>
        <v>-</v>
      </c>
      <c r="AB375" s="179" t="str">
        <f>Inputs!L89</f>
        <v>-</v>
      </c>
      <c r="AC375" s="179" t="str">
        <f>Inputs!M89</f>
        <v>-</v>
      </c>
      <c r="AD375" s="179" t="str">
        <f>Inputs!N89</f>
        <v>-</v>
      </c>
      <c r="AE375" s="179" t="str">
        <f>Inputs!O89</f>
        <v>-</v>
      </c>
      <c r="AF375" s="179" t="str">
        <f>Inputs!AG89</f>
        <v>-</v>
      </c>
      <c r="AG375" s="179" t="str">
        <f>Inputs!AI89</f>
        <v>-</v>
      </c>
      <c r="AH375" s="179" t="str">
        <f>Inputs!AJ89</f>
        <v>-</v>
      </c>
      <c r="AI375" s="179" t="str">
        <f>Inputs!AK89</f>
        <v>-</v>
      </c>
      <c r="AJ375" s="179" t="str">
        <f>Inputs!AL89</f>
        <v>-</v>
      </c>
      <c r="AK375" s="179" t="str">
        <f>Inputs!AM89</f>
        <v>-</v>
      </c>
      <c r="AL375" s="179" t="str">
        <f>Inputs!AN89</f>
        <v>-</v>
      </c>
      <c r="AM375" s="179" t="str">
        <f>Inputs!AO89</f>
        <v>-</v>
      </c>
      <c r="AN375" s="179" t="str">
        <f>Inputs!AP89</f>
        <v>-</v>
      </c>
      <c r="AO375" s="179" t="str">
        <f>Inputs!AQ89</f>
        <v>-</v>
      </c>
      <c r="AP375" s="179" t="str">
        <f>Inputs!P89</f>
        <v>-</v>
      </c>
      <c r="AQ375" s="179" t="str">
        <f>Inputs!AR89</f>
        <v>-</v>
      </c>
      <c r="AR375" s="179" t="str">
        <f>Inputs!AS89</f>
        <v>-</v>
      </c>
      <c r="AS375" s="179" t="str">
        <f>Inputs!Q89</f>
        <v>-</v>
      </c>
      <c r="AT375" s="163"/>
    </row>
    <row r="376">
      <c r="A376" s="81"/>
      <c r="B376" s="81"/>
      <c r="C376" s="90"/>
      <c r="D376" s="90"/>
      <c r="E376" s="140" t="s">
        <v>703</v>
      </c>
      <c r="F376" s="172" t="str">
        <f>Inputs!D90:F90</f>
        <v>%</v>
      </c>
      <c r="G376" s="175" t="str">
        <f>Inputs!E90:G90</f>
        <v>input</v>
      </c>
      <c r="H376" s="176">
        <f>Inputs!H90</f>
        <v>0.35</v>
      </c>
      <c r="I376" s="179" t="str">
        <f>Inputs!R90</f>
        <v>-</v>
      </c>
      <c r="J376" s="179" t="str">
        <f>Inputs!S90</f>
        <v>-</v>
      </c>
      <c r="K376" s="179" t="str">
        <f>Inputs!T90</f>
        <v>-</v>
      </c>
      <c r="L376" s="179" t="str">
        <f>Inputs!AH90</f>
        <v>-</v>
      </c>
      <c r="M376" s="179" t="str">
        <f>Inputs!U90</f>
        <v>-</v>
      </c>
      <c r="N376" s="179" t="str">
        <f>Inputs!I90</f>
        <v>-</v>
      </c>
      <c r="O376" s="179" t="str">
        <f>Inputs!V90</f>
        <v>-</v>
      </c>
      <c r="P376" s="179" t="str">
        <f>Inputs!W90</f>
        <v>-</v>
      </c>
      <c r="Q376" s="179" t="str">
        <f>Inputs!X90</f>
        <v>-</v>
      </c>
      <c r="R376" s="179" t="str">
        <f>Inputs!Y90</f>
        <v>-</v>
      </c>
      <c r="S376" s="179" t="str">
        <f>Inputs!Z90</f>
        <v>-</v>
      </c>
      <c r="T376" s="149" t="str">
        <f>Inputs!AA90</f>
        <v>-</v>
      </c>
      <c r="U376" s="179" t="str">
        <f>Inputs!AB90</f>
        <v>-</v>
      </c>
      <c r="V376" s="179" t="str">
        <f>Inputs!AC90</f>
        <v>-</v>
      </c>
      <c r="W376" s="179" t="str">
        <f>Inputs!AD90</f>
        <v>-</v>
      </c>
      <c r="X376" s="179" t="str">
        <f>Inputs!AE90</f>
        <v>-</v>
      </c>
      <c r="Y376" s="179" t="str">
        <f>Inputs!J90</f>
        <v>-</v>
      </c>
      <c r="Z376" s="179" t="str">
        <f>Inputs!AF90</f>
        <v>-</v>
      </c>
      <c r="AA376" s="179" t="str">
        <f>Inputs!K90</f>
        <v>-</v>
      </c>
      <c r="AB376" s="179" t="str">
        <f>Inputs!L90</f>
        <v>-</v>
      </c>
      <c r="AC376" s="179" t="str">
        <f>Inputs!M90</f>
        <v>-</v>
      </c>
      <c r="AD376" s="179" t="str">
        <f>Inputs!N90</f>
        <v>-</v>
      </c>
      <c r="AE376" s="179" t="str">
        <f>Inputs!O90</f>
        <v>-</v>
      </c>
      <c r="AF376" s="179" t="str">
        <f>Inputs!AG90</f>
        <v>-</v>
      </c>
      <c r="AG376" s="179" t="str">
        <f>Inputs!AI90</f>
        <v>-</v>
      </c>
      <c r="AH376" s="179" t="str">
        <f>Inputs!AJ90</f>
        <v>-</v>
      </c>
      <c r="AI376" s="179" t="str">
        <f>Inputs!AK90</f>
        <v>-</v>
      </c>
      <c r="AJ376" s="179" t="str">
        <f>Inputs!AL90</f>
        <v>-</v>
      </c>
      <c r="AK376" s="179" t="str">
        <f>Inputs!AM90</f>
        <v>-</v>
      </c>
      <c r="AL376" s="179" t="str">
        <f>Inputs!AN90</f>
        <v>-</v>
      </c>
      <c r="AM376" s="179" t="str">
        <f>Inputs!AO90</f>
        <v>-</v>
      </c>
      <c r="AN376" s="179" t="str">
        <f>Inputs!AP90</f>
        <v>-</v>
      </c>
      <c r="AO376" s="179" t="str">
        <f>Inputs!AQ90</f>
        <v>-</v>
      </c>
      <c r="AP376" s="179" t="str">
        <f>Inputs!P90</f>
        <v>-</v>
      </c>
      <c r="AQ376" s="179" t="str">
        <f>Inputs!AR90</f>
        <v>-</v>
      </c>
      <c r="AR376" s="179" t="str">
        <f>Inputs!AS90</f>
        <v>-</v>
      </c>
      <c r="AS376" s="179" t="str">
        <f>Inputs!Q90</f>
        <v>-</v>
      </c>
      <c r="AT376" s="163"/>
    </row>
    <row r="377">
      <c r="A377" s="81"/>
      <c r="B377" s="81"/>
      <c r="C377" s="90"/>
      <c r="D377" s="90"/>
      <c r="E377" s="140" t="s">
        <v>707</v>
      </c>
      <c r="F377" s="172" t="str">
        <f>Inputs!D91:F91</f>
        <v>%</v>
      </c>
      <c r="G377" s="175" t="str">
        <f>Inputs!E91:G91</f>
        <v>input</v>
      </c>
      <c r="H377" s="176">
        <f>Inputs!H91</f>
        <v>0.55</v>
      </c>
      <c r="I377" s="179" t="str">
        <f>Inputs!R91</f>
        <v>-</v>
      </c>
      <c r="J377" s="179" t="str">
        <f>Inputs!S91</f>
        <v>-</v>
      </c>
      <c r="K377" s="179" t="str">
        <f>Inputs!T91</f>
        <v>-</v>
      </c>
      <c r="L377" s="179" t="str">
        <f>Inputs!AH91</f>
        <v>-</v>
      </c>
      <c r="M377" s="179" t="str">
        <f>Inputs!U91</f>
        <v>-</v>
      </c>
      <c r="N377" s="179" t="str">
        <f>Inputs!I91</f>
        <v>-</v>
      </c>
      <c r="O377" s="179" t="str">
        <f>Inputs!V91</f>
        <v>-</v>
      </c>
      <c r="P377" s="179" t="str">
        <f>Inputs!W91</f>
        <v>-</v>
      </c>
      <c r="Q377" s="179" t="str">
        <f>Inputs!X91</f>
        <v>-</v>
      </c>
      <c r="R377" s="179" t="str">
        <f>Inputs!Y91</f>
        <v>-</v>
      </c>
      <c r="S377" s="179" t="str">
        <f>Inputs!Z91</f>
        <v>-</v>
      </c>
      <c r="T377" s="149" t="str">
        <f>Inputs!AA91</f>
        <v>-</v>
      </c>
      <c r="U377" s="179" t="str">
        <f>Inputs!AB91</f>
        <v>-</v>
      </c>
      <c r="V377" s="179" t="str">
        <f>Inputs!AC91</f>
        <v>-</v>
      </c>
      <c r="W377" s="179" t="str">
        <f>Inputs!AD91</f>
        <v>-</v>
      </c>
      <c r="X377" s="179" t="str">
        <f>Inputs!AE91</f>
        <v>-</v>
      </c>
      <c r="Y377" s="179" t="str">
        <f>Inputs!J91</f>
        <v>-</v>
      </c>
      <c r="Z377" s="179" t="str">
        <f>Inputs!AF91</f>
        <v>-</v>
      </c>
      <c r="AA377" s="179" t="str">
        <f>Inputs!K91</f>
        <v>-</v>
      </c>
      <c r="AB377" s="179" t="str">
        <f>Inputs!L91</f>
        <v>-</v>
      </c>
      <c r="AC377" s="179" t="str">
        <f>Inputs!M91</f>
        <v>-</v>
      </c>
      <c r="AD377" s="179" t="str">
        <f>Inputs!N91</f>
        <v>-</v>
      </c>
      <c r="AE377" s="179" t="str">
        <f>Inputs!O91</f>
        <v>-</v>
      </c>
      <c r="AF377" s="179" t="str">
        <f>Inputs!AG91</f>
        <v>-</v>
      </c>
      <c r="AG377" s="179" t="str">
        <f>Inputs!AI91</f>
        <v>-</v>
      </c>
      <c r="AH377" s="179" t="str">
        <f>Inputs!AJ91</f>
        <v>-</v>
      </c>
      <c r="AI377" s="179" t="str">
        <f>Inputs!AK91</f>
        <v>-</v>
      </c>
      <c r="AJ377" s="179" t="str">
        <f>Inputs!AL91</f>
        <v>-</v>
      </c>
      <c r="AK377" s="179" t="str">
        <f>Inputs!AM91</f>
        <v>-</v>
      </c>
      <c r="AL377" s="179" t="str">
        <f>Inputs!AN91</f>
        <v>-</v>
      </c>
      <c r="AM377" s="179" t="str">
        <f>Inputs!AO91</f>
        <v>-</v>
      </c>
      <c r="AN377" s="179" t="str">
        <f>Inputs!AP91</f>
        <v>-</v>
      </c>
      <c r="AO377" s="179" t="str">
        <f>Inputs!AQ91</f>
        <v>-</v>
      </c>
      <c r="AP377" s="179" t="str">
        <f>Inputs!P91</f>
        <v>-</v>
      </c>
      <c r="AQ377" s="179" t="str">
        <f>Inputs!AR91</f>
        <v>-</v>
      </c>
      <c r="AR377" s="179" t="str">
        <f>Inputs!AS91</f>
        <v>-</v>
      </c>
      <c r="AS377" s="179" t="str">
        <f>Inputs!Q91</f>
        <v>-</v>
      </c>
      <c r="AT377" s="163"/>
    </row>
    <row r="378">
      <c r="A378" s="81"/>
      <c r="B378" s="81"/>
      <c r="C378" s="90"/>
      <c r="D378" s="90"/>
      <c r="E378" s="140" t="s">
        <v>711</v>
      </c>
      <c r="F378" s="172" t="str">
        <f>Inputs!D92:F92</f>
        <v>%</v>
      </c>
      <c r="G378" s="175" t="str">
        <f>Inputs!E92:G92</f>
        <v>input</v>
      </c>
      <c r="H378" s="176">
        <f>Inputs!H92</f>
        <v>0.1</v>
      </c>
      <c r="I378" s="179" t="str">
        <f>Inputs!R92</f>
        <v>-</v>
      </c>
      <c r="J378" s="179" t="str">
        <f>Inputs!S92</f>
        <v>-</v>
      </c>
      <c r="K378" s="179" t="str">
        <f>Inputs!T92</f>
        <v>-</v>
      </c>
      <c r="L378" s="179" t="str">
        <f>Inputs!AH92</f>
        <v>-</v>
      </c>
      <c r="M378" s="179" t="str">
        <f>Inputs!U92</f>
        <v>-</v>
      </c>
      <c r="N378" s="179" t="str">
        <f>Inputs!I92</f>
        <v>-</v>
      </c>
      <c r="O378" s="179" t="str">
        <f>Inputs!V92</f>
        <v>-</v>
      </c>
      <c r="P378" s="179" t="str">
        <f>Inputs!W92</f>
        <v>-</v>
      </c>
      <c r="Q378" s="179" t="str">
        <f>Inputs!X92</f>
        <v>-</v>
      </c>
      <c r="R378" s="179" t="str">
        <f>Inputs!Y92</f>
        <v>-</v>
      </c>
      <c r="S378" s="179" t="str">
        <f>Inputs!Z92</f>
        <v>-</v>
      </c>
      <c r="T378" s="149" t="str">
        <f>Inputs!AA92</f>
        <v>-</v>
      </c>
      <c r="U378" s="179" t="str">
        <f>Inputs!AB92</f>
        <v>-</v>
      </c>
      <c r="V378" s="179" t="str">
        <f>Inputs!AC92</f>
        <v>-</v>
      </c>
      <c r="W378" s="179" t="str">
        <f>Inputs!AD92</f>
        <v>-</v>
      </c>
      <c r="X378" s="179" t="str">
        <f>Inputs!AE92</f>
        <v>-</v>
      </c>
      <c r="Y378" s="179" t="str">
        <f>Inputs!J92</f>
        <v>-</v>
      </c>
      <c r="Z378" s="179" t="str">
        <f>Inputs!AF92</f>
        <v>-</v>
      </c>
      <c r="AA378" s="179" t="str">
        <f>Inputs!K92</f>
        <v>-</v>
      </c>
      <c r="AB378" s="179" t="str">
        <f>Inputs!L92</f>
        <v>-</v>
      </c>
      <c r="AC378" s="179" t="str">
        <f>Inputs!M92</f>
        <v>-</v>
      </c>
      <c r="AD378" s="179" t="str">
        <f>Inputs!N92</f>
        <v>-</v>
      </c>
      <c r="AE378" s="179" t="str">
        <f>Inputs!O92</f>
        <v>-</v>
      </c>
      <c r="AF378" s="179" t="str">
        <f>Inputs!AG92</f>
        <v>-</v>
      </c>
      <c r="AG378" s="179" t="str">
        <f>Inputs!AI92</f>
        <v>-</v>
      </c>
      <c r="AH378" s="179" t="str">
        <f>Inputs!AJ92</f>
        <v>-</v>
      </c>
      <c r="AI378" s="179" t="str">
        <f>Inputs!AK92</f>
        <v>-</v>
      </c>
      <c r="AJ378" s="179" t="str">
        <f>Inputs!AL92</f>
        <v>-</v>
      </c>
      <c r="AK378" s="179" t="str">
        <f>Inputs!AM92</f>
        <v>-</v>
      </c>
      <c r="AL378" s="179" t="str">
        <f>Inputs!AN92</f>
        <v>-</v>
      </c>
      <c r="AM378" s="179" t="str">
        <f>Inputs!AO92</f>
        <v>-</v>
      </c>
      <c r="AN378" s="179" t="str">
        <f>Inputs!AP92</f>
        <v>-</v>
      </c>
      <c r="AO378" s="179" t="str">
        <f>Inputs!AQ92</f>
        <v>-</v>
      </c>
      <c r="AP378" s="179" t="str">
        <f>Inputs!P92</f>
        <v>-</v>
      </c>
      <c r="AQ378" s="179" t="str">
        <f>Inputs!AR92</f>
        <v>-</v>
      </c>
      <c r="AR378" s="179" t="str">
        <f>Inputs!AS92</f>
        <v>-</v>
      </c>
      <c r="AS378" s="179" t="str">
        <f>Inputs!Q92</f>
        <v>-</v>
      </c>
      <c r="AT378" s="163"/>
    </row>
    <row r="379">
      <c r="A379" s="81"/>
      <c r="B379" s="81"/>
      <c r="C379" s="90"/>
      <c r="D379" s="90"/>
      <c r="E379" s="140" t="s">
        <v>716</v>
      </c>
      <c r="F379" s="172" t="str">
        <f>Inputs!D93:F93</f>
        <v>%</v>
      </c>
      <c r="G379" s="175" t="str">
        <f>Inputs!E93:G93</f>
        <v>input</v>
      </c>
      <c r="H379" s="176">
        <f>Inputs!H93</f>
        <v>0.85</v>
      </c>
      <c r="I379" s="179" t="str">
        <f>Inputs!R93</f>
        <v>-</v>
      </c>
      <c r="J379" s="179" t="str">
        <f>Inputs!S93</f>
        <v>-</v>
      </c>
      <c r="K379" s="179" t="str">
        <f>Inputs!T93</f>
        <v>-</v>
      </c>
      <c r="L379" s="179" t="str">
        <f>Inputs!AH93</f>
        <v>-</v>
      </c>
      <c r="M379" s="179" t="str">
        <f>Inputs!U93</f>
        <v>-</v>
      </c>
      <c r="N379" s="179" t="str">
        <f>Inputs!I93</f>
        <v>-</v>
      </c>
      <c r="O379" s="179" t="str">
        <f>Inputs!V93</f>
        <v>-</v>
      </c>
      <c r="P379" s="179" t="str">
        <f>Inputs!W93</f>
        <v>-</v>
      </c>
      <c r="Q379" s="179" t="str">
        <f>Inputs!X93</f>
        <v>-</v>
      </c>
      <c r="R379" s="179" t="str">
        <f>Inputs!Y93</f>
        <v>-</v>
      </c>
      <c r="S379" s="179" t="str">
        <f>Inputs!Z93</f>
        <v>-</v>
      </c>
      <c r="T379" s="149" t="str">
        <f>Inputs!AA93</f>
        <v>-</v>
      </c>
      <c r="U379" s="179" t="str">
        <f>Inputs!AB93</f>
        <v>-</v>
      </c>
      <c r="V379" s="179" t="str">
        <f>Inputs!AC93</f>
        <v>-</v>
      </c>
      <c r="W379" s="179" t="str">
        <f>Inputs!AD93</f>
        <v>-</v>
      </c>
      <c r="X379" s="179" t="str">
        <f>Inputs!AE93</f>
        <v>-</v>
      </c>
      <c r="Y379" s="179" t="str">
        <f>Inputs!J93</f>
        <v>-</v>
      </c>
      <c r="Z379" s="179" t="str">
        <f>Inputs!AF93</f>
        <v>-</v>
      </c>
      <c r="AA379" s="179" t="str">
        <f>Inputs!K93</f>
        <v>-</v>
      </c>
      <c r="AB379" s="179" t="str">
        <f>Inputs!L93</f>
        <v>-</v>
      </c>
      <c r="AC379" s="179" t="str">
        <f>Inputs!M93</f>
        <v>-</v>
      </c>
      <c r="AD379" s="179" t="str">
        <f>Inputs!N93</f>
        <v>-</v>
      </c>
      <c r="AE379" s="179" t="str">
        <f>Inputs!O93</f>
        <v>-</v>
      </c>
      <c r="AF379" s="179" t="str">
        <f>Inputs!AG93</f>
        <v>-</v>
      </c>
      <c r="AG379" s="179" t="str">
        <f>Inputs!AI93</f>
        <v>-</v>
      </c>
      <c r="AH379" s="179" t="str">
        <f>Inputs!AJ93</f>
        <v>-</v>
      </c>
      <c r="AI379" s="179" t="str">
        <f>Inputs!AK93</f>
        <v>-</v>
      </c>
      <c r="AJ379" s="179" t="str">
        <f>Inputs!AL93</f>
        <v>-</v>
      </c>
      <c r="AK379" s="179" t="str">
        <f>Inputs!AM93</f>
        <v>-</v>
      </c>
      <c r="AL379" s="179" t="str">
        <f>Inputs!AN93</f>
        <v>-</v>
      </c>
      <c r="AM379" s="179" t="str">
        <f>Inputs!AO93</f>
        <v>-</v>
      </c>
      <c r="AN379" s="179" t="str">
        <f>Inputs!AP93</f>
        <v>-</v>
      </c>
      <c r="AO379" s="179" t="str">
        <f>Inputs!AQ93</f>
        <v>-</v>
      </c>
      <c r="AP379" s="179" t="str">
        <f>Inputs!P93</f>
        <v>-</v>
      </c>
      <c r="AQ379" s="179" t="str">
        <f>Inputs!AR93</f>
        <v>-</v>
      </c>
      <c r="AR379" s="179" t="str">
        <f>Inputs!AS93</f>
        <v>-</v>
      </c>
      <c r="AS379" s="179" t="str">
        <f>Inputs!Q93</f>
        <v>-</v>
      </c>
      <c r="AT379" s="163"/>
    </row>
    <row r="380">
      <c r="A380" s="81"/>
      <c r="B380" s="81"/>
      <c r="C380" s="90"/>
      <c r="D380" s="90"/>
      <c r="E380" s="140" t="s">
        <v>721</v>
      </c>
      <c r="F380" s="172" t="str">
        <f>Inputs!D94:F94</f>
        <v>%</v>
      </c>
      <c r="G380" s="175" t="str">
        <f>Inputs!E94:G94</f>
        <v>input</v>
      </c>
      <c r="H380" s="176">
        <f>Inputs!H94</f>
        <v>0.15</v>
      </c>
      <c r="I380" s="179" t="str">
        <f>Inputs!R94</f>
        <v>-</v>
      </c>
      <c r="J380" s="179" t="str">
        <f>Inputs!S94</f>
        <v>-</v>
      </c>
      <c r="K380" s="179" t="str">
        <f>Inputs!T94</f>
        <v>-</v>
      </c>
      <c r="L380" s="179" t="str">
        <f>Inputs!AH94</f>
        <v>-</v>
      </c>
      <c r="M380" s="179" t="str">
        <f>Inputs!U94</f>
        <v>-</v>
      </c>
      <c r="N380" s="179" t="str">
        <f>Inputs!I94</f>
        <v>-</v>
      </c>
      <c r="O380" s="179" t="str">
        <f>Inputs!V94</f>
        <v>-</v>
      </c>
      <c r="P380" s="179" t="str">
        <f>Inputs!W94</f>
        <v>-</v>
      </c>
      <c r="Q380" s="179" t="str">
        <f>Inputs!X94</f>
        <v>-</v>
      </c>
      <c r="R380" s="179" t="str">
        <f>Inputs!Y94</f>
        <v>-</v>
      </c>
      <c r="S380" s="179" t="str">
        <f>Inputs!Z94</f>
        <v>-</v>
      </c>
      <c r="T380" s="149" t="str">
        <f>Inputs!AA94</f>
        <v>-</v>
      </c>
      <c r="U380" s="179" t="str">
        <f>Inputs!AB94</f>
        <v>-</v>
      </c>
      <c r="V380" s="179" t="str">
        <f>Inputs!AC94</f>
        <v>-</v>
      </c>
      <c r="W380" s="179" t="str">
        <f>Inputs!AD94</f>
        <v>-</v>
      </c>
      <c r="X380" s="179" t="str">
        <f>Inputs!AE94</f>
        <v>-</v>
      </c>
      <c r="Y380" s="179" t="str">
        <f>Inputs!J94</f>
        <v>-</v>
      </c>
      <c r="Z380" s="179" t="str">
        <f>Inputs!AF94</f>
        <v>-</v>
      </c>
      <c r="AA380" s="179" t="str">
        <f>Inputs!K94</f>
        <v>-</v>
      </c>
      <c r="AB380" s="179" t="str">
        <f>Inputs!L94</f>
        <v>-</v>
      </c>
      <c r="AC380" s="179" t="str">
        <f>Inputs!M94</f>
        <v>-</v>
      </c>
      <c r="AD380" s="179" t="str">
        <f>Inputs!N94</f>
        <v>-</v>
      </c>
      <c r="AE380" s="179" t="str">
        <f>Inputs!O94</f>
        <v>-</v>
      </c>
      <c r="AF380" s="179" t="str">
        <f>Inputs!AG94</f>
        <v>-</v>
      </c>
      <c r="AG380" s="179" t="str">
        <f>Inputs!AI94</f>
        <v>-</v>
      </c>
      <c r="AH380" s="179" t="str">
        <f>Inputs!AJ94</f>
        <v>-</v>
      </c>
      <c r="AI380" s="179" t="str">
        <f>Inputs!AK94</f>
        <v>-</v>
      </c>
      <c r="AJ380" s="179" t="str">
        <f>Inputs!AL94</f>
        <v>-</v>
      </c>
      <c r="AK380" s="179" t="str">
        <f>Inputs!AM94</f>
        <v>-</v>
      </c>
      <c r="AL380" s="179" t="str">
        <f>Inputs!AN94</f>
        <v>-</v>
      </c>
      <c r="AM380" s="179" t="str">
        <f>Inputs!AO94</f>
        <v>-</v>
      </c>
      <c r="AN380" s="179" t="str">
        <f>Inputs!AP94</f>
        <v>-</v>
      </c>
      <c r="AO380" s="179" t="str">
        <f>Inputs!AQ94</f>
        <v>-</v>
      </c>
      <c r="AP380" s="179" t="str">
        <f>Inputs!P94</f>
        <v>-</v>
      </c>
      <c r="AQ380" s="179" t="str">
        <f>Inputs!AR94</f>
        <v>-</v>
      </c>
      <c r="AR380" s="179" t="str">
        <f>Inputs!AS94</f>
        <v>-</v>
      </c>
      <c r="AS380" s="179" t="str">
        <f>Inputs!Q94</f>
        <v>-</v>
      </c>
      <c r="AT380" s="163"/>
    </row>
    <row r="381">
      <c r="A381" s="81"/>
      <c r="B381" s="81"/>
      <c r="C381" s="90"/>
      <c r="D381" s="90"/>
      <c r="E381" s="237" t="s">
        <v>729</v>
      </c>
      <c r="F381" s="231" t="str">
        <f>Inputs!D95:F95</f>
        <v>%</v>
      </c>
      <c r="G381" s="233" t="str">
        <f>Inputs!E95:G95</f>
        <v>input</v>
      </c>
      <c r="H381" s="234">
        <f>Inputs!H95</f>
        <v>1</v>
      </c>
      <c r="I381" s="235" t="str">
        <f>Inputs!R95</f>
        <v>-</v>
      </c>
      <c r="J381" s="235" t="str">
        <f>Inputs!S95</f>
        <v>-</v>
      </c>
      <c r="K381" s="235" t="str">
        <f>Inputs!T95</f>
        <v>-</v>
      </c>
      <c r="L381" s="235" t="str">
        <f>Inputs!AH95</f>
        <v>-</v>
      </c>
      <c r="M381" s="235" t="str">
        <f>Inputs!U95</f>
        <v>-</v>
      </c>
      <c r="N381" s="235" t="str">
        <f>Inputs!I95</f>
        <v>-</v>
      </c>
      <c r="O381" s="235" t="str">
        <f>Inputs!V95</f>
        <v>-</v>
      </c>
      <c r="P381" s="235" t="str">
        <f>Inputs!W95</f>
        <v>-</v>
      </c>
      <c r="Q381" s="235" t="str">
        <f>Inputs!X95</f>
        <v>-</v>
      </c>
      <c r="R381" s="235" t="str">
        <f>Inputs!Y95</f>
        <v>-</v>
      </c>
      <c r="S381" s="235" t="str">
        <f>Inputs!Z95</f>
        <v>-</v>
      </c>
      <c r="T381" s="240" t="str">
        <f>Inputs!AA95</f>
        <v>-</v>
      </c>
      <c r="U381" s="235" t="str">
        <f>Inputs!AB95</f>
        <v>-</v>
      </c>
      <c r="V381" s="235" t="str">
        <f>Inputs!AC95</f>
        <v>-</v>
      </c>
      <c r="W381" s="235" t="str">
        <f>Inputs!AD95</f>
        <v>-</v>
      </c>
      <c r="X381" s="235" t="str">
        <f>Inputs!AE95</f>
        <v>-</v>
      </c>
      <c r="Y381" s="235" t="str">
        <f>Inputs!J95</f>
        <v>-</v>
      </c>
      <c r="Z381" s="235" t="str">
        <f>Inputs!AF95</f>
        <v>-</v>
      </c>
      <c r="AA381" s="235" t="str">
        <f>Inputs!K95</f>
        <v>-</v>
      </c>
      <c r="AB381" s="235" t="str">
        <f>Inputs!L95</f>
        <v>-</v>
      </c>
      <c r="AC381" s="235" t="str">
        <f>Inputs!M95</f>
        <v>-</v>
      </c>
      <c r="AD381" s="235" t="str">
        <f>Inputs!N95</f>
        <v>-</v>
      </c>
      <c r="AE381" s="235" t="str">
        <f>Inputs!O95</f>
        <v>-</v>
      </c>
      <c r="AF381" s="235" t="str">
        <f>Inputs!AG95</f>
        <v>-</v>
      </c>
      <c r="AG381" s="235" t="str">
        <f>Inputs!AI95</f>
        <v>-</v>
      </c>
      <c r="AH381" s="235" t="str">
        <f>Inputs!AJ95</f>
        <v>-</v>
      </c>
      <c r="AI381" s="235" t="str">
        <f>Inputs!AK95</f>
        <v>-</v>
      </c>
      <c r="AJ381" s="235" t="str">
        <f>Inputs!AL95</f>
        <v>-</v>
      </c>
      <c r="AK381" s="235" t="str">
        <f>Inputs!AM95</f>
        <v>-</v>
      </c>
      <c r="AL381" s="235" t="str">
        <f>Inputs!AN95</f>
        <v>-</v>
      </c>
      <c r="AM381" s="235" t="str">
        <f>Inputs!AO95</f>
        <v>-</v>
      </c>
      <c r="AN381" s="235" t="str">
        <f>Inputs!AP95</f>
        <v>-</v>
      </c>
      <c r="AO381" s="235" t="str">
        <f>Inputs!AQ95</f>
        <v>-</v>
      </c>
      <c r="AP381" s="235" t="str">
        <f>Inputs!P95</f>
        <v>-</v>
      </c>
      <c r="AQ381" s="235" t="str">
        <f>Inputs!AR95</f>
        <v>-</v>
      </c>
      <c r="AR381" s="235" t="str">
        <f>Inputs!AS95</f>
        <v>-</v>
      </c>
      <c r="AS381" s="235" t="str">
        <f>Inputs!Q95</f>
        <v>-</v>
      </c>
      <c r="AT381" s="248"/>
    </row>
    <row r="382">
      <c r="A382" s="81"/>
      <c r="B382" s="81"/>
      <c r="C382" s="90"/>
      <c r="D382" s="90"/>
      <c r="E382" s="243"/>
      <c r="F382" s="83"/>
      <c r="G382" s="135"/>
      <c r="H382" s="85"/>
      <c r="I382" s="86"/>
      <c r="J382" s="86"/>
      <c r="K382" s="86"/>
      <c r="L382" s="86"/>
      <c r="M382" s="86"/>
      <c r="N382" s="86"/>
      <c r="O382" s="86"/>
      <c r="P382" s="86"/>
      <c r="Q382" s="86"/>
      <c r="R382" s="86"/>
      <c r="S382" s="86"/>
      <c r="T382" s="111"/>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c r="AQ382" s="86"/>
      <c r="AR382" s="86"/>
      <c r="AS382" s="86"/>
      <c r="AT382" s="88"/>
    </row>
    <row r="383">
      <c r="A383" s="81"/>
      <c r="B383" s="81"/>
      <c r="C383" s="90" t="s">
        <v>209</v>
      </c>
      <c r="F383" s="83"/>
      <c r="G383" s="135"/>
      <c r="H383" s="85"/>
      <c r="I383" s="86"/>
      <c r="J383" s="86"/>
      <c r="K383" s="86"/>
      <c r="L383" s="86"/>
      <c r="M383" s="86"/>
      <c r="N383" s="86"/>
      <c r="O383" s="86"/>
      <c r="P383" s="86"/>
      <c r="Q383" s="86"/>
      <c r="R383" s="86"/>
      <c r="S383" s="86"/>
      <c r="T383" s="111"/>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c r="AQ383" s="86"/>
      <c r="AR383" s="86"/>
      <c r="AS383" s="86"/>
      <c r="AT383" s="88"/>
    </row>
    <row r="384">
      <c r="A384" s="81"/>
      <c r="B384" s="81"/>
      <c r="C384" s="90"/>
      <c r="D384" s="90"/>
      <c r="E384" s="113" t="s">
        <v>210</v>
      </c>
      <c r="F384" s="189" t="str">
        <f>F365</f>
        <v>%</v>
      </c>
      <c r="G384" s="271" t="s">
        <v>71</v>
      </c>
      <c r="H384" s="295" t="str">
        <f t="shared" ref="H384:AS384" si="155">H365</f>
        <v>-</v>
      </c>
      <c r="I384" s="119">
        <f t="shared" si="155"/>
        <v>0.2130494036</v>
      </c>
      <c r="J384" s="119">
        <f t="shared" si="155"/>
        <v>0.1534772233</v>
      </c>
      <c r="K384" s="119">
        <f t="shared" si="155"/>
        <v>0.2411274816</v>
      </c>
      <c r="L384" s="119">
        <f t="shared" si="155"/>
        <v>0.1347125857</v>
      </c>
      <c r="M384" s="119">
        <f t="shared" si="155"/>
        <v>0.152630811</v>
      </c>
      <c r="N384" s="119">
        <f t="shared" si="155"/>
        <v>0.2059472805</v>
      </c>
      <c r="O384" s="119">
        <f t="shared" si="155"/>
        <v>0.1911598856</v>
      </c>
      <c r="P384" s="119">
        <f t="shared" si="155"/>
        <v>0.2052551751</v>
      </c>
      <c r="Q384" s="119">
        <f t="shared" si="155"/>
        <v>0.2399849055</v>
      </c>
      <c r="R384" s="119">
        <f t="shared" si="155"/>
        <v>0.125972099</v>
      </c>
      <c r="S384" s="119">
        <f t="shared" si="155"/>
        <v>0.1609025831</v>
      </c>
      <c r="T384" s="119">
        <f t="shared" si="155"/>
        <v>0.1194079841</v>
      </c>
      <c r="U384" s="119">
        <f t="shared" si="155"/>
        <v>0.1133233803</v>
      </c>
      <c r="V384" s="119">
        <f t="shared" si="155"/>
        <v>0.09678427807</v>
      </c>
      <c r="W384" s="119">
        <f t="shared" si="155"/>
        <v>0.13204095</v>
      </c>
      <c r="X384" s="119">
        <f t="shared" si="155"/>
        <v>0.143871286</v>
      </c>
      <c r="Y384" s="119">
        <f t="shared" si="155"/>
        <v>0.1400925484</v>
      </c>
      <c r="Z384" s="119">
        <f t="shared" si="155"/>
        <v>0.1355051871</v>
      </c>
      <c r="AA384" s="119">
        <f t="shared" si="155"/>
        <v>0.1517847974</v>
      </c>
      <c r="AB384" s="119">
        <f t="shared" si="155"/>
        <v>0.1425932484</v>
      </c>
      <c r="AC384" s="119">
        <f t="shared" si="155"/>
        <v>0.1588164537</v>
      </c>
      <c r="AD384" s="119">
        <f t="shared" si="155"/>
        <v>0.1418972091</v>
      </c>
      <c r="AE384" s="119">
        <f t="shared" si="155"/>
        <v>0.1467348201</v>
      </c>
      <c r="AF384" s="119">
        <f t="shared" si="155"/>
        <v>0.14907855</v>
      </c>
      <c r="AG384" s="119">
        <f t="shared" si="155"/>
        <v>0.1011646743</v>
      </c>
      <c r="AH384" s="119">
        <f t="shared" si="155"/>
        <v>0.1110040628</v>
      </c>
      <c r="AI384" s="119">
        <f t="shared" si="155"/>
        <v>0.1273899107</v>
      </c>
      <c r="AJ384" s="119">
        <f t="shared" si="155"/>
        <v>0.142383327</v>
      </c>
      <c r="AK384" s="119">
        <f t="shared" si="155"/>
        <v>0.1358118583</v>
      </c>
      <c r="AL384" s="119">
        <f t="shared" si="155"/>
        <v>0.1215179611</v>
      </c>
      <c r="AM384" s="119">
        <f t="shared" si="155"/>
        <v>0.1291942197</v>
      </c>
      <c r="AN384" s="119">
        <f t="shared" si="155"/>
        <v>0.1449623727</v>
      </c>
      <c r="AO384" s="119">
        <f t="shared" si="155"/>
        <v>0.09514353522</v>
      </c>
      <c r="AP384" s="119">
        <f t="shared" si="155"/>
        <v>0.1596005723</v>
      </c>
      <c r="AQ384" s="119">
        <f t="shared" si="155"/>
        <v>0.1349291869</v>
      </c>
      <c r="AR384" s="119">
        <f t="shared" si="155"/>
        <v>0.1372147362</v>
      </c>
      <c r="AS384" s="119">
        <f t="shared" si="155"/>
        <v>0.1951505796</v>
      </c>
      <c r="AT384" s="136"/>
    </row>
    <row r="385">
      <c r="A385" s="81"/>
      <c r="B385" s="81"/>
      <c r="C385" s="90"/>
      <c r="D385" s="90"/>
      <c r="E385" s="140" t="s">
        <v>220</v>
      </c>
      <c r="F385" s="215" t="s">
        <v>122</v>
      </c>
      <c r="G385" s="276" t="s">
        <v>149</v>
      </c>
      <c r="H385" s="187" t="s">
        <v>150</v>
      </c>
      <c r="I385" s="218">
        <f t="shared" ref="I385:AS385" si="156">SUM(I$366:I$367)*$H373</f>
        <v>0.05313105104</v>
      </c>
      <c r="J385" s="218">
        <f t="shared" si="156"/>
        <v>0.06606296044</v>
      </c>
      <c r="K385" s="218">
        <f t="shared" si="156"/>
        <v>0.05930875644</v>
      </c>
      <c r="L385" s="218">
        <f t="shared" si="156"/>
        <v>0.0706274082</v>
      </c>
      <c r="M385" s="218">
        <f t="shared" si="156"/>
        <v>0.05782502308</v>
      </c>
      <c r="N385" s="218">
        <f t="shared" si="156"/>
        <v>0.06288838781</v>
      </c>
      <c r="O385" s="218">
        <f t="shared" si="156"/>
        <v>0.07047544167</v>
      </c>
      <c r="P385" s="218">
        <f t="shared" si="156"/>
        <v>0.06018592048</v>
      </c>
      <c r="Q385" s="218">
        <f t="shared" si="156"/>
        <v>0.06243552596</v>
      </c>
      <c r="R385" s="218">
        <f t="shared" si="156"/>
        <v>0.05286993322</v>
      </c>
      <c r="S385" s="218">
        <f t="shared" si="156"/>
        <v>0.0541041895</v>
      </c>
      <c r="T385" s="218">
        <f t="shared" si="156"/>
        <v>0.07431319738</v>
      </c>
      <c r="U385" s="218">
        <f t="shared" si="156"/>
        <v>0.08685444157</v>
      </c>
      <c r="V385" s="218">
        <f t="shared" si="156"/>
        <v>0.08135209325</v>
      </c>
      <c r="W385" s="218">
        <f t="shared" si="156"/>
        <v>0.06096359258</v>
      </c>
      <c r="X385" s="218">
        <f t="shared" si="156"/>
        <v>0.08323897138</v>
      </c>
      <c r="Y385" s="218">
        <f t="shared" si="156"/>
        <v>0.07562192639</v>
      </c>
      <c r="Z385" s="218">
        <f t="shared" si="156"/>
        <v>0.06869371938</v>
      </c>
      <c r="AA385" s="218">
        <f t="shared" si="156"/>
        <v>0.06164883059</v>
      </c>
      <c r="AB385" s="218">
        <f t="shared" si="156"/>
        <v>0.06469276266</v>
      </c>
      <c r="AC385" s="218">
        <f t="shared" si="156"/>
        <v>0.05619318085</v>
      </c>
      <c r="AD385" s="218">
        <f t="shared" si="156"/>
        <v>0.07846176605</v>
      </c>
      <c r="AE385" s="218">
        <f t="shared" si="156"/>
        <v>0.0650115952</v>
      </c>
      <c r="AF385" s="218">
        <f t="shared" si="156"/>
        <v>0.06112330919</v>
      </c>
      <c r="AG385" s="218">
        <f t="shared" si="156"/>
        <v>0.1228499249</v>
      </c>
      <c r="AH385" s="218">
        <f t="shared" si="156"/>
        <v>0.08352599765</v>
      </c>
      <c r="AI385" s="218">
        <f t="shared" si="156"/>
        <v>0.06878605486</v>
      </c>
      <c r="AJ385" s="218">
        <f t="shared" si="156"/>
        <v>0.07266269474</v>
      </c>
      <c r="AK385" s="218">
        <f t="shared" si="156"/>
        <v>0.06765776003</v>
      </c>
      <c r="AL385" s="218">
        <f t="shared" si="156"/>
        <v>0.07779291999</v>
      </c>
      <c r="AM385" s="218">
        <f t="shared" si="156"/>
        <v>0.06099694221</v>
      </c>
      <c r="AN385" s="218">
        <f t="shared" si="156"/>
        <v>0.07257384224</v>
      </c>
      <c r="AO385" s="218">
        <f t="shared" si="156"/>
        <v>0.09628047141</v>
      </c>
      <c r="AP385" s="218">
        <f t="shared" si="156"/>
        <v>0.06131634697</v>
      </c>
      <c r="AQ385" s="218">
        <f t="shared" si="156"/>
        <v>0.06576119412</v>
      </c>
      <c r="AR385" s="218">
        <f t="shared" si="156"/>
        <v>0.0539035682</v>
      </c>
      <c r="AS385" s="218">
        <f t="shared" si="156"/>
        <v>0.07107528351</v>
      </c>
      <c r="AT385" s="163"/>
    </row>
    <row r="386">
      <c r="A386" s="81"/>
      <c r="B386" s="81"/>
      <c r="C386" s="90"/>
      <c r="D386" s="90"/>
      <c r="E386" s="140" t="s">
        <v>227</v>
      </c>
      <c r="F386" s="215" t="s">
        <v>122</v>
      </c>
      <c r="G386" s="276" t="s">
        <v>149</v>
      </c>
      <c r="H386" s="187" t="s">
        <v>150</v>
      </c>
      <c r="I386" s="218">
        <f t="shared" ref="I386:AS386" si="157">SUM(I$366:I$367)*$H374</f>
        <v>0.08349165163</v>
      </c>
      <c r="J386" s="218">
        <f t="shared" si="157"/>
        <v>0.1038132236</v>
      </c>
      <c r="K386" s="218">
        <f t="shared" si="157"/>
        <v>0.0931994744</v>
      </c>
      <c r="L386" s="218">
        <f t="shared" si="157"/>
        <v>0.1109859272</v>
      </c>
      <c r="M386" s="218">
        <f t="shared" si="157"/>
        <v>0.09086789341</v>
      </c>
      <c r="N386" s="218">
        <f t="shared" si="157"/>
        <v>0.09882460942</v>
      </c>
      <c r="O386" s="218">
        <f t="shared" si="157"/>
        <v>0.1107471226</v>
      </c>
      <c r="P386" s="218">
        <f t="shared" si="157"/>
        <v>0.09457787504</v>
      </c>
      <c r="Q386" s="218">
        <f t="shared" si="157"/>
        <v>0.09811296936</v>
      </c>
      <c r="R386" s="218">
        <f t="shared" si="157"/>
        <v>0.08308132363</v>
      </c>
      <c r="S386" s="218">
        <f t="shared" si="157"/>
        <v>0.08502086921</v>
      </c>
      <c r="T386" s="218">
        <f t="shared" si="157"/>
        <v>0.1167778816</v>
      </c>
      <c r="U386" s="218">
        <f t="shared" si="157"/>
        <v>0.136485551</v>
      </c>
      <c r="V386" s="218">
        <f t="shared" si="157"/>
        <v>0.1278390037</v>
      </c>
      <c r="W386" s="218">
        <f t="shared" si="157"/>
        <v>0.0957999312</v>
      </c>
      <c r="X386" s="218">
        <f t="shared" si="157"/>
        <v>0.1308040979</v>
      </c>
      <c r="Y386" s="218">
        <f t="shared" si="157"/>
        <v>0.1188344558</v>
      </c>
      <c r="Z386" s="218">
        <f t="shared" si="157"/>
        <v>0.1079472733</v>
      </c>
      <c r="AA386" s="218">
        <f t="shared" si="157"/>
        <v>0.09687673379</v>
      </c>
      <c r="AB386" s="218">
        <f t="shared" si="157"/>
        <v>0.1016600556</v>
      </c>
      <c r="AC386" s="218">
        <f t="shared" si="157"/>
        <v>0.0883035699</v>
      </c>
      <c r="AD386" s="218">
        <f t="shared" si="157"/>
        <v>0.1232970609</v>
      </c>
      <c r="AE386" s="218">
        <f t="shared" si="157"/>
        <v>0.1021610782</v>
      </c>
      <c r="AF386" s="218">
        <f t="shared" si="157"/>
        <v>0.09605091444</v>
      </c>
      <c r="AG386" s="218">
        <f t="shared" si="157"/>
        <v>0.193049882</v>
      </c>
      <c r="AH386" s="218">
        <f t="shared" si="157"/>
        <v>0.1312551392</v>
      </c>
      <c r="AI386" s="218">
        <f t="shared" si="157"/>
        <v>0.1080923719</v>
      </c>
      <c r="AJ386" s="218">
        <f t="shared" si="157"/>
        <v>0.1141842346</v>
      </c>
      <c r="AK386" s="218">
        <f t="shared" si="157"/>
        <v>0.1063193372</v>
      </c>
      <c r="AL386" s="218">
        <f t="shared" si="157"/>
        <v>0.1222460171</v>
      </c>
      <c r="AM386" s="218">
        <f t="shared" si="157"/>
        <v>0.09585233776</v>
      </c>
      <c r="AN386" s="218">
        <f t="shared" si="157"/>
        <v>0.1140446092</v>
      </c>
      <c r="AO386" s="218">
        <f t="shared" si="157"/>
        <v>0.1512978836</v>
      </c>
      <c r="AP386" s="218">
        <f t="shared" si="157"/>
        <v>0.09635425953</v>
      </c>
      <c r="AQ386" s="218">
        <f t="shared" si="157"/>
        <v>0.1033390193</v>
      </c>
      <c r="AR386" s="218">
        <f t="shared" si="157"/>
        <v>0.08470560718</v>
      </c>
      <c r="AS386" s="218">
        <f t="shared" si="157"/>
        <v>0.1116897312</v>
      </c>
      <c r="AT386" s="163"/>
    </row>
    <row r="387">
      <c r="A387" s="81"/>
      <c r="B387" s="81"/>
      <c r="C387" s="90"/>
      <c r="D387" s="90"/>
      <c r="E387" s="140" t="s">
        <v>230</v>
      </c>
      <c r="F387" s="215" t="s">
        <v>122</v>
      </c>
      <c r="G387" s="276" t="s">
        <v>149</v>
      </c>
      <c r="H387" s="187" t="s">
        <v>150</v>
      </c>
      <c r="I387" s="218">
        <f t="shared" ref="I387:AS387" si="158">SUM(I$366:I$367)*$H375</f>
        <v>0.0151803003</v>
      </c>
      <c r="J387" s="218">
        <f t="shared" si="158"/>
        <v>0.01887513156</v>
      </c>
      <c r="K387" s="218">
        <f t="shared" si="158"/>
        <v>0.01694535898</v>
      </c>
      <c r="L387" s="218">
        <f t="shared" si="158"/>
        <v>0.02017925949</v>
      </c>
      <c r="M387" s="218">
        <f t="shared" si="158"/>
        <v>0.01652143517</v>
      </c>
      <c r="N387" s="218">
        <f t="shared" si="158"/>
        <v>0.0179681108</v>
      </c>
      <c r="O387" s="218">
        <f t="shared" si="158"/>
        <v>0.02013584048</v>
      </c>
      <c r="P387" s="218">
        <f t="shared" si="158"/>
        <v>0.01719597728</v>
      </c>
      <c r="Q387" s="218">
        <f t="shared" si="158"/>
        <v>0.0178387217</v>
      </c>
      <c r="R387" s="218">
        <f t="shared" si="158"/>
        <v>0.01510569521</v>
      </c>
      <c r="S387" s="218">
        <f t="shared" si="158"/>
        <v>0.01545833986</v>
      </c>
      <c r="T387" s="218">
        <f t="shared" si="158"/>
        <v>0.02123234211</v>
      </c>
      <c r="U387" s="218">
        <f t="shared" si="158"/>
        <v>0.02481555473</v>
      </c>
      <c r="V387" s="218">
        <f t="shared" si="158"/>
        <v>0.02324345522</v>
      </c>
      <c r="W387" s="218">
        <f t="shared" si="158"/>
        <v>0.01741816931</v>
      </c>
      <c r="X387" s="218">
        <f t="shared" si="158"/>
        <v>0.02378256325</v>
      </c>
      <c r="Y387" s="218">
        <f t="shared" si="158"/>
        <v>0.02160626468</v>
      </c>
      <c r="Z387" s="218">
        <f t="shared" si="158"/>
        <v>0.01962677697</v>
      </c>
      <c r="AA387" s="218">
        <f t="shared" si="158"/>
        <v>0.0176139516</v>
      </c>
      <c r="AB387" s="218">
        <f t="shared" si="158"/>
        <v>0.01848364647</v>
      </c>
      <c r="AC387" s="218">
        <f t="shared" si="158"/>
        <v>0.01605519453</v>
      </c>
      <c r="AD387" s="218">
        <f t="shared" si="158"/>
        <v>0.02241764744</v>
      </c>
      <c r="AE387" s="218">
        <f t="shared" si="158"/>
        <v>0.01857474148</v>
      </c>
      <c r="AF387" s="218">
        <f t="shared" si="158"/>
        <v>0.01746380263</v>
      </c>
      <c r="AG387" s="218">
        <f t="shared" si="158"/>
        <v>0.03509997855</v>
      </c>
      <c r="AH387" s="218">
        <f t="shared" si="158"/>
        <v>0.02386457076</v>
      </c>
      <c r="AI387" s="218">
        <f t="shared" si="158"/>
        <v>0.01965315853</v>
      </c>
      <c r="AJ387" s="218">
        <f t="shared" si="158"/>
        <v>0.02076076993</v>
      </c>
      <c r="AK387" s="218">
        <f t="shared" si="158"/>
        <v>0.01933078858</v>
      </c>
      <c r="AL387" s="218">
        <f t="shared" si="158"/>
        <v>0.02222654857</v>
      </c>
      <c r="AM387" s="218">
        <f t="shared" si="158"/>
        <v>0.01742769777</v>
      </c>
      <c r="AN387" s="218">
        <f t="shared" si="158"/>
        <v>0.0207353835</v>
      </c>
      <c r="AO387" s="218">
        <f t="shared" si="158"/>
        <v>0.02750870612</v>
      </c>
      <c r="AP387" s="218">
        <f t="shared" si="158"/>
        <v>0.01751895628</v>
      </c>
      <c r="AQ387" s="218">
        <f t="shared" si="158"/>
        <v>0.01878891261</v>
      </c>
      <c r="AR387" s="218">
        <f t="shared" si="158"/>
        <v>0.01540101949</v>
      </c>
      <c r="AS387" s="218">
        <f t="shared" si="158"/>
        <v>0.02030722386</v>
      </c>
      <c r="AT387" s="163"/>
    </row>
    <row r="388">
      <c r="A388" s="81"/>
      <c r="B388" s="81"/>
      <c r="C388" s="90"/>
      <c r="D388" s="90"/>
      <c r="E388" s="140" t="s">
        <v>236</v>
      </c>
      <c r="F388" s="215" t="s">
        <v>122</v>
      </c>
      <c r="G388" s="276" t="s">
        <v>149</v>
      </c>
      <c r="H388" s="187" t="s">
        <v>150</v>
      </c>
      <c r="I388" s="218">
        <f t="shared" ref="I388:AS388" si="159">I$368*$H376</f>
        <v>0.1177932586</v>
      </c>
      <c r="J388" s="218">
        <f t="shared" si="159"/>
        <v>0.1355054412</v>
      </c>
      <c r="K388" s="218">
        <f t="shared" si="159"/>
        <v>0.1165614753</v>
      </c>
      <c r="L388" s="218">
        <f t="shared" si="159"/>
        <v>0.1496414886</v>
      </c>
      <c r="M388" s="218">
        <f t="shared" si="159"/>
        <v>0.1452454828</v>
      </c>
      <c r="N388" s="218">
        <f t="shared" si="159"/>
        <v>0.1088722329</v>
      </c>
      <c r="O388" s="218">
        <f t="shared" si="159"/>
        <v>0.1087302008</v>
      </c>
      <c r="P388" s="218">
        <f t="shared" si="159"/>
        <v>0.110556421</v>
      </c>
      <c r="Q388" s="218">
        <f t="shared" si="159"/>
        <v>0.09126439138</v>
      </c>
      <c r="R388" s="218">
        <f t="shared" si="159"/>
        <v>0.1683903934</v>
      </c>
      <c r="S388" s="218">
        <f t="shared" si="159"/>
        <v>0.1517016283</v>
      </c>
      <c r="T388" s="218">
        <f t="shared" si="159"/>
        <v>0.1642502774</v>
      </c>
      <c r="U388" s="218">
        <f t="shared" si="159"/>
        <v>0.174794253</v>
      </c>
      <c r="V388" s="218">
        <f t="shared" si="159"/>
        <v>0.1345991099</v>
      </c>
      <c r="W388" s="218">
        <f t="shared" si="159"/>
        <v>0.1415562365</v>
      </c>
      <c r="X388" s="218">
        <f t="shared" si="159"/>
        <v>0.1016502681</v>
      </c>
      <c r="Y388" s="218">
        <f t="shared" si="159"/>
        <v>0.1567861315</v>
      </c>
      <c r="Z388" s="218">
        <f t="shared" si="159"/>
        <v>0.1661982196</v>
      </c>
      <c r="AA388" s="218">
        <f t="shared" si="159"/>
        <v>0.1635058455</v>
      </c>
      <c r="AB388" s="218">
        <f t="shared" si="159"/>
        <v>0.1800078045</v>
      </c>
      <c r="AC388" s="218">
        <f t="shared" si="159"/>
        <v>0.1709022513</v>
      </c>
      <c r="AD388" s="218">
        <f t="shared" si="159"/>
        <v>0.1611456454</v>
      </c>
      <c r="AE388" s="218">
        <f t="shared" si="159"/>
        <v>0.1730560427</v>
      </c>
      <c r="AF388" s="218">
        <f t="shared" si="159"/>
        <v>0.1803411259</v>
      </c>
      <c r="AG388" s="218">
        <f t="shared" si="159"/>
        <v>0.1309207147</v>
      </c>
      <c r="AH388" s="218">
        <f t="shared" si="159"/>
        <v>0.14469534</v>
      </c>
      <c r="AI388" s="218">
        <f t="shared" si="159"/>
        <v>0.1702780438</v>
      </c>
      <c r="AJ388" s="218">
        <f t="shared" si="159"/>
        <v>0.1492042019</v>
      </c>
      <c r="AK388" s="218">
        <f t="shared" si="159"/>
        <v>0.1368384264</v>
      </c>
      <c r="AL388" s="218">
        <f t="shared" si="159"/>
        <v>0.1559269674</v>
      </c>
      <c r="AM388" s="218">
        <f t="shared" si="159"/>
        <v>0.1776234878</v>
      </c>
      <c r="AN388" s="218">
        <f t="shared" si="159"/>
        <v>0.154028313</v>
      </c>
      <c r="AO388" s="218">
        <f t="shared" si="159"/>
        <v>0.1516427291</v>
      </c>
      <c r="AP388" s="218">
        <f t="shared" si="159"/>
        <v>0.1494287052</v>
      </c>
      <c r="AQ388" s="218">
        <f t="shared" si="159"/>
        <v>0.1728088252</v>
      </c>
      <c r="AR388" s="218">
        <f t="shared" si="159"/>
        <v>0.1500882372</v>
      </c>
      <c r="AS388" s="218">
        <f t="shared" si="159"/>
        <v>0.1101612567</v>
      </c>
      <c r="AT388" s="163"/>
    </row>
    <row r="389">
      <c r="A389" s="81"/>
      <c r="B389" s="81"/>
      <c r="C389" s="90"/>
      <c r="D389" s="90"/>
      <c r="E389" s="140" t="s">
        <v>241</v>
      </c>
      <c r="F389" s="215" t="s">
        <v>122</v>
      </c>
      <c r="G389" s="276" t="s">
        <v>149</v>
      </c>
      <c r="H389" s="187" t="s">
        <v>150</v>
      </c>
      <c r="I389" s="218">
        <f t="shared" ref="I389:AS389" si="160">I$368*$H377</f>
        <v>0.1851036921</v>
      </c>
      <c r="J389" s="218">
        <f t="shared" si="160"/>
        <v>0.2129371218</v>
      </c>
      <c r="K389" s="218">
        <f t="shared" si="160"/>
        <v>0.1831680326</v>
      </c>
      <c r="L389" s="218">
        <f t="shared" si="160"/>
        <v>0.2351509106</v>
      </c>
      <c r="M389" s="218">
        <f t="shared" si="160"/>
        <v>0.2282429015</v>
      </c>
      <c r="N389" s="218">
        <f t="shared" si="160"/>
        <v>0.1710849375</v>
      </c>
      <c r="O389" s="218">
        <f t="shared" si="160"/>
        <v>0.1708617441</v>
      </c>
      <c r="P389" s="218">
        <f t="shared" si="160"/>
        <v>0.1737315186</v>
      </c>
      <c r="Q389" s="218">
        <f t="shared" si="160"/>
        <v>0.1434154722</v>
      </c>
      <c r="R389" s="218">
        <f t="shared" si="160"/>
        <v>0.2646134753</v>
      </c>
      <c r="S389" s="218">
        <f t="shared" si="160"/>
        <v>0.2383882731</v>
      </c>
      <c r="T389" s="218">
        <f t="shared" si="160"/>
        <v>0.2581075787</v>
      </c>
      <c r="U389" s="218">
        <f t="shared" si="160"/>
        <v>0.2746766832</v>
      </c>
      <c r="V389" s="218">
        <f t="shared" si="160"/>
        <v>0.211512887</v>
      </c>
      <c r="W389" s="218">
        <f t="shared" si="160"/>
        <v>0.2224455144</v>
      </c>
      <c r="X389" s="218">
        <f t="shared" si="160"/>
        <v>0.1597361355</v>
      </c>
      <c r="Y389" s="218">
        <f t="shared" si="160"/>
        <v>0.2463782066</v>
      </c>
      <c r="Z389" s="218">
        <f t="shared" si="160"/>
        <v>0.2611686308</v>
      </c>
      <c r="AA389" s="218">
        <f t="shared" si="160"/>
        <v>0.2569377572</v>
      </c>
      <c r="AB389" s="218">
        <f t="shared" si="160"/>
        <v>0.2828694071</v>
      </c>
      <c r="AC389" s="218">
        <f t="shared" si="160"/>
        <v>0.2685606806</v>
      </c>
      <c r="AD389" s="218">
        <f t="shared" si="160"/>
        <v>0.2532288713</v>
      </c>
      <c r="AE389" s="218">
        <f t="shared" si="160"/>
        <v>0.27194521</v>
      </c>
      <c r="AF389" s="218">
        <f t="shared" si="160"/>
        <v>0.2833931979</v>
      </c>
      <c r="AG389" s="218">
        <f t="shared" si="160"/>
        <v>0.2057325517</v>
      </c>
      <c r="AH389" s="218">
        <f t="shared" si="160"/>
        <v>0.2273783915</v>
      </c>
      <c r="AI389" s="218">
        <f t="shared" si="160"/>
        <v>0.2675797831</v>
      </c>
      <c r="AJ389" s="218">
        <f t="shared" si="160"/>
        <v>0.2344637459</v>
      </c>
      <c r="AK389" s="218">
        <f t="shared" si="160"/>
        <v>0.2150318129</v>
      </c>
      <c r="AL389" s="218">
        <f t="shared" si="160"/>
        <v>0.2450280917</v>
      </c>
      <c r="AM389" s="218">
        <f t="shared" si="160"/>
        <v>0.2791226236</v>
      </c>
      <c r="AN389" s="218">
        <f t="shared" si="160"/>
        <v>0.2420444919</v>
      </c>
      <c r="AO389" s="218">
        <f t="shared" si="160"/>
        <v>0.2382957171</v>
      </c>
      <c r="AP389" s="218">
        <f t="shared" si="160"/>
        <v>0.2348165368</v>
      </c>
      <c r="AQ389" s="218">
        <f t="shared" si="160"/>
        <v>0.2715567253</v>
      </c>
      <c r="AR389" s="218">
        <f t="shared" si="160"/>
        <v>0.2358529441</v>
      </c>
      <c r="AS389" s="218">
        <f t="shared" si="160"/>
        <v>0.1731105463</v>
      </c>
      <c r="AT389" s="163"/>
    </row>
    <row r="390">
      <c r="A390" s="81"/>
      <c r="B390" s="81"/>
      <c r="C390" s="90"/>
      <c r="D390" s="90"/>
      <c r="E390" s="140" t="s">
        <v>244</v>
      </c>
      <c r="F390" s="215" t="s">
        <v>122</v>
      </c>
      <c r="G390" s="276" t="s">
        <v>149</v>
      </c>
      <c r="H390" s="187" t="s">
        <v>150</v>
      </c>
      <c r="I390" s="218">
        <f t="shared" ref="I390:AS390" si="161">I$368*$H378</f>
        <v>0.03365521675</v>
      </c>
      <c r="J390" s="218">
        <f t="shared" si="161"/>
        <v>0.03871584033</v>
      </c>
      <c r="K390" s="218">
        <f t="shared" si="161"/>
        <v>0.03330327866</v>
      </c>
      <c r="L390" s="218">
        <f t="shared" si="161"/>
        <v>0.04275471101</v>
      </c>
      <c r="M390" s="218">
        <f t="shared" si="161"/>
        <v>0.04149870937</v>
      </c>
      <c r="N390" s="218">
        <f t="shared" si="161"/>
        <v>0.03110635227</v>
      </c>
      <c r="O390" s="218">
        <f t="shared" si="161"/>
        <v>0.03106577165</v>
      </c>
      <c r="P390" s="218">
        <f t="shared" si="161"/>
        <v>0.03158754884</v>
      </c>
      <c r="Q390" s="218">
        <f t="shared" si="161"/>
        <v>0.02607554039</v>
      </c>
      <c r="R390" s="218">
        <f t="shared" si="161"/>
        <v>0.04811154097</v>
      </c>
      <c r="S390" s="218">
        <f t="shared" si="161"/>
        <v>0.04334332238</v>
      </c>
      <c r="T390" s="218">
        <f t="shared" si="161"/>
        <v>0.04692865068</v>
      </c>
      <c r="U390" s="218">
        <f t="shared" si="161"/>
        <v>0.04994121513</v>
      </c>
      <c r="V390" s="218">
        <f t="shared" si="161"/>
        <v>0.03845688855</v>
      </c>
      <c r="W390" s="218">
        <f t="shared" si="161"/>
        <v>0.04044463899</v>
      </c>
      <c r="X390" s="218">
        <f t="shared" si="161"/>
        <v>0.02904293373</v>
      </c>
      <c r="Y390" s="218">
        <f t="shared" si="161"/>
        <v>0.04479603756</v>
      </c>
      <c r="Z390" s="218">
        <f t="shared" si="161"/>
        <v>0.0474852056</v>
      </c>
      <c r="AA390" s="218">
        <f t="shared" si="161"/>
        <v>0.04671595585</v>
      </c>
      <c r="AB390" s="218">
        <f t="shared" si="161"/>
        <v>0.0514308013</v>
      </c>
      <c r="AC390" s="218">
        <f t="shared" si="161"/>
        <v>0.04882921465</v>
      </c>
      <c r="AD390" s="218">
        <f t="shared" si="161"/>
        <v>0.04604161297</v>
      </c>
      <c r="AE390" s="218">
        <f t="shared" si="161"/>
        <v>0.04944458363</v>
      </c>
      <c r="AF390" s="218">
        <f t="shared" si="161"/>
        <v>0.05152603598</v>
      </c>
      <c r="AG390" s="218">
        <f t="shared" si="161"/>
        <v>0.03740591848</v>
      </c>
      <c r="AH390" s="218">
        <f t="shared" si="161"/>
        <v>0.04134152573</v>
      </c>
      <c r="AI390" s="218">
        <f t="shared" si="161"/>
        <v>0.04865086966</v>
      </c>
      <c r="AJ390" s="218">
        <f t="shared" si="161"/>
        <v>0.04262977198</v>
      </c>
      <c r="AK390" s="218">
        <f t="shared" si="161"/>
        <v>0.03909669325</v>
      </c>
      <c r="AL390" s="218">
        <f t="shared" si="161"/>
        <v>0.04455056212</v>
      </c>
      <c r="AM390" s="218">
        <f t="shared" si="161"/>
        <v>0.05074956793</v>
      </c>
      <c r="AN390" s="218">
        <f t="shared" si="161"/>
        <v>0.04400808944</v>
      </c>
      <c r="AO390" s="218">
        <f t="shared" si="161"/>
        <v>0.04332649402</v>
      </c>
      <c r="AP390" s="218">
        <f t="shared" si="161"/>
        <v>0.04269391578</v>
      </c>
      <c r="AQ390" s="218">
        <f t="shared" si="161"/>
        <v>0.04937395006</v>
      </c>
      <c r="AR390" s="218">
        <f t="shared" si="161"/>
        <v>0.04288235347</v>
      </c>
      <c r="AS390" s="218">
        <f t="shared" si="161"/>
        <v>0.03147464478</v>
      </c>
      <c r="AT390" s="163"/>
    </row>
    <row r="391">
      <c r="A391" s="81"/>
      <c r="B391" s="81"/>
      <c r="C391" s="90"/>
      <c r="D391" s="90"/>
      <c r="E391" s="140" t="s">
        <v>246</v>
      </c>
      <c r="F391" s="215" t="s">
        <v>122</v>
      </c>
      <c r="G391" s="276" t="s">
        <v>149</v>
      </c>
      <c r="H391" s="187" t="s">
        <v>150</v>
      </c>
      <c r="I391" s="149">
        <f t="shared" ref="I391:AS391" si="162">I$369*$H379</f>
        <v>0.2029712524</v>
      </c>
      <c r="J391" s="149">
        <f t="shared" si="162"/>
        <v>0.1901813077</v>
      </c>
      <c r="K391" s="149">
        <f t="shared" si="162"/>
        <v>0.1618463596</v>
      </c>
      <c r="L391" s="149">
        <f t="shared" si="162"/>
        <v>0.1547679787</v>
      </c>
      <c r="M391" s="149">
        <f t="shared" si="162"/>
        <v>0.1973822491</v>
      </c>
      <c r="N391" s="149">
        <f t="shared" si="162"/>
        <v>0.1886994582</v>
      </c>
      <c r="O391" s="149">
        <f t="shared" si="162"/>
        <v>0.1872492276</v>
      </c>
      <c r="P391" s="149">
        <f t="shared" si="162"/>
        <v>0.205828131</v>
      </c>
      <c r="Q391" s="149">
        <f t="shared" si="162"/>
        <v>0.2115901698</v>
      </c>
      <c r="R391" s="149">
        <f t="shared" si="162"/>
        <v>0.1839268559</v>
      </c>
      <c r="S391" s="149">
        <f t="shared" si="162"/>
        <v>0.1846126218</v>
      </c>
      <c r="T391" s="149">
        <f t="shared" si="162"/>
        <v>0.1260314569</v>
      </c>
      <c r="U391" s="149">
        <f t="shared" si="162"/>
        <v>0.08824838422</v>
      </c>
      <c r="V391" s="149">
        <f t="shared" si="162"/>
        <v>0.1940251032</v>
      </c>
      <c r="W391" s="149">
        <f t="shared" si="162"/>
        <v>0.2152115268</v>
      </c>
      <c r="X391" s="149">
        <f t="shared" si="162"/>
        <v>0.2128594589</v>
      </c>
      <c r="Y391" s="149">
        <f t="shared" si="162"/>
        <v>0.1205843915</v>
      </c>
      <c r="Z391" s="149">
        <f t="shared" si="162"/>
        <v>0.1284375155</v>
      </c>
      <c r="AA391" s="149">
        <f t="shared" si="162"/>
        <v>0.1419284412</v>
      </c>
      <c r="AB391" s="149">
        <f t="shared" si="162"/>
        <v>0.09941507043</v>
      </c>
      <c r="AC391" s="149">
        <f t="shared" si="162"/>
        <v>0.1178386286</v>
      </c>
      <c r="AD391" s="149">
        <f t="shared" si="162"/>
        <v>0.1076887787</v>
      </c>
      <c r="AE391" s="149">
        <f t="shared" si="162"/>
        <v>0.1177510671</v>
      </c>
      <c r="AF391" s="149">
        <f t="shared" si="162"/>
        <v>0.1063455254</v>
      </c>
      <c r="AG391" s="149">
        <f t="shared" si="162"/>
        <v>0.0999884687</v>
      </c>
      <c r="AH391" s="149">
        <f t="shared" si="162"/>
        <v>0.1258109815</v>
      </c>
      <c r="AI391" s="149">
        <f t="shared" si="162"/>
        <v>0.1210369074</v>
      </c>
      <c r="AJ391" s="149">
        <f t="shared" si="162"/>
        <v>0.1476443588</v>
      </c>
      <c r="AK391" s="149">
        <f t="shared" si="162"/>
        <v>0.1945273568</v>
      </c>
      <c r="AL391" s="149">
        <f t="shared" si="162"/>
        <v>0.1393605084</v>
      </c>
      <c r="AM391" s="149">
        <f t="shared" si="162"/>
        <v>0.1208602114</v>
      </c>
      <c r="AN391" s="149">
        <f t="shared" si="162"/>
        <v>0.1296936978</v>
      </c>
      <c r="AO391" s="149">
        <f t="shared" si="162"/>
        <v>0.1170641258</v>
      </c>
      <c r="AP391" s="149">
        <f t="shared" si="162"/>
        <v>0.1619686402</v>
      </c>
      <c r="AQ391" s="149">
        <f t="shared" si="162"/>
        <v>0.1211559383</v>
      </c>
      <c r="AR391" s="149">
        <f t="shared" si="162"/>
        <v>0.2078882372</v>
      </c>
      <c r="AS391" s="149">
        <f t="shared" si="162"/>
        <v>0.176206937</v>
      </c>
      <c r="AT391" s="163"/>
    </row>
    <row r="392">
      <c r="A392" s="81"/>
      <c r="B392" s="81"/>
      <c r="C392" s="90"/>
      <c r="D392" s="90"/>
      <c r="E392" s="140" t="s">
        <v>250</v>
      </c>
      <c r="F392" s="215" t="s">
        <v>122</v>
      </c>
      <c r="G392" s="276" t="s">
        <v>149</v>
      </c>
      <c r="H392" s="187" t="s">
        <v>150</v>
      </c>
      <c r="I392" s="149">
        <f t="shared" ref="I392:AS392" si="163">I$369*$H380</f>
        <v>0.03581845631</v>
      </c>
      <c r="J392" s="149">
        <f t="shared" si="163"/>
        <v>0.03356140724</v>
      </c>
      <c r="K392" s="149">
        <f t="shared" si="163"/>
        <v>0.02856112228</v>
      </c>
      <c r="L392" s="149">
        <f t="shared" si="163"/>
        <v>0.02731199625</v>
      </c>
      <c r="M392" s="149">
        <f t="shared" si="163"/>
        <v>0.03483216161</v>
      </c>
      <c r="N392" s="149">
        <f t="shared" si="163"/>
        <v>0.03329990439</v>
      </c>
      <c r="O392" s="149">
        <f t="shared" si="163"/>
        <v>0.03304398133</v>
      </c>
      <c r="P392" s="149">
        <f t="shared" si="163"/>
        <v>0.03632261134</v>
      </c>
      <c r="Q392" s="149">
        <f t="shared" si="163"/>
        <v>0.03733944173</v>
      </c>
      <c r="R392" s="149">
        <f t="shared" si="163"/>
        <v>0.03245768046</v>
      </c>
      <c r="S392" s="149">
        <f t="shared" si="163"/>
        <v>0.03257869797</v>
      </c>
      <c r="T392" s="149">
        <f t="shared" si="163"/>
        <v>0.02224084533</v>
      </c>
      <c r="U392" s="149">
        <f t="shared" si="163"/>
        <v>0.01557324427</v>
      </c>
      <c r="V392" s="149">
        <f t="shared" si="163"/>
        <v>0.03423972409</v>
      </c>
      <c r="W392" s="149">
        <f t="shared" si="163"/>
        <v>0.03797850473</v>
      </c>
      <c r="X392" s="149">
        <f t="shared" si="163"/>
        <v>0.03756343392</v>
      </c>
      <c r="Y392" s="149">
        <f t="shared" si="163"/>
        <v>0.0212795985</v>
      </c>
      <c r="Z392" s="149">
        <f t="shared" si="163"/>
        <v>0.02266544391</v>
      </c>
      <c r="AA392" s="149">
        <f t="shared" si="163"/>
        <v>0.02504619551</v>
      </c>
      <c r="AB392" s="149">
        <f t="shared" si="163"/>
        <v>0.01754383596</v>
      </c>
      <c r="AC392" s="149">
        <f t="shared" si="163"/>
        <v>0.0207950521</v>
      </c>
      <c r="AD392" s="149">
        <f t="shared" si="163"/>
        <v>0.01900390212</v>
      </c>
      <c r="AE392" s="149">
        <f t="shared" si="163"/>
        <v>0.02077960008</v>
      </c>
      <c r="AF392" s="149">
        <f t="shared" si="163"/>
        <v>0.01876685743</v>
      </c>
      <c r="AG392" s="149">
        <f t="shared" si="163"/>
        <v>0.01764502389</v>
      </c>
      <c r="AH392" s="149">
        <f t="shared" si="163"/>
        <v>0.02220193792</v>
      </c>
      <c r="AI392" s="149">
        <f t="shared" si="163"/>
        <v>0.02135945424</v>
      </c>
      <c r="AJ392" s="149">
        <f t="shared" si="163"/>
        <v>0.02605488684</v>
      </c>
      <c r="AK392" s="149">
        <f t="shared" si="163"/>
        <v>0.03432835707</v>
      </c>
      <c r="AL392" s="149">
        <f t="shared" si="163"/>
        <v>0.02459303089</v>
      </c>
      <c r="AM392" s="149">
        <f t="shared" si="163"/>
        <v>0.02132827259</v>
      </c>
      <c r="AN392" s="149">
        <f t="shared" si="163"/>
        <v>0.02288712314</v>
      </c>
      <c r="AO392" s="149">
        <f t="shared" si="163"/>
        <v>0.02065837514</v>
      </c>
      <c r="AP392" s="149">
        <f t="shared" si="163"/>
        <v>0.02858270121</v>
      </c>
      <c r="AQ392" s="149">
        <f t="shared" si="163"/>
        <v>0.0213804597</v>
      </c>
      <c r="AR392" s="149">
        <f t="shared" si="163"/>
        <v>0.0366861595</v>
      </c>
      <c r="AS392" s="149">
        <f t="shared" si="163"/>
        <v>0.03109534182</v>
      </c>
      <c r="AT392" s="163"/>
    </row>
    <row r="393">
      <c r="A393" s="81"/>
      <c r="B393" s="81"/>
      <c r="C393" s="90"/>
      <c r="D393" s="90"/>
      <c r="E393" s="237" t="s">
        <v>253</v>
      </c>
      <c r="F393" s="195" t="s">
        <v>122</v>
      </c>
      <c r="G393" s="291" t="s">
        <v>149</v>
      </c>
      <c r="H393" s="197" t="s">
        <v>150</v>
      </c>
      <c r="I393" s="240">
        <f t="shared" ref="I393:AS393" si="164">I370*$H381</f>
        <v>0.05980571719</v>
      </c>
      <c r="J393" s="240">
        <f t="shared" si="164"/>
        <v>0.04687034295</v>
      </c>
      <c r="K393" s="240">
        <f t="shared" si="164"/>
        <v>0.06597866013</v>
      </c>
      <c r="L393" s="240">
        <f t="shared" si="164"/>
        <v>0.05386773431</v>
      </c>
      <c r="M393" s="240">
        <f t="shared" si="164"/>
        <v>0.03495333291</v>
      </c>
      <c r="N393" s="240">
        <f t="shared" si="164"/>
        <v>0.08130872617</v>
      </c>
      <c r="O393" s="240">
        <f t="shared" si="164"/>
        <v>0.07653078417</v>
      </c>
      <c r="P393" s="240">
        <f t="shared" si="164"/>
        <v>0.06475882135</v>
      </c>
      <c r="Q393" s="223">
        <f t="shared" si="164"/>
        <v>0.07194286203</v>
      </c>
      <c r="R393" s="240">
        <f t="shared" si="164"/>
        <v>0.02547100281</v>
      </c>
      <c r="S393" s="240">
        <f t="shared" si="164"/>
        <v>0.03388947478</v>
      </c>
      <c r="T393" s="240">
        <f t="shared" si="164"/>
        <v>0.05070978582</v>
      </c>
      <c r="U393" s="240">
        <f t="shared" si="164"/>
        <v>0.03528729256</v>
      </c>
      <c r="V393" s="240">
        <f t="shared" si="164"/>
        <v>0.05794745695</v>
      </c>
      <c r="W393" s="240">
        <f t="shared" si="164"/>
        <v>0.03614093555</v>
      </c>
      <c r="X393" s="240">
        <f t="shared" si="164"/>
        <v>0.07745085134</v>
      </c>
      <c r="Y393" s="240">
        <f t="shared" si="164"/>
        <v>0.05402043912</v>
      </c>
      <c r="Z393" s="240">
        <f t="shared" si="164"/>
        <v>0.04227202779</v>
      </c>
      <c r="AA393" s="240">
        <f t="shared" si="164"/>
        <v>0.0379414913</v>
      </c>
      <c r="AB393" s="240">
        <f t="shared" si="164"/>
        <v>0.04130336744</v>
      </c>
      <c r="AC393" s="240">
        <f t="shared" si="164"/>
        <v>0.05370577388</v>
      </c>
      <c r="AD393" s="240">
        <f t="shared" si="164"/>
        <v>0.04681750596</v>
      </c>
      <c r="AE393" s="240">
        <f t="shared" si="164"/>
        <v>0.03454126151</v>
      </c>
      <c r="AF393" s="240">
        <f t="shared" si="164"/>
        <v>0.03591068113</v>
      </c>
      <c r="AG393" s="240">
        <f t="shared" si="164"/>
        <v>0.05614286278</v>
      </c>
      <c r="AH393" s="240">
        <f t="shared" si="164"/>
        <v>0.08892205291</v>
      </c>
      <c r="AI393" s="240">
        <f t="shared" si="164"/>
        <v>0.0471734457</v>
      </c>
      <c r="AJ393" s="240">
        <f t="shared" si="164"/>
        <v>0.05001200826</v>
      </c>
      <c r="AK393" s="240">
        <f t="shared" si="164"/>
        <v>0.05105760957</v>
      </c>
      <c r="AL393" s="240">
        <f t="shared" si="164"/>
        <v>0.04675739277</v>
      </c>
      <c r="AM393" s="240">
        <f t="shared" si="164"/>
        <v>0.04684463929</v>
      </c>
      <c r="AN393" s="240">
        <f t="shared" si="164"/>
        <v>0.05502207695</v>
      </c>
      <c r="AO393" s="240">
        <f t="shared" si="164"/>
        <v>0.0587819625</v>
      </c>
      <c r="AP393" s="240">
        <f t="shared" si="164"/>
        <v>0.04771936573</v>
      </c>
      <c r="AQ393" s="240">
        <f t="shared" si="164"/>
        <v>0.04090578849</v>
      </c>
      <c r="AR393" s="240">
        <f t="shared" si="164"/>
        <v>0.03537713748</v>
      </c>
      <c r="AS393" s="240">
        <f t="shared" si="164"/>
        <v>0.07972845517</v>
      </c>
      <c r="AT393" s="248"/>
    </row>
    <row r="394">
      <c r="A394" s="166"/>
      <c r="B394" s="77"/>
      <c r="C394" s="77"/>
      <c r="D394" s="77"/>
      <c r="E394" s="773"/>
      <c r="F394" s="774"/>
      <c r="G394" s="775"/>
      <c r="H394" s="337"/>
      <c r="I394" s="338"/>
      <c r="J394" s="338"/>
      <c r="K394" s="338"/>
      <c r="L394" s="338"/>
      <c r="M394" s="338"/>
      <c r="N394" s="338"/>
      <c r="O394" s="338"/>
      <c r="P394" s="338"/>
      <c r="Q394" s="776"/>
      <c r="R394" s="338"/>
      <c r="S394" s="338"/>
      <c r="T394" s="338"/>
      <c r="U394" s="338"/>
      <c r="V394" s="338"/>
      <c r="W394" s="338"/>
      <c r="X394" s="338"/>
      <c r="Y394" s="338"/>
      <c r="Z394" s="338"/>
      <c r="AA394" s="338"/>
      <c r="AB394" s="338"/>
      <c r="AC394" s="338"/>
      <c r="AD394" s="338"/>
      <c r="AE394" s="338"/>
      <c r="AF394" s="338"/>
      <c r="AG394" s="338"/>
      <c r="AH394" s="338"/>
      <c r="AI394" s="338"/>
      <c r="AJ394" s="338"/>
      <c r="AK394" s="338"/>
      <c r="AL394" s="338"/>
      <c r="AM394" s="338"/>
      <c r="AN394" s="338"/>
      <c r="AO394" s="338"/>
      <c r="AP394" s="338"/>
      <c r="AQ394" s="338"/>
      <c r="AR394" s="338"/>
      <c r="AS394" s="338"/>
      <c r="AT394" s="265"/>
    </row>
  </sheetData>
  <mergeCells count="63">
    <mergeCell ref="C336:E336"/>
    <mergeCell ref="C345:E345"/>
    <mergeCell ref="A353:G353"/>
    <mergeCell ref="C355:E355"/>
    <mergeCell ref="C364:E364"/>
    <mergeCell ref="C372:E372"/>
    <mergeCell ref="C383:E383"/>
    <mergeCell ref="C275:E275"/>
    <mergeCell ref="C283:E283"/>
    <mergeCell ref="C292:E292"/>
    <mergeCell ref="C301:E301"/>
    <mergeCell ref="C309:E309"/>
    <mergeCell ref="C319:E319"/>
    <mergeCell ref="C327:E327"/>
    <mergeCell ref="I1:Q1"/>
    <mergeCell ref="R1:AE1"/>
    <mergeCell ref="AF1:AS1"/>
    <mergeCell ref="A3:E3"/>
    <mergeCell ref="A5:G5"/>
    <mergeCell ref="C6:E6"/>
    <mergeCell ref="C7:E7"/>
    <mergeCell ref="C13:E13"/>
    <mergeCell ref="A17:G17"/>
    <mergeCell ref="C19:E19"/>
    <mergeCell ref="C25:E25"/>
    <mergeCell ref="A33:G33"/>
    <mergeCell ref="C35:E35"/>
    <mergeCell ref="C41:E41"/>
    <mergeCell ref="A49:G49"/>
    <mergeCell ref="C51:E51"/>
    <mergeCell ref="C57:E57"/>
    <mergeCell ref="A68:G68"/>
    <mergeCell ref="C70:E70"/>
    <mergeCell ref="C76:E76"/>
    <mergeCell ref="C85:E85"/>
    <mergeCell ref="D86:E86"/>
    <mergeCell ref="D92:E92"/>
    <mergeCell ref="A99:G99"/>
    <mergeCell ref="C101:E101"/>
    <mergeCell ref="C107:E107"/>
    <mergeCell ref="C116:E116"/>
    <mergeCell ref="D117:E117"/>
    <mergeCell ref="D125:E125"/>
    <mergeCell ref="A134:G134"/>
    <mergeCell ref="C136:E136"/>
    <mergeCell ref="C142:E142"/>
    <mergeCell ref="C152:E152"/>
    <mergeCell ref="A159:G159"/>
    <mergeCell ref="C161:E161"/>
    <mergeCell ref="C167:E167"/>
    <mergeCell ref="A175:G175"/>
    <mergeCell ref="C177:E177"/>
    <mergeCell ref="C186:E186"/>
    <mergeCell ref="C194:E194"/>
    <mergeCell ref="C202:E202"/>
    <mergeCell ref="C211:E211"/>
    <mergeCell ref="A219:G219"/>
    <mergeCell ref="C221:E221"/>
    <mergeCell ref="C231:E231"/>
    <mergeCell ref="C239:E239"/>
    <mergeCell ref="C248:E248"/>
    <mergeCell ref="C257:E257"/>
    <mergeCell ref="C265:E265"/>
  </mergeCells>
  <hyperlinks>
    <hyperlink display="Probability that a person will die of tuberculosis before reaching age 5" location="Inputs!E100" ref="E8"/>
    <hyperlink display="Probability that a 5-year-old will die of tuberculosis before reaching age 15" location="Inputs!E101" ref="E9"/>
    <hyperlink display="Probability that a 15-year-old will die of tuberculosis before reaching age 50" location="Inputs!E102" ref="E10"/>
    <hyperlink display="Probability that a 50-year-old will die of tuberculosis before reaching age 75" location="Inputs!E103" ref="E11"/>
    <hyperlink display="Proportion of tuberculosis mortalities among people under age 5 that occur prior to the age of BCG vaccination (birth)" location="Inputs!E104" ref="E14"/>
    <hyperlink display="Probability that a person will die of diphtheria before reaching age 5" location="Inputs!E107" ref="E20"/>
    <hyperlink display="Probability that a 5-year-old will die of diphtheria before reaching age 15" location="Inputs!E108" ref="E21"/>
    <hyperlink display="Probability that a 15-year-old will die of diphtheria before reaching age 50" location="Inputs!E109" ref="E22"/>
    <hyperlink display="Probability that a 50-year-old will die of diphtheria before reaching age 75" location="Inputs!E110" ref="E23"/>
    <hyperlink display="Diphtheria mortalities per year among people under age 5" location="Inputs!E111" ref="E26"/>
    <hyperlink display="Diphtheria mortalities per year among people under age 1" location="Inputs!E112" ref="E27"/>
    <hyperlink display="Assumed proportion of diphtheria mortalities among people under age 1 occurring before the age of Penta vaccination (6 weeks)" location="Inputs!E113" ref="E29"/>
    <hyperlink display="Probability that a person will die of pertussis before reaching age 5" location="Inputs!E116" ref="E36"/>
    <hyperlink display="Probability that a 5-year-old will die of pertussis before reaching age 15" location="Inputs!E117" ref="E37"/>
    <hyperlink display="Probability that a 15-year-old will die of pertussis before reaching age 50" location="Inputs!E118" ref="E38"/>
    <hyperlink display="Probability that a 50-year-old will die of pertussis before reaching age 75" location="Inputs!E119" ref="E39"/>
    <hyperlink display="Pertussis mortalities per year among people under age 5" location="Inputs!E120" ref="E42"/>
    <hyperlink display="Pertussis mortalities per year among people under age 1" location="Inputs!E121" ref="E43"/>
    <hyperlink display="Assumed proportion of pertussis mortalities among people under age 1 occurring before the age of Penta vaccination (6 weeks)" location="Inputs!E122" ref="E45"/>
    <hyperlink display="Probability that a person will die of tetanus before reaching age 5" location="Inputs!E125" ref="E52"/>
    <hyperlink display="Probability that a 5-year-old will die of tetanus before reaching age 15" location="Inputs!E126" ref="E53"/>
    <hyperlink display="Probability that a 15-year-old will die of tetanus before reaching age 50" location="Inputs!E127" ref="E54"/>
    <hyperlink display="Probability that a 50-year-old will die of tetanus before reaching age 75" location="Inputs!E128" ref="E55"/>
    <hyperlink display="Tetanus mortalities per year among people under age 5" location="Inputs!E129" ref="E58"/>
    <hyperlink display="Early neonatal tetanus mortalities per year (babies under 7 days old)" location="Inputs!E130" ref="E59"/>
    <hyperlink display="Late neonatal tetanus mortalities per year (babies between 7 and 27 days old)" location="Inputs!E131" ref="E60"/>
    <hyperlink display="Tetanus mortalities per year among people under age 1" location="Inputs!E132" ref="E61"/>
    <hyperlink display="Assumed ratio of tetanus mortalities among people under age 5 occurring after the neonatal period but before the age of Penta vaccination (6 weeks) to tetanus mortalities occurring in the neonatal period" location="Inputs!E133" ref="E63"/>
    <hyperlink display="Probability that a person will die of a lower respiratory infection before reaching age 5" location="Inputs!E136" ref="E71"/>
    <hyperlink display="Probability that a 5-year-old will die of a lower respiratory infection before reaching age 15" location="Inputs!E137" ref="E72"/>
    <hyperlink display="Probability that a 15-year-old will die of a lower respiratory infection before reaching age 50" location="Inputs!E138" ref="E73"/>
    <hyperlink display="Probability that a 50-year-old will die of a lower respiratory infection before reaching age 75" location="Inputs!E139" ref="E74"/>
    <hyperlink display="Lower respiratory infection mortalities per year among people under age 5" location="Inputs!E140" ref="E77"/>
    <hyperlink display="Early neonatal lower respiratory infection mortalities per year (babies under 7 days old)" location="Inputs!E141" ref="E78"/>
    <hyperlink display="Late neonatal lower respiratory infection mortalities per year (babies between 7 and 27 days old)" location="Inputs!E142" ref="E79"/>
    <hyperlink display="Assumed ratio of lower respiratory infection mortalities among people under age 5 occurring after the neonatal period but before the age of Penta and PCV vaccination (6 weeks) to lower respiratory infection mortalities occurring in the neonatal period" location="Inputs!E143" ref="E81"/>
    <hyperlink display="Proportion of lower respiratory infection deaths caused by pathogens addressed by the Penta vaccine (H. influenzae type B)" location="Inputs!E144" ref="E87"/>
    <hyperlink display="Proportion of lower respiratory infection deaths caused by pathogens addressed by the PCV vaccine (S. pneumoniae)" location="Inputs!E145" ref="E93"/>
    <hyperlink display="Probability that a person will die of meningitis before reaching age 5" location="Inputs!E148" ref="E102"/>
    <hyperlink display="Probability that a 5-year-old will die of meningitis before reaching age 15" location="Inputs!E149" ref="E103"/>
    <hyperlink display="Probability that a 15-year-old will die of meningitis before reaching age 50" location="Inputs!E150" ref="E104"/>
    <hyperlink display="Probability that a 50-year-old will die of meningitis before reaching age 75" location="Inputs!E151" ref="E105"/>
    <hyperlink display="Meningitis mortalities per year among people under age 5" location="Inputs!E152" ref="E108"/>
    <hyperlink display="Early neonatal meningitis mortalities per year (babies under 7 days old)" location="Inputs!E153" ref="E109"/>
    <hyperlink display="Late neonatal meningitis mortalities per year (babies between 7 and 27 days old)" location="Inputs!E154" ref="E110"/>
    <hyperlink display="Assumed ratio of meningitis mortalities among people under age 5 occurring after the neonatal period but before the age of Penta and PCV vaccination (6 weeks) to meningitis mortalities occurring in the neonatal period" location="Inputs!E155" ref="E112"/>
    <hyperlink display="Proportion of meningitis deaths caused by pathogens addressed by the Penta vaccine (H. influenzae type B) according to GBD 2019" location="Inputs!E156" ref="E118"/>
    <hyperlink display="Adjustment for alignment with Hib meningitis burden estimates from View-Hub" location="Inputs!E157" ref="E119"/>
    <hyperlink display="Proportion of meningitis deaths caused by pathogens addressed by the PCV vaccine (S. pneumoniae) according to GBD 2019" location="Inputs!E158" ref="E126"/>
    <hyperlink display="Adjustment for alignment with pneumococcal meningitis burden estimates from View-Hub" location="Inputs!E159" ref="E127"/>
    <hyperlink display="Probability that a person will die of diarrheal disease before reaching age 5" location="Inputs!E162" ref="E137"/>
    <hyperlink display="Probability that a 5-year-old will die of diarrheal disease before reaching age 15" location="Inputs!E163" ref="E138"/>
    <hyperlink display="Probability that a 15-year-old will die of diarrheal disease before reaching age 50" location="Inputs!E164" ref="E139"/>
    <hyperlink display="Probability that a 50-year-old will die of diarrheal disease before reaching age 75" location="Inputs!E165" ref="E140"/>
    <hyperlink display="Diarrheal disease mortalities per year among people under age 5" location="Inputs!E166" ref="E143"/>
    <hyperlink display="Diarrheal disease mortalities caused by rotavirus per year among people under age 5" location="Inputs!E167" ref="E144"/>
    <hyperlink display="Early neonatal diarrheal disease mortalities caused by rotavirus per year (babies under 7 days old)" location="Inputs!E168" ref="E145"/>
    <hyperlink display="Late neonatal diarrheal disease mortalities caused by rotavirus per year (babies between 7 and 27 days old)" location="Inputs!E169" ref="E146"/>
    <hyperlink display="Assumed ratio of diarrheal disease mortalities caused by rotavirus among people under age 5 occurring after the neonatal period but before the age of rotavirus vaccination (6 weeks) to diarrheal disease mortalities caused by rotavirus occurring in the neonatal period" location="Inputs!E170" ref="E148"/>
    <hyperlink display="Probability that a person will die of measles before reaching age 5" location="Inputs!E173" ref="E162"/>
    <hyperlink display="Probability that a 5-year-old will die of measles before reaching age 15" location="Inputs!E174" ref="E163"/>
    <hyperlink display="Probability that a 15-year-old will die of measles before reaching age 50" location="Inputs!E175" ref="E164"/>
    <hyperlink display="Probability that a 50-year-old will die of measles before reaching age 75" location="Inputs!E176" ref="E165"/>
    <hyperlink display="Measles mortalities per year among people under age 5" location="Inputs!E177" ref="E168"/>
    <hyperlink display="Measles mortalities per year among people under age 1" location="Inputs!E178" ref="E169"/>
    <hyperlink display="Assumed proportion of measles mortalities among people under age 1 occurring before the age of measles vaccination (6 months)" location="Inputs!E179" ref="E171"/>
    <hyperlink display="Proportion of people under age 5 represented in GBD 2021 disease burden estimates who received the BCG vaccine" location="'Vaccine coverage'!E146" ref="E187"/>
    <hyperlink display="Proportion of people under age 5 represented in GBD 2021 disease burden estimates who received the DTP vaccine, aggregated across doses" location="'Vaccine coverage'!E147" ref="E188"/>
    <hyperlink display="Proportion of people under age 5 represented in GBD 2021 disease burden estimates who received the Hib vaccine, aggregated across doses" location="'Vaccine coverage'!E148" ref="E189"/>
    <hyperlink display="%" location="'Vaccine coverage'!F148" ref="F189"/>
    <hyperlink display="calc" location="'Vaccine coverage'!G148" ref="G189"/>
    <hyperlink display="-" location="'Vaccine coverage'!H148" ref="H189"/>
    <hyperlink display="33%" location="'Vaccine coverage'!I148" ref="I189"/>
    <hyperlink display="43%" location="'Vaccine coverage'!J148" ref="J189"/>
    <hyperlink display="35%" location="'Vaccine coverage'!K148" ref="K189"/>
    <hyperlink display="52%" location="'Vaccine coverage'!L148" ref="L189"/>
    <hyperlink display="36%" location="'Vaccine coverage'!M148" ref="M189"/>
    <hyperlink display="35%" location="'Vaccine coverage'!N148" ref="N189"/>
    <hyperlink display="38%" location="'Vaccine coverage'!O148" ref="O189"/>
    <hyperlink display="14%" location="'Vaccine coverage'!P148" ref="P189"/>
    <hyperlink display="24%" location="'Vaccine coverage'!Q148" ref="Q189"/>
    <hyperlink display="79%" location="'Vaccine coverage'!R148" ref="R189"/>
    <hyperlink display="60%" location="'Vaccine coverage'!S148" ref="S189"/>
    <hyperlink display="79%" location="'Vaccine coverage'!T148" ref="T189"/>
    <hyperlink display="81%" location="'Vaccine coverage'!U148" ref="U189"/>
    <hyperlink display="65%" location="'Vaccine coverage'!V148" ref="V189"/>
    <hyperlink display="69%" location="'Vaccine coverage'!W148" ref="W189"/>
    <hyperlink display="57%" location="'Vaccine coverage'!X148" ref="X189"/>
    <hyperlink display="85%" location="'Vaccine coverage'!Y148" ref="Y189"/>
    <hyperlink display="72%" location="'Vaccine coverage'!Z148" ref="Z189"/>
    <hyperlink display="85%" location="'Vaccine coverage'!AA148" ref="AA189"/>
    <hyperlink display="88%" location="'Vaccine coverage'!AB148" ref="AB189"/>
    <hyperlink display="88%" location="'Vaccine coverage'!AC148" ref="AC189"/>
    <hyperlink display="89%" location="'Vaccine coverage'!AD148" ref="AD189"/>
    <hyperlink display="82%" location="'Vaccine coverage'!AE148" ref="AE189"/>
    <hyperlink display="85%" location="'Vaccine coverage'!AF148" ref="AF189"/>
    <hyperlink display="65%" location="'Vaccine coverage'!AG148" ref="AG189"/>
    <hyperlink display="64%" location="'Vaccine coverage'!AH148" ref="AH189"/>
    <hyperlink display="89%" location="'Vaccine coverage'!AI148" ref="AI189"/>
    <hyperlink display="57%" location="'Vaccine coverage'!AJ148" ref="AJ189"/>
    <hyperlink display="42%" location="'Vaccine coverage'!AK148" ref="AK189"/>
    <hyperlink display="61%" location="'Vaccine coverage'!AL148" ref="AL189"/>
    <hyperlink display="71%" location="'Vaccine coverage'!AM148" ref="AM189"/>
    <hyperlink display="80%" location="'Vaccine coverage'!AN148" ref="AN189"/>
    <hyperlink display="67%" location="'Vaccine coverage'!AO148" ref="AO189"/>
    <hyperlink display="69%" location="'Vaccine coverage'!AP148" ref="AP189"/>
    <hyperlink display="81%" location="'Vaccine coverage'!AQ148" ref="AQ189"/>
    <hyperlink display="46%" location="'Vaccine coverage'!AR148" ref="AR189"/>
    <hyperlink display="42%" location="'Vaccine coverage'!AS148" ref="AS189"/>
    <hyperlink display="Proportion of people under age 5 represented in GBD 2021 disease burden estimates who received the PCV vaccine, aggregated across doses" location="'Vaccine coverage'!E149" ref="E190"/>
    <hyperlink display="Proportion of people under age 5 represented in GBD 2021 disease burden estimates who received the rotavirus vaccine, aggregated across doses" location="'Vaccine coverage'!E150" ref="E191"/>
    <hyperlink display="Proportion of people under age 5 represented in GBD 2021 disease burden estimates who received the measles vaccine" location="'Vaccine coverage'!E151" ref="E192"/>
    <hyperlink display="BCG vaccine efficacy rate with universal coverage" location="'Vaccine efficacy'!E49" ref="E195"/>
    <hyperlink display="DTP vaccine efficacy rate with universal coverage (part of the Penta vaccine)" location="'Vaccine efficacy'!E50" ref="E196"/>
    <hyperlink display="Hib vaccine efficacy rate with universal coverage (part of the Penta vaccine)" location="'Vaccine efficacy'!E51" ref="E197"/>
    <hyperlink display="PCV vaccine efficacy rate with universal coverage" location="'Vaccine efficacy'!E52" ref="E198"/>
    <hyperlink display="Rotavirus vaccine efficacy rate with universal coverage" location="'Vaccine efficacy'!E53" ref="E199"/>
    <hyperlink display="Measles vaccine efficacy rate with universal coverage" location="'Vaccine efficacy'!E54" ref="E200"/>
    <hyperlink display="Adjustment for expected change in vaccine-preventable disease burden over time for 5-14-year-olds" location="Inputs!E184" ref="E222"/>
    <hyperlink display="Adjustment for lower vaccine coverage among 5-14-year-olds represented in GBD 2021 disease burden estimates" location="Inputs!E182" ref="E232"/>
    <hyperlink display="Adjustment for reduction in vaccine efficacy over time for 5-14-year-olds" location="Inputs!E183" ref="E240"/>
    <hyperlink display="Adjustment for expected change in vaccine-preventable disease burden over time for 15-49-year-olds" location="Inputs!E187" ref="E266"/>
    <hyperlink display="Adjustment for lower vaccine coverage among 15-49-year-olds represented in GBD 2021 disease burden estimates" location="Inputs!E185" ref="E276"/>
    <hyperlink display="Adjustment for reduction in vaccine efficacy over time for 15-49-year-olds" location="Inputs!E186" ref="E284"/>
    <hyperlink display="Adjustment for expected change in vaccine-preventable disease burden over time for 50-74-year-olds" location="Inputs!E190" ref="E310"/>
    <hyperlink display="Adjustment for lower vaccine coverage among 50-74-year-olds represented in GBD 2021 disease burden estimates" location="Inputs!E188" ref="E320"/>
    <hyperlink display="Adjustment for reduction in vaccine efficacy over time for 50-74-year-olds" location="Inputs!E189" ref="E328"/>
    <hyperlink display="Proportion of total Penta vaccine efficacy provided by the 1st dose" location="Inputs!C87" ref="E373"/>
    <hyperlink display="Proportion of total Penta vaccine efficacy provided by the 2nd dose" location="Inputs!C88" ref="E374"/>
    <hyperlink display="Proportion of total Penta vaccine efficacy provided by the 3rd dose" location="Inputs!C89" ref="E375"/>
    <hyperlink display="Proportion of total PCV vaccine efficacy provided by the 1st dose" location="Inputs!C90" ref="E376"/>
    <hyperlink display="Proportion of total PCV vaccine efficacy provided by the 2nd dose" location="Inputs!C91" ref="E377"/>
    <hyperlink display="Proportion of total PCV vaccine efficacy provided by the 3rd dose" location="Inputs!C92" ref="E378"/>
    <hyperlink display="Proportion of total rotavirus vaccine efficacy provided by the 1st dose" location="Inputs!C93" ref="E379"/>
    <hyperlink display="Proportion of total rotavirus vaccine efficacy provided by the 2nd dose" location="Inputs!C94" ref="E380"/>
    <hyperlink display="Proportion of total measles vaccine efficacy provided by the 1st dose" location="Inputs!C95" ref="E381"/>
    <hyperlink display="Proportion of vaccine-preventable mortalities among people under age 5 that could be prevented by the BCG vaccine" location="'Disease burden'!E365" ref="E384"/>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45" width="12.13"/>
    <col customWidth="1" min="46" max="46" width="3.63"/>
  </cols>
  <sheetData>
    <row r="1">
      <c r="A1" s="1"/>
      <c r="B1" s="3"/>
      <c r="C1" s="3"/>
      <c r="D1" s="3"/>
      <c r="E1" s="5"/>
      <c r="F1" s="7"/>
      <c r="G1" s="8"/>
      <c r="H1" s="9"/>
      <c r="I1" s="11" t="s">
        <v>1</v>
      </c>
      <c r="J1" s="12"/>
      <c r="K1" s="12"/>
      <c r="L1" s="12"/>
      <c r="M1" s="12"/>
      <c r="N1" s="12"/>
      <c r="O1" s="12"/>
      <c r="P1" s="12"/>
      <c r="Q1" s="12"/>
      <c r="R1" s="16" t="s">
        <v>3</v>
      </c>
      <c r="S1" s="14"/>
      <c r="T1" s="14"/>
      <c r="U1" s="14"/>
      <c r="V1" s="14"/>
      <c r="W1" s="14"/>
      <c r="X1" s="14"/>
      <c r="Y1" s="14"/>
      <c r="Z1" s="14"/>
      <c r="AA1" s="14"/>
      <c r="AB1" s="14"/>
      <c r="AC1" s="14"/>
      <c r="AD1" s="14"/>
      <c r="AE1" s="14"/>
      <c r="AF1" s="20" t="s">
        <v>3</v>
      </c>
      <c r="AG1" s="14"/>
      <c r="AH1" s="14"/>
      <c r="AI1" s="14"/>
      <c r="AJ1" s="14"/>
      <c r="AK1" s="14"/>
      <c r="AL1" s="14"/>
      <c r="AM1" s="14"/>
      <c r="AN1" s="14"/>
      <c r="AO1" s="14"/>
      <c r="AP1" s="14"/>
      <c r="AQ1" s="14"/>
      <c r="AR1" s="14"/>
      <c r="AS1" s="14"/>
      <c r="AT1" s="23"/>
    </row>
    <row r="2">
      <c r="A2" s="24"/>
      <c r="B2" s="25"/>
      <c r="C2" s="25"/>
      <c r="D2" s="25"/>
      <c r="E2" s="27"/>
      <c r="F2" s="28"/>
      <c r="G2" s="29"/>
      <c r="H2" s="31"/>
      <c r="I2" s="35" t="s">
        <v>7</v>
      </c>
      <c r="J2" s="35" t="s">
        <v>7</v>
      </c>
      <c r="K2" s="35" t="s">
        <v>7</v>
      </c>
      <c r="L2" s="35" t="s">
        <v>7</v>
      </c>
      <c r="M2" s="35" t="s">
        <v>7</v>
      </c>
      <c r="N2" s="35" t="s">
        <v>7</v>
      </c>
      <c r="O2" s="35" t="s">
        <v>7</v>
      </c>
      <c r="P2" s="35" t="s">
        <v>7</v>
      </c>
      <c r="Q2" s="40" t="s">
        <v>7</v>
      </c>
      <c r="R2" s="35" t="s">
        <v>7</v>
      </c>
      <c r="S2" s="35" t="s">
        <v>7</v>
      </c>
      <c r="T2" s="35" t="s">
        <v>7</v>
      </c>
      <c r="U2" s="35" t="s">
        <v>7</v>
      </c>
      <c r="V2" s="35" t="s">
        <v>7</v>
      </c>
      <c r="W2" s="35" t="s">
        <v>7</v>
      </c>
      <c r="X2" s="35" t="s">
        <v>7</v>
      </c>
      <c r="Y2" s="35" t="s">
        <v>7</v>
      </c>
      <c r="Z2" s="35" t="s">
        <v>7</v>
      </c>
      <c r="AA2" s="35" t="s">
        <v>7</v>
      </c>
      <c r="AB2" s="35" t="s">
        <v>7</v>
      </c>
      <c r="AC2" s="35" t="s">
        <v>7</v>
      </c>
      <c r="AD2" s="35" t="s">
        <v>7</v>
      </c>
      <c r="AE2" s="35" t="s">
        <v>7</v>
      </c>
      <c r="AF2" s="35" t="s">
        <v>7</v>
      </c>
      <c r="AG2" s="35" t="s">
        <v>7</v>
      </c>
      <c r="AH2" s="35" t="s">
        <v>7</v>
      </c>
      <c r="AI2" s="35" t="s">
        <v>7</v>
      </c>
      <c r="AJ2" s="35" t="s">
        <v>7</v>
      </c>
      <c r="AK2" s="35" t="s">
        <v>7</v>
      </c>
      <c r="AL2" s="35" t="s">
        <v>7</v>
      </c>
      <c r="AM2" s="35" t="s">
        <v>7</v>
      </c>
      <c r="AN2" s="35" t="s">
        <v>7</v>
      </c>
      <c r="AO2" s="35" t="s">
        <v>7</v>
      </c>
      <c r="AP2" s="35" t="s">
        <v>7</v>
      </c>
      <c r="AQ2" s="35" t="s">
        <v>7</v>
      </c>
      <c r="AR2" s="35" t="s">
        <v>7</v>
      </c>
      <c r="AS2" s="35" t="s">
        <v>7</v>
      </c>
      <c r="AT2" s="42"/>
    </row>
    <row r="3">
      <c r="A3" s="43" t="s">
        <v>18</v>
      </c>
      <c r="B3" s="12"/>
      <c r="C3" s="12"/>
      <c r="D3" s="12"/>
      <c r="E3" s="12"/>
      <c r="F3" s="44" t="s">
        <v>21</v>
      </c>
      <c r="G3" s="45" t="s">
        <v>22</v>
      </c>
      <c r="H3" s="46" t="s">
        <v>24</v>
      </c>
      <c r="I3" s="47" t="s">
        <v>26</v>
      </c>
      <c r="J3" s="47" t="s">
        <v>28</v>
      </c>
      <c r="K3" s="47" t="s">
        <v>30</v>
      </c>
      <c r="L3" s="47" t="s">
        <v>31</v>
      </c>
      <c r="M3" s="47" t="s">
        <v>32</v>
      </c>
      <c r="N3" s="47" t="s">
        <v>33</v>
      </c>
      <c r="O3" s="47" t="s">
        <v>34</v>
      </c>
      <c r="P3" s="47" t="s">
        <v>35</v>
      </c>
      <c r="Q3" s="48" t="s">
        <v>37</v>
      </c>
      <c r="R3" s="47" t="s">
        <v>38</v>
      </c>
      <c r="S3" s="47" t="s">
        <v>39</v>
      </c>
      <c r="T3" s="47" t="s">
        <v>40</v>
      </c>
      <c r="U3" s="47" t="s">
        <v>41</v>
      </c>
      <c r="V3" s="47" t="s">
        <v>42</v>
      </c>
      <c r="W3" s="47" t="s">
        <v>44</v>
      </c>
      <c r="X3" s="47" t="s">
        <v>45</v>
      </c>
      <c r="Y3" s="47" t="s">
        <v>46</v>
      </c>
      <c r="Z3" s="47" t="s">
        <v>47</v>
      </c>
      <c r="AA3" s="47" t="s">
        <v>48</v>
      </c>
      <c r="AB3" s="47" t="s">
        <v>49</v>
      </c>
      <c r="AC3" s="47" t="s">
        <v>50</v>
      </c>
      <c r="AD3" s="47" t="s">
        <v>51</v>
      </c>
      <c r="AE3" s="47" t="s">
        <v>52</v>
      </c>
      <c r="AF3" s="47" t="s">
        <v>53</v>
      </c>
      <c r="AG3" s="47" t="s">
        <v>54</v>
      </c>
      <c r="AH3" s="47" t="s">
        <v>55</v>
      </c>
      <c r="AI3" s="47" t="s">
        <v>56</v>
      </c>
      <c r="AJ3" s="47" t="s">
        <v>57</v>
      </c>
      <c r="AK3" s="47" t="s">
        <v>58</v>
      </c>
      <c r="AL3" s="47" t="s">
        <v>59</v>
      </c>
      <c r="AM3" s="47" t="s">
        <v>60</v>
      </c>
      <c r="AN3" s="47" t="s">
        <v>61</v>
      </c>
      <c r="AO3" s="47" t="s">
        <v>63</v>
      </c>
      <c r="AP3" s="47" t="s">
        <v>64</v>
      </c>
      <c r="AQ3" s="47" t="s">
        <v>65</v>
      </c>
      <c r="AR3" s="47" t="s">
        <v>66</v>
      </c>
      <c r="AS3" s="47" t="s">
        <v>67</v>
      </c>
      <c r="AT3" s="53"/>
    </row>
    <row r="4">
      <c r="A4" s="54"/>
      <c r="B4" s="56"/>
      <c r="C4" s="56"/>
      <c r="D4" s="56"/>
      <c r="E4" s="57" t="s">
        <v>70</v>
      </c>
      <c r="F4" s="61" t="str">
        <f>'Main CEA'!F241</f>
        <v>xcash</v>
      </c>
      <c r="G4" s="62" t="str">
        <f>'Main CEA'!G241</f>
        <v>calc</v>
      </c>
      <c r="H4" s="65" t="str">
        <f>'Main CEA'!H241</f>
        <v>-</v>
      </c>
      <c r="I4" s="67">
        <f>'Main CEA'!I241</f>
        <v>23.79888889</v>
      </c>
      <c r="J4" s="67">
        <f>'Main CEA'!J241</f>
        <v>10.80064073</v>
      </c>
      <c r="K4" s="67">
        <f>'Main CEA'!K241</f>
        <v>19.89994382</v>
      </c>
      <c r="L4" s="67">
        <f>'Main CEA'!L241</f>
        <v>5.656827509</v>
      </c>
      <c r="M4" s="67">
        <f>'Main CEA'!M241</f>
        <v>13.12917563</v>
      </c>
      <c r="N4" s="67">
        <f>'Main CEA'!N241</f>
        <v>20.32981152</v>
      </c>
      <c r="O4" s="67">
        <f>'Main CEA'!O241</f>
        <v>31.53213901</v>
      </c>
      <c r="P4" s="67">
        <f>'Main CEA'!P241</f>
        <v>51.33089054</v>
      </c>
      <c r="Q4" s="67">
        <f>'Main CEA'!Q241</f>
        <v>38.10262623</v>
      </c>
      <c r="R4" s="67">
        <f>'Main CEA'!R241</f>
        <v>1.867786341</v>
      </c>
      <c r="S4" s="67">
        <f>'Main CEA'!S241</f>
        <v>4.225686691</v>
      </c>
      <c r="T4" s="67">
        <f>'Main CEA'!T241</f>
        <v>1.768109683</v>
      </c>
      <c r="U4" s="67">
        <f>'Main CEA'!U241</f>
        <v>2.150636078</v>
      </c>
      <c r="V4" s="67">
        <f>'Main CEA'!V241</f>
        <v>2.992986954</v>
      </c>
      <c r="W4" s="67">
        <f>'Main CEA'!W241</f>
        <v>3.694768058</v>
      </c>
      <c r="X4" s="67">
        <f>'Main CEA'!X241</f>
        <v>7.445203475</v>
      </c>
      <c r="Y4" s="67">
        <f>'Main CEA'!Y241</f>
        <v>1.470093695</v>
      </c>
      <c r="Z4" s="67">
        <f>'Main CEA'!Z241</f>
        <v>2.491823062</v>
      </c>
      <c r="AA4" s="67">
        <f>'Main CEA'!AA241</f>
        <v>0.9010486621</v>
      </c>
      <c r="AB4" s="67">
        <f>'Main CEA'!AB241</f>
        <v>1.689729482</v>
      </c>
      <c r="AC4" s="67">
        <f>'Main CEA'!AC241</f>
        <v>1.163916063</v>
      </c>
      <c r="AD4" s="67">
        <f>'Main CEA'!AD241</f>
        <v>0.9454095081</v>
      </c>
      <c r="AE4" s="67">
        <f>'Main CEA'!AE241</f>
        <v>1.452673546</v>
      </c>
      <c r="AF4" s="67">
        <f>'Main CEA'!AF241</f>
        <v>1.113372117</v>
      </c>
      <c r="AG4" s="67">
        <f>'Main CEA'!AG241</f>
        <v>2.326412741</v>
      </c>
      <c r="AH4" s="67">
        <f>'Main CEA'!AH241</f>
        <v>2.58552318</v>
      </c>
      <c r="AI4" s="67">
        <f>'Main CEA'!AI241</f>
        <v>1.057455961</v>
      </c>
      <c r="AJ4" s="67">
        <f>'Main CEA'!AJ241</f>
        <v>4.122478511</v>
      </c>
      <c r="AK4" s="67">
        <f>'Main CEA'!AK241</f>
        <v>8.328347179</v>
      </c>
      <c r="AL4" s="67">
        <f>'Main CEA'!AL241</f>
        <v>3.316423642</v>
      </c>
      <c r="AM4" s="67">
        <f>'Main CEA'!AM241</f>
        <v>2.891797582</v>
      </c>
      <c r="AN4" s="67">
        <f>'Main CEA'!AN241</f>
        <v>1.109345771</v>
      </c>
      <c r="AO4" s="67">
        <f>'Main CEA'!AO241</f>
        <v>1.997283971</v>
      </c>
      <c r="AP4" s="67">
        <f>'Main CEA'!AP241</f>
        <v>2.667363328</v>
      </c>
      <c r="AQ4" s="67">
        <f>'Main CEA'!AQ241</f>
        <v>1.639182556</v>
      </c>
      <c r="AR4" s="67">
        <f>'Main CEA'!AR241</f>
        <v>7.705572783</v>
      </c>
      <c r="AS4" s="67">
        <f>'Main CEA'!AS241</f>
        <v>6.722833091</v>
      </c>
      <c r="AT4" s="71"/>
    </row>
    <row r="5">
      <c r="A5" s="72" t="s">
        <v>355</v>
      </c>
      <c r="B5" s="14"/>
      <c r="C5" s="14"/>
      <c r="D5" s="14"/>
      <c r="E5" s="14"/>
      <c r="F5" s="14"/>
      <c r="G5" s="14"/>
      <c r="H5" s="73"/>
      <c r="I5" s="74"/>
      <c r="J5" s="74"/>
      <c r="K5" s="74"/>
      <c r="L5" s="74"/>
      <c r="M5" s="74"/>
      <c r="N5" s="74"/>
      <c r="O5" s="74"/>
      <c r="P5" s="97"/>
      <c r="Q5" s="97"/>
      <c r="R5" s="74"/>
      <c r="S5" s="74"/>
      <c r="T5" s="74"/>
      <c r="U5" s="74"/>
      <c r="V5" s="74"/>
      <c r="W5" s="74"/>
      <c r="X5" s="74"/>
      <c r="Y5" s="74"/>
      <c r="Z5" s="74"/>
      <c r="AA5" s="74"/>
      <c r="AB5" s="74"/>
      <c r="AC5" s="74"/>
      <c r="AD5" s="74"/>
      <c r="AE5" s="74"/>
      <c r="AF5" s="74"/>
      <c r="AG5" s="74"/>
      <c r="AH5" s="74"/>
      <c r="AI5" s="74"/>
      <c r="AJ5" s="97"/>
      <c r="AK5" s="97"/>
      <c r="AL5" s="97"/>
      <c r="AM5" s="97"/>
      <c r="AN5" s="97"/>
      <c r="AO5" s="97"/>
      <c r="AP5" s="97"/>
      <c r="AQ5" s="97"/>
      <c r="AR5" s="97"/>
      <c r="AS5" s="97"/>
      <c r="AT5" s="79"/>
    </row>
    <row r="6">
      <c r="A6" s="80"/>
      <c r="B6" s="81"/>
      <c r="C6" s="81"/>
      <c r="D6" s="81"/>
      <c r="E6" s="82"/>
      <c r="F6" s="83"/>
      <c r="G6" s="84"/>
      <c r="H6" s="85"/>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8"/>
    </row>
    <row r="7">
      <c r="A7" s="80"/>
      <c r="B7" s="81"/>
      <c r="C7" s="90" t="s">
        <v>356</v>
      </c>
      <c r="F7" s="83"/>
      <c r="G7" s="135"/>
      <c r="H7" s="85"/>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8"/>
    </row>
    <row r="8">
      <c r="A8" s="80"/>
      <c r="B8" s="81"/>
      <c r="C8" s="90"/>
      <c r="D8" s="90"/>
      <c r="E8" s="113" t="s">
        <v>357</v>
      </c>
      <c r="F8" s="189" t="s">
        <v>111</v>
      </c>
      <c r="G8" s="271" t="s">
        <v>203</v>
      </c>
      <c r="H8" s="344" t="str">
        <f>Inputs!H39</f>
        <v>-</v>
      </c>
      <c r="I8" s="157">
        <f>Inputs!I39</f>
        <v>20</v>
      </c>
      <c r="J8" s="157">
        <f>Inputs!J39</f>
        <v>11</v>
      </c>
      <c r="K8" s="157">
        <f>Inputs!K39</f>
        <v>27</v>
      </c>
      <c r="L8" s="157">
        <f>Inputs!L39</f>
        <v>23</v>
      </c>
      <c r="M8" s="157">
        <f>Inputs!M39</f>
        <v>44</v>
      </c>
      <c r="N8" s="157">
        <f>Inputs!N39</f>
        <v>34</v>
      </c>
      <c r="O8" s="157">
        <f>Inputs!O39</f>
        <v>21</v>
      </c>
      <c r="P8" s="157">
        <f>Inputs!P39</f>
        <v>23</v>
      </c>
      <c r="Q8" s="157">
        <f>Inputs!Q39</f>
        <v>14</v>
      </c>
      <c r="R8" s="157">
        <f>Inputs!R39</f>
        <v>17</v>
      </c>
      <c r="S8" s="157">
        <f>Inputs!S39</f>
        <v>21</v>
      </c>
      <c r="T8" s="157">
        <f>Inputs!T39</f>
        <v>31</v>
      </c>
      <c r="U8" s="157">
        <f>Inputs!U39</f>
        <v>21</v>
      </c>
      <c r="V8" s="157">
        <f>Inputs!V39</f>
        <v>8</v>
      </c>
      <c r="W8" s="157">
        <f>Inputs!W39</f>
        <v>23</v>
      </c>
      <c r="X8" s="157">
        <f>Inputs!X39</f>
        <v>27</v>
      </c>
      <c r="Y8" s="157">
        <f>Inputs!Y39</f>
        <v>18</v>
      </c>
      <c r="Z8" s="157">
        <f>Inputs!Z39</f>
        <v>25</v>
      </c>
      <c r="AA8" s="157">
        <f>Inputs!AA39</f>
        <v>12</v>
      </c>
      <c r="AB8" s="157">
        <f>Inputs!AB39</f>
        <v>18</v>
      </c>
      <c r="AC8" s="157">
        <f>Inputs!AC39</f>
        <v>16</v>
      </c>
      <c r="AD8" s="157">
        <f>Inputs!AD39</f>
        <v>17</v>
      </c>
      <c r="AE8" s="157">
        <f>Inputs!AE39</f>
        <v>6</v>
      </c>
      <c r="AF8" s="157">
        <f>Inputs!AF39</f>
        <v>27</v>
      </c>
      <c r="AG8" s="157">
        <f>Inputs!AG39</f>
        <v>21</v>
      </c>
      <c r="AH8" s="157">
        <f>Inputs!AH39</f>
        <v>16</v>
      </c>
      <c r="AI8" s="157">
        <f>Inputs!AI39</f>
        <v>20</v>
      </c>
      <c r="AJ8" s="157">
        <f>Inputs!AJ39</f>
        <v>13</v>
      </c>
      <c r="AK8" s="157">
        <f>Inputs!AK39</f>
        <v>25</v>
      </c>
      <c r="AL8" s="157">
        <f>Inputs!AL39</f>
        <v>20</v>
      </c>
      <c r="AM8" s="157">
        <f>Inputs!AM39</f>
        <v>18</v>
      </c>
      <c r="AN8" s="157">
        <f>Inputs!AN39</f>
        <v>30</v>
      </c>
      <c r="AO8" s="157">
        <f>Inputs!AO39</f>
        <v>33</v>
      </c>
      <c r="AP8" s="157">
        <f>Inputs!AP39</f>
        <v>17</v>
      </c>
      <c r="AQ8" s="157">
        <f>Inputs!AQ39</f>
        <v>23</v>
      </c>
      <c r="AR8" s="157">
        <f>Inputs!AR39</f>
        <v>16</v>
      </c>
      <c r="AS8" s="157">
        <f>Inputs!AS39</f>
        <v>17</v>
      </c>
      <c r="AT8" s="136"/>
    </row>
    <row r="9">
      <c r="A9" s="80"/>
      <c r="B9" s="81"/>
      <c r="C9" s="90"/>
      <c r="D9" s="90"/>
      <c r="E9" s="140" t="s">
        <v>361</v>
      </c>
      <c r="F9" s="215" t="s">
        <v>111</v>
      </c>
      <c r="G9" s="276" t="s">
        <v>203</v>
      </c>
      <c r="H9" s="345" t="str">
        <f>Inputs!H40</f>
        <v>-</v>
      </c>
      <c r="I9" s="179">
        <f>Inputs!I40</f>
        <v>20</v>
      </c>
      <c r="J9" s="179">
        <f>Inputs!J40</f>
        <v>11</v>
      </c>
      <c r="K9" s="179">
        <f>Inputs!K40</f>
        <v>23</v>
      </c>
      <c r="L9" s="179">
        <f>Inputs!L40</f>
        <v>18</v>
      </c>
      <c r="M9" s="179">
        <f>Inputs!M40</f>
        <v>44</v>
      </c>
      <c r="N9" s="179">
        <f>Inputs!N40</f>
        <v>12</v>
      </c>
      <c r="O9" s="179">
        <f>Inputs!O40</f>
        <v>16</v>
      </c>
      <c r="P9" s="179">
        <f>Inputs!P40</f>
        <v>14</v>
      </c>
      <c r="Q9" s="179">
        <f>Inputs!Q40</f>
        <v>1</v>
      </c>
      <c r="R9" s="179">
        <f>Inputs!R40</f>
        <v>0</v>
      </c>
      <c r="S9" s="179">
        <f>Inputs!S40</f>
        <v>18</v>
      </c>
      <c r="T9" s="179">
        <f>Inputs!T40</f>
        <v>0</v>
      </c>
      <c r="U9" s="179">
        <f>Inputs!U40</f>
        <v>0</v>
      </c>
      <c r="V9" s="179">
        <f>Inputs!V40</f>
        <v>0</v>
      </c>
      <c r="W9" s="179">
        <f>Inputs!W40</f>
        <v>0</v>
      </c>
      <c r="X9" s="179">
        <f>Inputs!X40</f>
        <v>0</v>
      </c>
      <c r="Y9" s="179">
        <f>Inputs!Y40</f>
        <v>0</v>
      </c>
      <c r="Z9" s="179">
        <f>Inputs!Z40</f>
        <v>0</v>
      </c>
      <c r="AA9" s="179">
        <f>Inputs!AA40</f>
        <v>0</v>
      </c>
      <c r="AB9" s="179">
        <f>Inputs!AB40</f>
        <v>0</v>
      </c>
      <c r="AC9" s="179">
        <f>Inputs!AC40</f>
        <v>0</v>
      </c>
      <c r="AD9" s="179">
        <f>Inputs!AD40</f>
        <v>0</v>
      </c>
      <c r="AE9" s="179">
        <f>Inputs!AE40</f>
        <v>0</v>
      </c>
      <c r="AF9" s="179">
        <f>Inputs!AF40</f>
        <v>0</v>
      </c>
      <c r="AG9" s="179">
        <f>Inputs!AG40</f>
        <v>0</v>
      </c>
      <c r="AH9" s="179">
        <f>Inputs!AH40</f>
        <v>0</v>
      </c>
      <c r="AI9" s="179">
        <f>Inputs!AI40</f>
        <v>0</v>
      </c>
      <c r="AJ9" s="179">
        <f>Inputs!AJ40</f>
        <v>0</v>
      </c>
      <c r="AK9" s="179">
        <f>Inputs!AK40</f>
        <v>0</v>
      </c>
      <c r="AL9" s="179">
        <f>Inputs!AL40</f>
        <v>0</v>
      </c>
      <c r="AM9" s="179">
        <f>Inputs!AM40</f>
        <v>0</v>
      </c>
      <c r="AN9" s="179">
        <f>Inputs!AN40</f>
        <v>0</v>
      </c>
      <c r="AO9" s="179">
        <f>Inputs!AO40</f>
        <v>0</v>
      </c>
      <c r="AP9" s="179">
        <f>Inputs!AP40</f>
        <v>0</v>
      </c>
      <c r="AQ9" s="179">
        <f>Inputs!AQ40</f>
        <v>0</v>
      </c>
      <c r="AR9" s="179">
        <f>Inputs!AR40</f>
        <v>9</v>
      </c>
      <c r="AS9" s="179">
        <f>Inputs!AS40</f>
        <v>0</v>
      </c>
      <c r="AT9" s="163"/>
    </row>
    <row r="10">
      <c r="A10" s="80"/>
      <c r="B10" s="81"/>
      <c r="C10" s="90"/>
      <c r="D10" s="90"/>
      <c r="E10" s="140" t="s">
        <v>364</v>
      </c>
      <c r="F10" s="215" t="s">
        <v>122</v>
      </c>
      <c r="G10" s="276" t="s">
        <v>149</v>
      </c>
      <c r="H10" s="187" t="s">
        <v>150</v>
      </c>
      <c r="I10" s="149">
        <f t="shared" ref="I10:AS10" si="1">I9/I8</f>
        <v>1</v>
      </c>
      <c r="J10" s="149">
        <f t="shared" si="1"/>
        <v>1</v>
      </c>
      <c r="K10" s="149">
        <f t="shared" si="1"/>
        <v>0.8518518519</v>
      </c>
      <c r="L10" s="149">
        <f t="shared" si="1"/>
        <v>0.7826086957</v>
      </c>
      <c r="M10" s="149">
        <f t="shared" si="1"/>
        <v>1</v>
      </c>
      <c r="N10" s="149">
        <f t="shared" si="1"/>
        <v>0.3529411765</v>
      </c>
      <c r="O10" s="149">
        <f t="shared" si="1"/>
        <v>0.7619047619</v>
      </c>
      <c r="P10" s="149">
        <f t="shared" si="1"/>
        <v>0.6086956522</v>
      </c>
      <c r="Q10" s="149">
        <f t="shared" si="1"/>
        <v>0.07142857143</v>
      </c>
      <c r="R10" s="149">
        <f t="shared" si="1"/>
        <v>0</v>
      </c>
      <c r="S10" s="149">
        <f t="shared" si="1"/>
        <v>0.8571428571</v>
      </c>
      <c r="T10" s="149">
        <f t="shared" si="1"/>
        <v>0</v>
      </c>
      <c r="U10" s="149">
        <f t="shared" si="1"/>
        <v>0</v>
      </c>
      <c r="V10" s="149">
        <f t="shared" si="1"/>
        <v>0</v>
      </c>
      <c r="W10" s="149">
        <f t="shared" si="1"/>
        <v>0</v>
      </c>
      <c r="X10" s="149">
        <f t="shared" si="1"/>
        <v>0</v>
      </c>
      <c r="Y10" s="149">
        <f t="shared" si="1"/>
        <v>0</v>
      </c>
      <c r="Z10" s="149">
        <f t="shared" si="1"/>
        <v>0</v>
      </c>
      <c r="AA10" s="149">
        <f t="shared" si="1"/>
        <v>0</v>
      </c>
      <c r="AB10" s="149">
        <f t="shared" si="1"/>
        <v>0</v>
      </c>
      <c r="AC10" s="149">
        <f t="shared" si="1"/>
        <v>0</v>
      </c>
      <c r="AD10" s="149">
        <f t="shared" si="1"/>
        <v>0</v>
      </c>
      <c r="AE10" s="149">
        <f t="shared" si="1"/>
        <v>0</v>
      </c>
      <c r="AF10" s="149">
        <f t="shared" si="1"/>
        <v>0</v>
      </c>
      <c r="AG10" s="149">
        <f t="shared" si="1"/>
        <v>0</v>
      </c>
      <c r="AH10" s="149">
        <f t="shared" si="1"/>
        <v>0</v>
      </c>
      <c r="AI10" s="149">
        <f t="shared" si="1"/>
        <v>0</v>
      </c>
      <c r="AJ10" s="149">
        <f t="shared" si="1"/>
        <v>0</v>
      </c>
      <c r="AK10" s="149">
        <f t="shared" si="1"/>
        <v>0</v>
      </c>
      <c r="AL10" s="149">
        <f t="shared" si="1"/>
        <v>0</v>
      </c>
      <c r="AM10" s="149">
        <f t="shared" si="1"/>
        <v>0</v>
      </c>
      <c r="AN10" s="149">
        <f t="shared" si="1"/>
        <v>0</v>
      </c>
      <c r="AO10" s="149">
        <f t="shared" si="1"/>
        <v>0</v>
      </c>
      <c r="AP10" s="149">
        <f t="shared" si="1"/>
        <v>0</v>
      </c>
      <c r="AQ10" s="149">
        <f t="shared" si="1"/>
        <v>0</v>
      </c>
      <c r="AR10" s="149">
        <f t="shared" si="1"/>
        <v>0.5625</v>
      </c>
      <c r="AS10" s="149">
        <f t="shared" si="1"/>
        <v>0</v>
      </c>
      <c r="AT10" s="163"/>
    </row>
    <row r="11">
      <c r="A11" s="80"/>
      <c r="B11" s="81"/>
      <c r="C11" s="90"/>
      <c r="D11" s="90"/>
      <c r="E11" s="140" t="s">
        <v>367</v>
      </c>
      <c r="F11" s="215" t="s">
        <v>122</v>
      </c>
      <c r="G11" s="276" t="s">
        <v>203</v>
      </c>
      <c r="H11" s="217">
        <f>Inputs!H41</f>
        <v>0.5</v>
      </c>
      <c r="I11" s="346" t="str">
        <f>Inputs!I41</f>
        <v>-</v>
      </c>
      <c r="J11" s="346" t="str">
        <f>Inputs!J41</f>
        <v>-</v>
      </c>
      <c r="K11" s="346" t="str">
        <f>Inputs!K41</f>
        <v>-</v>
      </c>
      <c r="L11" s="346" t="str">
        <f>Inputs!L41</f>
        <v>-</v>
      </c>
      <c r="M11" s="346" t="str">
        <f>Inputs!M41</f>
        <v>-</v>
      </c>
      <c r="N11" s="346" t="str">
        <f>Inputs!N41</f>
        <v>-</v>
      </c>
      <c r="O11" s="346" t="str">
        <f>Inputs!O41</f>
        <v>-</v>
      </c>
      <c r="P11" s="346" t="str">
        <f>Inputs!P41</f>
        <v>-</v>
      </c>
      <c r="Q11" s="346" t="str">
        <f>Inputs!Q41</f>
        <v>-</v>
      </c>
      <c r="R11" s="346" t="str">
        <f>Inputs!R41</f>
        <v>-</v>
      </c>
      <c r="S11" s="346" t="str">
        <f>Inputs!S41</f>
        <v>-</v>
      </c>
      <c r="T11" s="346" t="str">
        <f>Inputs!T41</f>
        <v>-</v>
      </c>
      <c r="U11" s="346" t="str">
        <f>Inputs!U41</f>
        <v>-</v>
      </c>
      <c r="V11" s="346" t="str">
        <f>Inputs!V41</f>
        <v>-</v>
      </c>
      <c r="W11" s="346" t="str">
        <f>Inputs!W41</f>
        <v>-</v>
      </c>
      <c r="X11" s="346" t="str">
        <f>Inputs!X41</f>
        <v>-</v>
      </c>
      <c r="Y11" s="346" t="str">
        <f>Inputs!Y41</f>
        <v>-</v>
      </c>
      <c r="Z11" s="346" t="str">
        <f>Inputs!Z41</f>
        <v>-</v>
      </c>
      <c r="AA11" s="346" t="str">
        <f>Inputs!AA41</f>
        <v>-</v>
      </c>
      <c r="AB11" s="346" t="str">
        <f>Inputs!AB41</f>
        <v>-</v>
      </c>
      <c r="AC11" s="346" t="str">
        <f>Inputs!AC41</f>
        <v>-</v>
      </c>
      <c r="AD11" s="346" t="str">
        <f>Inputs!AD41</f>
        <v>-</v>
      </c>
      <c r="AE11" s="346" t="str">
        <f>Inputs!AE41</f>
        <v>-</v>
      </c>
      <c r="AF11" s="346" t="str">
        <f>Inputs!AF41</f>
        <v>-</v>
      </c>
      <c r="AG11" s="346" t="str">
        <f>Inputs!AG41</f>
        <v>-</v>
      </c>
      <c r="AH11" s="346" t="str">
        <f>Inputs!AH41</f>
        <v>-</v>
      </c>
      <c r="AI11" s="346" t="str">
        <f>Inputs!AI41</f>
        <v>-</v>
      </c>
      <c r="AJ11" s="346" t="str">
        <f>Inputs!AJ41</f>
        <v>-</v>
      </c>
      <c r="AK11" s="346" t="str">
        <f>Inputs!AK41</f>
        <v>-</v>
      </c>
      <c r="AL11" s="346" t="str">
        <f>Inputs!AL41</f>
        <v>-</v>
      </c>
      <c r="AM11" s="346" t="str">
        <f>Inputs!AM41</f>
        <v>-</v>
      </c>
      <c r="AN11" s="346" t="str">
        <f>Inputs!AN41</f>
        <v>-</v>
      </c>
      <c r="AO11" s="346" t="str">
        <f>Inputs!AO41</f>
        <v>-</v>
      </c>
      <c r="AP11" s="346" t="str">
        <f>Inputs!AP41</f>
        <v>-</v>
      </c>
      <c r="AQ11" s="346" t="str">
        <f>Inputs!AQ41</f>
        <v>-</v>
      </c>
      <c r="AR11" s="346" t="str">
        <f>Inputs!AR41</f>
        <v>-</v>
      </c>
      <c r="AS11" s="346" t="str">
        <f>Inputs!AS41</f>
        <v>-</v>
      </c>
      <c r="AT11" s="163"/>
    </row>
    <row r="12">
      <c r="A12" s="80"/>
      <c r="B12" s="81"/>
      <c r="C12" s="90"/>
      <c r="D12" s="90"/>
      <c r="E12" s="237" t="s">
        <v>369</v>
      </c>
      <c r="F12" s="195" t="s">
        <v>122</v>
      </c>
      <c r="G12" s="291" t="s">
        <v>149</v>
      </c>
      <c r="H12" s="197" t="s">
        <v>150</v>
      </c>
      <c r="I12" s="240">
        <f t="shared" ref="I12:AS12" si="2">IF(I10=0,0,MIN(1,(I10*(1+$H11))))</f>
        <v>1</v>
      </c>
      <c r="J12" s="240">
        <f t="shared" si="2"/>
        <v>1</v>
      </c>
      <c r="K12" s="240">
        <f t="shared" si="2"/>
        <v>1</v>
      </c>
      <c r="L12" s="240">
        <f t="shared" si="2"/>
        <v>1</v>
      </c>
      <c r="M12" s="240">
        <f t="shared" si="2"/>
        <v>1</v>
      </c>
      <c r="N12" s="240">
        <f t="shared" si="2"/>
        <v>0.5294117647</v>
      </c>
      <c r="O12" s="240">
        <f t="shared" si="2"/>
        <v>1</v>
      </c>
      <c r="P12" s="240">
        <f t="shared" si="2"/>
        <v>0.9130434783</v>
      </c>
      <c r="Q12" s="240">
        <f t="shared" si="2"/>
        <v>0.1071428571</v>
      </c>
      <c r="R12" s="240">
        <f t="shared" si="2"/>
        <v>0</v>
      </c>
      <c r="S12" s="240">
        <f t="shared" si="2"/>
        <v>1</v>
      </c>
      <c r="T12" s="240">
        <f t="shared" si="2"/>
        <v>0</v>
      </c>
      <c r="U12" s="240">
        <f t="shared" si="2"/>
        <v>0</v>
      </c>
      <c r="V12" s="240">
        <f t="shared" si="2"/>
        <v>0</v>
      </c>
      <c r="W12" s="240">
        <f t="shared" si="2"/>
        <v>0</v>
      </c>
      <c r="X12" s="240">
        <f t="shared" si="2"/>
        <v>0</v>
      </c>
      <c r="Y12" s="240">
        <f t="shared" si="2"/>
        <v>0</v>
      </c>
      <c r="Z12" s="240">
        <f t="shared" si="2"/>
        <v>0</v>
      </c>
      <c r="AA12" s="240">
        <f t="shared" si="2"/>
        <v>0</v>
      </c>
      <c r="AB12" s="240">
        <f t="shared" si="2"/>
        <v>0</v>
      </c>
      <c r="AC12" s="240">
        <f t="shared" si="2"/>
        <v>0</v>
      </c>
      <c r="AD12" s="240">
        <f t="shared" si="2"/>
        <v>0</v>
      </c>
      <c r="AE12" s="240">
        <f t="shared" si="2"/>
        <v>0</v>
      </c>
      <c r="AF12" s="240">
        <f t="shared" si="2"/>
        <v>0</v>
      </c>
      <c r="AG12" s="240">
        <f t="shared" si="2"/>
        <v>0</v>
      </c>
      <c r="AH12" s="240">
        <f t="shared" si="2"/>
        <v>0</v>
      </c>
      <c r="AI12" s="240">
        <f t="shared" si="2"/>
        <v>0</v>
      </c>
      <c r="AJ12" s="240">
        <f t="shared" si="2"/>
        <v>0</v>
      </c>
      <c r="AK12" s="240">
        <f t="shared" si="2"/>
        <v>0</v>
      </c>
      <c r="AL12" s="240">
        <f t="shared" si="2"/>
        <v>0</v>
      </c>
      <c r="AM12" s="240">
        <f t="shared" si="2"/>
        <v>0</v>
      </c>
      <c r="AN12" s="240">
        <f t="shared" si="2"/>
        <v>0</v>
      </c>
      <c r="AO12" s="240">
        <f t="shared" si="2"/>
        <v>0</v>
      </c>
      <c r="AP12" s="240">
        <f t="shared" si="2"/>
        <v>0</v>
      </c>
      <c r="AQ12" s="240">
        <f t="shared" si="2"/>
        <v>0</v>
      </c>
      <c r="AR12" s="240">
        <f t="shared" si="2"/>
        <v>0.84375</v>
      </c>
      <c r="AS12" s="240">
        <f t="shared" si="2"/>
        <v>0</v>
      </c>
      <c r="AT12" s="248"/>
    </row>
    <row r="13">
      <c r="A13" s="80"/>
      <c r="B13" s="81"/>
      <c r="C13" s="90"/>
      <c r="D13" s="90"/>
      <c r="E13" s="253"/>
      <c r="F13" s="83"/>
      <c r="G13" s="135"/>
      <c r="H13" s="85"/>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8"/>
    </row>
    <row r="14">
      <c r="A14" s="80"/>
      <c r="B14" s="81"/>
      <c r="C14" s="90" t="s">
        <v>374</v>
      </c>
      <c r="F14" s="83"/>
      <c r="G14" s="135"/>
      <c r="H14" s="85"/>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8"/>
    </row>
    <row r="15">
      <c r="A15" s="80"/>
      <c r="B15" s="81"/>
      <c r="C15" s="90"/>
      <c r="D15" s="90"/>
      <c r="E15" s="113" t="s">
        <v>375</v>
      </c>
      <c r="F15" s="189" t="s">
        <v>122</v>
      </c>
      <c r="G15" s="190" t="s">
        <v>203</v>
      </c>
      <c r="H15" s="344" t="str">
        <f>Inputs!H44</f>
        <v>-</v>
      </c>
      <c r="I15" s="119">
        <f>Inputs!I44</f>
        <v>0.5502363</v>
      </c>
      <c r="J15" s="119">
        <f>Inputs!J44</f>
        <v>0.71897</v>
      </c>
      <c r="K15" s="119">
        <f>Inputs!K44</f>
        <v>0.607543</v>
      </c>
      <c r="L15" s="119">
        <f>Inputs!L44</f>
        <v>0.771063</v>
      </c>
      <c r="M15" s="119">
        <f>Inputs!M44</f>
        <v>0.625174</v>
      </c>
      <c r="N15" s="119">
        <f>Inputs!N44</f>
        <v>0.42517</v>
      </c>
      <c r="O15" s="119">
        <f>Inputs!O44</f>
        <v>0.389681</v>
      </c>
      <c r="P15" s="119">
        <f>Inputs!P44</f>
        <v>0.347098</v>
      </c>
      <c r="Q15" s="119">
        <f>Inputs!Q44</f>
        <v>0.2098</v>
      </c>
      <c r="R15" s="157" t="str">
        <f>Inputs!R44</f>
        <v>-</v>
      </c>
      <c r="S15" s="119">
        <f>Inputs!S44</f>
        <v>0.8916488</v>
      </c>
      <c r="T15" s="157" t="str">
        <f>Inputs!T44</f>
        <v>-</v>
      </c>
      <c r="U15" s="157" t="str">
        <f>Inputs!U44</f>
        <v>-</v>
      </c>
      <c r="V15" s="119" t="str">
        <f>Inputs!V44</f>
        <v>-</v>
      </c>
      <c r="W15" s="119" t="str">
        <f>Inputs!W44</f>
        <v>-</v>
      </c>
      <c r="X15" s="119" t="str">
        <f>Inputs!X44</f>
        <v>-</v>
      </c>
      <c r="Y15" s="119" t="str">
        <f>Inputs!Y44</f>
        <v>-</v>
      </c>
      <c r="Z15" s="119" t="str">
        <f>Inputs!Z44</f>
        <v>-</v>
      </c>
      <c r="AA15" s="119" t="str">
        <f>Inputs!AA44</f>
        <v>-</v>
      </c>
      <c r="AB15" s="119" t="str">
        <f>Inputs!AB44</f>
        <v>-</v>
      </c>
      <c r="AC15" s="119" t="str">
        <f>Inputs!AC44</f>
        <v>-</v>
      </c>
      <c r="AD15" s="119" t="str">
        <f>Inputs!AD44</f>
        <v>-</v>
      </c>
      <c r="AE15" s="119" t="str">
        <f>Inputs!AE44</f>
        <v>-</v>
      </c>
      <c r="AF15" s="119" t="str">
        <f>Inputs!AF44</f>
        <v>-</v>
      </c>
      <c r="AG15" s="119" t="str">
        <f>Inputs!AG44</f>
        <v>-</v>
      </c>
      <c r="AH15" s="119" t="str">
        <f>Inputs!AH44</f>
        <v>-</v>
      </c>
      <c r="AI15" s="119" t="str">
        <f>Inputs!AI44</f>
        <v>-</v>
      </c>
      <c r="AJ15" s="119" t="str">
        <f>Inputs!AJ44</f>
        <v>-</v>
      </c>
      <c r="AK15" s="119" t="str">
        <f>Inputs!AK44</f>
        <v>-</v>
      </c>
      <c r="AL15" s="119" t="str">
        <f>Inputs!AL44</f>
        <v>-</v>
      </c>
      <c r="AM15" s="119" t="str">
        <f>Inputs!AM44</f>
        <v>-</v>
      </c>
      <c r="AN15" s="119" t="str">
        <f>Inputs!AN44</f>
        <v>-</v>
      </c>
      <c r="AO15" s="119" t="str">
        <f>Inputs!AO44</f>
        <v>-</v>
      </c>
      <c r="AP15" s="119" t="str">
        <f>Inputs!AP44</f>
        <v>-</v>
      </c>
      <c r="AQ15" s="119" t="str">
        <f>Inputs!AQ44</f>
        <v>-</v>
      </c>
      <c r="AR15" s="119">
        <f>Inputs!AR44</f>
        <v>0.76868</v>
      </c>
      <c r="AS15" s="119" t="str">
        <f>Inputs!AS44</f>
        <v>-</v>
      </c>
      <c r="AT15" s="136"/>
    </row>
    <row r="16">
      <c r="A16" s="80"/>
      <c r="B16" s="81"/>
      <c r="C16" s="90"/>
      <c r="D16" s="90"/>
      <c r="E16" s="113" t="s">
        <v>380</v>
      </c>
      <c r="F16" s="189" t="s">
        <v>122</v>
      </c>
      <c r="G16" s="190" t="s">
        <v>203</v>
      </c>
      <c r="H16" s="344" t="str">
        <f>Inputs!H45</f>
        <v>-</v>
      </c>
      <c r="I16" s="119">
        <f>Inputs!I45</f>
        <v>0.492627</v>
      </c>
      <c r="J16" s="119">
        <f>Inputs!J45</f>
        <v>0.669297</v>
      </c>
      <c r="K16" s="119">
        <f>Inputs!K45</f>
        <v>0.570422</v>
      </c>
      <c r="L16" s="119">
        <f>Inputs!L45</f>
        <v>0.737175</v>
      </c>
      <c r="M16" s="119">
        <f>Inputs!M45</f>
        <v>0.576081</v>
      </c>
      <c r="N16" s="119">
        <f>Inputs!N45</f>
        <v>0.391148</v>
      </c>
      <c r="O16" s="119">
        <f>Inputs!O45</f>
        <v>0.323942</v>
      </c>
      <c r="P16" s="119">
        <f>Inputs!P45</f>
        <v>0.267364</v>
      </c>
      <c r="Q16" s="119">
        <f>Inputs!Q45</f>
        <v>0.1367</v>
      </c>
      <c r="R16" s="157" t="str">
        <f>Inputs!R45</f>
        <v>-</v>
      </c>
      <c r="S16" s="119">
        <f>Inputs!S45</f>
        <v>0.8639257</v>
      </c>
      <c r="T16" s="157" t="str">
        <f>Inputs!T45</f>
        <v>-</v>
      </c>
      <c r="U16" s="157" t="str">
        <f>Inputs!U45</f>
        <v>-</v>
      </c>
      <c r="V16" s="119" t="str">
        <f>Inputs!V45</f>
        <v>-</v>
      </c>
      <c r="W16" s="119" t="str">
        <f>Inputs!W45</f>
        <v>-</v>
      </c>
      <c r="X16" s="119" t="str">
        <f>Inputs!X45</f>
        <v>-</v>
      </c>
      <c r="Y16" s="119" t="str">
        <f>Inputs!Y45</f>
        <v>-</v>
      </c>
      <c r="Z16" s="119" t="str">
        <f>Inputs!Z45</f>
        <v>-</v>
      </c>
      <c r="AA16" s="119" t="str">
        <f>Inputs!AA45</f>
        <v>-</v>
      </c>
      <c r="AB16" s="119" t="str">
        <f>Inputs!AB45</f>
        <v>-</v>
      </c>
      <c r="AC16" s="119" t="str">
        <f>Inputs!AC45</f>
        <v>-</v>
      </c>
      <c r="AD16" s="119" t="str">
        <f>Inputs!AD45</f>
        <v>-</v>
      </c>
      <c r="AE16" s="119" t="str">
        <f>Inputs!AE45</f>
        <v>-</v>
      </c>
      <c r="AF16" s="119" t="str">
        <f>Inputs!AF45</f>
        <v>-</v>
      </c>
      <c r="AG16" s="119" t="str">
        <f>Inputs!AG45</f>
        <v>-</v>
      </c>
      <c r="AH16" s="119" t="str">
        <f>Inputs!AH45</f>
        <v>-</v>
      </c>
      <c r="AI16" s="119" t="str">
        <f>Inputs!AI45</f>
        <v>-</v>
      </c>
      <c r="AJ16" s="119" t="str">
        <f>Inputs!AJ45</f>
        <v>-</v>
      </c>
      <c r="AK16" s="119" t="str">
        <f>Inputs!AK45</f>
        <v>-</v>
      </c>
      <c r="AL16" s="119" t="str">
        <f>Inputs!AL45</f>
        <v>-</v>
      </c>
      <c r="AM16" s="119" t="str">
        <f>Inputs!AM45</f>
        <v>-</v>
      </c>
      <c r="AN16" s="119" t="str">
        <f>Inputs!AN45</f>
        <v>-</v>
      </c>
      <c r="AO16" s="119" t="str">
        <f>Inputs!AO45</f>
        <v>-</v>
      </c>
      <c r="AP16" s="119" t="str">
        <f>Inputs!AP45</f>
        <v>-</v>
      </c>
      <c r="AQ16" s="119" t="str">
        <f>Inputs!AQ45</f>
        <v>-</v>
      </c>
      <c r="AR16" s="119">
        <f>Inputs!AR45</f>
        <v>0.737023</v>
      </c>
      <c r="AS16" s="119" t="str">
        <f>Inputs!AS45</f>
        <v>-</v>
      </c>
      <c r="AT16" s="136"/>
    </row>
    <row r="17">
      <c r="A17" s="80"/>
      <c r="B17" s="81"/>
      <c r="C17" s="90"/>
      <c r="D17" s="90"/>
      <c r="E17" s="140" t="s">
        <v>385</v>
      </c>
      <c r="F17" s="215" t="s">
        <v>122</v>
      </c>
      <c r="G17" s="216" t="s">
        <v>203</v>
      </c>
      <c r="H17" s="345" t="str">
        <f>Inputs!H46</f>
        <v>-</v>
      </c>
      <c r="I17" s="149">
        <f>Inputs!I46</f>
        <v>0.4492416</v>
      </c>
      <c r="J17" s="149">
        <f>Inputs!J46</f>
        <v>0.627728</v>
      </c>
      <c r="K17" s="149">
        <f>Inputs!K46</f>
        <v>0.514389</v>
      </c>
      <c r="L17" s="149">
        <f>Inputs!L46</f>
        <v>0.666353</v>
      </c>
      <c r="M17" s="149">
        <f>Inputs!M46</f>
        <v>0.495632</v>
      </c>
      <c r="N17" s="149">
        <f>Inputs!N46</f>
        <v>0.375029</v>
      </c>
      <c r="O17" s="149">
        <f>Inputs!O46</f>
        <v>0.232988</v>
      </c>
      <c r="P17" s="149">
        <f>Inputs!P46</f>
        <v>0.256479</v>
      </c>
      <c r="Q17" s="149">
        <f>Inputs!Q46</f>
        <v>0.1248</v>
      </c>
      <c r="R17" s="179" t="str">
        <f>Inputs!R46</f>
        <v>-</v>
      </c>
      <c r="S17" s="149">
        <f>Inputs!S46</f>
        <v>0.7891816</v>
      </c>
      <c r="T17" s="179" t="str">
        <f>Inputs!T46</f>
        <v>-</v>
      </c>
      <c r="U17" s="179" t="str">
        <f>Inputs!U46</f>
        <v>-</v>
      </c>
      <c r="V17" s="149" t="str">
        <f>Inputs!V46</f>
        <v>-</v>
      </c>
      <c r="W17" s="149" t="str">
        <f>Inputs!W46</f>
        <v>-</v>
      </c>
      <c r="X17" s="149" t="str">
        <f>Inputs!X46</f>
        <v>-</v>
      </c>
      <c r="Y17" s="149" t="str">
        <f>Inputs!Y46</f>
        <v>-</v>
      </c>
      <c r="Z17" s="149" t="str">
        <f>Inputs!Z46</f>
        <v>-</v>
      </c>
      <c r="AA17" s="149" t="str">
        <f>Inputs!AA46</f>
        <v>-</v>
      </c>
      <c r="AB17" s="149" t="str">
        <f>Inputs!AB46</f>
        <v>-</v>
      </c>
      <c r="AC17" s="149" t="str">
        <f>Inputs!AC46</f>
        <v>-</v>
      </c>
      <c r="AD17" s="149" t="str">
        <f>Inputs!AD46</f>
        <v>-</v>
      </c>
      <c r="AE17" s="149" t="str">
        <f>Inputs!AE46</f>
        <v>-</v>
      </c>
      <c r="AF17" s="149" t="str">
        <f>Inputs!AF46</f>
        <v>-</v>
      </c>
      <c r="AG17" s="149" t="str">
        <f>Inputs!AG46</f>
        <v>-</v>
      </c>
      <c r="AH17" s="149" t="str">
        <f>Inputs!AH46</f>
        <v>-</v>
      </c>
      <c r="AI17" s="149" t="str">
        <f>Inputs!AI46</f>
        <v>-</v>
      </c>
      <c r="AJ17" s="149" t="str">
        <f>Inputs!AJ46</f>
        <v>-</v>
      </c>
      <c r="AK17" s="149" t="str">
        <f>Inputs!AK46</f>
        <v>-</v>
      </c>
      <c r="AL17" s="149" t="str">
        <f>Inputs!AL46</f>
        <v>-</v>
      </c>
      <c r="AM17" s="149" t="str">
        <f>Inputs!AM46</f>
        <v>-</v>
      </c>
      <c r="AN17" s="149" t="str">
        <f>Inputs!AN46</f>
        <v>-</v>
      </c>
      <c r="AO17" s="149" t="str">
        <f>Inputs!AO46</f>
        <v>-</v>
      </c>
      <c r="AP17" s="149" t="str">
        <f>Inputs!AP46</f>
        <v>-</v>
      </c>
      <c r="AQ17" s="149" t="str">
        <f>Inputs!AQ46</f>
        <v>-</v>
      </c>
      <c r="AR17" s="149">
        <f>Inputs!AR46</f>
        <v>0.670801</v>
      </c>
      <c r="AS17" s="149" t="str">
        <f>Inputs!AS46</f>
        <v>-</v>
      </c>
      <c r="AT17" s="163"/>
    </row>
    <row r="18">
      <c r="A18" s="80"/>
      <c r="B18" s="81"/>
      <c r="C18" s="90"/>
      <c r="D18" s="90"/>
      <c r="E18" s="140" t="s">
        <v>390</v>
      </c>
      <c r="F18" s="215" t="s">
        <v>122</v>
      </c>
      <c r="G18" s="216" t="s">
        <v>203</v>
      </c>
      <c r="H18" s="345" t="str">
        <f>Inputs!H47</f>
        <v>-</v>
      </c>
      <c r="I18" s="149">
        <f>Inputs!I47</f>
        <v>0.3592128</v>
      </c>
      <c r="J18" s="149">
        <f>Inputs!J47</f>
        <v>0.498994</v>
      </c>
      <c r="K18" s="149">
        <f>Inputs!K47</f>
        <v>0.394439</v>
      </c>
      <c r="L18" s="149">
        <f>Inputs!L47</f>
        <v>0.575903</v>
      </c>
      <c r="M18" s="149">
        <f>Inputs!M47</f>
        <v>0.379575</v>
      </c>
      <c r="N18" s="149">
        <f>Inputs!N47</f>
        <v>0.298181</v>
      </c>
      <c r="O18" s="149">
        <f>Inputs!O47</f>
        <v>0.140453</v>
      </c>
      <c r="P18" s="149">
        <f>Inputs!P47</f>
        <v>0.184736</v>
      </c>
      <c r="Q18" s="149">
        <f>Inputs!Q47</f>
        <v>0.0871</v>
      </c>
      <c r="R18" s="179" t="str">
        <f>Inputs!R47</f>
        <v>-</v>
      </c>
      <c r="S18" s="149">
        <f>Inputs!S47</f>
        <v>0.696186</v>
      </c>
      <c r="T18" s="179" t="str">
        <f>Inputs!T47</f>
        <v>-</v>
      </c>
      <c r="U18" s="179" t="str">
        <f>Inputs!U47</f>
        <v>-</v>
      </c>
      <c r="V18" s="149" t="str">
        <f>Inputs!V47</f>
        <v>-</v>
      </c>
      <c r="W18" s="149" t="str">
        <f>Inputs!W47</f>
        <v>-</v>
      </c>
      <c r="X18" s="149" t="str">
        <f>Inputs!X47</f>
        <v>-</v>
      </c>
      <c r="Y18" s="149" t="str">
        <f>Inputs!Y47</f>
        <v>-</v>
      </c>
      <c r="Z18" s="149" t="str">
        <f>Inputs!Z47</f>
        <v>-</v>
      </c>
      <c r="AA18" s="149" t="str">
        <f>Inputs!AA47</f>
        <v>-</v>
      </c>
      <c r="AB18" s="149" t="str">
        <f>Inputs!AB47</f>
        <v>-</v>
      </c>
      <c r="AC18" s="149" t="str">
        <f>Inputs!AC47</f>
        <v>-</v>
      </c>
      <c r="AD18" s="149" t="str">
        <f>Inputs!AD47</f>
        <v>-</v>
      </c>
      <c r="AE18" s="149" t="str">
        <f>Inputs!AE47</f>
        <v>-</v>
      </c>
      <c r="AF18" s="149" t="str">
        <f>Inputs!AF47</f>
        <v>-</v>
      </c>
      <c r="AG18" s="149" t="str">
        <f>Inputs!AG47</f>
        <v>-</v>
      </c>
      <c r="AH18" s="149" t="str">
        <f>Inputs!AH47</f>
        <v>-</v>
      </c>
      <c r="AI18" s="149" t="str">
        <f>Inputs!AI47</f>
        <v>-</v>
      </c>
      <c r="AJ18" s="149" t="str">
        <f>Inputs!AJ47</f>
        <v>-</v>
      </c>
      <c r="AK18" s="149" t="str">
        <f>Inputs!AK47</f>
        <v>-</v>
      </c>
      <c r="AL18" s="149" t="str">
        <f>Inputs!AL47</f>
        <v>-</v>
      </c>
      <c r="AM18" s="149" t="str">
        <f>Inputs!AM47</f>
        <v>-</v>
      </c>
      <c r="AN18" s="149" t="str">
        <f>Inputs!AN47</f>
        <v>-</v>
      </c>
      <c r="AO18" s="149" t="str">
        <f>Inputs!AO47</f>
        <v>-</v>
      </c>
      <c r="AP18" s="149" t="str">
        <f>Inputs!AP47</f>
        <v>-</v>
      </c>
      <c r="AQ18" s="149" t="str">
        <f>Inputs!AQ47</f>
        <v>-</v>
      </c>
      <c r="AR18" s="149">
        <f>Inputs!AR47</f>
        <v>0.569836</v>
      </c>
      <c r="AS18" s="149" t="str">
        <f>Inputs!AS47</f>
        <v>-</v>
      </c>
      <c r="AT18" s="163"/>
    </row>
    <row r="19">
      <c r="A19" s="80"/>
      <c r="B19" s="81"/>
      <c r="C19" s="90"/>
      <c r="D19" s="90"/>
      <c r="E19" s="237" t="s">
        <v>394</v>
      </c>
      <c r="F19" s="195" t="s">
        <v>122</v>
      </c>
      <c r="G19" s="196" t="s">
        <v>203</v>
      </c>
      <c r="H19" s="364" t="str">
        <f>Inputs!H48</f>
        <v>-</v>
      </c>
      <c r="I19" s="240">
        <f>Inputs!I48</f>
        <v>0.3507536</v>
      </c>
      <c r="J19" s="240">
        <f>Inputs!J48</f>
        <v>0.487185</v>
      </c>
      <c r="K19" s="240">
        <f>Inputs!K48</f>
        <v>0.376109</v>
      </c>
      <c r="L19" s="240">
        <f>Inputs!L48</f>
        <v>0.534296</v>
      </c>
      <c r="M19" s="240">
        <f>Inputs!M48</f>
        <v>0.341451</v>
      </c>
      <c r="N19" s="240">
        <f>Inputs!N48</f>
        <v>0.267725</v>
      </c>
      <c r="O19" s="240">
        <f>Inputs!O48</f>
        <v>0.216692</v>
      </c>
      <c r="P19" s="240">
        <f>Inputs!P48</f>
        <v>0.212981</v>
      </c>
      <c r="Q19" s="240">
        <f>Inputs!Q48</f>
        <v>0.1393</v>
      </c>
      <c r="R19" s="235" t="str">
        <f>Inputs!R48</f>
        <v>-</v>
      </c>
      <c r="S19" s="240">
        <f>Inputs!S48</f>
        <v>0.5973075</v>
      </c>
      <c r="T19" s="235" t="str">
        <f>Inputs!T48</f>
        <v>-</v>
      </c>
      <c r="U19" s="235" t="str">
        <f>Inputs!U48</f>
        <v>-</v>
      </c>
      <c r="V19" s="240" t="str">
        <f>Inputs!V48</f>
        <v>-</v>
      </c>
      <c r="W19" s="240" t="str">
        <f>Inputs!W48</f>
        <v>-</v>
      </c>
      <c r="X19" s="240" t="str">
        <f>Inputs!X48</f>
        <v>-</v>
      </c>
      <c r="Y19" s="240" t="str">
        <f>Inputs!Y48</f>
        <v>-</v>
      </c>
      <c r="Z19" s="240" t="str">
        <f>Inputs!Z48</f>
        <v>-</v>
      </c>
      <c r="AA19" s="240" t="str">
        <f>Inputs!AA48</f>
        <v>-</v>
      </c>
      <c r="AB19" s="240" t="str">
        <f>Inputs!AB48</f>
        <v>-</v>
      </c>
      <c r="AC19" s="240" t="str">
        <f>Inputs!AC48</f>
        <v>-</v>
      </c>
      <c r="AD19" s="240" t="str">
        <f>Inputs!AD48</f>
        <v>-</v>
      </c>
      <c r="AE19" s="240" t="str">
        <f>Inputs!AE48</f>
        <v>-</v>
      </c>
      <c r="AF19" s="240" t="str">
        <f>Inputs!AF48</f>
        <v>-</v>
      </c>
      <c r="AG19" s="240" t="str">
        <f>Inputs!AG48</f>
        <v>-</v>
      </c>
      <c r="AH19" s="240" t="str">
        <f>Inputs!AH48</f>
        <v>-</v>
      </c>
      <c r="AI19" s="240" t="str">
        <f>Inputs!AI48</f>
        <v>-</v>
      </c>
      <c r="AJ19" s="240" t="str">
        <f>Inputs!AJ48</f>
        <v>-</v>
      </c>
      <c r="AK19" s="240" t="str">
        <f>Inputs!AK48</f>
        <v>-</v>
      </c>
      <c r="AL19" s="240" t="str">
        <f>Inputs!AL48</f>
        <v>-</v>
      </c>
      <c r="AM19" s="240" t="str">
        <f>Inputs!AM48</f>
        <v>-</v>
      </c>
      <c r="AN19" s="240" t="str">
        <f>Inputs!AN48</f>
        <v>-</v>
      </c>
      <c r="AO19" s="240" t="str">
        <f>Inputs!AO48</f>
        <v>-</v>
      </c>
      <c r="AP19" s="240" t="str">
        <f>Inputs!AP48</f>
        <v>-</v>
      </c>
      <c r="AQ19" s="240" t="str">
        <f>Inputs!AQ48</f>
        <v>-</v>
      </c>
      <c r="AR19" s="240">
        <f>Inputs!AR48</f>
        <v>0.506814</v>
      </c>
      <c r="AS19" s="240" t="str">
        <f>Inputs!AS48</f>
        <v>-</v>
      </c>
      <c r="AT19" s="248"/>
    </row>
    <row r="20">
      <c r="A20" s="80"/>
      <c r="B20" s="81"/>
      <c r="C20" s="90"/>
      <c r="D20" s="90"/>
      <c r="E20" s="243"/>
      <c r="F20" s="83"/>
      <c r="G20" s="91"/>
      <c r="H20" s="85"/>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8"/>
    </row>
    <row r="21">
      <c r="A21" s="80"/>
      <c r="B21" s="81"/>
      <c r="C21" s="90" t="s">
        <v>400</v>
      </c>
      <c r="F21" s="83"/>
      <c r="G21" s="91"/>
      <c r="H21" s="85"/>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8"/>
    </row>
    <row r="22">
      <c r="A22" s="80"/>
      <c r="B22" s="81"/>
      <c r="C22" s="90"/>
      <c r="D22" s="90"/>
      <c r="E22" s="113" t="s">
        <v>401</v>
      </c>
      <c r="F22" s="189" t="s">
        <v>122</v>
      </c>
      <c r="G22" s="190" t="s">
        <v>203</v>
      </c>
      <c r="H22" s="371">
        <f>Inputs!H51</f>
        <v>0.006</v>
      </c>
      <c r="I22" s="119"/>
      <c r="J22" s="119"/>
      <c r="K22" s="119"/>
      <c r="L22" s="119"/>
      <c r="M22" s="119"/>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19"/>
      <c r="AL22" s="119"/>
      <c r="AM22" s="119"/>
      <c r="AN22" s="119"/>
      <c r="AO22" s="119"/>
      <c r="AP22" s="119"/>
      <c r="AQ22" s="119"/>
      <c r="AR22" s="119"/>
      <c r="AS22" s="119"/>
      <c r="AT22" s="136"/>
    </row>
    <row r="23">
      <c r="A23" s="80"/>
      <c r="B23" s="81"/>
      <c r="C23" s="90"/>
      <c r="D23" s="90"/>
      <c r="E23" s="140" t="s">
        <v>404</v>
      </c>
      <c r="F23" s="215" t="s">
        <v>122</v>
      </c>
      <c r="G23" s="216" t="s">
        <v>149</v>
      </c>
      <c r="H23" s="187" t="s">
        <v>150</v>
      </c>
      <c r="I23" s="149">
        <f t="shared" ref="I23:AS23" si="3">IFERROR(I15*(1+$H$22),"-")</f>
        <v>0.5535377178</v>
      </c>
      <c r="J23" s="149">
        <f t="shared" si="3"/>
        <v>0.72328382</v>
      </c>
      <c r="K23" s="149">
        <f t="shared" si="3"/>
        <v>0.611188258</v>
      </c>
      <c r="L23" s="149">
        <f t="shared" si="3"/>
        <v>0.775689378</v>
      </c>
      <c r="M23" s="149">
        <f t="shared" si="3"/>
        <v>0.628925044</v>
      </c>
      <c r="N23" s="149">
        <f t="shared" si="3"/>
        <v>0.42772102</v>
      </c>
      <c r="O23" s="149">
        <f t="shared" si="3"/>
        <v>0.392019086</v>
      </c>
      <c r="P23" s="149">
        <f t="shared" si="3"/>
        <v>0.349180588</v>
      </c>
      <c r="Q23" s="149">
        <f t="shared" si="3"/>
        <v>0.2110588</v>
      </c>
      <c r="R23" s="149" t="str">
        <f t="shared" si="3"/>
        <v>-</v>
      </c>
      <c r="S23" s="149">
        <f t="shared" si="3"/>
        <v>0.8969986928</v>
      </c>
      <c r="T23" s="149" t="str">
        <f t="shared" si="3"/>
        <v>-</v>
      </c>
      <c r="U23" s="149" t="str">
        <f t="shared" si="3"/>
        <v>-</v>
      </c>
      <c r="V23" s="149" t="str">
        <f t="shared" si="3"/>
        <v>-</v>
      </c>
      <c r="W23" s="149" t="str">
        <f t="shared" si="3"/>
        <v>-</v>
      </c>
      <c r="X23" s="149" t="str">
        <f t="shared" si="3"/>
        <v>-</v>
      </c>
      <c r="Y23" s="149" t="str">
        <f t="shared" si="3"/>
        <v>-</v>
      </c>
      <c r="Z23" s="149" t="str">
        <f t="shared" si="3"/>
        <v>-</v>
      </c>
      <c r="AA23" s="149" t="str">
        <f t="shared" si="3"/>
        <v>-</v>
      </c>
      <c r="AB23" s="149" t="str">
        <f t="shared" si="3"/>
        <v>-</v>
      </c>
      <c r="AC23" s="149" t="str">
        <f t="shared" si="3"/>
        <v>-</v>
      </c>
      <c r="AD23" s="149" t="str">
        <f t="shared" si="3"/>
        <v>-</v>
      </c>
      <c r="AE23" s="149" t="str">
        <f t="shared" si="3"/>
        <v>-</v>
      </c>
      <c r="AF23" s="149" t="str">
        <f t="shared" si="3"/>
        <v>-</v>
      </c>
      <c r="AG23" s="149" t="str">
        <f t="shared" si="3"/>
        <v>-</v>
      </c>
      <c r="AH23" s="149" t="str">
        <f t="shared" si="3"/>
        <v>-</v>
      </c>
      <c r="AI23" s="149" t="str">
        <f t="shared" si="3"/>
        <v>-</v>
      </c>
      <c r="AJ23" s="149" t="str">
        <f t="shared" si="3"/>
        <v>-</v>
      </c>
      <c r="AK23" s="149" t="str">
        <f t="shared" si="3"/>
        <v>-</v>
      </c>
      <c r="AL23" s="149" t="str">
        <f t="shared" si="3"/>
        <v>-</v>
      </c>
      <c r="AM23" s="149" t="str">
        <f t="shared" si="3"/>
        <v>-</v>
      </c>
      <c r="AN23" s="149" t="str">
        <f t="shared" si="3"/>
        <v>-</v>
      </c>
      <c r="AO23" s="149" t="str">
        <f t="shared" si="3"/>
        <v>-</v>
      </c>
      <c r="AP23" s="149" t="str">
        <f t="shared" si="3"/>
        <v>-</v>
      </c>
      <c r="AQ23" s="149" t="str">
        <f t="shared" si="3"/>
        <v>-</v>
      </c>
      <c r="AR23" s="149">
        <f t="shared" si="3"/>
        <v>0.77329208</v>
      </c>
      <c r="AS23" s="149" t="str">
        <f t="shared" si="3"/>
        <v>-</v>
      </c>
      <c r="AT23" s="163"/>
    </row>
    <row r="24">
      <c r="A24" s="80"/>
      <c r="B24" s="81"/>
      <c r="C24" s="90"/>
      <c r="D24" s="90"/>
      <c r="E24" s="140" t="s">
        <v>406</v>
      </c>
      <c r="F24" s="215" t="s">
        <v>122</v>
      </c>
      <c r="G24" s="216" t="s">
        <v>149</v>
      </c>
      <c r="H24" s="187" t="s">
        <v>150</v>
      </c>
      <c r="I24" s="149">
        <f t="shared" ref="I24:AS24" si="4">IFERROR(I16*(1+$H$22),"-")</f>
        <v>0.495582762</v>
      </c>
      <c r="J24" s="149">
        <f t="shared" si="4"/>
        <v>0.673312782</v>
      </c>
      <c r="K24" s="149">
        <f t="shared" si="4"/>
        <v>0.573844532</v>
      </c>
      <c r="L24" s="149">
        <f t="shared" si="4"/>
        <v>0.74159805</v>
      </c>
      <c r="M24" s="149">
        <f t="shared" si="4"/>
        <v>0.579537486</v>
      </c>
      <c r="N24" s="149">
        <f t="shared" si="4"/>
        <v>0.393494888</v>
      </c>
      <c r="O24" s="149">
        <f t="shared" si="4"/>
        <v>0.325885652</v>
      </c>
      <c r="P24" s="149">
        <f t="shared" si="4"/>
        <v>0.268968184</v>
      </c>
      <c r="Q24" s="149">
        <f t="shared" si="4"/>
        <v>0.1375202</v>
      </c>
      <c r="R24" s="149" t="str">
        <f t="shared" si="4"/>
        <v>-</v>
      </c>
      <c r="S24" s="149">
        <f t="shared" si="4"/>
        <v>0.8691092542</v>
      </c>
      <c r="T24" s="149" t="str">
        <f t="shared" si="4"/>
        <v>-</v>
      </c>
      <c r="U24" s="149" t="str">
        <f t="shared" si="4"/>
        <v>-</v>
      </c>
      <c r="V24" s="149" t="str">
        <f t="shared" si="4"/>
        <v>-</v>
      </c>
      <c r="W24" s="149" t="str">
        <f t="shared" si="4"/>
        <v>-</v>
      </c>
      <c r="X24" s="149" t="str">
        <f t="shared" si="4"/>
        <v>-</v>
      </c>
      <c r="Y24" s="149" t="str">
        <f t="shared" si="4"/>
        <v>-</v>
      </c>
      <c r="Z24" s="149" t="str">
        <f t="shared" si="4"/>
        <v>-</v>
      </c>
      <c r="AA24" s="149" t="str">
        <f t="shared" si="4"/>
        <v>-</v>
      </c>
      <c r="AB24" s="149" t="str">
        <f t="shared" si="4"/>
        <v>-</v>
      </c>
      <c r="AC24" s="149" t="str">
        <f t="shared" si="4"/>
        <v>-</v>
      </c>
      <c r="AD24" s="149" t="str">
        <f t="shared" si="4"/>
        <v>-</v>
      </c>
      <c r="AE24" s="149" t="str">
        <f t="shared" si="4"/>
        <v>-</v>
      </c>
      <c r="AF24" s="149" t="str">
        <f t="shared" si="4"/>
        <v>-</v>
      </c>
      <c r="AG24" s="149" t="str">
        <f t="shared" si="4"/>
        <v>-</v>
      </c>
      <c r="AH24" s="149" t="str">
        <f t="shared" si="4"/>
        <v>-</v>
      </c>
      <c r="AI24" s="149" t="str">
        <f t="shared" si="4"/>
        <v>-</v>
      </c>
      <c r="AJ24" s="149" t="str">
        <f t="shared" si="4"/>
        <v>-</v>
      </c>
      <c r="AK24" s="149" t="str">
        <f t="shared" si="4"/>
        <v>-</v>
      </c>
      <c r="AL24" s="149" t="str">
        <f t="shared" si="4"/>
        <v>-</v>
      </c>
      <c r="AM24" s="149" t="str">
        <f t="shared" si="4"/>
        <v>-</v>
      </c>
      <c r="AN24" s="149" t="str">
        <f t="shared" si="4"/>
        <v>-</v>
      </c>
      <c r="AO24" s="149" t="str">
        <f t="shared" si="4"/>
        <v>-</v>
      </c>
      <c r="AP24" s="149" t="str">
        <f t="shared" si="4"/>
        <v>-</v>
      </c>
      <c r="AQ24" s="149" t="str">
        <f t="shared" si="4"/>
        <v>-</v>
      </c>
      <c r="AR24" s="149">
        <f t="shared" si="4"/>
        <v>0.741445138</v>
      </c>
      <c r="AS24" s="149" t="str">
        <f t="shared" si="4"/>
        <v>-</v>
      </c>
      <c r="AT24" s="163"/>
    </row>
    <row r="25">
      <c r="A25" s="80"/>
      <c r="B25" s="81"/>
      <c r="C25" s="90"/>
      <c r="D25" s="90"/>
      <c r="E25" s="140" t="s">
        <v>407</v>
      </c>
      <c r="F25" s="215" t="s">
        <v>122</v>
      </c>
      <c r="G25" s="216" t="s">
        <v>149</v>
      </c>
      <c r="H25" s="187" t="s">
        <v>150</v>
      </c>
      <c r="I25" s="149">
        <f t="shared" ref="I25:AS25" si="5">IFERROR(I17*(1+$H$22),"-")</f>
        <v>0.4519370496</v>
      </c>
      <c r="J25" s="149">
        <f t="shared" si="5"/>
        <v>0.631494368</v>
      </c>
      <c r="K25" s="149">
        <f t="shared" si="5"/>
        <v>0.517475334</v>
      </c>
      <c r="L25" s="149">
        <f t="shared" si="5"/>
        <v>0.670351118</v>
      </c>
      <c r="M25" s="149">
        <f t="shared" si="5"/>
        <v>0.498605792</v>
      </c>
      <c r="N25" s="149">
        <f t="shared" si="5"/>
        <v>0.377279174</v>
      </c>
      <c r="O25" s="149">
        <f t="shared" si="5"/>
        <v>0.234385928</v>
      </c>
      <c r="P25" s="149">
        <f t="shared" si="5"/>
        <v>0.258017874</v>
      </c>
      <c r="Q25" s="149">
        <f t="shared" si="5"/>
        <v>0.1255488</v>
      </c>
      <c r="R25" s="149" t="str">
        <f t="shared" si="5"/>
        <v>-</v>
      </c>
      <c r="S25" s="149">
        <f t="shared" si="5"/>
        <v>0.7939166896</v>
      </c>
      <c r="T25" s="149" t="str">
        <f t="shared" si="5"/>
        <v>-</v>
      </c>
      <c r="U25" s="149" t="str">
        <f t="shared" si="5"/>
        <v>-</v>
      </c>
      <c r="V25" s="149" t="str">
        <f t="shared" si="5"/>
        <v>-</v>
      </c>
      <c r="W25" s="149" t="str">
        <f t="shared" si="5"/>
        <v>-</v>
      </c>
      <c r="X25" s="149" t="str">
        <f t="shared" si="5"/>
        <v>-</v>
      </c>
      <c r="Y25" s="149" t="str">
        <f t="shared" si="5"/>
        <v>-</v>
      </c>
      <c r="Z25" s="149" t="str">
        <f t="shared" si="5"/>
        <v>-</v>
      </c>
      <c r="AA25" s="149" t="str">
        <f t="shared" si="5"/>
        <v>-</v>
      </c>
      <c r="AB25" s="149" t="str">
        <f t="shared" si="5"/>
        <v>-</v>
      </c>
      <c r="AC25" s="149" t="str">
        <f t="shared" si="5"/>
        <v>-</v>
      </c>
      <c r="AD25" s="149" t="str">
        <f t="shared" si="5"/>
        <v>-</v>
      </c>
      <c r="AE25" s="149" t="str">
        <f t="shared" si="5"/>
        <v>-</v>
      </c>
      <c r="AF25" s="149" t="str">
        <f t="shared" si="5"/>
        <v>-</v>
      </c>
      <c r="AG25" s="149" t="str">
        <f t="shared" si="5"/>
        <v>-</v>
      </c>
      <c r="AH25" s="149" t="str">
        <f t="shared" si="5"/>
        <v>-</v>
      </c>
      <c r="AI25" s="149" t="str">
        <f t="shared" si="5"/>
        <v>-</v>
      </c>
      <c r="AJ25" s="149" t="str">
        <f t="shared" si="5"/>
        <v>-</v>
      </c>
      <c r="AK25" s="149" t="str">
        <f t="shared" si="5"/>
        <v>-</v>
      </c>
      <c r="AL25" s="149" t="str">
        <f t="shared" si="5"/>
        <v>-</v>
      </c>
      <c r="AM25" s="149" t="str">
        <f t="shared" si="5"/>
        <v>-</v>
      </c>
      <c r="AN25" s="149" t="str">
        <f t="shared" si="5"/>
        <v>-</v>
      </c>
      <c r="AO25" s="149" t="str">
        <f t="shared" si="5"/>
        <v>-</v>
      </c>
      <c r="AP25" s="149" t="str">
        <f t="shared" si="5"/>
        <v>-</v>
      </c>
      <c r="AQ25" s="149" t="str">
        <f t="shared" si="5"/>
        <v>-</v>
      </c>
      <c r="AR25" s="149">
        <f t="shared" si="5"/>
        <v>0.674825806</v>
      </c>
      <c r="AS25" s="149" t="str">
        <f t="shared" si="5"/>
        <v>-</v>
      </c>
      <c r="AT25" s="163"/>
    </row>
    <row r="26">
      <c r="A26" s="80"/>
      <c r="B26" s="81"/>
      <c r="C26" s="90"/>
      <c r="D26" s="90"/>
      <c r="E26" s="140" t="s">
        <v>409</v>
      </c>
      <c r="F26" s="215" t="s">
        <v>122</v>
      </c>
      <c r="G26" s="216" t="s">
        <v>149</v>
      </c>
      <c r="H26" s="187" t="s">
        <v>150</v>
      </c>
      <c r="I26" s="149">
        <f t="shared" ref="I26:AS26" si="6">IFERROR(I18*(1+$H$22),"-")</f>
        <v>0.3613680768</v>
      </c>
      <c r="J26" s="149">
        <f t="shared" si="6"/>
        <v>0.501987964</v>
      </c>
      <c r="K26" s="149">
        <f t="shared" si="6"/>
        <v>0.396805634</v>
      </c>
      <c r="L26" s="149">
        <f t="shared" si="6"/>
        <v>0.579358418</v>
      </c>
      <c r="M26" s="149">
        <f t="shared" si="6"/>
        <v>0.38185245</v>
      </c>
      <c r="N26" s="149">
        <f t="shared" si="6"/>
        <v>0.299970086</v>
      </c>
      <c r="O26" s="149">
        <f t="shared" si="6"/>
        <v>0.141295718</v>
      </c>
      <c r="P26" s="149">
        <f t="shared" si="6"/>
        <v>0.185844416</v>
      </c>
      <c r="Q26" s="149">
        <f t="shared" si="6"/>
        <v>0.0876226</v>
      </c>
      <c r="R26" s="149" t="str">
        <f t="shared" si="6"/>
        <v>-</v>
      </c>
      <c r="S26" s="149">
        <f t="shared" si="6"/>
        <v>0.700363116</v>
      </c>
      <c r="T26" s="149" t="str">
        <f t="shared" si="6"/>
        <v>-</v>
      </c>
      <c r="U26" s="149" t="str">
        <f t="shared" si="6"/>
        <v>-</v>
      </c>
      <c r="V26" s="149" t="str">
        <f t="shared" si="6"/>
        <v>-</v>
      </c>
      <c r="W26" s="149" t="str">
        <f t="shared" si="6"/>
        <v>-</v>
      </c>
      <c r="X26" s="149" t="str">
        <f t="shared" si="6"/>
        <v>-</v>
      </c>
      <c r="Y26" s="149" t="str">
        <f t="shared" si="6"/>
        <v>-</v>
      </c>
      <c r="Z26" s="149" t="str">
        <f t="shared" si="6"/>
        <v>-</v>
      </c>
      <c r="AA26" s="149" t="str">
        <f t="shared" si="6"/>
        <v>-</v>
      </c>
      <c r="AB26" s="149" t="str">
        <f t="shared" si="6"/>
        <v>-</v>
      </c>
      <c r="AC26" s="149" t="str">
        <f t="shared" si="6"/>
        <v>-</v>
      </c>
      <c r="AD26" s="149" t="str">
        <f t="shared" si="6"/>
        <v>-</v>
      </c>
      <c r="AE26" s="149" t="str">
        <f t="shared" si="6"/>
        <v>-</v>
      </c>
      <c r="AF26" s="149" t="str">
        <f t="shared" si="6"/>
        <v>-</v>
      </c>
      <c r="AG26" s="149" t="str">
        <f t="shared" si="6"/>
        <v>-</v>
      </c>
      <c r="AH26" s="149" t="str">
        <f t="shared" si="6"/>
        <v>-</v>
      </c>
      <c r="AI26" s="149" t="str">
        <f t="shared" si="6"/>
        <v>-</v>
      </c>
      <c r="AJ26" s="149" t="str">
        <f t="shared" si="6"/>
        <v>-</v>
      </c>
      <c r="AK26" s="149" t="str">
        <f t="shared" si="6"/>
        <v>-</v>
      </c>
      <c r="AL26" s="149" t="str">
        <f t="shared" si="6"/>
        <v>-</v>
      </c>
      <c r="AM26" s="149" t="str">
        <f t="shared" si="6"/>
        <v>-</v>
      </c>
      <c r="AN26" s="149" t="str">
        <f t="shared" si="6"/>
        <v>-</v>
      </c>
      <c r="AO26" s="149" t="str">
        <f t="shared" si="6"/>
        <v>-</v>
      </c>
      <c r="AP26" s="149" t="str">
        <f t="shared" si="6"/>
        <v>-</v>
      </c>
      <c r="AQ26" s="149" t="str">
        <f t="shared" si="6"/>
        <v>-</v>
      </c>
      <c r="AR26" s="149">
        <f t="shared" si="6"/>
        <v>0.573255016</v>
      </c>
      <c r="AS26" s="149" t="str">
        <f t="shared" si="6"/>
        <v>-</v>
      </c>
      <c r="AT26" s="163"/>
    </row>
    <row r="27">
      <c r="A27" s="80"/>
      <c r="B27" s="81"/>
      <c r="C27" s="81"/>
      <c r="D27" s="81"/>
      <c r="E27" s="194" t="s">
        <v>411</v>
      </c>
      <c r="F27" s="195" t="s">
        <v>122</v>
      </c>
      <c r="G27" s="374" t="s">
        <v>149</v>
      </c>
      <c r="H27" s="375" t="s">
        <v>150</v>
      </c>
      <c r="I27" s="240">
        <f t="shared" ref="I27:AS27" si="7">IFERROR(I19*(1+$H$22),"-")</f>
        <v>0.3528581216</v>
      </c>
      <c r="J27" s="240">
        <f t="shared" si="7"/>
        <v>0.49010811</v>
      </c>
      <c r="K27" s="240">
        <f t="shared" si="7"/>
        <v>0.378365654</v>
      </c>
      <c r="L27" s="240">
        <f t="shared" si="7"/>
        <v>0.537501776</v>
      </c>
      <c r="M27" s="240">
        <f t="shared" si="7"/>
        <v>0.343499706</v>
      </c>
      <c r="N27" s="240">
        <f t="shared" si="7"/>
        <v>0.26933135</v>
      </c>
      <c r="O27" s="240">
        <f t="shared" si="7"/>
        <v>0.217992152</v>
      </c>
      <c r="P27" s="240">
        <f t="shared" si="7"/>
        <v>0.214258886</v>
      </c>
      <c r="Q27" s="240">
        <f t="shared" si="7"/>
        <v>0.1401358</v>
      </c>
      <c r="R27" s="240" t="str">
        <f t="shared" si="7"/>
        <v>-</v>
      </c>
      <c r="S27" s="240">
        <f t="shared" si="7"/>
        <v>0.600891345</v>
      </c>
      <c r="T27" s="240" t="str">
        <f t="shared" si="7"/>
        <v>-</v>
      </c>
      <c r="U27" s="240" t="str">
        <f t="shared" si="7"/>
        <v>-</v>
      </c>
      <c r="V27" s="240" t="str">
        <f t="shared" si="7"/>
        <v>-</v>
      </c>
      <c r="W27" s="240" t="str">
        <f t="shared" si="7"/>
        <v>-</v>
      </c>
      <c r="X27" s="240" t="str">
        <f t="shared" si="7"/>
        <v>-</v>
      </c>
      <c r="Y27" s="240" t="str">
        <f t="shared" si="7"/>
        <v>-</v>
      </c>
      <c r="Z27" s="240" t="str">
        <f t="shared" si="7"/>
        <v>-</v>
      </c>
      <c r="AA27" s="240" t="str">
        <f t="shared" si="7"/>
        <v>-</v>
      </c>
      <c r="AB27" s="240" t="str">
        <f t="shared" si="7"/>
        <v>-</v>
      </c>
      <c r="AC27" s="240" t="str">
        <f t="shared" si="7"/>
        <v>-</v>
      </c>
      <c r="AD27" s="240" t="str">
        <f t="shared" si="7"/>
        <v>-</v>
      </c>
      <c r="AE27" s="240" t="str">
        <f t="shared" si="7"/>
        <v>-</v>
      </c>
      <c r="AF27" s="240" t="str">
        <f t="shared" si="7"/>
        <v>-</v>
      </c>
      <c r="AG27" s="240" t="str">
        <f t="shared" si="7"/>
        <v>-</v>
      </c>
      <c r="AH27" s="240" t="str">
        <f t="shared" si="7"/>
        <v>-</v>
      </c>
      <c r="AI27" s="240" t="str">
        <f t="shared" si="7"/>
        <v>-</v>
      </c>
      <c r="AJ27" s="240" t="str">
        <f t="shared" si="7"/>
        <v>-</v>
      </c>
      <c r="AK27" s="240" t="str">
        <f t="shared" si="7"/>
        <v>-</v>
      </c>
      <c r="AL27" s="240" t="str">
        <f t="shared" si="7"/>
        <v>-</v>
      </c>
      <c r="AM27" s="240" t="str">
        <f t="shared" si="7"/>
        <v>-</v>
      </c>
      <c r="AN27" s="240" t="str">
        <f t="shared" si="7"/>
        <v>-</v>
      </c>
      <c r="AO27" s="240" t="str">
        <f t="shared" si="7"/>
        <v>-</v>
      </c>
      <c r="AP27" s="240" t="str">
        <f t="shared" si="7"/>
        <v>-</v>
      </c>
      <c r="AQ27" s="240" t="str">
        <f t="shared" si="7"/>
        <v>-</v>
      </c>
      <c r="AR27" s="240">
        <f t="shared" si="7"/>
        <v>0.509854884</v>
      </c>
      <c r="AS27" s="240" t="str">
        <f t="shared" si="7"/>
        <v>-</v>
      </c>
      <c r="AT27" s="199"/>
    </row>
    <row r="28">
      <c r="A28" s="80"/>
      <c r="B28" s="81"/>
      <c r="C28" s="126"/>
      <c r="D28" s="81"/>
      <c r="E28" s="121"/>
      <c r="F28" s="108"/>
      <c r="G28" s="127"/>
      <c r="H28" s="85"/>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8"/>
    </row>
    <row r="29">
      <c r="A29" s="72" t="s">
        <v>413</v>
      </c>
      <c r="B29" s="14"/>
      <c r="C29" s="14"/>
      <c r="D29" s="14"/>
      <c r="E29" s="14"/>
      <c r="F29" s="14"/>
      <c r="G29" s="14"/>
      <c r="H29" s="168"/>
      <c r="I29" s="261"/>
      <c r="J29" s="261"/>
      <c r="K29" s="261"/>
      <c r="L29" s="261"/>
      <c r="M29" s="261"/>
      <c r="N29" s="261"/>
      <c r="O29" s="261"/>
      <c r="P29" s="261"/>
      <c r="Q29" s="261"/>
      <c r="R29" s="261"/>
      <c r="S29" s="261"/>
      <c r="T29" s="261"/>
      <c r="U29" s="261"/>
      <c r="V29" s="261"/>
      <c r="W29" s="261"/>
      <c r="X29" s="261"/>
      <c r="Y29" s="261"/>
      <c r="Z29" s="261"/>
      <c r="AA29" s="261"/>
      <c r="AB29" s="261"/>
      <c r="AC29" s="261"/>
      <c r="AD29" s="261"/>
      <c r="AE29" s="261"/>
      <c r="AF29" s="261"/>
      <c r="AG29" s="261"/>
      <c r="AH29" s="261"/>
      <c r="AI29" s="261"/>
      <c r="AJ29" s="261"/>
      <c r="AK29" s="261"/>
      <c r="AL29" s="261"/>
      <c r="AM29" s="261"/>
      <c r="AN29" s="261"/>
      <c r="AO29" s="261"/>
      <c r="AP29" s="261"/>
      <c r="AQ29" s="261"/>
      <c r="AR29" s="261"/>
      <c r="AS29" s="261"/>
      <c r="AT29" s="171"/>
    </row>
    <row r="30">
      <c r="A30" s="80"/>
      <c r="B30" s="81"/>
      <c r="C30" s="81"/>
      <c r="D30" s="81"/>
      <c r="E30" s="82"/>
      <c r="F30" s="83"/>
      <c r="G30" s="173"/>
      <c r="H30" s="85"/>
      <c r="I30" s="174"/>
      <c r="J30" s="174"/>
      <c r="K30" s="174"/>
      <c r="L30" s="174"/>
      <c r="M30" s="174"/>
      <c r="N30" s="174"/>
      <c r="O30" s="174"/>
      <c r="P30" s="174"/>
      <c r="Q30" s="174"/>
      <c r="R30" s="174"/>
      <c r="S30" s="174"/>
      <c r="T30" s="174"/>
      <c r="U30" s="174"/>
      <c r="V30" s="174"/>
      <c r="W30" s="174"/>
      <c r="X30" s="174"/>
      <c r="Y30" s="174"/>
      <c r="Z30" s="174"/>
      <c r="AA30" s="174"/>
      <c r="AB30" s="174"/>
      <c r="AC30" s="174"/>
      <c r="AD30" s="174"/>
      <c r="AE30" s="174"/>
      <c r="AF30" s="174"/>
      <c r="AG30" s="174"/>
      <c r="AH30" s="174"/>
      <c r="AI30" s="174"/>
      <c r="AJ30" s="174"/>
      <c r="AK30" s="174"/>
      <c r="AL30" s="174"/>
      <c r="AM30" s="174"/>
      <c r="AN30" s="174"/>
      <c r="AO30" s="174"/>
      <c r="AP30" s="174"/>
      <c r="AQ30" s="174"/>
      <c r="AR30" s="174"/>
      <c r="AS30" s="174"/>
      <c r="AT30" s="88"/>
    </row>
    <row r="31">
      <c r="A31" s="80"/>
      <c r="B31" s="81"/>
      <c r="C31" s="90" t="s">
        <v>416</v>
      </c>
      <c r="F31" s="83"/>
      <c r="G31" s="135"/>
      <c r="H31" s="85"/>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8"/>
    </row>
    <row r="32">
      <c r="A32" s="80"/>
      <c r="B32" s="81"/>
      <c r="C32" s="90"/>
      <c r="D32" s="90"/>
      <c r="E32" s="113" t="s">
        <v>417</v>
      </c>
      <c r="F32" s="189" t="s">
        <v>122</v>
      </c>
      <c r="G32" s="190" t="s">
        <v>203</v>
      </c>
      <c r="H32" s="344" t="str">
        <f>Inputs!H54</f>
        <v>-</v>
      </c>
      <c r="I32" s="119">
        <f>Inputs!I54</f>
        <v>0.491</v>
      </c>
      <c r="J32" s="119">
        <f>Inputs!J54</f>
        <v>0.59</v>
      </c>
      <c r="K32" s="119">
        <f>Inputs!K54</f>
        <v>0.635</v>
      </c>
      <c r="L32" s="119">
        <f>Inputs!L54</f>
        <v>0.781</v>
      </c>
      <c r="M32" s="119">
        <f>Inputs!M54</f>
        <v>0.603</v>
      </c>
      <c r="N32" s="119">
        <f>Inputs!N54</f>
        <v>0.569</v>
      </c>
      <c r="O32" s="119">
        <f>Inputs!O54</f>
        <v>0.636</v>
      </c>
      <c r="P32" s="119">
        <f>Inputs!P54</f>
        <v>0.337</v>
      </c>
      <c r="Q32" s="119">
        <f>Inputs!Q54</f>
        <v>0.508</v>
      </c>
      <c r="R32" s="119">
        <f>Inputs!R54</f>
        <v>0.905</v>
      </c>
      <c r="S32" s="119">
        <f>Inputs!S54</f>
        <v>0.836</v>
      </c>
      <c r="T32" s="119">
        <f>Inputs!T54</f>
        <v>0.856</v>
      </c>
      <c r="U32" s="119">
        <f>Inputs!U54</f>
        <v>0.844</v>
      </c>
      <c r="V32" s="119">
        <f>Inputs!V54</f>
        <v>0.789</v>
      </c>
      <c r="W32" s="119">
        <f>Inputs!W54</f>
        <v>0.817</v>
      </c>
      <c r="X32" s="119">
        <f>Inputs!X54</f>
        <v>0.648</v>
      </c>
      <c r="Y32" s="119">
        <f>Inputs!Y54</f>
        <v>0.931</v>
      </c>
      <c r="Z32" s="119">
        <f>Inputs!Z54</f>
        <v>0.835</v>
      </c>
      <c r="AA32" s="119">
        <f>Inputs!AA54</f>
        <v>0.993</v>
      </c>
      <c r="AB32" s="119">
        <f>Inputs!AB54</f>
        <v>0.923</v>
      </c>
      <c r="AC32" s="119">
        <f>Inputs!AC54</f>
        <v>0.99</v>
      </c>
      <c r="AD32" s="119">
        <f>Inputs!AD54</f>
        <v>0.991</v>
      </c>
      <c r="AE32" s="119">
        <f>Inputs!AE54</f>
        <v>0.952</v>
      </c>
      <c r="AF32" s="119">
        <f>Inputs!AF54</f>
        <v>0.947</v>
      </c>
      <c r="AG32" s="119">
        <f>Inputs!AG54</f>
        <v>0.923</v>
      </c>
      <c r="AH32" s="119">
        <f>Inputs!AH54</f>
        <v>0.723</v>
      </c>
      <c r="AI32" s="119">
        <f>Inputs!AI54</f>
        <v>0.944</v>
      </c>
      <c r="AJ32" s="119">
        <f>Inputs!AJ54</f>
        <v>0.792</v>
      </c>
      <c r="AK32" s="119">
        <f>Inputs!AK54</f>
        <v>0.667</v>
      </c>
      <c r="AL32" s="119">
        <f>Inputs!AL54</f>
        <v>0.723</v>
      </c>
      <c r="AM32" s="119">
        <f>Inputs!AM54</f>
        <v>0.751</v>
      </c>
      <c r="AN32" s="119">
        <f>Inputs!AN54</f>
        <v>0.93</v>
      </c>
      <c r="AO32" s="119">
        <f>Inputs!AO54</f>
        <v>0.825</v>
      </c>
      <c r="AP32" s="119">
        <f>Inputs!AP54</f>
        <v>0.877</v>
      </c>
      <c r="AQ32" s="119">
        <f>Inputs!AQ54</f>
        <v>0.903</v>
      </c>
      <c r="AR32" s="119">
        <f>Inputs!AR54</f>
        <v>0.711</v>
      </c>
      <c r="AS32" s="119">
        <f>Inputs!AS54</f>
        <v>0.752</v>
      </c>
      <c r="AT32" s="136"/>
    </row>
    <row r="33">
      <c r="A33" s="80"/>
      <c r="B33" s="81"/>
      <c r="C33" s="90"/>
      <c r="D33" s="90"/>
      <c r="E33" s="113" t="s">
        <v>422</v>
      </c>
      <c r="F33" s="189" t="s">
        <v>122</v>
      </c>
      <c r="G33" s="190" t="s">
        <v>203</v>
      </c>
      <c r="H33" s="344" t="str">
        <f>Inputs!H55</f>
        <v>-</v>
      </c>
      <c r="I33" s="119">
        <f>Inputs!I55</f>
        <v>0.423</v>
      </c>
      <c r="J33" s="119">
        <f>Inputs!J55</f>
        <v>0.542</v>
      </c>
      <c r="K33" s="119">
        <f>Inputs!K55</f>
        <v>0.614</v>
      </c>
      <c r="L33" s="119">
        <f>Inputs!L55</f>
        <v>0.726</v>
      </c>
      <c r="M33" s="119">
        <f>Inputs!M55</f>
        <v>0.549</v>
      </c>
      <c r="N33" s="119">
        <f>Inputs!N55</f>
        <v>0.53</v>
      </c>
      <c r="O33" s="119">
        <f>Inputs!O55</f>
        <v>0.595</v>
      </c>
      <c r="P33" s="119">
        <f>Inputs!P55</f>
        <v>0.288</v>
      </c>
      <c r="Q33" s="119">
        <f>Inputs!Q55</f>
        <v>0.45</v>
      </c>
      <c r="R33" s="119">
        <f>Inputs!R55</f>
        <v>0.882</v>
      </c>
      <c r="S33" s="119">
        <f>Inputs!S55</f>
        <v>0.75</v>
      </c>
      <c r="T33" s="119">
        <f>Inputs!T55</f>
        <v>0.862</v>
      </c>
      <c r="U33" s="119">
        <f>Inputs!U55</f>
        <v>0.829</v>
      </c>
      <c r="V33" s="119">
        <f>Inputs!V55</f>
        <v>0.775</v>
      </c>
      <c r="W33" s="119">
        <f>Inputs!W55</f>
        <v>0.808</v>
      </c>
      <c r="X33" s="119">
        <f>Inputs!X55</f>
        <v>0.579</v>
      </c>
      <c r="Y33" s="119">
        <f>Inputs!Y55</f>
        <v>0.931</v>
      </c>
      <c r="Z33" s="119">
        <f>Inputs!Z55</f>
        <v>0.81</v>
      </c>
      <c r="AA33" s="119">
        <f>Inputs!AA55</f>
        <v>0.991</v>
      </c>
      <c r="AB33" s="119">
        <f>Inputs!AB55</f>
        <v>0.922</v>
      </c>
      <c r="AC33" s="119">
        <f>Inputs!AC55</f>
        <v>0.946</v>
      </c>
      <c r="AD33" s="119">
        <f>Inputs!AD55</f>
        <v>0.985</v>
      </c>
      <c r="AE33" s="119">
        <f>Inputs!AE55</f>
        <v>0.905</v>
      </c>
      <c r="AF33" s="119">
        <f>Inputs!AF55</f>
        <v>0.941</v>
      </c>
      <c r="AG33" s="119">
        <f>Inputs!AG55</f>
        <v>0.862</v>
      </c>
      <c r="AH33" s="119">
        <f>Inputs!AH55</f>
        <v>0.663</v>
      </c>
      <c r="AI33" s="119">
        <f>Inputs!AI55</f>
        <v>0.924</v>
      </c>
      <c r="AJ33" s="119">
        <f>Inputs!AJ55</f>
        <v>0.719</v>
      </c>
      <c r="AK33" s="119">
        <f>Inputs!AK55</f>
        <v>0.621</v>
      </c>
      <c r="AL33" s="119">
        <f>Inputs!AL55</f>
        <v>0.667</v>
      </c>
      <c r="AM33" s="119">
        <f>Inputs!AM55</f>
        <v>0.734</v>
      </c>
      <c r="AN33" s="119">
        <f>Inputs!AN55</f>
        <v>0.914</v>
      </c>
      <c r="AO33" s="119">
        <f>Inputs!AO55</f>
        <v>0.756</v>
      </c>
      <c r="AP33" s="119">
        <f>Inputs!AP55</f>
        <v>0.8</v>
      </c>
      <c r="AQ33" s="119">
        <f>Inputs!AQ55</f>
        <v>0.896</v>
      </c>
      <c r="AR33" s="119">
        <f>Inputs!AR55</f>
        <v>0.715</v>
      </c>
      <c r="AS33" s="119">
        <f>Inputs!AS55</f>
        <v>0.738</v>
      </c>
      <c r="AT33" s="136"/>
    </row>
    <row r="34">
      <c r="A34" s="80"/>
      <c r="B34" s="81"/>
      <c r="C34" s="90"/>
      <c r="D34" s="90"/>
      <c r="E34" s="140" t="s">
        <v>426</v>
      </c>
      <c r="F34" s="215" t="s">
        <v>122</v>
      </c>
      <c r="G34" s="216" t="s">
        <v>203</v>
      </c>
      <c r="H34" s="345" t="str">
        <f>Inputs!H56</f>
        <v>-</v>
      </c>
      <c r="I34" s="149">
        <f>Inputs!I56</f>
        <v>0.376</v>
      </c>
      <c r="J34" s="149">
        <f>Inputs!J56</f>
        <v>0.512</v>
      </c>
      <c r="K34" s="149">
        <f>Inputs!K56</f>
        <v>0.564</v>
      </c>
      <c r="L34" s="149">
        <f>Inputs!L56</f>
        <v>0.665</v>
      </c>
      <c r="M34" s="149">
        <f>Inputs!M56</f>
        <v>0.47</v>
      </c>
      <c r="N34" s="149">
        <f>Inputs!N56</f>
        <v>0.466</v>
      </c>
      <c r="O34" s="149">
        <f>Inputs!O56</f>
        <v>0.584</v>
      </c>
      <c r="P34" s="149">
        <f>Inputs!P56</f>
        <v>0.184</v>
      </c>
      <c r="Q34" s="149">
        <f>Inputs!Q56</f>
        <v>0.353</v>
      </c>
      <c r="R34" s="149">
        <f>Inputs!R56</f>
        <v>0.86</v>
      </c>
      <c r="S34" s="149">
        <f>Inputs!S56</f>
        <v>0.666</v>
      </c>
      <c r="T34" s="149">
        <f>Inputs!T56</f>
        <v>0.823</v>
      </c>
      <c r="U34" s="149">
        <f>Inputs!U56</f>
        <v>0.754</v>
      </c>
      <c r="V34" s="149">
        <f>Inputs!V56</f>
        <v>0.76</v>
      </c>
      <c r="W34" s="149">
        <f>Inputs!W56</f>
        <v>0.745</v>
      </c>
      <c r="X34" s="149">
        <f>Inputs!X56</f>
        <v>0.453</v>
      </c>
      <c r="Y34" s="149">
        <f>Inputs!Y56</f>
        <v>0.918</v>
      </c>
      <c r="Z34" s="149">
        <f>Inputs!Z56</f>
        <v>0.755</v>
      </c>
      <c r="AA34" s="149">
        <f>Inputs!AA56</f>
        <v>0.99</v>
      </c>
      <c r="AB34" s="149">
        <f>Inputs!AB56</f>
        <v>0.908</v>
      </c>
      <c r="AC34" s="149">
        <f>Inputs!AC56</f>
        <v>0.943</v>
      </c>
      <c r="AD34" s="149">
        <f>Inputs!AD56</f>
        <v>0.967</v>
      </c>
      <c r="AE34" s="149">
        <f>Inputs!AE56</f>
        <v>0.872</v>
      </c>
      <c r="AF34" s="149">
        <f>Inputs!AF56</f>
        <v>0.932</v>
      </c>
      <c r="AG34" s="149">
        <f>Inputs!AG56</f>
        <v>0.74</v>
      </c>
      <c r="AH34" s="149">
        <f>Inputs!AH56</f>
        <v>0.641</v>
      </c>
      <c r="AI34" s="149">
        <f>Inputs!AI56</f>
        <v>0.901</v>
      </c>
      <c r="AJ34" s="149">
        <f>Inputs!AJ56</f>
        <v>0.647</v>
      </c>
      <c r="AK34" s="149">
        <f>Inputs!AK56</f>
        <v>0.497</v>
      </c>
      <c r="AL34" s="149">
        <f>Inputs!AL56</f>
        <v>0.58</v>
      </c>
      <c r="AM34" s="149">
        <f>Inputs!AM56</f>
        <v>0.682</v>
      </c>
      <c r="AN34" s="149">
        <f>Inputs!AN56</f>
        <v>0.882</v>
      </c>
      <c r="AO34" s="149">
        <f>Inputs!AO56</f>
        <v>0.642</v>
      </c>
      <c r="AP34" s="149">
        <f>Inputs!AP56</f>
        <v>0.779</v>
      </c>
      <c r="AQ34" s="149">
        <f>Inputs!AQ56</f>
        <v>0.871</v>
      </c>
      <c r="AR34" s="149">
        <f>Inputs!AR56</f>
        <v>0.653</v>
      </c>
      <c r="AS34" s="149">
        <f>Inputs!AS56</f>
        <v>0.712</v>
      </c>
      <c r="AT34" s="163"/>
    </row>
    <row r="35">
      <c r="A35" s="80"/>
      <c r="B35" s="81"/>
      <c r="C35" s="90"/>
      <c r="D35" s="90"/>
      <c r="E35" s="140" t="s">
        <v>430</v>
      </c>
      <c r="F35" s="215" t="s">
        <v>122</v>
      </c>
      <c r="G35" s="216" t="s">
        <v>203</v>
      </c>
      <c r="H35" s="345" t="str">
        <f>Inputs!H57</f>
        <v>-</v>
      </c>
      <c r="I35" s="149">
        <f>Inputs!I57</f>
        <v>0.313</v>
      </c>
      <c r="J35" s="149">
        <f>Inputs!J57</f>
        <v>0.38</v>
      </c>
      <c r="K35" s="149">
        <f>Inputs!K57</f>
        <v>0.488</v>
      </c>
      <c r="L35" s="149">
        <f>Inputs!L57</f>
        <v>0.603</v>
      </c>
      <c r="M35" s="149">
        <f>Inputs!M57</f>
        <v>0.424</v>
      </c>
      <c r="N35" s="149">
        <f>Inputs!N57</f>
        <v>0.412</v>
      </c>
      <c r="O35" s="149">
        <f>Inputs!O57</f>
        <v>0.551</v>
      </c>
      <c r="P35" s="149">
        <f>Inputs!P57</f>
        <v>0.115</v>
      </c>
      <c r="Q35" s="149">
        <f>Inputs!Q57</f>
        <v>0.248</v>
      </c>
      <c r="R35" s="149">
        <f>Inputs!R57</f>
        <v>0.75</v>
      </c>
      <c r="S35" s="149">
        <f>Inputs!S57</f>
        <v>0.539</v>
      </c>
      <c r="T35" s="149">
        <f>Inputs!T57</f>
        <v>0.731</v>
      </c>
      <c r="U35" s="149">
        <f>Inputs!U57</f>
        <v>0.736</v>
      </c>
      <c r="V35" s="149">
        <f>Inputs!V57</f>
        <v>0.702</v>
      </c>
      <c r="W35" s="149">
        <f>Inputs!W57</f>
        <v>0.628</v>
      </c>
      <c r="X35" s="149">
        <f>Inputs!X57</f>
        <v>0.301</v>
      </c>
      <c r="Y35" s="149">
        <f>Inputs!Y57</f>
        <v>0.75</v>
      </c>
      <c r="Z35" s="149">
        <f>Inputs!Z57</f>
        <v>0.699</v>
      </c>
      <c r="AA35" s="149">
        <f>Inputs!AA57</f>
        <v>0.987</v>
      </c>
      <c r="AB35" s="149">
        <f>Inputs!AB57</f>
        <v>0.827</v>
      </c>
      <c r="AC35" s="149">
        <f>Inputs!AC57</f>
        <v>0.849</v>
      </c>
      <c r="AD35" s="149">
        <f>Inputs!AD57</f>
        <v>0.908</v>
      </c>
      <c r="AE35" s="149">
        <f>Inputs!AE57</f>
        <v>0.796</v>
      </c>
      <c r="AF35" s="149">
        <f>Inputs!AF57</f>
        <v>0.888</v>
      </c>
      <c r="AG35" s="149">
        <f>Inputs!AG57</f>
        <v>0.632</v>
      </c>
      <c r="AH35" s="149">
        <f>Inputs!AH57</f>
        <v>0.551</v>
      </c>
      <c r="AI35" s="149">
        <f>Inputs!AI57</f>
        <v>0.847</v>
      </c>
      <c r="AJ35" s="149">
        <f>Inputs!AJ57</f>
        <v>0.54</v>
      </c>
      <c r="AK35" s="149">
        <f>Inputs!AK57</f>
        <v>0.394</v>
      </c>
      <c r="AL35" s="149">
        <f>Inputs!AL57</f>
        <v>0.413</v>
      </c>
      <c r="AM35" s="149">
        <f>Inputs!AM57</f>
        <v>0.626</v>
      </c>
      <c r="AN35" s="149">
        <f>Inputs!AN57</f>
        <v>0.815</v>
      </c>
      <c r="AO35" s="149">
        <f>Inputs!AO57</f>
        <v>0.569</v>
      </c>
      <c r="AP35" s="149">
        <f>Inputs!AP57</f>
        <v>0.654</v>
      </c>
      <c r="AQ35" s="149">
        <f>Inputs!AQ57</f>
        <v>0.781</v>
      </c>
      <c r="AR35" s="149">
        <f>Inputs!AR57</f>
        <v>0.524</v>
      </c>
      <c r="AS35" s="149">
        <f>Inputs!AS57</f>
        <v>0.642</v>
      </c>
      <c r="AT35" s="163"/>
    </row>
    <row r="36">
      <c r="A36" s="80"/>
      <c r="B36" s="81"/>
      <c r="C36" s="90"/>
      <c r="D36" s="90"/>
      <c r="E36" s="113" t="s">
        <v>435</v>
      </c>
      <c r="F36" s="189" t="s">
        <v>122</v>
      </c>
      <c r="G36" s="190" t="s">
        <v>203</v>
      </c>
      <c r="H36" s="344" t="str">
        <f>Inputs!H58</f>
        <v>-</v>
      </c>
      <c r="I36" s="119">
        <f>Inputs!I58</f>
        <v>0.415</v>
      </c>
      <c r="J36" s="119">
        <f>Inputs!J58</f>
        <v>0.522</v>
      </c>
      <c r="K36" s="119">
        <f>Inputs!K58</f>
        <v>0.606</v>
      </c>
      <c r="L36" s="119">
        <f>Inputs!L58</f>
        <v>0.72</v>
      </c>
      <c r="M36" s="119">
        <f>Inputs!M58</f>
        <v>0.544</v>
      </c>
      <c r="N36" s="119">
        <f>Inputs!N58</f>
        <v>0.518</v>
      </c>
      <c r="O36" s="119">
        <f>Inputs!O58</f>
        <v>0.596</v>
      </c>
      <c r="P36" s="119">
        <f>Inputs!P58</f>
        <v>0.218</v>
      </c>
      <c r="Q36" s="119">
        <f>Inputs!Q58</f>
        <v>0.459</v>
      </c>
      <c r="R36" s="119">
        <f>Inputs!R58</f>
        <v>0.888</v>
      </c>
      <c r="S36" s="119">
        <f>Inputs!S58</f>
        <v>0.747</v>
      </c>
      <c r="T36" s="119">
        <f>Inputs!T58</f>
        <v>0.843</v>
      </c>
      <c r="U36" s="119">
        <f>Inputs!U58</f>
        <v>0.829</v>
      </c>
      <c r="V36" s="119">
        <f>Inputs!V58</f>
        <v>0.771</v>
      </c>
      <c r="W36" s="119">
        <f>Inputs!W58</f>
        <v>0.788</v>
      </c>
      <c r="X36" s="119">
        <f>Inputs!X58</f>
        <v>0.539</v>
      </c>
      <c r="Y36" s="119">
        <f>Inputs!Y58</f>
        <v>0.931</v>
      </c>
      <c r="Z36" s="119">
        <f>Inputs!Z58</f>
        <v>0.792</v>
      </c>
      <c r="AA36" s="119">
        <f>Inputs!AA58</f>
        <v>0.992</v>
      </c>
      <c r="AB36" s="119">
        <f>Inputs!AB58</f>
        <v>0.895</v>
      </c>
      <c r="AC36" s="119">
        <f>Inputs!AC58</f>
        <v>0.956</v>
      </c>
      <c r="AD36" s="119">
        <f>Inputs!AD58</f>
        <v>0.985</v>
      </c>
      <c r="AE36" s="119">
        <f>Inputs!AE58</f>
        <v>0.913</v>
      </c>
      <c r="AF36" s="119">
        <f>Inputs!AF58</f>
        <v>0.935</v>
      </c>
      <c r="AG36" s="119">
        <f>Inputs!AG58</f>
        <v>0.847</v>
      </c>
      <c r="AH36" s="119">
        <f>Inputs!AH58</f>
        <v>0.636</v>
      </c>
      <c r="AI36" s="119">
        <f>Inputs!AI58</f>
        <v>0.924</v>
      </c>
      <c r="AJ36" s="119">
        <f>Inputs!AJ58</f>
        <v>0.709</v>
      </c>
      <c r="AK36" s="119">
        <f>Inputs!AK58</f>
        <v>0.575</v>
      </c>
      <c r="AL36" s="119">
        <f>Inputs!AL58</f>
        <v>0.647</v>
      </c>
      <c r="AM36" s="119">
        <f>Inputs!AM58</f>
        <v>0.721</v>
      </c>
      <c r="AN36" s="119">
        <f>Inputs!AN58</f>
        <v>0.906</v>
      </c>
      <c r="AO36" s="119">
        <f>Inputs!AO58</f>
        <v>0.751</v>
      </c>
      <c r="AP36" s="119">
        <f>Inputs!AP58</f>
        <v>0.786</v>
      </c>
      <c r="AQ36" s="119">
        <f>Inputs!AQ58</f>
        <v>0.895</v>
      </c>
      <c r="AR36" s="119">
        <f>Inputs!AR58</f>
        <v>0.708</v>
      </c>
      <c r="AS36" s="119">
        <f>Inputs!AS58</f>
        <v>0.72</v>
      </c>
      <c r="AT36" s="136"/>
    </row>
    <row r="37">
      <c r="A37" s="80"/>
      <c r="B37" s="81"/>
      <c r="C37" s="90"/>
      <c r="D37" s="90"/>
      <c r="E37" s="113" t="s">
        <v>438</v>
      </c>
      <c r="F37" s="189" t="s">
        <v>122</v>
      </c>
      <c r="G37" s="190" t="s">
        <v>203</v>
      </c>
      <c r="H37" s="344" t="str">
        <f>Inputs!H59</f>
        <v>-</v>
      </c>
      <c r="I37" s="119">
        <f>Inputs!I59</f>
        <v>0.38</v>
      </c>
      <c r="J37" s="119">
        <f>Inputs!J59</f>
        <v>0.467</v>
      </c>
      <c r="K37" s="119">
        <f>Inputs!K59</f>
        <v>0.555</v>
      </c>
      <c r="L37" s="119">
        <f>Inputs!L59</f>
        <v>0.647</v>
      </c>
      <c r="M37" s="119">
        <f>Inputs!M59</f>
        <v>0.466</v>
      </c>
      <c r="N37" s="119">
        <f>Inputs!N59</f>
        <v>0.439</v>
      </c>
      <c r="O37" s="119">
        <f>Inputs!O59</f>
        <v>0.569</v>
      </c>
      <c r="P37" s="119">
        <f>Inputs!P59</f>
        <v>0.142</v>
      </c>
      <c r="Q37" s="119">
        <f>Inputs!Q59</f>
        <v>0.355</v>
      </c>
      <c r="R37" s="119">
        <f>Inputs!R59</f>
        <v>0.851</v>
      </c>
      <c r="S37" s="119">
        <f>Inputs!S59</f>
        <v>0.669</v>
      </c>
      <c r="T37" s="119">
        <f>Inputs!T59</f>
        <v>0.816</v>
      </c>
      <c r="U37" s="119">
        <f>Inputs!U59</f>
        <v>0.75</v>
      </c>
      <c r="V37" s="119">
        <f>Inputs!V59</f>
        <v>0.751</v>
      </c>
      <c r="W37" s="119">
        <f>Inputs!W59</f>
        <v>0.711</v>
      </c>
      <c r="X37" s="119">
        <f>Inputs!X59</f>
        <v>0.378</v>
      </c>
      <c r="Y37" s="119">
        <f>Inputs!Y59</f>
        <v>0.918</v>
      </c>
      <c r="Z37" s="119">
        <f>Inputs!Z59</f>
        <v>0.734</v>
      </c>
      <c r="AA37" s="119">
        <f>Inputs!AA59</f>
        <v>0.99</v>
      </c>
      <c r="AB37" s="119">
        <f>Inputs!AB59</f>
        <v>0.855</v>
      </c>
      <c r="AC37" s="119">
        <f>Inputs!AC59</f>
        <v>0.895</v>
      </c>
      <c r="AD37" s="119">
        <f>Inputs!AD59</f>
        <v>0.959</v>
      </c>
      <c r="AE37" s="119">
        <f>Inputs!AE59</f>
        <v>0.872</v>
      </c>
      <c r="AF37" s="119">
        <f>Inputs!AF59</f>
        <v>0.912</v>
      </c>
      <c r="AG37" s="119">
        <f>Inputs!AG59</f>
        <v>0.719</v>
      </c>
      <c r="AH37" s="119">
        <f>Inputs!AH59</f>
        <v>0.607</v>
      </c>
      <c r="AI37" s="119">
        <f>Inputs!AI59</f>
        <v>0.886</v>
      </c>
      <c r="AJ37" s="119">
        <f>Inputs!AJ59</f>
        <v>0.634</v>
      </c>
      <c r="AK37" s="119">
        <f>Inputs!AK59</f>
        <v>0.498</v>
      </c>
      <c r="AL37" s="119">
        <f>Inputs!AL59</f>
        <v>0.566</v>
      </c>
      <c r="AM37" s="119">
        <f>Inputs!AM59</f>
        <v>0.656</v>
      </c>
      <c r="AN37" s="119">
        <f>Inputs!AN59</f>
        <v>0.828</v>
      </c>
      <c r="AO37" s="119">
        <f>Inputs!AO59</f>
        <v>0.626</v>
      </c>
      <c r="AP37" s="119">
        <f>Inputs!AP59</f>
        <v>0.687</v>
      </c>
      <c r="AQ37" s="119">
        <f>Inputs!AQ59</f>
        <v>0.853</v>
      </c>
      <c r="AR37" s="119">
        <f>Inputs!AR59</f>
        <v>0.619</v>
      </c>
      <c r="AS37" s="119">
        <f>Inputs!AS59</f>
        <v>0.681</v>
      </c>
      <c r="AT37" s="136"/>
    </row>
    <row r="38">
      <c r="A38" s="80"/>
      <c r="B38" s="81"/>
      <c r="C38" s="90"/>
      <c r="D38" s="90"/>
      <c r="E38" s="113" t="s">
        <v>442</v>
      </c>
      <c r="F38" s="189" t="s">
        <v>122</v>
      </c>
      <c r="G38" s="190" t="s">
        <v>203</v>
      </c>
      <c r="H38" s="344" t="str">
        <f>Inputs!H60</f>
        <v>-</v>
      </c>
      <c r="I38" s="119">
        <f>Inputs!I60</f>
        <v>0.313</v>
      </c>
      <c r="J38" s="119">
        <f>Inputs!J60</f>
        <v>0.369</v>
      </c>
      <c r="K38" s="119">
        <f>Inputs!K60</f>
        <v>0.483</v>
      </c>
      <c r="L38" s="119">
        <f>Inputs!L60</f>
        <v>0.59</v>
      </c>
      <c r="M38" s="119">
        <f>Inputs!M60</f>
        <v>0.399</v>
      </c>
      <c r="N38" s="119">
        <f>Inputs!N60</f>
        <v>0.391</v>
      </c>
      <c r="O38" s="119">
        <f>Inputs!O60</f>
        <v>0.539</v>
      </c>
      <c r="P38" s="119">
        <f>Inputs!P60</f>
        <v>0.1</v>
      </c>
      <c r="Q38" s="119">
        <f>Inputs!Q60</f>
        <v>0.268</v>
      </c>
      <c r="R38" s="119">
        <f>Inputs!R60</f>
        <v>0.665</v>
      </c>
      <c r="S38" s="119">
        <f>Inputs!S60</f>
        <v>0.538</v>
      </c>
      <c r="T38" s="119">
        <f>Inputs!T60</f>
        <v>0.705</v>
      </c>
      <c r="U38" s="119">
        <f>Inputs!U60</f>
        <v>0.736</v>
      </c>
      <c r="V38" s="119">
        <f>Inputs!V60</f>
        <v>0.665</v>
      </c>
      <c r="W38" s="119">
        <f>Inputs!W60</f>
        <v>0.563</v>
      </c>
      <c r="X38" s="119">
        <f>Inputs!X60</f>
        <v>0.305</v>
      </c>
      <c r="Y38" s="119">
        <f>Inputs!Y60</f>
        <v>0.732</v>
      </c>
      <c r="Z38" s="119">
        <f>Inputs!Z60</f>
        <v>0.693</v>
      </c>
      <c r="AA38" s="119">
        <f>Inputs!AA60</f>
        <v>0.987</v>
      </c>
      <c r="AB38" s="119">
        <f>Inputs!AB60</f>
        <v>0.774</v>
      </c>
      <c r="AC38" s="119">
        <f>Inputs!AC60</f>
        <v>0.83</v>
      </c>
      <c r="AD38" s="119">
        <f>Inputs!AD60</f>
        <v>0.906</v>
      </c>
      <c r="AE38" s="119">
        <f>Inputs!AE60</f>
        <v>0.796</v>
      </c>
      <c r="AF38" s="119">
        <f>Inputs!AF60</f>
        <v>0.855</v>
      </c>
      <c r="AG38" s="119">
        <f>Inputs!AG60</f>
        <v>0.621</v>
      </c>
      <c r="AH38" s="119">
        <f>Inputs!AH60</f>
        <v>0.532</v>
      </c>
      <c r="AI38" s="119">
        <f>Inputs!AI60</f>
        <v>0.799</v>
      </c>
      <c r="AJ38" s="119">
        <f>Inputs!AJ60</f>
        <v>0.507</v>
      </c>
      <c r="AK38" s="119">
        <f>Inputs!AK60</f>
        <v>0.396</v>
      </c>
      <c r="AL38" s="119">
        <f>Inputs!AL60</f>
        <v>0.396</v>
      </c>
      <c r="AM38" s="119">
        <f>Inputs!AM60</f>
        <v>0.61</v>
      </c>
      <c r="AN38" s="119">
        <f>Inputs!AN60</f>
        <v>0.689</v>
      </c>
      <c r="AO38" s="119">
        <f>Inputs!AO60</f>
        <v>0.57</v>
      </c>
      <c r="AP38" s="119">
        <f>Inputs!AP60</f>
        <v>0.61</v>
      </c>
      <c r="AQ38" s="119">
        <f>Inputs!AQ60</f>
        <v>0.789</v>
      </c>
      <c r="AR38" s="119">
        <f>Inputs!AR60</f>
        <v>0.504</v>
      </c>
      <c r="AS38" s="119">
        <f>Inputs!AS60</f>
        <v>0.631</v>
      </c>
      <c r="AT38" s="136"/>
    </row>
    <row r="39">
      <c r="A39" s="80"/>
      <c r="B39" s="81"/>
      <c r="C39" s="90"/>
      <c r="D39" s="90"/>
      <c r="E39" s="237" t="s">
        <v>446</v>
      </c>
      <c r="F39" s="195" t="s">
        <v>122</v>
      </c>
      <c r="G39" s="196" t="s">
        <v>203</v>
      </c>
      <c r="H39" s="364" t="str">
        <f>Inputs!H61</f>
        <v>-</v>
      </c>
      <c r="I39" s="240">
        <f>Inputs!I61</f>
        <v>0.308</v>
      </c>
      <c r="J39" s="240">
        <f>Inputs!J61</f>
        <v>0.367</v>
      </c>
      <c r="K39" s="240">
        <f>Inputs!K61</f>
        <v>0.559</v>
      </c>
      <c r="L39" s="240">
        <f>Inputs!L61</f>
        <v>0.567</v>
      </c>
      <c r="M39" s="240">
        <f>Inputs!M61</f>
        <v>0.405</v>
      </c>
      <c r="N39" s="240">
        <f>Inputs!N61</f>
        <v>0.437</v>
      </c>
      <c r="O39" s="240">
        <f>Inputs!O61</f>
        <v>0.632</v>
      </c>
      <c r="P39" s="240">
        <f>Inputs!P61</f>
        <v>0.191</v>
      </c>
      <c r="Q39" s="240">
        <f>Inputs!Q61</f>
        <v>0.46</v>
      </c>
      <c r="R39" s="240">
        <f>Inputs!R61</f>
        <v>0.749</v>
      </c>
      <c r="S39" s="240">
        <f>Inputs!S61</f>
        <v>0.613</v>
      </c>
      <c r="T39" s="240">
        <f>Inputs!T61</f>
        <v>0.72</v>
      </c>
      <c r="U39" s="240">
        <f>Inputs!U61</f>
        <v>0.671</v>
      </c>
      <c r="V39" s="240">
        <f>Inputs!V61</f>
        <v>0.664</v>
      </c>
      <c r="W39" s="240">
        <f>Inputs!W61</f>
        <v>0.68</v>
      </c>
      <c r="X39" s="240">
        <f>Inputs!X61</f>
        <v>0.387</v>
      </c>
      <c r="Y39" s="240">
        <f>Inputs!Y61</f>
        <v>0.796</v>
      </c>
      <c r="Z39" s="240">
        <f>Inputs!Z61</f>
        <v>0.732</v>
      </c>
      <c r="AA39" s="240">
        <f>Inputs!AA61</f>
        <v>0.923</v>
      </c>
      <c r="AB39" s="240">
        <f>Inputs!AB61</f>
        <v>0.798</v>
      </c>
      <c r="AC39" s="240">
        <f>Inputs!AC61</f>
        <v>0.945</v>
      </c>
      <c r="AD39" s="240">
        <f>Inputs!AD61</f>
        <v>0.796</v>
      </c>
      <c r="AE39" s="240">
        <f>Inputs!AE61</f>
        <v>0.895</v>
      </c>
      <c r="AF39" s="240">
        <f>Inputs!AF61</f>
        <v>0.753</v>
      </c>
      <c r="AG39" s="240">
        <f>Inputs!AG61</f>
        <v>0.723</v>
      </c>
      <c r="AH39" s="240">
        <f>Inputs!AH61</f>
        <v>0.642</v>
      </c>
      <c r="AI39" s="240">
        <f>Inputs!AI61</f>
        <v>0.863</v>
      </c>
      <c r="AJ39" s="240">
        <f>Inputs!AJ61</f>
        <v>0.566</v>
      </c>
      <c r="AK39" s="240">
        <f>Inputs!AK61</f>
        <v>0.546</v>
      </c>
      <c r="AL39" s="240">
        <f>Inputs!AL61</f>
        <v>0.56</v>
      </c>
      <c r="AM39" s="240">
        <f>Inputs!AM61</f>
        <v>0.66</v>
      </c>
      <c r="AN39" s="240">
        <f>Inputs!AN61</f>
        <v>0.804</v>
      </c>
      <c r="AO39" s="240">
        <f>Inputs!AO61</f>
        <v>0.611</v>
      </c>
      <c r="AP39" s="240">
        <f>Inputs!AP61</f>
        <v>0.703</v>
      </c>
      <c r="AQ39" s="240">
        <f>Inputs!AQ61</f>
        <v>0.846</v>
      </c>
      <c r="AR39" s="240">
        <f>Inputs!AR61</f>
        <v>0.654</v>
      </c>
      <c r="AS39" s="240">
        <f>Inputs!AS61</f>
        <v>0.713</v>
      </c>
      <c r="AT39" s="248"/>
    </row>
    <row r="40">
      <c r="A40" s="80"/>
      <c r="B40" s="81"/>
      <c r="C40" s="90"/>
      <c r="D40" s="90"/>
      <c r="E40" s="243"/>
      <c r="F40" s="83"/>
      <c r="G40" s="91"/>
      <c r="H40" s="85"/>
      <c r="I40" s="86"/>
      <c r="J40" s="86"/>
      <c r="K40" s="86"/>
      <c r="L40" s="86"/>
      <c r="M40" s="86"/>
      <c r="N40" s="86"/>
      <c r="O40" s="86"/>
      <c r="P40" s="86"/>
      <c r="Q40" s="86"/>
      <c r="R40" s="86"/>
      <c r="S40" s="86"/>
      <c r="T40" s="111"/>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8"/>
    </row>
    <row r="41">
      <c r="A41" s="80"/>
      <c r="B41" s="81"/>
      <c r="C41" s="90" t="s">
        <v>456</v>
      </c>
      <c r="F41" s="83"/>
      <c r="G41" s="91"/>
      <c r="H41" s="85"/>
      <c r="I41" s="86"/>
      <c r="J41" s="86"/>
      <c r="K41" s="86"/>
      <c r="L41" s="86"/>
      <c r="M41" s="86"/>
      <c r="N41" s="86"/>
      <c r="O41" s="86"/>
      <c r="P41" s="86"/>
      <c r="Q41" s="86"/>
      <c r="R41" s="86"/>
      <c r="S41" s="86"/>
      <c r="T41" s="111"/>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8"/>
    </row>
    <row r="42">
      <c r="A42" s="80"/>
      <c r="B42" s="81"/>
      <c r="C42" s="90"/>
      <c r="D42" s="90"/>
      <c r="E42" s="113" t="s">
        <v>458</v>
      </c>
      <c r="F42" s="189" t="s">
        <v>122</v>
      </c>
      <c r="G42" s="190" t="s">
        <v>203</v>
      </c>
      <c r="H42" s="156">
        <f>Inputs!H71</f>
        <v>0.217176</v>
      </c>
      <c r="I42" s="119" t="str">
        <f>Inputs!I71</f>
        <v>-</v>
      </c>
      <c r="J42" s="119" t="str">
        <f>Inputs!J71</f>
        <v>-</v>
      </c>
      <c r="K42" s="119" t="str">
        <f>Inputs!K71</f>
        <v>-</v>
      </c>
      <c r="L42" s="119" t="str">
        <f>Inputs!L71</f>
        <v>-</v>
      </c>
      <c r="M42" s="119" t="str">
        <f>Inputs!M71</f>
        <v>-</v>
      </c>
      <c r="N42" s="119" t="str">
        <f>Inputs!N71</f>
        <v>-</v>
      </c>
      <c r="O42" s="119" t="str">
        <f>Inputs!O71</f>
        <v>-</v>
      </c>
      <c r="P42" s="119" t="str">
        <f>Inputs!P71</f>
        <v>-</v>
      </c>
      <c r="Q42" s="119" t="str">
        <f>Inputs!Q71</f>
        <v>-</v>
      </c>
      <c r="R42" s="119" t="str">
        <f>Inputs!R71</f>
        <v>-</v>
      </c>
      <c r="S42" s="119" t="str">
        <f>Inputs!S71</f>
        <v>-</v>
      </c>
      <c r="T42" s="119" t="str">
        <f>Inputs!T71</f>
        <v>-</v>
      </c>
      <c r="U42" s="119" t="str">
        <f>Inputs!U71</f>
        <v>-</v>
      </c>
      <c r="V42" s="119" t="str">
        <f>Inputs!V71</f>
        <v>-</v>
      </c>
      <c r="W42" s="119" t="str">
        <f>Inputs!W71</f>
        <v>-</v>
      </c>
      <c r="X42" s="119" t="str">
        <f>Inputs!X71</f>
        <v>-</v>
      </c>
      <c r="Y42" s="119" t="str">
        <f>Inputs!Y71</f>
        <v>-</v>
      </c>
      <c r="Z42" s="119" t="str">
        <f>Inputs!Z71</f>
        <v>-</v>
      </c>
      <c r="AA42" s="119" t="str">
        <f>Inputs!AA71</f>
        <v>-</v>
      </c>
      <c r="AB42" s="119" t="str">
        <f>Inputs!AB71</f>
        <v>-</v>
      </c>
      <c r="AC42" s="119" t="str">
        <f>Inputs!AC71</f>
        <v>-</v>
      </c>
      <c r="AD42" s="119" t="str">
        <f>Inputs!AD71</f>
        <v>-</v>
      </c>
      <c r="AE42" s="119" t="str">
        <f>Inputs!AE71</f>
        <v>-</v>
      </c>
      <c r="AF42" s="119" t="str">
        <f>Inputs!AF71</f>
        <v>-</v>
      </c>
      <c r="AG42" s="119" t="str">
        <f>Inputs!AG71</f>
        <v>-</v>
      </c>
      <c r="AH42" s="119" t="str">
        <f>Inputs!AH71</f>
        <v>-</v>
      </c>
      <c r="AI42" s="119" t="str">
        <f>Inputs!AI71</f>
        <v>-</v>
      </c>
      <c r="AJ42" s="119" t="str">
        <f>Inputs!AJ71</f>
        <v>-</v>
      </c>
      <c r="AK42" s="119" t="str">
        <f>Inputs!AK71</f>
        <v>-</v>
      </c>
      <c r="AL42" s="119" t="str">
        <f>Inputs!AL71</f>
        <v>-</v>
      </c>
      <c r="AM42" s="119" t="str">
        <f>Inputs!AM71</f>
        <v>-</v>
      </c>
      <c r="AN42" s="119" t="str">
        <f>Inputs!AN71</f>
        <v>-</v>
      </c>
      <c r="AO42" s="119" t="str">
        <f>Inputs!AO71</f>
        <v>-</v>
      </c>
      <c r="AP42" s="119" t="str">
        <f>Inputs!AP71</f>
        <v>-</v>
      </c>
      <c r="AQ42" s="119" t="str">
        <f>Inputs!AQ71</f>
        <v>-</v>
      </c>
      <c r="AR42" s="119" t="str">
        <f>Inputs!AR71</f>
        <v>-</v>
      </c>
      <c r="AS42" s="119" t="str">
        <f>Inputs!AS71</f>
        <v>-</v>
      </c>
      <c r="AT42" s="136"/>
    </row>
    <row r="43">
      <c r="A43" s="80"/>
      <c r="B43" s="81"/>
      <c r="C43" s="90"/>
      <c r="D43" s="90"/>
      <c r="E43" s="140" t="s">
        <v>461</v>
      </c>
      <c r="F43" s="215" t="s">
        <v>122</v>
      </c>
      <c r="G43" s="216" t="s">
        <v>149</v>
      </c>
      <c r="H43" s="391">
        <f>H22*H42</f>
        <v>0.001303056</v>
      </c>
      <c r="I43" s="232" t="s">
        <v>150</v>
      </c>
      <c r="J43" s="232" t="s">
        <v>150</v>
      </c>
      <c r="K43" s="232" t="s">
        <v>150</v>
      </c>
      <c r="L43" s="232" t="s">
        <v>150</v>
      </c>
      <c r="M43" s="232" t="s">
        <v>150</v>
      </c>
      <c r="N43" s="232" t="s">
        <v>150</v>
      </c>
      <c r="O43" s="232" t="s">
        <v>150</v>
      </c>
      <c r="P43" s="232" t="s">
        <v>150</v>
      </c>
      <c r="Q43" s="232" t="s">
        <v>150</v>
      </c>
      <c r="R43" s="232" t="s">
        <v>150</v>
      </c>
      <c r="S43" s="232" t="s">
        <v>150</v>
      </c>
      <c r="T43" s="218" t="s">
        <v>150</v>
      </c>
      <c r="U43" s="232" t="s">
        <v>150</v>
      </c>
      <c r="V43" s="232" t="s">
        <v>150</v>
      </c>
      <c r="W43" s="232" t="s">
        <v>150</v>
      </c>
      <c r="X43" s="232" t="s">
        <v>150</v>
      </c>
      <c r="Y43" s="232" t="s">
        <v>150</v>
      </c>
      <c r="Z43" s="232" t="s">
        <v>150</v>
      </c>
      <c r="AA43" s="232" t="s">
        <v>150</v>
      </c>
      <c r="AB43" s="232" t="s">
        <v>150</v>
      </c>
      <c r="AC43" s="232" t="s">
        <v>150</v>
      </c>
      <c r="AD43" s="232" t="s">
        <v>150</v>
      </c>
      <c r="AE43" s="232" t="s">
        <v>150</v>
      </c>
      <c r="AF43" s="232" t="s">
        <v>150</v>
      </c>
      <c r="AG43" s="232" t="s">
        <v>150</v>
      </c>
      <c r="AH43" s="232" t="s">
        <v>150</v>
      </c>
      <c r="AI43" s="232" t="s">
        <v>150</v>
      </c>
      <c r="AJ43" s="232" t="s">
        <v>150</v>
      </c>
      <c r="AK43" s="232" t="s">
        <v>150</v>
      </c>
      <c r="AL43" s="232" t="s">
        <v>150</v>
      </c>
      <c r="AM43" s="232" t="s">
        <v>150</v>
      </c>
      <c r="AN43" s="232" t="s">
        <v>150</v>
      </c>
      <c r="AO43" s="232" t="s">
        <v>150</v>
      </c>
      <c r="AP43" s="232" t="s">
        <v>150</v>
      </c>
      <c r="AQ43" s="232" t="s">
        <v>150</v>
      </c>
      <c r="AR43" s="232" t="s">
        <v>150</v>
      </c>
      <c r="AS43" s="232" t="s">
        <v>150</v>
      </c>
      <c r="AT43" s="163"/>
    </row>
    <row r="44">
      <c r="A44" s="80"/>
      <c r="B44" s="81"/>
      <c r="C44" s="90"/>
      <c r="D44" s="90"/>
      <c r="E44" s="140" t="s">
        <v>466</v>
      </c>
      <c r="F44" s="215" t="s">
        <v>122</v>
      </c>
      <c r="G44" s="216" t="s">
        <v>149</v>
      </c>
      <c r="H44" s="187" t="s">
        <v>150</v>
      </c>
      <c r="I44" s="149">
        <f t="shared" ref="I44:AS44" si="8">I32*(1+$H$43)</f>
        <v>0.4916398005</v>
      </c>
      <c r="J44" s="149">
        <f t="shared" si="8"/>
        <v>0.590768803</v>
      </c>
      <c r="K44" s="149">
        <f t="shared" si="8"/>
        <v>0.6358274406</v>
      </c>
      <c r="L44" s="149">
        <f t="shared" si="8"/>
        <v>0.7820176867</v>
      </c>
      <c r="M44" s="149">
        <f t="shared" si="8"/>
        <v>0.6037857428</v>
      </c>
      <c r="N44" s="149">
        <f t="shared" si="8"/>
        <v>0.5697414389</v>
      </c>
      <c r="O44" s="149">
        <f t="shared" si="8"/>
        <v>0.6368287436</v>
      </c>
      <c r="P44" s="149">
        <f t="shared" si="8"/>
        <v>0.3374391299</v>
      </c>
      <c r="Q44" s="149">
        <f t="shared" si="8"/>
        <v>0.5086619524</v>
      </c>
      <c r="R44" s="149">
        <f t="shared" si="8"/>
        <v>0.9061792657</v>
      </c>
      <c r="S44" s="149">
        <f t="shared" si="8"/>
        <v>0.8370893548</v>
      </c>
      <c r="T44" s="149">
        <f t="shared" si="8"/>
        <v>0.8571154159</v>
      </c>
      <c r="U44" s="149">
        <f t="shared" si="8"/>
        <v>0.8450997793</v>
      </c>
      <c r="V44" s="149">
        <f t="shared" si="8"/>
        <v>0.7900281112</v>
      </c>
      <c r="W44" s="149">
        <f t="shared" si="8"/>
        <v>0.8180645968</v>
      </c>
      <c r="X44" s="149">
        <f t="shared" si="8"/>
        <v>0.6488443803</v>
      </c>
      <c r="Y44" s="149">
        <f t="shared" si="8"/>
        <v>0.9322131451</v>
      </c>
      <c r="Z44" s="149">
        <f t="shared" si="8"/>
        <v>0.8360880518</v>
      </c>
      <c r="AA44" s="149">
        <f t="shared" si="8"/>
        <v>0.9942939346</v>
      </c>
      <c r="AB44" s="149">
        <f t="shared" si="8"/>
        <v>0.9242027207</v>
      </c>
      <c r="AC44" s="149">
        <f t="shared" si="8"/>
        <v>0.9912900254</v>
      </c>
      <c r="AD44" s="149">
        <f t="shared" si="8"/>
        <v>0.9922913285</v>
      </c>
      <c r="AE44" s="149">
        <f t="shared" si="8"/>
        <v>0.9532405093</v>
      </c>
      <c r="AF44" s="149">
        <f t="shared" si="8"/>
        <v>0.948233994</v>
      </c>
      <c r="AG44" s="149">
        <f t="shared" si="8"/>
        <v>0.9242027207</v>
      </c>
      <c r="AH44" s="149">
        <f t="shared" si="8"/>
        <v>0.7239421095</v>
      </c>
      <c r="AI44" s="149">
        <f t="shared" si="8"/>
        <v>0.9452300849</v>
      </c>
      <c r="AJ44" s="149">
        <f t="shared" si="8"/>
        <v>0.7930320204</v>
      </c>
      <c r="AK44" s="149">
        <f t="shared" si="8"/>
        <v>0.6678691384</v>
      </c>
      <c r="AL44" s="149">
        <f t="shared" si="8"/>
        <v>0.7239421095</v>
      </c>
      <c r="AM44" s="149">
        <f t="shared" si="8"/>
        <v>0.7519785951</v>
      </c>
      <c r="AN44" s="149">
        <f t="shared" si="8"/>
        <v>0.9312118421</v>
      </c>
      <c r="AO44" s="149">
        <f t="shared" si="8"/>
        <v>0.8260750212</v>
      </c>
      <c r="AP44" s="149">
        <f t="shared" si="8"/>
        <v>0.8781427801</v>
      </c>
      <c r="AQ44" s="149">
        <f t="shared" si="8"/>
        <v>0.9041766596</v>
      </c>
      <c r="AR44" s="149">
        <f t="shared" si="8"/>
        <v>0.7119264728</v>
      </c>
      <c r="AS44" s="149">
        <f t="shared" si="8"/>
        <v>0.7529798981</v>
      </c>
      <c r="AT44" s="163"/>
    </row>
    <row r="45">
      <c r="A45" s="80"/>
      <c r="B45" s="81"/>
      <c r="C45" s="90"/>
      <c r="D45" s="90"/>
      <c r="E45" s="140" t="s">
        <v>468</v>
      </c>
      <c r="F45" s="215" t="s">
        <v>122</v>
      </c>
      <c r="G45" s="216" t="s">
        <v>149</v>
      </c>
      <c r="H45" s="187" t="s">
        <v>150</v>
      </c>
      <c r="I45" s="149">
        <f t="shared" ref="I45:AS45" si="9">I33*(1+$H$43)</f>
        <v>0.4235511927</v>
      </c>
      <c r="J45" s="149">
        <f t="shared" si="9"/>
        <v>0.5427062564</v>
      </c>
      <c r="K45" s="149">
        <f t="shared" si="9"/>
        <v>0.6148000764</v>
      </c>
      <c r="L45" s="149">
        <f t="shared" si="9"/>
        <v>0.7269460187</v>
      </c>
      <c r="M45" s="149">
        <f t="shared" si="9"/>
        <v>0.5497153777</v>
      </c>
      <c r="N45" s="149">
        <f t="shared" si="9"/>
        <v>0.5306906197</v>
      </c>
      <c r="O45" s="149">
        <f t="shared" si="9"/>
        <v>0.5957753183</v>
      </c>
      <c r="P45" s="149">
        <f t="shared" si="9"/>
        <v>0.2883752801</v>
      </c>
      <c r="Q45" s="149">
        <f t="shared" si="9"/>
        <v>0.4505863752</v>
      </c>
      <c r="R45" s="149">
        <f t="shared" si="9"/>
        <v>0.8831492954</v>
      </c>
      <c r="S45" s="149">
        <f t="shared" si="9"/>
        <v>0.750977292</v>
      </c>
      <c r="T45" s="149">
        <f t="shared" si="9"/>
        <v>0.8631232343</v>
      </c>
      <c r="U45" s="149">
        <f t="shared" si="9"/>
        <v>0.8300802334</v>
      </c>
      <c r="V45" s="149">
        <f t="shared" si="9"/>
        <v>0.7760098684</v>
      </c>
      <c r="W45" s="149">
        <f t="shared" si="9"/>
        <v>0.8090528692</v>
      </c>
      <c r="X45" s="149">
        <f t="shared" si="9"/>
        <v>0.5797544694</v>
      </c>
      <c r="Y45" s="149">
        <f t="shared" si="9"/>
        <v>0.9322131451</v>
      </c>
      <c r="Z45" s="149">
        <f t="shared" si="9"/>
        <v>0.8110554754</v>
      </c>
      <c r="AA45" s="149">
        <f t="shared" si="9"/>
        <v>0.9922913285</v>
      </c>
      <c r="AB45" s="149">
        <f t="shared" si="9"/>
        <v>0.9232014176</v>
      </c>
      <c r="AC45" s="149">
        <f t="shared" si="9"/>
        <v>0.947232691</v>
      </c>
      <c r="AD45" s="149">
        <f t="shared" si="9"/>
        <v>0.9862835102</v>
      </c>
      <c r="AE45" s="149">
        <f t="shared" si="9"/>
        <v>0.9061792657</v>
      </c>
      <c r="AF45" s="149">
        <f t="shared" si="9"/>
        <v>0.9422261757</v>
      </c>
      <c r="AG45" s="149">
        <f t="shared" si="9"/>
        <v>0.8631232343</v>
      </c>
      <c r="AH45" s="149">
        <f t="shared" si="9"/>
        <v>0.6638639261</v>
      </c>
      <c r="AI45" s="149">
        <f t="shared" si="9"/>
        <v>0.9252040237</v>
      </c>
      <c r="AJ45" s="149">
        <f t="shared" si="9"/>
        <v>0.7199368973</v>
      </c>
      <c r="AK45" s="149">
        <f t="shared" si="9"/>
        <v>0.6218091978</v>
      </c>
      <c r="AL45" s="149">
        <f t="shared" si="9"/>
        <v>0.6678691384</v>
      </c>
      <c r="AM45" s="149">
        <f t="shared" si="9"/>
        <v>0.7349564431</v>
      </c>
      <c r="AN45" s="149">
        <f t="shared" si="9"/>
        <v>0.9151909932</v>
      </c>
      <c r="AO45" s="149">
        <f t="shared" si="9"/>
        <v>0.7569851103</v>
      </c>
      <c r="AP45" s="149">
        <f t="shared" si="9"/>
        <v>0.8010424448</v>
      </c>
      <c r="AQ45" s="149">
        <f t="shared" si="9"/>
        <v>0.8971675382</v>
      </c>
      <c r="AR45" s="149">
        <f t="shared" si="9"/>
        <v>0.715931685</v>
      </c>
      <c r="AS45" s="149">
        <f t="shared" si="9"/>
        <v>0.7389616553</v>
      </c>
      <c r="AT45" s="163"/>
    </row>
    <row r="46">
      <c r="A46" s="80"/>
      <c r="B46" s="81"/>
      <c r="C46" s="90"/>
      <c r="D46" s="90"/>
      <c r="E46" s="140" t="s">
        <v>472</v>
      </c>
      <c r="F46" s="215" t="s">
        <v>122</v>
      </c>
      <c r="G46" s="216" t="s">
        <v>149</v>
      </c>
      <c r="H46" s="187" t="s">
        <v>150</v>
      </c>
      <c r="I46" s="149">
        <f t="shared" ref="I46:AS46" si="10">I34*(1+$H$43)</f>
        <v>0.3764899491</v>
      </c>
      <c r="J46" s="149">
        <f t="shared" si="10"/>
        <v>0.5126671647</v>
      </c>
      <c r="K46" s="149">
        <f t="shared" si="10"/>
        <v>0.5647349236</v>
      </c>
      <c r="L46" s="149">
        <f t="shared" si="10"/>
        <v>0.6658665322</v>
      </c>
      <c r="M46" s="149">
        <f t="shared" si="10"/>
        <v>0.4706124363</v>
      </c>
      <c r="N46" s="149">
        <f t="shared" si="10"/>
        <v>0.4666072241</v>
      </c>
      <c r="O46" s="149">
        <f t="shared" si="10"/>
        <v>0.5847609847</v>
      </c>
      <c r="P46" s="149">
        <f t="shared" si="10"/>
        <v>0.1842397623</v>
      </c>
      <c r="Q46" s="149">
        <f t="shared" si="10"/>
        <v>0.3534599788</v>
      </c>
      <c r="R46" s="149">
        <f t="shared" si="10"/>
        <v>0.8611206282</v>
      </c>
      <c r="S46" s="149">
        <f t="shared" si="10"/>
        <v>0.6668678353</v>
      </c>
      <c r="T46" s="149">
        <f t="shared" si="10"/>
        <v>0.8240724151</v>
      </c>
      <c r="U46" s="149">
        <f t="shared" si="10"/>
        <v>0.7549825042</v>
      </c>
      <c r="V46" s="149">
        <f t="shared" si="10"/>
        <v>0.7609903226</v>
      </c>
      <c r="W46" s="149">
        <f t="shared" si="10"/>
        <v>0.7459707767</v>
      </c>
      <c r="X46" s="149">
        <f t="shared" si="10"/>
        <v>0.4535902844</v>
      </c>
      <c r="Y46" s="149">
        <f t="shared" si="10"/>
        <v>0.9191962054</v>
      </c>
      <c r="Z46" s="149">
        <f t="shared" si="10"/>
        <v>0.7559838073</v>
      </c>
      <c r="AA46" s="149">
        <f t="shared" si="10"/>
        <v>0.9912900254</v>
      </c>
      <c r="AB46" s="149">
        <f t="shared" si="10"/>
        <v>0.9091831748</v>
      </c>
      <c r="AC46" s="149">
        <f t="shared" si="10"/>
        <v>0.9442287818</v>
      </c>
      <c r="AD46" s="149">
        <f t="shared" si="10"/>
        <v>0.9682600552</v>
      </c>
      <c r="AE46" s="149">
        <f t="shared" si="10"/>
        <v>0.8731362648</v>
      </c>
      <c r="AF46" s="149">
        <f t="shared" si="10"/>
        <v>0.9332144482</v>
      </c>
      <c r="AG46" s="149">
        <f t="shared" si="10"/>
        <v>0.7409642614</v>
      </c>
      <c r="AH46" s="149">
        <f t="shared" si="10"/>
        <v>0.6418352589</v>
      </c>
      <c r="AI46" s="149">
        <f t="shared" si="10"/>
        <v>0.9021740535</v>
      </c>
      <c r="AJ46" s="149">
        <f t="shared" si="10"/>
        <v>0.6478430772</v>
      </c>
      <c r="AK46" s="149">
        <f t="shared" si="10"/>
        <v>0.4976476188</v>
      </c>
      <c r="AL46" s="149">
        <f t="shared" si="10"/>
        <v>0.5807557725</v>
      </c>
      <c r="AM46" s="149">
        <f t="shared" si="10"/>
        <v>0.6828886842</v>
      </c>
      <c r="AN46" s="149">
        <f t="shared" si="10"/>
        <v>0.8831492954</v>
      </c>
      <c r="AO46" s="149">
        <f t="shared" si="10"/>
        <v>0.642836562</v>
      </c>
      <c r="AP46" s="149">
        <f t="shared" si="10"/>
        <v>0.7800150806</v>
      </c>
      <c r="AQ46" s="149">
        <f t="shared" si="10"/>
        <v>0.8721349618</v>
      </c>
      <c r="AR46" s="149">
        <f t="shared" si="10"/>
        <v>0.6538508956</v>
      </c>
      <c r="AS46" s="149">
        <f t="shared" si="10"/>
        <v>0.7129277759</v>
      </c>
      <c r="AT46" s="163"/>
    </row>
    <row r="47">
      <c r="A47" s="80"/>
      <c r="B47" s="81"/>
      <c r="C47" s="90"/>
      <c r="D47" s="90"/>
      <c r="E47" s="140" t="s">
        <v>475</v>
      </c>
      <c r="F47" s="215" t="s">
        <v>122</v>
      </c>
      <c r="G47" s="216" t="s">
        <v>149</v>
      </c>
      <c r="H47" s="187" t="s">
        <v>150</v>
      </c>
      <c r="I47" s="149">
        <f t="shared" ref="I47:AS47" si="11">I35*(1+$H$43)</f>
        <v>0.3134078565</v>
      </c>
      <c r="J47" s="149">
        <f t="shared" si="11"/>
        <v>0.3804951613</v>
      </c>
      <c r="K47" s="149">
        <f t="shared" si="11"/>
        <v>0.4886358913</v>
      </c>
      <c r="L47" s="149">
        <f t="shared" si="11"/>
        <v>0.6037857428</v>
      </c>
      <c r="M47" s="149">
        <f t="shared" si="11"/>
        <v>0.4245524957</v>
      </c>
      <c r="N47" s="149">
        <f t="shared" si="11"/>
        <v>0.4125368591</v>
      </c>
      <c r="O47" s="149">
        <f t="shared" si="11"/>
        <v>0.5517179839</v>
      </c>
      <c r="P47" s="149">
        <f t="shared" si="11"/>
        <v>0.1151498514</v>
      </c>
      <c r="Q47" s="149">
        <f t="shared" si="11"/>
        <v>0.2483231579</v>
      </c>
      <c r="R47" s="149">
        <f t="shared" si="11"/>
        <v>0.750977292</v>
      </c>
      <c r="S47" s="149">
        <f t="shared" si="11"/>
        <v>0.5397023472</v>
      </c>
      <c r="T47" s="149">
        <f t="shared" si="11"/>
        <v>0.7319525339</v>
      </c>
      <c r="U47" s="149">
        <f t="shared" si="11"/>
        <v>0.7369590492</v>
      </c>
      <c r="V47" s="149">
        <f t="shared" si="11"/>
        <v>0.7029147453</v>
      </c>
      <c r="W47" s="149">
        <f t="shared" si="11"/>
        <v>0.6288183192</v>
      </c>
      <c r="X47" s="149">
        <f t="shared" si="11"/>
        <v>0.3013922199</v>
      </c>
      <c r="Y47" s="149">
        <f t="shared" si="11"/>
        <v>0.750977292</v>
      </c>
      <c r="Z47" s="149">
        <f t="shared" si="11"/>
        <v>0.6999108361</v>
      </c>
      <c r="AA47" s="149">
        <f t="shared" si="11"/>
        <v>0.9882861163</v>
      </c>
      <c r="AB47" s="149">
        <f t="shared" si="11"/>
        <v>0.8280776273</v>
      </c>
      <c r="AC47" s="149">
        <f t="shared" si="11"/>
        <v>0.8501062945</v>
      </c>
      <c r="AD47" s="149">
        <f t="shared" si="11"/>
        <v>0.9091831748</v>
      </c>
      <c r="AE47" s="149">
        <f t="shared" si="11"/>
        <v>0.7970372326</v>
      </c>
      <c r="AF47" s="149">
        <f t="shared" si="11"/>
        <v>0.8891571137</v>
      </c>
      <c r="AG47" s="149">
        <f t="shared" si="11"/>
        <v>0.6328235314</v>
      </c>
      <c r="AH47" s="149">
        <f t="shared" si="11"/>
        <v>0.5517179839</v>
      </c>
      <c r="AI47" s="149">
        <f t="shared" si="11"/>
        <v>0.8481036884</v>
      </c>
      <c r="AJ47" s="149">
        <f t="shared" si="11"/>
        <v>0.5407036502</v>
      </c>
      <c r="AK47" s="149">
        <f t="shared" si="11"/>
        <v>0.3945134041</v>
      </c>
      <c r="AL47" s="149">
        <f t="shared" si="11"/>
        <v>0.4135381621</v>
      </c>
      <c r="AM47" s="149">
        <f t="shared" si="11"/>
        <v>0.6268157131</v>
      </c>
      <c r="AN47" s="149">
        <f t="shared" si="11"/>
        <v>0.8160619906</v>
      </c>
      <c r="AO47" s="149">
        <f t="shared" si="11"/>
        <v>0.5697414389</v>
      </c>
      <c r="AP47" s="149">
        <f t="shared" si="11"/>
        <v>0.6548521986</v>
      </c>
      <c r="AQ47" s="149">
        <f t="shared" si="11"/>
        <v>0.7820176867</v>
      </c>
      <c r="AR47" s="149">
        <f t="shared" si="11"/>
        <v>0.5246828013</v>
      </c>
      <c r="AS47" s="149">
        <f t="shared" si="11"/>
        <v>0.642836562</v>
      </c>
      <c r="AT47" s="163"/>
    </row>
    <row r="48">
      <c r="A48" s="80"/>
      <c r="B48" s="81"/>
      <c r="C48" s="90"/>
      <c r="D48" s="90"/>
      <c r="E48" s="140" t="s">
        <v>477</v>
      </c>
      <c r="F48" s="215" t="s">
        <v>122</v>
      </c>
      <c r="G48" s="216" t="s">
        <v>149</v>
      </c>
      <c r="H48" s="187" t="s">
        <v>150</v>
      </c>
      <c r="I48" s="149">
        <f t="shared" ref="I48:AS48" si="12">I36*(1+$H$43)</f>
        <v>0.4155407682</v>
      </c>
      <c r="J48" s="149">
        <f t="shared" si="12"/>
        <v>0.5226801952</v>
      </c>
      <c r="K48" s="149">
        <f t="shared" si="12"/>
        <v>0.6067896519</v>
      </c>
      <c r="L48" s="149">
        <f t="shared" si="12"/>
        <v>0.7209382003</v>
      </c>
      <c r="M48" s="149">
        <f t="shared" si="12"/>
        <v>0.5447088625</v>
      </c>
      <c r="N48" s="149">
        <f t="shared" si="12"/>
        <v>0.518674983</v>
      </c>
      <c r="O48" s="149">
        <f t="shared" si="12"/>
        <v>0.5967766214</v>
      </c>
      <c r="P48" s="149">
        <f t="shared" si="12"/>
        <v>0.2182840662</v>
      </c>
      <c r="Q48" s="149">
        <f t="shared" si="12"/>
        <v>0.4595981027</v>
      </c>
      <c r="R48" s="149">
        <f t="shared" si="12"/>
        <v>0.8891571137</v>
      </c>
      <c r="S48" s="149">
        <f t="shared" si="12"/>
        <v>0.7479733828</v>
      </c>
      <c r="T48" s="149">
        <f t="shared" si="12"/>
        <v>0.8440984762</v>
      </c>
      <c r="U48" s="149">
        <f t="shared" si="12"/>
        <v>0.8300802334</v>
      </c>
      <c r="V48" s="149">
        <f t="shared" si="12"/>
        <v>0.7720046562</v>
      </c>
      <c r="W48" s="149">
        <f t="shared" si="12"/>
        <v>0.7890268081</v>
      </c>
      <c r="X48" s="149">
        <f t="shared" si="12"/>
        <v>0.5397023472</v>
      </c>
      <c r="Y48" s="149">
        <f t="shared" si="12"/>
        <v>0.9322131451</v>
      </c>
      <c r="Z48" s="149">
        <f t="shared" si="12"/>
        <v>0.7930320204</v>
      </c>
      <c r="AA48" s="149">
        <f t="shared" si="12"/>
        <v>0.9932926316</v>
      </c>
      <c r="AB48" s="149">
        <f t="shared" si="12"/>
        <v>0.8961662351</v>
      </c>
      <c r="AC48" s="149">
        <f t="shared" si="12"/>
        <v>0.9572457215</v>
      </c>
      <c r="AD48" s="149">
        <f t="shared" si="12"/>
        <v>0.9862835102</v>
      </c>
      <c r="AE48" s="149">
        <f t="shared" si="12"/>
        <v>0.9141896901</v>
      </c>
      <c r="AF48" s="149">
        <f t="shared" si="12"/>
        <v>0.9362183574</v>
      </c>
      <c r="AG48" s="149">
        <f t="shared" si="12"/>
        <v>0.8481036884</v>
      </c>
      <c r="AH48" s="149">
        <f t="shared" si="12"/>
        <v>0.6368287436</v>
      </c>
      <c r="AI48" s="149">
        <f t="shared" si="12"/>
        <v>0.9252040237</v>
      </c>
      <c r="AJ48" s="149">
        <f t="shared" si="12"/>
        <v>0.7099238667</v>
      </c>
      <c r="AK48" s="149">
        <f t="shared" si="12"/>
        <v>0.5757492572</v>
      </c>
      <c r="AL48" s="149">
        <f t="shared" si="12"/>
        <v>0.6478430772</v>
      </c>
      <c r="AM48" s="149">
        <f t="shared" si="12"/>
        <v>0.7219395034</v>
      </c>
      <c r="AN48" s="149">
        <f t="shared" si="12"/>
        <v>0.9071805687</v>
      </c>
      <c r="AO48" s="149">
        <f t="shared" si="12"/>
        <v>0.7519785951</v>
      </c>
      <c r="AP48" s="149">
        <f t="shared" si="12"/>
        <v>0.787024202</v>
      </c>
      <c r="AQ48" s="149">
        <f t="shared" si="12"/>
        <v>0.8961662351</v>
      </c>
      <c r="AR48" s="149">
        <f t="shared" si="12"/>
        <v>0.7089225636</v>
      </c>
      <c r="AS48" s="149">
        <f t="shared" si="12"/>
        <v>0.7209382003</v>
      </c>
      <c r="AT48" s="163"/>
    </row>
    <row r="49">
      <c r="A49" s="80"/>
      <c r="B49" s="81"/>
      <c r="C49" s="90"/>
      <c r="D49" s="90"/>
      <c r="E49" s="140" t="s">
        <v>481</v>
      </c>
      <c r="F49" s="215" t="s">
        <v>122</v>
      </c>
      <c r="G49" s="216" t="s">
        <v>149</v>
      </c>
      <c r="H49" s="187" t="s">
        <v>150</v>
      </c>
      <c r="I49" s="149">
        <f t="shared" ref="I49:AS49" si="13">I37*(1+$H$43)</f>
        <v>0.3804951613</v>
      </c>
      <c r="J49" s="149">
        <f t="shared" si="13"/>
        <v>0.4676085272</v>
      </c>
      <c r="K49" s="149">
        <f t="shared" si="13"/>
        <v>0.5557231961</v>
      </c>
      <c r="L49" s="149">
        <f t="shared" si="13"/>
        <v>0.6478430772</v>
      </c>
      <c r="M49" s="149">
        <f t="shared" si="13"/>
        <v>0.4666072241</v>
      </c>
      <c r="N49" s="149">
        <f t="shared" si="13"/>
        <v>0.4395720416</v>
      </c>
      <c r="O49" s="149">
        <f t="shared" si="13"/>
        <v>0.5697414389</v>
      </c>
      <c r="P49" s="149">
        <f t="shared" si="13"/>
        <v>0.142185034</v>
      </c>
      <c r="Q49" s="149">
        <f t="shared" si="13"/>
        <v>0.3554625849</v>
      </c>
      <c r="R49" s="149">
        <f t="shared" si="13"/>
        <v>0.8521089007</v>
      </c>
      <c r="S49" s="149">
        <f t="shared" si="13"/>
        <v>0.6698717445</v>
      </c>
      <c r="T49" s="149">
        <f t="shared" si="13"/>
        <v>0.8170632937</v>
      </c>
      <c r="U49" s="149">
        <f t="shared" si="13"/>
        <v>0.750977292</v>
      </c>
      <c r="V49" s="149">
        <f t="shared" si="13"/>
        <v>0.7519785951</v>
      </c>
      <c r="W49" s="149">
        <f t="shared" si="13"/>
        <v>0.7119264728</v>
      </c>
      <c r="X49" s="149">
        <f t="shared" si="13"/>
        <v>0.3784925552</v>
      </c>
      <c r="Y49" s="149">
        <f t="shared" si="13"/>
        <v>0.9191962054</v>
      </c>
      <c r="Z49" s="149">
        <f t="shared" si="13"/>
        <v>0.7349564431</v>
      </c>
      <c r="AA49" s="149">
        <f t="shared" si="13"/>
        <v>0.9912900254</v>
      </c>
      <c r="AB49" s="149">
        <f t="shared" si="13"/>
        <v>0.8561141129</v>
      </c>
      <c r="AC49" s="149">
        <f t="shared" si="13"/>
        <v>0.8961662351</v>
      </c>
      <c r="AD49" s="149">
        <f t="shared" si="13"/>
        <v>0.9602496307</v>
      </c>
      <c r="AE49" s="149">
        <f t="shared" si="13"/>
        <v>0.8731362648</v>
      </c>
      <c r="AF49" s="149">
        <f t="shared" si="13"/>
        <v>0.9131883871</v>
      </c>
      <c r="AG49" s="149">
        <f t="shared" si="13"/>
        <v>0.7199368973</v>
      </c>
      <c r="AH49" s="149">
        <f t="shared" si="13"/>
        <v>0.607790955</v>
      </c>
      <c r="AI49" s="149">
        <f t="shared" si="13"/>
        <v>0.8871545076</v>
      </c>
      <c r="AJ49" s="149">
        <f t="shared" si="13"/>
        <v>0.6348261375</v>
      </c>
      <c r="AK49" s="149">
        <f t="shared" si="13"/>
        <v>0.4986489219</v>
      </c>
      <c r="AL49" s="149">
        <f t="shared" si="13"/>
        <v>0.5667375297</v>
      </c>
      <c r="AM49" s="149">
        <f t="shared" si="13"/>
        <v>0.6568548047</v>
      </c>
      <c r="AN49" s="149">
        <f t="shared" si="13"/>
        <v>0.8290789304</v>
      </c>
      <c r="AO49" s="149">
        <f t="shared" si="13"/>
        <v>0.6268157131</v>
      </c>
      <c r="AP49" s="149">
        <f t="shared" si="13"/>
        <v>0.6878951995</v>
      </c>
      <c r="AQ49" s="149">
        <f t="shared" si="13"/>
        <v>0.8541115068</v>
      </c>
      <c r="AR49" s="149">
        <f t="shared" si="13"/>
        <v>0.6198065917</v>
      </c>
      <c r="AS49" s="149">
        <f t="shared" si="13"/>
        <v>0.6818873811</v>
      </c>
      <c r="AT49" s="163"/>
    </row>
    <row r="50">
      <c r="A50" s="80"/>
      <c r="B50" s="81"/>
      <c r="C50" s="90"/>
      <c r="D50" s="90"/>
      <c r="E50" s="140" t="s">
        <v>484</v>
      </c>
      <c r="F50" s="215" t="s">
        <v>122</v>
      </c>
      <c r="G50" s="216" t="s">
        <v>149</v>
      </c>
      <c r="H50" s="187" t="s">
        <v>150</v>
      </c>
      <c r="I50" s="149">
        <f t="shared" ref="I50:AS50" si="14">I38*(1+$H$43)</f>
        <v>0.3134078565</v>
      </c>
      <c r="J50" s="149">
        <f t="shared" si="14"/>
        <v>0.3694808277</v>
      </c>
      <c r="K50" s="149">
        <f t="shared" si="14"/>
        <v>0.483629376</v>
      </c>
      <c r="L50" s="149">
        <f t="shared" si="14"/>
        <v>0.590768803</v>
      </c>
      <c r="M50" s="149">
        <f t="shared" si="14"/>
        <v>0.3995199193</v>
      </c>
      <c r="N50" s="149">
        <f t="shared" si="14"/>
        <v>0.3915094949</v>
      </c>
      <c r="O50" s="149">
        <f t="shared" si="14"/>
        <v>0.5397023472</v>
      </c>
      <c r="P50" s="149">
        <f t="shared" si="14"/>
        <v>0.1001303056</v>
      </c>
      <c r="Q50" s="149">
        <f t="shared" si="14"/>
        <v>0.268349219</v>
      </c>
      <c r="R50" s="149">
        <f t="shared" si="14"/>
        <v>0.6658665322</v>
      </c>
      <c r="S50" s="149">
        <f t="shared" si="14"/>
        <v>0.5387010441</v>
      </c>
      <c r="T50" s="149">
        <f t="shared" si="14"/>
        <v>0.7059186545</v>
      </c>
      <c r="U50" s="149">
        <f t="shared" si="14"/>
        <v>0.7369590492</v>
      </c>
      <c r="V50" s="149">
        <f t="shared" si="14"/>
        <v>0.6658665322</v>
      </c>
      <c r="W50" s="149">
        <f t="shared" si="14"/>
        <v>0.5637336205</v>
      </c>
      <c r="X50" s="149">
        <f t="shared" si="14"/>
        <v>0.3053974321</v>
      </c>
      <c r="Y50" s="149">
        <f t="shared" si="14"/>
        <v>0.732953837</v>
      </c>
      <c r="Z50" s="149">
        <f t="shared" si="14"/>
        <v>0.6939030178</v>
      </c>
      <c r="AA50" s="149">
        <f t="shared" si="14"/>
        <v>0.9882861163</v>
      </c>
      <c r="AB50" s="149">
        <f t="shared" si="14"/>
        <v>0.7750085653</v>
      </c>
      <c r="AC50" s="149">
        <f t="shared" si="14"/>
        <v>0.8310815365</v>
      </c>
      <c r="AD50" s="149">
        <f t="shared" si="14"/>
        <v>0.9071805687</v>
      </c>
      <c r="AE50" s="149">
        <f t="shared" si="14"/>
        <v>0.7970372326</v>
      </c>
      <c r="AF50" s="149">
        <f t="shared" si="14"/>
        <v>0.8561141129</v>
      </c>
      <c r="AG50" s="149">
        <f t="shared" si="14"/>
        <v>0.6218091978</v>
      </c>
      <c r="AH50" s="149">
        <f t="shared" si="14"/>
        <v>0.5326932258</v>
      </c>
      <c r="AI50" s="149">
        <f t="shared" si="14"/>
        <v>0.8000411417</v>
      </c>
      <c r="AJ50" s="149">
        <f t="shared" si="14"/>
        <v>0.5076606494</v>
      </c>
      <c r="AK50" s="149">
        <f t="shared" si="14"/>
        <v>0.3965160102</v>
      </c>
      <c r="AL50" s="149">
        <f t="shared" si="14"/>
        <v>0.3965160102</v>
      </c>
      <c r="AM50" s="149">
        <f t="shared" si="14"/>
        <v>0.6107948642</v>
      </c>
      <c r="AN50" s="149">
        <f t="shared" si="14"/>
        <v>0.6898978056</v>
      </c>
      <c r="AO50" s="149">
        <f t="shared" si="14"/>
        <v>0.5707427419</v>
      </c>
      <c r="AP50" s="149">
        <f t="shared" si="14"/>
        <v>0.6107948642</v>
      </c>
      <c r="AQ50" s="149">
        <f t="shared" si="14"/>
        <v>0.7900281112</v>
      </c>
      <c r="AR50" s="149">
        <f t="shared" si="14"/>
        <v>0.5046567402</v>
      </c>
      <c r="AS50" s="149">
        <f t="shared" si="14"/>
        <v>0.6318222283</v>
      </c>
      <c r="AT50" s="163"/>
    </row>
    <row r="51">
      <c r="A51" s="80"/>
      <c r="B51" s="81"/>
      <c r="C51" s="81"/>
      <c r="D51" s="81"/>
      <c r="E51" s="194" t="s">
        <v>487</v>
      </c>
      <c r="F51" s="195" t="s">
        <v>122</v>
      </c>
      <c r="G51" s="374" t="s">
        <v>149</v>
      </c>
      <c r="H51" s="375" t="s">
        <v>150</v>
      </c>
      <c r="I51" s="240">
        <f t="shared" ref="I51:AS51" si="15">I39*(1+$H$43)</f>
        <v>0.3084013412</v>
      </c>
      <c r="J51" s="240">
        <f t="shared" si="15"/>
        <v>0.3674782216</v>
      </c>
      <c r="K51" s="240">
        <f t="shared" si="15"/>
        <v>0.5597284083</v>
      </c>
      <c r="L51" s="240">
        <f t="shared" si="15"/>
        <v>0.5677388328</v>
      </c>
      <c r="M51" s="240">
        <f t="shared" si="15"/>
        <v>0.4055277377</v>
      </c>
      <c r="N51" s="240">
        <f t="shared" si="15"/>
        <v>0.4375694355</v>
      </c>
      <c r="O51" s="240">
        <f t="shared" si="15"/>
        <v>0.6328235314</v>
      </c>
      <c r="P51" s="240">
        <f t="shared" si="15"/>
        <v>0.1912488837</v>
      </c>
      <c r="Q51" s="240">
        <f t="shared" si="15"/>
        <v>0.4605994058</v>
      </c>
      <c r="R51" s="240">
        <f t="shared" si="15"/>
        <v>0.7499759889</v>
      </c>
      <c r="S51" s="240">
        <f t="shared" si="15"/>
        <v>0.6137987733</v>
      </c>
      <c r="T51" s="240">
        <f t="shared" si="15"/>
        <v>0.7209382003</v>
      </c>
      <c r="U51" s="240">
        <f t="shared" si="15"/>
        <v>0.6718743506</v>
      </c>
      <c r="V51" s="240">
        <f t="shared" si="15"/>
        <v>0.6648652292</v>
      </c>
      <c r="W51" s="240">
        <f t="shared" si="15"/>
        <v>0.6808860781</v>
      </c>
      <c r="X51" s="240">
        <f t="shared" si="15"/>
        <v>0.3875042827</v>
      </c>
      <c r="Y51" s="240">
        <f t="shared" si="15"/>
        <v>0.7970372326</v>
      </c>
      <c r="Z51" s="240">
        <f t="shared" si="15"/>
        <v>0.732953837</v>
      </c>
      <c r="AA51" s="240">
        <f t="shared" si="15"/>
        <v>0.9242027207</v>
      </c>
      <c r="AB51" s="240">
        <f t="shared" si="15"/>
        <v>0.7990398387</v>
      </c>
      <c r="AC51" s="240">
        <f t="shared" si="15"/>
        <v>0.9462313879</v>
      </c>
      <c r="AD51" s="240">
        <f t="shared" si="15"/>
        <v>0.7970372326</v>
      </c>
      <c r="AE51" s="240">
        <f t="shared" si="15"/>
        <v>0.8961662351</v>
      </c>
      <c r="AF51" s="240">
        <f t="shared" si="15"/>
        <v>0.7539812012</v>
      </c>
      <c r="AG51" s="240">
        <f t="shared" si="15"/>
        <v>0.7239421095</v>
      </c>
      <c r="AH51" s="240">
        <f t="shared" si="15"/>
        <v>0.642836562</v>
      </c>
      <c r="AI51" s="240">
        <f t="shared" si="15"/>
        <v>0.8641245373</v>
      </c>
      <c r="AJ51" s="240">
        <f t="shared" si="15"/>
        <v>0.5667375297</v>
      </c>
      <c r="AK51" s="240">
        <f t="shared" si="15"/>
        <v>0.5467114686</v>
      </c>
      <c r="AL51" s="240">
        <f t="shared" si="15"/>
        <v>0.5607297114</v>
      </c>
      <c r="AM51" s="240">
        <f t="shared" si="15"/>
        <v>0.660860017</v>
      </c>
      <c r="AN51" s="240">
        <f t="shared" si="15"/>
        <v>0.805047657</v>
      </c>
      <c r="AO51" s="240">
        <f t="shared" si="15"/>
        <v>0.6117961672</v>
      </c>
      <c r="AP51" s="240">
        <f t="shared" si="15"/>
        <v>0.7039160484</v>
      </c>
      <c r="AQ51" s="240">
        <f t="shared" si="15"/>
        <v>0.8471023854</v>
      </c>
      <c r="AR51" s="240">
        <f t="shared" si="15"/>
        <v>0.6548521986</v>
      </c>
      <c r="AS51" s="240">
        <f t="shared" si="15"/>
        <v>0.7139290789</v>
      </c>
      <c r="AT51" s="199"/>
    </row>
    <row r="52">
      <c r="A52" s="80"/>
      <c r="B52" s="81"/>
      <c r="C52" s="81"/>
      <c r="D52" s="81"/>
      <c r="E52" s="82"/>
      <c r="F52" s="83"/>
      <c r="G52" s="91"/>
      <c r="H52" s="85"/>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8"/>
    </row>
    <row r="53">
      <c r="A53" s="72" t="s">
        <v>492</v>
      </c>
      <c r="B53" s="14"/>
      <c r="C53" s="14"/>
      <c r="D53" s="14"/>
      <c r="E53" s="14"/>
      <c r="F53" s="14"/>
      <c r="G53" s="14"/>
      <c r="H53" s="168"/>
      <c r="I53" s="261"/>
      <c r="J53" s="261"/>
      <c r="K53" s="261"/>
      <c r="L53" s="261"/>
      <c r="M53" s="261"/>
      <c r="N53" s="261"/>
      <c r="O53" s="261"/>
      <c r="P53" s="261"/>
      <c r="Q53" s="261"/>
      <c r="R53" s="261"/>
      <c r="S53" s="261"/>
      <c r="T53" s="261"/>
      <c r="U53" s="261"/>
      <c r="V53" s="261"/>
      <c r="W53" s="261"/>
      <c r="X53" s="261"/>
      <c r="Y53" s="261"/>
      <c r="Z53" s="261"/>
      <c r="AA53" s="261"/>
      <c r="AB53" s="261"/>
      <c r="AC53" s="261"/>
      <c r="AD53" s="261"/>
      <c r="AE53" s="261"/>
      <c r="AF53" s="261"/>
      <c r="AG53" s="261"/>
      <c r="AH53" s="261"/>
      <c r="AI53" s="261"/>
      <c r="AJ53" s="261"/>
      <c r="AK53" s="261"/>
      <c r="AL53" s="261"/>
      <c r="AM53" s="261"/>
      <c r="AN53" s="261"/>
      <c r="AO53" s="261"/>
      <c r="AP53" s="261"/>
      <c r="AQ53" s="261"/>
      <c r="AR53" s="261"/>
      <c r="AS53" s="261"/>
      <c r="AT53" s="171"/>
    </row>
    <row r="54">
      <c r="A54" s="80"/>
      <c r="B54" s="81"/>
      <c r="C54" s="262"/>
      <c r="D54" s="81"/>
      <c r="E54" s="82"/>
      <c r="F54" s="83"/>
      <c r="G54" s="84"/>
      <c r="H54" s="85"/>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8"/>
    </row>
    <row r="55">
      <c r="A55" s="80"/>
      <c r="B55" s="81"/>
      <c r="C55" s="90" t="s">
        <v>493</v>
      </c>
      <c r="F55" s="83"/>
      <c r="G55" s="135"/>
      <c r="H55" s="85"/>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8"/>
    </row>
    <row r="56">
      <c r="A56" s="80"/>
      <c r="B56" s="81"/>
      <c r="C56" s="90"/>
      <c r="D56" s="90"/>
      <c r="E56" s="113" t="s">
        <v>494</v>
      </c>
      <c r="F56" s="189" t="s">
        <v>122</v>
      </c>
      <c r="G56" s="190" t="s">
        <v>203</v>
      </c>
      <c r="H56" s="295" t="str">
        <f>Inputs!H67</f>
        <v>-</v>
      </c>
      <c r="I56" s="119">
        <f>Inputs!I67</f>
        <v>0.412</v>
      </c>
      <c r="J56" s="119">
        <f>Inputs!J67</f>
        <v>0.544</v>
      </c>
      <c r="K56" s="119">
        <f>Inputs!K67</f>
        <v>0.256</v>
      </c>
      <c r="L56" s="119">
        <f>Inputs!L67</f>
        <v>0.514</v>
      </c>
      <c r="M56" s="119">
        <f>Inputs!M67</f>
        <v>0.337</v>
      </c>
      <c r="N56" s="119">
        <f>Inputs!N67</f>
        <v>0.285</v>
      </c>
      <c r="O56" s="119">
        <f>Inputs!O67</f>
        <v>0.226</v>
      </c>
      <c r="P56" s="119">
        <f>Inputs!P67</f>
        <v>0.163</v>
      </c>
      <c r="Q56" s="119">
        <f>Inputs!Q67</f>
        <v>0.19</v>
      </c>
      <c r="R56" s="119">
        <f>Inputs!R67</f>
        <v>0.871</v>
      </c>
      <c r="S56" s="119">
        <f>Inputs!S67</f>
        <v>0.674</v>
      </c>
      <c r="T56" s="119">
        <f>Inputs!T67</f>
        <v>0.824</v>
      </c>
      <c r="U56" s="119">
        <f>Inputs!U67</f>
        <v>0.885</v>
      </c>
      <c r="V56" s="119">
        <f>Inputs!V67</f>
        <v>0.659</v>
      </c>
      <c r="W56" s="119">
        <f>Inputs!W67</f>
        <v>0.664</v>
      </c>
      <c r="X56" s="119">
        <f>Inputs!X67</f>
        <v>0.806</v>
      </c>
      <c r="Y56" s="119">
        <f>Inputs!Y67</f>
        <v>0.882</v>
      </c>
      <c r="Z56" s="119">
        <f>Inputs!Z67</f>
        <v>0.809</v>
      </c>
      <c r="AA56" s="119">
        <f>Inputs!AA67</f>
        <v>0.825</v>
      </c>
      <c r="AB56" s="119">
        <f>Inputs!AB67</f>
        <v>0.967</v>
      </c>
      <c r="AC56" s="119">
        <f>Inputs!AC67</f>
        <v>0.865</v>
      </c>
      <c r="AD56" s="119">
        <f>Inputs!AD67</f>
        <v>0.932</v>
      </c>
      <c r="AE56" s="119">
        <f>Inputs!AE67</f>
        <v>0.875</v>
      </c>
      <c r="AF56" s="119">
        <f>Inputs!AF67</f>
        <v>0.956</v>
      </c>
      <c r="AG56" s="119">
        <f>Inputs!AG67</f>
        <v>0.733</v>
      </c>
      <c r="AH56" s="119">
        <f>Inputs!AH67</f>
        <v>0.721</v>
      </c>
      <c r="AI56" s="119">
        <f>Inputs!AI67</f>
        <v>0.929</v>
      </c>
      <c r="AJ56" s="119">
        <f>Inputs!AJ67</f>
        <v>0.638</v>
      </c>
      <c r="AK56" s="119">
        <f>Inputs!AK67</f>
        <v>0.381</v>
      </c>
      <c r="AL56" s="119">
        <f>Inputs!AL67</f>
        <v>0.8</v>
      </c>
      <c r="AM56" s="119">
        <f>Inputs!AM67</f>
        <v>0.831</v>
      </c>
      <c r="AN56" s="119">
        <f>Inputs!AN67</f>
        <v>0.875</v>
      </c>
      <c r="AO56" s="119">
        <f>Inputs!AO67</f>
        <v>0.771</v>
      </c>
      <c r="AP56" s="119">
        <f>Inputs!AP67</f>
        <v>0.801</v>
      </c>
      <c r="AQ56" s="119">
        <f>Inputs!AQ67</f>
        <v>0.82</v>
      </c>
      <c r="AR56" s="119">
        <f>Inputs!AR67</f>
        <v>0.397</v>
      </c>
      <c r="AS56" s="119">
        <f>Inputs!AS67</f>
        <v>0.163</v>
      </c>
      <c r="AT56" s="136"/>
    </row>
    <row r="57">
      <c r="A57" s="80"/>
      <c r="B57" s="81"/>
      <c r="C57" s="90"/>
      <c r="D57" s="90"/>
      <c r="E57" s="113" t="s">
        <v>498</v>
      </c>
      <c r="F57" s="189" t="s">
        <v>122</v>
      </c>
      <c r="G57" s="190" t="s">
        <v>203</v>
      </c>
      <c r="H57" s="295" t="str">
        <f>Inputs!H64</f>
        <v>-</v>
      </c>
      <c r="I57" s="119">
        <f>Inputs!I64</f>
        <v>0.353</v>
      </c>
      <c r="J57" s="119">
        <f>Inputs!J64</f>
        <v>0.447</v>
      </c>
      <c r="K57" s="119">
        <f>Inputs!K64</f>
        <v>0.195</v>
      </c>
      <c r="L57" s="119">
        <f>Inputs!L64</f>
        <v>0.437</v>
      </c>
      <c r="M57" s="119">
        <f>Inputs!M64</f>
        <v>0.279</v>
      </c>
      <c r="N57" s="119">
        <f>Inputs!N64</f>
        <v>0.282</v>
      </c>
      <c r="O57" s="119">
        <f>Inputs!O64</f>
        <v>0.202</v>
      </c>
      <c r="P57" s="119">
        <f>Inputs!P64</f>
        <v>0.094</v>
      </c>
      <c r="Q57" s="119">
        <f>Inputs!Q64</f>
        <v>0.147</v>
      </c>
      <c r="R57" s="119">
        <f>Inputs!R64</f>
        <v>0.816</v>
      </c>
      <c r="S57" s="119">
        <f>Inputs!S64</f>
        <v>0.566</v>
      </c>
      <c r="T57" s="119">
        <f>Inputs!T64</f>
        <v>0.802</v>
      </c>
      <c r="U57" s="119">
        <f>Inputs!U64</f>
        <v>0.895</v>
      </c>
      <c r="V57" s="119">
        <f>Inputs!V64</f>
        <v>0.612</v>
      </c>
      <c r="W57" s="119">
        <f>Inputs!W64</f>
        <v>0.683</v>
      </c>
      <c r="X57" s="119">
        <f>Inputs!X64</f>
        <v>0.729</v>
      </c>
      <c r="Y57" s="119">
        <f>Inputs!Y64</f>
        <v>0.835</v>
      </c>
      <c r="Z57" s="119">
        <f>Inputs!Z64</f>
        <v>0.757</v>
      </c>
      <c r="AA57" s="119">
        <f>Inputs!AA64</f>
        <v>0.797</v>
      </c>
      <c r="AB57" s="119">
        <f>Inputs!AB64</f>
        <v>0.886</v>
      </c>
      <c r="AC57" s="119">
        <f>Inputs!AC64</f>
        <v>0.871</v>
      </c>
      <c r="AD57" s="119">
        <f>Inputs!AD64</f>
        <v>0.849</v>
      </c>
      <c r="AE57" s="119">
        <f>Inputs!AE64</f>
        <v>0.877</v>
      </c>
      <c r="AF57" s="119">
        <f>Inputs!AF64</f>
        <v>0.881</v>
      </c>
      <c r="AG57" s="119">
        <f>Inputs!AG64</f>
        <v>0.637</v>
      </c>
      <c r="AH57" s="119">
        <f>Inputs!AH64</f>
        <v>0.708</v>
      </c>
      <c r="AI57" s="119">
        <f>Inputs!AI64</f>
        <v>0.936</v>
      </c>
      <c r="AJ57" s="119">
        <f>Inputs!AJ64</f>
        <v>0.564</v>
      </c>
      <c r="AK57" s="119">
        <f>Inputs!AK64</f>
        <v>0.363</v>
      </c>
      <c r="AL57" s="119">
        <f>Inputs!AL64</f>
        <v>0.711</v>
      </c>
      <c r="AM57" s="119">
        <f>Inputs!AM64</f>
        <v>0.764</v>
      </c>
      <c r="AN57" s="119">
        <f>Inputs!AN64</f>
        <v>0.831</v>
      </c>
      <c r="AO57" s="119">
        <f>Inputs!AO64</f>
        <v>0.691</v>
      </c>
      <c r="AP57" s="119">
        <f>Inputs!AP64</f>
        <v>0.699</v>
      </c>
      <c r="AQ57" s="119">
        <f>Inputs!AQ64</f>
        <v>0.82</v>
      </c>
      <c r="AR57" s="119">
        <f>Inputs!AR64</f>
        <v>0.359</v>
      </c>
      <c r="AS57" s="119">
        <f>Inputs!AS64</f>
        <v>0.175</v>
      </c>
      <c r="AT57" s="136"/>
    </row>
    <row r="58">
      <c r="A58" s="80"/>
      <c r="B58" s="81"/>
      <c r="C58" s="90"/>
      <c r="D58" s="90"/>
      <c r="E58" s="140" t="s">
        <v>501</v>
      </c>
      <c r="F58" s="215" t="s">
        <v>122</v>
      </c>
      <c r="G58" s="216" t="s">
        <v>203</v>
      </c>
      <c r="H58" s="274" t="str">
        <f>Inputs!H65</f>
        <v>-</v>
      </c>
      <c r="I58" s="149">
        <f>Inputs!I65</f>
        <v>0.252</v>
      </c>
      <c r="J58" s="149">
        <f>Inputs!J65</f>
        <v>0.291</v>
      </c>
      <c r="K58" s="149">
        <f>Inputs!K65</f>
        <v>0.09</v>
      </c>
      <c r="L58" s="149">
        <f>Inputs!L65</f>
        <v>0.325</v>
      </c>
      <c r="M58" s="149">
        <f>Inputs!M65</f>
        <v>0.209</v>
      </c>
      <c r="N58" s="149">
        <f>Inputs!N65</f>
        <v>0.183</v>
      </c>
      <c r="O58" s="149">
        <f>Inputs!O65</f>
        <v>0.167</v>
      </c>
      <c r="P58" s="149">
        <f>Inputs!P65</f>
        <v>0.052</v>
      </c>
      <c r="Q58" s="149">
        <f>Inputs!Q65</f>
        <v>0.095</v>
      </c>
      <c r="R58" s="149">
        <f>Inputs!R65</f>
        <v>0.686</v>
      </c>
      <c r="S58" s="149">
        <f>Inputs!S65</f>
        <v>0.503</v>
      </c>
      <c r="T58" s="149">
        <f>Inputs!T65</f>
        <v>0.734</v>
      </c>
      <c r="U58" s="149">
        <f>Inputs!U65</f>
        <v>0.824</v>
      </c>
      <c r="V58" s="149">
        <f>Inputs!V65</f>
        <v>0.503</v>
      </c>
      <c r="W58" s="149">
        <f>Inputs!W65</f>
        <v>0.595</v>
      </c>
      <c r="X58" s="149">
        <f>Inputs!X65</f>
        <v>0.639</v>
      </c>
      <c r="Y58" s="149">
        <f>Inputs!Y65</f>
        <v>0.769</v>
      </c>
      <c r="Z58" s="149">
        <f>Inputs!Z65</f>
        <v>0.637</v>
      </c>
      <c r="AA58" s="149">
        <f>Inputs!AA65</f>
        <v>0.662</v>
      </c>
      <c r="AB58" s="149">
        <f>Inputs!AB65</f>
        <v>0.861</v>
      </c>
      <c r="AC58" s="149">
        <f>Inputs!AC65</f>
        <v>0.801</v>
      </c>
      <c r="AD58" s="149">
        <f>Inputs!AD65</f>
        <v>0.786</v>
      </c>
      <c r="AE58" s="149">
        <f>Inputs!AE65</f>
        <v>0.719</v>
      </c>
      <c r="AF58" s="149">
        <f>Inputs!AF65</f>
        <v>0.717</v>
      </c>
      <c r="AG58" s="149">
        <f>Inputs!AG65</f>
        <v>0.476</v>
      </c>
      <c r="AH58" s="149">
        <f>Inputs!AH65</f>
        <v>0.613</v>
      </c>
      <c r="AI58" s="149">
        <f>Inputs!AI65</f>
        <v>0.856</v>
      </c>
      <c r="AJ58" s="149">
        <f>Inputs!AJ65</f>
        <v>0.447</v>
      </c>
      <c r="AK58" s="149">
        <f>Inputs!AK65</f>
        <v>0.306</v>
      </c>
      <c r="AL58" s="149">
        <f>Inputs!AL65</f>
        <v>0.589</v>
      </c>
      <c r="AM58" s="149">
        <f>Inputs!AM65</f>
        <v>0.714</v>
      </c>
      <c r="AN58" s="149">
        <f>Inputs!AN65</f>
        <v>0.657</v>
      </c>
      <c r="AO58" s="149">
        <f>Inputs!AO65</f>
        <v>0.649</v>
      </c>
      <c r="AP58" s="149">
        <f>Inputs!AP65</f>
        <v>0.571</v>
      </c>
      <c r="AQ58" s="149">
        <f>Inputs!AQ65</f>
        <v>0.728</v>
      </c>
      <c r="AR58" s="149">
        <f>Inputs!AR65</f>
        <v>0.2</v>
      </c>
      <c r="AS58" s="149">
        <f>Inputs!AS65</f>
        <v>0.113</v>
      </c>
      <c r="AT58" s="163"/>
    </row>
    <row r="59">
      <c r="A59" s="80"/>
      <c r="B59" s="81"/>
      <c r="C59" s="90"/>
      <c r="D59" s="90"/>
      <c r="E59" s="140" t="s">
        <v>505</v>
      </c>
      <c r="F59" s="215" t="s">
        <v>122</v>
      </c>
      <c r="G59" s="216" t="s">
        <v>203</v>
      </c>
      <c r="H59" s="274" t="str">
        <f>Inputs!H66</f>
        <v>-</v>
      </c>
      <c r="I59" s="149">
        <f>Inputs!I66</f>
        <v>0.185</v>
      </c>
      <c r="J59" s="149">
        <f>Inputs!J66</f>
        <v>0.25</v>
      </c>
      <c r="K59" s="149">
        <f>Inputs!K66</f>
        <v>0.071</v>
      </c>
      <c r="L59" s="149">
        <f>Inputs!L66</f>
        <v>0.295</v>
      </c>
      <c r="M59" s="149">
        <f>Inputs!M66</f>
        <v>0.159</v>
      </c>
      <c r="N59" s="149">
        <f>Inputs!N66</f>
        <v>0.121</v>
      </c>
      <c r="O59" s="149">
        <f>Inputs!O66</f>
        <v>0.113</v>
      </c>
      <c r="P59" s="149">
        <f>Inputs!P66</f>
        <v>0.029</v>
      </c>
      <c r="Q59" s="149">
        <f>Inputs!Q66</f>
        <v>0.089</v>
      </c>
      <c r="R59" s="149">
        <f>Inputs!R66</f>
        <v>0.548</v>
      </c>
      <c r="S59" s="149">
        <f>Inputs!S66</f>
        <v>0.379</v>
      </c>
      <c r="T59" s="149">
        <f>Inputs!T66</f>
        <v>0.684</v>
      </c>
      <c r="U59" s="149">
        <f>Inputs!U66</f>
        <v>0.762</v>
      </c>
      <c r="V59" s="149">
        <f>Inputs!V66</f>
        <v>0.426</v>
      </c>
      <c r="W59" s="149">
        <f>Inputs!W66</f>
        <v>0.574</v>
      </c>
      <c r="X59" s="149">
        <f>Inputs!X66</f>
        <v>0.477</v>
      </c>
      <c r="Y59" s="149">
        <f>Inputs!Y66</f>
        <v>0.695</v>
      </c>
      <c r="Z59" s="149">
        <f>Inputs!Z66</f>
        <v>0.572</v>
      </c>
      <c r="AA59" s="149">
        <f>Inputs!AA66</f>
        <v>0.544</v>
      </c>
      <c r="AB59" s="149">
        <f>Inputs!AB66</f>
        <v>0.745</v>
      </c>
      <c r="AC59" s="149">
        <f>Inputs!AC66</f>
        <v>0.722</v>
      </c>
      <c r="AD59" s="149">
        <f>Inputs!AD66</f>
        <v>0.738</v>
      </c>
      <c r="AE59" s="149">
        <f>Inputs!AE66</f>
        <v>0.657</v>
      </c>
      <c r="AF59" s="149">
        <f>Inputs!AF66</f>
        <v>0.656</v>
      </c>
      <c r="AG59" s="149">
        <f>Inputs!AG66</f>
        <v>0.384</v>
      </c>
      <c r="AH59" s="149">
        <f>Inputs!AH66</f>
        <v>0.491</v>
      </c>
      <c r="AI59" s="149">
        <f>Inputs!AI66</f>
        <v>0.802</v>
      </c>
      <c r="AJ59" s="149">
        <f>Inputs!AJ66</f>
        <v>0.349</v>
      </c>
      <c r="AK59" s="149">
        <f>Inputs!AK66</f>
        <v>0.2</v>
      </c>
      <c r="AL59" s="149">
        <f>Inputs!AL66</f>
        <v>0.521</v>
      </c>
      <c r="AM59" s="149">
        <f>Inputs!AM66</f>
        <v>0.662</v>
      </c>
      <c r="AN59" s="149">
        <f>Inputs!AN66</f>
        <v>0.6</v>
      </c>
      <c r="AO59" s="149">
        <f>Inputs!AO66</f>
        <v>0.541</v>
      </c>
      <c r="AP59" s="149">
        <f>Inputs!AP66</f>
        <v>0.452</v>
      </c>
      <c r="AQ59" s="149">
        <f>Inputs!AQ66</f>
        <v>0.66</v>
      </c>
      <c r="AR59" s="149">
        <f>Inputs!AR66</f>
        <v>0.164</v>
      </c>
      <c r="AS59" s="149">
        <f>Inputs!AS66</f>
        <v>0.087</v>
      </c>
      <c r="AT59" s="163"/>
    </row>
    <row r="60">
      <c r="A60" s="80"/>
      <c r="B60" s="81"/>
      <c r="C60" s="90"/>
      <c r="D60" s="90"/>
      <c r="E60" s="237" t="s">
        <v>511</v>
      </c>
      <c r="F60" s="195" t="s">
        <v>122</v>
      </c>
      <c r="G60" s="196" t="s">
        <v>203</v>
      </c>
      <c r="H60" s="364" t="str">
        <f>Inputs!H68</f>
        <v>-</v>
      </c>
      <c r="I60" s="240">
        <f>Inputs!I68</f>
        <v>0.222</v>
      </c>
      <c r="J60" s="240">
        <f>Inputs!J68</f>
        <v>0.324</v>
      </c>
      <c r="K60" s="240">
        <f>Inputs!K68</f>
        <v>0.104</v>
      </c>
      <c r="L60" s="240">
        <f>Inputs!L68</f>
        <v>0.431</v>
      </c>
      <c r="M60" s="240">
        <f>Inputs!M68</f>
        <v>0.241</v>
      </c>
      <c r="N60" s="240">
        <f>Inputs!N68</f>
        <v>0.211</v>
      </c>
      <c r="O60" s="240">
        <f>Inputs!O68</f>
        <v>0.255</v>
      </c>
      <c r="P60" s="240">
        <f>Inputs!P68</f>
        <v>0.098</v>
      </c>
      <c r="Q60" s="240">
        <f>Inputs!Q68</f>
        <v>0.162</v>
      </c>
      <c r="R60" s="240">
        <f>Inputs!R68</f>
        <v>0.704</v>
      </c>
      <c r="S60" s="240">
        <f>Inputs!S68</f>
        <v>0.488</v>
      </c>
      <c r="T60" s="240">
        <f>Inputs!T68</f>
        <v>0.637</v>
      </c>
      <c r="U60" s="240">
        <f>Inputs!U68</f>
        <v>0.75</v>
      </c>
      <c r="V60" s="240">
        <f>Inputs!V68</f>
        <v>0.516</v>
      </c>
      <c r="W60" s="240">
        <f>Inputs!W68</f>
        <v>0.536</v>
      </c>
      <c r="X60" s="240">
        <f>Inputs!X68</f>
        <v>0.581</v>
      </c>
      <c r="Y60" s="240">
        <f>Inputs!Y68</f>
        <v>0.737</v>
      </c>
      <c r="Z60" s="240">
        <f>Inputs!Z68</f>
        <v>0.637</v>
      </c>
      <c r="AA60" s="240">
        <f>Inputs!AA68</f>
        <v>0.576</v>
      </c>
      <c r="AB60" s="240">
        <f>Inputs!AB68</f>
        <v>0.861</v>
      </c>
      <c r="AC60" s="240">
        <f>Inputs!AC68</f>
        <v>0.801</v>
      </c>
      <c r="AD60" s="240">
        <f>Inputs!AD68</f>
        <v>0.812</v>
      </c>
      <c r="AE60" s="240">
        <f>Inputs!AE68</f>
        <v>0.763</v>
      </c>
      <c r="AF60" s="240">
        <f>Inputs!AF68</f>
        <v>0.746</v>
      </c>
      <c r="AG60" s="240">
        <f>Inputs!AG68</f>
        <v>0.65</v>
      </c>
      <c r="AH60" s="240">
        <f>Inputs!AH68</f>
        <v>0.669</v>
      </c>
      <c r="AI60" s="240">
        <f>Inputs!AI68</f>
        <v>0.88</v>
      </c>
      <c r="AJ60" s="240">
        <f>Inputs!AJ68</f>
        <v>0.497</v>
      </c>
      <c r="AK60" s="240">
        <f>Inputs!AK68</f>
        <v>0.312</v>
      </c>
      <c r="AL60" s="240">
        <f>Inputs!AL68</f>
        <v>0.587</v>
      </c>
      <c r="AM60" s="240">
        <f>Inputs!AM68</f>
        <v>0.722</v>
      </c>
      <c r="AN60" s="240">
        <f>Inputs!AN68</f>
        <v>0.67</v>
      </c>
      <c r="AO60" s="240">
        <f>Inputs!AO68</f>
        <v>0.531</v>
      </c>
      <c r="AP60" s="240">
        <f>Inputs!AP68</f>
        <v>0.653</v>
      </c>
      <c r="AQ60" s="240">
        <f>Inputs!AQ68</f>
        <v>0.707</v>
      </c>
      <c r="AR60" s="240">
        <f>Inputs!AR68</f>
        <v>0.292</v>
      </c>
      <c r="AS60" s="240">
        <f>Inputs!AS68</f>
        <v>0.147</v>
      </c>
      <c r="AT60" s="248"/>
    </row>
    <row r="61">
      <c r="A61" s="80"/>
      <c r="B61" s="81"/>
      <c r="C61" s="90"/>
      <c r="D61" s="90"/>
      <c r="E61" s="243"/>
      <c r="F61" s="83"/>
      <c r="G61" s="91"/>
      <c r="H61" s="85"/>
      <c r="I61" s="86"/>
      <c r="J61" s="86"/>
      <c r="K61" s="86"/>
      <c r="L61" s="86"/>
      <c r="M61" s="86"/>
      <c r="N61" s="86"/>
      <c r="O61" s="86"/>
      <c r="P61" s="86"/>
      <c r="Q61" s="86"/>
      <c r="R61" s="86"/>
      <c r="S61" s="86"/>
      <c r="T61" s="111"/>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8"/>
    </row>
    <row r="62">
      <c r="A62" s="80"/>
      <c r="B62" s="81"/>
      <c r="C62" s="90" t="s">
        <v>518</v>
      </c>
      <c r="F62" s="83"/>
      <c r="G62" s="91"/>
      <c r="H62" s="85"/>
      <c r="I62" s="86"/>
      <c r="J62" s="86"/>
      <c r="K62" s="86"/>
      <c r="L62" s="86"/>
      <c r="M62" s="86"/>
      <c r="N62" s="86"/>
      <c r="O62" s="86"/>
      <c r="P62" s="86"/>
      <c r="Q62" s="86"/>
      <c r="R62" s="86"/>
      <c r="S62" s="86"/>
      <c r="T62" s="111"/>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8"/>
    </row>
    <row r="63">
      <c r="A63" s="80"/>
      <c r="B63" s="81"/>
      <c r="C63" s="90"/>
      <c r="D63" s="90"/>
      <c r="E63" s="113" t="s">
        <v>519</v>
      </c>
      <c r="F63" s="189" t="s">
        <v>122</v>
      </c>
      <c r="G63" s="190" t="s">
        <v>203</v>
      </c>
      <c r="H63" s="156">
        <f>Inputs!H72</f>
        <v>0.4415068</v>
      </c>
      <c r="I63" s="119" t="str">
        <f>Inputs!I72</f>
        <v>-</v>
      </c>
      <c r="J63" s="119" t="str">
        <f>Inputs!J72</f>
        <v>-</v>
      </c>
      <c r="K63" s="119" t="str">
        <f>Inputs!K72</f>
        <v>-</v>
      </c>
      <c r="L63" s="119" t="str">
        <f>Inputs!L72</f>
        <v>-</v>
      </c>
      <c r="M63" s="119" t="str">
        <f>Inputs!M72</f>
        <v>-</v>
      </c>
      <c r="N63" s="119" t="str">
        <f>Inputs!N72</f>
        <v>-</v>
      </c>
      <c r="O63" s="119" t="str">
        <f>Inputs!O72</f>
        <v>-</v>
      </c>
      <c r="P63" s="119" t="str">
        <f>Inputs!P72</f>
        <v>-</v>
      </c>
      <c r="Q63" s="119" t="str">
        <f>Inputs!Q72</f>
        <v>-</v>
      </c>
      <c r="R63" s="119" t="str">
        <f>Inputs!R72</f>
        <v>-</v>
      </c>
      <c r="S63" s="119" t="str">
        <f>Inputs!S72</f>
        <v>-</v>
      </c>
      <c r="T63" s="119" t="str">
        <f>Inputs!T72</f>
        <v>-</v>
      </c>
      <c r="U63" s="119" t="str">
        <f>Inputs!U72</f>
        <v>-</v>
      </c>
      <c r="V63" s="119" t="str">
        <f>Inputs!V72</f>
        <v>-</v>
      </c>
      <c r="W63" s="119" t="str">
        <f>Inputs!W72</f>
        <v>-</v>
      </c>
      <c r="X63" s="119" t="str">
        <f>Inputs!X72</f>
        <v>-</v>
      </c>
      <c r="Y63" s="119" t="str">
        <f>Inputs!Y72</f>
        <v>-</v>
      </c>
      <c r="Z63" s="119" t="str">
        <f>Inputs!Z72</f>
        <v>-</v>
      </c>
      <c r="AA63" s="119" t="str">
        <f>Inputs!AA72</f>
        <v>-</v>
      </c>
      <c r="AB63" s="119" t="str">
        <f>Inputs!AB72</f>
        <v>-</v>
      </c>
      <c r="AC63" s="119" t="str">
        <f>Inputs!AC72</f>
        <v>-</v>
      </c>
      <c r="AD63" s="119" t="str">
        <f>Inputs!AD72</f>
        <v>-</v>
      </c>
      <c r="AE63" s="119" t="str">
        <f>Inputs!AE72</f>
        <v>-</v>
      </c>
      <c r="AF63" s="119" t="str">
        <f>Inputs!AF72</f>
        <v>-</v>
      </c>
      <c r="AG63" s="119" t="str">
        <f>Inputs!AG72</f>
        <v>-</v>
      </c>
      <c r="AH63" s="119" t="str">
        <f>Inputs!AH72</f>
        <v>-</v>
      </c>
      <c r="AI63" s="119" t="str">
        <f>Inputs!AI72</f>
        <v>-</v>
      </c>
      <c r="AJ63" s="119" t="str">
        <f>Inputs!AJ72</f>
        <v>-</v>
      </c>
      <c r="AK63" s="119" t="str">
        <f>Inputs!AK72</f>
        <v>-</v>
      </c>
      <c r="AL63" s="119" t="str">
        <f>Inputs!AL72</f>
        <v>-</v>
      </c>
      <c r="AM63" s="119" t="str">
        <f>Inputs!AM72</f>
        <v>-</v>
      </c>
      <c r="AN63" s="119" t="str">
        <f>Inputs!AN72</f>
        <v>-</v>
      </c>
      <c r="AO63" s="119" t="str">
        <f>Inputs!AO72</f>
        <v>-</v>
      </c>
      <c r="AP63" s="119" t="str">
        <f>Inputs!AP72</f>
        <v>-</v>
      </c>
      <c r="AQ63" s="119" t="str">
        <f>Inputs!AQ72</f>
        <v>-</v>
      </c>
      <c r="AR63" s="119" t="str">
        <f>Inputs!AR72</f>
        <v>-</v>
      </c>
      <c r="AS63" s="119" t="str">
        <f>Inputs!AS72</f>
        <v>-</v>
      </c>
      <c r="AT63" s="136"/>
    </row>
    <row r="64">
      <c r="A64" s="80"/>
      <c r="B64" s="81"/>
      <c r="C64" s="90"/>
      <c r="D64" s="90"/>
      <c r="E64" s="140" t="s">
        <v>525</v>
      </c>
      <c r="F64" s="215" t="s">
        <v>122</v>
      </c>
      <c r="G64" s="216" t="s">
        <v>149</v>
      </c>
      <c r="H64" s="391">
        <f>H22*H63</f>
        <v>0.0026490408</v>
      </c>
      <c r="I64" s="232" t="s">
        <v>150</v>
      </c>
      <c r="J64" s="232" t="s">
        <v>150</v>
      </c>
      <c r="K64" s="232" t="s">
        <v>150</v>
      </c>
      <c r="L64" s="232" t="s">
        <v>150</v>
      </c>
      <c r="M64" s="232" t="s">
        <v>150</v>
      </c>
      <c r="N64" s="232" t="s">
        <v>150</v>
      </c>
      <c r="O64" s="232" t="s">
        <v>150</v>
      </c>
      <c r="P64" s="232" t="s">
        <v>150</v>
      </c>
      <c r="Q64" s="232" t="s">
        <v>150</v>
      </c>
      <c r="R64" s="232" t="s">
        <v>150</v>
      </c>
      <c r="S64" s="232" t="s">
        <v>150</v>
      </c>
      <c r="T64" s="218" t="s">
        <v>150</v>
      </c>
      <c r="U64" s="232" t="s">
        <v>150</v>
      </c>
      <c r="V64" s="232" t="s">
        <v>150</v>
      </c>
      <c r="W64" s="232" t="s">
        <v>150</v>
      </c>
      <c r="X64" s="232" t="s">
        <v>150</v>
      </c>
      <c r="Y64" s="232" t="s">
        <v>150</v>
      </c>
      <c r="Z64" s="232" t="s">
        <v>150</v>
      </c>
      <c r="AA64" s="232" t="s">
        <v>150</v>
      </c>
      <c r="AB64" s="232" t="s">
        <v>150</v>
      </c>
      <c r="AC64" s="232" t="s">
        <v>150</v>
      </c>
      <c r="AD64" s="232" t="s">
        <v>150</v>
      </c>
      <c r="AE64" s="232" t="s">
        <v>150</v>
      </c>
      <c r="AF64" s="232" t="s">
        <v>150</v>
      </c>
      <c r="AG64" s="232" t="s">
        <v>150</v>
      </c>
      <c r="AH64" s="232" t="s">
        <v>150</v>
      </c>
      <c r="AI64" s="232" t="s">
        <v>150</v>
      </c>
      <c r="AJ64" s="232" t="s">
        <v>150</v>
      </c>
      <c r="AK64" s="232" t="s">
        <v>150</v>
      </c>
      <c r="AL64" s="232" t="s">
        <v>150</v>
      </c>
      <c r="AM64" s="232" t="s">
        <v>150</v>
      </c>
      <c r="AN64" s="232" t="s">
        <v>150</v>
      </c>
      <c r="AO64" s="232" t="s">
        <v>150</v>
      </c>
      <c r="AP64" s="232" t="s">
        <v>150</v>
      </c>
      <c r="AQ64" s="232" t="s">
        <v>150</v>
      </c>
      <c r="AR64" s="232" t="s">
        <v>150</v>
      </c>
      <c r="AS64" s="232" t="s">
        <v>150</v>
      </c>
      <c r="AT64" s="163"/>
    </row>
    <row r="65">
      <c r="A65" s="80"/>
      <c r="B65" s="81"/>
      <c r="C65" s="90"/>
      <c r="D65" s="90"/>
      <c r="E65" s="140" t="s">
        <v>527</v>
      </c>
      <c r="F65" s="215" t="s">
        <v>122</v>
      </c>
      <c r="G65" s="216" t="s">
        <v>149</v>
      </c>
      <c r="H65" s="187" t="s">
        <v>150</v>
      </c>
      <c r="I65" s="149">
        <f t="shared" ref="I65:AS65" si="16">I56*(1+$H$64)</f>
        <v>0.4130914048</v>
      </c>
      <c r="J65" s="149">
        <f t="shared" si="16"/>
        <v>0.5454410782</v>
      </c>
      <c r="K65" s="149">
        <f t="shared" si="16"/>
        <v>0.2566781544</v>
      </c>
      <c r="L65" s="149">
        <f t="shared" si="16"/>
        <v>0.515361607</v>
      </c>
      <c r="M65" s="149">
        <f t="shared" si="16"/>
        <v>0.3378927267</v>
      </c>
      <c r="N65" s="149">
        <f t="shared" si="16"/>
        <v>0.2857549766</v>
      </c>
      <c r="O65" s="149">
        <f t="shared" si="16"/>
        <v>0.2265986832</v>
      </c>
      <c r="P65" s="149">
        <f t="shared" si="16"/>
        <v>0.1634317937</v>
      </c>
      <c r="Q65" s="149">
        <f t="shared" si="16"/>
        <v>0.1905033178</v>
      </c>
      <c r="R65" s="149">
        <f t="shared" si="16"/>
        <v>0.8733073145</v>
      </c>
      <c r="S65" s="149">
        <f t="shared" si="16"/>
        <v>0.6757854535</v>
      </c>
      <c r="T65" s="149">
        <f t="shared" si="16"/>
        <v>0.8261828096</v>
      </c>
      <c r="U65" s="149">
        <f t="shared" si="16"/>
        <v>0.8873444011</v>
      </c>
      <c r="V65" s="149">
        <f t="shared" si="16"/>
        <v>0.6607457179</v>
      </c>
      <c r="W65" s="149">
        <f t="shared" si="16"/>
        <v>0.6657589631</v>
      </c>
      <c r="X65" s="149">
        <f t="shared" si="16"/>
        <v>0.8081351269</v>
      </c>
      <c r="Y65" s="149">
        <f t="shared" si="16"/>
        <v>0.884336454</v>
      </c>
      <c r="Z65" s="149">
        <f t="shared" si="16"/>
        <v>0.811143074</v>
      </c>
      <c r="AA65" s="149">
        <f t="shared" si="16"/>
        <v>0.8271854587</v>
      </c>
      <c r="AB65" s="149">
        <f t="shared" si="16"/>
        <v>0.9695616225</v>
      </c>
      <c r="AC65" s="149">
        <f t="shared" si="16"/>
        <v>0.8672914203</v>
      </c>
      <c r="AD65" s="149">
        <f t="shared" si="16"/>
        <v>0.934468906</v>
      </c>
      <c r="AE65" s="149">
        <f t="shared" si="16"/>
        <v>0.8773179107</v>
      </c>
      <c r="AF65" s="149">
        <f t="shared" si="16"/>
        <v>0.958532483</v>
      </c>
      <c r="AG65" s="149">
        <f t="shared" si="16"/>
        <v>0.7349417469</v>
      </c>
      <c r="AH65" s="149">
        <f t="shared" si="16"/>
        <v>0.7229099584</v>
      </c>
      <c r="AI65" s="149">
        <f t="shared" si="16"/>
        <v>0.9314609589</v>
      </c>
      <c r="AJ65" s="149">
        <f t="shared" si="16"/>
        <v>0.639690088</v>
      </c>
      <c r="AK65" s="149">
        <f t="shared" si="16"/>
        <v>0.3820092845</v>
      </c>
      <c r="AL65" s="149">
        <f t="shared" si="16"/>
        <v>0.8021192326</v>
      </c>
      <c r="AM65" s="149">
        <f t="shared" si="16"/>
        <v>0.8332013529</v>
      </c>
      <c r="AN65" s="149">
        <f t="shared" si="16"/>
        <v>0.8773179107</v>
      </c>
      <c r="AO65" s="149">
        <f t="shared" si="16"/>
        <v>0.7730424105</v>
      </c>
      <c r="AP65" s="149">
        <f t="shared" si="16"/>
        <v>0.8031218817</v>
      </c>
      <c r="AQ65" s="149">
        <f t="shared" si="16"/>
        <v>0.8221722135</v>
      </c>
      <c r="AR65" s="149">
        <f t="shared" si="16"/>
        <v>0.3980516692</v>
      </c>
      <c r="AS65" s="149">
        <f t="shared" si="16"/>
        <v>0.1634317937</v>
      </c>
      <c r="AT65" s="163"/>
    </row>
    <row r="66">
      <c r="A66" s="80"/>
      <c r="B66" s="81"/>
      <c r="C66" s="90"/>
      <c r="D66" s="90"/>
      <c r="E66" s="140" t="s">
        <v>531</v>
      </c>
      <c r="F66" s="215" t="s">
        <v>122</v>
      </c>
      <c r="G66" s="216" t="s">
        <v>149</v>
      </c>
      <c r="H66" s="187" t="s">
        <v>150</v>
      </c>
      <c r="I66" s="149">
        <f t="shared" ref="I66:AS66" si="17">I57*(1+$H$64)</f>
        <v>0.3539351114</v>
      </c>
      <c r="J66" s="149">
        <f t="shared" si="17"/>
        <v>0.4481841212</v>
      </c>
      <c r="K66" s="149">
        <f t="shared" si="17"/>
        <v>0.195516563</v>
      </c>
      <c r="L66" s="149">
        <f t="shared" si="17"/>
        <v>0.4381576308</v>
      </c>
      <c r="M66" s="149">
        <f t="shared" si="17"/>
        <v>0.2797390824</v>
      </c>
      <c r="N66" s="149">
        <f t="shared" si="17"/>
        <v>0.2827470295</v>
      </c>
      <c r="O66" s="149">
        <f t="shared" si="17"/>
        <v>0.2025351062</v>
      </c>
      <c r="P66" s="149">
        <f t="shared" si="17"/>
        <v>0.09424900984</v>
      </c>
      <c r="Q66" s="149">
        <f t="shared" si="17"/>
        <v>0.147389409</v>
      </c>
      <c r="R66" s="149">
        <f t="shared" si="17"/>
        <v>0.8181616173</v>
      </c>
      <c r="S66" s="149">
        <f t="shared" si="17"/>
        <v>0.5674993571</v>
      </c>
      <c r="T66" s="149">
        <f t="shared" si="17"/>
        <v>0.8041245307</v>
      </c>
      <c r="U66" s="149">
        <f t="shared" si="17"/>
        <v>0.8973708915</v>
      </c>
      <c r="V66" s="149">
        <f t="shared" si="17"/>
        <v>0.613621213</v>
      </c>
      <c r="W66" s="149">
        <f t="shared" si="17"/>
        <v>0.6848092949</v>
      </c>
      <c r="X66" s="149">
        <f t="shared" si="17"/>
        <v>0.7309311507</v>
      </c>
      <c r="Y66" s="149">
        <f t="shared" si="17"/>
        <v>0.8372119491</v>
      </c>
      <c r="Z66" s="149">
        <f t="shared" si="17"/>
        <v>0.7590053239</v>
      </c>
      <c r="AA66" s="149">
        <f t="shared" si="17"/>
        <v>0.7991112855</v>
      </c>
      <c r="AB66" s="149">
        <f t="shared" si="17"/>
        <v>0.8883470501</v>
      </c>
      <c r="AC66" s="149">
        <f t="shared" si="17"/>
        <v>0.8733073145</v>
      </c>
      <c r="AD66" s="149">
        <f t="shared" si="17"/>
        <v>0.8512490356</v>
      </c>
      <c r="AE66" s="149">
        <f t="shared" si="17"/>
        <v>0.8793232088</v>
      </c>
      <c r="AF66" s="149">
        <f t="shared" si="17"/>
        <v>0.8833338049</v>
      </c>
      <c r="AG66" s="149">
        <f t="shared" si="17"/>
        <v>0.638687439</v>
      </c>
      <c r="AH66" s="149">
        <f t="shared" si="17"/>
        <v>0.7098755209</v>
      </c>
      <c r="AI66" s="149">
        <f t="shared" si="17"/>
        <v>0.9384795022</v>
      </c>
      <c r="AJ66" s="149">
        <f t="shared" si="17"/>
        <v>0.565494059</v>
      </c>
      <c r="AK66" s="149">
        <f t="shared" si="17"/>
        <v>0.3639616018</v>
      </c>
      <c r="AL66" s="149">
        <f t="shared" si="17"/>
        <v>0.712883468</v>
      </c>
      <c r="AM66" s="149">
        <f t="shared" si="17"/>
        <v>0.7660238672</v>
      </c>
      <c r="AN66" s="149">
        <f t="shared" si="17"/>
        <v>0.8332013529</v>
      </c>
      <c r="AO66" s="149">
        <f t="shared" si="17"/>
        <v>0.6928304872</v>
      </c>
      <c r="AP66" s="149">
        <f t="shared" si="17"/>
        <v>0.7008516795</v>
      </c>
      <c r="AQ66" s="149">
        <f t="shared" si="17"/>
        <v>0.8221722135</v>
      </c>
      <c r="AR66" s="149">
        <f t="shared" si="17"/>
        <v>0.3599510056</v>
      </c>
      <c r="AS66" s="149">
        <f t="shared" si="17"/>
        <v>0.1754635821</v>
      </c>
      <c r="AT66" s="163"/>
    </row>
    <row r="67">
      <c r="A67" s="80"/>
      <c r="B67" s="81"/>
      <c r="C67" s="90"/>
      <c r="D67" s="90"/>
      <c r="E67" s="140" t="s">
        <v>533</v>
      </c>
      <c r="F67" s="215" t="s">
        <v>122</v>
      </c>
      <c r="G67" s="216" t="s">
        <v>149</v>
      </c>
      <c r="H67" s="187" t="s">
        <v>150</v>
      </c>
      <c r="I67" s="149">
        <f t="shared" ref="I67:AS67" si="18">I58*(1+$H$64)</f>
        <v>0.2526675583</v>
      </c>
      <c r="J67" s="149">
        <f t="shared" si="18"/>
        <v>0.2917708709</v>
      </c>
      <c r="K67" s="149">
        <f t="shared" si="18"/>
        <v>0.09023841367</v>
      </c>
      <c r="L67" s="149">
        <f t="shared" si="18"/>
        <v>0.3258609383</v>
      </c>
      <c r="M67" s="149">
        <f t="shared" si="18"/>
        <v>0.2095536495</v>
      </c>
      <c r="N67" s="149">
        <f t="shared" si="18"/>
        <v>0.1834847745</v>
      </c>
      <c r="O67" s="149">
        <f t="shared" si="18"/>
        <v>0.1674423898</v>
      </c>
      <c r="P67" s="149">
        <f t="shared" si="18"/>
        <v>0.05213775012</v>
      </c>
      <c r="Q67" s="149">
        <f t="shared" si="18"/>
        <v>0.09525165888</v>
      </c>
      <c r="R67" s="149">
        <f t="shared" si="18"/>
        <v>0.687817242</v>
      </c>
      <c r="S67" s="149">
        <f t="shared" si="18"/>
        <v>0.5043324675</v>
      </c>
      <c r="T67" s="149">
        <f t="shared" si="18"/>
        <v>0.7359443959</v>
      </c>
      <c r="U67" s="149">
        <f t="shared" si="18"/>
        <v>0.8261828096</v>
      </c>
      <c r="V67" s="149">
        <f t="shared" si="18"/>
        <v>0.5043324675</v>
      </c>
      <c r="W67" s="149">
        <f t="shared" si="18"/>
        <v>0.5965761793</v>
      </c>
      <c r="X67" s="149">
        <f t="shared" si="18"/>
        <v>0.6406927371</v>
      </c>
      <c r="Y67" s="149">
        <f t="shared" si="18"/>
        <v>0.7710371124</v>
      </c>
      <c r="Z67" s="149">
        <f t="shared" si="18"/>
        <v>0.638687439</v>
      </c>
      <c r="AA67" s="149">
        <f t="shared" si="18"/>
        <v>0.663753665</v>
      </c>
      <c r="AB67" s="149">
        <f t="shared" si="18"/>
        <v>0.8632808241</v>
      </c>
      <c r="AC67" s="149">
        <f t="shared" si="18"/>
        <v>0.8031218817</v>
      </c>
      <c r="AD67" s="149">
        <f t="shared" si="18"/>
        <v>0.7880821461</v>
      </c>
      <c r="AE67" s="149">
        <f t="shared" si="18"/>
        <v>0.7209046603</v>
      </c>
      <c r="AF67" s="149">
        <f t="shared" si="18"/>
        <v>0.7188993623</v>
      </c>
      <c r="AG67" s="149">
        <f t="shared" si="18"/>
        <v>0.4772609434</v>
      </c>
      <c r="AH67" s="149">
        <f t="shared" si="18"/>
        <v>0.614623862</v>
      </c>
      <c r="AI67" s="149">
        <f t="shared" si="18"/>
        <v>0.8582675789</v>
      </c>
      <c r="AJ67" s="149">
        <f t="shared" si="18"/>
        <v>0.4481841212</v>
      </c>
      <c r="AK67" s="149">
        <f t="shared" si="18"/>
        <v>0.3068106065</v>
      </c>
      <c r="AL67" s="149">
        <f t="shared" si="18"/>
        <v>0.590560285</v>
      </c>
      <c r="AM67" s="149">
        <f t="shared" si="18"/>
        <v>0.7158914151</v>
      </c>
      <c r="AN67" s="149">
        <f t="shared" si="18"/>
        <v>0.6587404198</v>
      </c>
      <c r="AO67" s="149">
        <f t="shared" si="18"/>
        <v>0.6507192275</v>
      </c>
      <c r="AP67" s="149">
        <f t="shared" si="18"/>
        <v>0.5725126023</v>
      </c>
      <c r="AQ67" s="149">
        <f t="shared" si="18"/>
        <v>0.7299285017</v>
      </c>
      <c r="AR67" s="149">
        <f t="shared" si="18"/>
        <v>0.2005298082</v>
      </c>
      <c r="AS67" s="149">
        <f t="shared" si="18"/>
        <v>0.1132993416</v>
      </c>
      <c r="AT67" s="163"/>
    </row>
    <row r="68">
      <c r="A68" s="80"/>
      <c r="B68" s="81"/>
      <c r="C68" s="90"/>
      <c r="D68" s="90"/>
      <c r="E68" s="140" t="s">
        <v>535</v>
      </c>
      <c r="F68" s="215" t="s">
        <v>122</v>
      </c>
      <c r="G68" s="216" t="s">
        <v>149</v>
      </c>
      <c r="H68" s="187" t="s">
        <v>150</v>
      </c>
      <c r="I68" s="149">
        <f t="shared" ref="I68:AS68" si="19">I59*(1+$H$64)</f>
        <v>0.1854900725</v>
      </c>
      <c r="J68" s="149">
        <f t="shared" si="19"/>
        <v>0.2506622602</v>
      </c>
      <c r="K68" s="149">
        <f t="shared" si="19"/>
        <v>0.0711880819</v>
      </c>
      <c r="L68" s="149">
        <f t="shared" si="19"/>
        <v>0.295781467</v>
      </c>
      <c r="M68" s="149">
        <f t="shared" si="19"/>
        <v>0.1594211975</v>
      </c>
      <c r="N68" s="149">
        <f t="shared" si="19"/>
        <v>0.1213205339</v>
      </c>
      <c r="O68" s="149">
        <f t="shared" si="19"/>
        <v>0.1132993416</v>
      </c>
      <c r="P68" s="149">
        <f t="shared" si="19"/>
        <v>0.02907682218</v>
      </c>
      <c r="Q68" s="149">
        <f t="shared" si="19"/>
        <v>0.08923576463</v>
      </c>
      <c r="R68" s="149">
        <f t="shared" si="19"/>
        <v>0.5494516744</v>
      </c>
      <c r="S68" s="149">
        <f t="shared" si="19"/>
        <v>0.3800039865</v>
      </c>
      <c r="T68" s="149">
        <f t="shared" si="19"/>
        <v>0.6858119439</v>
      </c>
      <c r="U68" s="149">
        <f t="shared" si="19"/>
        <v>0.7640185691</v>
      </c>
      <c r="V68" s="149">
        <f t="shared" si="19"/>
        <v>0.4271284914</v>
      </c>
      <c r="W68" s="149">
        <f t="shared" si="19"/>
        <v>0.5755205494</v>
      </c>
      <c r="X68" s="149">
        <f t="shared" si="19"/>
        <v>0.4782635925</v>
      </c>
      <c r="Y68" s="149">
        <f t="shared" si="19"/>
        <v>0.6968410834</v>
      </c>
      <c r="Z68" s="149">
        <f t="shared" si="19"/>
        <v>0.5735152513</v>
      </c>
      <c r="AA68" s="149">
        <f t="shared" si="19"/>
        <v>0.5454410782</v>
      </c>
      <c r="AB68" s="149">
        <f t="shared" si="19"/>
        <v>0.7469735354</v>
      </c>
      <c r="AC68" s="149">
        <f t="shared" si="19"/>
        <v>0.7239126075</v>
      </c>
      <c r="AD68" s="149">
        <f t="shared" si="19"/>
        <v>0.7399549921</v>
      </c>
      <c r="AE68" s="149">
        <f t="shared" si="19"/>
        <v>0.6587404198</v>
      </c>
      <c r="AF68" s="149">
        <f t="shared" si="19"/>
        <v>0.6577377708</v>
      </c>
      <c r="AG68" s="149">
        <f t="shared" si="19"/>
        <v>0.3850172317</v>
      </c>
      <c r="AH68" s="149">
        <f t="shared" si="19"/>
        <v>0.492300679</v>
      </c>
      <c r="AI68" s="149">
        <f t="shared" si="19"/>
        <v>0.8041245307</v>
      </c>
      <c r="AJ68" s="149">
        <f t="shared" si="19"/>
        <v>0.3499245152</v>
      </c>
      <c r="AK68" s="149">
        <f t="shared" si="19"/>
        <v>0.2005298082</v>
      </c>
      <c r="AL68" s="149">
        <f t="shared" si="19"/>
        <v>0.5223801503</v>
      </c>
      <c r="AM68" s="149">
        <f t="shared" si="19"/>
        <v>0.663753665</v>
      </c>
      <c r="AN68" s="149">
        <f t="shared" si="19"/>
        <v>0.6015894245</v>
      </c>
      <c r="AO68" s="149">
        <f t="shared" si="19"/>
        <v>0.5424331311</v>
      </c>
      <c r="AP68" s="149">
        <f t="shared" si="19"/>
        <v>0.4531973664</v>
      </c>
      <c r="AQ68" s="149">
        <f t="shared" si="19"/>
        <v>0.6617483669</v>
      </c>
      <c r="AR68" s="149">
        <f t="shared" si="19"/>
        <v>0.1644344427</v>
      </c>
      <c r="AS68" s="149">
        <f t="shared" si="19"/>
        <v>0.08723046655</v>
      </c>
      <c r="AT68" s="163"/>
    </row>
    <row r="69">
      <c r="A69" s="80"/>
      <c r="B69" s="81"/>
      <c r="C69" s="81"/>
      <c r="D69" s="81"/>
      <c r="E69" s="194" t="s">
        <v>537</v>
      </c>
      <c r="F69" s="195" t="s">
        <v>122</v>
      </c>
      <c r="G69" s="374" t="s">
        <v>149</v>
      </c>
      <c r="H69" s="375" t="s">
        <v>150</v>
      </c>
      <c r="I69" s="240">
        <f t="shared" ref="I69:AS69" si="20">I60*(1+$H$64)</f>
        <v>0.2225880871</v>
      </c>
      <c r="J69" s="240">
        <f t="shared" si="20"/>
        <v>0.3248582892</v>
      </c>
      <c r="K69" s="240">
        <f t="shared" si="20"/>
        <v>0.1042755002</v>
      </c>
      <c r="L69" s="240">
        <f t="shared" si="20"/>
        <v>0.4321417366</v>
      </c>
      <c r="M69" s="240">
        <f t="shared" si="20"/>
        <v>0.2416384188</v>
      </c>
      <c r="N69" s="240">
        <f t="shared" si="20"/>
        <v>0.2115589476</v>
      </c>
      <c r="O69" s="240">
        <f t="shared" si="20"/>
        <v>0.2556755054</v>
      </c>
      <c r="P69" s="240">
        <f t="shared" si="20"/>
        <v>0.098259606</v>
      </c>
      <c r="Q69" s="240">
        <f t="shared" si="20"/>
        <v>0.1624291446</v>
      </c>
      <c r="R69" s="240">
        <f t="shared" si="20"/>
        <v>0.7058649247</v>
      </c>
      <c r="S69" s="240">
        <f t="shared" si="20"/>
        <v>0.4892927319</v>
      </c>
      <c r="T69" s="240">
        <f t="shared" si="20"/>
        <v>0.638687439</v>
      </c>
      <c r="U69" s="240">
        <f t="shared" si="20"/>
        <v>0.7519867806</v>
      </c>
      <c r="V69" s="240">
        <f t="shared" si="20"/>
        <v>0.5173669051</v>
      </c>
      <c r="W69" s="240">
        <f t="shared" si="20"/>
        <v>0.5374198859</v>
      </c>
      <c r="X69" s="240">
        <f t="shared" si="20"/>
        <v>0.5825390927</v>
      </c>
      <c r="Y69" s="240">
        <f t="shared" si="20"/>
        <v>0.7389523431</v>
      </c>
      <c r="Z69" s="240">
        <f t="shared" si="20"/>
        <v>0.638687439</v>
      </c>
      <c r="AA69" s="240">
        <f t="shared" si="20"/>
        <v>0.5775258475</v>
      </c>
      <c r="AB69" s="240">
        <f t="shared" si="20"/>
        <v>0.8632808241</v>
      </c>
      <c r="AC69" s="240">
        <f t="shared" si="20"/>
        <v>0.8031218817</v>
      </c>
      <c r="AD69" s="240">
        <f t="shared" si="20"/>
        <v>0.8141510211</v>
      </c>
      <c r="AE69" s="240">
        <f t="shared" si="20"/>
        <v>0.7650212181</v>
      </c>
      <c r="AF69" s="240">
        <f t="shared" si="20"/>
        <v>0.7479761844</v>
      </c>
      <c r="AG69" s="240">
        <f t="shared" si="20"/>
        <v>0.6517218765</v>
      </c>
      <c r="AH69" s="240">
        <f t="shared" si="20"/>
        <v>0.6707722083</v>
      </c>
      <c r="AI69" s="240">
        <f t="shared" si="20"/>
        <v>0.8823311559</v>
      </c>
      <c r="AJ69" s="240">
        <f t="shared" si="20"/>
        <v>0.4983165733</v>
      </c>
      <c r="AK69" s="240">
        <f t="shared" si="20"/>
        <v>0.3128265007</v>
      </c>
      <c r="AL69" s="240">
        <f t="shared" si="20"/>
        <v>0.5885549869</v>
      </c>
      <c r="AM69" s="240">
        <f t="shared" si="20"/>
        <v>0.7239126075</v>
      </c>
      <c r="AN69" s="240">
        <f t="shared" si="20"/>
        <v>0.6717748573</v>
      </c>
      <c r="AO69" s="240">
        <f t="shared" si="20"/>
        <v>0.5324066407</v>
      </c>
      <c r="AP69" s="240">
        <f t="shared" si="20"/>
        <v>0.6547298236</v>
      </c>
      <c r="AQ69" s="240">
        <f t="shared" si="20"/>
        <v>0.7088728718</v>
      </c>
      <c r="AR69" s="240">
        <f t="shared" si="20"/>
        <v>0.2927735199</v>
      </c>
      <c r="AS69" s="240">
        <f t="shared" si="20"/>
        <v>0.147389409</v>
      </c>
      <c r="AT69" s="199"/>
    </row>
    <row r="70">
      <c r="A70" s="80"/>
      <c r="B70" s="81"/>
      <c r="C70" s="81"/>
      <c r="D70" s="81"/>
      <c r="E70" s="121"/>
      <c r="F70" s="108"/>
      <c r="G70" s="177"/>
      <c r="H70" s="178"/>
      <c r="I70" s="111"/>
      <c r="J70" s="111"/>
      <c r="K70" s="111"/>
      <c r="L70" s="111"/>
      <c r="M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85"/>
    </row>
    <row r="71">
      <c r="A71" s="80"/>
      <c r="B71" s="81"/>
      <c r="C71" s="90" t="s">
        <v>538</v>
      </c>
      <c r="F71" s="108"/>
      <c r="G71" s="422"/>
      <c r="H71" s="178"/>
      <c r="I71" s="111"/>
      <c r="J71" s="111"/>
      <c r="K71" s="111"/>
      <c r="L71" s="111"/>
      <c r="M71" s="111"/>
      <c r="N71" s="111"/>
      <c r="O71" s="111"/>
      <c r="P71" s="111"/>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85"/>
    </row>
    <row r="72">
      <c r="A72" s="80"/>
      <c r="B72" s="81"/>
      <c r="C72" s="90"/>
      <c r="D72" s="90"/>
      <c r="E72" s="113" t="s">
        <v>539</v>
      </c>
      <c r="F72" s="189" t="s">
        <v>122</v>
      </c>
      <c r="G72" s="190" t="s">
        <v>149</v>
      </c>
      <c r="H72" s="200" t="s">
        <v>150</v>
      </c>
      <c r="I72" s="119">
        <f t="shared" ref="I72:AS72" si="21">I65/I44</f>
        <v>0.8402318209</v>
      </c>
      <c r="J72" s="119">
        <f t="shared" si="21"/>
        <v>0.9232733269</v>
      </c>
      <c r="K72" s="119">
        <f t="shared" si="21"/>
        <v>0.4036915334</v>
      </c>
      <c r="L72" s="119">
        <f t="shared" si="21"/>
        <v>0.6590152828</v>
      </c>
      <c r="M72" s="119">
        <f t="shared" si="21"/>
        <v>0.5596235598</v>
      </c>
      <c r="N72" s="119">
        <f t="shared" si="21"/>
        <v>0.5015520324</v>
      </c>
      <c r="O72" s="119">
        <f t="shared" si="21"/>
        <v>0.3558235797</v>
      </c>
      <c r="P72" s="119">
        <f t="shared" si="21"/>
        <v>0.4843297033</v>
      </c>
      <c r="Q72" s="119">
        <f t="shared" si="21"/>
        <v>0.3745185124</v>
      </c>
      <c r="R72" s="119">
        <f t="shared" si="21"/>
        <v>0.9637246708</v>
      </c>
      <c r="S72" s="119">
        <f t="shared" si="21"/>
        <v>0.8073038435</v>
      </c>
      <c r="T72" s="119">
        <f t="shared" si="21"/>
        <v>0.9639108039</v>
      </c>
      <c r="U72" s="119">
        <f t="shared" si="21"/>
        <v>1.049987733</v>
      </c>
      <c r="V72" s="119">
        <f t="shared" si="21"/>
        <v>0.8363572239</v>
      </c>
      <c r="W72" s="119">
        <f t="shared" si="21"/>
        <v>0.8138219961</v>
      </c>
      <c r="X72" s="119">
        <f t="shared" si="21"/>
        <v>1.245499154</v>
      </c>
      <c r="Y72" s="119">
        <f t="shared" si="21"/>
        <v>0.9486419051</v>
      </c>
      <c r="Z72" s="119">
        <f t="shared" si="21"/>
        <v>0.9701646523</v>
      </c>
      <c r="AA72" s="119">
        <f t="shared" si="21"/>
        <v>0.83193252</v>
      </c>
      <c r="AB72" s="119">
        <f t="shared" si="21"/>
        <v>1.049078953</v>
      </c>
      <c r="AC72" s="119">
        <f t="shared" si="21"/>
        <v>0.8749118805</v>
      </c>
      <c r="AD72" s="119">
        <f t="shared" si="21"/>
        <v>0.9417283808</v>
      </c>
      <c r="AE72" s="119">
        <f t="shared" si="21"/>
        <v>0.9203531555</v>
      </c>
      <c r="AF72" s="119">
        <f t="shared" si="21"/>
        <v>1.010860704</v>
      </c>
      <c r="AG72" s="119">
        <f t="shared" si="21"/>
        <v>0.7952170346</v>
      </c>
      <c r="AH72" s="119">
        <f t="shared" si="21"/>
        <v>0.998574263</v>
      </c>
      <c r="AI72" s="119">
        <f t="shared" si="21"/>
        <v>0.985433043</v>
      </c>
      <c r="AJ72" s="119">
        <f t="shared" si="21"/>
        <v>0.8066384101</v>
      </c>
      <c r="AK72" s="119">
        <f t="shared" si="21"/>
        <v>0.5719822381</v>
      </c>
      <c r="AL72" s="119">
        <f t="shared" si="21"/>
        <v>1.107988087</v>
      </c>
      <c r="AM72" s="119">
        <f t="shared" si="21"/>
        <v>1.108012061</v>
      </c>
      <c r="AN72" s="119">
        <f t="shared" si="21"/>
        <v>0.9421249506</v>
      </c>
      <c r="AO72" s="119">
        <f t="shared" si="21"/>
        <v>0.9358017016</v>
      </c>
      <c r="AP72" s="119">
        <f t="shared" si="21"/>
        <v>0.9145686782</v>
      </c>
      <c r="AQ72" s="119">
        <f t="shared" si="21"/>
        <v>0.9093048408</v>
      </c>
      <c r="AR72" s="119">
        <f t="shared" si="21"/>
        <v>0.5591190725</v>
      </c>
      <c r="AS72" s="119">
        <f t="shared" si="21"/>
        <v>0.2170466888</v>
      </c>
      <c r="AT72" s="136"/>
    </row>
    <row r="73">
      <c r="A73" s="80"/>
      <c r="B73" s="81"/>
      <c r="C73" s="90"/>
      <c r="D73" s="90"/>
      <c r="E73" s="140" t="s">
        <v>540</v>
      </c>
      <c r="F73" s="215" t="s">
        <v>122</v>
      </c>
      <c r="G73" s="216" t="s">
        <v>149</v>
      </c>
      <c r="H73" s="187" t="s">
        <v>150</v>
      </c>
      <c r="I73" s="149">
        <f t="shared" ref="I73:AS73" si="22">I66/I45</f>
        <v>0.8356371497</v>
      </c>
      <c r="J73" s="149">
        <f t="shared" si="22"/>
        <v>0.8258318676</v>
      </c>
      <c r="K73" s="149">
        <f t="shared" si="22"/>
        <v>0.318016491</v>
      </c>
      <c r="L73" s="149">
        <f t="shared" si="22"/>
        <v>0.6027375068</v>
      </c>
      <c r="M73" s="149">
        <f t="shared" si="22"/>
        <v>0.5088798562</v>
      </c>
      <c r="N73" s="149">
        <f t="shared" si="22"/>
        <v>0.5327907052</v>
      </c>
      <c r="O73" s="149">
        <f t="shared" si="22"/>
        <v>0.3399521598</v>
      </c>
      <c r="P73" s="149">
        <f t="shared" si="22"/>
        <v>0.3268276317</v>
      </c>
      <c r="Q73" s="149">
        <f t="shared" si="22"/>
        <v>0.3271057828</v>
      </c>
      <c r="R73" s="149">
        <f t="shared" si="22"/>
        <v>0.9264137123</v>
      </c>
      <c r="S73" s="149">
        <f t="shared" si="22"/>
        <v>0.7556811146</v>
      </c>
      <c r="T73" s="149">
        <f t="shared" si="22"/>
        <v>0.9316450986</v>
      </c>
      <c r="U73" s="149">
        <f t="shared" si="22"/>
        <v>1.081065246</v>
      </c>
      <c r="V73" s="149">
        <f t="shared" si="22"/>
        <v>0.79073893</v>
      </c>
      <c r="W73" s="149">
        <f t="shared" si="22"/>
        <v>0.846433306</v>
      </c>
      <c r="X73" s="149">
        <f t="shared" si="22"/>
        <v>1.260759838</v>
      </c>
      <c r="Y73" s="149">
        <f t="shared" si="22"/>
        <v>0.8980906925</v>
      </c>
      <c r="Z73" s="149">
        <f t="shared" si="22"/>
        <v>0.9358241784</v>
      </c>
      <c r="AA73" s="149">
        <f t="shared" si="22"/>
        <v>0.8053192269</v>
      </c>
      <c r="AB73" s="149">
        <f t="shared" si="22"/>
        <v>0.9622461937</v>
      </c>
      <c r="AC73" s="149">
        <f t="shared" si="22"/>
        <v>0.9219564769</v>
      </c>
      <c r="AD73" s="149">
        <f t="shared" si="22"/>
        <v>0.8630875675</v>
      </c>
      <c r="AE73" s="149">
        <f t="shared" si="22"/>
        <v>0.9703634171</v>
      </c>
      <c r="AF73" s="149">
        <f t="shared" si="22"/>
        <v>0.9374965669</v>
      </c>
      <c r="AG73" s="149">
        <f t="shared" si="22"/>
        <v>0.7399724786</v>
      </c>
      <c r="AH73" s="149">
        <f t="shared" si="22"/>
        <v>1.069308774</v>
      </c>
      <c r="AI73" s="149">
        <f t="shared" si="22"/>
        <v>1.014348704</v>
      </c>
      <c r="AJ73" s="149">
        <f t="shared" si="22"/>
        <v>0.7854772566</v>
      </c>
      <c r="AK73" s="149">
        <f t="shared" si="22"/>
        <v>0.5853268223</v>
      </c>
      <c r="AL73" s="149">
        <f t="shared" si="22"/>
        <v>1.067399925</v>
      </c>
      <c r="AM73" s="149">
        <f t="shared" si="22"/>
        <v>1.042271109</v>
      </c>
      <c r="AN73" s="149">
        <f t="shared" si="22"/>
        <v>0.9104125359</v>
      </c>
      <c r="AO73" s="149">
        <f t="shared" si="22"/>
        <v>0.9152498216</v>
      </c>
      <c r="AP73" s="149">
        <f t="shared" si="22"/>
        <v>0.8749245237</v>
      </c>
      <c r="AQ73" s="149">
        <f t="shared" si="22"/>
        <v>0.9164087848</v>
      </c>
      <c r="AR73" s="149">
        <f t="shared" si="22"/>
        <v>0.5027728388</v>
      </c>
      <c r="AS73" s="149">
        <f t="shared" si="22"/>
        <v>0.2374461258</v>
      </c>
      <c r="AT73" s="163"/>
    </row>
    <row r="74">
      <c r="A74" s="80"/>
      <c r="B74" s="81"/>
      <c r="C74" s="90"/>
      <c r="D74" s="90"/>
      <c r="E74" s="140" t="s">
        <v>542</v>
      </c>
      <c r="F74" s="215" t="s">
        <v>122</v>
      </c>
      <c r="G74" s="216" t="s">
        <v>149</v>
      </c>
      <c r="H74" s="187" t="s">
        <v>150</v>
      </c>
      <c r="I74" s="149">
        <f t="shared" ref="I74:AS74" si="23">I67/I46</f>
        <v>0.6711136882</v>
      </c>
      <c r="J74" s="149">
        <f t="shared" si="23"/>
        <v>0.5691233825</v>
      </c>
      <c r="K74" s="149">
        <f t="shared" si="23"/>
        <v>0.1597889734</v>
      </c>
      <c r="L74" s="149">
        <f t="shared" si="23"/>
        <v>0.4893787606</v>
      </c>
      <c r="M74" s="149">
        <f t="shared" si="23"/>
        <v>0.4452786058</v>
      </c>
      <c r="N74" s="149">
        <f t="shared" si="23"/>
        <v>0.3932317482</v>
      </c>
      <c r="O74" s="149">
        <f t="shared" si="23"/>
        <v>0.2863432996</v>
      </c>
      <c r="P74" s="149">
        <f t="shared" si="23"/>
        <v>0.2829885876</v>
      </c>
      <c r="Q74" s="149">
        <f t="shared" si="23"/>
        <v>0.2694835755</v>
      </c>
      <c r="R74" s="149">
        <f t="shared" si="23"/>
        <v>0.798746679</v>
      </c>
      <c r="S74" s="149">
        <f t="shared" si="23"/>
        <v>0.7562704944</v>
      </c>
      <c r="T74" s="149">
        <f t="shared" si="23"/>
        <v>0.8930579188</v>
      </c>
      <c r="U74" s="149">
        <f t="shared" si="23"/>
        <v>1.094307226</v>
      </c>
      <c r="V74" s="149">
        <f t="shared" si="23"/>
        <v>0.6627317754</v>
      </c>
      <c r="W74" s="149">
        <f t="shared" si="23"/>
        <v>0.7997313003</v>
      </c>
      <c r="X74" s="149">
        <f t="shared" si="23"/>
        <v>1.412492196</v>
      </c>
      <c r="Y74" s="149">
        <f t="shared" si="23"/>
        <v>0.8388166834</v>
      </c>
      <c r="Z74" s="149">
        <f t="shared" si="23"/>
        <v>0.8448427504</v>
      </c>
      <c r="AA74" s="149">
        <f t="shared" si="23"/>
        <v>0.6695857398</v>
      </c>
      <c r="AB74" s="149">
        <f t="shared" si="23"/>
        <v>0.9495125383</v>
      </c>
      <c r="AC74" s="149">
        <f t="shared" si="23"/>
        <v>0.8505585692</v>
      </c>
      <c r="AD74" s="149">
        <f t="shared" si="23"/>
        <v>0.8139157883</v>
      </c>
      <c r="AE74" s="149">
        <f t="shared" si="23"/>
        <v>0.8256496602</v>
      </c>
      <c r="AF74" s="149">
        <f t="shared" si="23"/>
        <v>0.7703474412</v>
      </c>
      <c r="AG74" s="149">
        <f t="shared" si="23"/>
        <v>0.6441079122</v>
      </c>
      <c r="AH74" s="149">
        <f t="shared" si="23"/>
        <v>0.9576037675</v>
      </c>
      <c r="AI74" s="149">
        <f t="shared" si="23"/>
        <v>0.95133259</v>
      </c>
      <c r="AJ74" s="149">
        <f t="shared" si="23"/>
        <v>0.6918096943</v>
      </c>
      <c r="AK74" s="149">
        <f t="shared" si="23"/>
        <v>0.6165218015</v>
      </c>
      <c r="AL74" s="149">
        <f t="shared" si="23"/>
        <v>1.016882333</v>
      </c>
      <c r="AM74" s="149">
        <f t="shared" si="23"/>
        <v>1.048328127</v>
      </c>
      <c r="AN74" s="149">
        <f t="shared" si="23"/>
        <v>0.7458992757</v>
      </c>
      <c r="AO74" s="149">
        <f t="shared" si="23"/>
        <v>1.012262317</v>
      </c>
      <c r="AP74" s="149">
        <f t="shared" si="23"/>
        <v>0.733976325</v>
      </c>
      <c r="AQ74" s="149">
        <f t="shared" si="23"/>
        <v>0.8369444337</v>
      </c>
      <c r="AR74" s="149">
        <f t="shared" si="23"/>
        <v>0.3066904236</v>
      </c>
      <c r="AS74" s="149">
        <f t="shared" si="23"/>
        <v>0.1589212055</v>
      </c>
      <c r="AT74" s="163"/>
    </row>
    <row r="75">
      <c r="A75" s="80"/>
      <c r="B75" s="81"/>
      <c r="C75" s="90"/>
      <c r="D75" s="90"/>
      <c r="E75" s="140" t="s">
        <v>545</v>
      </c>
      <c r="F75" s="215" t="s">
        <v>122</v>
      </c>
      <c r="G75" s="216" t="s">
        <v>149</v>
      </c>
      <c r="H75" s="187" t="s">
        <v>150</v>
      </c>
      <c r="I75" s="149">
        <f t="shared" ref="I75:AS75" si="24">I68/I47</f>
        <v>0.5918488279</v>
      </c>
      <c r="J75" s="149">
        <f t="shared" si="24"/>
        <v>0.6587791008</v>
      </c>
      <c r="K75" s="149">
        <f t="shared" si="24"/>
        <v>0.1456873782</v>
      </c>
      <c r="L75" s="149">
        <f t="shared" si="24"/>
        <v>0.4898781904</v>
      </c>
      <c r="M75" s="149">
        <f t="shared" si="24"/>
        <v>0.3755040874</v>
      </c>
      <c r="N75" s="149">
        <f t="shared" si="24"/>
        <v>0.2940841073</v>
      </c>
      <c r="O75" s="149">
        <f t="shared" si="24"/>
        <v>0.2053573473</v>
      </c>
      <c r="P75" s="149">
        <f t="shared" si="24"/>
        <v>0.2525128936</v>
      </c>
      <c r="Q75" s="149">
        <f t="shared" si="24"/>
        <v>0.359353374</v>
      </c>
      <c r="R75" s="149">
        <f t="shared" si="24"/>
        <v>0.7316488531</v>
      </c>
      <c r="S75" s="149">
        <f t="shared" si="24"/>
        <v>0.7040991918</v>
      </c>
      <c r="T75" s="149">
        <f t="shared" si="24"/>
        <v>0.9369623194</v>
      </c>
      <c r="U75" s="149">
        <f t="shared" si="24"/>
        <v>1.036717807</v>
      </c>
      <c r="V75" s="149">
        <f t="shared" si="24"/>
        <v>0.6076533381</v>
      </c>
      <c r="W75" s="149">
        <f t="shared" si="24"/>
        <v>0.9152413851</v>
      </c>
      <c r="X75" s="149">
        <f t="shared" si="24"/>
        <v>1.586847838</v>
      </c>
      <c r="Y75" s="149">
        <f t="shared" si="24"/>
        <v>0.9279123228</v>
      </c>
      <c r="Z75" s="149">
        <f t="shared" si="24"/>
        <v>0.8194118761</v>
      </c>
      <c r="AA75" s="149">
        <f t="shared" si="24"/>
        <v>0.5519060414</v>
      </c>
      <c r="AB75" s="149">
        <f t="shared" si="24"/>
        <v>0.9020573806</v>
      </c>
      <c r="AC75" s="149">
        <f t="shared" si="24"/>
        <v>0.8515554021</v>
      </c>
      <c r="AD75" s="149">
        <f t="shared" si="24"/>
        <v>0.81386789</v>
      </c>
      <c r="AE75" s="149">
        <f t="shared" si="24"/>
        <v>0.8264863834</v>
      </c>
      <c r="AF75" s="149">
        <f t="shared" si="24"/>
        <v>0.7397317759</v>
      </c>
      <c r="AG75" s="149">
        <f t="shared" si="24"/>
        <v>0.608411686</v>
      </c>
      <c r="AH75" s="149">
        <f t="shared" si="24"/>
        <v>0.8923049337</v>
      </c>
      <c r="AI75" s="149">
        <f t="shared" si="24"/>
        <v>0.9481441263</v>
      </c>
      <c r="AJ75" s="149">
        <f t="shared" si="24"/>
        <v>0.6471650692</v>
      </c>
      <c r="AK75" s="149">
        <f t="shared" si="24"/>
        <v>0.5082965651</v>
      </c>
      <c r="AL75" s="149">
        <f t="shared" si="24"/>
        <v>1.263196962</v>
      </c>
      <c r="AM75" s="149">
        <f t="shared" si="24"/>
        <v>1.058929525</v>
      </c>
      <c r="AN75" s="149">
        <f t="shared" si="24"/>
        <v>0.7371859385</v>
      </c>
      <c r="AO75" s="149">
        <f t="shared" si="24"/>
        <v>0.9520689458</v>
      </c>
      <c r="AP75" s="149">
        <f t="shared" si="24"/>
        <v>0.6920605404</v>
      </c>
      <c r="AQ75" s="149">
        <f t="shared" si="24"/>
        <v>0.8462063942</v>
      </c>
      <c r="AR75" s="149">
        <f t="shared" si="24"/>
        <v>0.3133978134</v>
      </c>
      <c r="AS75" s="149">
        <f t="shared" si="24"/>
        <v>0.1356961811</v>
      </c>
      <c r="AT75" s="163"/>
    </row>
    <row r="76">
      <c r="A76" s="80"/>
      <c r="B76" s="81"/>
      <c r="C76" s="81"/>
      <c r="D76" s="81"/>
      <c r="E76" s="214" t="s">
        <v>548</v>
      </c>
      <c r="F76" s="215" t="s">
        <v>122</v>
      </c>
      <c r="G76" s="423" t="s">
        <v>149</v>
      </c>
      <c r="H76" s="424" t="s">
        <v>150</v>
      </c>
      <c r="I76" s="149">
        <f t="shared" ref="I76:AS76" si="25">I69/I51</f>
        <v>0.7217481161</v>
      </c>
      <c r="J76" s="149">
        <f t="shared" si="25"/>
        <v>0.8840205219</v>
      </c>
      <c r="K76" s="149">
        <f t="shared" si="25"/>
        <v>0.1862966015</v>
      </c>
      <c r="L76" s="149">
        <f t="shared" si="25"/>
        <v>0.7611629004</v>
      </c>
      <c r="M76" s="149">
        <f t="shared" si="25"/>
        <v>0.5958616301</v>
      </c>
      <c r="N76" s="149">
        <f t="shared" si="25"/>
        <v>0.4834865748</v>
      </c>
      <c r="O76" s="149">
        <f t="shared" si="25"/>
        <v>0.4040233852</v>
      </c>
      <c r="P76" s="149">
        <f t="shared" si="25"/>
        <v>0.5137787165</v>
      </c>
      <c r="Q76" s="149">
        <f t="shared" si="25"/>
        <v>0.3526473169</v>
      </c>
      <c r="R76" s="149">
        <f t="shared" si="25"/>
        <v>0.9411833647</v>
      </c>
      <c r="S76" s="149">
        <f t="shared" si="25"/>
        <v>0.7971549524</v>
      </c>
      <c r="T76" s="149">
        <f t="shared" si="25"/>
        <v>0.8859114952</v>
      </c>
      <c r="U76" s="149">
        <f t="shared" si="25"/>
        <v>1.11923722</v>
      </c>
      <c r="V76" s="149">
        <f t="shared" si="25"/>
        <v>0.7781530487</v>
      </c>
      <c r="W76" s="149">
        <f t="shared" si="25"/>
        <v>0.7892948662</v>
      </c>
      <c r="X76" s="149">
        <f t="shared" si="25"/>
        <v>1.503310076</v>
      </c>
      <c r="Y76" s="149">
        <f t="shared" si="25"/>
        <v>0.9271239948</v>
      </c>
      <c r="Z76" s="149">
        <f t="shared" si="25"/>
        <v>0.8713883559</v>
      </c>
      <c r="AA76" s="149">
        <f t="shared" si="25"/>
        <v>0.6248908757</v>
      </c>
      <c r="AB76" s="149">
        <f t="shared" si="25"/>
        <v>1.080397725</v>
      </c>
      <c r="AC76" s="149">
        <f t="shared" si="25"/>
        <v>0.8487584453</v>
      </c>
      <c r="AD76" s="149">
        <f t="shared" si="25"/>
        <v>1.021471755</v>
      </c>
      <c r="AE76" s="149">
        <f t="shared" si="25"/>
        <v>0.853659944</v>
      </c>
      <c r="AF76" s="149">
        <f t="shared" si="25"/>
        <v>0.9920355883</v>
      </c>
      <c r="AG76" s="149">
        <f t="shared" si="25"/>
        <v>0.9002403203</v>
      </c>
      <c r="AH76" s="149">
        <f t="shared" si="25"/>
        <v>1.043456841</v>
      </c>
      <c r="AI76" s="149">
        <f t="shared" si="25"/>
        <v>1.021069438</v>
      </c>
      <c r="AJ76" s="149">
        <f t="shared" si="25"/>
        <v>0.879272233</v>
      </c>
      <c r="AK76" s="149">
        <f t="shared" si="25"/>
        <v>0.5721967047</v>
      </c>
      <c r="AL76" s="149">
        <f t="shared" si="25"/>
        <v>1.04962333</v>
      </c>
      <c r="AM76" s="149">
        <f t="shared" si="25"/>
        <v>1.095409904</v>
      </c>
      <c r="AN76" s="149">
        <f t="shared" si="25"/>
        <v>0.8344535277</v>
      </c>
      <c r="AO76" s="149">
        <f t="shared" si="25"/>
        <v>0.870235332</v>
      </c>
      <c r="AP76" s="149">
        <f t="shared" si="25"/>
        <v>0.9301248709</v>
      </c>
      <c r="AQ76" s="149">
        <f t="shared" si="25"/>
        <v>0.8368207717</v>
      </c>
      <c r="AR76" s="149">
        <f t="shared" si="25"/>
        <v>0.4470833579</v>
      </c>
      <c r="AS76" s="149">
        <f t="shared" si="25"/>
        <v>0.20644825</v>
      </c>
      <c r="AT76" s="229"/>
    </row>
    <row r="77">
      <c r="A77" s="80"/>
      <c r="B77" s="81"/>
      <c r="C77" s="81"/>
      <c r="D77" s="81"/>
      <c r="E77" s="194" t="s">
        <v>550</v>
      </c>
      <c r="F77" s="195" t="s">
        <v>122</v>
      </c>
      <c r="G77" s="374" t="s">
        <v>149</v>
      </c>
      <c r="H77" s="375" t="s">
        <v>150</v>
      </c>
      <c r="I77" s="240">
        <f t="shared" ref="I77:AS77" si="26">AVERAGE(I72:I76)</f>
        <v>0.7321159206</v>
      </c>
      <c r="J77" s="240">
        <f t="shared" si="26"/>
        <v>0.7722056399</v>
      </c>
      <c r="K77" s="240">
        <f t="shared" si="26"/>
        <v>0.2426961955</v>
      </c>
      <c r="L77" s="240">
        <f t="shared" si="26"/>
        <v>0.6004345282</v>
      </c>
      <c r="M77" s="240">
        <f t="shared" si="26"/>
        <v>0.4970295479</v>
      </c>
      <c r="N77" s="240">
        <f t="shared" si="26"/>
        <v>0.4410290336</v>
      </c>
      <c r="O77" s="240">
        <f t="shared" si="26"/>
        <v>0.3182999543</v>
      </c>
      <c r="P77" s="240">
        <f t="shared" si="26"/>
        <v>0.3720875065</v>
      </c>
      <c r="Q77" s="240">
        <f t="shared" si="26"/>
        <v>0.3366217123</v>
      </c>
      <c r="R77" s="240">
        <f t="shared" si="26"/>
        <v>0.872343456</v>
      </c>
      <c r="S77" s="240">
        <f t="shared" si="26"/>
        <v>0.7641019193</v>
      </c>
      <c r="T77" s="240">
        <f t="shared" si="26"/>
        <v>0.9222975272</v>
      </c>
      <c r="U77" s="240">
        <f t="shared" si="26"/>
        <v>1.076263046</v>
      </c>
      <c r="V77" s="240">
        <f t="shared" si="26"/>
        <v>0.7351268632</v>
      </c>
      <c r="W77" s="240">
        <f t="shared" si="26"/>
        <v>0.8329045708</v>
      </c>
      <c r="X77" s="240">
        <f t="shared" si="26"/>
        <v>1.401781821</v>
      </c>
      <c r="Y77" s="240">
        <f t="shared" si="26"/>
        <v>0.9081171197</v>
      </c>
      <c r="Z77" s="240">
        <f t="shared" si="26"/>
        <v>0.8883263626</v>
      </c>
      <c r="AA77" s="240">
        <f t="shared" si="26"/>
        <v>0.6967268808</v>
      </c>
      <c r="AB77" s="240">
        <f t="shared" si="26"/>
        <v>0.9886585581</v>
      </c>
      <c r="AC77" s="240">
        <f t="shared" si="26"/>
        <v>0.8695481548</v>
      </c>
      <c r="AD77" s="240">
        <f t="shared" si="26"/>
        <v>0.8908142764</v>
      </c>
      <c r="AE77" s="240">
        <f t="shared" si="26"/>
        <v>0.8793025121</v>
      </c>
      <c r="AF77" s="240">
        <f t="shared" si="26"/>
        <v>0.8900944153</v>
      </c>
      <c r="AG77" s="240">
        <f t="shared" si="26"/>
        <v>0.7375898863</v>
      </c>
      <c r="AH77" s="240">
        <f t="shared" si="26"/>
        <v>0.9922497158</v>
      </c>
      <c r="AI77" s="240">
        <f t="shared" si="26"/>
        <v>0.9840655803</v>
      </c>
      <c r="AJ77" s="240">
        <f t="shared" si="26"/>
        <v>0.7620725327</v>
      </c>
      <c r="AK77" s="240">
        <f t="shared" si="26"/>
        <v>0.5708648263</v>
      </c>
      <c r="AL77" s="240">
        <f t="shared" si="26"/>
        <v>1.101018127</v>
      </c>
      <c r="AM77" s="240">
        <f t="shared" si="26"/>
        <v>1.070590145</v>
      </c>
      <c r="AN77" s="240">
        <f t="shared" si="26"/>
        <v>0.8340152457</v>
      </c>
      <c r="AO77" s="240">
        <f t="shared" si="26"/>
        <v>0.9371236235</v>
      </c>
      <c r="AP77" s="240">
        <f t="shared" si="26"/>
        <v>0.8291309876</v>
      </c>
      <c r="AQ77" s="240">
        <f t="shared" si="26"/>
        <v>0.8691370451</v>
      </c>
      <c r="AR77" s="240">
        <f t="shared" si="26"/>
        <v>0.4258127013</v>
      </c>
      <c r="AS77" s="240">
        <f t="shared" si="26"/>
        <v>0.1911116903</v>
      </c>
      <c r="AT77" s="199"/>
    </row>
    <row r="78">
      <c r="A78" s="80"/>
      <c r="B78" s="81"/>
      <c r="C78" s="90"/>
      <c r="D78" s="90"/>
      <c r="E78" s="253"/>
      <c r="F78" s="108"/>
      <c r="G78" s="177"/>
      <c r="H78" s="178"/>
      <c r="I78" s="111"/>
      <c r="J78" s="111"/>
      <c r="K78" s="111"/>
      <c r="L78" s="111"/>
      <c r="M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85"/>
    </row>
    <row r="79">
      <c r="A79" s="80"/>
      <c r="B79" s="81"/>
      <c r="C79" s="90" t="s">
        <v>552</v>
      </c>
      <c r="F79" s="108"/>
      <c r="G79" s="177"/>
      <c r="H79" s="178"/>
      <c r="I79" s="111"/>
      <c r="J79" s="111"/>
      <c r="K79" s="111"/>
      <c r="L79" s="111"/>
      <c r="M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85"/>
    </row>
    <row r="80">
      <c r="A80" s="80"/>
      <c r="B80" s="81"/>
      <c r="C80" s="81"/>
      <c r="D80" s="81"/>
      <c r="E80" s="188" t="s">
        <v>553</v>
      </c>
      <c r="F80" s="189" t="s">
        <v>122</v>
      </c>
      <c r="G80" s="426" t="s">
        <v>149</v>
      </c>
      <c r="H80" s="258" t="s">
        <v>150</v>
      </c>
      <c r="I80" s="119">
        <f t="shared" ref="I80:AS80" si="27">I48*I$77</f>
        <v>0.3042240121</v>
      </c>
      <c r="J80" s="119">
        <f t="shared" si="27"/>
        <v>0.4036165946</v>
      </c>
      <c r="K80" s="119">
        <f t="shared" si="27"/>
        <v>0.14726554</v>
      </c>
      <c r="L80" s="119">
        <f t="shared" si="27"/>
        <v>0.4328761881</v>
      </c>
      <c r="M80" s="119">
        <f t="shared" si="27"/>
        <v>0.2707363996</v>
      </c>
      <c r="N80" s="119">
        <f t="shared" si="27"/>
        <v>0.2287507265</v>
      </c>
      <c r="O80" s="119">
        <f t="shared" si="27"/>
        <v>0.1899539713</v>
      </c>
      <c r="P80" s="119">
        <f t="shared" si="27"/>
        <v>0.08122077391</v>
      </c>
      <c r="Q80" s="119">
        <f t="shared" si="27"/>
        <v>0.1547107003</v>
      </c>
      <c r="R80" s="119">
        <f t="shared" si="27"/>
        <v>0.7756503895</v>
      </c>
      <c r="S80" s="119">
        <f t="shared" si="27"/>
        <v>0.5715278974</v>
      </c>
      <c r="T80" s="119">
        <f t="shared" si="27"/>
        <v>0.7785099373</v>
      </c>
      <c r="U80" s="119">
        <f t="shared" si="27"/>
        <v>0.8933846806</v>
      </c>
      <c r="V80" s="119">
        <f t="shared" si="27"/>
        <v>0.5675213613</v>
      </c>
      <c r="W80" s="119">
        <f t="shared" si="27"/>
        <v>0.6571840349</v>
      </c>
      <c r="X80" s="119">
        <f t="shared" si="27"/>
        <v>0.7565449388</v>
      </c>
      <c r="Y80" s="119">
        <f t="shared" si="27"/>
        <v>0.8465587163</v>
      </c>
      <c r="Z80" s="119">
        <f t="shared" si="27"/>
        <v>0.7044712501</v>
      </c>
      <c r="AA80" s="119">
        <f t="shared" si="27"/>
        <v>0.6920536769</v>
      </c>
      <c r="AB80" s="119">
        <f t="shared" si="27"/>
        <v>0.8860024179</v>
      </c>
      <c r="AC80" s="119">
        <f t="shared" si="27"/>
        <v>0.8323712508</v>
      </c>
      <c r="AD80" s="119">
        <f t="shared" si="27"/>
        <v>0.8785954314</v>
      </c>
      <c r="AE80" s="119">
        <f t="shared" si="27"/>
        <v>0.803849291</v>
      </c>
      <c r="AF80" s="119">
        <f t="shared" si="27"/>
        <v>0.8333227314</v>
      </c>
      <c r="AG80" s="119">
        <f t="shared" si="27"/>
        <v>0.6255527031</v>
      </c>
      <c r="AH80" s="119">
        <f t="shared" si="27"/>
        <v>0.6318931399</v>
      </c>
      <c r="AI80" s="119">
        <f t="shared" si="27"/>
        <v>0.9104614345</v>
      </c>
      <c r="AJ80" s="119">
        <f t="shared" si="27"/>
        <v>0.5410134791</v>
      </c>
      <c r="AK80" s="119">
        <f t="shared" si="27"/>
        <v>0.3286749997</v>
      </c>
      <c r="AL80" s="119">
        <f t="shared" si="27"/>
        <v>0.7132869718</v>
      </c>
      <c r="AM80" s="119">
        <f t="shared" si="27"/>
        <v>0.7729013176</v>
      </c>
      <c r="AN80" s="119">
        <f t="shared" si="27"/>
        <v>0.7566024249</v>
      </c>
      <c r="AO80" s="119">
        <f t="shared" si="27"/>
        <v>0.7046969058</v>
      </c>
      <c r="AP80" s="119">
        <f t="shared" si="27"/>
        <v>0.6525461539</v>
      </c>
      <c r="AQ80" s="119">
        <f t="shared" si="27"/>
        <v>0.7788912735</v>
      </c>
      <c r="AR80" s="119">
        <f t="shared" si="27"/>
        <v>0.3018682318</v>
      </c>
      <c r="AS80" s="119">
        <f t="shared" si="27"/>
        <v>0.137779718</v>
      </c>
      <c r="AT80" s="193"/>
    </row>
    <row r="81">
      <c r="A81" s="80"/>
      <c r="B81" s="81"/>
      <c r="C81" s="81"/>
      <c r="D81" s="81"/>
      <c r="E81" s="214" t="s">
        <v>555</v>
      </c>
      <c r="F81" s="215" t="s">
        <v>122</v>
      </c>
      <c r="G81" s="423" t="s">
        <v>149</v>
      </c>
      <c r="H81" s="424" t="s">
        <v>150</v>
      </c>
      <c r="I81" s="149">
        <f t="shared" ref="I81:AS81" si="28">I49*I$77</f>
        <v>0.2785665653</v>
      </c>
      <c r="J81" s="149">
        <f t="shared" si="28"/>
        <v>0.361089942</v>
      </c>
      <c r="K81" s="149">
        <f t="shared" si="28"/>
        <v>0.1348719054</v>
      </c>
      <c r="L81" s="149">
        <f t="shared" si="28"/>
        <v>0.3889873524</v>
      </c>
      <c r="M81" s="149">
        <f t="shared" si="28"/>
        <v>0.2319175776</v>
      </c>
      <c r="N81" s="149">
        <f t="shared" si="28"/>
        <v>0.1938640327</v>
      </c>
      <c r="O81" s="149">
        <f t="shared" si="28"/>
        <v>0.181348674</v>
      </c>
      <c r="P81" s="149">
        <f t="shared" si="28"/>
        <v>0.05290527475</v>
      </c>
      <c r="Q81" s="149">
        <f t="shared" si="28"/>
        <v>0.119656424</v>
      </c>
      <c r="R81" s="149">
        <f t="shared" si="28"/>
        <v>0.7433316233</v>
      </c>
      <c r="S81" s="149">
        <f t="shared" si="28"/>
        <v>0.5118502857</v>
      </c>
      <c r="T81" s="149">
        <f t="shared" si="28"/>
        <v>0.7535754553</v>
      </c>
      <c r="U81" s="149">
        <f t="shared" si="28"/>
        <v>0.8082491079</v>
      </c>
      <c r="V81" s="149">
        <f t="shared" si="28"/>
        <v>0.5527996658</v>
      </c>
      <c r="W81" s="149">
        <f t="shared" si="28"/>
        <v>0.5929668132</v>
      </c>
      <c r="X81" s="149">
        <f t="shared" si="28"/>
        <v>0.530563983</v>
      </c>
      <c r="Y81" s="149">
        <f t="shared" si="28"/>
        <v>0.8347378105</v>
      </c>
      <c r="Z81" s="149">
        <f t="shared" si="28"/>
        <v>0.6528811838</v>
      </c>
      <c r="AA81" s="149">
        <f t="shared" si="28"/>
        <v>0.6906584074</v>
      </c>
      <c r="AB81" s="149">
        <f t="shared" si="28"/>
        <v>0.8464045444</v>
      </c>
      <c r="AC81" s="149">
        <f t="shared" si="28"/>
        <v>0.7792596961</v>
      </c>
      <c r="AD81" s="149">
        <f t="shared" si="28"/>
        <v>0.8554040799</v>
      </c>
      <c r="AE81" s="149">
        <f t="shared" si="28"/>
        <v>0.767750911</v>
      </c>
      <c r="AF81" s="149">
        <f t="shared" si="28"/>
        <v>0.8128238834</v>
      </c>
      <c r="AG81" s="149">
        <f t="shared" si="28"/>
        <v>0.5310181742</v>
      </c>
      <c r="AH81" s="149">
        <f t="shared" si="28"/>
        <v>0.6030804024</v>
      </c>
      <c r="AI81" s="149">
        <f t="shared" si="28"/>
        <v>0.8730182153</v>
      </c>
      <c r="AJ81" s="149">
        <f t="shared" si="28"/>
        <v>0.4837835624</v>
      </c>
      <c r="AK81" s="149">
        <f t="shared" si="28"/>
        <v>0.2846611302</v>
      </c>
      <c r="AL81" s="149">
        <f t="shared" si="28"/>
        <v>0.6239882937</v>
      </c>
      <c r="AM81" s="149">
        <f t="shared" si="28"/>
        <v>0.7032222807</v>
      </c>
      <c r="AN81" s="149">
        <f t="shared" si="28"/>
        <v>0.6914644678</v>
      </c>
      <c r="AO81" s="149">
        <f t="shared" si="28"/>
        <v>0.5874038123</v>
      </c>
      <c r="AP81" s="149">
        <f t="shared" si="28"/>
        <v>0.5703552261</v>
      </c>
      <c r="AQ81" s="149">
        <f t="shared" si="28"/>
        <v>0.7423399511</v>
      </c>
      <c r="AR81" s="149">
        <f t="shared" si="28"/>
        <v>0.2639215191</v>
      </c>
      <c r="AS81" s="149">
        <f t="shared" si="28"/>
        <v>0.13031665</v>
      </c>
      <c r="AT81" s="229"/>
    </row>
    <row r="82">
      <c r="A82" s="80"/>
      <c r="B82" s="81"/>
      <c r="C82" s="81"/>
      <c r="D82" s="81"/>
      <c r="E82" s="194" t="s">
        <v>556</v>
      </c>
      <c r="F82" s="195" t="s">
        <v>122</v>
      </c>
      <c r="G82" s="374" t="s">
        <v>149</v>
      </c>
      <c r="H82" s="375" t="s">
        <v>150</v>
      </c>
      <c r="I82" s="240">
        <f t="shared" ref="I82:AS82" si="29">I50*I$77</f>
        <v>0.2294508814</v>
      </c>
      <c r="J82" s="240">
        <f t="shared" si="29"/>
        <v>0.285315179</v>
      </c>
      <c r="K82" s="240">
        <f t="shared" si="29"/>
        <v>0.1173750096</v>
      </c>
      <c r="L82" s="240">
        <f t="shared" si="29"/>
        <v>0.3547179875</v>
      </c>
      <c r="M82" s="240">
        <f t="shared" si="29"/>
        <v>0.1985732049</v>
      </c>
      <c r="N82" s="240">
        <f t="shared" si="29"/>
        <v>0.1726670542</v>
      </c>
      <c r="O82" s="240">
        <f t="shared" si="29"/>
        <v>0.1717872325</v>
      </c>
      <c r="P82" s="240">
        <f t="shared" si="29"/>
        <v>0.03725723574</v>
      </c>
      <c r="Q82" s="240">
        <f t="shared" si="29"/>
        <v>0.09033217361</v>
      </c>
      <c r="R82" s="240">
        <f t="shared" si="29"/>
        <v>0.580864312</v>
      </c>
      <c r="S82" s="240">
        <f t="shared" si="29"/>
        <v>0.4116225018</v>
      </c>
      <c r="T82" s="240">
        <f t="shared" si="29"/>
        <v>0.6510670294</v>
      </c>
      <c r="U82" s="240">
        <f t="shared" si="29"/>
        <v>0.7931617912</v>
      </c>
      <c r="V82" s="240">
        <f t="shared" si="29"/>
        <v>0.4894963752</v>
      </c>
      <c r="W82" s="240">
        <f t="shared" si="29"/>
        <v>0.4695363092</v>
      </c>
      <c r="X82" s="240">
        <f t="shared" si="29"/>
        <v>0.4281005683</v>
      </c>
      <c r="Y82" s="240">
        <f t="shared" si="29"/>
        <v>0.6656079273</v>
      </c>
      <c r="Z82" s="240">
        <f t="shared" si="29"/>
        <v>0.6164123438</v>
      </c>
      <c r="AA82" s="240">
        <f t="shared" si="29"/>
        <v>0.6885655031</v>
      </c>
      <c r="AB82" s="240">
        <f t="shared" si="29"/>
        <v>0.7662188508</v>
      </c>
      <c r="AC82" s="240">
        <f t="shared" si="29"/>
        <v>0.7226654165</v>
      </c>
      <c r="AD82" s="240">
        <f t="shared" si="29"/>
        <v>0.8081294019</v>
      </c>
      <c r="AE82" s="240">
        <f t="shared" si="29"/>
        <v>0.7008368408</v>
      </c>
      <c r="AF82" s="240">
        <f t="shared" si="29"/>
        <v>0.7620223907</v>
      </c>
      <c r="AG82" s="240">
        <f t="shared" si="29"/>
        <v>0.4586401755</v>
      </c>
      <c r="AH82" s="240">
        <f t="shared" si="29"/>
        <v>0.5285647019</v>
      </c>
      <c r="AI82" s="240">
        <f t="shared" si="29"/>
        <v>0.7872929504</v>
      </c>
      <c r="AJ82" s="240">
        <f t="shared" si="29"/>
        <v>0.3868742368</v>
      </c>
      <c r="AK82" s="240">
        <f t="shared" si="29"/>
        <v>0.2263570433</v>
      </c>
      <c r="AL82" s="240">
        <f t="shared" si="29"/>
        <v>0.436571315</v>
      </c>
      <c r="AM82" s="240">
        <f t="shared" si="29"/>
        <v>0.6539109622</v>
      </c>
      <c r="AN82" s="240">
        <f t="shared" si="29"/>
        <v>0.5753852878</v>
      </c>
      <c r="AO82" s="240">
        <f t="shared" si="29"/>
        <v>0.5348565064</v>
      </c>
      <c r="AP82" s="240">
        <f t="shared" si="29"/>
        <v>0.506428949</v>
      </c>
      <c r="AQ82" s="240">
        <f t="shared" si="29"/>
        <v>0.6866426981</v>
      </c>
      <c r="AR82" s="240">
        <f t="shared" si="29"/>
        <v>0.2148892498</v>
      </c>
      <c r="AS82" s="240">
        <f t="shared" si="29"/>
        <v>0.120748614</v>
      </c>
      <c r="AT82" s="199"/>
    </row>
    <row r="83">
      <c r="A83" s="139"/>
      <c r="B83" s="21"/>
      <c r="C83" s="21"/>
      <c r="D83" s="21"/>
      <c r="E83" s="377"/>
      <c r="F83" s="378"/>
      <c r="G83" s="379"/>
      <c r="H83" s="85"/>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8"/>
    </row>
    <row r="84">
      <c r="A84" s="72" t="s">
        <v>559</v>
      </c>
      <c r="B84" s="14"/>
      <c r="C84" s="14"/>
      <c r="D84" s="14"/>
      <c r="E84" s="14"/>
      <c r="F84" s="14"/>
      <c r="G84" s="14"/>
      <c r="H84" s="73"/>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c r="AT84" s="79"/>
    </row>
    <row r="85">
      <c r="A85" s="80"/>
      <c r="B85" s="81"/>
      <c r="C85" s="81"/>
      <c r="D85" s="81"/>
      <c r="E85" s="82"/>
      <c r="F85" s="83"/>
      <c r="G85" s="84"/>
      <c r="H85" s="85"/>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8"/>
    </row>
    <row r="86">
      <c r="A86" s="80"/>
      <c r="B86" s="81"/>
      <c r="C86" s="325" t="s">
        <v>561</v>
      </c>
      <c r="F86" s="83"/>
      <c r="G86" s="84"/>
      <c r="H86" s="85"/>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8"/>
    </row>
    <row r="87">
      <c r="A87" s="80"/>
      <c r="B87" s="81"/>
      <c r="C87" s="81"/>
      <c r="D87" s="81"/>
      <c r="E87" s="430" t="s">
        <v>369</v>
      </c>
      <c r="F87" s="189" t="s">
        <v>122</v>
      </c>
      <c r="G87" s="263" t="s">
        <v>71</v>
      </c>
      <c r="H87" s="295" t="str">
        <f t="shared" ref="H87:AS87" si="30">H12</f>
        <v>-</v>
      </c>
      <c r="I87" s="119">
        <f t="shared" si="30"/>
        <v>1</v>
      </c>
      <c r="J87" s="119">
        <f t="shared" si="30"/>
        <v>1</v>
      </c>
      <c r="K87" s="119">
        <f t="shared" si="30"/>
        <v>1</v>
      </c>
      <c r="L87" s="119">
        <f t="shared" si="30"/>
        <v>1</v>
      </c>
      <c r="M87" s="119">
        <f t="shared" si="30"/>
        <v>1</v>
      </c>
      <c r="N87" s="119">
        <f t="shared" si="30"/>
        <v>0.5294117647</v>
      </c>
      <c r="O87" s="119">
        <f t="shared" si="30"/>
        <v>1</v>
      </c>
      <c r="P87" s="119">
        <f t="shared" si="30"/>
        <v>0.9130434783</v>
      </c>
      <c r="Q87" s="119">
        <f t="shared" si="30"/>
        <v>0.1071428571</v>
      </c>
      <c r="R87" s="119">
        <f t="shared" si="30"/>
        <v>0</v>
      </c>
      <c r="S87" s="119">
        <f t="shared" si="30"/>
        <v>1</v>
      </c>
      <c r="T87" s="119">
        <f t="shared" si="30"/>
        <v>0</v>
      </c>
      <c r="U87" s="119">
        <f t="shared" si="30"/>
        <v>0</v>
      </c>
      <c r="V87" s="119">
        <f t="shared" si="30"/>
        <v>0</v>
      </c>
      <c r="W87" s="119">
        <f t="shared" si="30"/>
        <v>0</v>
      </c>
      <c r="X87" s="119">
        <f t="shared" si="30"/>
        <v>0</v>
      </c>
      <c r="Y87" s="119">
        <f t="shared" si="30"/>
        <v>0</v>
      </c>
      <c r="Z87" s="119">
        <f t="shared" si="30"/>
        <v>0</v>
      </c>
      <c r="AA87" s="119">
        <f t="shared" si="30"/>
        <v>0</v>
      </c>
      <c r="AB87" s="119">
        <f t="shared" si="30"/>
        <v>0</v>
      </c>
      <c r="AC87" s="119">
        <f t="shared" si="30"/>
        <v>0</v>
      </c>
      <c r="AD87" s="119">
        <f t="shared" si="30"/>
        <v>0</v>
      </c>
      <c r="AE87" s="119">
        <f t="shared" si="30"/>
        <v>0</v>
      </c>
      <c r="AF87" s="119">
        <f t="shared" si="30"/>
        <v>0</v>
      </c>
      <c r="AG87" s="119">
        <f t="shared" si="30"/>
        <v>0</v>
      </c>
      <c r="AH87" s="119">
        <f t="shared" si="30"/>
        <v>0</v>
      </c>
      <c r="AI87" s="119">
        <f t="shared" si="30"/>
        <v>0</v>
      </c>
      <c r="AJ87" s="119">
        <f t="shared" si="30"/>
        <v>0</v>
      </c>
      <c r="AK87" s="119">
        <f t="shared" si="30"/>
        <v>0</v>
      </c>
      <c r="AL87" s="119">
        <f t="shared" si="30"/>
        <v>0</v>
      </c>
      <c r="AM87" s="119">
        <f t="shared" si="30"/>
        <v>0</v>
      </c>
      <c r="AN87" s="119">
        <f t="shared" si="30"/>
        <v>0</v>
      </c>
      <c r="AO87" s="119">
        <f t="shared" si="30"/>
        <v>0</v>
      </c>
      <c r="AP87" s="119">
        <f t="shared" si="30"/>
        <v>0</v>
      </c>
      <c r="AQ87" s="119">
        <f t="shared" si="30"/>
        <v>0</v>
      </c>
      <c r="AR87" s="119">
        <f t="shared" si="30"/>
        <v>0.84375</v>
      </c>
      <c r="AS87" s="119">
        <f t="shared" si="30"/>
        <v>0</v>
      </c>
      <c r="AT87" s="136"/>
    </row>
    <row r="88">
      <c r="A88" s="80"/>
      <c r="B88" s="81"/>
      <c r="C88" s="81"/>
      <c r="D88" s="81"/>
      <c r="E88" s="194" t="s">
        <v>565</v>
      </c>
      <c r="F88" s="195" t="s">
        <v>122</v>
      </c>
      <c r="G88" s="316" t="s">
        <v>149</v>
      </c>
      <c r="H88" s="400" t="s">
        <v>150</v>
      </c>
      <c r="I88" s="240">
        <f t="shared" ref="I88:AS88" si="31">1-I87</f>
        <v>0</v>
      </c>
      <c r="J88" s="240">
        <f t="shared" si="31"/>
        <v>0</v>
      </c>
      <c r="K88" s="240">
        <f t="shared" si="31"/>
        <v>0</v>
      </c>
      <c r="L88" s="240">
        <f t="shared" si="31"/>
        <v>0</v>
      </c>
      <c r="M88" s="240">
        <f t="shared" si="31"/>
        <v>0</v>
      </c>
      <c r="N88" s="240">
        <f t="shared" si="31"/>
        <v>0.4705882353</v>
      </c>
      <c r="O88" s="240">
        <f t="shared" si="31"/>
        <v>0</v>
      </c>
      <c r="P88" s="240">
        <f t="shared" si="31"/>
        <v>0.08695652174</v>
      </c>
      <c r="Q88" s="240">
        <f t="shared" si="31"/>
        <v>0.8928571429</v>
      </c>
      <c r="R88" s="240">
        <f t="shared" si="31"/>
        <v>1</v>
      </c>
      <c r="S88" s="240">
        <f t="shared" si="31"/>
        <v>0</v>
      </c>
      <c r="T88" s="240">
        <f t="shared" si="31"/>
        <v>1</v>
      </c>
      <c r="U88" s="240">
        <f t="shared" si="31"/>
        <v>1</v>
      </c>
      <c r="V88" s="240">
        <f t="shared" si="31"/>
        <v>1</v>
      </c>
      <c r="W88" s="240">
        <f t="shared" si="31"/>
        <v>1</v>
      </c>
      <c r="X88" s="240">
        <f t="shared" si="31"/>
        <v>1</v>
      </c>
      <c r="Y88" s="240">
        <f t="shared" si="31"/>
        <v>1</v>
      </c>
      <c r="Z88" s="240">
        <f t="shared" si="31"/>
        <v>1</v>
      </c>
      <c r="AA88" s="240">
        <f t="shared" si="31"/>
        <v>1</v>
      </c>
      <c r="AB88" s="240">
        <f t="shared" si="31"/>
        <v>1</v>
      </c>
      <c r="AC88" s="240">
        <f t="shared" si="31"/>
        <v>1</v>
      </c>
      <c r="AD88" s="240">
        <f t="shared" si="31"/>
        <v>1</v>
      </c>
      <c r="AE88" s="240">
        <f t="shared" si="31"/>
        <v>1</v>
      </c>
      <c r="AF88" s="240">
        <f t="shared" si="31"/>
        <v>1</v>
      </c>
      <c r="AG88" s="240">
        <f t="shared" si="31"/>
        <v>1</v>
      </c>
      <c r="AH88" s="240">
        <f t="shared" si="31"/>
        <v>1</v>
      </c>
      <c r="AI88" s="240">
        <f t="shared" si="31"/>
        <v>1</v>
      </c>
      <c r="AJ88" s="240">
        <f t="shared" si="31"/>
        <v>1</v>
      </c>
      <c r="AK88" s="240">
        <f t="shared" si="31"/>
        <v>1</v>
      </c>
      <c r="AL88" s="240">
        <f t="shared" si="31"/>
        <v>1</v>
      </c>
      <c r="AM88" s="240">
        <f t="shared" si="31"/>
        <v>1</v>
      </c>
      <c r="AN88" s="240">
        <f t="shared" si="31"/>
        <v>1</v>
      </c>
      <c r="AO88" s="240">
        <f t="shared" si="31"/>
        <v>1</v>
      </c>
      <c r="AP88" s="240">
        <f t="shared" si="31"/>
        <v>1</v>
      </c>
      <c r="AQ88" s="240">
        <f t="shared" si="31"/>
        <v>1</v>
      </c>
      <c r="AR88" s="240">
        <f t="shared" si="31"/>
        <v>0.15625</v>
      </c>
      <c r="AS88" s="240">
        <f t="shared" si="31"/>
        <v>1</v>
      </c>
      <c r="AT88" s="401"/>
    </row>
    <row r="89">
      <c r="A89" s="80"/>
      <c r="B89" s="81"/>
      <c r="C89" s="81"/>
      <c r="D89" s="81"/>
      <c r="E89" s="121"/>
      <c r="F89" s="108"/>
      <c r="G89" s="127"/>
      <c r="H89" s="402"/>
      <c r="I89" s="403"/>
      <c r="J89" s="403"/>
      <c r="K89" s="403"/>
      <c r="L89" s="403"/>
      <c r="M89" s="403"/>
      <c r="N89" s="403"/>
      <c r="O89" s="403"/>
      <c r="P89" s="403"/>
      <c r="Q89" s="403"/>
      <c r="R89" s="403"/>
      <c r="S89" s="403"/>
      <c r="T89" s="403"/>
      <c r="U89" s="403"/>
      <c r="V89" s="403"/>
      <c r="W89" s="403"/>
      <c r="X89" s="403"/>
      <c r="Y89" s="403"/>
      <c r="Z89" s="403"/>
      <c r="AA89" s="403"/>
      <c r="AB89" s="403"/>
      <c r="AC89" s="403"/>
      <c r="AD89" s="403"/>
      <c r="AE89" s="403"/>
      <c r="AF89" s="403"/>
      <c r="AG89" s="403"/>
      <c r="AH89" s="403"/>
      <c r="AI89" s="403"/>
      <c r="AJ89" s="403"/>
      <c r="AK89" s="403"/>
      <c r="AL89" s="403"/>
      <c r="AM89" s="403"/>
      <c r="AN89" s="403"/>
      <c r="AO89" s="403"/>
      <c r="AP89" s="403"/>
      <c r="AQ89" s="403"/>
      <c r="AR89" s="403"/>
      <c r="AS89" s="403"/>
      <c r="AT89" s="88"/>
    </row>
    <row r="90">
      <c r="A90" s="80"/>
      <c r="B90" s="81"/>
      <c r="C90" s="325" t="s">
        <v>569</v>
      </c>
      <c r="F90" s="351"/>
      <c r="G90" s="404"/>
      <c r="H90" s="405"/>
      <c r="I90" s="406"/>
      <c r="J90" s="406"/>
      <c r="K90" s="406"/>
      <c r="L90" s="406"/>
      <c r="M90" s="406"/>
      <c r="N90" s="406"/>
      <c r="O90" s="406"/>
      <c r="P90" s="406"/>
      <c r="Q90" s="406"/>
      <c r="R90" s="406"/>
      <c r="S90" s="406"/>
      <c r="T90" s="406"/>
      <c r="U90" s="406"/>
      <c r="V90" s="406"/>
      <c r="W90" s="406"/>
      <c r="X90" s="406"/>
      <c r="Y90" s="406"/>
      <c r="Z90" s="406"/>
      <c r="AA90" s="406"/>
      <c r="AB90" s="406"/>
      <c r="AC90" s="406"/>
      <c r="AD90" s="406"/>
      <c r="AE90" s="406"/>
      <c r="AF90" s="406"/>
      <c r="AG90" s="406"/>
      <c r="AH90" s="406"/>
      <c r="AI90" s="406"/>
      <c r="AJ90" s="406"/>
      <c r="AK90" s="406"/>
      <c r="AL90" s="406"/>
      <c r="AM90" s="406"/>
      <c r="AN90" s="406"/>
      <c r="AO90" s="406"/>
      <c r="AP90" s="406"/>
      <c r="AQ90" s="406"/>
      <c r="AR90" s="406"/>
      <c r="AS90" s="406"/>
      <c r="AT90" s="88"/>
    </row>
    <row r="91">
      <c r="A91" s="80"/>
      <c r="B91" s="81"/>
      <c r="C91" s="325"/>
      <c r="D91" s="325"/>
      <c r="E91" s="113" t="s">
        <v>124</v>
      </c>
      <c r="F91" s="189" t="s">
        <v>122</v>
      </c>
      <c r="G91" s="263" t="s">
        <v>149</v>
      </c>
      <c r="H91" s="118" t="s">
        <v>150</v>
      </c>
      <c r="I91" s="119">
        <f t="shared" ref="I91:Q91" si="32">IF(I23="-",I44,(I23*I87)+(I44*I88))</f>
        <v>0.5535377178</v>
      </c>
      <c r="J91" s="119">
        <f t="shared" si="32"/>
        <v>0.72328382</v>
      </c>
      <c r="K91" s="119">
        <f t="shared" si="32"/>
        <v>0.611188258</v>
      </c>
      <c r="L91" s="119">
        <f t="shared" si="32"/>
        <v>0.775689378</v>
      </c>
      <c r="M91" s="119">
        <f t="shared" si="32"/>
        <v>0.628925044</v>
      </c>
      <c r="N91" s="119">
        <f t="shared" si="32"/>
        <v>0.4945541583</v>
      </c>
      <c r="O91" s="119">
        <f t="shared" si="32"/>
        <v>0.392019086</v>
      </c>
      <c r="P91" s="119">
        <f t="shared" si="32"/>
        <v>0.3481595916</v>
      </c>
      <c r="Q91" s="119">
        <f t="shared" si="32"/>
        <v>0.4767759004</v>
      </c>
      <c r="R91" s="119">
        <f>IF(R23="-",R44,(R23*R$87)+(R44*R$88))</f>
        <v>0.9061792657</v>
      </c>
      <c r="S91" s="119">
        <f t="shared" ref="S91:AS91" si="33">IF(S23="-",S44,(S23*S87)+(S44*S88))</f>
        <v>0.8969986928</v>
      </c>
      <c r="T91" s="119">
        <f t="shared" si="33"/>
        <v>0.8571154159</v>
      </c>
      <c r="U91" s="119">
        <f t="shared" si="33"/>
        <v>0.8450997793</v>
      </c>
      <c r="V91" s="119">
        <f t="shared" si="33"/>
        <v>0.7900281112</v>
      </c>
      <c r="W91" s="119">
        <f t="shared" si="33"/>
        <v>0.8180645968</v>
      </c>
      <c r="X91" s="119">
        <f t="shared" si="33"/>
        <v>0.6488443803</v>
      </c>
      <c r="Y91" s="119">
        <f t="shared" si="33"/>
        <v>0.9322131451</v>
      </c>
      <c r="Z91" s="119">
        <f t="shared" si="33"/>
        <v>0.8360880518</v>
      </c>
      <c r="AA91" s="119">
        <f t="shared" si="33"/>
        <v>0.9942939346</v>
      </c>
      <c r="AB91" s="119">
        <f t="shared" si="33"/>
        <v>0.9242027207</v>
      </c>
      <c r="AC91" s="119">
        <f t="shared" si="33"/>
        <v>0.9912900254</v>
      </c>
      <c r="AD91" s="119">
        <f t="shared" si="33"/>
        <v>0.9922913285</v>
      </c>
      <c r="AE91" s="119">
        <f t="shared" si="33"/>
        <v>0.9532405093</v>
      </c>
      <c r="AF91" s="119">
        <f t="shared" si="33"/>
        <v>0.948233994</v>
      </c>
      <c r="AG91" s="119">
        <f t="shared" si="33"/>
        <v>0.9242027207</v>
      </c>
      <c r="AH91" s="119">
        <f t="shared" si="33"/>
        <v>0.7239421095</v>
      </c>
      <c r="AI91" s="119">
        <f t="shared" si="33"/>
        <v>0.9452300849</v>
      </c>
      <c r="AJ91" s="119">
        <f t="shared" si="33"/>
        <v>0.7930320204</v>
      </c>
      <c r="AK91" s="119">
        <f t="shared" si="33"/>
        <v>0.6678691384</v>
      </c>
      <c r="AL91" s="119">
        <f t="shared" si="33"/>
        <v>0.7239421095</v>
      </c>
      <c r="AM91" s="119">
        <f t="shared" si="33"/>
        <v>0.7519785951</v>
      </c>
      <c r="AN91" s="119">
        <f t="shared" si="33"/>
        <v>0.9312118421</v>
      </c>
      <c r="AO91" s="119">
        <f t="shared" si="33"/>
        <v>0.8260750212</v>
      </c>
      <c r="AP91" s="119">
        <f t="shared" si="33"/>
        <v>0.8781427801</v>
      </c>
      <c r="AQ91" s="119">
        <f t="shared" si="33"/>
        <v>0.9041766596</v>
      </c>
      <c r="AR91" s="119">
        <f t="shared" si="33"/>
        <v>0.7637037039</v>
      </c>
      <c r="AS91" s="119">
        <f t="shared" si="33"/>
        <v>0.7529798981</v>
      </c>
      <c r="AT91" s="136"/>
    </row>
    <row r="92">
      <c r="A92" s="80"/>
      <c r="B92" s="81"/>
      <c r="C92" s="325"/>
      <c r="D92" s="325"/>
      <c r="E92" s="113" t="s">
        <v>155</v>
      </c>
      <c r="F92" s="189" t="s">
        <v>122</v>
      </c>
      <c r="G92" s="263" t="s">
        <v>149</v>
      </c>
      <c r="H92" s="118" t="s">
        <v>150</v>
      </c>
      <c r="I92" s="119">
        <f t="shared" ref="I92:AS92" si="34">IF(I24="-",I45,(I24*I$87)+(I45*I$88))</f>
        <v>0.495582762</v>
      </c>
      <c r="J92" s="119">
        <f t="shared" si="34"/>
        <v>0.673312782</v>
      </c>
      <c r="K92" s="119">
        <f t="shared" si="34"/>
        <v>0.573844532</v>
      </c>
      <c r="L92" s="119">
        <f t="shared" si="34"/>
        <v>0.74159805</v>
      </c>
      <c r="M92" s="119">
        <f t="shared" si="34"/>
        <v>0.579537486</v>
      </c>
      <c r="N92" s="119">
        <f t="shared" si="34"/>
        <v>0.4580575853</v>
      </c>
      <c r="O92" s="119">
        <f t="shared" si="34"/>
        <v>0.325885652</v>
      </c>
      <c r="P92" s="119">
        <f t="shared" si="34"/>
        <v>0.2706557576</v>
      </c>
      <c r="Q92" s="119">
        <f t="shared" si="34"/>
        <v>0.4170435707</v>
      </c>
      <c r="R92" s="119">
        <f t="shared" si="34"/>
        <v>0.8831492954</v>
      </c>
      <c r="S92" s="119">
        <f t="shared" si="34"/>
        <v>0.8691092542</v>
      </c>
      <c r="T92" s="119">
        <f t="shared" si="34"/>
        <v>0.8631232343</v>
      </c>
      <c r="U92" s="119">
        <f t="shared" si="34"/>
        <v>0.8300802334</v>
      </c>
      <c r="V92" s="119">
        <f t="shared" si="34"/>
        <v>0.7760098684</v>
      </c>
      <c r="W92" s="119">
        <f t="shared" si="34"/>
        <v>0.8090528692</v>
      </c>
      <c r="X92" s="119">
        <f t="shared" si="34"/>
        <v>0.5797544694</v>
      </c>
      <c r="Y92" s="119">
        <f t="shared" si="34"/>
        <v>0.9322131451</v>
      </c>
      <c r="Z92" s="119">
        <f t="shared" si="34"/>
        <v>0.8110554754</v>
      </c>
      <c r="AA92" s="119">
        <f t="shared" si="34"/>
        <v>0.9922913285</v>
      </c>
      <c r="AB92" s="119">
        <f t="shared" si="34"/>
        <v>0.9232014176</v>
      </c>
      <c r="AC92" s="119">
        <f t="shared" si="34"/>
        <v>0.947232691</v>
      </c>
      <c r="AD92" s="119">
        <f t="shared" si="34"/>
        <v>0.9862835102</v>
      </c>
      <c r="AE92" s="119">
        <f t="shared" si="34"/>
        <v>0.9061792657</v>
      </c>
      <c r="AF92" s="119">
        <f t="shared" si="34"/>
        <v>0.9422261757</v>
      </c>
      <c r="AG92" s="119">
        <f t="shared" si="34"/>
        <v>0.8631232343</v>
      </c>
      <c r="AH92" s="119">
        <f t="shared" si="34"/>
        <v>0.6638639261</v>
      </c>
      <c r="AI92" s="119">
        <f t="shared" si="34"/>
        <v>0.9252040237</v>
      </c>
      <c r="AJ92" s="119">
        <f t="shared" si="34"/>
        <v>0.7199368973</v>
      </c>
      <c r="AK92" s="119">
        <f t="shared" si="34"/>
        <v>0.6218091978</v>
      </c>
      <c r="AL92" s="119">
        <f t="shared" si="34"/>
        <v>0.6678691384</v>
      </c>
      <c r="AM92" s="119">
        <f t="shared" si="34"/>
        <v>0.7349564431</v>
      </c>
      <c r="AN92" s="119">
        <f t="shared" si="34"/>
        <v>0.9151909932</v>
      </c>
      <c r="AO92" s="119">
        <f t="shared" si="34"/>
        <v>0.7569851103</v>
      </c>
      <c r="AP92" s="119">
        <f t="shared" si="34"/>
        <v>0.8010424448</v>
      </c>
      <c r="AQ92" s="119">
        <f t="shared" si="34"/>
        <v>0.8971675382</v>
      </c>
      <c r="AR92" s="119">
        <f t="shared" si="34"/>
        <v>0.737458661</v>
      </c>
      <c r="AS92" s="119">
        <f t="shared" si="34"/>
        <v>0.7389616553</v>
      </c>
      <c r="AT92" s="136"/>
    </row>
    <row r="93">
      <c r="A93" s="80"/>
      <c r="B93" s="81"/>
      <c r="C93" s="325"/>
      <c r="D93" s="325"/>
      <c r="E93" s="113" t="s">
        <v>165</v>
      </c>
      <c r="F93" s="189" t="s">
        <v>122</v>
      </c>
      <c r="G93" s="263" t="s">
        <v>149</v>
      </c>
      <c r="H93" s="118" t="s">
        <v>150</v>
      </c>
      <c r="I93" s="119">
        <f t="shared" ref="I93:AS93" si="35">IF(I25="-",I46,(I25*I$87)+(I46*I$88))</f>
        <v>0.4519370496</v>
      </c>
      <c r="J93" s="119">
        <f t="shared" si="35"/>
        <v>0.631494368</v>
      </c>
      <c r="K93" s="119">
        <f t="shared" si="35"/>
        <v>0.517475334</v>
      </c>
      <c r="L93" s="119">
        <f t="shared" si="35"/>
        <v>0.670351118</v>
      </c>
      <c r="M93" s="119">
        <f t="shared" si="35"/>
        <v>0.498605792</v>
      </c>
      <c r="N93" s="119">
        <f t="shared" si="35"/>
        <v>0.4193159035</v>
      </c>
      <c r="O93" s="119">
        <f t="shared" si="35"/>
        <v>0.234385928</v>
      </c>
      <c r="P93" s="119">
        <f t="shared" si="35"/>
        <v>0.251602386</v>
      </c>
      <c r="Q93" s="119">
        <f t="shared" si="35"/>
        <v>0.3290409239</v>
      </c>
      <c r="R93" s="119">
        <f t="shared" si="35"/>
        <v>0.8611206282</v>
      </c>
      <c r="S93" s="119">
        <f t="shared" si="35"/>
        <v>0.7939166896</v>
      </c>
      <c r="T93" s="119">
        <f t="shared" si="35"/>
        <v>0.8240724151</v>
      </c>
      <c r="U93" s="119">
        <f t="shared" si="35"/>
        <v>0.7549825042</v>
      </c>
      <c r="V93" s="119">
        <f t="shared" si="35"/>
        <v>0.7609903226</v>
      </c>
      <c r="W93" s="119">
        <f t="shared" si="35"/>
        <v>0.7459707767</v>
      </c>
      <c r="X93" s="119">
        <f t="shared" si="35"/>
        <v>0.4535902844</v>
      </c>
      <c r="Y93" s="119">
        <f t="shared" si="35"/>
        <v>0.9191962054</v>
      </c>
      <c r="Z93" s="119">
        <f t="shared" si="35"/>
        <v>0.7559838073</v>
      </c>
      <c r="AA93" s="119">
        <f t="shared" si="35"/>
        <v>0.9912900254</v>
      </c>
      <c r="AB93" s="119">
        <f t="shared" si="35"/>
        <v>0.9091831748</v>
      </c>
      <c r="AC93" s="119">
        <f t="shared" si="35"/>
        <v>0.9442287818</v>
      </c>
      <c r="AD93" s="119">
        <f t="shared" si="35"/>
        <v>0.9682600552</v>
      </c>
      <c r="AE93" s="119">
        <f t="shared" si="35"/>
        <v>0.8731362648</v>
      </c>
      <c r="AF93" s="119">
        <f t="shared" si="35"/>
        <v>0.9332144482</v>
      </c>
      <c r="AG93" s="119">
        <f t="shared" si="35"/>
        <v>0.7409642614</v>
      </c>
      <c r="AH93" s="119">
        <f t="shared" si="35"/>
        <v>0.6418352589</v>
      </c>
      <c r="AI93" s="119">
        <f t="shared" si="35"/>
        <v>0.9021740535</v>
      </c>
      <c r="AJ93" s="119">
        <f t="shared" si="35"/>
        <v>0.6478430772</v>
      </c>
      <c r="AK93" s="119">
        <f t="shared" si="35"/>
        <v>0.4976476188</v>
      </c>
      <c r="AL93" s="119">
        <f t="shared" si="35"/>
        <v>0.5807557725</v>
      </c>
      <c r="AM93" s="119">
        <f t="shared" si="35"/>
        <v>0.6828886842</v>
      </c>
      <c r="AN93" s="119">
        <f t="shared" si="35"/>
        <v>0.8831492954</v>
      </c>
      <c r="AO93" s="119">
        <f t="shared" si="35"/>
        <v>0.642836562</v>
      </c>
      <c r="AP93" s="119">
        <f t="shared" si="35"/>
        <v>0.7800150806</v>
      </c>
      <c r="AQ93" s="119">
        <f t="shared" si="35"/>
        <v>0.8721349618</v>
      </c>
      <c r="AR93" s="119">
        <f t="shared" si="35"/>
        <v>0.6715484762</v>
      </c>
      <c r="AS93" s="119">
        <f t="shared" si="35"/>
        <v>0.7129277759</v>
      </c>
      <c r="AT93" s="136"/>
    </row>
    <row r="94">
      <c r="A94" s="80"/>
      <c r="B94" s="81"/>
      <c r="C94" s="81"/>
      <c r="D94" s="81"/>
      <c r="E94" s="92" t="s">
        <v>171</v>
      </c>
      <c r="F94" s="93" t="s">
        <v>122</v>
      </c>
      <c r="G94" s="128" t="s">
        <v>149</v>
      </c>
      <c r="H94" s="129" t="s">
        <v>150</v>
      </c>
      <c r="I94" s="308">
        <f t="shared" ref="I94:AS94" si="36">IF(I26="-",I47,(I26*I$87)+(I47*I$88))</f>
        <v>0.3613680768</v>
      </c>
      <c r="J94" s="308">
        <f t="shared" si="36"/>
        <v>0.501987964</v>
      </c>
      <c r="K94" s="308">
        <f t="shared" si="36"/>
        <v>0.396805634</v>
      </c>
      <c r="L94" s="308">
        <f t="shared" si="36"/>
        <v>0.579358418</v>
      </c>
      <c r="M94" s="308">
        <f t="shared" si="36"/>
        <v>0.38185245</v>
      </c>
      <c r="N94" s="308">
        <f t="shared" si="36"/>
        <v>0.3529426851</v>
      </c>
      <c r="O94" s="308">
        <f t="shared" si="36"/>
        <v>0.141295718</v>
      </c>
      <c r="P94" s="308">
        <f t="shared" si="36"/>
        <v>0.1796970626</v>
      </c>
      <c r="Q94" s="308">
        <f t="shared" si="36"/>
        <v>0.231105241</v>
      </c>
      <c r="R94" s="308">
        <f t="shared" si="36"/>
        <v>0.750977292</v>
      </c>
      <c r="S94" s="308">
        <f t="shared" si="36"/>
        <v>0.700363116</v>
      </c>
      <c r="T94" s="308">
        <f t="shared" si="36"/>
        <v>0.7319525339</v>
      </c>
      <c r="U94" s="308">
        <f t="shared" si="36"/>
        <v>0.7369590492</v>
      </c>
      <c r="V94" s="308">
        <f t="shared" si="36"/>
        <v>0.7029147453</v>
      </c>
      <c r="W94" s="308">
        <f t="shared" si="36"/>
        <v>0.6288183192</v>
      </c>
      <c r="X94" s="308">
        <f t="shared" si="36"/>
        <v>0.3013922199</v>
      </c>
      <c r="Y94" s="308">
        <f t="shared" si="36"/>
        <v>0.750977292</v>
      </c>
      <c r="Z94" s="308">
        <f t="shared" si="36"/>
        <v>0.6999108361</v>
      </c>
      <c r="AA94" s="308">
        <f t="shared" si="36"/>
        <v>0.9882861163</v>
      </c>
      <c r="AB94" s="308">
        <f t="shared" si="36"/>
        <v>0.8280776273</v>
      </c>
      <c r="AC94" s="308">
        <f t="shared" si="36"/>
        <v>0.8501062945</v>
      </c>
      <c r="AD94" s="308">
        <f t="shared" si="36"/>
        <v>0.9091831748</v>
      </c>
      <c r="AE94" s="308">
        <f t="shared" si="36"/>
        <v>0.7970372326</v>
      </c>
      <c r="AF94" s="308">
        <f t="shared" si="36"/>
        <v>0.8891571137</v>
      </c>
      <c r="AG94" s="308">
        <f t="shared" si="36"/>
        <v>0.6328235314</v>
      </c>
      <c r="AH94" s="308">
        <f t="shared" si="36"/>
        <v>0.5517179839</v>
      </c>
      <c r="AI94" s="308">
        <f t="shared" si="36"/>
        <v>0.8481036884</v>
      </c>
      <c r="AJ94" s="308">
        <f t="shared" si="36"/>
        <v>0.5407036502</v>
      </c>
      <c r="AK94" s="308">
        <f t="shared" si="36"/>
        <v>0.3945134041</v>
      </c>
      <c r="AL94" s="308">
        <f t="shared" si="36"/>
        <v>0.4135381621</v>
      </c>
      <c r="AM94" s="308">
        <f t="shared" si="36"/>
        <v>0.6268157131</v>
      </c>
      <c r="AN94" s="308">
        <f t="shared" si="36"/>
        <v>0.8160619906</v>
      </c>
      <c r="AO94" s="308">
        <f t="shared" si="36"/>
        <v>0.5697414389</v>
      </c>
      <c r="AP94" s="308">
        <f t="shared" si="36"/>
        <v>0.6548521986</v>
      </c>
      <c r="AQ94" s="308">
        <f t="shared" si="36"/>
        <v>0.7820176867</v>
      </c>
      <c r="AR94" s="308">
        <f t="shared" si="36"/>
        <v>0.5656656075</v>
      </c>
      <c r="AS94" s="308">
        <f t="shared" si="36"/>
        <v>0.642836562</v>
      </c>
      <c r="AT94" s="120"/>
    </row>
    <row r="95">
      <c r="A95" s="80"/>
      <c r="B95" s="81"/>
      <c r="C95" s="325"/>
      <c r="D95" s="325"/>
      <c r="E95" s="437"/>
      <c r="F95" s="83"/>
      <c r="G95" s="84"/>
      <c r="H95" s="85"/>
      <c r="I95" s="86"/>
      <c r="J95" s="86"/>
      <c r="K95" s="86"/>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c r="AQ95" s="86"/>
      <c r="AR95" s="86"/>
      <c r="AS95" s="86"/>
      <c r="AT95" s="88"/>
    </row>
    <row r="96">
      <c r="A96" s="80"/>
      <c r="B96" s="81"/>
      <c r="C96" s="325" t="s">
        <v>586</v>
      </c>
      <c r="F96" s="83"/>
      <c r="G96" s="84"/>
      <c r="H96" s="85"/>
      <c r="I96" s="86"/>
      <c r="J96" s="86"/>
      <c r="K96" s="86"/>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c r="AQ96" s="86"/>
      <c r="AR96" s="86"/>
      <c r="AS96" s="86"/>
      <c r="AT96" s="88"/>
    </row>
    <row r="97">
      <c r="A97" s="80"/>
      <c r="B97" s="81"/>
      <c r="C97" s="325"/>
      <c r="D97" s="81"/>
      <c r="E97" s="188" t="s">
        <v>587</v>
      </c>
      <c r="F97" s="189" t="s">
        <v>122</v>
      </c>
      <c r="G97" s="263" t="s">
        <v>149</v>
      </c>
      <c r="H97" s="200" t="s">
        <v>150</v>
      </c>
      <c r="I97" s="119">
        <f t="shared" ref="I97:AS97" si="37">AVERAGE(I45:I47)</f>
        <v>0.3711496661</v>
      </c>
      <c r="J97" s="119">
        <f t="shared" si="37"/>
        <v>0.4786228608</v>
      </c>
      <c r="K97" s="119">
        <f t="shared" si="37"/>
        <v>0.5560569638</v>
      </c>
      <c r="L97" s="119">
        <f t="shared" si="37"/>
        <v>0.6655327646</v>
      </c>
      <c r="M97" s="119">
        <f t="shared" si="37"/>
        <v>0.4816267699</v>
      </c>
      <c r="N97" s="119">
        <f t="shared" si="37"/>
        <v>0.4699449009</v>
      </c>
      <c r="O97" s="119">
        <f t="shared" si="37"/>
        <v>0.5774180956</v>
      </c>
      <c r="P97" s="119">
        <f t="shared" si="37"/>
        <v>0.1959216313</v>
      </c>
      <c r="Q97" s="119">
        <f t="shared" si="37"/>
        <v>0.3507898373</v>
      </c>
      <c r="R97" s="119">
        <f t="shared" si="37"/>
        <v>0.8317490719</v>
      </c>
      <c r="S97" s="119">
        <f t="shared" si="37"/>
        <v>0.6525158248</v>
      </c>
      <c r="T97" s="119">
        <f t="shared" si="37"/>
        <v>0.8063827278</v>
      </c>
      <c r="U97" s="119">
        <f t="shared" si="37"/>
        <v>0.7740072623</v>
      </c>
      <c r="V97" s="119">
        <f t="shared" si="37"/>
        <v>0.7466383121</v>
      </c>
      <c r="W97" s="119">
        <f t="shared" si="37"/>
        <v>0.7279473217</v>
      </c>
      <c r="X97" s="119">
        <f t="shared" si="37"/>
        <v>0.4449123245</v>
      </c>
      <c r="Y97" s="119">
        <f t="shared" si="37"/>
        <v>0.8674622142</v>
      </c>
      <c r="Z97" s="119">
        <f t="shared" si="37"/>
        <v>0.7556500396</v>
      </c>
      <c r="AA97" s="119">
        <f t="shared" si="37"/>
        <v>0.9906224901</v>
      </c>
      <c r="AB97" s="119">
        <f t="shared" si="37"/>
        <v>0.8868207399</v>
      </c>
      <c r="AC97" s="119">
        <f t="shared" si="37"/>
        <v>0.9138559224</v>
      </c>
      <c r="AD97" s="119">
        <f t="shared" si="37"/>
        <v>0.9545755801</v>
      </c>
      <c r="AE97" s="119">
        <f t="shared" si="37"/>
        <v>0.8587842544</v>
      </c>
      <c r="AF97" s="119">
        <f t="shared" si="37"/>
        <v>0.9215325792</v>
      </c>
      <c r="AG97" s="119">
        <f t="shared" si="37"/>
        <v>0.745637009</v>
      </c>
      <c r="AH97" s="119">
        <f t="shared" si="37"/>
        <v>0.6191390563</v>
      </c>
      <c r="AI97" s="119">
        <f t="shared" si="37"/>
        <v>0.8918272552</v>
      </c>
      <c r="AJ97" s="119">
        <f t="shared" si="37"/>
        <v>0.6361612082</v>
      </c>
      <c r="AK97" s="119">
        <f t="shared" si="37"/>
        <v>0.5046567402</v>
      </c>
      <c r="AL97" s="119">
        <f t="shared" si="37"/>
        <v>0.5540543577</v>
      </c>
      <c r="AM97" s="119">
        <f t="shared" si="37"/>
        <v>0.6815536135</v>
      </c>
      <c r="AN97" s="119">
        <f t="shared" si="37"/>
        <v>0.8714674264</v>
      </c>
      <c r="AO97" s="119">
        <f t="shared" si="37"/>
        <v>0.6565210371</v>
      </c>
      <c r="AP97" s="119">
        <f t="shared" si="37"/>
        <v>0.7453032413</v>
      </c>
      <c r="AQ97" s="119">
        <f t="shared" si="37"/>
        <v>0.8504400622</v>
      </c>
      <c r="AR97" s="119">
        <f t="shared" si="37"/>
        <v>0.6314884607</v>
      </c>
      <c r="AS97" s="119">
        <f t="shared" si="37"/>
        <v>0.6982419977</v>
      </c>
      <c r="AT97" s="136"/>
    </row>
    <row r="98">
      <c r="A98" s="80"/>
      <c r="B98" s="81"/>
      <c r="C98" s="325"/>
      <c r="D98" s="81"/>
      <c r="E98" s="214" t="s">
        <v>590</v>
      </c>
      <c r="F98" s="215" t="s">
        <v>122</v>
      </c>
      <c r="G98" s="277" t="s">
        <v>149</v>
      </c>
      <c r="H98" s="187" t="s">
        <v>150</v>
      </c>
      <c r="I98" s="149">
        <f t="shared" ref="I98:AS98" si="38">AVERAGE(I48:I50)</f>
        <v>0.3698145953</v>
      </c>
      <c r="J98" s="149">
        <f t="shared" si="38"/>
        <v>0.4532565167</v>
      </c>
      <c r="K98" s="149">
        <f t="shared" si="38"/>
        <v>0.5487140747</v>
      </c>
      <c r="L98" s="149">
        <f t="shared" si="38"/>
        <v>0.6531833602</v>
      </c>
      <c r="M98" s="149">
        <f t="shared" si="38"/>
        <v>0.4702786686</v>
      </c>
      <c r="N98" s="149">
        <f t="shared" si="38"/>
        <v>0.4499188398</v>
      </c>
      <c r="O98" s="149">
        <f t="shared" si="38"/>
        <v>0.5687401358</v>
      </c>
      <c r="P98" s="149">
        <f t="shared" si="38"/>
        <v>0.1535331353</v>
      </c>
      <c r="Q98" s="149">
        <f t="shared" si="38"/>
        <v>0.3611366355</v>
      </c>
      <c r="R98" s="149">
        <f t="shared" si="38"/>
        <v>0.8023775155</v>
      </c>
      <c r="S98" s="149">
        <f t="shared" si="38"/>
        <v>0.6521820571</v>
      </c>
      <c r="T98" s="149">
        <f t="shared" si="38"/>
        <v>0.7890268081</v>
      </c>
      <c r="U98" s="149">
        <f t="shared" si="38"/>
        <v>0.7726721915</v>
      </c>
      <c r="V98" s="149">
        <f t="shared" si="38"/>
        <v>0.7299499278</v>
      </c>
      <c r="W98" s="149">
        <f t="shared" si="38"/>
        <v>0.6882289672</v>
      </c>
      <c r="X98" s="149">
        <f t="shared" si="38"/>
        <v>0.4078641115</v>
      </c>
      <c r="Y98" s="149">
        <f t="shared" si="38"/>
        <v>0.8614543958</v>
      </c>
      <c r="Z98" s="149">
        <f t="shared" si="38"/>
        <v>0.7406304938</v>
      </c>
      <c r="AA98" s="149">
        <f t="shared" si="38"/>
        <v>0.9909562578</v>
      </c>
      <c r="AB98" s="149">
        <f t="shared" si="38"/>
        <v>0.8424296378</v>
      </c>
      <c r="AC98" s="149">
        <f t="shared" si="38"/>
        <v>0.8948311644</v>
      </c>
      <c r="AD98" s="149">
        <f t="shared" si="38"/>
        <v>0.9512379032</v>
      </c>
      <c r="AE98" s="149">
        <f t="shared" si="38"/>
        <v>0.8614543958</v>
      </c>
      <c r="AF98" s="149">
        <f t="shared" si="38"/>
        <v>0.9018402858</v>
      </c>
      <c r="AG98" s="149">
        <f t="shared" si="38"/>
        <v>0.7299499278</v>
      </c>
      <c r="AH98" s="149">
        <f t="shared" si="38"/>
        <v>0.5924376415</v>
      </c>
      <c r="AI98" s="149">
        <f t="shared" si="38"/>
        <v>0.870799891</v>
      </c>
      <c r="AJ98" s="149">
        <f t="shared" si="38"/>
        <v>0.6174702179</v>
      </c>
      <c r="AK98" s="149">
        <f t="shared" si="38"/>
        <v>0.4903047298</v>
      </c>
      <c r="AL98" s="149">
        <f t="shared" si="38"/>
        <v>0.5370322057</v>
      </c>
      <c r="AM98" s="149">
        <f t="shared" si="38"/>
        <v>0.6631963908</v>
      </c>
      <c r="AN98" s="149">
        <f t="shared" si="38"/>
        <v>0.8087191016</v>
      </c>
      <c r="AO98" s="149">
        <f t="shared" si="38"/>
        <v>0.6498456833</v>
      </c>
      <c r="AP98" s="149">
        <f t="shared" si="38"/>
        <v>0.6952380885</v>
      </c>
      <c r="AQ98" s="149">
        <f t="shared" si="38"/>
        <v>0.8467686177</v>
      </c>
      <c r="AR98" s="149">
        <f t="shared" si="38"/>
        <v>0.6111286318</v>
      </c>
      <c r="AS98" s="149">
        <f t="shared" si="38"/>
        <v>0.6782159366</v>
      </c>
      <c r="AT98" s="163"/>
    </row>
    <row r="99">
      <c r="A99" s="80"/>
      <c r="B99" s="81"/>
      <c r="C99" s="325"/>
      <c r="D99" s="81"/>
      <c r="E99" s="214" t="s">
        <v>594</v>
      </c>
      <c r="F99" s="215" t="s">
        <v>122</v>
      </c>
      <c r="G99" s="277" t="s">
        <v>149</v>
      </c>
      <c r="H99" s="187" t="s">
        <v>150</v>
      </c>
      <c r="I99" s="149">
        <f t="shared" ref="I99:AS99" si="39">(I98-I97)/I97</f>
        <v>-0.003597122302</v>
      </c>
      <c r="J99" s="149">
        <f t="shared" si="39"/>
        <v>-0.0529986053</v>
      </c>
      <c r="K99" s="149">
        <f t="shared" si="39"/>
        <v>-0.01320528211</v>
      </c>
      <c r="L99" s="149">
        <f t="shared" si="39"/>
        <v>-0.018555667</v>
      </c>
      <c r="M99" s="149">
        <f t="shared" si="39"/>
        <v>-0.02356202356</v>
      </c>
      <c r="N99" s="149">
        <f t="shared" si="39"/>
        <v>-0.04261363636</v>
      </c>
      <c r="O99" s="149">
        <f t="shared" si="39"/>
        <v>-0.01502890173</v>
      </c>
      <c r="P99" s="149">
        <f t="shared" si="39"/>
        <v>-0.2163543441</v>
      </c>
      <c r="Q99" s="149">
        <f t="shared" si="39"/>
        <v>0.02949571836</v>
      </c>
      <c r="R99" s="149">
        <f t="shared" si="39"/>
        <v>-0.03531300161</v>
      </c>
      <c r="S99" s="149">
        <f t="shared" si="39"/>
        <v>-0.0005115089514</v>
      </c>
      <c r="T99" s="149">
        <f t="shared" si="39"/>
        <v>-0.02152317881</v>
      </c>
      <c r="U99" s="149">
        <f t="shared" si="39"/>
        <v>-0.001724881414</v>
      </c>
      <c r="V99" s="149">
        <f t="shared" si="39"/>
        <v>-0.02235136343</v>
      </c>
      <c r="W99" s="149">
        <f t="shared" si="39"/>
        <v>-0.05456212746</v>
      </c>
      <c r="X99" s="149">
        <f t="shared" si="39"/>
        <v>-0.0832708177</v>
      </c>
      <c r="Y99" s="149">
        <f t="shared" si="39"/>
        <v>-0.006925740669</v>
      </c>
      <c r="Z99" s="149">
        <f t="shared" si="39"/>
        <v>-0.01987632509</v>
      </c>
      <c r="AA99" s="149">
        <f t="shared" si="39"/>
        <v>0.0003369272237</v>
      </c>
      <c r="AB99" s="149">
        <f t="shared" si="39"/>
        <v>-0.05005645465</v>
      </c>
      <c r="AC99" s="149">
        <f t="shared" si="39"/>
        <v>-0.02081811541</v>
      </c>
      <c r="AD99" s="149">
        <f t="shared" si="39"/>
        <v>-0.003496503497</v>
      </c>
      <c r="AE99" s="149">
        <f t="shared" si="39"/>
        <v>0.003109211038</v>
      </c>
      <c r="AF99" s="149">
        <f t="shared" si="39"/>
        <v>-0.02136906918</v>
      </c>
      <c r="AG99" s="149">
        <f t="shared" si="39"/>
        <v>-0.02103849597</v>
      </c>
      <c r="AH99" s="149">
        <f t="shared" si="39"/>
        <v>-0.04312668464</v>
      </c>
      <c r="AI99" s="149">
        <f t="shared" si="39"/>
        <v>-0.02357784431</v>
      </c>
      <c r="AJ99" s="149">
        <f t="shared" si="39"/>
        <v>-0.02938090241</v>
      </c>
      <c r="AK99" s="149">
        <f t="shared" si="39"/>
        <v>-0.02843915344</v>
      </c>
      <c r="AL99" s="149">
        <f t="shared" si="39"/>
        <v>-0.03072289157</v>
      </c>
      <c r="AM99" s="149">
        <f t="shared" si="39"/>
        <v>-0.02693437806</v>
      </c>
      <c r="AN99" s="149">
        <f t="shared" si="39"/>
        <v>-0.07200306396</v>
      </c>
      <c r="AO99" s="149">
        <f t="shared" si="39"/>
        <v>-0.01016776817</v>
      </c>
      <c r="AP99" s="149">
        <f t="shared" si="39"/>
        <v>-0.06717420511</v>
      </c>
      <c r="AQ99" s="149">
        <f t="shared" si="39"/>
        <v>-0.00431711146</v>
      </c>
      <c r="AR99" s="149">
        <f t="shared" si="39"/>
        <v>-0.0322410148</v>
      </c>
      <c r="AS99" s="149">
        <f t="shared" si="39"/>
        <v>-0.02868068834</v>
      </c>
      <c r="AT99" s="163"/>
    </row>
    <row r="100">
      <c r="A100" s="80"/>
      <c r="B100" s="81"/>
      <c r="C100" s="325"/>
      <c r="D100" s="81"/>
      <c r="E100" s="214" t="s">
        <v>597</v>
      </c>
      <c r="F100" s="215" t="s">
        <v>122</v>
      </c>
      <c r="G100" s="277" t="s">
        <v>149</v>
      </c>
      <c r="H100" s="187" t="s">
        <v>150</v>
      </c>
      <c r="I100" s="149">
        <f t="shared" ref="I100:AS100" si="40">IF(I24="-","-",I24*(1+I$99))</f>
        <v>0.4938000902</v>
      </c>
      <c r="J100" s="149">
        <f t="shared" si="40"/>
        <v>0.6376281436</v>
      </c>
      <c r="K100" s="149">
        <f t="shared" si="40"/>
        <v>0.5662667531</v>
      </c>
      <c r="L100" s="149">
        <f t="shared" si="40"/>
        <v>0.7278372035</v>
      </c>
      <c r="M100" s="149">
        <f t="shared" si="40"/>
        <v>0.5658824101</v>
      </c>
      <c r="N100" s="149">
        <f t="shared" si="40"/>
        <v>0.3767266399</v>
      </c>
      <c r="O100" s="149">
        <f t="shared" si="40"/>
        <v>0.3209879486</v>
      </c>
      <c r="P100" s="149">
        <f t="shared" si="40"/>
        <v>0.210775749</v>
      </c>
      <c r="Q100" s="149">
        <f t="shared" si="40"/>
        <v>0.1415764571</v>
      </c>
      <c r="R100" s="149" t="str">
        <f t="shared" si="40"/>
        <v>-</v>
      </c>
      <c r="S100" s="149">
        <f t="shared" si="40"/>
        <v>0.868664697</v>
      </c>
      <c r="T100" s="149" t="str">
        <f t="shared" si="40"/>
        <v>-</v>
      </c>
      <c r="U100" s="149" t="str">
        <f t="shared" si="40"/>
        <v>-</v>
      </c>
      <c r="V100" s="149" t="str">
        <f t="shared" si="40"/>
        <v>-</v>
      </c>
      <c r="W100" s="149" t="str">
        <f t="shared" si="40"/>
        <v>-</v>
      </c>
      <c r="X100" s="149" t="str">
        <f t="shared" si="40"/>
        <v>-</v>
      </c>
      <c r="Y100" s="149" t="str">
        <f t="shared" si="40"/>
        <v>-</v>
      </c>
      <c r="Z100" s="149" t="str">
        <f t="shared" si="40"/>
        <v>-</v>
      </c>
      <c r="AA100" s="149" t="str">
        <f t="shared" si="40"/>
        <v>-</v>
      </c>
      <c r="AB100" s="149" t="str">
        <f t="shared" si="40"/>
        <v>-</v>
      </c>
      <c r="AC100" s="149" t="str">
        <f t="shared" si="40"/>
        <v>-</v>
      </c>
      <c r="AD100" s="149" t="str">
        <f t="shared" si="40"/>
        <v>-</v>
      </c>
      <c r="AE100" s="149" t="str">
        <f t="shared" si="40"/>
        <v>-</v>
      </c>
      <c r="AF100" s="149" t="str">
        <f t="shared" si="40"/>
        <v>-</v>
      </c>
      <c r="AG100" s="149" t="str">
        <f t="shared" si="40"/>
        <v>-</v>
      </c>
      <c r="AH100" s="149" t="str">
        <f t="shared" si="40"/>
        <v>-</v>
      </c>
      <c r="AI100" s="149" t="str">
        <f t="shared" si="40"/>
        <v>-</v>
      </c>
      <c r="AJ100" s="149" t="str">
        <f t="shared" si="40"/>
        <v>-</v>
      </c>
      <c r="AK100" s="149" t="str">
        <f t="shared" si="40"/>
        <v>-</v>
      </c>
      <c r="AL100" s="149" t="str">
        <f t="shared" si="40"/>
        <v>-</v>
      </c>
      <c r="AM100" s="149" t="str">
        <f t="shared" si="40"/>
        <v>-</v>
      </c>
      <c r="AN100" s="149" t="str">
        <f t="shared" si="40"/>
        <v>-</v>
      </c>
      <c r="AO100" s="149" t="str">
        <f t="shared" si="40"/>
        <v>-</v>
      </c>
      <c r="AP100" s="149" t="str">
        <f t="shared" si="40"/>
        <v>-</v>
      </c>
      <c r="AQ100" s="149" t="str">
        <f t="shared" si="40"/>
        <v>-</v>
      </c>
      <c r="AR100" s="149">
        <f t="shared" si="40"/>
        <v>0.7175401943</v>
      </c>
      <c r="AS100" s="149" t="str">
        <f t="shared" si="40"/>
        <v>-</v>
      </c>
      <c r="AT100" s="163"/>
    </row>
    <row r="101">
      <c r="A101" s="80"/>
      <c r="B101" s="81"/>
      <c r="C101" s="325"/>
      <c r="D101" s="81"/>
      <c r="E101" s="214" t="s">
        <v>600</v>
      </c>
      <c r="F101" s="215" t="s">
        <v>122</v>
      </c>
      <c r="G101" s="277" t="s">
        <v>149</v>
      </c>
      <c r="H101" s="187" t="s">
        <v>150</v>
      </c>
      <c r="I101" s="149">
        <f t="shared" ref="I101:AS101" si="41">IF(I25="-","-",I25*(1+I$99))</f>
        <v>0.4503113768</v>
      </c>
      <c r="J101" s="149">
        <f t="shared" si="41"/>
        <v>0.5980260472</v>
      </c>
      <c r="K101" s="149">
        <f t="shared" si="41"/>
        <v>0.5106419262</v>
      </c>
      <c r="L101" s="149">
        <f t="shared" si="41"/>
        <v>0.6579123059</v>
      </c>
      <c r="M101" s="149">
        <f t="shared" si="41"/>
        <v>0.4868576306</v>
      </c>
      <c r="N101" s="149">
        <f t="shared" si="41"/>
        <v>0.3612019365</v>
      </c>
      <c r="O101" s="149">
        <f t="shared" si="41"/>
        <v>0.2308633649</v>
      </c>
      <c r="P101" s="149">
        <f t="shared" si="41"/>
        <v>0.2021945861</v>
      </c>
      <c r="Q101" s="149">
        <f t="shared" si="41"/>
        <v>0.129251952</v>
      </c>
      <c r="R101" s="149" t="str">
        <f t="shared" si="41"/>
        <v>-</v>
      </c>
      <c r="S101" s="149">
        <f t="shared" si="41"/>
        <v>0.7935105941</v>
      </c>
      <c r="T101" s="149" t="str">
        <f t="shared" si="41"/>
        <v>-</v>
      </c>
      <c r="U101" s="149" t="str">
        <f t="shared" si="41"/>
        <v>-</v>
      </c>
      <c r="V101" s="149" t="str">
        <f t="shared" si="41"/>
        <v>-</v>
      </c>
      <c r="W101" s="149" t="str">
        <f t="shared" si="41"/>
        <v>-</v>
      </c>
      <c r="X101" s="149" t="str">
        <f t="shared" si="41"/>
        <v>-</v>
      </c>
      <c r="Y101" s="149" t="str">
        <f t="shared" si="41"/>
        <v>-</v>
      </c>
      <c r="Z101" s="149" t="str">
        <f t="shared" si="41"/>
        <v>-</v>
      </c>
      <c r="AA101" s="149" t="str">
        <f t="shared" si="41"/>
        <v>-</v>
      </c>
      <c r="AB101" s="149" t="str">
        <f t="shared" si="41"/>
        <v>-</v>
      </c>
      <c r="AC101" s="149" t="str">
        <f t="shared" si="41"/>
        <v>-</v>
      </c>
      <c r="AD101" s="149" t="str">
        <f t="shared" si="41"/>
        <v>-</v>
      </c>
      <c r="AE101" s="149" t="str">
        <f t="shared" si="41"/>
        <v>-</v>
      </c>
      <c r="AF101" s="149" t="str">
        <f t="shared" si="41"/>
        <v>-</v>
      </c>
      <c r="AG101" s="149" t="str">
        <f t="shared" si="41"/>
        <v>-</v>
      </c>
      <c r="AH101" s="149" t="str">
        <f t="shared" si="41"/>
        <v>-</v>
      </c>
      <c r="AI101" s="149" t="str">
        <f t="shared" si="41"/>
        <v>-</v>
      </c>
      <c r="AJ101" s="149" t="str">
        <f t="shared" si="41"/>
        <v>-</v>
      </c>
      <c r="AK101" s="149" t="str">
        <f t="shared" si="41"/>
        <v>-</v>
      </c>
      <c r="AL101" s="149" t="str">
        <f t="shared" si="41"/>
        <v>-</v>
      </c>
      <c r="AM101" s="149" t="str">
        <f t="shared" si="41"/>
        <v>-</v>
      </c>
      <c r="AN101" s="149" t="str">
        <f t="shared" si="41"/>
        <v>-</v>
      </c>
      <c r="AO101" s="149" t="str">
        <f t="shared" si="41"/>
        <v>-</v>
      </c>
      <c r="AP101" s="149" t="str">
        <f t="shared" si="41"/>
        <v>-</v>
      </c>
      <c r="AQ101" s="149" t="str">
        <f t="shared" si="41"/>
        <v>-</v>
      </c>
      <c r="AR101" s="149">
        <f t="shared" si="41"/>
        <v>0.6530687372</v>
      </c>
      <c r="AS101" s="149" t="str">
        <f t="shared" si="41"/>
        <v>-</v>
      </c>
      <c r="AT101" s="163"/>
    </row>
    <row r="102">
      <c r="A102" s="80"/>
      <c r="B102" s="81"/>
      <c r="C102" s="325"/>
      <c r="D102" s="81"/>
      <c r="E102" s="214" t="s">
        <v>603</v>
      </c>
      <c r="F102" s="215" t="s">
        <v>122</v>
      </c>
      <c r="G102" s="277" t="s">
        <v>149</v>
      </c>
      <c r="H102" s="187" t="s">
        <v>150</v>
      </c>
      <c r="I102" s="149">
        <f t="shared" ref="I102:AS102" si="42">IF(I26="-","-",I26*(1+I$99))</f>
        <v>0.3600681916</v>
      </c>
      <c r="J102" s="149">
        <f t="shared" si="42"/>
        <v>0.475383302</v>
      </c>
      <c r="K102" s="149">
        <f t="shared" si="42"/>
        <v>0.3915657037</v>
      </c>
      <c r="L102" s="149">
        <f t="shared" si="42"/>
        <v>0.5686080361</v>
      </c>
      <c r="M102" s="149">
        <f t="shared" si="42"/>
        <v>0.3728552336</v>
      </c>
      <c r="N102" s="149">
        <f t="shared" si="42"/>
        <v>0.2871872698</v>
      </c>
      <c r="O102" s="149">
        <f t="shared" si="42"/>
        <v>0.1391721985</v>
      </c>
      <c r="P102" s="149">
        <f t="shared" si="42"/>
        <v>0.1456361693</v>
      </c>
      <c r="Q102" s="149">
        <f t="shared" si="42"/>
        <v>0.09020709153</v>
      </c>
      <c r="R102" s="149" t="str">
        <f t="shared" si="42"/>
        <v>-</v>
      </c>
      <c r="S102" s="149">
        <f t="shared" si="42"/>
        <v>0.700004874</v>
      </c>
      <c r="T102" s="149" t="str">
        <f t="shared" si="42"/>
        <v>-</v>
      </c>
      <c r="U102" s="149" t="str">
        <f t="shared" si="42"/>
        <v>-</v>
      </c>
      <c r="V102" s="149" t="str">
        <f t="shared" si="42"/>
        <v>-</v>
      </c>
      <c r="W102" s="149" t="str">
        <f t="shared" si="42"/>
        <v>-</v>
      </c>
      <c r="X102" s="149" t="str">
        <f t="shared" si="42"/>
        <v>-</v>
      </c>
      <c r="Y102" s="149" t="str">
        <f t="shared" si="42"/>
        <v>-</v>
      </c>
      <c r="Z102" s="149" t="str">
        <f t="shared" si="42"/>
        <v>-</v>
      </c>
      <c r="AA102" s="149" t="str">
        <f t="shared" si="42"/>
        <v>-</v>
      </c>
      <c r="AB102" s="149" t="str">
        <f t="shared" si="42"/>
        <v>-</v>
      </c>
      <c r="AC102" s="149" t="str">
        <f t="shared" si="42"/>
        <v>-</v>
      </c>
      <c r="AD102" s="149" t="str">
        <f t="shared" si="42"/>
        <v>-</v>
      </c>
      <c r="AE102" s="149" t="str">
        <f t="shared" si="42"/>
        <v>-</v>
      </c>
      <c r="AF102" s="149" t="str">
        <f t="shared" si="42"/>
        <v>-</v>
      </c>
      <c r="AG102" s="149" t="str">
        <f t="shared" si="42"/>
        <v>-</v>
      </c>
      <c r="AH102" s="149" t="str">
        <f t="shared" si="42"/>
        <v>-</v>
      </c>
      <c r="AI102" s="149" t="str">
        <f t="shared" si="42"/>
        <v>-</v>
      </c>
      <c r="AJ102" s="149" t="str">
        <f t="shared" si="42"/>
        <v>-</v>
      </c>
      <c r="AK102" s="149" t="str">
        <f t="shared" si="42"/>
        <v>-</v>
      </c>
      <c r="AL102" s="149" t="str">
        <f t="shared" si="42"/>
        <v>-</v>
      </c>
      <c r="AM102" s="149" t="str">
        <f t="shared" si="42"/>
        <v>-</v>
      </c>
      <c r="AN102" s="149" t="str">
        <f t="shared" si="42"/>
        <v>-</v>
      </c>
      <c r="AO102" s="149" t="str">
        <f t="shared" si="42"/>
        <v>-</v>
      </c>
      <c r="AP102" s="149" t="str">
        <f t="shared" si="42"/>
        <v>-</v>
      </c>
      <c r="AQ102" s="149" t="str">
        <f t="shared" si="42"/>
        <v>-</v>
      </c>
      <c r="AR102" s="149">
        <f t="shared" si="42"/>
        <v>0.5547726925</v>
      </c>
      <c r="AS102" s="149" t="str">
        <f t="shared" si="42"/>
        <v>-</v>
      </c>
      <c r="AT102" s="163"/>
    </row>
    <row r="103">
      <c r="A103" s="80"/>
      <c r="B103" s="81"/>
      <c r="C103" s="325"/>
      <c r="D103" s="81"/>
      <c r="E103" s="214" t="s">
        <v>174</v>
      </c>
      <c r="F103" s="215" t="s">
        <v>122</v>
      </c>
      <c r="G103" s="277" t="s">
        <v>149</v>
      </c>
      <c r="H103" s="187" t="s">
        <v>150</v>
      </c>
      <c r="I103" s="149">
        <f t="shared" ref="I103:AS103" si="43">IF(I100="-",I48,(I100*I$87)+(I48*I$88))</f>
        <v>0.4938000902</v>
      </c>
      <c r="J103" s="149">
        <f t="shared" si="43"/>
        <v>0.6376281436</v>
      </c>
      <c r="K103" s="149">
        <f t="shared" si="43"/>
        <v>0.5662667531</v>
      </c>
      <c r="L103" s="149">
        <f t="shared" si="43"/>
        <v>0.7278372035</v>
      </c>
      <c r="M103" s="149">
        <f t="shared" si="43"/>
        <v>0.5658824101</v>
      </c>
      <c r="N103" s="149">
        <f t="shared" si="43"/>
        <v>0.4435258602</v>
      </c>
      <c r="O103" s="149">
        <f t="shared" si="43"/>
        <v>0.3209879486</v>
      </c>
      <c r="P103" s="149">
        <f t="shared" si="43"/>
        <v>0.2114286461</v>
      </c>
      <c r="Q103" s="149">
        <f t="shared" si="43"/>
        <v>0.425524355</v>
      </c>
      <c r="R103" s="149">
        <f t="shared" si="43"/>
        <v>0.8891571137</v>
      </c>
      <c r="S103" s="149">
        <f t="shared" si="43"/>
        <v>0.868664697</v>
      </c>
      <c r="T103" s="149">
        <f t="shared" si="43"/>
        <v>0.8440984762</v>
      </c>
      <c r="U103" s="149">
        <f t="shared" si="43"/>
        <v>0.8300802334</v>
      </c>
      <c r="V103" s="149">
        <f t="shared" si="43"/>
        <v>0.7720046562</v>
      </c>
      <c r="W103" s="149">
        <f t="shared" si="43"/>
        <v>0.7890268081</v>
      </c>
      <c r="X103" s="149">
        <f t="shared" si="43"/>
        <v>0.5397023472</v>
      </c>
      <c r="Y103" s="149">
        <f t="shared" si="43"/>
        <v>0.9322131451</v>
      </c>
      <c r="Z103" s="149">
        <f t="shared" si="43"/>
        <v>0.7930320204</v>
      </c>
      <c r="AA103" s="149">
        <f t="shared" si="43"/>
        <v>0.9932926316</v>
      </c>
      <c r="AB103" s="149">
        <f t="shared" si="43"/>
        <v>0.8961662351</v>
      </c>
      <c r="AC103" s="149">
        <f t="shared" si="43"/>
        <v>0.9572457215</v>
      </c>
      <c r="AD103" s="149">
        <f t="shared" si="43"/>
        <v>0.9862835102</v>
      </c>
      <c r="AE103" s="149">
        <f t="shared" si="43"/>
        <v>0.9141896901</v>
      </c>
      <c r="AF103" s="149">
        <f t="shared" si="43"/>
        <v>0.9362183574</v>
      </c>
      <c r="AG103" s="149">
        <f t="shared" si="43"/>
        <v>0.8481036884</v>
      </c>
      <c r="AH103" s="149">
        <f t="shared" si="43"/>
        <v>0.6368287436</v>
      </c>
      <c r="AI103" s="149">
        <f t="shared" si="43"/>
        <v>0.9252040237</v>
      </c>
      <c r="AJ103" s="149">
        <f t="shared" si="43"/>
        <v>0.7099238667</v>
      </c>
      <c r="AK103" s="149">
        <f t="shared" si="43"/>
        <v>0.5757492572</v>
      </c>
      <c r="AL103" s="149">
        <f t="shared" si="43"/>
        <v>0.6478430772</v>
      </c>
      <c r="AM103" s="149">
        <f t="shared" si="43"/>
        <v>0.7219395034</v>
      </c>
      <c r="AN103" s="149">
        <f t="shared" si="43"/>
        <v>0.9071805687</v>
      </c>
      <c r="AO103" s="149">
        <f t="shared" si="43"/>
        <v>0.7519785951</v>
      </c>
      <c r="AP103" s="149">
        <f t="shared" si="43"/>
        <v>0.787024202</v>
      </c>
      <c r="AQ103" s="149">
        <f t="shared" si="43"/>
        <v>0.8961662351</v>
      </c>
      <c r="AR103" s="149">
        <f t="shared" si="43"/>
        <v>0.7161936895</v>
      </c>
      <c r="AS103" s="149">
        <f t="shared" si="43"/>
        <v>0.7209382003</v>
      </c>
      <c r="AT103" s="163"/>
    </row>
    <row r="104">
      <c r="A104" s="80"/>
      <c r="B104" s="81"/>
      <c r="C104" s="325"/>
      <c r="D104" s="81"/>
      <c r="E104" s="214" t="s">
        <v>180</v>
      </c>
      <c r="F104" s="215" t="s">
        <v>122</v>
      </c>
      <c r="G104" s="277" t="s">
        <v>149</v>
      </c>
      <c r="H104" s="187" t="s">
        <v>150</v>
      </c>
      <c r="I104" s="149">
        <f t="shared" ref="I104:AS104" si="44">IF(I101="-",I49,(I101*I$87)+(I49*I$88))</f>
        <v>0.4503113768</v>
      </c>
      <c r="J104" s="149">
        <f t="shared" si="44"/>
        <v>0.5980260472</v>
      </c>
      <c r="K104" s="149">
        <f t="shared" si="44"/>
        <v>0.5106419262</v>
      </c>
      <c r="L104" s="149">
        <f t="shared" si="44"/>
        <v>0.6579123059</v>
      </c>
      <c r="M104" s="149">
        <f t="shared" si="44"/>
        <v>0.4868576306</v>
      </c>
      <c r="N104" s="149">
        <f t="shared" si="44"/>
        <v>0.3980819859</v>
      </c>
      <c r="O104" s="149">
        <f t="shared" si="44"/>
        <v>0.2308633649</v>
      </c>
      <c r="P104" s="149">
        <f t="shared" si="44"/>
        <v>0.1969763642</v>
      </c>
      <c r="Q104" s="149">
        <f t="shared" si="44"/>
        <v>0.3312257314</v>
      </c>
      <c r="R104" s="149">
        <f t="shared" si="44"/>
        <v>0.8521089007</v>
      </c>
      <c r="S104" s="149">
        <f t="shared" si="44"/>
        <v>0.7935105941</v>
      </c>
      <c r="T104" s="149">
        <f t="shared" si="44"/>
        <v>0.8170632937</v>
      </c>
      <c r="U104" s="149">
        <f t="shared" si="44"/>
        <v>0.750977292</v>
      </c>
      <c r="V104" s="149">
        <f t="shared" si="44"/>
        <v>0.7519785951</v>
      </c>
      <c r="W104" s="149">
        <f t="shared" si="44"/>
        <v>0.7119264728</v>
      </c>
      <c r="X104" s="149">
        <f t="shared" si="44"/>
        <v>0.3784925552</v>
      </c>
      <c r="Y104" s="149">
        <f t="shared" si="44"/>
        <v>0.9191962054</v>
      </c>
      <c r="Z104" s="149">
        <f t="shared" si="44"/>
        <v>0.7349564431</v>
      </c>
      <c r="AA104" s="149">
        <f t="shared" si="44"/>
        <v>0.9912900254</v>
      </c>
      <c r="AB104" s="149">
        <f t="shared" si="44"/>
        <v>0.8561141129</v>
      </c>
      <c r="AC104" s="149">
        <f t="shared" si="44"/>
        <v>0.8961662351</v>
      </c>
      <c r="AD104" s="149">
        <f t="shared" si="44"/>
        <v>0.9602496307</v>
      </c>
      <c r="AE104" s="149">
        <f t="shared" si="44"/>
        <v>0.8731362648</v>
      </c>
      <c r="AF104" s="149">
        <f t="shared" si="44"/>
        <v>0.9131883871</v>
      </c>
      <c r="AG104" s="149">
        <f t="shared" si="44"/>
        <v>0.7199368973</v>
      </c>
      <c r="AH104" s="149">
        <f t="shared" si="44"/>
        <v>0.607790955</v>
      </c>
      <c r="AI104" s="149">
        <f t="shared" si="44"/>
        <v>0.8871545076</v>
      </c>
      <c r="AJ104" s="149">
        <f t="shared" si="44"/>
        <v>0.6348261375</v>
      </c>
      <c r="AK104" s="149">
        <f t="shared" si="44"/>
        <v>0.4986489219</v>
      </c>
      <c r="AL104" s="149">
        <f t="shared" si="44"/>
        <v>0.5667375297</v>
      </c>
      <c r="AM104" s="149">
        <f t="shared" si="44"/>
        <v>0.6568548047</v>
      </c>
      <c r="AN104" s="149">
        <f t="shared" si="44"/>
        <v>0.8290789304</v>
      </c>
      <c r="AO104" s="149">
        <f t="shared" si="44"/>
        <v>0.6268157131</v>
      </c>
      <c r="AP104" s="149">
        <f t="shared" si="44"/>
        <v>0.6878951995</v>
      </c>
      <c r="AQ104" s="149">
        <f t="shared" si="44"/>
        <v>0.8541115068</v>
      </c>
      <c r="AR104" s="149">
        <f t="shared" si="44"/>
        <v>0.647871527</v>
      </c>
      <c r="AS104" s="149">
        <f t="shared" si="44"/>
        <v>0.6818873811</v>
      </c>
      <c r="AT104" s="163"/>
    </row>
    <row r="105">
      <c r="A105" s="80"/>
      <c r="B105" s="81"/>
      <c r="C105" s="325"/>
      <c r="D105" s="81"/>
      <c r="E105" s="194" t="s">
        <v>184</v>
      </c>
      <c r="F105" s="195" t="s">
        <v>122</v>
      </c>
      <c r="G105" s="316" t="s">
        <v>149</v>
      </c>
      <c r="H105" s="197" t="s">
        <v>150</v>
      </c>
      <c r="I105" s="240">
        <f t="shared" ref="I105:AS105" si="45">IF(I102="-",I50,(I102*I$87)+(I50*I$88))</f>
        <v>0.3600681916</v>
      </c>
      <c r="J105" s="240">
        <f t="shared" si="45"/>
        <v>0.475383302</v>
      </c>
      <c r="K105" s="240">
        <f t="shared" si="45"/>
        <v>0.3915657037</v>
      </c>
      <c r="L105" s="240">
        <f t="shared" si="45"/>
        <v>0.5686080361</v>
      </c>
      <c r="M105" s="240">
        <f t="shared" si="45"/>
        <v>0.3728552336</v>
      </c>
      <c r="N105" s="240">
        <f t="shared" si="45"/>
        <v>0.3362800816</v>
      </c>
      <c r="O105" s="240">
        <f t="shared" si="45"/>
        <v>0.1391721985</v>
      </c>
      <c r="P105" s="240">
        <f t="shared" si="45"/>
        <v>0.1416791376</v>
      </c>
      <c r="Q105" s="240">
        <f t="shared" si="45"/>
        <v>0.2492625625</v>
      </c>
      <c r="R105" s="240">
        <f t="shared" si="45"/>
        <v>0.6658665322</v>
      </c>
      <c r="S105" s="240">
        <f t="shared" si="45"/>
        <v>0.700004874</v>
      </c>
      <c r="T105" s="240">
        <f t="shared" si="45"/>
        <v>0.7059186545</v>
      </c>
      <c r="U105" s="240">
        <f t="shared" si="45"/>
        <v>0.7369590492</v>
      </c>
      <c r="V105" s="240">
        <f t="shared" si="45"/>
        <v>0.6658665322</v>
      </c>
      <c r="W105" s="240">
        <f t="shared" si="45"/>
        <v>0.5637336205</v>
      </c>
      <c r="X105" s="240">
        <f t="shared" si="45"/>
        <v>0.3053974321</v>
      </c>
      <c r="Y105" s="240">
        <f t="shared" si="45"/>
        <v>0.732953837</v>
      </c>
      <c r="Z105" s="240">
        <f t="shared" si="45"/>
        <v>0.6939030178</v>
      </c>
      <c r="AA105" s="240">
        <f t="shared" si="45"/>
        <v>0.9882861163</v>
      </c>
      <c r="AB105" s="240">
        <f t="shared" si="45"/>
        <v>0.7750085653</v>
      </c>
      <c r="AC105" s="240">
        <f t="shared" si="45"/>
        <v>0.8310815365</v>
      </c>
      <c r="AD105" s="240">
        <f t="shared" si="45"/>
        <v>0.9071805687</v>
      </c>
      <c r="AE105" s="240">
        <f t="shared" si="45"/>
        <v>0.7970372326</v>
      </c>
      <c r="AF105" s="240">
        <f t="shared" si="45"/>
        <v>0.8561141129</v>
      </c>
      <c r="AG105" s="240">
        <f t="shared" si="45"/>
        <v>0.6218091978</v>
      </c>
      <c r="AH105" s="240">
        <f t="shared" si="45"/>
        <v>0.5326932258</v>
      </c>
      <c r="AI105" s="240">
        <f t="shared" si="45"/>
        <v>0.8000411417</v>
      </c>
      <c r="AJ105" s="240">
        <f t="shared" si="45"/>
        <v>0.5076606494</v>
      </c>
      <c r="AK105" s="240">
        <f t="shared" si="45"/>
        <v>0.3965160102</v>
      </c>
      <c r="AL105" s="240">
        <f t="shared" si="45"/>
        <v>0.3965160102</v>
      </c>
      <c r="AM105" s="240">
        <f t="shared" si="45"/>
        <v>0.6107948642</v>
      </c>
      <c r="AN105" s="240">
        <f t="shared" si="45"/>
        <v>0.6898978056</v>
      </c>
      <c r="AO105" s="240">
        <f t="shared" si="45"/>
        <v>0.5707427419</v>
      </c>
      <c r="AP105" s="240">
        <f t="shared" si="45"/>
        <v>0.6107948642</v>
      </c>
      <c r="AQ105" s="240">
        <f t="shared" si="45"/>
        <v>0.7900281112</v>
      </c>
      <c r="AR105" s="240">
        <f t="shared" si="45"/>
        <v>0.546942075</v>
      </c>
      <c r="AS105" s="240">
        <f t="shared" si="45"/>
        <v>0.6318222283</v>
      </c>
      <c r="AT105" s="248"/>
    </row>
    <row r="106">
      <c r="A106" s="80"/>
      <c r="B106" s="81"/>
      <c r="C106" s="325"/>
      <c r="D106" s="81"/>
      <c r="E106" s="82"/>
      <c r="F106" s="83"/>
      <c r="G106" s="84"/>
      <c r="H106" s="85"/>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8"/>
    </row>
    <row r="107">
      <c r="A107" s="80"/>
      <c r="B107" s="81"/>
      <c r="C107" s="325" t="s">
        <v>613</v>
      </c>
      <c r="F107" s="83"/>
      <c r="G107" s="84"/>
      <c r="H107" s="85"/>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c r="AQ107" s="86"/>
      <c r="AR107" s="86"/>
      <c r="AS107" s="86"/>
      <c r="AT107" s="88"/>
    </row>
    <row r="108">
      <c r="A108" s="80"/>
      <c r="B108" s="81"/>
      <c r="C108" s="325"/>
      <c r="D108" s="81"/>
      <c r="E108" s="188" t="s">
        <v>615</v>
      </c>
      <c r="F108" s="189" t="s">
        <v>122</v>
      </c>
      <c r="G108" s="263" t="s">
        <v>203</v>
      </c>
      <c r="H108" s="191">
        <f>Inputs!H75</f>
        <v>0.5</v>
      </c>
      <c r="I108" s="157" t="str">
        <f>Inputs!I75</f>
        <v>-</v>
      </c>
      <c r="J108" s="157" t="str">
        <f>Inputs!J75</f>
        <v>-</v>
      </c>
      <c r="K108" s="157" t="str">
        <f>Inputs!K75</f>
        <v>-</v>
      </c>
      <c r="L108" s="157" t="str">
        <f>Inputs!L75</f>
        <v>-</v>
      </c>
      <c r="M108" s="157" t="str">
        <f>Inputs!M75</f>
        <v>-</v>
      </c>
      <c r="N108" s="157" t="str">
        <f>Inputs!N75</f>
        <v>-</v>
      </c>
      <c r="O108" s="157" t="str">
        <f>Inputs!O75</f>
        <v>-</v>
      </c>
      <c r="P108" s="157" t="str">
        <f>Inputs!P75</f>
        <v>-</v>
      </c>
      <c r="Q108" s="157" t="str">
        <f>Inputs!Q75</f>
        <v>-</v>
      </c>
      <c r="R108" s="157" t="str">
        <f>Inputs!R75</f>
        <v>-</v>
      </c>
      <c r="S108" s="157" t="str">
        <f>Inputs!S75</f>
        <v>-</v>
      </c>
      <c r="T108" s="157" t="str">
        <f>Inputs!T75</f>
        <v>-</v>
      </c>
      <c r="U108" s="157" t="str">
        <f>Inputs!U75</f>
        <v>-</v>
      </c>
      <c r="V108" s="157" t="str">
        <f>Inputs!V75</f>
        <v>-</v>
      </c>
      <c r="W108" s="157" t="str">
        <f>Inputs!W75</f>
        <v>-</v>
      </c>
      <c r="X108" s="157" t="str">
        <f>Inputs!X75</f>
        <v>-</v>
      </c>
      <c r="Y108" s="157" t="str">
        <f>Inputs!Y75</f>
        <v>-</v>
      </c>
      <c r="Z108" s="157" t="str">
        <f>Inputs!Z75</f>
        <v>-</v>
      </c>
      <c r="AA108" s="157" t="str">
        <f>Inputs!AA75</f>
        <v>-</v>
      </c>
      <c r="AB108" s="157" t="str">
        <f>Inputs!AB75</f>
        <v>-</v>
      </c>
      <c r="AC108" s="157" t="str">
        <f>Inputs!AC75</f>
        <v>-</v>
      </c>
      <c r="AD108" s="157" t="str">
        <f>Inputs!AD75</f>
        <v>-</v>
      </c>
      <c r="AE108" s="157" t="str">
        <f>Inputs!AE75</f>
        <v>-</v>
      </c>
      <c r="AF108" s="157" t="str">
        <f>Inputs!AF75</f>
        <v>-</v>
      </c>
      <c r="AG108" s="157" t="str">
        <f>Inputs!AG75</f>
        <v>-</v>
      </c>
      <c r="AH108" s="157" t="str">
        <f>Inputs!AH75</f>
        <v>-</v>
      </c>
      <c r="AI108" s="157" t="str">
        <f>Inputs!AI75</f>
        <v>-</v>
      </c>
      <c r="AJ108" s="157" t="str">
        <f>Inputs!AJ75</f>
        <v>-</v>
      </c>
      <c r="AK108" s="157" t="str">
        <f>Inputs!AK75</f>
        <v>-</v>
      </c>
      <c r="AL108" s="157" t="str">
        <f>Inputs!AL75</f>
        <v>-</v>
      </c>
      <c r="AM108" s="157" t="str">
        <f>Inputs!AM75</f>
        <v>-</v>
      </c>
      <c r="AN108" s="157" t="str">
        <f>Inputs!AN75</f>
        <v>-</v>
      </c>
      <c r="AO108" s="157" t="str">
        <f>Inputs!AO75</f>
        <v>-</v>
      </c>
      <c r="AP108" s="157" t="str">
        <f>Inputs!AP75</f>
        <v>-</v>
      </c>
      <c r="AQ108" s="157" t="str">
        <f>Inputs!AQ75</f>
        <v>-</v>
      </c>
      <c r="AR108" s="157" t="str">
        <f>Inputs!AR75</f>
        <v>-</v>
      </c>
      <c r="AS108" s="157" t="str">
        <f>Inputs!AS75</f>
        <v>-</v>
      </c>
      <c r="AT108" s="136"/>
    </row>
    <row r="109">
      <c r="A109" s="80"/>
      <c r="B109" s="81"/>
      <c r="C109" s="325"/>
      <c r="D109" s="81"/>
      <c r="E109" s="188" t="s">
        <v>622</v>
      </c>
      <c r="F109" s="189" t="s">
        <v>122</v>
      </c>
      <c r="G109" s="263" t="s">
        <v>203</v>
      </c>
      <c r="H109" s="191">
        <f>Inputs!H76</f>
        <v>0.5</v>
      </c>
      <c r="I109" s="157" t="str">
        <f>Inputs!I76</f>
        <v>-</v>
      </c>
      <c r="J109" s="157" t="str">
        <f>Inputs!J76</f>
        <v>-</v>
      </c>
      <c r="K109" s="157" t="str">
        <f>Inputs!K76</f>
        <v>-</v>
      </c>
      <c r="L109" s="157" t="str">
        <f>Inputs!L76</f>
        <v>-</v>
      </c>
      <c r="M109" s="157" t="str">
        <f>Inputs!M76</f>
        <v>-</v>
      </c>
      <c r="N109" s="157" t="str">
        <f>Inputs!N76</f>
        <v>-</v>
      </c>
      <c r="O109" s="157" t="str">
        <f>Inputs!O76</f>
        <v>-</v>
      </c>
      <c r="P109" s="157" t="str">
        <f>Inputs!P76</f>
        <v>-</v>
      </c>
      <c r="Q109" s="157" t="str">
        <f>Inputs!Q76</f>
        <v>-</v>
      </c>
      <c r="R109" s="157" t="str">
        <f>Inputs!R76</f>
        <v>-</v>
      </c>
      <c r="S109" s="157" t="str">
        <f>Inputs!S76</f>
        <v>-</v>
      </c>
      <c r="T109" s="157" t="str">
        <f>Inputs!T76</f>
        <v>-</v>
      </c>
      <c r="U109" s="157" t="str">
        <f>Inputs!U76</f>
        <v>-</v>
      </c>
      <c r="V109" s="157" t="str">
        <f>Inputs!V76</f>
        <v>-</v>
      </c>
      <c r="W109" s="157" t="str">
        <f>Inputs!W76</f>
        <v>-</v>
      </c>
      <c r="X109" s="157" t="str">
        <f>Inputs!X76</f>
        <v>-</v>
      </c>
      <c r="Y109" s="157" t="str">
        <f>Inputs!Y76</f>
        <v>-</v>
      </c>
      <c r="Z109" s="157" t="str">
        <f>Inputs!Z76</f>
        <v>-</v>
      </c>
      <c r="AA109" s="157" t="str">
        <f>Inputs!AA76</f>
        <v>-</v>
      </c>
      <c r="AB109" s="157" t="str">
        <f>Inputs!AB76</f>
        <v>-</v>
      </c>
      <c r="AC109" s="157" t="str">
        <f>Inputs!AC76</f>
        <v>-</v>
      </c>
      <c r="AD109" s="157" t="str">
        <f>Inputs!AD76</f>
        <v>-</v>
      </c>
      <c r="AE109" s="157" t="str">
        <f>Inputs!AE76</f>
        <v>-</v>
      </c>
      <c r="AF109" s="157" t="str">
        <f>Inputs!AF76</f>
        <v>-</v>
      </c>
      <c r="AG109" s="157" t="str">
        <f>Inputs!AG76</f>
        <v>-</v>
      </c>
      <c r="AH109" s="157" t="str">
        <f>Inputs!AH76</f>
        <v>-</v>
      </c>
      <c r="AI109" s="157" t="str">
        <f>Inputs!AI76</f>
        <v>-</v>
      </c>
      <c r="AJ109" s="157" t="str">
        <f>Inputs!AJ76</f>
        <v>-</v>
      </c>
      <c r="AK109" s="157" t="str">
        <f>Inputs!AK76</f>
        <v>-</v>
      </c>
      <c r="AL109" s="157" t="str">
        <f>Inputs!AL76</f>
        <v>-</v>
      </c>
      <c r="AM109" s="157" t="str">
        <f>Inputs!AM76</f>
        <v>-</v>
      </c>
      <c r="AN109" s="157" t="str">
        <f>Inputs!AN76</f>
        <v>-</v>
      </c>
      <c r="AO109" s="157" t="str">
        <f>Inputs!AO76</f>
        <v>-</v>
      </c>
      <c r="AP109" s="157" t="str">
        <f>Inputs!AP76</f>
        <v>-</v>
      </c>
      <c r="AQ109" s="157" t="str">
        <f>Inputs!AQ76</f>
        <v>-</v>
      </c>
      <c r="AR109" s="157" t="str">
        <f>Inputs!AR76</f>
        <v>-</v>
      </c>
      <c r="AS109" s="157" t="str">
        <f>Inputs!AS76</f>
        <v>-</v>
      </c>
      <c r="AT109" s="136"/>
    </row>
    <row r="110">
      <c r="A110" s="80"/>
      <c r="B110" s="81"/>
      <c r="C110" s="325"/>
      <c r="D110" s="81"/>
      <c r="E110" s="214" t="s">
        <v>190</v>
      </c>
      <c r="F110" s="215" t="s">
        <v>122</v>
      </c>
      <c r="G110" s="277" t="s">
        <v>149</v>
      </c>
      <c r="H110" s="187" t="s">
        <v>150</v>
      </c>
      <c r="I110" s="149">
        <f t="shared" ref="I110:AS110" si="46">(I92*$H$108)+(I103*$H$109)</f>
        <v>0.4946914261</v>
      </c>
      <c r="J110" s="149">
        <f t="shared" si="46"/>
        <v>0.6554704628</v>
      </c>
      <c r="K110" s="149">
        <f t="shared" si="46"/>
        <v>0.5700556425</v>
      </c>
      <c r="L110" s="149">
        <f t="shared" si="46"/>
        <v>0.7347176268</v>
      </c>
      <c r="M110" s="149">
        <f t="shared" si="46"/>
        <v>0.572709948</v>
      </c>
      <c r="N110" s="149">
        <f t="shared" si="46"/>
        <v>0.4507917227</v>
      </c>
      <c r="O110" s="149">
        <f t="shared" si="46"/>
        <v>0.3234368003</v>
      </c>
      <c r="P110" s="149">
        <f t="shared" si="46"/>
        <v>0.2410422018</v>
      </c>
      <c r="Q110" s="149">
        <f t="shared" si="46"/>
        <v>0.4212839628</v>
      </c>
      <c r="R110" s="149">
        <f t="shared" si="46"/>
        <v>0.8861532046</v>
      </c>
      <c r="S110" s="149">
        <f t="shared" si="46"/>
        <v>0.8688869756</v>
      </c>
      <c r="T110" s="149">
        <f t="shared" si="46"/>
        <v>0.8536108552</v>
      </c>
      <c r="U110" s="149">
        <f t="shared" si="46"/>
        <v>0.8300802334</v>
      </c>
      <c r="V110" s="149">
        <f t="shared" si="46"/>
        <v>0.7740072623</v>
      </c>
      <c r="W110" s="149">
        <f t="shared" si="46"/>
        <v>0.7990398387</v>
      </c>
      <c r="X110" s="149">
        <f t="shared" si="46"/>
        <v>0.5597284083</v>
      </c>
      <c r="Y110" s="149">
        <f t="shared" si="46"/>
        <v>0.9322131451</v>
      </c>
      <c r="Z110" s="149">
        <f t="shared" si="46"/>
        <v>0.8020437479</v>
      </c>
      <c r="AA110" s="149">
        <f t="shared" si="46"/>
        <v>0.99279198</v>
      </c>
      <c r="AB110" s="149">
        <f t="shared" si="46"/>
        <v>0.9096838264</v>
      </c>
      <c r="AC110" s="149">
        <f t="shared" si="46"/>
        <v>0.9522392063</v>
      </c>
      <c r="AD110" s="149">
        <f t="shared" si="46"/>
        <v>0.9862835102</v>
      </c>
      <c r="AE110" s="149">
        <f t="shared" si="46"/>
        <v>0.9101844779</v>
      </c>
      <c r="AF110" s="149">
        <f t="shared" si="46"/>
        <v>0.9392222665</v>
      </c>
      <c r="AG110" s="149">
        <f t="shared" si="46"/>
        <v>0.8556134614</v>
      </c>
      <c r="AH110" s="149">
        <f t="shared" si="46"/>
        <v>0.6503463349</v>
      </c>
      <c r="AI110" s="149">
        <f t="shared" si="46"/>
        <v>0.9252040237</v>
      </c>
      <c r="AJ110" s="149">
        <f t="shared" si="46"/>
        <v>0.714930382</v>
      </c>
      <c r="AK110" s="149">
        <f t="shared" si="46"/>
        <v>0.5987792275</v>
      </c>
      <c r="AL110" s="149">
        <f t="shared" si="46"/>
        <v>0.6578561078</v>
      </c>
      <c r="AM110" s="149">
        <f t="shared" si="46"/>
        <v>0.7284479732</v>
      </c>
      <c r="AN110" s="149">
        <f t="shared" si="46"/>
        <v>0.911185781</v>
      </c>
      <c r="AO110" s="149">
        <f t="shared" si="46"/>
        <v>0.7544818527</v>
      </c>
      <c r="AP110" s="149">
        <f t="shared" si="46"/>
        <v>0.7940333234</v>
      </c>
      <c r="AQ110" s="149">
        <f t="shared" si="46"/>
        <v>0.8966668866</v>
      </c>
      <c r="AR110" s="149">
        <f t="shared" si="46"/>
        <v>0.7268261753</v>
      </c>
      <c r="AS110" s="149">
        <f t="shared" si="46"/>
        <v>0.7299499278</v>
      </c>
      <c r="AT110" s="163"/>
    </row>
    <row r="111">
      <c r="A111" s="80"/>
      <c r="B111" s="81"/>
      <c r="C111" s="325"/>
      <c r="D111" s="81"/>
      <c r="E111" s="194" t="s">
        <v>194</v>
      </c>
      <c r="F111" s="195" t="s">
        <v>122</v>
      </c>
      <c r="G111" s="316" t="s">
        <v>149</v>
      </c>
      <c r="H111" s="197" t="s">
        <v>150</v>
      </c>
      <c r="I111" s="240">
        <f t="shared" ref="I111:AS111" si="47">(I93*$H$108)+(I104*$H$109)</f>
        <v>0.4511242132</v>
      </c>
      <c r="J111" s="240">
        <f t="shared" si="47"/>
        <v>0.6147602076</v>
      </c>
      <c r="K111" s="240">
        <f t="shared" si="47"/>
        <v>0.5140586301</v>
      </c>
      <c r="L111" s="240">
        <f t="shared" si="47"/>
        <v>0.6641317119</v>
      </c>
      <c r="M111" s="240">
        <f t="shared" si="47"/>
        <v>0.4927317113</v>
      </c>
      <c r="N111" s="240">
        <f t="shared" si="47"/>
        <v>0.4086989447</v>
      </c>
      <c r="O111" s="240">
        <f t="shared" si="47"/>
        <v>0.2326246465</v>
      </c>
      <c r="P111" s="240">
        <f t="shared" si="47"/>
        <v>0.2242893751</v>
      </c>
      <c r="Q111" s="240">
        <f t="shared" si="47"/>
        <v>0.3301333276</v>
      </c>
      <c r="R111" s="240">
        <f t="shared" si="47"/>
        <v>0.8566147644</v>
      </c>
      <c r="S111" s="240">
        <f t="shared" si="47"/>
        <v>0.7937136419</v>
      </c>
      <c r="T111" s="240">
        <f t="shared" si="47"/>
        <v>0.8205678544</v>
      </c>
      <c r="U111" s="240">
        <f t="shared" si="47"/>
        <v>0.7529798981</v>
      </c>
      <c r="V111" s="240">
        <f t="shared" si="47"/>
        <v>0.7564844588</v>
      </c>
      <c r="W111" s="240">
        <f t="shared" si="47"/>
        <v>0.7289486248</v>
      </c>
      <c r="X111" s="240">
        <f t="shared" si="47"/>
        <v>0.4160414198</v>
      </c>
      <c r="Y111" s="240">
        <f t="shared" si="47"/>
        <v>0.9191962054</v>
      </c>
      <c r="Z111" s="240">
        <f t="shared" si="47"/>
        <v>0.7454701252</v>
      </c>
      <c r="AA111" s="240">
        <f t="shared" si="47"/>
        <v>0.9912900254</v>
      </c>
      <c r="AB111" s="240">
        <f t="shared" si="47"/>
        <v>0.8826486439</v>
      </c>
      <c r="AC111" s="240">
        <f t="shared" si="47"/>
        <v>0.9201975085</v>
      </c>
      <c r="AD111" s="240">
        <f t="shared" si="47"/>
        <v>0.9642548429</v>
      </c>
      <c r="AE111" s="240">
        <f t="shared" si="47"/>
        <v>0.8731362648</v>
      </c>
      <c r="AF111" s="240">
        <f t="shared" si="47"/>
        <v>0.9232014176</v>
      </c>
      <c r="AG111" s="240">
        <f t="shared" si="47"/>
        <v>0.7304505794</v>
      </c>
      <c r="AH111" s="240">
        <f t="shared" si="47"/>
        <v>0.6248131069</v>
      </c>
      <c r="AI111" s="240">
        <f t="shared" si="47"/>
        <v>0.8946642805</v>
      </c>
      <c r="AJ111" s="240">
        <f t="shared" si="47"/>
        <v>0.6413346074</v>
      </c>
      <c r="AK111" s="240">
        <f t="shared" si="47"/>
        <v>0.4981482704</v>
      </c>
      <c r="AL111" s="240">
        <f t="shared" si="47"/>
        <v>0.5737466511</v>
      </c>
      <c r="AM111" s="240">
        <f t="shared" si="47"/>
        <v>0.6698717445</v>
      </c>
      <c r="AN111" s="240">
        <f t="shared" si="47"/>
        <v>0.8561141129</v>
      </c>
      <c r="AO111" s="240">
        <f t="shared" si="47"/>
        <v>0.6348261375</v>
      </c>
      <c r="AP111" s="240">
        <f t="shared" si="47"/>
        <v>0.73395514</v>
      </c>
      <c r="AQ111" s="240">
        <f t="shared" si="47"/>
        <v>0.8631232343</v>
      </c>
      <c r="AR111" s="240">
        <f t="shared" si="47"/>
        <v>0.6597100016</v>
      </c>
      <c r="AS111" s="240">
        <f t="shared" si="47"/>
        <v>0.6974075785</v>
      </c>
      <c r="AT111" s="248"/>
    </row>
    <row r="112">
      <c r="A112" s="80"/>
      <c r="B112" s="81"/>
      <c r="C112" s="325"/>
      <c r="D112" s="81"/>
      <c r="E112" s="82"/>
      <c r="F112" s="83"/>
      <c r="G112" s="84"/>
      <c r="H112" s="85"/>
      <c r="I112" s="111"/>
      <c r="J112" s="86"/>
      <c r="K112" s="86"/>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c r="AQ112" s="86"/>
      <c r="AR112" s="86"/>
      <c r="AS112" s="86"/>
      <c r="AT112" s="88"/>
    </row>
    <row r="113">
      <c r="A113" s="80"/>
      <c r="B113" s="81"/>
      <c r="C113" s="325" t="s">
        <v>634</v>
      </c>
      <c r="F113" s="83"/>
      <c r="G113" s="84"/>
      <c r="H113" s="85"/>
      <c r="I113" s="111"/>
      <c r="J113" s="86"/>
      <c r="K113" s="86"/>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c r="AQ113" s="86"/>
      <c r="AR113" s="86"/>
      <c r="AS113" s="86"/>
      <c r="AT113" s="88"/>
    </row>
    <row r="114">
      <c r="A114" s="80"/>
      <c r="B114" s="81"/>
      <c r="C114" s="325"/>
      <c r="D114" s="325"/>
      <c r="E114" s="113" t="s">
        <v>635</v>
      </c>
      <c r="F114" s="189" t="s">
        <v>122</v>
      </c>
      <c r="G114" s="263" t="s">
        <v>203</v>
      </c>
      <c r="H114" s="156">
        <f>Inputs!H83</f>
        <v>0</v>
      </c>
      <c r="I114" s="119" t="str">
        <f>Inputs!I83</f>
        <v>-</v>
      </c>
      <c r="J114" s="157" t="str">
        <f>Inputs!J83</f>
        <v>-</v>
      </c>
      <c r="K114" s="157" t="str">
        <f>Inputs!K83</f>
        <v>-</v>
      </c>
      <c r="L114" s="157" t="str">
        <f>Inputs!L83</f>
        <v>-</v>
      </c>
      <c r="M114" s="157" t="str">
        <f>Inputs!M83</f>
        <v>-</v>
      </c>
      <c r="N114" s="157" t="str">
        <f>Inputs!N83</f>
        <v>-</v>
      </c>
      <c r="O114" s="157" t="str">
        <f>Inputs!O83</f>
        <v>-</v>
      </c>
      <c r="P114" s="157" t="str">
        <f>Inputs!P83</f>
        <v>-</v>
      </c>
      <c r="Q114" s="157" t="str">
        <f>Inputs!Q83</f>
        <v>-</v>
      </c>
      <c r="R114" s="157" t="str">
        <f>Inputs!R83</f>
        <v>-</v>
      </c>
      <c r="S114" s="157" t="str">
        <f>Inputs!S83</f>
        <v>-</v>
      </c>
      <c r="T114" s="157" t="str">
        <f>Inputs!T83</f>
        <v>-</v>
      </c>
      <c r="U114" s="157" t="str">
        <f>Inputs!U83</f>
        <v>-</v>
      </c>
      <c r="V114" s="157" t="str">
        <f>Inputs!V83</f>
        <v>-</v>
      </c>
      <c r="W114" s="157" t="str">
        <f>Inputs!W83</f>
        <v>-</v>
      </c>
      <c r="X114" s="157" t="str">
        <f>Inputs!X83</f>
        <v>-</v>
      </c>
      <c r="Y114" s="157" t="str">
        <f>Inputs!Y83</f>
        <v>-</v>
      </c>
      <c r="Z114" s="157" t="str">
        <f>Inputs!Z83</f>
        <v>-</v>
      </c>
      <c r="AA114" s="157" t="str">
        <f>Inputs!AA83</f>
        <v>-</v>
      </c>
      <c r="AB114" s="157" t="str">
        <f>Inputs!AB83</f>
        <v>-</v>
      </c>
      <c r="AC114" s="157" t="str">
        <f>Inputs!AC83</f>
        <v>-</v>
      </c>
      <c r="AD114" s="157" t="str">
        <f>Inputs!AD83</f>
        <v>-</v>
      </c>
      <c r="AE114" s="157" t="str">
        <f>Inputs!AE83</f>
        <v>-</v>
      </c>
      <c r="AF114" s="157" t="str">
        <f>Inputs!AF83</f>
        <v>-</v>
      </c>
      <c r="AG114" s="157" t="str">
        <f>Inputs!AG83</f>
        <v>-</v>
      </c>
      <c r="AH114" s="157" t="str">
        <f>Inputs!AH83</f>
        <v>-</v>
      </c>
      <c r="AI114" s="157" t="str">
        <f>Inputs!AI83</f>
        <v>-</v>
      </c>
      <c r="AJ114" s="157" t="str">
        <f>Inputs!AJ83</f>
        <v>-</v>
      </c>
      <c r="AK114" s="157" t="str">
        <f>Inputs!AK83</f>
        <v>-</v>
      </c>
      <c r="AL114" s="157" t="str">
        <f>Inputs!AL83</f>
        <v>-</v>
      </c>
      <c r="AM114" s="157" t="str">
        <f>Inputs!AM83</f>
        <v>-</v>
      </c>
      <c r="AN114" s="157" t="str">
        <f>Inputs!AN83</f>
        <v>-</v>
      </c>
      <c r="AO114" s="157" t="str">
        <f>Inputs!AO83</f>
        <v>-</v>
      </c>
      <c r="AP114" s="157" t="str">
        <f>Inputs!AP83</f>
        <v>-</v>
      </c>
      <c r="AQ114" s="157" t="str">
        <f>Inputs!AQ83</f>
        <v>-</v>
      </c>
      <c r="AR114" s="157" t="str">
        <f>Inputs!AR83</f>
        <v>-</v>
      </c>
      <c r="AS114" s="157" t="str">
        <f>Inputs!AS83</f>
        <v>-</v>
      </c>
      <c r="AT114" s="136"/>
    </row>
    <row r="115">
      <c r="A115" s="80"/>
      <c r="B115" s="81"/>
      <c r="C115" s="325"/>
      <c r="D115" s="325"/>
      <c r="E115" s="224" t="s">
        <v>640</v>
      </c>
      <c r="F115" s="93" t="s">
        <v>122</v>
      </c>
      <c r="G115" s="128" t="s">
        <v>203</v>
      </c>
      <c r="H115" s="254">
        <f>Inputs!H84</f>
        <v>1</v>
      </c>
      <c r="I115" s="308" t="str">
        <f>Inputs!I84</f>
        <v>-</v>
      </c>
      <c r="J115" s="255" t="str">
        <f>Inputs!J84</f>
        <v>-</v>
      </c>
      <c r="K115" s="255" t="str">
        <f>Inputs!K84</f>
        <v>-</v>
      </c>
      <c r="L115" s="255" t="str">
        <f>Inputs!L84</f>
        <v>-</v>
      </c>
      <c r="M115" s="255" t="str">
        <f>Inputs!M84</f>
        <v>-</v>
      </c>
      <c r="N115" s="255" t="str">
        <f>Inputs!N84</f>
        <v>-</v>
      </c>
      <c r="O115" s="255" t="str">
        <f>Inputs!O84</f>
        <v>-</v>
      </c>
      <c r="P115" s="255" t="str">
        <f>Inputs!P84</f>
        <v>-</v>
      </c>
      <c r="Q115" s="255" t="str">
        <f>Inputs!Q84</f>
        <v>-</v>
      </c>
      <c r="R115" s="255" t="str">
        <f>Inputs!R84</f>
        <v>-</v>
      </c>
      <c r="S115" s="255" t="str">
        <f>Inputs!S84</f>
        <v>-</v>
      </c>
      <c r="T115" s="255" t="str">
        <f>Inputs!T84</f>
        <v>-</v>
      </c>
      <c r="U115" s="255" t="str">
        <f>Inputs!U84</f>
        <v>-</v>
      </c>
      <c r="V115" s="255" t="str">
        <f>Inputs!V84</f>
        <v>-</v>
      </c>
      <c r="W115" s="255" t="str">
        <f>Inputs!W84</f>
        <v>-</v>
      </c>
      <c r="X115" s="255" t="str">
        <f>Inputs!X84</f>
        <v>-</v>
      </c>
      <c r="Y115" s="255" t="str">
        <f>Inputs!Y84</f>
        <v>-</v>
      </c>
      <c r="Z115" s="255" t="str">
        <f>Inputs!Z84</f>
        <v>-</v>
      </c>
      <c r="AA115" s="255" t="str">
        <f>Inputs!AA84</f>
        <v>-</v>
      </c>
      <c r="AB115" s="255" t="str">
        <f>Inputs!AB84</f>
        <v>-</v>
      </c>
      <c r="AC115" s="255" t="str">
        <f>Inputs!AC84</f>
        <v>-</v>
      </c>
      <c r="AD115" s="255" t="str">
        <f>Inputs!AD84</f>
        <v>-</v>
      </c>
      <c r="AE115" s="255" t="str">
        <f>Inputs!AE84</f>
        <v>-</v>
      </c>
      <c r="AF115" s="255" t="str">
        <f>Inputs!AF84</f>
        <v>-</v>
      </c>
      <c r="AG115" s="255" t="str">
        <f>Inputs!AG84</f>
        <v>-</v>
      </c>
      <c r="AH115" s="255" t="str">
        <f>Inputs!AH84</f>
        <v>-</v>
      </c>
      <c r="AI115" s="255" t="str">
        <f>Inputs!AI84</f>
        <v>-</v>
      </c>
      <c r="AJ115" s="255" t="str">
        <f>Inputs!AJ84</f>
        <v>-</v>
      </c>
      <c r="AK115" s="255" t="str">
        <f>Inputs!AK84</f>
        <v>-</v>
      </c>
      <c r="AL115" s="255" t="str">
        <f>Inputs!AL84</f>
        <v>-</v>
      </c>
      <c r="AM115" s="255" t="str">
        <f>Inputs!AM84</f>
        <v>-</v>
      </c>
      <c r="AN115" s="255" t="str">
        <f>Inputs!AN84</f>
        <v>-</v>
      </c>
      <c r="AO115" s="255" t="str">
        <f>Inputs!AO84</f>
        <v>-</v>
      </c>
      <c r="AP115" s="255" t="str">
        <f>Inputs!AP84</f>
        <v>-</v>
      </c>
      <c r="AQ115" s="255" t="str">
        <f>Inputs!AQ84</f>
        <v>-</v>
      </c>
      <c r="AR115" s="255" t="str">
        <f>Inputs!AR84</f>
        <v>-</v>
      </c>
      <c r="AS115" s="255" t="str">
        <f>Inputs!AS84</f>
        <v>-</v>
      </c>
      <c r="AT115" s="265"/>
    </row>
    <row r="116">
      <c r="A116" s="80"/>
      <c r="B116" s="81"/>
      <c r="C116" s="325"/>
      <c r="D116" s="325"/>
      <c r="E116" s="437"/>
      <c r="F116" s="108"/>
      <c r="G116" s="84"/>
      <c r="H116" s="85"/>
      <c r="I116" s="111"/>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8"/>
    </row>
    <row r="117">
      <c r="A117" s="80"/>
      <c r="B117" s="81"/>
      <c r="C117" s="325" t="s">
        <v>644</v>
      </c>
      <c r="F117" s="83"/>
      <c r="G117" s="84"/>
      <c r="H117" s="85"/>
      <c r="I117" s="111"/>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c r="AQ117" s="86"/>
      <c r="AR117" s="86"/>
      <c r="AS117" s="86"/>
      <c r="AT117" s="88"/>
    </row>
    <row r="118">
      <c r="A118" s="80"/>
      <c r="B118" s="81"/>
      <c r="C118" s="325"/>
      <c r="D118" s="325"/>
      <c r="E118" s="224" t="s">
        <v>199</v>
      </c>
      <c r="F118" s="93" t="s">
        <v>122</v>
      </c>
      <c r="G118" s="128" t="s">
        <v>149</v>
      </c>
      <c r="H118" s="129" t="s">
        <v>150</v>
      </c>
      <c r="I118" s="308">
        <f t="shared" ref="I118:AS118" si="48">IF(I27="-",I51,(I27*$H114)+(I51*$H115))</f>
        <v>0.3084013412</v>
      </c>
      <c r="J118" s="308">
        <f t="shared" si="48"/>
        <v>0.3674782216</v>
      </c>
      <c r="K118" s="308">
        <f t="shared" si="48"/>
        <v>0.5597284083</v>
      </c>
      <c r="L118" s="308">
        <f t="shared" si="48"/>
        <v>0.5677388328</v>
      </c>
      <c r="M118" s="308">
        <f t="shared" si="48"/>
        <v>0.4055277377</v>
      </c>
      <c r="N118" s="308">
        <f t="shared" si="48"/>
        <v>0.4375694355</v>
      </c>
      <c r="O118" s="308">
        <f t="shared" si="48"/>
        <v>0.6328235314</v>
      </c>
      <c r="P118" s="308">
        <f t="shared" si="48"/>
        <v>0.1912488837</v>
      </c>
      <c r="Q118" s="308">
        <f t="shared" si="48"/>
        <v>0.4605994058</v>
      </c>
      <c r="R118" s="308">
        <f t="shared" si="48"/>
        <v>0.7499759889</v>
      </c>
      <c r="S118" s="308">
        <f t="shared" si="48"/>
        <v>0.6137987733</v>
      </c>
      <c r="T118" s="308">
        <f t="shared" si="48"/>
        <v>0.7209382003</v>
      </c>
      <c r="U118" s="308">
        <f t="shared" si="48"/>
        <v>0.6718743506</v>
      </c>
      <c r="V118" s="308">
        <f t="shared" si="48"/>
        <v>0.6648652292</v>
      </c>
      <c r="W118" s="308">
        <f t="shared" si="48"/>
        <v>0.6808860781</v>
      </c>
      <c r="X118" s="308">
        <f t="shared" si="48"/>
        <v>0.3875042827</v>
      </c>
      <c r="Y118" s="308">
        <f t="shared" si="48"/>
        <v>0.7970372326</v>
      </c>
      <c r="Z118" s="308">
        <f t="shared" si="48"/>
        <v>0.732953837</v>
      </c>
      <c r="AA118" s="308">
        <f t="shared" si="48"/>
        <v>0.9242027207</v>
      </c>
      <c r="AB118" s="308">
        <f t="shared" si="48"/>
        <v>0.7990398387</v>
      </c>
      <c r="AC118" s="308">
        <f t="shared" si="48"/>
        <v>0.9462313879</v>
      </c>
      <c r="AD118" s="308">
        <f t="shared" si="48"/>
        <v>0.7970372326</v>
      </c>
      <c r="AE118" s="308">
        <f t="shared" si="48"/>
        <v>0.8961662351</v>
      </c>
      <c r="AF118" s="308">
        <f t="shared" si="48"/>
        <v>0.7539812012</v>
      </c>
      <c r="AG118" s="308">
        <f t="shared" si="48"/>
        <v>0.7239421095</v>
      </c>
      <c r="AH118" s="308">
        <f t="shared" si="48"/>
        <v>0.642836562</v>
      </c>
      <c r="AI118" s="308">
        <f t="shared" si="48"/>
        <v>0.8641245373</v>
      </c>
      <c r="AJ118" s="308">
        <f t="shared" si="48"/>
        <v>0.5667375297</v>
      </c>
      <c r="AK118" s="308">
        <f t="shared" si="48"/>
        <v>0.5467114686</v>
      </c>
      <c r="AL118" s="308">
        <f t="shared" si="48"/>
        <v>0.5607297114</v>
      </c>
      <c r="AM118" s="308">
        <f t="shared" si="48"/>
        <v>0.660860017</v>
      </c>
      <c r="AN118" s="308">
        <f t="shared" si="48"/>
        <v>0.805047657</v>
      </c>
      <c r="AO118" s="308">
        <f t="shared" si="48"/>
        <v>0.6117961672</v>
      </c>
      <c r="AP118" s="308">
        <f t="shared" si="48"/>
        <v>0.7039160484</v>
      </c>
      <c r="AQ118" s="308">
        <f t="shared" si="48"/>
        <v>0.8471023854</v>
      </c>
      <c r="AR118" s="308">
        <f t="shared" si="48"/>
        <v>0.6548521986</v>
      </c>
      <c r="AS118" s="308">
        <f t="shared" si="48"/>
        <v>0.7139290789</v>
      </c>
      <c r="AT118" s="265"/>
    </row>
    <row r="119">
      <c r="A119" s="80"/>
      <c r="B119" s="81"/>
      <c r="C119" s="325"/>
      <c r="D119" s="81"/>
      <c r="E119" s="82"/>
      <c r="F119" s="83"/>
      <c r="G119" s="84"/>
      <c r="H119" s="85"/>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8"/>
    </row>
    <row r="120">
      <c r="A120" s="72" t="s">
        <v>648</v>
      </c>
      <c r="B120" s="14"/>
      <c r="C120" s="14"/>
      <c r="D120" s="14"/>
      <c r="E120" s="14"/>
      <c r="F120" s="14"/>
      <c r="G120" s="14"/>
      <c r="H120" s="73"/>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7"/>
      <c r="AJ120" s="97"/>
      <c r="AK120" s="97"/>
      <c r="AL120" s="97"/>
      <c r="AM120" s="97"/>
      <c r="AN120" s="97"/>
      <c r="AO120" s="97"/>
      <c r="AP120" s="97"/>
      <c r="AQ120" s="97"/>
      <c r="AR120" s="97"/>
      <c r="AS120" s="97"/>
      <c r="AT120" s="79"/>
    </row>
    <row r="121">
      <c r="A121" s="80"/>
      <c r="B121" s="81"/>
      <c r="C121" s="81"/>
      <c r="D121" s="81"/>
      <c r="E121" s="82"/>
      <c r="F121" s="83"/>
      <c r="G121" s="84"/>
      <c r="H121" s="85"/>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8"/>
    </row>
    <row r="122">
      <c r="A122" s="80"/>
      <c r="B122" s="81"/>
      <c r="C122" s="325" t="s">
        <v>650</v>
      </c>
      <c r="F122" s="83"/>
      <c r="G122" s="84"/>
      <c r="H122" s="85"/>
      <c r="I122" s="86"/>
      <c r="J122" s="86"/>
      <c r="K122" s="86"/>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c r="AQ122" s="86"/>
      <c r="AR122" s="86"/>
      <c r="AS122" s="86"/>
      <c r="AT122" s="88"/>
    </row>
    <row r="123">
      <c r="A123" s="80"/>
      <c r="B123" s="81"/>
      <c r="C123" s="81"/>
      <c r="D123" s="81"/>
      <c r="E123" s="188" t="s">
        <v>337</v>
      </c>
      <c r="F123" s="189" t="s">
        <v>122</v>
      </c>
      <c r="G123" s="263" t="s">
        <v>149</v>
      </c>
      <c r="H123" s="200" t="s">
        <v>150</v>
      </c>
      <c r="I123" s="119">
        <f t="shared" ref="I123:AS123" si="49">AVERAGE(I44,I65)</f>
        <v>0.4523656027</v>
      </c>
      <c r="J123" s="119">
        <f t="shared" si="49"/>
        <v>0.5681049406</v>
      </c>
      <c r="K123" s="119">
        <f t="shared" si="49"/>
        <v>0.4462527975</v>
      </c>
      <c r="L123" s="119">
        <f t="shared" si="49"/>
        <v>0.6486896469</v>
      </c>
      <c r="M123" s="119">
        <f t="shared" si="49"/>
        <v>0.4708392348</v>
      </c>
      <c r="N123" s="119">
        <f t="shared" si="49"/>
        <v>0.4277482077</v>
      </c>
      <c r="O123" s="119">
        <f t="shared" si="49"/>
        <v>0.4317137134</v>
      </c>
      <c r="P123" s="119">
        <f t="shared" si="49"/>
        <v>0.2504354618</v>
      </c>
      <c r="Q123" s="119">
        <f t="shared" si="49"/>
        <v>0.3495826351</v>
      </c>
      <c r="R123" s="119">
        <f t="shared" si="49"/>
        <v>0.8897432901</v>
      </c>
      <c r="S123" s="119">
        <f t="shared" si="49"/>
        <v>0.7564374042</v>
      </c>
      <c r="T123" s="119">
        <f t="shared" si="49"/>
        <v>0.8416491128</v>
      </c>
      <c r="U123" s="119">
        <f t="shared" si="49"/>
        <v>0.8662220902</v>
      </c>
      <c r="V123" s="119">
        <f t="shared" si="49"/>
        <v>0.7253869145</v>
      </c>
      <c r="W123" s="119">
        <f t="shared" si="49"/>
        <v>0.7419117799</v>
      </c>
      <c r="X123" s="119">
        <f t="shared" si="49"/>
        <v>0.7284897536</v>
      </c>
      <c r="Y123" s="119">
        <f t="shared" si="49"/>
        <v>0.9082747996</v>
      </c>
      <c r="Z123" s="119">
        <f t="shared" si="49"/>
        <v>0.8236155629</v>
      </c>
      <c r="AA123" s="119">
        <f t="shared" si="49"/>
        <v>0.9107396966</v>
      </c>
      <c r="AB123" s="119">
        <f t="shared" si="49"/>
        <v>0.9468821716</v>
      </c>
      <c r="AC123" s="119">
        <f t="shared" si="49"/>
        <v>0.9292907229</v>
      </c>
      <c r="AD123" s="119">
        <f t="shared" si="49"/>
        <v>0.9633801173</v>
      </c>
      <c r="AE123" s="119">
        <f t="shared" si="49"/>
        <v>0.91527921</v>
      </c>
      <c r="AF123" s="119">
        <f t="shared" si="49"/>
        <v>0.9533832385</v>
      </c>
      <c r="AG123" s="119">
        <f t="shared" si="49"/>
        <v>0.8295722338</v>
      </c>
      <c r="AH123" s="119">
        <f t="shared" si="49"/>
        <v>0.723426034</v>
      </c>
      <c r="AI123" s="119">
        <f t="shared" si="49"/>
        <v>0.9383455219</v>
      </c>
      <c r="AJ123" s="119">
        <f t="shared" si="49"/>
        <v>0.7163610542</v>
      </c>
      <c r="AK123" s="119">
        <f t="shared" si="49"/>
        <v>0.5249392114</v>
      </c>
      <c r="AL123" s="119">
        <f t="shared" si="49"/>
        <v>0.7630306711</v>
      </c>
      <c r="AM123" s="119">
        <f t="shared" si="49"/>
        <v>0.792589974</v>
      </c>
      <c r="AN123" s="119">
        <f t="shared" si="49"/>
        <v>0.9042648764</v>
      </c>
      <c r="AO123" s="119">
        <f t="shared" si="49"/>
        <v>0.7995587158</v>
      </c>
      <c r="AP123" s="119">
        <f t="shared" si="49"/>
        <v>0.8406323309</v>
      </c>
      <c r="AQ123" s="119">
        <f t="shared" si="49"/>
        <v>0.8631744365</v>
      </c>
      <c r="AR123" s="119">
        <f t="shared" si="49"/>
        <v>0.554989071</v>
      </c>
      <c r="AS123" s="119">
        <f t="shared" si="49"/>
        <v>0.4582058459</v>
      </c>
      <c r="AT123" s="419"/>
    </row>
    <row r="124">
      <c r="A124" s="80"/>
      <c r="B124" s="81"/>
      <c r="C124" s="81"/>
      <c r="D124" s="81"/>
      <c r="E124" s="188" t="s">
        <v>653</v>
      </c>
      <c r="F124" s="189" t="s">
        <v>122</v>
      </c>
      <c r="G124" s="263" t="s">
        <v>149</v>
      </c>
      <c r="H124" s="200" t="s">
        <v>150</v>
      </c>
      <c r="I124" s="119">
        <f t="shared" ref="I124:AS124" si="50">AVERAGE(I45,I66)</f>
        <v>0.388743152</v>
      </c>
      <c r="J124" s="119">
        <f t="shared" si="50"/>
        <v>0.4954451888</v>
      </c>
      <c r="K124" s="119">
        <f t="shared" si="50"/>
        <v>0.4051583197</v>
      </c>
      <c r="L124" s="119">
        <f t="shared" si="50"/>
        <v>0.5825518247</v>
      </c>
      <c r="M124" s="119">
        <f t="shared" si="50"/>
        <v>0.4147272301</v>
      </c>
      <c r="N124" s="119">
        <f t="shared" si="50"/>
        <v>0.4067188246</v>
      </c>
      <c r="O124" s="119">
        <f t="shared" si="50"/>
        <v>0.3991552123</v>
      </c>
      <c r="P124" s="119">
        <f t="shared" si="50"/>
        <v>0.191312145</v>
      </c>
      <c r="Q124" s="119">
        <f t="shared" si="50"/>
        <v>0.2989878921</v>
      </c>
      <c r="R124" s="119">
        <f t="shared" si="50"/>
        <v>0.8506554563</v>
      </c>
      <c r="S124" s="119">
        <f t="shared" si="50"/>
        <v>0.6592383245</v>
      </c>
      <c r="T124" s="119">
        <f t="shared" si="50"/>
        <v>0.8336238825</v>
      </c>
      <c r="U124" s="119">
        <f t="shared" si="50"/>
        <v>0.8637255625</v>
      </c>
      <c r="V124" s="119">
        <f t="shared" si="50"/>
        <v>0.6948155407</v>
      </c>
      <c r="W124" s="119">
        <f t="shared" si="50"/>
        <v>0.7469310821</v>
      </c>
      <c r="X124" s="119">
        <f t="shared" si="50"/>
        <v>0.6553428101</v>
      </c>
      <c r="Y124" s="119">
        <f t="shared" si="50"/>
        <v>0.8847125471</v>
      </c>
      <c r="Z124" s="119">
        <f t="shared" si="50"/>
        <v>0.7850303996</v>
      </c>
      <c r="AA124" s="119">
        <f t="shared" si="50"/>
        <v>0.895701307</v>
      </c>
      <c r="AB124" s="119">
        <f t="shared" si="50"/>
        <v>0.9057742339</v>
      </c>
      <c r="AC124" s="119">
        <f t="shared" si="50"/>
        <v>0.9102700028</v>
      </c>
      <c r="AD124" s="119">
        <f t="shared" si="50"/>
        <v>0.9187662729</v>
      </c>
      <c r="AE124" s="119">
        <f t="shared" si="50"/>
        <v>0.8927512372</v>
      </c>
      <c r="AF124" s="119">
        <f t="shared" si="50"/>
        <v>0.9127799903</v>
      </c>
      <c r="AG124" s="119">
        <f t="shared" si="50"/>
        <v>0.7509053366</v>
      </c>
      <c r="AH124" s="119">
        <f t="shared" si="50"/>
        <v>0.6868697235</v>
      </c>
      <c r="AI124" s="119">
        <f t="shared" si="50"/>
        <v>0.931841763</v>
      </c>
      <c r="AJ124" s="119">
        <f t="shared" si="50"/>
        <v>0.6427154781</v>
      </c>
      <c r="AK124" s="119">
        <f t="shared" si="50"/>
        <v>0.4928853998</v>
      </c>
      <c r="AL124" s="119">
        <f t="shared" si="50"/>
        <v>0.6903763032</v>
      </c>
      <c r="AM124" s="119">
        <f t="shared" si="50"/>
        <v>0.7504901551</v>
      </c>
      <c r="AN124" s="119">
        <f t="shared" si="50"/>
        <v>0.874196173</v>
      </c>
      <c r="AO124" s="119">
        <f t="shared" si="50"/>
        <v>0.7249077988</v>
      </c>
      <c r="AP124" s="119">
        <f t="shared" si="50"/>
        <v>0.7509470622</v>
      </c>
      <c r="AQ124" s="119">
        <f t="shared" si="50"/>
        <v>0.8596698758</v>
      </c>
      <c r="AR124" s="119">
        <f t="shared" si="50"/>
        <v>0.5379413453</v>
      </c>
      <c r="AS124" s="119">
        <f t="shared" si="50"/>
        <v>0.4572126187</v>
      </c>
      <c r="AT124" s="419"/>
    </row>
    <row r="125">
      <c r="A125" s="80"/>
      <c r="B125" s="81"/>
      <c r="C125" s="81"/>
      <c r="D125" s="81"/>
      <c r="E125" s="188" t="s">
        <v>656</v>
      </c>
      <c r="F125" s="189" t="s">
        <v>122</v>
      </c>
      <c r="G125" s="263" t="s">
        <v>149</v>
      </c>
      <c r="H125" s="200" t="s">
        <v>150</v>
      </c>
      <c r="I125" s="119">
        <f t="shared" ref="I125:AS125" si="51">AVERAGE(I46,I67)</f>
        <v>0.3145787537</v>
      </c>
      <c r="J125" s="119">
        <f t="shared" si="51"/>
        <v>0.4022190178</v>
      </c>
      <c r="K125" s="119">
        <f t="shared" si="51"/>
        <v>0.3274866686</v>
      </c>
      <c r="L125" s="119">
        <f t="shared" si="51"/>
        <v>0.4958637353</v>
      </c>
      <c r="M125" s="119">
        <f t="shared" si="51"/>
        <v>0.3400830429</v>
      </c>
      <c r="N125" s="119">
        <f t="shared" si="51"/>
        <v>0.3250459993</v>
      </c>
      <c r="O125" s="119">
        <f t="shared" si="51"/>
        <v>0.3761016873</v>
      </c>
      <c r="P125" s="119">
        <f t="shared" si="51"/>
        <v>0.1181887562</v>
      </c>
      <c r="Q125" s="119">
        <f t="shared" si="51"/>
        <v>0.2243558188</v>
      </c>
      <c r="R125" s="119">
        <f t="shared" si="51"/>
        <v>0.7744689351</v>
      </c>
      <c r="S125" s="119">
        <f t="shared" si="51"/>
        <v>0.5856001514</v>
      </c>
      <c r="T125" s="119">
        <f t="shared" si="51"/>
        <v>0.7800084055</v>
      </c>
      <c r="U125" s="119">
        <f t="shared" si="51"/>
        <v>0.7905826569</v>
      </c>
      <c r="V125" s="119">
        <f t="shared" si="51"/>
        <v>0.632661395</v>
      </c>
      <c r="W125" s="119">
        <f t="shared" si="51"/>
        <v>0.671273478</v>
      </c>
      <c r="X125" s="119">
        <f t="shared" si="51"/>
        <v>0.5471415107</v>
      </c>
      <c r="Y125" s="119">
        <f t="shared" si="51"/>
        <v>0.8451166589</v>
      </c>
      <c r="Z125" s="119">
        <f t="shared" si="51"/>
        <v>0.6973356231</v>
      </c>
      <c r="AA125" s="119">
        <f t="shared" si="51"/>
        <v>0.8275218452</v>
      </c>
      <c r="AB125" s="119">
        <f t="shared" si="51"/>
        <v>0.8862319995</v>
      </c>
      <c r="AC125" s="119">
        <f t="shared" si="51"/>
        <v>0.8736753317</v>
      </c>
      <c r="AD125" s="119">
        <f t="shared" si="51"/>
        <v>0.8781711006</v>
      </c>
      <c r="AE125" s="119">
        <f t="shared" si="51"/>
        <v>0.7970204626</v>
      </c>
      <c r="AF125" s="119">
        <f t="shared" si="51"/>
        <v>0.8260569052</v>
      </c>
      <c r="AG125" s="119">
        <f t="shared" si="51"/>
        <v>0.6091126024</v>
      </c>
      <c r="AH125" s="119">
        <f t="shared" si="51"/>
        <v>0.6282295605</v>
      </c>
      <c r="AI125" s="119">
        <f t="shared" si="51"/>
        <v>0.8802208162</v>
      </c>
      <c r="AJ125" s="119">
        <f t="shared" si="51"/>
        <v>0.5480135992</v>
      </c>
      <c r="AK125" s="119">
        <f t="shared" si="51"/>
        <v>0.4022291127</v>
      </c>
      <c r="AL125" s="119">
        <f t="shared" si="51"/>
        <v>0.5856580288</v>
      </c>
      <c r="AM125" s="119">
        <f t="shared" si="51"/>
        <v>0.6993900497</v>
      </c>
      <c r="AN125" s="119">
        <f t="shared" si="51"/>
        <v>0.7709448576</v>
      </c>
      <c r="AO125" s="119">
        <f t="shared" si="51"/>
        <v>0.6467778947</v>
      </c>
      <c r="AP125" s="119">
        <f t="shared" si="51"/>
        <v>0.6762638415</v>
      </c>
      <c r="AQ125" s="119">
        <f t="shared" si="51"/>
        <v>0.8010317317</v>
      </c>
      <c r="AR125" s="119">
        <f t="shared" si="51"/>
        <v>0.4271903519</v>
      </c>
      <c r="AS125" s="119">
        <f t="shared" si="51"/>
        <v>0.4131135587</v>
      </c>
      <c r="AT125" s="419"/>
    </row>
    <row r="126">
      <c r="A126" s="80"/>
      <c r="B126" s="81"/>
      <c r="C126" s="81"/>
      <c r="D126" s="81"/>
      <c r="E126" s="188" t="s">
        <v>662</v>
      </c>
      <c r="F126" s="189" t="s">
        <v>122</v>
      </c>
      <c r="G126" s="263" t="s">
        <v>149</v>
      </c>
      <c r="H126" s="200" t="s">
        <v>150</v>
      </c>
      <c r="I126" s="119">
        <f t="shared" ref="I126:AS126" si="52">AVERAGE(I47,I68)</f>
        <v>0.2494489645</v>
      </c>
      <c r="J126" s="119">
        <f t="shared" si="52"/>
        <v>0.3155787107</v>
      </c>
      <c r="K126" s="119">
        <f t="shared" si="52"/>
        <v>0.2799119866</v>
      </c>
      <c r="L126" s="119">
        <f t="shared" si="52"/>
        <v>0.4497836049</v>
      </c>
      <c r="M126" s="119">
        <f t="shared" si="52"/>
        <v>0.2919868466</v>
      </c>
      <c r="N126" s="119">
        <f t="shared" si="52"/>
        <v>0.2669286965</v>
      </c>
      <c r="O126" s="119">
        <f t="shared" si="52"/>
        <v>0.3325086627</v>
      </c>
      <c r="P126" s="119">
        <f t="shared" si="52"/>
        <v>0.07211333681</v>
      </c>
      <c r="Q126" s="119">
        <f t="shared" si="52"/>
        <v>0.1687794613</v>
      </c>
      <c r="R126" s="119">
        <f t="shared" si="52"/>
        <v>0.6502144832</v>
      </c>
      <c r="S126" s="119">
        <f t="shared" si="52"/>
        <v>0.4598531668</v>
      </c>
      <c r="T126" s="119">
        <f t="shared" si="52"/>
        <v>0.7088822389</v>
      </c>
      <c r="U126" s="119">
        <f t="shared" si="52"/>
        <v>0.7504888092</v>
      </c>
      <c r="V126" s="119">
        <f t="shared" si="52"/>
        <v>0.5650216183</v>
      </c>
      <c r="W126" s="119">
        <f t="shared" si="52"/>
        <v>0.6021694343</v>
      </c>
      <c r="X126" s="119">
        <f t="shared" si="52"/>
        <v>0.3898279062</v>
      </c>
      <c r="Y126" s="119">
        <f t="shared" si="52"/>
        <v>0.7239091877</v>
      </c>
      <c r="Z126" s="119">
        <f t="shared" si="52"/>
        <v>0.6367130437</v>
      </c>
      <c r="AA126" s="119">
        <f t="shared" si="52"/>
        <v>0.7668635972</v>
      </c>
      <c r="AB126" s="119">
        <f t="shared" si="52"/>
        <v>0.7875255814</v>
      </c>
      <c r="AC126" s="119">
        <f t="shared" si="52"/>
        <v>0.787009451</v>
      </c>
      <c r="AD126" s="119">
        <f t="shared" si="52"/>
        <v>0.8245690835</v>
      </c>
      <c r="AE126" s="119">
        <f t="shared" si="52"/>
        <v>0.7278888262</v>
      </c>
      <c r="AF126" s="119">
        <f t="shared" si="52"/>
        <v>0.7734474422</v>
      </c>
      <c r="AG126" s="119">
        <f t="shared" si="52"/>
        <v>0.5089203815</v>
      </c>
      <c r="AH126" s="119">
        <f t="shared" si="52"/>
        <v>0.5220093314</v>
      </c>
      <c r="AI126" s="119">
        <f t="shared" si="52"/>
        <v>0.8261141096</v>
      </c>
      <c r="AJ126" s="119">
        <f t="shared" si="52"/>
        <v>0.4453140827</v>
      </c>
      <c r="AK126" s="119">
        <f t="shared" si="52"/>
        <v>0.2975216061</v>
      </c>
      <c r="AL126" s="119">
        <f t="shared" si="52"/>
        <v>0.4679591562</v>
      </c>
      <c r="AM126" s="119">
        <f t="shared" si="52"/>
        <v>0.645284689</v>
      </c>
      <c r="AN126" s="119">
        <f t="shared" si="52"/>
        <v>0.7088257076</v>
      </c>
      <c r="AO126" s="119">
        <f t="shared" si="52"/>
        <v>0.556087285</v>
      </c>
      <c r="AP126" s="119">
        <f t="shared" si="52"/>
        <v>0.5540247825</v>
      </c>
      <c r="AQ126" s="119">
        <f t="shared" si="52"/>
        <v>0.7218830268</v>
      </c>
      <c r="AR126" s="119">
        <f t="shared" si="52"/>
        <v>0.344558622</v>
      </c>
      <c r="AS126" s="119">
        <f t="shared" si="52"/>
        <v>0.3650335143</v>
      </c>
      <c r="AT126" s="419"/>
    </row>
    <row r="127">
      <c r="A127" s="80"/>
      <c r="B127" s="81"/>
      <c r="C127" s="81"/>
      <c r="D127" s="81"/>
      <c r="E127" s="188" t="s">
        <v>665</v>
      </c>
      <c r="F127" s="189" t="s">
        <v>122</v>
      </c>
      <c r="G127" s="263" t="s">
        <v>149</v>
      </c>
      <c r="H127" s="200" t="s">
        <v>150</v>
      </c>
      <c r="I127" s="119">
        <f t="shared" ref="I127:AS127" si="53">AVERAGE(I48,I80)</f>
        <v>0.3598823902</v>
      </c>
      <c r="J127" s="119">
        <f t="shared" si="53"/>
        <v>0.4631483949</v>
      </c>
      <c r="K127" s="119">
        <f t="shared" si="53"/>
        <v>0.377027596</v>
      </c>
      <c r="L127" s="119">
        <f t="shared" si="53"/>
        <v>0.5769071942</v>
      </c>
      <c r="M127" s="119">
        <f t="shared" si="53"/>
        <v>0.4077226311</v>
      </c>
      <c r="N127" s="119">
        <f t="shared" si="53"/>
        <v>0.3737128548</v>
      </c>
      <c r="O127" s="119">
        <f t="shared" si="53"/>
        <v>0.3933652964</v>
      </c>
      <c r="P127" s="119">
        <f t="shared" si="53"/>
        <v>0.1497524201</v>
      </c>
      <c r="Q127" s="119">
        <f t="shared" si="53"/>
        <v>0.3071544015</v>
      </c>
      <c r="R127" s="119">
        <f t="shared" si="53"/>
        <v>0.8324037516</v>
      </c>
      <c r="S127" s="119">
        <f t="shared" si="53"/>
        <v>0.6597506401</v>
      </c>
      <c r="T127" s="119">
        <f t="shared" si="53"/>
        <v>0.8113042068</v>
      </c>
      <c r="U127" s="119">
        <f t="shared" si="53"/>
        <v>0.861732457</v>
      </c>
      <c r="V127" s="119">
        <f t="shared" si="53"/>
        <v>0.6697630087</v>
      </c>
      <c r="W127" s="119">
        <f t="shared" si="53"/>
        <v>0.7231054215</v>
      </c>
      <c r="X127" s="119">
        <f t="shared" si="53"/>
        <v>0.648123643</v>
      </c>
      <c r="Y127" s="119">
        <f t="shared" si="53"/>
        <v>0.8893859307</v>
      </c>
      <c r="Z127" s="119">
        <f t="shared" si="53"/>
        <v>0.7487516352</v>
      </c>
      <c r="AA127" s="119">
        <f t="shared" si="53"/>
        <v>0.8426731542</v>
      </c>
      <c r="AB127" s="119">
        <f t="shared" si="53"/>
        <v>0.8910843265</v>
      </c>
      <c r="AC127" s="119">
        <f t="shared" si="53"/>
        <v>0.8948084862</v>
      </c>
      <c r="AD127" s="119">
        <f t="shared" si="53"/>
        <v>0.9324394708</v>
      </c>
      <c r="AE127" s="119">
        <f t="shared" si="53"/>
        <v>0.8590194906</v>
      </c>
      <c r="AF127" s="119">
        <f t="shared" si="53"/>
        <v>0.8847705444</v>
      </c>
      <c r="AG127" s="119">
        <f t="shared" si="53"/>
        <v>0.7368281958</v>
      </c>
      <c r="AH127" s="119">
        <f t="shared" si="53"/>
        <v>0.6343609418</v>
      </c>
      <c r="AI127" s="119">
        <f t="shared" si="53"/>
        <v>0.9178327291</v>
      </c>
      <c r="AJ127" s="119">
        <f t="shared" si="53"/>
        <v>0.6254686729</v>
      </c>
      <c r="AK127" s="119">
        <f t="shared" si="53"/>
        <v>0.4522121285</v>
      </c>
      <c r="AL127" s="119">
        <f t="shared" si="53"/>
        <v>0.6805650245</v>
      </c>
      <c r="AM127" s="119">
        <f t="shared" si="53"/>
        <v>0.7474204105</v>
      </c>
      <c r="AN127" s="119">
        <f t="shared" si="53"/>
        <v>0.8318914968</v>
      </c>
      <c r="AO127" s="119">
        <f t="shared" si="53"/>
        <v>0.7283377504</v>
      </c>
      <c r="AP127" s="119">
        <f t="shared" si="53"/>
        <v>0.719785178</v>
      </c>
      <c r="AQ127" s="119">
        <f t="shared" si="53"/>
        <v>0.8375287543</v>
      </c>
      <c r="AR127" s="119">
        <f t="shared" si="53"/>
        <v>0.5053953977</v>
      </c>
      <c r="AS127" s="119">
        <f t="shared" si="53"/>
        <v>0.4293589592</v>
      </c>
      <c r="AT127" s="419"/>
    </row>
    <row r="128">
      <c r="A128" s="80"/>
      <c r="B128" s="81"/>
      <c r="C128" s="81"/>
      <c r="D128" s="81"/>
      <c r="E128" s="188" t="s">
        <v>668</v>
      </c>
      <c r="F128" s="189" t="s">
        <v>122</v>
      </c>
      <c r="G128" s="263" t="s">
        <v>149</v>
      </c>
      <c r="H128" s="200" t="s">
        <v>150</v>
      </c>
      <c r="I128" s="119">
        <f t="shared" ref="I128:AS128" si="54">AVERAGE(I49,I81)</f>
        <v>0.3295308633</v>
      </c>
      <c r="J128" s="119">
        <f t="shared" si="54"/>
        <v>0.4143492346</v>
      </c>
      <c r="K128" s="119">
        <f t="shared" si="54"/>
        <v>0.3452975508</v>
      </c>
      <c r="L128" s="119">
        <f t="shared" si="54"/>
        <v>0.5184152148</v>
      </c>
      <c r="M128" s="119">
        <f t="shared" si="54"/>
        <v>0.3492624009</v>
      </c>
      <c r="N128" s="119">
        <f t="shared" si="54"/>
        <v>0.3167180371</v>
      </c>
      <c r="O128" s="119">
        <f t="shared" si="54"/>
        <v>0.3755450564</v>
      </c>
      <c r="P128" s="119">
        <f t="shared" si="54"/>
        <v>0.09754515435</v>
      </c>
      <c r="Q128" s="119">
        <f t="shared" si="54"/>
        <v>0.2375595044</v>
      </c>
      <c r="R128" s="119">
        <f t="shared" si="54"/>
        <v>0.797720262</v>
      </c>
      <c r="S128" s="119">
        <f t="shared" si="54"/>
        <v>0.5908610151</v>
      </c>
      <c r="T128" s="119">
        <f t="shared" si="54"/>
        <v>0.7853193745</v>
      </c>
      <c r="U128" s="119">
        <f t="shared" si="54"/>
        <v>0.7796132</v>
      </c>
      <c r="V128" s="119">
        <f t="shared" si="54"/>
        <v>0.6523891304</v>
      </c>
      <c r="W128" s="119">
        <f t="shared" si="54"/>
        <v>0.652446643</v>
      </c>
      <c r="X128" s="119">
        <f t="shared" si="54"/>
        <v>0.4545282691</v>
      </c>
      <c r="Y128" s="119">
        <f t="shared" si="54"/>
        <v>0.876967008</v>
      </c>
      <c r="Z128" s="119">
        <f t="shared" si="54"/>
        <v>0.6939188134</v>
      </c>
      <c r="AA128" s="119">
        <f t="shared" si="54"/>
        <v>0.8409742164</v>
      </c>
      <c r="AB128" s="119">
        <f t="shared" si="54"/>
        <v>0.8512593287</v>
      </c>
      <c r="AC128" s="119">
        <f t="shared" si="54"/>
        <v>0.8377129656</v>
      </c>
      <c r="AD128" s="119">
        <f t="shared" si="54"/>
        <v>0.9078268553</v>
      </c>
      <c r="AE128" s="119">
        <f t="shared" si="54"/>
        <v>0.8204435879</v>
      </c>
      <c r="AF128" s="119">
        <f t="shared" si="54"/>
        <v>0.8630061353</v>
      </c>
      <c r="AG128" s="119">
        <f t="shared" si="54"/>
        <v>0.6254775357</v>
      </c>
      <c r="AH128" s="119">
        <f t="shared" si="54"/>
        <v>0.6054356787</v>
      </c>
      <c r="AI128" s="119">
        <f t="shared" si="54"/>
        <v>0.8800863615</v>
      </c>
      <c r="AJ128" s="119">
        <f t="shared" si="54"/>
        <v>0.55930485</v>
      </c>
      <c r="AK128" s="119">
        <f t="shared" si="54"/>
        <v>0.391655026</v>
      </c>
      <c r="AL128" s="119">
        <f t="shared" si="54"/>
        <v>0.5953629117</v>
      </c>
      <c r="AM128" s="119">
        <f t="shared" si="54"/>
        <v>0.6800385427</v>
      </c>
      <c r="AN128" s="119">
        <f t="shared" si="54"/>
        <v>0.7602716991</v>
      </c>
      <c r="AO128" s="119">
        <f t="shared" si="54"/>
        <v>0.6071097627</v>
      </c>
      <c r="AP128" s="119">
        <f t="shared" si="54"/>
        <v>0.6291252128</v>
      </c>
      <c r="AQ128" s="119">
        <f t="shared" si="54"/>
        <v>0.798225729</v>
      </c>
      <c r="AR128" s="119">
        <f t="shared" si="54"/>
        <v>0.4418640554</v>
      </c>
      <c r="AS128" s="119">
        <f t="shared" si="54"/>
        <v>0.4061020156</v>
      </c>
      <c r="AT128" s="419"/>
    </row>
    <row r="129">
      <c r="A129" s="80"/>
      <c r="B129" s="81"/>
      <c r="C129" s="81"/>
      <c r="D129" s="81"/>
      <c r="E129" s="188" t="s">
        <v>671</v>
      </c>
      <c r="F129" s="189" t="s">
        <v>122</v>
      </c>
      <c r="G129" s="263" t="s">
        <v>149</v>
      </c>
      <c r="H129" s="200" t="s">
        <v>150</v>
      </c>
      <c r="I129" s="119">
        <f t="shared" ref="I129:AS129" si="55">AVERAGE(I50,I82)</f>
        <v>0.271429369</v>
      </c>
      <c r="J129" s="119">
        <f t="shared" si="55"/>
        <v>0.3273980033</v>
      </c>
      <c r="K129" s="119">
        <f t="shared" si="55"/>
        <v>0.3005021928</v>
      </c>
      <c r="L129" s="119">
        <f t="shared" si="55"/>
        <v>0.4727433953</v>
      </c>
      <c r="M129" s="119">
        <f t="shared" si="55"/>
        <v>0.2990465621</v>
      </c>
      <c r="N129" s="119">
        <f t="shared" si="55"/>
        <v>0.2820882745</v>
      </c>
      <c r="O129" s="119">
        <f t="shared" si="55"/>
        <v>0.3557447898</v>
      </c>
      <c r="P129" s="119">
        <f t="shared" si="55"/>
        <v>0.06869377067</v>
      </c>
      <c r="Q129" s="119">
        <f t="shared" si="55"/>
        <v>0.1793406963</v>
      </c>
      <c r="R129" s="119">
        <f t="shared" si="55"/>
        <v>0.6233654221</v>
      </c>
      <c r="S129" s="119">
        <f t="shared" si="55"/>
        <v>0.475161773</v>
      </c>
      <c r="T129" s="119">
        <f t="shared" si="55"/>
        <v>0.678492842</v>
      </c>
      <c r="U129" s="119">
        <f t="shared" si="55"/>
        <v>0.7650604202</v>
      </c>
      <c r="V129" s="119">
        <f t="shared" si="55"/>
        <v>0.5776814537</v>
      </c>
      <c r="W129" s="119">
        <f t="shared" si="55"/>
        <v>0.5166349649</v>
      </c>
      <c r="X129" s="119">
        <f t="shared" si="55"/>
        <v>0.3667490002</v>
      </c>
      <c r="Y129" s="119">
        <f t="shared" si="55"/>
        <v>0.6992808822</v>
      </c>
      <c r="Z129" s="119">
        <f t="shared" si="55"/>
        <v>0.6551576808</v>
      </c>
      <c r="AA129" s="119">
        <f t="shared" si="55"/>
        <v>0.8384258097</v>
      </c>
      <c r="AB129" s="119">
        <f t="shared" si="55"/>
        <v>0.7706137081</v>
      </c>
      <c r="AC129" s="119">
        <f t="shared" si="55"/>
        <v>0.7768734765</v>
      </c>
      <c r="AD129" s="119">
        <f t="shared" si="55"/>
        <v>0.8576549853</v>
      </c>
      <c r="AE129" s="119">
        <f t="shared" si="55"/>
        <v>0.7489370367</v>
      </c>
      <c r="AF129" s="119">
        <f t="shared" si="55"/>
        <v>0.8090682518</v>
      </c>
      <c r="AG129" s="119">
        <f t="shared" si="55"/>
        <v>0.5402246866</v>
      </c>
      <c r="AH129" s="119">
        <f t="shared" si="55"/>
        <v>0.5306289639</v>
      </c>
      <c r="AI129" s="119">
        <f t="shared" si="55"/>
        <v>0.7936670461</v>
      </c>
      <c r="AJ129" s="119">
        <f t="shared" si="55"/>
        <v>0.4472674431</v>
      </c>
      <c r="AK129" s="119">
        <f t="shared" si="55"/>
        <v>0.3114365267</v>
      </c>
      <c r="AL129" s="119">
        <f t="shared" si="55"/>
        <v>0.4165436626</v>
      </c>
      <c r="AM129" s="119">
        <f t="shared" si="55"/>
        <v>0.6323529132</v>
      </c>
      <c r="AN129" s="119">
        <f t="shared" si="55"/>
        <v>0.6326415467</v>
      </c>
      <c r="AO129" s="119">
        <f t="shared" si="55"/>
        <v>0.5527996242</v>
      </c>
      <c r="AP129" s="119">
        <f t="shared" si="55"/>
        <v>0.5586119066</v>
      </c>
      <c r="AQ129" s="119">
        <f t="shared" si="55"/>
        <v>0.7383354046</v>
      </c>
      <c r="AR129" s="119">
        <f t="shared" si="55"/>
        <v>0.359772995</v>
      </c>
      <c r="AS129" s="119">
        <f t="shared" si="55"/>
        <v>0.3762854212</v>
      </c>
      <c r="AT129" s="419"/>
    </row>
    <row r="130">
      <c r="A130" s="80"/>
      <c r="B130" s="81"/>
      <c r="C130" s="81"/>
      <c r="D130" s="81"/>
      <c r="E130" s="188" t="s">
        <v>674</v>
      </c>
      <c r="F130" s="189" t="str">
        <f>Inputs!F79</f>
        <v>%</v>
      </c>
      <c r="G130" s="263" t="str">
        <f>Inputs!G79</f>
        <v>input</v>
      </c>
      <c r="H130" s="191">
        <f>Inputs!H79</f>
        <v>0</v>
      </c>
      <c r="I130" s="450" t="str">
        <f>Inputs!I79</f>
        <v>-</v>
      </c>
      <c r="J130" s="450" t="str">
        <f>Inputs!J79</f>
        <v>-</v>
      </c>
      <c r="K130" s="450" t="str">
        <f>Inputs!K79</f>
        <v>-</v>
      </c>
      <c r="L130" s="450" t="str">
        <f>Inputs!L79</f>
        <v>-</v>
      </c>
      <c r="M130" s="450" t="str">
        <f>Inputs!M79</f>
        <v>-</v>
      </c>
      <c r="N130" s="450" t="str">
        <f>Inputs!N79</f>
        <v>-</v>
      </c>
      <c r="O130" s="450" t="str">
        <f>Inputs!O79</f>
        <v>-</v>
      </c>
      <c r="P130" s="450" t="str">
        <f>Inputs!P79</f>
        <v>-</v>
      </c>
      <c r="Q130" s="450" t="str">
        <f>Inputs!Q79</f>
        <v>-</v>
      </c>
      <c r="R130" s="450" t="str">
        <f>Inputs!R79</f>
        <v>-</v>
      </c>
      <c r="S130" s="450" t="str">
        <f>Inputs!S79</f>
        <v>-</v>
      </c>
      <c r="T130" s="450" t="str">
        <f>Inputs!T79</f>
        <v>-</v>
      </c>
      <c r="U130" s="450" t="str">
        <f>Inputs!U79</f>
        <v>-</v>
      </c>
      <c r="V130" s="450" t="str">
        <f>Inputs!V79</f>
        <v>-</v>
      </c>
      <c r="W130" s="450" t="str">
        <f>Inputs!W79</f>
        <v>-</v>
      </c>
      <c r="X130" s="450" t="str">
        <f>Inputs!X79</f>
        <v>-</v>
      </c>
      <c r="Y130" s="450" t="str">
        <f>Inputs!Y79</f>
        <v>-</v>
      </c>
      <c r="Z130" s="450" t="str">
        <f>Inputs!Z79</f>
        <v>-</v>
      </c>
      <c r="AA130" s="450" t="str">
        <f>Inputs!AA79</f>
        <v>-</v>
      </c>
      <c r="AB130" s="450" t="str">
        <f>Inputs!AB79</f>
        <v>-</v>
      </c>
      <c r="AC130" s="450" t="str">
        <f>Inputs!AC79</f>
        <v>-</v>
      </c>
      <c r="AD130" s="450" t="str">
        <f>Inputs!AD79</f>
        <v>-</v>
      </c>
      <c r="AE130" s="450" t="str">
        <f>Inputs!AE79</f>
        <v>-</v>
      </c>
      <c r="AF130" s="450" t="str">
        <f>Inputs!AF79</f>
        <v>-</v>
      </c>
      <c r="AG130" s="450" t="str">
        <f>Inputs!AG79</f>
        <v>-</v>
      </c>
      <c r="AH130" s="450" t="str">
        <f>Inputs!AH79</f>
        <v>-</v>
      </c>
      <c r="AI130" s="450" t="str">
        <f>Inputs!AI79</f>
        <v>-</v>
      </c>
      <c r="AJ130" s="450" t="str">
        <f>Inputs!AJ79</f>
        <v>-</v>
      </c>
      <c r="AK130" s="450" t="str">
        <f>Inputs!AK79</f>
        <v>-</v>
      </c>
      <c r="AL130" s="450" t="str">
        <f>Inputs!AL79</f>
        <v>-</v>
      </c>
      <c r="AM130" s="450" t="str">
        <f>Inputs!AM79</f>
        <v>-</v>
      </c>
      <c r="AN130" s="450" t="str">
        <f>Inputs!AN79</f>
        <v>-</v>
      </c>
      <c r="AO130" s="450" t="str">
        <f>Inputs!AO79</f>
        <v>-</v>
      </c>
      <c r="AP130" s="450" t="str">
        <f>Inputs!AP79</f>
        <v>-</v>
      </c>
      <c r="AQ130" s="450" t="str">
        <f>Inputs!AQ79</f>
        <v>-</v>
      </c>
      <c r="AR130" s="450" t="str">
        <f>Inputs!AR79</f>
        <v>-</v>
      </c>
      <c r="AS130" s="450" t="str">
        <f>Inputs!AS79</f>
        <v>-</v>
      </c>
      <c r="AT130" s="419"/>
    </row>
    <row r="131">
      <c r="A131" s="80"/>
      <c r="B131" s="81"/>
      <c r="C131" s="81"/>
      <c r="D131" s="81"/>
      <c r="E131" s="188" t="s">
        <v>682</v>
      </c>
      <c r="F131" s="189" t="str">
        <f>Inputs!F80</f>
        <v>%</v>
      </c>
      <c r="G131" s="263" t="str">
        <f>Inputs!G80</f>
        <v>input</v>
      </c>
      <c r="H131" s="191">
        <f>Inputs!H80</f>
        <v>0</v>
      </c>
      <c r="I131" s="450" t="str">
        <f>Inputs!I80</f>
        <v>-</v>
      </c>
      <c r="J131" s="450" t="str">
        <f>Inputs!J80</f>
        <v>-</v>
      </c>
      <c r="K131" s="450" t="str">
        <f>Inputs!K80</f>
        <v>-</v>
      </c>
      <c r="L131" s="450" t="str">
        <f>Inputs!L80</f>
        <v>-</v>
      </c>
      <c r="M131" s="450" t="str">
        <f>Inputs!M80</f>
        <v>-</v>
      </c>
      <c r="N131" s="450" t="str">
        <f>Inputs!N80</f>
        <v>-</v>
      </c>
      <c r="O131" s="450" t="str">
        <f>Inputs!O80</f>
        <v>-</v>
      </c>
      <c r="P131" s="450" t="str">
        <f>Inputs!P80</f>
        <v>-</v>
      </c>
      <c r="Q131" s="450" t="str">
        <f>Inputs!Q80</f>
        <v>-</v>
      </c>
      <c r="R131" s="450" t="str">
        <f>Inputs!R80</f>
        <v>-</v>
      </c>
      <c r="S131" s="450" t="str">
        <f>Inputs!S80</f>
        <v>-</v>
      </c>
      <c r="T131" s="450" t="str">
        <f>Inputs!T80</f>
        <v>-</v>
      </c>
      <c r="U131" s="450" t="str">
        <f>Inputs!U80</f>
        <v>-</v>
      </c>
      <c r="V131" s="450" t="str">
        <f>Inputs!V80</f>
        <v>-</v>
      </c>
      <c r="W131" s="450" t="str">
        <f>Inputs!W80</f>
        <v>-</v>
      </c>
      <c r="X131" s="450" t="str">
        <f>Inputs!X80</f>
        <v>-</v>
      </c>
      <c r="Y131" s="450" t="str">
        <f>Inputs!Y80</f>
        <v>-</v>
      </c>
      <c r="Z131" s="450" t="str">
        <f>Inputs!Z80</f>
        <v>-</v>
      </c>
      <c r="AA131" s="450" t="str">
        <f>Inputs!AA80</f>
        <v>-</v>
      </c>
      <c r="AB131" s="450" t="str">
        <f>Inputs!AB80</f>
        <v>-</v>
      </c>
      <c r="AC131" s="450" t="str">
        <f>Inputs!AC80</f>
        <v>-</v>
      </c>
      <c r="AD131" s="450" t="str">
        <f>Inputs!AD80</f>
        <v>-</v>
      </c>
      <c r="AE131" s="450" t="str">
        <f>Inputs!AE80</f>
        <v>-</v>
      </c>
      <c r="AF131" s="450" t="str">
        <f>Inputs!AF80</f>
        <v>-</v>
      </c>
      <c r="AG131" s="450" t="str">
        <f>Inputs!AG80</f>
        <v>-</v>
      </c>
      <c r="AH131" s="450" t="str">
        <f>Inputs!AH80</f>
        <v>-</v>
      </c>
      <c r="AI131" s="450" t="str">
        <f>Inputs!AI80</f>
        <v>-</v>
      </c>
      <c r="AJ131" s="450" t="str">
        <f>Inputs!AJ80</f>
        <v>-</v>
      </c>
      <c r="AK131" s="450" t="str">
        <f>Inputs!AK80</f>
        <v>-</v>
      </c>
      <c r="AL131" s="450" t="str">
        <f>Inputs!AL80</f>
        <v>-</v>
      </c>
      <c r="AM131" s="450" t="str">
        <f>Inputs!AM80</f>
        <v>-</v>
      </c>
      <c r="AN131" s="450" t="str">
        <f>Inputs!AN80</f>
        <v>-</v>
      </c>
      <c r="AO131" s="450" t="str">
        <f>Inputs!AO80</f>
        <v>-</v>
      </c>
      <c r="AP131" s="450" t="str">
        <f>Inputs!AP80</f>
        <v>-</v>
      </c>
      <c r="AQ131" s="450" t="str">
        <f>Inputs!AQ80</f>
        <v>-</v>
      </c>
      <c r="AR131" s="450" t="str">
        <f>Inputs!AR80</f>
        <v>-</v>
      </c>
      <c r="AS131" s="450" t="str">
        <f>Inputs!AS80</f>
        <v>-</v>
      </c>
      <c r="AT131" s="419"/>
    </row>
    <row r="132">
      <c r="A132" s="80"/>
      <c r="B132" s="81"/>
      <c r="C132" s="81"/>
      <c r="D132" s="81"/>
      <c r="E132" s="194" t="s">
        <v>686</v>
      </c>
      <c r="F132" s="195" t="s">
        <v>122</v>
      </c>
      <c r="G132" s="316" t="s">
        <v>149</v>
      </c>
      <c r="H132" s="197" t="s">
        <v>150</v>
      </c>
      <c r="I132" s="240">
        <f t="shared" ref="I132:AS132" si="56">AVERAGE(I51,I69)</f>
        <v>0.2654947142</v>
      </c>
      <c r="J132" s="240">
        <f t="shared" si="56"/>
        <v>0.3461682554</v>
      </c>
      <c r="K132" s="240">
        <f t="shared" si="56"/>
        <v>0.3320019543</v>
      </c>
      <c r="L132" s="240">
        <f t="shared" si="56"/>
        <v>0.4999402847</v>
      </c>
      <c r="M132" s="240">
        <f t="shared" si="56"/>
        <v>0.3235830783</v>
      </c>
      <c r="N132" s="240">
        <f t="shared" si="56"/>
        <v>0.3245641915</v>
      </c>
      <c r="O132" s="240">
        <f t="shared" si="56"/>
        <v>0.4442495184</v>
      </c>
      <c r="P132" s="240">
        <f t="shared" si="56"/>
        <v>0.1447542448</v>
      </c>
      <c r="Q132" s="240">
        <f t="shared" si="56"/>
        <v>0.3115142752</v>
      </c>
      <c r="R132" s="240">
        <f t="shared" si="56"/>
        <v>0.7279204568</v>
      </c>
      <c r="S132" s="240">
        <f t="shared" si="56"/>
        <v>0.5515457526</v>
      </c>
      <c r="T132" s="240">
        <f t="shared" si="56"/>
        <v>0.6798128197</v>
      </c>
      <c r="U132" s="240">
        <f t="shared" si="56"/>
        <v>0.7119305656</v>
      </c>
      <c r="V132" s="240">
        <f t="shared" si="56"/>
        <v>0.5911160671</v>
      </c>
      <c r="W132" s="240">
        <f t="shared" si="56"/>
        <v>0.609152982</v>
      </c>
      <c r="X132" s="240">
        <f t="shared" si="56"/>
        <v>0.4850216877</v>
      </c>
      <c r="Y132" s="240">
        <f t="shared" si="56"/>
        <v>0.7679947878</v>
      </c>
      <c r="Z132" s="240">
        <f t="shared" si="56"/>
        <v>0.685820638</v>
      </c>
      <c r="AA132" s="240">
        <f t="shared" si="56"/>
        <v>0.7508642841</v>
      </c>
      <c r="AB132" s="240">
        <f t="shared" si="56"/>
        <v>0.8311603314</v>
      </c>
      <c r="AC132" s="240">
        <f t="shared" si="56"/>
        <v>0.8746766348</v>
      </c>
      <c r="AD132" s="240">
        <f t="shared" si="56"/>
        <v>0.8055941269</v>
      </c>
      <c r="AE132" s="240">
        <f t="shared" si="56"/>
        <v>0.8305937266</v>
      </c>
      <c r="AF132" s="240">
        <f t="shared" si="56"/>
        <v>0.7509786928</v>
      </c>
      <c r="AG132" s="240">
        <f t="shared" si="56"/>
        <v>0.687831993</v>
      </c>
      <c r="AH132" s="240">
        <f t="shared" si="56"/>
        <v>0.6568043851</v>
      </c>
      <c r="AI132" s="240">
        <f t="shared" si="56"/>
        <v>0.8732278466</v>
      </c>
      <c r="AJ132" s="240">
        <f t="shared" si="56"/>
        <v>0.5325270515</v>
      </c>
      <c r="AK132" s="240">
        <f t="shared" si="56"/>
        <v>0.4297689847</v>
      </c>
      <c r="AL132" s="240">
        <f t="shared" si="56"/>
        <v>0.5746423492</v>
      </c>
      <c r="AM132" s="240">
        <f t="shared" si="56"/>
        <v>0.6923863122</v>
      </c>
      <c r="AN132" s="240">
        <f t="shared" si="56"/>
        <v>0.7384112572</v>
      </c>
      <c r="AO132" s="240">
        <f t="shared" si="56"/>
        <v>0.5721014039</v>
      </c>
      <c r="AP132" s="240">
        <f t="shared" si="56"/>
        <v>0.679322936</v>
      </c>
      <c r="AQ132" s="240">
        <f t="shared" si="56"/>
        <v>0.7779876286</v>
      </c>
      <c r="AR132" s="240">
        <f t="shared" si="56"/>
        <v>0.4738128593</v>
      </c>
      <c r="AS132" s="240">
        <f t="shared" si="56"/>
        <v>0.430659244</v>
      </c>
      <c r="AT132" s="401"/>
    </row>
    <row r="133">
      <c r="A133" s="80"/>
      <c r="B133" s="81"/>
      <c r="C133" s="81"/>
      <c r="D133" s="81"/>
      <c r="E133" s="82"/>
      <c r="F133" s="83"/>
      <c r="G133" s="84"/>
      <c r="H133" s="85"/>
      <c r="I133" s="86"/>
      <c r="J133" s="86"/>
      <c r="K133" s="86"/>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c r="AQ133" s="86"/>
      <c r="AR133" s="86"/>
      <c r="AS133" s="86"/>
      <c r="AT133" s="88"/>
    </row>
    <row r="134">
      <c r="A134" s="80"/>
      <c r="B134" s="81"/>
      <c r="C134" s="126" t="s">
        <v>688</v>
      </c>
      <c r="F134" s="83"/>
      <c r="G134" s="83"/>
      <c r="H134" s="85"/>
      <c r="I134" s="86"/>
      <c r="J134" s="86"/>
      <c r="K134" s="86"/>
      <c r="L134" s="86"/>
      <c r="M134" s="86"/>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c r="AQ134" s="86"/>
      <c r="AR134" s="86"/>
      <c r="AS134" s="86"/>
      <c r="AT134" s="88"/>
    </row>
    <row r="135">
      <c r="A135" s="80"/>
      <c r="B135" s="81"/>
      <c r="C135" s="445"/>
      <c r="D135" s="445"/>
      <c r="E135" s="113" t="s">
        <v>689</v>
      </c>
      <c r="F135" s="151" t="str">
        <f>Inputs!F87</f>
        <v>%</v>
      </c>
      <c r="G135" s="151" t="str">
        <f>Inputs!G87</f>
        <v>input</v>
      </c>
      <c r="H135" s="156">
        <f>Inputs!H87</f>
        <v>0.35</v>
      </c>
      <c r="I135" s="157" t="str">
        <f>Inputs!I87</f>
        <v>-</v>
      </c>
      <c r="J135" s="157" t="str">
        <f>Inputs!J87</f>
        <v>-</v>
      </c>
      <c r="K135" s="157" t="str">
        <f>Inputs!K87</f>
        <v>-</v>
      </c>
      <c r="L135" s="157" t="str">
        <f>Inputs!L87</f>
        <v>-</v>
      </c>
      <c r="M135" s="157" t="str">
        <f>Inputs!M87</f>
        <v>-</v>
      </c>
      <c r="N135" s="157" t="str">
        <f>Inputs!N87</f>
        <v>-</v>
      </c>
      <c r="O135" s="157" t="str">
        <f>Inputs!O87</f>
        <v>-</v>
      </c>
      <c r="P135" s="157" t="str">
        <f>Inputs!P87</f>
        <v>-</v>
      </c>
      <c r="Q135" s="157" t="str">
        <f>Inputs!Q87</f>
        <v>-</v>
      </c>
      <c r="R135" s="157" t="str">
        <f>Inputs!R87</f>
        <v>-</v>
      </c>
      <c r="S135" s="157" t="str">
        <f>Inputs!S87</f>
        <v>-</v>
      </c>
      <c r="T135" s="157" t="str">
        <f>Inputs!T87</f>
        <v>-</v>
      </c>
      <c r="U135" s="157" t="str">
        <f>Inputs!U87</f>
        <v>-</v>
      </c>
      <c r="V135" s="157" t="str">
        <f>Inputs!V87</f>
        <v>-</v>
      </c>
      <c r="W135" s="157" t="str">
        <f>Inputs!W87</f>
        <v>-</v>
      </c>
      <c r="X135" s="157" t="str">
        <f>Inputs!X87</f>
        <v>-</v>
      </c>
      <c r="Y135" s="157" t="str">
        <f>Inputs!Y87</f>
        <v>-</v>
      </c>
      <c r="Z135" s="157" t="str">
        <f>Inputs!Z87</f>
        <v>-</v>
      </c>
      <c r="AA135" s="157" t="str">
        <f>Inputs!AA87</f>
        <v>-</v>
      </c>
      <c r="AB135" s="157" t="str">
        <f>Inputs!AB87</f>
        <v>-</v>
      </c>
      <c r="AC135" s="157" t="str">
        <f>Inputs!AC87</f>
        <v>-</v>
      </c>
      <c r="AD135" s="157" t="str">
        <f>Inputs!AD87</f>
        <v>-</v>
      </c>
      <c r="AE135" s="157" t="str">
        <f>Inputs!AE87</f>
        <v>-</v>
      </c>
      <c r="AF135" s="157" t="str">
        <f>Inputs!AF87</f>
        <v>-</v>
      </c>
      <c r="AG135" s="157" t="str">
        <f>Inputs!AG87</f>
        <v>-</v>
      </c>
      <c r="AH135" s="157" t="str">
        <f>Inputs!AH87</f>
        <v>-</v>
      </c>
      <c r="AI135" s="157" t="str">
        <f>Inputs!AI87</f>
        <v>-</v>
      </c>
      <c r="AJ135" s="157" t="str">
        <f>Inputs!AJ87</f>
        <v>-</v>
      </c>
      <c r="AK135" s="157" t="str">
        <f>Inputs!AK87</f>
        <v>-</v>
      </c>
      <c r="AL135" s="157" t="str">
        <f>Inputs!AL87</f>
        <v>-</v>
      </c>
      <c r="AM135" s="157" t="str">
        <f>Inputs!AM87</f>
        <v>-</v>
      </c>
      <c r="AN135" s="157" t="str">
        <f>Inputs!AN87</f>
        <v>-</v>
      </c>
      <c r="AO135" s="157" t="str">
        <f>Inputs!AO87</f>
        <v>-</v>
      </c>
      <c r="AP135" s="157" t="str">
        <f>Inputs!AP87</f>
        <v>-</v>
      </c>
      <c r="AQ135" s="157" t="str">
        <f>Inputs!AQ87</f>
        <v>-</v>
      </c>
      <c r="AR135" s="157" t="str">
        <f>Inputs!AR87</f>
        <v>-</v>
      </c>
      <c r="AS135" s="157" t="str">
        <f>Inputs!AS87</f>
        <v>-</v>
      </c>
      <c r="AT135" s="136"/>
    </row>
    <row r="136">
      <c r="A136" s="80"/>
      <c r="B136" s="81"/>
      <c r="C136" s="445"/>
      <c r="D136" s="445"/>
      <c r="E136" s="140" t="s">
        <v>694</v>
      </c>
      <c r="F136" s="172" t="str">
        <f>Inputs!F88</f>
        <v>%</v>
      </c>
      <c r="G136" s="172" t="str">
        <f>Inputs!G88</f>
        <v>input</v>
      </c>
      <c r="H136" s="176">
        <f>Inputs!H88</f>
        <v>0.55</v>
      </c>
      <c r="I136" s="179" t="str">
        <f>Inputs!I88</f>
        <v>-</v>
      </c>
      <c r="J136" s="179" t="str">
        <f>Inputs!J88</f>
        <v>-</v>
      </c>
      <c r="K136" s="179" t="str">
        <f>Inputs!K88</f>
        <v>-</v>
      </c>
      <c r="L136" s="179" t="str">
        <f>Inputs!L88</f>
        <v>-</v>
      </c>
      <c r="M136" s="179" t="str">
        <f>Inputs!M88</f>
        <v>-</v>
      </c>
      <c r="N136" s="179" t="str">
        <f>Inputs!N88</f>
        <v>-</v>
      </c>
      <c r="O136" s="179" t="str">
        <f>Inputs!O88</f>
        <v>-</v>
      </c>
      <c r="P136" s="179" t="str">
        <f>Inputs!P88</f>
        <v>-</v>
      </c>
      <c r="Q136" s="179" t="str">
        <f>Inputs!Q88</f>
        <v>-</v>
      </c>
      <c r="R136" s="179" t="str">
        <f>Inputs!R88</f>
        <v>-</v>
      </c>
      <c r="S136" s="179" t="str">
        <f>Inputs!S88</f>
        <v>-</v>
      </c>
      <c r="T136" s="179" t="str">
        <f>Inputs!T88</f>
        <v>-</v>
      </c>
      <c r="U136" s="179" t="str">
        <f>Inputs!U88</f>
        <v>-</v>
      </c>
      <c r="V136" s="179" t="str">
        <f>Inputs!V88</f>
        <v>-</v>
      </c>
      <c r="W136" s="179" t="str">
        <f>Inputs!W88</f>
        <v>-</v>
      </c>
      <c r="X136" s="179" t="str">
        <f>Inputs!X88</f>
        <v>-</v>
      </c>
      <c r="Y136" s="179" t="str">
        <f>Inputs!Y88</f>
        <v>-</v>
      </c>
      <c r="Z136" s="179" t="str">
        <f>Inputs!Z88</f>
        <v>-</v>
      </c>
      <c r="AA136" s="179" t="str">
        <f>Inputs!AA88</f>
        <v>-</v>
      </c>
      <c r="AB136" s="179" t="str">
        <f>Inputs!AB88</f>
        <v>-</v>
      </c>
      <c r="AC136" s="179" t="str">
        <f>Inputs!AC88</f>
        <v>-</v>
      </c>
      <c r="AD136" s="179" t="str">
        <f>Inputs!AD88</f>
        <v>-</v>
      </c>
      <c r="AE136" s="179" t="str">
        <f>Inputs!AE88</f>
        <v>-</v>
      </c>
      <c r="AF136" s="179" t="str">
        <f>Inputs!AF88</f>
        <v>-</v>
      </c>
      <c r="AG136" s="179" t="str">
        <f>Inputs!AG88</f>
        <v>-</v>
      </c>
      <c r="AH136" s="179" t="str">
        <f>Inputs!AH88</f>
        <v>-</v>
      </c>
      <c r="AI136" s="179" t="str">
        <f>Inputs!AI88</f>
        <v>-</v>
      </c>
      <c r="AJ136" s="179" t="str">
        <f>Inputs!AJ88</f>
        <v>-</v>
      </c>
      <c r="AK136" s="179" t="str">
        <f>Inputs!AK88</f>
        <v>-</v>
      </c>
      <c r="AL136" s="179" t="str">
        <f>Inputs!AL88</f>
        <v>-</v>
      </c>
      <c r="AM136" s="179" t="str">
        <f>Inputs!AM88</f>
        <v>-</v>
      </c>
      <c r="AN136" s="179" t="str">
        <f>Inputs!AN88</f>
        <v>-</v>
      </c>
      <c r="AO136" s="179" t="str">
        <f>Inputs!AO88</f>
        <v>-</v>
      </c>
      <c r="AP136" s="179" t="str">
        <f>Inputs!AP88</f>
        <v>-</v>
      </c>
      <c r="AQ136" s="179" t="str">
        <f>Inputs!AQ88</f>
        <v>-</v>
      </c>
      <c r="AR136" s="179" t="str">
        <f>Inputs!AR88</f>
        <v>-</v>
      </c>
      <c r="AS136" s="179" t="str">
        <f>Inputs!AS88</f>
        <v>-</v>
      </c>
      <c r="AT136" s="163"/>
    </row>
    <row r="137">
      <c r="A137" s="80"/>
      <c r="B137" s="81"/>
      <c r="C137" s="445"/>
      <c r="D137" s="445"/>
      <c r="E137" s="140" t="s">
        <v>698</v>
      </c>
      <c r="F137" s="172" t="str">
        <f>Inputs!F89</f>
        <v>%</v>
      </c>
      <c r="G137" s="172" t="str">
        <f>Inputs!G89</f>
        <v>input</v>
      </c>
      <c r="H137" s="176">
        <f>Inputs!H89</f>
        <v>0.1</v>
      </c>
      <c r="I137" s="179" t="str">
        <f>Inputs!I89</f>
        <v>-</v>
      </c>
      <c r="J137" s="179" t="str">
        <f>Inputs!J89</f>
        <v>-</v>
      </c>
      <c r="K137" s="179" t="str">
        <f>Inputs!K89</f>
        <v>-</v>
      </c>
      <c r="L137" s="179" t="str">
        <f>Inputs!L89</f>
        <v>-</v>
      </c>
      <c r="M137" s="179" t="str">
        <f>Inputs!M89</f>
        <v>-</v>
      </c>
      <c r="N137" s="179" t="str">
        <f>Inputs!N89</f>
        <v>-</v>
      </c>
      <c r="O137" s="179" t="str">
        <f>Inputs!O89</f>
        <v>-</v>
      </c>
      <c r="P137" s="179" t="str">
        <f>Inputs!P89</f>
        <v>-</v>
      </c>
      <c r="Q137" s="179" t="str">
        <f>Inputs!Q89</f>
        <v>-</v>
      </c>
      <c r="R137" s="179" t="str">
        <f>Inputs!R89</f>
        <v>-</v>
      </c>
      <c r="S137" s="179" t="str">
        <f>Inputs!S89</f>
        <v>-</v>
      </c>
      <c r="T137" s="179" t="str">
        <f>Inputs!T89</f>
        <v>-</v>
      </c>
      <c r="U137" s="179" t="str">
        <f>Inputs!U89</f>
        <v>-</v>
      </c>
      <c r="V137" s="179" t="str">
        <f>Inputs!V89</f>
        <v>-</v>
      </c>
      <c r="W137" s="179" t="str">
        <f>Inputs!W89</f>
        <v>-</v>
      </c>
      <c r="X137" s="179" t="str">
        <f>Inputs!X89</f>
        <v>-</v>
      </c>
      <c r="Y137" s="179" t="str">
        <f>Inputs!Y89</f>
        <v>-</v>
      </c>
      <c r="Z137" s="179" t="str">
        <f>Inputs!Z89</f>
        <v>-</v>
      </c>
      <c r="AA137" s="179" t="str">
        <f>Inputs!AA89</f>
        <v>-</v>
      </c>
      <c r="AB137" s="179" t="str">
        <f>Inputs!AB89</f>
        <v>-</v>
      </c>
      <c r="AC137" s="179" t="str">
        <f>Inputs!AC89</f>
        <v>-</v>
      </c>
      <c r="AD137" s="179" t="str">
        <f>Inputs!AD89</f>
        <v>-</v>
      </c>
      <c r="AE137" s="179" t="str">
        <f>Inputs!AE89</f>
        <v>-</v>
      </c>
      <c r="AF137" s="179" t="str">
        <f>Inputs!AF89</f>
        <v>-</v>
      </c>
      <c r="AG137" s="179" t="str">
        <f>Inputs!AG89</f>
        <v>-</v>
      </c>
      <c r="AH137" s="179" t="str">
        <f>Inputs!AH89</f>
        <v>-</v>
      </c>
      <c r="AI137" s="179" t="str">
        <f>Inputs!AI89</f>
        <v>-</v>
      </c>
      <c r="AJ137" s="179" t="str">
        <f>Inputs!AJ89</f>
        <v>-</v>
      </c>
      <c r="AK137" s="179" t="str">
        <f>Inputs!AK89</f>
        <v>-</v>
      </c>
      <c r="AL137" s="179" t="str">
        <f>Inputs!AL89</f>
        <v>-</v>
      </c>
      <c r="AM137" s="179" t="str">
        <f>Inputs!AM89</f>
        <v>-</v>
      </c>
      <c r="AN137" s="179" t="str">
        <f>Inputs!AN89</f>
        <v>-</v>
      </c>
      <c r="AO137" s="179" t="str">
        <f>Inputs!AO89</f>
        <v>-</v>
      </c>
      <c r="AP137" s="179" t="str">
        <f>Inputs!AP89</f>
        <v>-</v>
      </c>
      <c r="AQ137" s="179" t="str">
        <f>Inputs!AQ89</f>
        <v>-</v>
      </c>
      <c r="AR137" s="179" t="str">
        <f>Inputs!AR89</f>
        <v>-</v>
      </c>
      <c r="AS137" s="179" t="str">
        <f>Inputs!AS89</f>
        <v>-</v>
      </c>
      <c r="AT137" s="163"/>
    </row>
    <row r="138">
      <c r="A138" s="80"/>
      <c r="B138" s="81"/>
      <c r="C138" s="445"/>
      <c r="D138" s="445"/>
      <c r="E138" s="140" t="s">
        <v>703</v>
      </c>
      <c r="F138" s="172" t="str">
        <f>Inputs!F90</f>
        <v>%</v>
      </c>
      <c r="G138" s="172" t="str">
        <f>Inputs!G90</f>
        <v>input</v>
      </c>
      <c r="H138" s="176">
        <f>Inputs!H90</f>
        <v>0.35</v>
      </c>
      <c r="I138" s="179" t="str">
        <f>Inputs!I90</f>
        <v>-</v>
      </c>
      <c r="J138" s="179" t="str">
        <f>Inputs!J90</f>
        <v>-</v>
      </c>
      <c r="K138" s="179" t="str">
        <f>Inputs!K90</f>
        <v>-</v>
      </c>
      <c r="L138" s="179" t="str">
        <f>Inputs!L90</f>
        <v>-</v>
      </c>
      <c r="M138" s="179" t="str">
        <f>Inputs!M90</f>
        <v>-</v>
      </c>
      <c r="N138" s="179" t="str">
        <f>Inputs!N90</f>
        <v>-</v>
      </c>
      <c r="O138" s="179" t="str">
        <f>Inputs!O90</f>
        <v>-</v>
      </c>
      <c r="P138" s="179" t="str">
        <f>Inputs!P90</f>
        <v>-</v>
      </c>
      <c r="Q138" s="179" t="str">
        <f>Inputs!Q90</f>
        <v>-</v>
      </c>
      <c r="R138" s="179" t="str">
        <f>Inputs!R90</f>
        <v>-</v>
      </c>
      <c r="S138" s="179" t="str">
        <f>Inputs!S90</f>
        <v>-</v>
      </c>
      <c r="T138" s="179" t="str">
        <f>Inputs!T90</f>
        <v>-</v>
      </c>
      <c r="U138" s="179" t="str">
        <f>Inputs!U90</f>
        <v>-</v>
      </c>
      <c r="V138" s="179" t="str">
        <f>Inputs!V90</f>
        <v>-</v>
      </c>
      <c r="W138" s="179" t="str">
        <f>Inputs!W90</f>
        <v>-</v>
      </c>
      <c r="X138" s="179" t="str">
        <f>Inputs!X90</f>
        <v>-</v>
      </c>
      <c r="Y138" s="179" t="str">
        <f>Inputs!Y90</f>
        <v>-</v>
      </c>
      <c r="Z138" s="179" t="str">
        <f>Inputs!Z90</f>
        <v>-</v>
      </c>
      <c r="AA138" s="179" t="str">
        <f>Inputs!AA90</f>
        <v>-</v>
      </c>
      <c r="AB138" s="179" t="str">
        <f>Inputs!AB90</f>
        <v>-</v>
      </c>
      <c r="AC138" s="179" t="str">
        <f>Inputs!AC90</f>
        <v>-</v>
      </c>
      <c r="AD138" s="179" t="str">
        <f>Inputs!AD90</f>
        <v>-</v>
      </c>
      <c r="AE138" s="179" t="str">
        <f>Inputs!AE90</f>
        <v>-</v>
      </c>
      <c r="AF138" s="179" t="str">
        <f>Inputs!AF90</f>
        <v>-</v>
      </c>
      <c r="AG138" s="179" t="str">
        <f>Inputs!AG90</f>
        <v>-</v>
      </c>
      <c r="AH138" s="179" t="str">
        <f>Inputs!AH90</f>
        <v>-</v>
      </c>
      <c r="AI138" s="179" t="str">
        <f>Inputs!AI90</f>
        <v>-</v>
      </c>
      <c r="AJ138" s="179" t="str">
        <f>Inputs!AJ90</f>
        <v>-</v>
      </c>
      <c r="AK138" s="179" t="str">
        <f>Inputs!AK90</f>
        <v>-</v>
      </c>
      <c r="AL138" s="179" t="str">
        <f>Inputs!AL90</f>
        <v>-</v>
      </c>
      <c r="AM138" s="179" t="str">
        <f>Inputs!AM90</f>
        <v>-</v>
      </c>
      <c r="AN138" s="179" t="str">
        <f>Inputs!AN90</f>
        <v>-</v>
      </c>
      <c r="AO138" s="179" t="str">
        <f>Inputs!AO90</f>
        <v>-</v>
      </c>
      <c r="AP138" s="179" t="str">
        <f>Inputs!AP90</f>
        <v>-</v>
      </c>
      <c r="AQ138" s="179" t="str">
        <f>Inputs!AQ90</f>
        <v>-</v>
      </c>
      <c r="AR138" s="179" t="str">
        <f>Inputs!AR90</f>
        <v>-</v>
      </c>
      <c r="AS138" s="179" t="str">
        <f>Inputs!AS90</f>
        <v>-</v>
      </c>
      <c r="AT138" s="163"/>
    </row>
    <row r="139">
      <c r="A139" s="80"/>
      <c r="B139" s="81"/>
      <c r="C139" s="445"/>
      <c r="D139" s="445"/>
      <c r="E139" s="140" t="s">
        <v>707</v>
      </c>
      <c r="F139" s="172" t="str">
        <f>Inputs!F91</f>
        <v>%</v>
      </c>
      <c r="G139" s="172" t="str">
        <f>Inputs!G91</f>
        <v>input</v>
      </c>
      <c r="H139" s="176">
        <f>Inputs!H91</f>
        <v>0.55</v>
      </c>
      <c r="I139" s="179" t="str">
        <f>Inputs!I91</f>
        <v>-</v>
      </c>
      <c r="J139" s="179" t="str">
        <f>Inputs!J91</f>
        <v>-</v>
      </c>
      <c r="K139" s="179" t="str">
        <f>Inputs!K91</f>
        <v>-</v>
      </c>
      <c r="L139" s="179" t="str">
        <f>Inputs!L91</f>
        <v>-</v>
      </c>
      <c r="M139" s="179" t="str">
        <f>Inputs!M91</f>
        <v>-</v>
      </c>
      <c r="N139" s="179" t="str">
        <f>Inputs!N91</f>
        <v>-</v>
      </c>
      <c r="O139" s="179" t="str">
        <f>Inputs!O91</f>
        <v>-</v>
      </c>
      <c r="P139" s="179" t="str">
        <f>Inputs!P91</f>
        <v>-</v>
      </c>
      <c r="Q139" s="179" t="str">
        <f>Inputs!Q91</f>
        <v>-</v>
      </c>
      <c r="R139" s="179" t="str">
        <f>Inputs!R91</f>
        <v>-</v>
      </c>
      <c r="S139" s="179" t="str">
        <f>Inputs!S91</f>
        <v>-</v>
      </c>
      <c r="T139" s="179" t="str">
        <f>Inputs!T91</f>
        <v>-</v>
      </c>
      <c r="U139" s="179" t="str">
        <f>Inputs!U91</f>
        <v>-</v>
      </c>
      <c r="V139" s="179" t="str">
        <f>Inputs!V91</f>
        <v>-</v>
      </c>
      <c r="W139" s="179" t="str">
        <f>Inputs!W91</f>
        <v>-</v>
      </c>
      <c r="X139" s="179" t="str">
        <f>Inputs!X91</f>
        <v>-</v>
      </c>
      <c r="Y139" s="179" t="str">
        <f>Inputs!Y91</f>
        <v>-</v>
      </c>
      <c r="Z139" s="179" t="str">
        <f>Inputs!Z91</f>
        <v>-</v>
      </c>
      <c r="AA139" s="179" t="str">
        <f>Inputs!AA91</f>
        <v>-</v>
      </c>
      <c r="AB139" s="179" t="str">
        <f>Inputs!AB91</f>
        <v>-</v>
      </c>
      <c r="AC139" s="179" t="str">
        <f>Inputs!AC91</f>
        <v>-</v>
      </c>
      <c r="AD139" s="179" t="str">
        <f>Inputs!AD91</f>
        <v>-</v>
      </c>
      <c r="AE139" s="179" t="str">
        <f>Inputs!AE91</f>
        <v>-</v>
      </c>
      <c r="AF139" s="179" t="str">
        <f>Inputs!AF91</f>
        <v>-</v>
      </c>
      <c r="AG139" s="179" t="str">
        <f>Inputs!AG91</f>
        <v>-</v>
      </c>
      <c r="AH139" s="179" t="str">
        <f>Inputs!AH91</f>
        <v>-</v>
      </c>
      <c r="AI139" s="179" t="str">
        <f>Inputs!AI91</f>
        <v>-</v>
      </c>
      <c r="AJ139" s="179" t="str">
        <f>Inputs!AJ91</f>
        <v>-</v>
      </c>
      <c r="AK139" s="179" t="str">
        <f>Inputs!AK91</f>
        <v>-</v>
      </c>
      <c r="AL139" s="179" t="str">
        <f>Inputs!AL91</f>
        <v>-</v>
      </c>
      <c r="AM139" s="179" t="str">
        <f>Inputs!AM91</f>
        <v>-</v>
      </c>
      <c r="AN139" s="179" t="str">
        <f>Inputs!AN91</f>
        <v>-</v>
      </c>
      <c r="AO139" s="179" t="str">
        <f>Inputs!AO91</f>
        <v>-</v>
      </c>
      <c r="AP139" s="179" t="str">
        <f>Inputs!AP91</f>
        <v>-</v>
      </c>
      <c r="AQ139" s="179" t="str">
        <f>Inputs!AQ91</f>
        <v>-</v>
      </c>
      <c r="AR139" s="179" t="str">
        <f>Inputs!AR91</f>
        <v>-</v>
      </c>
      <c r="AS139" s="179" t="str">
        <f>Inputs!AS91</f>
        <v>-</v>
      </c>
      <c r="AT139" s="163"/>
    </row>
    <row r="140">
      <c r="A140" s="80"/>
      <c r="B140" s="81"/>
      <c r="C140" s="445"/>
      <c r="D140" s="445"/>
      <c r="E140" s="140" t="s">
        <v>711</v>
      </c>
      <c r="F140" s="172" t="str">
        <f>Inputs!F92</f>
        <v>%</v>
      </c>
      <c r="G140" s="172" t="str">
        <f>Inputs!G92</f>
        <v>input</v>
      </c>
      <c r="H140" s="176">
        <f>Inputs!H92</f>
        <v>0.1</v>
      </c>
      <c r="I140" s="179" t="str">
        <f>Inputs!I92</f>
        <v>-</v>
      </c>
      <c r="J140" s="179" t="str">
        <f>Inputs!J92</f>
        <v>-</v>
      </c>
      <c r="K140" s="179" t="str">
        <f>Inputs!K92</f>
        <v>-</v>
      </c>
      <c r="L140" s="179" t="str">
        <f>Inputs!L92</f>
        <v>-</v>
      </c>
      <c r="M140" s="179" t="str">
        <f>Inputs!M92</f>
        <v>-</v>
      </c>
      <c r="N140" s="179" t="str">
        <f>Inputs!N92</f>
        <v>-</v>
      </c>
      <c r="O140" s="179" t="str">
        <f>Inputs!O92</f>
        <v>-</v>
      </c>
      <c r="P140" s="179" t="str">
        <f>Inputs!P92</f>
        <v>-</v>
      </c>
      <c r="Q140" s="179" t="str">
        <f>Inputs!Q92</f>
        <v>-</v>
      </c>
      <c r="R140" s="179" t="str">
        <f>Inputs!R92</f>
        <v>-</v>
      </c>
      <c r="S140" s="179" t="str">
        <f>Inputs!S92</f>
        <v>-</v>
      </c>
      <c r="T140" s="179" t="str">
        <f>Inputs!T92</f>
        <v>-</v>
      </c>
      <c r="U140" s="179" t="str">
        <f>Inputs!U92</f>
        <v>-</v>
      </c>
      <c r="V140" s="179" t="str">
        <f>Inputs!V92</f>
        <v>-</v>
      </c>
      <c r="W140" s="179" t="str">
        <f>Inputs!W92</f>
        <v>-</v>
      </c>
      <c r="X140" s="179" t="str">
        <f>Inputs!X92</f>
        <v>-</v>
      </c>
      <c r="Y140" s="179" t="str">
        <f>Inputs!Y92</f>
        <v>-</v>
      </c>
      <c r="Z140" s="179" t="str">
        <f>Inputs!Z92</f>
        <v>-</v>
      </c>
      <c r="AA140" s="179" t="str">
        <f>Inputs!AA92</f>
        <v>-</v>
      </c>
      <c r="AB140" s="179" t="str">
        <f>Inputs!AB92</f>
        <v>-</v>
      </c>
      <c r="AC140" s="179" t="str">
        <f>Inputs!AC92</f>
        <v>-</v>
      </c>
      <c r="AD140" s="179" t="str">
        <f>Inputs!AD92</f>
        <v>-</v>
      </c>
      <c r="AE140" s="179" t="str">
        <f>Inputs!AE92</f>
        <v>-</v>
      </c>
      <c r="AF140" s="179" t="str">
        <f>Inputs!AF92</f>
        <v>-</v>
      </c>
      <c r="AG140" s="179" t="str">
        <f>Inputs!AG92</f>
        <v>-</v>
      </c>
      <c r="AH140" s="179" t="str">
        <f>Inputs!AH92</f>
        <v>-</v>
      </c>
      <c r="AI140" s="179" t="str">
        <f>Inputs!AI92</f>
        <v>-</v>
      </c>
      <c r="AJ140" s="179" t="str">
        <f>Inputs!AJ92</f>
        <v>-</v>
      </c>
      <c r="AK140" s="179" t="str">
        <f>Inputs!AK92</f>
        <v>-</v>
      </c>
      <c r="AL140" s="179" t="str">
        <f>Inputs!AL92</f>
        <v>-</v>
      </c>
      <c r="AM140" s="179" t="str">
        <f>Inputs!AM92</f>
        <v>-</v>
      </c>
      <c r="AN140" s="179" t="str">
        <f>Inputs!AN92</f>
        <v>-</v>
      </c>
      <c r="AO140" s="179" t="str">
        <f>Inputs!AO92</f>
        <v>-</v>
      </c>
      <c r="AP140" s="179" t="str">
        <f>Inputs!AP92</f>
        <v>-</v>
      </c>
      <c r="AQ140" s="179" t="str">
        <f>Inputs!AQ92</f>
        <v>-</v>
      </c>
      <c r="AR140" s="179" t="str">
        <f>Inputs!AR92</f>
        <v>-</v>
      </c>
      <c r="AS140" s="179" t="str">
        <f>Inputs!AS92</f>
        <v>-</v>
      </c>
      <c r="AT140" s="163"/>
    </row>
    <row r="141">
      <c r="A141" s="80"/>
      <c r="B141" s="81"/>
      <c r="C141" s="445"/>
      <c r="D141" s="445"/>
      <c r="E141" s="140" t="s">
        <v>716</v>
      </c>
      <c r="F141" s="172" t="str">
        <f>Inputs!F93</f>
        <v>%</v>
      </c>
      <c r="G141" s="172" t="str">
        <f>Inputs!G93</f>
        <v>input</v>
      </c>
      <c r="H141" s="176">
        <f>Inputs!H93</f>
        <v>0.85</v>
      </c>
      <c r="I141" s="179" t="str">
        <f>Inputs!I93</f>
        <v>-</v>
      </c>
      <c r="J141" s="179" t="str">
        <f>Inputs!J93</f>
        <v>-</v>
      </c>
      <c r="K141" s="179" t="str">
        <f>Inputs!K93</f>
        <v>-</v>
      </c>
      <c r="L141" s="179" t="str">
        <f>Inputs!L93</f>
        <v>-</v>
      </c>
      <c r="M141" s="179" t="str">
        <f>Inputs!M93</f>
        <v>-</v>
      </c>
      <c r="N141" s="179" t="str">
        <f>Inputs!N93</f>
        <v>-</v>
      </c>
      <c r="O141" s="179" t="str">
        <f>Inputs!O93</f>
        <v>-</v>
      </c>
      <c r="P141" s="179" t="str">
        <f>Inputs!P93</f>
        <v>-</v>
      </c>
      <c r="Q141" s="179" t="str">
        <f>Inputs!Q93</f>
        <v>-</v>
      </c>
      <c r="R141" s="179" t="str">
        <f>Inputs!R93</f>
        <v>-</v>
      </c>
      <c r="S141" s="179" t="str">
        <f>Inputs!S93</f>
        <v>-</v>
      </c>
      <c r="T141" s="179" t="str">
        <f>Inputs!T93</f>
        <v>-</v>
      </c>
      <c r="U141" s="179" t="str">
        <f>Inputs!U93</f>
        <v>-</v>
      </c>
      <c r="V141" s="179" t="str">
        <f>Inputs!V93</f>
        <v>-</v>
      </c>
      <c r="W141" s="179" t="str">
        <f>Inputs!W93</f>
        <v>-</v>
      </c>
      <c r="X141" s="179" t="str">
        <f>Inputs!X93</f>
        <v>-</v>
      </c>
      <c r="Y141" s="179" t="str">
        <f>Inputs!Y93</f>
        <v>-</v>
      </c>
      <c r="Z141" s="179" t="str">
        <f>Inputs!Z93</f>
        <v>-</v>
      </c>
      <c r="AA141" s="179" t="str">
        <f>Inputs!AA93</f>
        <v>-</v>
      </c>
      <c r="AB141" s="179" t="str">
        <f>Inputs!AB93</f>
        <v>-</v>
      </c>
      <c r="AC141" s="179" t="str">
        <f>Inputs!AC93</f>
        <v>-</v>
      </c>
      <c r="AD141" s="179" t="str">
        <f>Inputs!AD93</f>
        <v>-</v>
      </c>
      <c r="AE141" s="179" t="str">
        <f>Inputs!AE93</f>
        <v>-</v>
      </c>
      <c r="AF141" s="179" t="str">
        <f>Inputs!AF93</f>
        <v>-</v>
      </c>
      <c r="AG141" s="179" t="str">
        <f>Inputs!AG93</f>
        <v>-</v>
      </c>
      <c r="AH141" s="179" t="str">
        <f>Inputs!AH93</f>
        <v>-</v>
      </c>
      <c r="AI141" s="179" t="str">
        <f>Inputs!AI93</f>
        <v>-</v>
      </c>
      <c r="AJ141" s="179" t="str">
        <f>Inputs!AJ93</f>
        <v>-</v>
      </c>
      <c r="AK141" s="179" t="str">
        <f>Inputs!AK93</f>
        <v>-</v>
      </c>
      <c r="AL141" s="179" t="str">
        <f>Inputs!AL93</f>
        <v>-</v>
      </c>
      <c r="AM141" s="179" t="str">
        <f>Inputs!AM93</f>
        <v>-</v>
      </c>
      <c r="AN141" s="179" t="str">
        <f>Inputs!AN93</f>
        <v>-</v>
      </c>
      <c r="AO141" s="179" t="str">
        <f>Inputs!AO93</f>
        <v>-</v>
      </c>
      <c r="AP141" s="179" t="str">
        <f>Inputs!AP93</f>
        <v>-</v>
      </c>
      <c r="AQ141" s="179" t="str">
        <f>Inputs!AQ93</f>
        <v>-</v>
      </c>
      <c r="AR141" s="179" t="str">
        <f>Inputs!AR93</f>
        <v>-</v>
      </c>
      <c r="AS141" s="179" t="str">
        <f>Inputs!AS93</f>
        <v>-</v>
      </c>
      <c r="AT141" s="163"/>
    </row>
    <row r="142">
      <c r="A142" s="80"/>
      <c r="B142" s="81"/>
      <c r="C142" s="445"/>
      <c r="D142" s="445"/>
      <c r="E142" s="140" t="s">
        <v>721</v>
      </c>
      <c r="F142" s="172" t="str">
        <f>Inputs!F94</f>
        <v>%</v>
      </c>
      <c r="G142" s="172" t="str">
        <f>Inputs!G94</f>
        <v>input</v>
      </c>
      <c r="H142" s="176">
        <f>Inputs!H94</f>
        <v>0.15</v>
      </c>
      <c r="I142" s="179" t="str">
        <f>Inputs!I94</f>
        <v>-</v>
      </c>
      <c r="J142" s="179" t="str">
        <f>Inputs!J94</f>
        <v>-</v>
      </c>
      <c r="K142" s="179" t="str">
        <f>Inputs!K94</f>
        <v>-</v>
      </c>
      <c r="L142" s="179" t="str">
        <f>Inputs!L94</f>
        <v>-</v>
      </c>
      <c r="M142" s="179" t="str">
        <f>Inputs!M94</f>
        <v>-</v>
      </c>
      <c r="N142" s="179" t="str">
        <f>Inputs!N94</f>
        <v>-</v>
      </c>
      <c r="O142" s="179" t="str">
        <f>Inputs!O94</f>
        <v>-</v>
      </c>
      <c r="P142" s="179" t="str">
        <f>Inputs!P94</f>
        <v>-</v>
      </c>
      <c r="Q142" s="179" t="str">
        <f>Inputs!Q94</f>
        <v>-</v>
      </c>
      <c r="R142" s="179" t="str">
        <f>Inputs!R94</f>
        <v>-</v>
      </c>
      <c r="S142" s="179" t="str">
        <f>Inputs!S94</f>
        <v>-</v>
      </c>
      <c r="T142" s="179" t="str">
        <f>Inputs!T94</f>
        <v>-</v>
      </c>
      <c r="U142" s="179" t="str">
        <f>Inputs!U94</f>
        <v>-</v>
      </c>
      <c r="V142" s="179" t="str">
        <f>Inputs!V94</f>
        <v>-</v>
      </c>
      <c r="W142" s="179" t="str">
        <f>Inputs!W94</f>
        <v>-</v>
      </c>
      <c r="X142" s="179" t="str">
        <f>Inputs!X94</f>
        <v>-</v>
      </c>
      <c r="Y142" s="179" t="str">
        <f>Inputs!Y94</f>
        <v>-</v>
      </c>
      <c r="Z142" s="179" t="str">
        <f>Inputs!Z94</f>
        <v>-</v>
      </c>
      <c r="AA142" s="179" t="str">
        <f>Inputs!AA94</f>
        <v>-</v>
      </c>
      <c r="AB142" s="179" t="str">
        <f>Inputs!AB94</f>
        <v>-</v>
      </c>
      <c r="AC142" s="179" t="str">
        <f>Inputs!AC94</f>
        <v>-</v>
      </c>
      <c r="AD142" s="179" t="str">
        <f>Inputs!AD94</f>
        <v>-</v>
      </c>
      <c r="AE142" s="179" t="str">
        <f>Inputs!AE94</f>
        <v>-</v>
      </c>
      <c r="AF142" s="179" t="str">
        <f>Inputs!AF94</f>
        <v>-</v>
      </c>
      <c r="AG142" s="179" t="str">
        <f>Inputs!AG94</f>
        <v>-</v>
      </c>
      <c r="AH142" s="179" t="str">
        <f>Inputs!AH94</f>
        <v>-</v>
      </c>
      <c r="AI142" s="179" t="str">
        <f>Inputs!AI94</f>
        <v>-</v>
      </c>
      <c r="AJ142" s="179" t="str">
        <f>Inputs!AJ94</f>
        <v>-</v>
      </c>
      <c r="AK142" s="179" t="str">
        <f>Inputs!AK94</f>
        <v>-</v>
      </c>
      <c r="AL142" s="179" t="str">
        <f>Inputs!AL94</f>
        <v>-</v>
      </c>
      <c r="AM142" s="179" t="str">
        <f>Inputs!AM94</f>
        <v>-</v>
      </c>
      <c r="AN142" s="179" t="str">
        <f>Inputs!AN94</f>
        <v>-</v>
      </c>
      <c r="AO142" s="179" t="str">
        <f>Inputs!AO94</f>
        <v>-</v>
      </c>
      <c r="AP142" s="179" t="str">
        <f>Inputs!AP94</f>
        <v>-</v>
      </c>
      <c r="AQ142" s="179" t="str">
        <f>Inputs!AQ94</f>
        <v>-</v>
      </c>
      <c r="AR142" s="179" t="str">
        <f>Inputs!AR94</f>
        <v>-</v>
      </c>
      <c r="AS142" s="179" t="str">
        <f>Inputs!AS94</f>
        <v>-</v>
      </c>
      <c r="AT142" s="163"/>
    </row>
    <row r="143">
      <c r="A143" s="80"/>
      <c r="B143" s="81"/>
      <c r="C143" s="445"/>
      <c r="D143" s="445"/>
      <c r="E143" s="237" t="s">
        <v>729</v>
      </c>
      <c r="F143" s="231" t="str">
        <f>Inputs!F95</f>
        <v>%</v>
      </c>
      <c r="G143" s="231" t="str">
        <f>Inputs!G95</f>
        <v>input</v>
      </c>
      <c r="H143" s="234">
        <f>Inputs!H95</f>
        <v>1</v>
      </c>
      <c r="I143" s="235" t="str">
        <f>Inputs!I95</f>
        <v>-</v>
      </c>
      <c r="J143" s="235" t="str">
        <f>Inputs!J95</f>
        <v>-</v>
      </c>
      <c r="K143" s="235" t="str">
        <f>Inputs!K95</f>
        <v>-</v>
      </c>
      <c r="L143" s="235" t="str">
        <f>Inputs!L95</f>
        <v>-</v>
      </c>
      <c r="M143" s="235" t="str">
        <f>Inputs!M95</f>
        <v>-</v>
      </c>
      <c r="N143" s="235" t="str">
        <f>Inputs!N95</f>
        <v>-</v>
      </c>
      <c r="O143" s="235" t="str">
        <f>Inputs!O95</f>
        <v>-</v>
      </c>
      <c r="P143" s="235" t="str">
        <f>Inputs!P95</f>
        <v>-</v>
      </c>
      <c r="Q143" s="235" t="str">
        <f>Inputs!Q95</f>
        <v>-</v>
      </c>
      <c r="R143" s="235" t="str">
        <f>Inputs!R95</f>
        <v>-</v>
      </c>
      <c r="S143" s="235" t="str">
        <f>Inputs!S95</f>
        <v>-</v>
      </c>
      <c r="T143" s="235" t="str">
        <f>Inputs!T95</f>
        <v>-</v>
      </c>
      <c r="U143" s="235" t="str">
        <f>Inputs!U95</f>
        <v>-</v>
      </c>
      <c r="V143" s="235" t="str">
        <f>Inputs!V95</f>
        <v>-</v>
      </c>
      <c r="W143" s="235" t="str">
        <f>Inputs!W95</f>
        <v>-</v>
      </c>
      <c r="X143" s="235" t="str">
        <f>Inputs!X95</f>
        <v>-</v>
      </c>
      <c r="Y143" s="235" t="str">
        <f>Inputs!Y95</f>
        <v>-</v>
      </c>
      <c r="Z143" s="235" t="str">
        <f>Inputs!Z95</f>
        <v>-</v>
      </c>
      <c r="AA143" s="235" t="str">
        <f>Inputs!AA95</f>
        <v>-</v>
      </c>
      <c r="AB143" s="235" t="str">
        <f>Inputs!AB95</f>
        <v>-</v>
      </c>
      <c r="AC143" s="235" t="str">
        <f>Inputs!AC95</f>
        <v>-</v>
      </c>
      <c r="AD143" s="235" t="str">
        <f>Inputs!AD95</f>
        <v>-</v>
      </c>
      <c r="AE143" s="235" t="str">
        <f>Inputs!AE95</f>
        <v>-</v>
      </c>
      <c r="AF143" s="235" t="str">
        <f>Inputs!AF95</f>
        <v>-</v>
      </c>
      <c r="AG143" s="235" t="str">
        <f>Inputs!AG95</f>
        <v>-</v>
      </c>
      <c r="AH143" s="235" t="str">
        <f>Inputs!AH95</f>
        <v>-</v>
      </c>
      <c r="AI143" s="235" t="str">
        <f>Inputs!AI95</f>
        <v>-</v>
      </c>
      <c r="AJ143" s="235" t="str">
        <f>Inputs!AJ95</f>
        <v>-</v>
      </c>
      <c r="AK143" s="235" t="str">
        <f>Inputs!AK95</f>
        <v>-</v>
      </c>
      <c r="AL143" s="235" t="str">
        <f>Inputs!AL95</f>
        <v>-</v>
      </c>
      <c r="AM143" s="235" t="str">
        <f>Inputs!AM95</f>
        <v>-</v>
      </c>
      <c r="AN143" s="235" t="str">
        <f>Inputs!AN95</f>
        <v>-</v>
      </c>
      <c r="AO143" s="235" t="str">
        <f>Inputs!AO95</f>
        <v>-</v>
      </c>
      <c r="AP143" s="235" t="str">
        <f>Inputs!AP95</f>
        <v>-</v>
      </c>
      <c r="AQ143" s="235" t="str">
        <f>Inputs!AQ95</f>
        <v>-</v>
      </c>
      <c r="AR143" s="235" t="str">
        <f>Inputs!AR95</f>
        <v>-</v>
      </c>
      <c r="AS143" s="235" t="str">
        <f>Inputs!AS95</f>
        <v>-</v>
      </c>
      <c r="AT143" s="248"/>
    </row>
    <row r="144">
      <c r="A144" s="80"/>
      <c r="B144" s="81"/>
      <c r="C144" s="445"/>
      <c r="D144" s="445"/>
      <c r="E144" s="455"/>
      <c r="F144" s="83"/>
      <c r="G144" s="83"/>
      <c r="H144" s="85"/>
      <c r="I144" s="86"/>
      <c r="J144" s="86"/>
      <c r="K144" s="86"/>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c r="AQ144" s="86"/>
      <c r="AR144" s="86"/>
      <c r="AS144" s="86"/>
      <c r="AT144" s="88"/>
    </row>
    <row r="145">
      <c r="A145" s="80"/>
      <c r="B145" s="81"/>
      <c r="C145" s="325" t="s">
        <v>336</v>
      </c>
      <c r="F145" s="83"/>
      <c r="G145" s="83"/>
      <c r="H145" s="85"/>
      <c r="I145" s="86"/>
      <c r="J145" s="86"/>
      <c r="K145" s="86"/>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c r="AQ145" s="86"/>
      <c r="AR145" s="86"/>
      <c r="AS145" s="86"/>
      <c r="AT145" s="88"/>
    </row>
    <row r="146">
      <c r="A146" s="80"/>
      <c r="B146" s="81"/>
      <c r="C146" s="81"/>
      <c r="D146" s="81"/>
      <c r="E146" s="188" t="s">
        <v>337</v>
      </c>
      <c r="F146" s="189" t="str">
        <f>F123</f>
        <v>%</v>
      </c>
      <c r="G146" s="189" t="s">
        <v>71</v>
      </c>
      <c r="H146" s="295" t="str">
        <f t="shared" ref="H146:AS146" si="57">H123</f>
        <v>-</v>
      </c>
      <c r="I146" s="119">
        <f t="shared" si="57"/>
        <v>0.4523656027</v>
      </c>
      <c r="J146" s="119">
        <f t="shared" si="57"/>
        <v>0.5681049406</v>
      </c>
      <c r="K146" s="119">
        <f t="shared" si="57"/>
        <v>0.4462527975</v>
      </c>
      <c r="L146" s="119">
        <f t="shared" si="57"/>
        <v>0.6486896469</v>
      </c>
      <c r="M146" s="119">
        <f t="shared" si="57"/>
        <v>0.4708392348</v>
      </c>
      <c r="N146" s="119">
        <f t="shared" si="57"/>
        <v>0.4277482077</v>
      </c>
      <c r="O146" s="119">
        <f t="shared" si="57"/>
        <v>0.4317137134</v>
      </c>
      <c r="P146" s="119">
        <f t="shared" si="57"/>
        <v>0.2504354618</v>
      </c>
      <c r="Q146" s="119">
        <f t="shared" si="57"/>
        <v>0.3495826351</v>
      </c>
      <c r="R146" s="119">
        <f t="shared" si="57"/>
        <v>0.8897432901</v>
      </c>
      <c r="S146" s="119">
        <f t="shared" si="57"/>
        <v>0.7564374042</v>
      </c>
      <c r="T146" s="119">
        <f t="shared" si="57"/>
        <v>0.8416491128</v>
      </c>
      <c r="U146" s="119">
        <f t="shared" si="57"/>
        <v>0.8662220902</v>
      </c>
      <c r="V146" s="119">
        <f t="shared" si="57"/>
        <v>0.7253869145</v>
      </c>
      <c r="W146" s="119">
        <f t="shared" si="57"/>
        <v>0.7419117799</v>
      </c>
      <c r="X146" s="119">
        <f t="shared" si="57"/>
        <v>0.7284897536</v>
      </c>
      <c r="Y146" s="119">
        <f t="shared" si="57"/>
        <v>0.9082747996</v>
      </c>
      <c r="Z146" s="119">
        <f t="shared" si="57"/>
        <v>0.8236155629</v>
      </c>
      <c r="AA146" s="119">
        <f t="shared" si="57"/>
        <v>0.9107396966</v>
      </c>
      <c r="AB146" s="119">
        <f t="shared" si="57"/>
        <v>0.9468821716</v>
      </c>
      <c r="AC146" s="119">
        <f t="shared" si="57"/>
        <v>0.9292907229</v>
      </c>
      <c r="AD146" s="119">
        <f t="shared" si="57"/>
        <v>0.9633801173</v>
      </c>
      <c r="AE146" s="119">
        <f t="shared" si="57"/>
        <v>0.91527921</v>
      </c>
      <c r="AF146" s="119">
        <f t="shared" si="57"/>
        <v>0.9533832385</v>
      </c>
      <c r="AG146" s="119">
        <f t="shared" si="57"/>
        <v>0.8295722338</v>
      </c>
      <c r="AH146" s="119">
        <f t="shared" si="57"/>
        <v>0.723426034</v>
      </c>
      <c r="AI146" s="119">
        <f t="shared" si="57"/>
        <v>0.9383455219</v>
      </c>
      <c r="AJ146" s="119">
        <f t="shared" si="57"/>
        <v>0.7163610542</v>
      </c>
      <c r="AK146" s="119">
        <f t="shared" si="57"/>
        <v>0.5249392114</v>
      </c>
      <c r="AL146" s="119">
        <f t="shared" si="57"/>
        <v>0.7630306711</v>
      </c>
      <c r="AM146" s="119">
        <f t="shared" si="57"/>
        <v>0.792589974</v>
      </c>
      <c r="AN146" s="119">
        <f t="shared" si="57"/>
        <v>0.9042648764</v>
      </c>
      <c r="AO146" s="119">
        <f t="shared" si="57"/>
        <v>0.7995587158</v>
      </c>
      <c r="AP146" s="119">
        <f t="shared" si="57"/>
        <v>0.8406323309</v>
      </c>
      <c r="AQ146" s="119">
        <f t="shared" si="57"/>
        <v>0.8631744365</v>
      </c>
      <c r="AR146" s="119">
        <f t="shared" si="57"/>
        <v>0.554989071</v>
      </c>
      <c r="AS146" s="119">
        <f t="shared" si="57"/>
        <v>0.4582058459</v>
      </c>
      <c r="AT146" s="136"/>
    </row>
    <row r="147">
      <c r="A147" s="80"/>
      <c r="B147" s="81"/>
      <c r="C147" s="81"/>
      <c r="D147" s="81"/>
      <c r="E147" s="214" t="s">
        <v>343</v>
      </c>
      <c r="F147" s="215" t="s">
        <v>122</v>
      </c>
      <c r="G147" s="215" t="s">
        <v>149</v>
      </c>
      <c r="H147" s="187" t="s">
        <v>150</v>
      </c>
      <c r="I147" s="149">
        <f t="shared" ref="I147:AS147" si="58">SUMPRODUCT(I124:I126,$H135:$H137)</f>
        <v>0.3340233142</v>
      </c>
      <c r="J147" s="149">
        <f t="shared" si="58"/>
        <v>0.4261841469</v>
      </c>
      <c r="K147" s="149">
        <f t="shared" si="58"/>
        <v>0.3499142783</v>
      </c>
      <c r="L147" s="149">
        <f t="shared" si="58"/>
        <v>0.5215965535</v>
      </c>
      <c r="M147" s="149">
        <f t="shared" si="58"/>
        <v>0.3613988888</v>
      </c>
      <c r="N147" s="149">
        <f t="shared" si="58"/>
        <v>0.3478197579</v>
      </c>
      <c r="O147" s="149">
        <f t="shared" si="58"/>
        <v>0.3798111186</v>
      </c>
      <c r="P147" s="149">
        <f t="shared" si="58"/>
        <v>0.1391744003</v>
      </c>
      <c r="Q147" s="149">
        <f t="shared" si="58"/>
        <v>0.2449194087</v>
      </c>
      <c r="R147" s="149">
        <f t="shared" si="58"/>
        <v>0.7887087723</v>
      </c>
      <c r="S147" s="149">
        <f t="shared" si="58"/>
        <v>0.5987988135</v>
      </c>
      <c r="T147" s="149">
        <f t="shared" si="58"/>
        <v>0.7916612058</v>
      </c>
      <c r="U147" s="149">
        <f t="shared" si="58"/>
        <v>0.8121732891</v>
      </c>
      <c r="V147" s="149">
        <f t="shared" si="58"/>
        <v>0.6476513683</v>
      </c>
      <c r="W147" s="149">
        <f t="shared" si="58"/>
        <v>0.690843235</v>
      </c>
      <c r="X147" s="149">
        <f t="shared" si="58"/>
        <v>0.569280605</v>
      </c>
      <c r="Y147" s="149">
        <f t="shared" si="58"/>
        <v>0.8468544726</v>
      </c>
      <c r="Z147" s="149">
        <f t="shared" si="58"/>
        <v>0.721966537</v>
      </c>
      <c r="AA147" s="149">
        <f t="shared" si="58"/>
        <v>0.845318832</v>
      </c>
      <c r="AB147" s="149">
        <f t="shared" si="58"/>
        <v>0.8832011397</v>
      </c>
      <c r="AC147" s="149">
        <f t="shared" si="58"/>
        <v>0.8778168785</v>
      </c>
      <c r="AD147" s="149">
        <f t="shared" si="58"/>
        <v>0.8870192092</v>
      </c>
      <c r="AE147" s="149">
        <f t="shared" si="58"/>
        <v>0.8236130701</v>
      </c>
      <c r="AF147" s="149">
        <f t="shared" si="58"/>
        <v>0.8511490387</v>
      </c>
      <c r="AG147" s="149">
        <f t="shared" si="58"/>
        <v>0.6487208373</v>
      </c>
      <c r="AH147" s="149">
        <f t="shared" si="58"/>
        <v>0.6381315946</v>
      </c>
      <c r="AI147" s="149">
        <f t="shared" si="58"/>
        <v>0.8928774769</v>
      </c>
      <c r="AJ147" s="149">
        <f t="shared" si="58"/>
        <v>0.5708893052</v>
      </c>
      <c r="AK147" s="149">
        <f t="shared" si="58"/>
        <v>0.4234880625</v>
      </c>
      <c r="AL147" s="149">
        <f t="shared" si="58"/>
        <v>0.6105395375</v>
      </c>
      <c r="AM147" s="149">
        <f t="shared" si="58"/>
        <v>0.7118645505</v>
      </c>
      <c r="AN147" s="149">
        <f t="shared" si="58"/>
        <v>0.800870903</v>
      </c>
      <c r="AO147" s="149">
        <f t="shared" si="58"/>
        <v>0.6650543002</v>
      </c>
      <c r="AP147" s="149">
        <f t="shared" si="58"/>
        <v>0.6901790628</v>
      </c>
      <c r="AQ147" s="149">
        <f t="shared" si="58"/>
        <v>0.8136402117</v>
      </c>
      <c r="AR147" s="149">
        <f t="shared" si="58"/>
        <v>0.4576900266</v>
      </c>
      <c r="AS147" s="149">
        <f t="shared" si="58"/>
        <v>0.4237402253</v>
      </c>
      <c r="AT147" s="163"/>
    </row>
    <row r="148">
      <c r="A148" s="80"/>
      <c r="B148" s="81"/>
      <c r="C148" s="81"/>
      <c r="D148" s="81"/>
      <c r="E148" s="214" t="s">
        <v>347</v>
      </c>
      <c r="F148" s="215" t="s">
        <v>122</v>
      </c>
      <c r="G148" s="215" t="s">
        <v>149</v>
      </c>
      <c r="H148" s="187" t="s">
        <v>150</v>
      </c>
      <c r="I148" s="149">
        <f t="shared" ref="I148:AS148" si="59">SUMPRODUCT(I124:I126,$H135:$H137)</f>
        <v>0.3340233142</v>
      </c>
      <c r="J148" s="149">
        <f t="shared" si="59"/>
        <v>0.4261841469</v>
      </c>
      <c r="K148" s="149">
        <f t="shared" si="59"/>
        <v>0.3499142783</v>
      </c>
      <c r="L148" s="149">
        <f t="shared" si="59"/>
        <v>0.5215965535</v>
      </c>
      <c r="M148" s="149">
        <f t="shared" si="59"/>
        <v>0.3613988888</v>
      </c>
      <c r="N148" s="149">
        <f t="shared" si="59"/>
        <v>0.3478197579</v>
      </c>
      <c r="O148" s="149">
        <f t="shared" si="59"/>
        <v>0.3798111186</v>
      </c>
      <c r="P148" s="149">
        <f t="shared" si="59"/>
        <v>0.1391744003</v>
      </c>
      <c r="Q148" s="149">
        <f t="shared" si="59"/>
        <v>0.2449194087</v>
      </c>
      <c r="R148" s="149">
        <f t="shared" si="59"/>
        <v>0.7887087723</v>
      </c>
      <c r="S148" s="149">
        <f t="shared" si="59"/>
        <v>0.5987988135</v>
      </c>
      <c r="T148" s="149">
        <f t="shared" si="59"/>
        <v>0.7916612058</v>
      </c>
      <c r="U148" s="149">
        <f t="shared" si="59"/>
        <v>0.8121732891</v>
      </c>
      <c r="V148" s="149">
        <f t="shared" si="59"/>
        <v>0.6476513683</v>
      </c>
      <c r="W148" s="149">
        <f t="shared" si="59"/>
        <v>0.690843235</v>
      </c>
      <c r="X148" s="149">
        <f t="shared" si="59"/>
        <v>0.569280605</v>
      </c>
      <c r="Y148" s="149">
        <f t="shared" si="59"/>
        <v>0.8468544726</v>
      </c>
      <c r="Z148" s="149">
        <f t="shared" si="59"/>
        <v>0.721966537</v>
      </c>
      <c r="AA148" s="149">
        <f t="shared" si="59"/>
        <v>0.845318832</v>
      </c>
      <c r="AB148" s="149">
        <f t="shared" si="59"/>
        <v>0.8832011397</v>
      </c>
      <c r="AC148" s="149">
        <f t="shared" si="59"/>
        <v>0.8778168785</v>
      </c>
      <c r="AD148" s="149">
        <f t="shared" si="59"/>
        <v>0.8870192092</v>
      </c>
      <c r="AE148" s="149">
        <f t="shared" si="59"/>
        <v>0.8236130701</v>
      </c>
      <c r="AF148" s="149">
        <f t="shared" si="59"/>
        <v>0.8511490387</v>
      </c>
      <c r="AG148" s="149">
        <f t="shared" si="59"/>
        <v>0.6487208373</v>
      </c>
      <c r="AH148" s="149">
        <f t="shared" si="59"/>
        <v>0.6381315946</v>
      </c>
      <c r="AI148" s="149">
        <f t="shared" si="59"/>
        <v>0.8928774769</v>
      </c>
      <c r="AJ148" s="149">
        <f t="shared" si="59"/>
        <v>0.5708893052</v>
      </c>
      <c r="AK148" s="149">
        <f t="shared" si="59"/>
        <v>0.4234880625</v>
      </c>
      <c r="AL148" s="149">
        <f t="shared" si="59"/>
        <v>0.6105395375</v>
      </c>
      <c r="AM148" s="149">
        <f t="shared" si="59"/>
        <v>0.7118645505</v>
      </c>
      <c r="AN148" s="149">
        <f t="shared" si="59"/>
        <v>0.800870903</v>
      </c>
      <c r="AO148" s="149">
        <f t="shared" si="59"/>
        <v>0.6650543002</v>
      </c>
      <c r="AP148" s="149">
        <f t="shared" si="59"/>
        <v>0.6901790628</v>
      </c>
      <c r="AQ148" s="149">
        <f t="shared" si="59"/>
        <v>0.8136402117</v>
      </c>
      <c r="AR148" s="149">
        <f t="shared" si="59"/>
        <v>0.4576900266</v>
      </c>
      <c r="AS148" s="149">
        <f t="shared" si="59"/>
        <v>0.4237402253</v>
      </c>
      <c r="AT148" s="163"/>
    </row>
    <row r="149">
      <c r="A149" s="80"/>
      <c r="B149" s="81"/>
      <c r="C149" s="81"/>
      <c r="D149" s="81"/>
      <c r="E149" s="214" t="s">
        <v>350</v>
      </c>
      <c r="F149" s="215" t="s">
        <v>122</v>
      </c>
      <c r="G149" s="215" t="s">
        <v>149</v>
      </c>
      <c r="H149" s="187" t="s">
        <v>150</v>
      </c>
      <c r="I149" s="149">
        <f t="shared" ref="I149:AS149" si="60">SUMPRODUCT(I127:I129,$H138:$H140)</f>
        <v>0.3343437483</v>
      </c>
      <c r="J149" s="149">
        <f t="shared" si="60"/>
        <v>0.4227338176</v>
      </c>
      <c r="K149" s="149">
        <f t="shared" si="60"/>
        <v>0.3519235308</v>
      </c>
      <c r="L149" s="149">
        <f t="shared" si="60"/>
        <v>0.5343202257</v>
      </c>
      <c r="M149" s="149">
        <f t="shared" si="60"/>
        <v>0.3647018976</v>
      </c>
      <c r="N149" s="149">
        <f t="shared" si="60"/>
        <v>0.333203247</v>
      </c>
      <c r="O149" s="149">
        <f t="shared" si="60"/>
        <v>0.3798021137</v>
      </c>
      <c r="P149" s="149">
        <f t="shared" si="60"/>
        <v>0.112932559</v>
      </c>
      <c r="Q149" s="149">
        <f t="shared" si="60"/>
        <v>0.2560958376</v>
      </c>
      <c r="R149" s="149">
        <f t="shared" si="60"/>
        <v>0.7924239994</v>
      </c>
      <c r="S149" s="149">
        <f t="shared" si="60"/>
        <v>0.6034024596</v>
      </c>
      <c r="T149" s="149">
        <f t="shared" si="60"/>
        <v>0.7837314125</v>
      </c>
      <c r="U149" s="149">
        <f t="shared" si="60"/>
        <v>0.806899662</v>
      </c>
      <c r="V149" s="149">
        <f t="shared" si="60"/>
        <v>0.6509992202</v>
      </c>
      <c r="W149" s="149">
        <f t="shared" si="60"/>
        <v>0.6635960477</v>
      </c>
      <c r="X149" s="149">
        <f t="shared" si="60"/>
        <v>0.5135087231</v>
      </c>
      <c r="Y149" s="149">
        <f t="shared" si="60"/>
        <v>0.8635450183</v>
      </c>
      <c r="Z149" s="149">
        <f t="shared" si="60"/>
        <v>0.7092341878</v>
      </c>
      <c r="AA149" s="149">
        <f t="shared" si="60"/>
        <v>0.841314004</v>
      </c>
      <c r="AB149" s="149">
        <f t="shared" si="60"/>
        <v>0.8571335158</v>
      </c>
      <c r="AC149" s="149">
        <f t="shared" si="60"/>
        <v>0.8516124489</v>
      </c>
      <c r="AD149" s="149">
        <f t="shared" si="60"/>
        <v>0.9114240837</v>
      </c>
      <c r="AE149" s="149">
        <f t="shared" si="60"/>
        <v>0.8267944987</v>
      </c>
      <c r="AF149" s="149">
        <f t="shared" si="60"/>
        <v>0.8652298901</v>
      </c>
      <c r="AG149" s="149">
        <f t="shared" si="60"/>
        <v>0.6559249818</v>
      </c>
      <c r="AH149" s="149">
        <f t="shared" si="60"/>
        <v>0.6080788493</v>
      </c>
      <c r="AI149" s="149">
        <f t="shared" si="60"/>
        <v>0.8846556586</v>
      </c>
      <c r="AJ149" s="149">
        <f t="shared" si="60"/>
        <v>0.5712584473</v>
      </c>
      <c r="AK149" s="149">
        <f t="shared" si="60"/>
        <v>0.404828162</v>
      </c>
      <c r="AL149" s="149">
        <f t="shared" si="60"/>
        <v>0.6073017263</v>
      </c>
      <c r="AM149" s="149">
        <f t="shared" si="60"/>
        <v>0.6988536335</v>
      </c>
      <c r="AN149" s="149">
        <f t="shared" si="60"/>
        <v>0.7725756131</v>
      </c>
      <c r="AO149" s="149">
        <f t="shared" si="60"/>
        <v>0.6441085445</v>
      </c>
      <c r="AP149" s="149">
        <f t="shared" si="60"/>
        <v>0.65380487</v>
      </c>
      <c r="AQ149" s="149">
        <f t="shared" si="60"/>
        <v>0.8059927554</v>
      </c>
      <c r="AR149" s="149">
        <f t="shared" si="60"/>
        <v>0.4558909192</v>
      </c>
      <c r="AS149" s="149">
        <f t="shared" si="60"/>
        <v>0.4112602864</v>
      </c>
      <c r="AT149" s="163"/>
    </row>
    <row r="150">
      <c r="A150" s="80"/>
      <c r="B150" s="81"/>
      <c r="C150" s="81"/>
      <c r="D150" s="81"/>
      <c r="E150" s="214" t="s">
        <v>359</v>
      </c>
      <c r="F150" s="215" t="s">
        <v>122</v>
      </c>
      <c r="G150" s="215" t="s">
        <v>149</v>
      </c>
      <c r="H150" s="187" t="s">
        <v>150</v>
      </c>
      <c r="I150" s="149">
        <f t="shared" ref="I150:AS150" si="61">SUMPRODUCT($H130:$H131,$H141:$H142)</f>
        <v>0</v>
      </c>
      <c r="J150" s="149">
        <f t="shared" si="61"/>
        <v>0</v>
      </c>
      <c r="K150" s="149">
        <f t="shared" si="61"/>
        <v>0</v>
      </c>
      <c r="L150" s="149">
        <f t="shared" si="61"/>
        <v>0</v>
      </c>
      <c r="M150" s="149">
        <f t="shared" si="61"/>
        <v>0</v>
      </c>
      <c r="N150" s="149">
        <f t="shared" si="61"/>
        <v>0</v>
      </c>
      <c r="O150" s="149">
        <f t="shared" si="61"/>
        <v>0</v>
      </c>
      <c r="P150" s="149">
        <f t="shared" si="61"/>
        <v>0</v>
      </c>
      <c r="Q150" s="149">
        <f t="shared" si="61"/>
        <v>0</v>
      </c>
      <c r="R150" s="149">
        <f t="shared" si="61"/>
        <v>0</v>
      </c>
      <c r="S150" s="149">
        <f t="shared" si="61"/>
        <v>0</v>
      </c>
      <c r="T150" s="149">
        <f t="shared" si="61"/>
        <v>0</v>
      </c>
      <c r="U150" s="149">
        <f t="shared" si="61"/>
        <v>0</v>
      </c>
      <c r="V150" s="149">
        <f t="shared" si="61"/>
        <v>0</v>
      </c>
      <c r="W150" s="149">
        <f t="shared" si="61"/>
        <v>0</v>
      </c>
      <c r="X150" s="149">
        <f t="shared" si="61"/>
        <v>0</v>
      </c>
      <c r="Y150" s="149">
        <f t="shared" si="61"/>
        <v>0</v>
      </c>
      <c r="Z150" s="149">
        <f t="shared" si="61"/>
        <v>0</v>
      </c>
      <c r="AA150" s="149">
        <f t="shared" si="61"/>
        <v>0</v>
      </c>
      <c r="AB150" s="149">
        <f t="shared" si="61"/>
        <v>0</v>
      </c>
      <c r="AC150" s="149">
        <f t="shared" si="61"/>
        <v>0</v>
      </c>
      <c r="AD150" s="149">
        <f t="shared" si="61"/>
        <v>0</v>
      </c>
      <c r="AE150" s="149">
        <f t="shared" si="61"/>
        <v>0</v>
      </c>
      <c r="AF150" s="149">
        <f t="shared" si="61"/>
        <v>0</v>
      </c>
      <c r="AG150" s="149">
        <f t="shared" si="61"/>
        <v>0</v>
      </c>
      <c r="AH150" s="149">
        <f t="shared" si="61"/>
        <v>0</v>
      </c>
      <c r="AI150" s="149">
        <f t="shared" si="61"/>
        <v>0</v>
      </c>
      <c r="AJ150" s="149">
        <f t="shared" si="61"/>
        <v>0</v>
      </c>
      <c r="AK150" s="149">
        <f t="shared" si="61"/>
        <v>0</v>
      </c>
      <c r="AL150" s="149">
        <f t="shared" si="61"/>
        <v>0</v>
      </c>
      <c r="AM150" s="149">
        <f t="shared" si="61"/>
        <v>0</v>
      </c>
      <c r="AN150" s="149">
        <f t="shared" si="61"/>
        <v>0</v>
      </c>
      <c r="AO150" s="149">
        <f t="shared" si="61"/>
        <v>0</v>
      </c>
      <c r="AP150" s="149">
        <f t="shared" si="61"/>
        <v>0</v>
      </c>
      <c r="AQ150" s="149">
        <f t="shared" si="61"/>
        <v>0</v>
      </c>
      <c r="AR150" s="149">
        <f t="shared" si="61"/>
        <v>0</v>
      </c>
      <c r="AS150" s="149">
        <f t="shared" si="61"/>
        <v>0</v>
      </c>
      <c r="AT150" s="163"/>
    </row>
    <row r="151">
      <c r="A151" s="80"/>
      <c r="B151" s="81"/>
      <c r="C151" s="81"/>
      <c r="D151" s="81"/>
      <c r="E151" s="194" t="s">
        <v>363</v>
      </c>
      <c r="F151" s="231" t="str">
        <f>F132</f>
        <v>%</v>
      </c>
      <c r="G151" s="195" t="s">
        <v>149</v>
      </c>
      <c r="H151" s="306" t="str">
        <f>H132</f>
        <v>-</v>
      </c>
      <c r="I151" s="240">
        <f t="shared" ref="I151:AS151" si="62">PRODUCT(I132,$H143)</f>
        <v>0.2654947142</v>
      </c>
      <c r="J151" s="240">
        <f t="shared" si="62"/>
        <v>0.3461682554</v>
      </c>
      <c r="K151" s="240">
        <f t="shared" si="62"/>
        <v>0.3320019543</v>
      </c>
      <c r="L151" s="240">
        <f t="shared" si="62"/>
        <v>0.4999402847</v>
      </c>
      <c r="M151" s="240">
        <f t="shared" si="62"/>
        <v>0.3235830783</v>
      </c>
      <c r="N151" s="240">
        <f t="shared" si="62"/>
        <v>0.3245641915</v>
      </c>
      <c r="O151" s="240">
        <f t="shared" si="62"/>
        <v>0.4442495184</v>
      </c>
      <c r="P151" s="240">
        <f t="shared" si="62"/>
        <v>0.1447542448</v>
      </c>
      <c r="Q151" s="240">
        <f t="shared" si="62"/>
        <v>0.3115142752</v>
      </c>
      <c r="R151" s="240">
        <f t="shared" si="62"/>
        <v>0.7279204568</v>
      </c>
      <c r="S151" s="240">
        <f t="shared" si="62"/>
        <v>0.5515457526</v>
      </c>
      <c r="T151" s="240">
        <f t="shared" si="62"/>
        <v>0.6798128197</v>
      </c>
      <c r="U151" s="240">
        <f t="shared" si="62"/>
        <v>0.7119305656</v>
      </c>
      <c r="V151" s="240">
        <f t="shared" si="62"/>
        <v>0.5911160671</v>
      </c>
      <c r="W151" s="240">
        <f t="shared" si="62"/>
        <v>0.609152982</v>
      </c>
      <c r="X151" s="240">
        <f t="shared" si="62"/>
        <v>0.4850216877</v>
      </c>
      <c r="Y151" s="240">
        <f t="shared" si="62"/>
        <v>0.7679947878</v>
      </c>
      <c r="Z151" s="240">
        <f t="shared" si="62"/>
        <v>0.685820638</v>
      </c>
      <c r="AA151" s="240">
        <f t="shared" si="62"/>
        <v>0.7508642841</v>
      </c>
      <c r="AB151" s="240">
        <f t="shared" si="62"/>
        <v>0.8311603314</v>
      </c>
      <c r="AC151" s="240">
        <f t="shared" si="62"/>
        <v>0.8746766348</v>
      </c>
      <c r="AD151" s="240">
        <f t="shared" si="62"/>
        <v>0.8055941269</v>
      </c>
      <c r="AE151" s="240">
        <f t="shared" si="62"/>
        <v>0.8305937266</v>
      </c>
      <c r="AF151" s="240">
        <f t="shared" si="62"/>
        <v>0.7509786928</v>
      </c>
      <c r="AG151" s="240">
        <f t="shared" si="62"/>
        <v>0.687831993</v>
      </c>
      <c r="AH151" s="240">
        <f t="shared" si="62"/>
        <v>0.6568043851</v>
      </c>
      <c r="AI151" s="240">
        <f t="shared" si="62"/>
        <v>0.8732278466</v>
      </c>
      <c r="AJ151" s="240">
        <f t="shared" si="62"/>
        <v>0.5325270515</v>
      </c>
      <c r="AK151" s="240">
        <f t="shared" si="62"/>
        <v>0.4297689847</v>
      </c>
      <c r="AL151" s="240">
        <f t="shared" si="62"/>
        <v>0.5746423492</v>
      </c>
      <c r="AM151" s="240">
        <f t="shared" si="62"/>
        <v>0.6923863122</v>
      </c>
      <c r="AN151" s="240">
        <f t="shared" si="62"/>
        <v>0.7384112572</v>
      </c>
      <c r="AO151" s="240">
        <f t="shared" si="62"/>
        <v>0.5721014039</v>
      </c>
      <c r="AP151" s="240">
        <f t="shared" si="62"/>
        <v>0.679322936</v>
      </c>
      <c r="AQ151" s="240">
        <f t="shared" si="62"/>
        <v>0.7779876286</v>
      </c>
      <c r="AR151" s="240">
        <f t="shared" si="62"/>
        <v>0.4738128593</v>
      </c>
      <c r="AS151" s="240">
        <f t="shared" si="62"/>
        <v>0.430659244</v>
      </c>
      <c r="AT151" s="248"/>
    </row>
    <row r="152">
      <c r="A152" s="333"/>
      <c r="B152" s="334"/>
      <c r="C152" s="334"/>
      <c r="D152" s="334"/>
      <c r="E152" s="335"/>
      <c r="F152" s="251"/>
      <c r="G152" s="251"/>
      <c r="H152" s="337"/>
      <c r="I152" s="338"/>
      <c r="J152" s="338"/>
      <c r="K152" s="338"/>
      <c r="L152" s="338"/>
      <c r="M152" s="338"/>
      <c r="N152" s="338"/>
      <c r="O152" s="338"/>
      <c r="P152" s="338"/>
      <c r="Q152" s="338"/>
      <c r="R152" s="338"/>
      <c r="S152" s="338"/>
      <c r="T152" s="338"/>
      <c r="U152" s="338"/>
      <c r="V152" s="338"/>
      <c r="W152" s="338"/>
      <c r="X152" s="338"/>
      <c r="Y152" s="338"/>
      <c r="Z152" s="338"/>
      <c r="AA152" s="338"/>
      <c r="AB152" s="338"/>
      <c r="AC152" s="338"/>
      <c r="AD152" s="338"/>
      <c r="AE152" s="338"/>
      <c r="AF152" s="338"/>
      <c r="AG152" s="338"/>
      <c r="AH152" s="338"/>
      <c r="AI152" s="338"/>
      <c r="AJ152" s="338"/>
      <c r="AK152" s="338"/>
      <c r="AL152" s="338"/>
      <c r="AM152" s="338"/>
      <c r="AN152" s="338"/>
      <c r="AO152" s="338"/>
      <c r="AP152" s="338"/>
      <c r="AQ152" s="338"/>
      <c r="AR152" s="338"/>
      <c r="AS152" s="338"/>
      <c r="AT152" s="265"/>
    </row>
  </sheetData>
  <mergeCells count="27">
    <mergeCell ref="I1:Q1"/>
    <mergeCell ref="R1:AE1"/>
    <mergeCell ref="AF1:AS1"/>
    <mergeCell ref="A3:E3"/>
    <mergeCell ref="A5:G5"/>
    <mergeCell ref="C7:E7"/>
    <mergeCell ref="C14:E14"/>
    <mergeCell ref="C21:E21"/>
    <mergeCell ref="A29:G29"/>
    <mergeCell ref="C31:E31"/>
    <mergeCell ref="C41:E41"/>
    <mergeCell ref="A53:G53"/>
    <mergeCell ref="C55:E55"/>
    <mergeCell ref="C62:E62"/>
    <mergeCell ref="C113:E113"/>
    <mergeCell ref="C117:E117"/>
    <mergeCell ref="A120:G120"/>
    <mergeCell ref="C122:E122"/>
    <mergeCell ref="C134:E134"/>
    <mergeCell ref="C145:E145"/>
    <mergeCell ref="C71:E71"/>
    <mergeCell ref="C79:E79"/>
    <mergeCell ref="A84:G84"/>
    <mergeCell ref="C86:E86"/>
    <mergeCell ref="C90:E90"/>
    <mergeCell ref="C96:E96"/>
    <mergeCell ref="C107:E107"/>
  </mergeCells>
  <hyperlinks>
    <hyperlink display="Adjustment for higher confidence in coverage survey results" location="Inputs!E41" ref="E11"/>
    <hyperlink display="Proportion of children reported to have received the BCG vaccine in New Incentives' coverage surveys" location="Inputs!E44" ref="E15"/>
    <hyperlink display="Proportion of children reported to have received the 1st dose of the Penta vaccine in New Incentives' coverage surveys" location="Inputs!E45" ref="E16"/>
    <hyperlink display="Proportion of children reported to have received the 2nd dose of the Penta vaccine in New Incentives' coverage surveys" location="Inputs!E46" ref="E17"/>
    <hyperlink display="Proportion of children reported to have received the 3rd dose of the Penta vaccine in New Incentives' coverage surveys" location="Inputs!E47" ref="E18"/>
    <hyperlink display="Proportion of children reported to have received the 1st dose of the measles vaccine in New Incentives' coverage surveys" location="Inputs!E48" ref="E19"/>
    <hyperlink display="Adjustment for self-report bias in New Incentives' coverage surveys" location="Inputs!E51" ref="E22"/>
    <hyperlink display="Proportion of children reported to have received the BCG vaccine in the 2021 MICS survey" location="Inputs!E54" ref="E32"/>
    <hyperlink display="Proportion of children reported to have received the 1st dose of the Penta vaccine in the 2021 MICS survey" location="Inputs!E55" ref="E33"/>
    <hyperlink display="Proportion of children reported to have received the 2nd dose of the Penta vaccine in the 2021 MICS survey" location="Inputs!E56" ref="E34"/>
    <hyperlink display="Proportion of children reported to have received the 3rd dose of the Penta vaccine in the 2021 MICS survey" location="Inputs!E57" ref="E35"/>
    <hyperlink display="Proportion of children reported to have received the 1st dose of the PCV vaccine in the 2021 MICS survey" location="Inputs!E58" ref="E36"/>
    <hyperlink display="Proportion of children reported to have received the 2nd dose of the PCV vaccine in the 2021 MICS survey" location="Inputs!E59" ref="E37"/>
    <hyperlink display="Proportion of children reported to have received the 3rd dose of the PCV vaccine in the 2021 MICS survey" location="Inputs!E60" ref="E38"/>
    <hyperlink display="Proportion of children reported to have received the 1st dose of the measles vaccine in the 2021 MICS survey" location="Inputs!E61" ref="E39"/>
    <hyperlink display="Proportion of positive responses that came from self-report in the 2021 MICS survey" location="Inputs!E71" ref="E42"/>
    <hyperlink display="Proportion of children reported to have received the BCG vaccine in the 2017 MICS survey" location="Inputs!E67" ref="E56"/>
    <hyperlink display="Proportion of children reported to have received the 1st dose of the Penta vaccine in the 2017 MICS survey" location="Inputs!E64" ref="E57"/>
    <hyperlink display="Proportion of children reported to have received the 2nd dose of the Penta vaccine in the 2017 MICS survey" location="Inputs!E65" ref="E58"/>
    <hyperlink display="Proportion of children reported to have received the 3rd dose of the Penta vaccine in the 2017 MICS survey" location="Inputs!E66" ref="E59"/>
    <hyperlink display="Proportion of children reported to have received the 1st dose of the measles vaccine in the 2017 MICS survey" location="Inputs!E68" ref="E60"/>
    <hyperlink display="Proportion of positive responses that came from self-report in the 2017 MICS survey" location="Inputs!E72" ref="E63"/>
    <hyperlink display="Weight placed on the results of New Incentives' coverage surveys for estimating BCG, Penta, and PCV coverage" location="'Vaccine coverage'!E12" ref="E87"/>
    <hyperlink display="Weight placed on estimated coverage for the Penta vaccine for estimating rotavirus vaccine coverage" location="Inputs!E75" ref="E108"/>
    <hyperlink display="Weight placed on estimated coverage for the PCV vaccine for estimating rotavirus vaccine coverage" location="Inputs!E76" ref="E109"/>
    <hyperlink display="Weight placed on the results of New Incentives' coverage surveys for estimating measles vaccine coverage" location="Inputs!E83" ref="E114"/>
    <hyperlink display="Weight placed on the results of the 2021 MICS survey for estimating measles vaccine coverage" location="Inputs!E84" ref="E115"/>
    <hyperlink display="Proportion of people under age 5 represented in GBD 2021 disease burden estimates who received the 1st dose of the rotavirus vaccine" location="Inputs!E79" ref="E130"/>
    <hyperlink display="Proportion of people under age 5 represented in GBD 2021 disease burden estimates who received the 2nd dose of the rotavirus vaccine" location="Inputs!E80" ref="E131"/>
    <hyperlink display="Proportion of total Penta vaccine efficacy provided by the 1st dose" location="Inputs!E87" ref="E135"/>
    <hyperlink display="Proportion of total Penta vaccine efficacy provided by the 2nd dose" location="Inputs!E88" ref="E136"/>
    <hyperlink display="Proportion of total Penta vaccine efficacy provided by the 3rd dose" location="Inputs!E89" ref="E137"/>
    <hyperlink display="Proportion of total PCV vaccine efficacy provided by the 1st dose" location="Inputs!E90" ref="E138"/>
    <hyperlink display="Proportion of total PCV vaccine efficacy provided by the 2nd dose" location="Inputs!E91" ref="E139"/>
    <hyperlink display="Proportion of total PCV vaccine efficacy provided by the 3rd dose" location="Inputs!E92" ref="E140"/>
    <hyperlink display="Proportion of total rotavirus vaccine efficacy provided by the 1st dose" location="Inputs!E93" ref="E141"/>
    <hyperlink display="Proportion of total rotavirus vaccine efficacy provided by the 2nd dose" location="Inputs!E94" ref="E142"/>
    <hyperlink display="Proportion of total measles vaccine efficacy provided by the 1st dose" location="Inputs!E95" ref="E143"/>
    <hyperlink display="Proportion of people under age 5 represented in GBD 2021 disease burden estimates who received the BCG vaccine" location="'Vaccine coverage'!E123" ref="E146"/>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45" width="12.13"/>
    <col customWidth="1" min="46" max="46" width="3.63"/>
  </cols>
  <sheetData>
    <row r="1">
      <c r="A1" s="1"/>
      <c r="B1" s="3"/>
      <c r="C1" s="3"/>
      <c r="D1" s="3"/>
      <c r="E1" s="5"/>
      <c r="F1" s="7"/>
      <c r="G1" s="8"/>
      <c r="H1" s="9"/>
      <c r="I1" s="20" t="s">
        <v>1</v>
      </c>
      <c r="J1" s="14"/>
      <c r="K1" s="14"/>
      <c r="L1" s="14"/>
      <c r="M1" s="14"/>
      <c r="N1" s="14"/>
      <c r="O1" s="14"/>
      <c r="P1" s="14"/>
      <c r="Q1" s="14"/>
      <c r="R1" s="16" t="s">
        <v>3</v>
      </c>
      <c r="S1" s="14"/>
      <c r="T1" s="14"/>
      <c r="U1" s="14"/>
      <c r="V1" s="14"/>
      <c r="W1" s="14"/>
      <c r="X1" s="14"/>
      <c r="Y1" s="14"/>
      <c r="Z1" s="14"/>
      <c r="AA1" s="14"/>
      <c r="AB1" s="14"/>
      <c r="AC1" s="14"/>
      <c r="AD1" s="14"/>
      <c r="AE1" s="14"/>
      <c r="AF1" s="20" t="s">
        <v>3</v>
      </c>
      <c r="AG1" s="14"/>
      <c r="AH1" s="14"/>
      <c r="AI1" s="14"/>
      <c r="AJ1" s="14"/>
      <c r="AK1" s="14"/>
      <c r="AL1" s="14"/>
      <c r="AM1" s="14"/>
      <c r="AN1" s="14"/>
      <c r="AO1" s="14"/>
      <c r="AP1" s="14"/>
      <c r="AQ1" s="14"/>
      <c r="AR1" s="14"/>
      <c r="AS1" s="14"/>
      <c r="AT1" s="23"/>
    </row>
    <row r="2">
      <c r="A2" s="24"/>
      <c r="B2" s="25"/>
      <c r="C2" s="25"/>
      <c r="D2" s="25"/>
      <c r="E2" s="27"/>
      <c r="F2" s="28"/>
      <c r="G2" s="29"/>
      <c r="H2" s="31"/>
      <c r="I2" s="35" t="s">
        <v>7</v>
      </c>
      <c r="J2" s="35" t="s">
        <v>7</v>
      </c>
      <c r="K2" s="35" t="s">
        <v>7</v>
      </c>
      <c r="L2" s="35" t="s">
        <v>7</v>
      </c>
      <c r="M2" s="35" t="s">
        <v>7</v>
      </c>
      <c r="N2" s="35" t="s">
        <v>7</v>
      </c>
      <c r="O2" s="35" t="s">
        <v>7</v>
      </c>
      <c r="P2" s="35" t="s">
        <v>7</v>
      </c>
      <c r="Q2" s="40" t="s">
        <v>7</v>
      </c>
      <c r="R2" s="35" t="s">
        <v>7</v>
      </c>
      <c r="S2" s="35" t="s">
        <v>7</v>
      </c>
      <c r="T2" s="35" t="s">
        <v>7</v>
      </c>
      <c r="U2" s="35" t="s">
        <v>7</v>
      </c>
      <c r="V2" s="35" t="s">
        <v>7</v>
      </c>
      <c r="W2" s="35" t="s">
        <v>7</v>
      </c>
      <c r="X2" s="35" t="s">
        <v>7</v>
      </c>
      <c r="Y2" s="35" t="s">
        <v>7</v>
      </c>
      <c r="Z2" s="35" t="s">
        <v>7</v>
      </c>
      <c r="AA2" s="35" t="s">
        <v>7</v>
      </c>
      <c r="AB2" s="35" t="s">
        <v>7</v>
      </c>
      <c r="AC2" s="35" t="s">
        <v>7</v>
      </c>
      <c r="AD2" s="35" t="s">
        <v>7</v>
      </c>
      <c r="AE2" s="35" t="s">
        <v>7</v>
      </c>
      <c r="AF2" s="35" t="s">
        <v>7</v>
      </c>
      <c r="AG2" s="35" t="s">
        <v>7</v>
      </c>
      <c r="AH2" s="35" t="s">
        <v>7</v>
      </c>
      <c r="AI2" s="35" t="s">
        <v>7</v>
      </c>
      <c r="AJ2" s="35" t="s">
        <v>7</v>
      </c>
      <c r="AK2" s="35" t="s">
        <v>7</v>
      </c>
      <c r="AL2" s="35" t="s">
        <v>7</v>
      </c>
      <c r="AM2" s="35" t="s">
        <v>7</v>
      </c>
      <c r="AN2" s="35" t="s">
        <v>7</v>
      </c>
      <c r="AO2" s="35" t="s">
        <v>7</v>
      </c>
      <c r="AP2" s="35" t="s">
        <v>7</v>
      </c>
      <c r="AQ2" s="35" t="s">
        <v>7</v>
      </c>
      <c r="AR2" s="35" t="s">
        <v>7</v>
      </c>
      <c r="AS2" s="35" t="s">
        <v>7</v>
      </c>
      <c r="AT2" s="42"/>
    </row>
    <row r="3">
      <c r="A3" s="43" t="s">
        <v>18</v>
      </c>
      <c r="B3" s="12"/>
      <c r="C3" s="12"/>
      <c r="D3" s="12"/>
      <c r="E3" s="12"/>
      <c r="F3" s="44" t="s">
        <v>21</v>
      </c>
      <c r="G3" s="45" t="s">
        <v>22</v>
      </c>
      <c r="H3" s="46" t="s">
        <v>24</v>
      </c>
      <c r="I3" s="47" t="s">
        <v>26</v>
      </c>
      <c r="J3" s="47" t="s">
        <v>28</v>
      </c>
      <c r="K3" s="47" t="s">
        <v>30</v>
      </c>
      <c r="L3" s="47" t="s">
        <v>31</v>
      </c>
      <c r="M3" s="47" t="s">
        <v>32</v>
      </c>
      <c r="N3" s="47" t="s">
        <v>33</v>
      </c>
      <c r="O3" s="47" t="s">
        <v>34</v>
      </c>
      <c r="P3" s="47" t="s">
        <v>35</v>
      </c>
      <c r="Q3" s="48" t="s">
        <v>37</v>
      </c>
      <c r="R3" s="47" t="s">
        <v>38</v>
      </c>
      <c r="S3" s="47" t="s">
        <v>39</v>
      </c>
      <c r="T3" s="47" t="s">
        <v>40</v>
      </c>
      <c r="U3" s="47" t="s">
        <v>41</v>
      </c>
      <c r="V3" s="47" t="s">
        <v>42</v>
      </c>
      <c r="W3" s="47" t="s">
        <v>44</v>
      </c>
      <c r="X3" s="47" t="s">
        <v>45</v>
      </c>
      <c r="Y3" s="47" t="s">
        <v>46</v>
      </c>
      <c r="Z3" s="47" t="s">
        <v>47</v>
      </c>
      <c r="AA3" s="47" t="s">
        <v>48</v>
      </c>
      <c r="AB3" s="47" t="s">
        <v>49</v>
      </c>
      <c r="AC3" s="47" t="s">
        <v>50</v>
      </c>
      <c r="AD3" s="47" t="s">
        <v>51</v>
      </c>
      <c r="AE3" s="47" t="s">
        <v>52</v>
      </c>
      <c r="AF3" s="47" t="s">
        <v>53</v>
      </c>
      <c r="AG3" s="47" t="s">
        <v>54</v>
      </c>
      <c r="AH3" s="47" t="s">
        <v>55</v>
      </c>
      <c r="AI3" s="47" t="s">
        <v>56</v>
      </c>
      <c r="AJ3" s="47" t="s">
        <v>57</v>
      </c>
      <c r="AK3" s="47" t="s">
        <v>58</v>
      </c>
      <c r="AL3" s="47" t="s">
        <v>59</v>
      </c>
      <c r="AM3" s="47" t="s">
        <v>60</v>
      </c>
      <c r="AN3" s="47" t="s">
        <v>61</v>
      </c>
      <c r="AO3" s="47" t="s">
        <v>63</v>
      </c>
      <c r="AP3" s="47" t="s">
        <v>64</v>
      </c>
      <c r="AQ3" s="47" t="s">
        <v>65</v>
      </c>
      <c r="AR3" s="47" t="s">
        <v>66</v>
      </c>
      <c r="AS3" s="47" t="s">
        <v>67</v>
      </c>
      <c r="AT3" s="53"/>
    </row>
    <row r="4">
      <c r="A4" s="54"/>
      <c r="B4" s="56"/>
      <c r="C4" s="56"/>
      <c r="D4" s="56"/>
      <c r="E4" s="57" t="s">
        <v>70</v>
      </c>
      <c r="F4" s="61" t="str">
        <f>'Main CEA'!F241</f>
        <v>xcash</v>
      </c>
      <c r="G4" s="62" t="str">
        <f>'Main CEA'!G241</f>
        <v>calc</v>
      </c>
      <c r="H4" s="65" t="str">
        <f>'Main CEA'!H241</f>
        <v>-</v>
      </c>
      <c r="I4" s="67">
        <f>'Main CEA'!I241</f>
        <v>23.79888889</v>
      </c>
      <c r="J4" s="67">
        <f>'Main CEA'!J241</f>
        <v>10.80064073</v>
      </c>
      <c r="K4" s="67">
        <f>'Main CEA'!K241</f>
        <v>19.89994382</v>
      </c>
      <c r="L4" s="67">
        <f>'Main CEA'!L241</f>
        <v>5.656827509</v>
      </c>
      <c r="M4" s="67">
        <f>'Main CEA'!M241</f>
        <v>13.12917563</v>
      </c>
      <c r="N4" s="67">
        <f>'Main CEA'!N241</f>
        <v>20.32981152</v>
      </c>
      <c r="O4" s="67">
        <f>'Main CEA'!O241</f>
        <v>31.53213901</v>
      </c>
      <c r="P4" s="67">
        <f>'Main CEA'!P241</f>
        <v>51.33089054</v>
      </c>
      <c r="Q4" s="67">
        <f>'Main CEA'!Q241</f>
        <v>38.10262623</v>
      </c>
      <c r="R4" s="67">
        <f>'Main CEA'!R241</f>
        <v>1.867786341</v>
      </c>
      <c r="S4" s="67">
        <f>'Main CEA'!S241</f>
        <v>4.225686691</v>
      </c>
      <c r="T4" s="67">
        <f>'Main CEA'!T241</f>
        <v>1.768109683</v>
      </c>
      <c r="U4" s="67">
        <f>'Main CEA'!U241</f>
        <v>2.150636078</v>
      </c>
      <c r="V4" s="67">
        <f>'Main CEA'!V241</f>
        <v>2.992986954</v>
      </c>
      <c r="W4" s="67">
        <f>'Main CEA'!W241</f>
        <v>3.694768058</v>
      </c>
      <c r="X4" s="67">
        <f>'Main CEA'!X241</f>
        <v>7.445203475</v>
      </c>
      <c r="Y4" s="67">
        <f>'Main CEA'!Y241</f>
        <v>1.470093695</v>
      </c>
      <c r="Z4" s="67">
        <f>'Main CEA'!Z241</f>
        <v>2.491823062</v>
      </c>
      <c r="AA4" s="67">
        <f>'Main CEA'!AA241</f>
        <v>0.9010486621</v>
      </c>
      <c r="AB4" s="67">
        <f>'Main CEA'!AB241</f>
        <v>1.689729482</v>
      </c>
      <c r="AC4" s="67">
        <f>'Main CEA'!AC241</f>
        <v>1.163916063</v>
      </c>
      <c r="AD4" s="67">
        <f>'Main CEA'!AD241</f>
        <v>0.9454095081</v>
      </c>
      <c r="AE4" s="67">
        <f>'Main CEA'!AE241</f>
        <v>1.452673546</v>
      </c>
      <c r="AF4" s="67">
        <f>'Main CEA'!AF241</f>
        <v>1.113372117</v>
      </c>
      <c r="AG4" s="67">
        <f>'Main CEA'!AG241</f>
        <v>2.326412741</v>
      </c>
      <c r="AH4" s="67">
        <f>'Main CEA'!AH241</f>
        <v>2.58552318</v>
      </c>
      <c r="AI4" s="67">
        <f>'Main CEA'!AI241</f>
        <v>1.057455961</v>
      </c>
      <c r="AJ4" s="67">
        <f>'Main CEA'!AJ241</f>
        <v>4.122478511</v>
      </c>
      <c r="AK4" s="67">
        <f>'Main CEA'!AK241</f>
        <v>8.328347179</v>
      </c>
      <c r="AL4" s="67">
        <f>'Main CEA'!AL241</f>
        <v>3.316423642</v>
      </c>
      <c r="AM4" s="67">
        <f>'Main CEA'!AM241</f>
        <v>2.891797582</v>
      </c>
      <c r="AN4" s="67">
        <f>'Main CEA'!AN241</f>
        <v>1.109345771</v>
      </c>
      <c r="AO4" s="67">
        <f>'Main CEA'!AO241</f>
        <v>1.997283971</v>
      </c>
      <c r="AP4" s="67">
        <f>'Main CEA'!AP241</f>
        <v>2.667363328</v>
      </c>
      <c r="AQ4" s="67">
        <f>'Main CEA'!AQ241</f>
        <v>1.639182556</v>
      </c>
      <c r="AR4" s="67">
        <f>'Main CEA'!AR241</f>
        <v>7.705572783</v>
      </c>
      <c r="AS4" s="67">
        <f>'Main CEA'!AS241</f>
        <v>6.722833091</v>
      </c>
      <c r="AT4" s="71"/>
    </row>
    <row r="5">
      <c r="A5" s="72" t="s">
        <v>15</v>
      </c>
      <c r="B5" s="14"/>
      <c r="C5" s="14"/>
      <c r="D5" s="14"/>
      <c r="E5" s="14"/>
      <c r="F5" s="14"/>
      <c r="G5" s="14"/>
      <c r="H5" s="73"/>
      <c r="I5" s="74"/>
      <c r="J5" s="74"/>
      <c r="K5" s="74"/>
      <c r="L5" s="74"/>
      <c r="M5" s="74"/>
      <c r="N5" s="74"/>
      <c r="O5" s="74"/>
      <c r="P5" s="97"/>
      <c r="Q5" s="97"/>
      <c r="R5" s="74"/>
      <c r="S5" s="74"/>
      <c r="T5" s="74"/>
      <c r="U5" s="74"/>
      <c r="V5" s="74"/>
      <c r="W5" s="74"/>
      <c r="X5" s="74"/>
      <c r="Y5" s="74"/>
      <c r="Z5" s="74"/>
      <c r="AA5" s="74"/>
      <c r="AB5" s="74"/>
      <c r="AC5" s="74"/>
      <c r="AD5" s="74"/>
      <c r="AE5" s="74"/>
      <c r="AF5" s="74"/>
      <c r="AG5" s="74"/>
      <c r="AH5" s="74"/>
      <c r="AI5" s="74"/>
      <c r="AJ5" s="97"/>
      <c r="AK5" s="97"/>
      <c r="AL5" s="97"/>
      <c r="AM5" s="97"/>
      <c r="AN5" s="97"/>
      <c r="AO5" s="97"/>
      <c r="AP5" s="97"/>
      <c r="AQ5" s="97"/>
      <c r="AR5" s="97"/>
      <c r="AS5" s="97"/>
      <c r="AT5" s="79"/>
    </row>
    <row r="6">
      <c r="A6" s="80"/>
      <c r="B6" s="81"/>
      <c r="C6" s="90"/>
      <c r="F6" s="83"/>
      <c r="G6" s="84"/>
      <c r="H6" s="85"/>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8"/>
    </row>
    <row r="7">
      <c r="A7" s="80"/>
      <c r="B7" s="81"/>
      <c r="C7" s="126" t="s">
        <v>747</v>
      </c>
      <c r="F7" s="83"/>
      <c r="G7" s="135"/>
      <c r="H7" s="85"/>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8"/>
    </row>
    <row r="8">
      <c r="A8" s="80"/>
      <c r="B8" s="81"/>
      <c r="C8" s="90"/>
      <c r="D8" s="90"/>
      <c r="E8" s="113" t="s">
        <v>749</v>
      </c>
      <c r="F8" s="189" t="str">
        <f>Inputs!F16</f>
        <v>%</v>
      </c>
      <c r="G8" s="263" t="str">
        <f>Inputs!G16</f>
        <v>input</v>
      </c>
      <c r="H8" s="156">
        <f>Inputs!H16</f>
        <v>0.85</v>
      </c>
      <c r="I8" s="157" t="str">
        <f>Inputs!I16</f>
        <v>-</v>
      </c>
      <c r="J8" s="157" t="str">
        <f>Inputs!J16</f>
        <v>-</v>
      </c>
      <c r="K8" s="157" t="str">
        <f>Inputs!K16</f>
        <v>-</v>
      </c>
      <c r="L8" s="157" t="str">
        <f>Inputs!L16</f>
        <v>-</v>
      </c>
      <c r="M8" s="157" t="str">
        <f>Inputs!M16</f>
        <v>-</v>
      </c>
      <c r="N8" s="157" t="str">
        <f>Inputs!N16</f>
        <v>-</v>
      </c>
      <c r="O8" s="157" t="str">
        <f>Inputs!O16</f>
        <v>-</v>
      </c>
      <c r="P8" s="157" t="str">
        <f>Inputs!P16</f>
        <v>-</v>
      </c>
      <c r="Q8" s="157" t="str">
        <f>Inputs!Q16</f>
        <v>-</v>
      </c>
      <c r="R8" s="157" t="str">
        <f>Inputs!R16</f>
        <v>-</v>
      </c>
      <c r="S8" s="157" t="str">
        <f>Inputs!S16</f>
        <v>-</v>
      </c>
      <c r="T8" s="157" t="str">
        <f>Inputs!T16</f>
        <v>-</v>
      </c>
      <c r="U8" s="157" t="str">
        <f>Inputs!U16</f>
        <v>-</v>
      </c>
      <c r="V8" s="157" t="str">
        <f>Inputs!V16</f>
        <v>-</v>
      </c>
      <c r="W8" s="157" t="str">
        <f>Inputs!W16</f>
        <v>-</v>
      </c>
      <c r="X8" s="157" t="str">
        <f>Inputs!X16</f>
        <v>-</v>
      </c>
      <c r="Y8" s="157" t="str">
        <f>Inputs!Y16</f>
        <v>-</v>
      </c>
      <c r="Z8" s="157" t="str">
        <f>Inputs!Z16</f>
        <v>-</v>
      </c>
      <c r="AA8" s="157" t="str">
        <f>Inputs!AA16</f>
        <v>-</v>
      </c>
      <c r="AB8" s="157" t="str">
        <f>Inputs!AB16</f>
        <v>-</v>
      </c>
      <c r="AC8" s="157" t="str">
        <f>Inputs!AC16</f>
        <v>-</v>
      </c>
      <c r="AD8" s="157" t="str">
        <f>Inputs!AD16</f>
        <v>-</v>
      </c>
      <c r="AE8" s="157" t="str">
        <f>Inputs!AE16</f>
        <v>-</v>
      </c>
      <c r="AF8" s="157" t="str">
        <f>Inputs!AF16</f>
        <v>-</v>
      </c>
      <c r="AG8" s="157" t="str">
        <f>Inputs!AG16</f>
        <v>-</v>
      </c>
      <c r="AH8" s="157" t="str">
        <f>Inputs!AH16</f>
        <v>-</v>
      </c>
      <c r="AI8" s="157" t="str">
        <f>Inputs!AI16</f>
        <v>-</v>
      </c>
      <c r="AJ8" s="157" t="str">
        <f>Inputs!AJ16</f>
        <v>-</v>
      </c>
      <c r="AK8" s="157" t="str">
        <f>Inputs!AK16</f>
        <v>-</v>
      </c>
      <c r="AL8" s="157" t="str">
        <f>Inputs!AL16</f>
        <v>-</v>
      </c>
      <c r="AM8" s="157" t="str">
        <f>Inputs!AM16</f>
        <v>-</v>
      </c>
      <c r="AN8" s="157" t="str">
        <f>Inputs!AN16</f>
        <v>-</v>
      </c>
      <c r="AO8" s="157" t="str">
        <f>Inputs!AO16</f>
        <v>-</v>
      </c>
      <c r="AP8" s="157" t="str">
        <f>Inputs!AP16</f>
        <v>-</v>
      </c>
      <c r="AQ8" s="157" t="str">
        <f>Inputs!AQ16</f>
        <v>-</v>
      </c>
      <c r="AR8" s="157" t="str">
        <f>Inputs!AR16</f>
        <v>-</v>
      </c>
      <c r="AS8" s="157" t="str">
        <f>Inputs!AS16</f>
        <v>-</v>
      </c>
      <c r="AT8" s="136"/>
    </row>
    <row r="9">
      <c r="A9" s="80"/>
      <c r="B9" s="81"/>
      <c r="C9" s="90"/>
      <c r="D9" s="90"/>
      <c r="E9" s="113" t="s">
        <v>753</v>
      </c>
      <c r="F9" s="215" t="str">
        <f>Inputs!F17</f>
        <v>%</v>
      </c>
      <c r="G9" s="277" t="str">
        <f>Inputs!G17</f>
        <v>input</v>
      </c>
      <c r="H9" s="176">
        <f>Inputs!H17</f>
        <v>0.84</v>
      </c>
      <c r="I9" s="179" t="str">
        <f>Inputs!I17</f>
        <v>-</v>
      </c>
      <c r="J9" s="179" t="str">
        <f>Inputs!J17</f>
        <v>-</v>
      </c>
      <c r="K9" s="179" t="str">
        <f>Inputs!K17</f>
        <v>-</v>
      </c>
      <c r="L9" s="179" t="str">
        <f>Inputs!L17</f>
        <v>-</v>
      </c>
      <c r="M9" s="179" t="str">
        <f>Inputs!M17</f>
        <v>-</v>
      </c>
      <c r="N9" s="179" t="str">
        <f>Inputs!N17</f>
        <v>-</v>
      </c>
      <c r="O9" s="179" t="str">
        <f>Inputs!O17</f>
        <v>-</v>
      </c>
      <c r="P9" s="179" t="str">
        <f>Inputs!P17</f>
        <v>-</v>
      </c>
      <c r="Q9" s="179" t="str">
        <f>Inputs!Q17</f>
        <v>-</v>
      </c>
      <c r="R9" s="179" t="str">
        <f>Inputs!R17</f>
        <v>-</v>
      </c>
      <c r="S9" s="179" t="str">
        <f>Inputs!S17</f>
        <v>-</v>
      </c>
      <c r="T9" s="179" t="str">
        <f>Inputs!T17</f>
        <v>-</v>
      </c>
      <c r="U9" s="179" t="str">
        <f>Inputs!U17</f>
        <v>-</v>
      </c>
      <c r="V9" s="179" t="str">
        <f>Inputs!V17</f>
        <v>-</v>
      </c>
      <c r="W9" s="179" t="str">
        <f>Inputs!W17</f>
        <v>-</v>
      </c>
      <c r="X9" s="179" t="str">
        <f>Inputs!X17</f>
        <v>-</v>
      </c>
      <c r="Y9" s="179" t="str">
        <f>Inputs!Y17</f>
        <v>-</v>
      </c>
      <c r="Z9" s="179" t="str">
        <f>Inputs!Z17</f>
        <v>-</v>
      </c>
      <c r="AA9" s="179" t="str">
        <f>Inputs!AA17</f>
        <v>-</v>
      </c>
      <c r="AB9" s="179" t="str">
        <f>Inputs!AB17</f>
        <v>-</v>
      </c>
      <c r="AC9" s="179" t="str">
        <f>Inputs!AC17</f>
        <v>-</v>
      </c>
      <c r="AD9" s="179" t="str">
        <f>Inputs!AD17</f>
        <v>-</v>
      </c>
      <c r="AE9" s="179" t="str">
        <f>Inputs!AE17</f>
        <v>-</v>
      </c>
      <c r="AF9" s="179" t="str">
        <f>Inputs!AF17</f>
        <v>-</v>
      </c>
      <c r="AG9" s="179" t="str">
        <f>Inputs!AG17</f>
        <v>-</v>
      </c>
      <c r="AH9" s="179" t="str">
        <f>Inputs!AH17</f>
        <v>-</v>
      </c>
      <c r="AI9" s="179" t="str">
        <f>Inputs!AI17</f>
        <v>-</v>
      </c>
      <c r="AJ9" s="179" t="str">
        <f>Inputs!AJ17</f>
        <v>-</v>
      </c>
      <c r="AK9" s="179" t="str">
        <f>Inputs!AK17</f>
        <v>-</v>
      </c>
      <c r="AL9" s="179" t="str">
        <f>Inputs!AL17</f>
        <v>-</v>
      </c>
      <c r="AM9" s="179" t="str">
        <f>Inputs!AM17</f>
        <v>-</v>
      </c>
      <c r="AN9" s="179" t="str">
        <f>Inputs!AN17</f>
        <v>-</v>
      </c>
      <c r="AO9" s="179" t="str">
        <f>Inputs!AO17</f>
        <v>-</v>
      </c>
      <c r="AP9" s="179" t="str">
        <f>Inputs!AP17</f>
        <v>-</v>
      </c>
      <c r="AQ9" s="179" t="str">
        <f>Inputs!AQ17</f>
        <v>-</v>
      </c>
      <c r="AR9" s="179" t="str">
        <f>Inputs!AR17</f>
        <v>-</v>
      </c>
      <c r="AS9" s="179" t="str">
        <f>Inputs!AS17</f>
        <v>-</v>
      </c>
      <c r="AT9" s="163"/>
    </row>
    <row r="10">
      <c r="A10" s="80"/>
      <c r="B10" s="81"/>
      <c r="C10" s="90"/>
      <c r="D10" s="90"/>
      <c r="E10" s="113" t="s">
        <v>756</v>
      </c>
      <c r="F10" s="215" t="str">
        <f>Inputs!F18</f>
        <v>%</v>
      </c>
      <c r="G10" s="277" t="str">
        <f>Inputs!G18</f>
        <v>input</v>
      </c>
      <c r="H10" s="176">
        <f>Inputs!H18</f>
        <v>0.82</v>
      </c>
      <c r="I10" s="179" t="str">
        <f>Inputs!I18</f>
        <v>-</v>
      </c>
      <c r="J10" s="179" t="str">
        <f>Inputs!J18</f>
        <v>-</v>
      </c>
      <c r="K10" s="179" t="str">
        <f>Inputs!K18</f>
        <v>-</v>
      </c>
      <c r="L10" s="179" t="str">
        <f>Inputs!L18</f>
        <v>-</v>
      </c>
      <c r="M10" s="179" t="str">
        <f>Inputs!M18</f>
        <v>-</v>
      </c>
      <c r="N10" s="179" t="str">
        <f>Inputs!N18</f>
        <v>-</v>
      </c>
      <c r="O10" s="179" t="str">
        <f>Inputs!O18</f>
        <v>-</v>
      </c>
      <c r="P10" s="179" t="str">
        <f>Inputs!P18</f>
        <v>-</v>
      </c>
      <c r="Q10" s="179" t="str">
        <f>Inputs!Q18</f>
        <v>-</v>
      </c>
      <c r="R10" s="179" t="str">
        <f>Inputs!R18</f>
        <v>-</v>
      </c>
      <c r="S10" s="179" t="str">
        <f>Inputs!S18</f>
        <v>-</v>
      </c>
      <c r="T10" s="179" t="str">
        <f>Inputs!T18</f>
        <v>-</v>
      </c>
      <c r="U10" s="179" t="str">
        <f>Inputs!U18</f>
        <v>-</v>
      </c>
      <c r="V10" s="179" t="str">
        <f>Inputs!V18</f>
        <v>-</v>
      </c>
      <c r="W10" s="179" t="str">
        <f>Inputs!W18</f>
        <v>-</v>
      </c>
      <c r="X10" s="179" t="str">
        <f>Inputs!X18</f>
        <v>-</v>
      </c>
      <c r="Y10" s="179" t="str">
        <f>Inputs!Y18</f>
        <v>-</v>
      </c>
      <c r="Z10" s="179" t="str">
        <f>Inputs!Z18</f>
        <v>-</v>
      </c>
      <c r="AA10" s="179" t="str">
        <f>Inputs!AA18</f>
        <v>-</v>
      </c>
      <c r="AB10" s="179" t="str">
        <f>Inputs!AB18</f>
        <v>-</v>
      </c>
      <c r="AC10" s="179" t="str">
        <f>Inputs!AC18</f>
        <v>-</v>
      </c>
      <c r="AD10" s="179" t="str">
        <f>Inputs!AD18</f>
        <v>-</v>
      </c>
      <c r="AE10" s="179" t="str">
        <f>Inputs!AE18</f>
        <v>-</v>
      </c>
      <c r="AF10" s="179" t="str">
        <f>Inputs!AF18</f>
        <v>-</v>
      </c>
      <c r="AG10" s="179" t="str">
        <f>Inputs!AG18</f>
        <v>-</v>
      </c>
      <c r="AH10" s="179" t="str">
        <f>Inputs!AH18</f>
        <v>-</v>
      </c>
      <c r="AI10" s="179" t="str">
        <f>Inputs!AI18</f>
        <v>-</v>
      </c>
      <c r="AJ10" s="179" t="str">
        <f>Inputs!AJ18</f>
        <v>-</v>
      </c>
      <c r="AK10" s="179" t="str">
        <f>Inputs!AK18</f>
        <v>-</v>
      </c>
      <c r="AL10" s="179" t="str">
        <f>Inputs!AL18</f>
        <v>-</v>
      </c>
      <c r="AM10" s="179" t="str">
        <f>Inputs!AM18</f>
        <v>-</v>
      </c>
      <c r="AN10" s="179" t="str">
        <f>Inputs!AN18</f>
        <v>-</v>
      </c>
      <c r="AO10" s="179" t="str">
        <f>Inputs!AO18</f>
        <v>-</v>
      </c>
      <c r="AP10" s="179" t="str">
        <f>Inputs!AP18</f>
        <v>-</v>
      </c>
      <c r="AQ10" s="179" t="str">
        <f>Inputs!AQ18</f>
        <v>-</v>
      </c>
      <c r="AR10" s="179" t="str">
        <f>Inputs!AR18</f>
        <v>-</v>
      </c>
      <c r="AS10" s="179" t="str">
        <f>Inputs!AS18</f>
        <v>-</v>
      </c>
      <c r="AT10" s="163"/>
    </row>
    <row r="11">
      <c r="A11" s="80"/>
      <c r="B11" s="81"/>
      <c r="C11" s="90"/>
      <c r="D11" s="90"/>
      <c r="E11" s="113" t="s">
        <v>759</v>
      </c>
      <c r="F11" s="215" t="str">
        <f>Inputs!F19</f>
        <v>%</v>
      </c>
      <c r="G11" s="277" t="str">
        <f>Inputs!G19</f>
        <v>input</v>
      </c>
      <c r="H11" s="176">
        <f>Inputs!H19</f>
        <v>0.58</v>
      </c>
      <c r="I11" s="179" t="str">
        <f>Inputs!I19</f>
        <v>-</v>
      </c>
      <c r="J11" s="179" t="str">
        <f>Inputs!J19</f>
        <v>-</v>
      </c>
      <c r="K11" s="179" t="str">
        <f>Inputs!K19</f>
        <v>-</v>
      </c>
      <c r="L11" s="179" t="str">
        <f>Inputs!L19</f>
        <v>-</v>
      </c>
      <c r="M11" s="179" t="str">
        <f>Inputs!M19</f>
        <v>-</v>
      </c>
      <c r="N11" s="179" t="str">
        <f>Inputs!N19</f>
        <v>-</v>
      </c>
      <c r="O11" s="179" t="str">
        <f>Inputs!O19</f>
        <v>-</v>
      </c>
      <c r="P11" s="179" t="str">
        <f>Inputs!P19</f>
        <v>-</v>
      </c>
      <c r="Q11" s="179" t="str">
        <f>Inputs!Q19</f>
        <v>-</v>
      </c>
      <c r="R11" s="179" t="str">
        <f>Inputs!R19</f>
        <v>-</v>
      </c>
      <c r="S11" s="179" t="str">
        <f>Inputs!S19</f>
        <v>-</v>
      </c>
      <c r="T11" s="179" t="str">
        <f>Inputs!T19</f>
        <v>-</v>
      </c>
      <c r="U11" s="179" t="str">
        <f>Inputs!U19</f>
        <v>-</v>
      </c>
      <c r="V11" s="179" t="str">
        <f>Inputs!V19</f>
        <v>-</v>
      </c>
      <c r="W11" s="179" t="str">
        <f>Inputs!W19</f>
        <v>-</v>
      </c>
      <c r="X11" s="179" t="str">
        <f>Inputs!X19</f>
        <v>-</v>
      </c>
      <c r="Y11" s="179" t="str">
        <f>Inputs!Y19</f>
        <v>-</v>
      </c>
      <c r="Z11" s="179" t="str">
        <f>Inputs!Z19</f>
        <v>-</v>
      </c>
      <c r="AA11" s="179" t="str">
        <f>Inputs!AA19</f>
        <v>-</v>
      </c>
      <c r="AB11" s="179" t="str">
        <f>Inputs!AB19</f>
        <v>-</v>
      </c>
      <c r="AC11" s="179" t="str">
        <f>Inputs!AC19</f>
        <v>-</v>
      </c>
      <c r="AD11" s="179" t="str">
        <f>Inputs!AD19</f>
        <v>-</v>
      </c>
      <c r="AE11" s="179" t="str">
        <f>Inputs!AE19</f>
        <v>-</v>
      </c>
      <c r="AF11" s="179" t="str">
        <f>Inputs!AF19</f>
        <v>-</v>
      </c>
      <c r="AG11" s="179" t="str">
        <f>Inputs!AG19</f>
        <v>-</v>
      </c>
      <c r="AH11" s="179" t="str">
        <f>Inputs!AH19</f>
        <v>-</v>
      </c>
      <c r="AI11" s="179" t="str">
        <f>Inputs!AI19</f>
        <v>-</v>
      </c>
      <c r="AJ11" s="179" t="str">
        <f>Inputs!AJ19</f>
        <v>-</v>
      </c>
      <c r="AK11" s="179" t="str">
        <f>Inputs!AK19</f>
        <v>-</v>
      </c>
      <c r="AL11" s="179" t="str">
        <f>Inputs!AL19</f>
        <v>-</v>
      </c>
      <c r="AM11" s="179" t="str">
        <f>Inputs!AM19</f>
        <v>-</v>
      </c>
      <c r="AN11" s="179" t="str">
        <f>Inputs!AN19</f>
        <v>-</v>
      </c>
      <c r="AO11" s="179" t="str">
        <f>Inputs!AO19</f>
        <v>-</v>
      </c>
      <c r="AP11" s="179" t="str">
        <f>Inputs!AP19</f>
        <v>-</v>
      </c>
      <c r="AQ11" s="179" t="str">
        <f>Inputs!AQ19</f>
        <v>-</v>
      </c>
      <c r="AR11" s="179" t="str">
        <f>Inputs!AR19</f>
        <v>-</v>
      </c>
      <c r="AS11" s="179" t="str">
        <f>Inputs!AS19</f>
        <v>-</v>
      </c>
      <c r="AT11" s="163"/>
    </row>
    <row r="12">
      <c r="A12" s="80"/>
      <c r="B12" s="81"/>
      <c r="C12" s="90"/>
      <c r="D12" s="90"/>
      <c r="E12" s="113" t="s">
        <v>762</v>
      </c>
      <c r="F12" s="189" t="str">
        <f>Inputs!F20</f>
        <v>%</v>
      </c>
      <c r="G12" s="263" t="str">
        <f>Inputs!G20</f>
        <v>input</v>
      </c>
      <c r="H12" s="156">
        <f>Inputs!H20</f>
        <v>0.46</v>
      </c>
      <c r="I12" s="157" t="str">
        <f>Inputs!I20</f>
        <v>-</v>
      </c>
      <c r="J12" s="157" t="str">
        <f>Inputs!J20</f>
        <v>-</v>
      </c>
      <c r="K12" s="157" t="str">
        <f>Inputs!K20</f>
        <v>-</v>
      </c>
      <c r="L12" s="157" t="str">
        <f>Inputs!L20</f>
        <v>-</v>
      </c>
      <c r="M12" s="157" t="str">
        <f>Inputs!M20</f>
        <v>-</v>
      </c>
      <c r="N12" s="157" t="str">
        <f>Inputs!N20</f>
        <v>-</v>
      </c>
      <c r="O12" s="157" t="str">
        <f>Inputs!O20</f>
        <v>-</v>
      </c>
      <c r="P12" s="157" t="str">
        <f>Inputs!P20</f>
        <v>-</v>
      </c>
      <c r="Q12" s="157" t="str">
        <f>Inputs!Q20</f>
        <v>-</v>
      </c>
      <c r="R12" s="157" t="str">
        <f>Inputs!R20</f>
        <v>-</v>
      </c>
      <c r="S12" s="157" t="str">
        <f>Inputs!S20</f>
        <v>-</v>
      </c>
      <c r="T12" s="157" t="str">
        <f>Inputs!T20</f>
        <v>-</v>
      </c>
      <c r="U12" s="157" t="str">
        <f>Inputs!U20</f>
        <v>-</v>
      </c>
      <c r="V12" s="157" t="str">
        <f>Inputs!V20</f>
        <v>-</v>
      </c>
      <c r="W12" s="157" t="str">
        <f>Inputs!W20</f>
        <v>-</v>
      </c>
      <c r="X12" s="157" t="str">
        <f>Inputs!X20</f>
        <v>-</v>
      </c>
      <c r="Y12" s="157" t="str">
        <f>Inputs!Y20</f>
        <v>-</v>
      </c>
      <c r="Z12" s="157" t="str">
        <f>Inputs!Z20</f>
        <v>-</v>
      </c>
      <c r="AA12" s="157" t="str">
        <f>Inputs!AA20</f>
        <v>-</v>
      </c>
      <c r="AB12" s="157" t="str">
        <f>Inputs!AB20</f>
        <v>-</v>
      </c>
      <c r="AC12" s="157" t="str">
        <f>Inputs!AC20</f>
        <v>-</v>
      </c>
      <c r="AD12" s="157" t="str">
        <f>Inputs!AD20</f>
        <v>-</v>
      </c>
      <c r="AE12" s="157" t="str">
        <f>Inputs!AE20</f>
        <v>-</v>
      </c>
      <c r="AF12" s="157" t="str">
        <f>Inputs!AF20</f>
        <v>-</v>
      </c>
      <c r="AG12" s="157" t="str">
        <f>Inputs!AG20</f>
        <v>-</v>
      </c>
      <c r="AH12" s="157" t="str">
        <f>Inputs!AH20</f>
        <v>-</v>
      </c>
      <c r="AI12" s="157" t="str">
        <f>Inputs!AI20</f>
        <v>-</v>
      </c>
      <c r="AJ12" s="157" t="str">
        <f>Inputs!AJ20</f>
        <v>-</v>
      </c>
      <c r="AK12" s="157" t="str">
        <f>Inputs!AK20</f>
        <v>-</v>
      </c>
      <c r="AL12" s="157" t="str">
        <f>Inputs!AL20</f>
        <v>-</v>
      </c>
      <c r="AM12" s="157" t="str">
        <f>Inputs!AM20</f>
        <v>-</v>
      </c>
      <c r="AN12" s="157" t="str">
        <f>Inputs!AN20</f>
        <v>-</v>
      </c>
      <c r="AO12" s="157" t="str">
        <f>Inputs!AO20</f>
        <v>-</v>
      </c>
      <c r="AP12" s="157" t="str">
        <f>Inputs!AP20</f>
        <v>-</v>
      </c>
      <c r="AQ12" s="157" t="str">
        <f>Inputs!AQ20</f>
        <v>-</v>
      </c>
      <c r="AR12" s="157" t="str">
        <f>Inputs!AR20</f>
        <v>-</v>
      </c>
      <c r="AS12" s="157" t="str">
        <f>Inputs!AS20</f>
        <v>-</v>
      </c>
      <c r="AT12" s="136"/>
    </row>
    <row r="13">
      <c r="A13" s="80"/>
      <c r="B13" s="81"/>
      <c r="C13" s="90"/>
      <c r="D13" s="90"/>
      <c r="E13" s="237" t="s">
        <v>767</v>
      </c>
      <c r="F13" s="195" t="str">
        <f>Inputs!F21</f>
        <v>%</v>
      </c>
      <c r="G13" s="316" t="str">
        <f>Inputs!G21</f>
        <v>input</v>
      </c>
      <c r="H13" s="234">
        <f>Inputs!H21</f>
        <v>0.85</v>
      </c>
      <c r="I13" s="235" t="str">
        <f>Inputs!I21</f>
        <v>-</v>
      </c>
      <c r="J13" s="235" t="str">
        <f>Inputs!J21</f>
        <v>-</v>
      </c>
      <c r="K13" s="235" t="str">
        <f>Inputs!K21</f>
        <v>-</v>
      </c>
      <c r="L13" s="235" t="str">
        <f>Inputs!L21</f>
        <v>-</v>
      </c>
      <c r="M13" s="235" t="str">
        <f>Inputs!M21</f>
        <v>-</v>
      </c>
      <c r="N13" s="235" t="str">
        <f>Inputs!N21</f>
        <v>-</v>
      </c>
      <c r="O13" s="235" t="str">
        <f>Inputs!O21</f>
        <v>-</v>
      </c>
      <c r="P13" s="235" t="str">
        <f>Inputs!P21</f>
        <v>-</v>
      </c>
      <c r="Q13" s="235" t="str">
        <f>Inputs!Q21</f>
        <v>-</v>
      </c>
      <c r="R13" s="235" t="str">
        <f>Inputs!R21</f>
        <v>-</v>
      </c>
      <c r="S13" s="235" t="str">
        <f>Inputs!S21</f>
        <v>-</v>
      </c>
      <c r="T13" s="235" t="str">
        <f>Inputs!T21</f>
        <v>-</v>
      </c>
      <c r="U13" s="235" t="str">
        <f>Inputs!U21</f>
        <v>-</v>
      </c>
      <c r="V13" s="235" t="str">
        <f>Inputs!V21</f>
        <v>-</v>
      </c>
      <c r="W13" s="235" t="str">
        <f>Inputs!W21</f>
        <v>-</v>
      </c>
      <c r="X13" s="235" t="str">
        <f>Inputs!X21</f>
        <v>-</v>
      </c>
      <c r="Y13" s="235" t="str">
        <f>Inputs!Y21</f>
        <v>-</v>
      </c>
      <c r="Z13" s="235" t="str">
        <f>Inputs!Z21</f>
        <v>-</v>
      </c>
      <c r="AA13" s="235" t="str">
        <f>Inputs!AA21</f>
        <v>-</v>
      </c>
      <c r="AB13" s="235" t="str">
        <f>Inputs!AB21</f>
        <v>-</v>
      </c>
      <c r="AC13" s="235" t="str">
        <f>Inputs!AC21</f>
        <v>-</v>
      </c>
      <c r="AD13" s="235" t="str">
        <f>Inputs!AD21</f>
        <v>-</v>
      </c>
      <c r="AE13" s="235" t="str">
        <f>Inputs!AE21</f>
        <v>-</v>
      </c>
      <c r="AF13" s="235" t="str">
        <f>Inputs!AF21</f>
        <v>-</v>
      </c>
      <c r="AG13" s="235" t="str">
        <f>Inputs!AG21</f>
        <v>-</v>
      </c>
      <c r="AH13" s="235" t="str">
        <f>Inputs!AH21</f>
        <v>-</v>
      </c>
      <c r="AI13" s="235" t="str">
        <f>Inputs!AI21</f>
        <v>-</v>
      </c>
      <c r="AJ13" s="235" t="str">
        <f>Inputs!AJ21</f>
        <v>-</v>
      </c>
      <c r="AK13" s="235" t="str">
        <f>Inputs!AK21</f>
        <v>-</v>
      </c>
      <c r="AL13" s="235" t="str">
        <f>Inputs!AL21</f>
        <v>-</v>
      </c>
      <c r="AM13" s="235" t="str">
        <f>Inputs!AM21</f>
        <v>-</v>
      </c>
      <c r="AN13" s="235" t="str">
        <f>Inputs!AN21</f>
        <v>-</v>
      </c>
      <c r="AO13" s="235" t="str">
        <f>Inputs!AO21</f>
        <v>-</v>
      </c>
      <c r="AP13" s="235" t="str">
        <f>Inputs!AP21</f>
        <v>-</v>
      </c>
      <c r="AQ13" s="235" t="str">
        <f>Inputs!AQ21</f>
        <v>-</v>
      </c>
      <c r="AR13" s="235" t="str">
        <f>Inputs!AR21</f>
        <v>-</v>
      </c>
      <c r="AS13" s="235" t="str">
        <f>Inputs!AS21</f>
        <v>-</v>
      </c>
      <c r="AT13" s="248"/>
    </row>
    <row r="14">
      <c r="A14" s="80"/>
      <c r="B14" s="81"/>
      <c r="C14" s="90"/>
      <c r="D14" s="90"/>
      <c r="E14" s="243"/>
      <c r="F14" s="83"/>
      <c r="G14" s="91"/>
      <c r="H14" s="85"/>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8"/>
    </row>
    <row r="15">
      <c r="A15" s="72" t="s">
        <v>772</v>
      </c>
      <c r="B15" s="14"/>
      <c r="C15" s="14"/>
      <c r="D15" s="14"/>
      <c r="E15" s="14"/>
      <c r="F15" s="14"/>
      <c r="G15" s="14"/>
      <c r="H15" s="73"/>
      <c r="I15" s="97"/>
      <c r="J15" s="97"/>
      <c r="K15" s="97"/>
      <c r="L15" s="97"/>
      <c r="M15" s="97"/>
      <c r="N15" s="97"/>
      <c r="O15" s="97"/>
      <c r="P15" s="97"/>
      <c r="Q15" s="97"/>
      <c r="R15" s="97"/>
      <c r="S15" s="97"/>
      <c r="T15" s="97"/>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79"/>
    </row>
    <row r="16">
      <c r="A16" s="80"/>
      <c r="B16" s="81"/>
      <c r="C16" s="90"/>
      <c r="D16" s="90"/>
      <c r="E16" s="253"/>
      <c r="F16" s="83"/>
      <c r="G16" s="135"/>
      <c r="H16" s="85"/>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8"/>
    </row>
    <row r="17">
      <c r="A17" s="80"/>
      <c r="B17" s="81"/>
      <c r="C17" s="126" t="s">
        <v>773</v>
      </c>
      <c r="F17" s="83"/>
      <c r="G17" s="135"/>
      <c r="H17" s="85"/>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8"/>
    </row>
    <row r="18">
      <c r="A18" s="80"/>
      <c r="B18" s="81"/>
      <c r="C18" s="90"/>
      <c r="D18" s="90"/>
      <c r="E18" s="113" t="s">
        <v>767</v>
      </c>
      <c r="F18" s="189" t="str">
        <f>F13</f>
        <v>%</v>
      </c>
      <c r="G18" s="271" t="s">
        <v>71</v>
      </c>
      <c r="H18" s="156">
        <f t="shared" ref="H18:AS18" si="1">H13</f>
        <v>0.85</v>
      </c>
      <c r="I18" s="157" t="str">
        <f t="shared" si="1"/>
        <v>-</v>
      </c>
      <c r="J18" s="157" t="str">
        <f t="shared" si="1"/>
        <v>-</v>
      </c>
      <c r="K18" s="157" t="str">
        <f t="shared" si="1"/>
        <v>-</v>
      </c>
      <c r="L18" s="157" t="str">
        <f t="shared" si="1"/>
        <v>-</v>
      </c>
      <c r="M18" s="157" t="str">
        <f t="shared" si="1"/>
        <v>-</v>
      </c>
      <c r="N18" s="157" t="str">
        <f t="shared" si="1"/>
        <v>-</v>
      </c>
      <c r="O18" s="157" t="str">
        <f t="shared" si="1"/>
        <v>-</v>
      </c>
      <c r="P18" s="157" t="str">
        <f t="shared" si="1"/>
        <v>-</v>
      </c>
      <c r="Q18" s="157" t="str">
        <f t="shared" si="1"/>
        <v>-</v>
      </c>
      <c r="R18" s="157" t="str">
        <f t="shared" si="1"/>
        <v>-</v>
      </c>
      <c r="S18" s="157" t="str">
        <f t="shared" si="1"/>
        <v>-</v>
      </c>
      <c r="T18" s="157" t="str">
        <f t="shared" si="1"/>
        <v>-</v>
      </c>
      <c r="U18" s="157" t="str">
        <f t="shared" si="1"/>
        <v>-</v>
      </c>
      <c r="V18" s="157" t="str">
        <f t="shared" si="1"/>
        <v>-</v>
      </c>
      <c r="W18" s="157" t="str">
        <f t="shared" si="1"/>
        <v>-</v>
      </c>
      <c r="X18" s="157" t="str">
        <f t="shared" si="1"/>
        <v>-</v>
      </c>
      <c r="Y18" s="157" t="str">
        <f t="shared" si="1"/>
        <v>-</v>
      </c>
      <c r="Z18" s="157" t="str">
        <f t="shared" si="1"/>
        <v>-</v>
      </c>
      <c r="AA18" s="157" t="str">
        <f t="shared" si="1"/>
        <v>-</v>
      </c>
      <c r="AB18" s="157" t="str">
        <f t="shared" si="1"/>
        <v>-</v>
      </c>
      <c r="AC18" s="157" t="str">
        <f t="shared" si="1"/>
        <v>-</v>
      </c>
      <c r="AD18" s="157" t="str">
        <f t="shared" si="1"/>
        <v>-</v>
      </c>
      <c r="AE18" s="157" t="str">
        <f t="shared" si="1"/>
        <v>-</v>
      </c>
      <c r="AF18" s="157" t="str">
        <f t="shared" si="1"/>
        <v>-</v>
      </c>
      <c r="AG18" s="157" t="str">
        <f t="shared" si="1"/>
        <v>-</v>
      </c>
      <c r="AH18" s="157" t="str">
        <f t="shared" si="1"/>
        <v>-</v>
      </c>
      <c r="AI18" s="157" t="str">
        <f t="shared" si="1"/>
        <v>-</v>
      </c>
      <c r="AJ18" s="157" t="str">
        <f t="shared" si="1"/>
        <v>-</v>
      </c>
      <c r="AK18" s="157" t="str">
        <f t="shared" si="1"/>
        <v>-</v>
      </c>
      <c r="AL18" s="157" t="str">
        <f t="shared" si="1"/>
        <v>-</v>
      </c>
      <c r="AM18" s="157" t="str">
        <f t="shared" si="1"/>
        <v>-</v>
      </c>
      <c r="AN18" s="157" t="str">
        <f t="shared" si="1"/>
        <v>-</v>
      </c>
      <c r="AO18" s="157" t="str">
        <f t="shared" si="1"/>
        <v>-</v>
      </c>
      <c r="AP18" s="157" t="str">
        <f t="shared" si="1"/>
        <v>-</v>
      </c>
      <c r="AQ18" s="157" t="str">
        <f t="shared" si="1"/>
        <v>-</v>
      </c>
      <c r="AR18" s="157" t="str">
        <f t="shared" si="1"/>
        <v>-</v>
      </c>
      <c r="AS18" s="157" t="str">
        <f t="shared" si="1"/>
        <v>-</v>
      </c>
      <c r="AT18" s="136"/>
    </row>
    <row r="19">
      <c r="A19" s="80"/>
      <c r="B19" s="81"/>
      <c r="C19" s="90"/>
      <c r="D19" s="90"/>
      <c r="E19" s="140" t="s">
        <v>775</v>
      </c>
      <c r="F19" s="215" t="str">
        <f>Inputs!F24</f>
        <v>%</v>
      </c>
      <c r="G19" s="276" t="str">
        <f>Inputs!G24</f>
        <v>input</v>
      </c>
      <c r="H19" s="176">
        <f>Inputs!H24</f>
        <v>0.2572674</v>
      </c>
      <c r="I19" s="179" t="str">
        <f>Inputs!I24</f>
        <v>-</v>
      </c>
      <c r="J19" s="179" t="str">
        <f>Inputs!J24</f>
        <v>-</v>
      </c>
      <c r="K19" s="179" t="str">
        <f>Inputs!K24</f>
        <v>-</v>
      </c>
      <c r="L19" s="179" t="str">
        <f>Inputs!L24</f>
        <v>-</v>
      </c>
      <c r="M19" s="179" t="str">
        <f>Inputs!M24</f>
        <v>-</v>
      </c>
      <c r="N19" s="179" t="str">
        <f>Inputs!N24</f>
        <v>-</v>
      </c>
      <c r="O19" s="179" t="str">
        <f>Inputs!O24</f>
        <v>-</v>
      </c>
      <c r="P19" s="179" t="str">
        <f>Inputs!P24</f>
        <v>-</v>
      </c>
      <c r="Q19" s="179" t="str">
        <f>Inputs!Q24</f>
        <v>-</v>
      </c>
      <c r="R19" s="179" t="str">
        <f>Inputs!R24</f>
        <v>-</v>
      </c>
      <c r="S19" s="179" t="str">
        <f>Inputs!S24</f>
        <v>-</v>
      </c>
      <c r="T19" s="179" t="str">
        <f>Inputs!T24</f>
        <v>-</v>
      </c>
      <c r="U19" s="179" t="str">
        <f>Inputs!U24</f>
        <v>-</v>
      </c>
      <c r="V19" s="179" t="str">
        <f>Inputs!V24</f>
        <v>-</v>
      </c>
      <c r="W19" s="179" t="str">
        <f>Inputs!W24</f>
        <v>-</v>
      </c>
      <c r="X19" s="179" t="str">
        <f>Inputs!X24</f>
        <v>-</v>
      </c>
      <c r="Y19" s="179" t="str">
        <f>Inputs!Y24</f>
        <v>-</v>
      </c>
      <c r="Z19" s="179" t="str">
        <f>Inputs!Z24</f>
        <v>-</v>
      </c>
      <c r="AA19" s="179" t="str">
        <f>Inputs!AA24</f>
        <v>-</v>
      </c>
      <c r="AB19" s="179" t="str">
        <f>Inputs!AB24</f>
        <v>-</v>
      </c>
      <c r="AC19" s="179" t="str">
        <f>Inputs!AC24</f>
        <v>-</v>
      </c>
      <c r="AD19" s="179" t="str">
        <f>Inputs!AD24</f>
        <v>-</v>
      </c>
      <c r="AE19" s="179" t="str">
        <f>Inputs!AE24</f>
        <v>-</v>
      </c>
      <c r="AF19" s="179" t="str">
        <f>Inputs!AF24</f>
        <v>-</v>
      </c>
      <c r="AG19" s="179" t="str">
        <f>Inputs!AG24</f>
        <v>-</v>
      </c>
      <c r="AH19" s="179" t="str">
        <f>Inputs!AH24</f>
        <v>-</v>
      </c>
      <c r="AI19" s="179" t="str">
        <f>Inputs!AI24</f>
        <v>-</v>
      </c>
      <c r="AJ19" s="179" t="str">
        <f>Inputs!AJ24</f>
        <v>-</v>
      </c>
      <c r="AK19" s="179" t="str">
        <f>Inputs!AK24</f>
        <v>-</v>
      </c>
      <c r="AL19" s="179" t="str">
        <f>Inputs!AL24</f>
        <v>-</v>
      </c>
      <c r="AM19" s="179" t="str">
        <f>Inputs!AM24</f>
        <v>-</v>
      </c>
      <c r="AN19" s="179" t="str">
        <f>Inputs!AN24</f>
        <v>-</v>
      </c>
      <c r="AO19" s="179" t="str">
        <f>Inputs!AO24</f>
        <v>-</v>
      </c>
      <c r="AP19" s="179" t="str">
        <f>Inputs!AP24</f>
        <v>-</v>
      </c>
      <c r="AQ19" s="179" t="str">
        <f>Inputs!AQ24</f>
        <v>-</v>
      </c>
      <c r="AR19" s="179" t="str">
        <f>Inputs!AR24</f>
        <v>-</v>
      </c>
      <c r="AS19" s="179" t="str">
        <f>Inputs!AS24</f>
        <v>-</v>
      </c>
      <c r="AT19" s="163"/>
    </row>
    <row r="20">
      <c r="A20" s="80"/>
      <c r="B20" s="81"/>
      <c r="C20" s="90"/>
      <c r="D20" s="90"/>
      <c r="E20" s="140" t="s">
        <v>778</v>
      </c>
      <c r="F20" s="215" t="str">
        <f>Inputs!F25</f>
        <v>%</v>
      </c>
      <c r="G20" s="276" t="str">
        <f>Inputs!G25</f>
        <v>input</v>
      </c>
      <c r="H20" s="176">
        <f>Inputs!H25</f>
        <v>0.686</v>
      </c>
      <c r="I20" s="179" t="str">
        <f>Inputs!I25</f>
        <v>-</v>
      </c>
      <c r="J20" s="179" t="str">
        <f>Inputs!J25</f>
        <v>-</v>
      </c>
      <c r="K20" s="179" t="str">
        <f>Inputs!K25</f>
        <v>-</v>
      </c>
      <c r="L20" s="179" t="str">
        <f>Inputs!L25</f>
        <v>-</v>
      </c>
      <c r="M20" s="179" t="str">
        <f>Inputs!M25</f>
        <v>-</v>
      </c>
      <c r="N20" s="179" t="str">
        <f>Inputs!N25</f>
        <v>-</v>
      </c>
      <c r="O20" s="179" t="str">
        <f>Inputs!O25</f>
        <v>-</v>
      </c>
      <c r="P20" s="179" t="str">
        <f>Inputs!P25</f>
        <v>-</v>
      </c>
      <c r="Q20" s="179" t="str">
        <f>Inputs!Q25</f>
        <v>-</v>
      </c>
      <c r="R20" s="179" t="str">
        <f>Inputs!R25</f>
        <v>-</v>
      </c>
      <c r="S20" s="179" t="str">
        <f>Inputs!S25</f>
        <v>-</v>
      </c>
      <c r="T20" s="179" t="str">
        <f>Inputs!T25</f>
        <v>-</v>
      </c>
      <c r="U20" s="179" t="str">
        <f>Inputs!U25</f>
        <v>-</v>
      </c>
      <c r="V20" s="179" t="str">
        <f>Inputs!V25</f>
        <v>-</v>
      </c>
      <c r="W20" s="179" t="str">
        <f>Inputs!W25</f>
        <v>-</v>
      </c>
      <c r="X20" s="179" t="str">
        <f>Inputs!X25</f>
        <v>-</v>
      </c>
      <c r="Y20" s="179" t="str">
        <f>Inputs!Y25</f>
        <v>-</v>
      </c>
      <c r="Z20" s="179" t="str">
        <f>Inputs!Z25</f>
        <v>-</v>
      </c>
      <c r="AA20" s="179" t="str">
        <f>Inputs!AA25</f>
        <v>-</v>
      </c>
      <c r="AB20" s="179" t="str">
        <f>Inputs!AB25</f>
        <v>-</v>
      </c>
      <c r="AC20" s="179" t="str">
        <f>Inputs!AC25</f>
        <v>-</v>
      </c>
      <c r="AD20" s="179" t="str">
        <f>Inputs!AD25</f>
        <v>-</v>
      </c>
      <c r="AE20" s="179" t="str">
        <f>Inputs!AE25</f>
        <v>-</v>
      </c>
      <c r="AF20" s="179" t="str">
        <f>Inputs!AF25</f>
        <v>-</v>
      </c>
      <c r="AG20" s="179" t="str">
        <f>Inputs!AG25</f>
        <v>-</v>
      </c>
      <c r="AH20" s="179" t="str">
        <f>Inputs!AH25</f>
        <v>-</v>
      </c>
      <c r="AI20" s="179" t="str">
        <f>Inputs!AI25</f>
        <v>-</v>
      </c>
      <c r="AJ20" s="179" t="str">
        <f>Inputs!AJ25</f>
        <v>-</v>
      </c>
      <c r="AK20" s="179" t="str">
        <f>Inputs!AK25</f>
        <v>-</v>
      </c>
      <c r="AL20" s="179" t="str">
        <f>Inputs!AL25</f>
        <v>-</v>
      </c>
      <c r="AM20" s="179" t="str">
        <f>Inputs!AM25</f>
        <v>-</v>
      </c>
      <c r="AN20" s="179" t="str">
        <f>Inputs!AN25</f>
        <v>-</v>
      </c>
      <c r="AO20" s="179" t="str">
        <f>Inputs!AO25</f>
        <v>-</v>
      </c>
      <c r="AP20" s="179" t="str">
        <f>Inputs!AP25</f>
        <v>-</v>
      </c>
      <c r="AQ20" s="179" t="str">
        <f>Inputs!AQ25</f>
        <v>-</v>
      </c>
      <c r="AR20" s="179" t="str">
        <f>Inputs!AR25</f>
        <v>-</v>
      </c>
      <c r="AS20" s="179" t="str">
        <f>Inputs!AS25</f>
        <v>-</v>
      </c>
      <c r="AT20" s="163"/>
    </row>
    <row r="21">
      <c r="A21" s="80"/>
      <c r="B21" s="81"/>
      <c r="C21" s="90"/>
      <c r="D21" s="90"/>
      <c r="E21" s="237" t="s">
        <v>781</v>
      </c>
      <c r="F21" s="195" t="str">
        <f>Inputs!F26</f>
        <v>%</v>
      </c>
      <c r="G21" s="291" t="str">
        <f>Inputs!G26</f>
        <v>input</v>
      </c>
      <c r="H21" s="234">
        <f>Inputs!H26</f>
        <v>0.73</v>
      </c>
      <c r="I21" s="506" t="str">
        <f>Inputs!I26</f>
        <v>-</v>
      </c>
      <c r="J21" s="506" t="str">
        <f>Inputs!J26</f>
        <v>-</v>
      </c>
      <c r="K21" s="506" t="str">
        <f>Inputs!K26</f>
        <v>-</v>
      </c>
      <c r="L21" s="506" t="str">
        <f>Inputs!L26</f>
        <v>-</v>
      </c>
      <c r="M21" s="506" t="str">
        <f>Inputs!M26</f>
        <v>-</v>
      </c>
      <c r="N21" s="506" t="str">
        <f>Inputs!N26</f>
        <v>-</v>
      </c>
      <c r="O21" s="506" t="str">
        <f>Inputs!O26</f>
        <v>-</v>
      </c>
      <c r="P21" s="506" t="str">
        <f>Inputs!P26</f>
        <v>-</v>
      </c>
      <c r="Q21" s="506" t="str">
        <f>Inputs!Q26</f>
        <v>-</v>
      </c>
      <c r="R21" s="506" t="str">
        <f>Inputs!R26</f>
        <v>-</v>
      </c>
      <c r="S21" s="506" t="str">
        <f>Inputs!S26</f>
        <v>-</v>
      </c>
      <c r="T21" s="506" t="str">
        <f>Inputs!T26</f>
        <v>-</v>
      </c>
      <c r="U21" s="506" t="str">
        <f>Inputs!U26</f>
        <v>-</v>
      </c>
      <c r="V21" s="506" t="str">
        <f>Inputs!V26</f>
        <v>-</v>
      </c>
      <c r="W21" s="506" t="str">
        <f>Inputs!W26</f>
        <v>-</v>
      </c>
      <c r="X21" s="506" t="str">
        <f>Inputs!X26</f>
        <v>-</v>
      </c>
      <c r="Y21" s="506" t="str">
        <f>Inputs!Y26</f>
        <v>-</v>
      </c>
      <c r="Z21" s="506" t="str">
        <f>Inputs!Z26</f>
        <v>-</v>
      </c>
      <c r="AA21" s="506" t="str">
        <f>Inputs!AA26</f>
        <v>-</v>
      </c>
      <c r="AB21" s="506" t="str">
        <f>Inputs!AB26</f>
        <v>-</v>
      </c>
      <c r="AC21" s="506" t="str">
        <f>Inputs!AC26</f>
        <v>-</v>
      </c>
      <c r="AD21" s="506" t="str">
        <f>Inputs!AD26</f>
        <v>-</v>
      </c>
      <c r="AE21" s="506" t="str">
        <f>Inputs!AE26</f>
        <v>-</v>
      </c>
      <c r="AF21" s="506" t="str">
        <f>Inputs!AF26</f>
        <v>-</v>
      </c>
      <c r="AG21" s="506" t="str">
        <f>Inputs!AG26</f>
        <v>-</v>
      </c>
      <c r="AH21" s="506" t="str">
        <f>Inputs!AH26</f>
        <v>-</v>
      </c>
      <c r="AI21" s="506" t="str">
        <f>Inputs!AI26</f>
        <v>-</v>
      </c>
      <c r="AJ21" s="506" t="str">
        <f>Inputs!AJ26</f>
        <v>-</v>
      </c>
      <c r="AK21" s="506" t="str">
        <f>Inputs!AK26</f>
        <v>-</v>
      </c>
      <c r="AL21" s="506" t="str">
        <f>Inputs!AL26</f>
        <v>-</v>
      </c>
      <c r="AM21" s="506" t="str">
        <f>Inputs!AM26</f>
        <v>-</v>
      </c>
      <c r="AN21" s="506" t="str">
        <f>Inputs!AN26</f>
        <v>-</v>
      </c>
      <c r="AO21" s="506" t="str">
        <f>Inputs!AO26</f>
        <v>-</v>
      </c>
      <c r="AP21" s="506" t="str">
        <f>Inputs!AP26</f>
        <v>-</v>
      </c>
      <c r="AQ21" s="506" t="str">
        <f>Inputs!AQ26</f>
        <v>-</v>
      </c>
      <c r="AR21" s="506" t="str">
        <f>Inputs!AR26</f>
        <v>-</v>
      </c>
      <c r="AS21" s="506" t="str">
        <f>Inputs!AS26</f>
        <v>-</v>
      </c>
      <c r="AT21" s="248"/>
    </row>
    <row r="22">
      <c r="A22" s="80"/>
      <c r="B22" s="81"/>
      <c r="C22" s="90"/>
      <c r="D22" s="90"/>
      <c r="E22" s="243"/>
      <c r="F22" s="83"/>
      <c r="G22" s="135"/>
      <c r="H22" s="85"/>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8"/>
    </row>
    <row r="23">
      <c r="A23" s="80"/>
      <c r="B23" s="81"/>
      <c r="C23" s="90" t="s">
        <v>786</v>
      </c>
      <c r="F23" s="83"/>
      <c r="G23" s="135"/>
      <c r="H23" s="85"/>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8"/>
    </row>
    <row r="24">
      <c r="A24" s="80"/>
      <c r="B24" s="81"/>
      <c r="C24" s="90"/>
      <c r="D24" s="90"/>
      <c r="E24" s="113" t="s">
        <v>787</v>
      </c>
      <c r="F24" s="151" t="str">
        <f>Inputs!F27</f>
        <v>%</v>
      </c>
      <c r="G24" s="154" t="str">
        <f>Inputs!G27</f>
        <v>input</v>
      </c>
      <c r="H24" s="191">
        <f>Inputs!H27</f>
        <v>0.1</v>
      </c>
      <c r="I24" s="157" t="str">
        <f>Inputs!I27</f>
        <v>-</v>
      </c>
      <c r="J24" s="157" t="str">
        <f>Inputs!J27</f>
        <v>-</v>
      </c>
      <c r="K24" s="157" t="str">
        <f>Inputs!K27</f>
        <v>-</v>
      </c>
      <c r="L24" s="157" t="str">
        <f>Inputs!L27</f>
        <v>-</v>
      </c>
      <c r="M24" s="157" t="str">
        <f>Inputs!M27</f>
        <v>-</v>
      </c>
      <c r="N24" s="157" t="str">
        <f>Inputs!N27</f>
        <v>-</v>
      </c>
      <c r="O24" s="157" t="str">
        <f>Inputs!O27</f>
        <v>-</v>
      </c>
      <c r="P24" s="157" t="str">
        <f>Inputs!P27</f>
        <v>-</v>
      </c>
      <c r="Q24" s="157" t="str">
        <f>Inputs!Q27</f>
        <v>-</v>
      </c>
      <c r="R24" s="157" t="str">
        <f>Inputs!R27</f>
        <v>-</v>
      </c>
      <c r="S24" s="157" t="str">
        <f>Inputs!S27</f>
        <v>-</v>
      </c>
      <c r="T24" s="157" t="str">
        <f>Inputs!T27</f>
        <v>-</v>
      </c>
      <c r="U24" s="157" t="str">
        <f>Inputs!U27</f>
        <v>-</v>
      </c>
      <c r="V24" s="157" t="str">
        <f>Inputs!V27</f>
        <v>-</v>
      </c>
      <c r="W24" s="157" t="str">
        <f>Inputs!W27</f>
        <v>-</v>
      </c>
      <c r="X24" s="157" t="str">
        <f>Inputs!X27</f>
        <v>-</v>
      </c>
      <c r="Y24" s="157" t="str">
        <f>Inputs!Y27</f>
        <v>-</v>
      </c>
      <c r="Z24" s="157" t="str">
        <f>Inputs!Z27</f>
        <v>-</v>
      </c>
      <c r="AA24" s="157" t="str">
        <f>Inputs!AA27</f>
        <v>-</v>
      </c>
      <c r="AB24" s="157" t="str">
        <f>Inputs!AB27</f>
        <v>-</v>
      </c>
      <c r="AC24" s="157" t="str">
        <f>Inputs!AC27</f>
        <v>-</v>
      </c>
      <c r="AD24" s="157" t="str">
        <f>Inputs!AD27</f>
        <v>-</v>
      </c>
      <c r="AE24" s="157" t="str">
        <f>Inputs!AE27</f>
        <v>-</v>
      </c>
      <c r="AF24" s="157" t="str">
        <f>Inputs!AF27</f>
        <v>-</v>
      </c>
      <c r="AG24" s="157" t="str">
        <f>Inputs!AG27</f>
        <v>-</v>
      </c>
      <c r="AH24" s="157" t="str">
        <f>Inputs!AH27</f>
        <v>-</v>
      </c>
      <c r="AI24" s="157" t="str">
        <f>Inputs!AI27</f>
        <v>-</v>
      </c>
      <c r="AJ24" s="157" t="str">
        <f>Inputs!AJ27</f>
        <v>-</v>
      </c>
      <c r="AK24" s="157" t="str">
        <f>Inputs!AK27</f>
        <v>-</v>
      </c>
      <c r="AL24" s="157" t="str">
        <f>Inputs!AL27</f>
        <v>-</v>
      </c>
      <c r="AM24" s="157" t="str">
        <f>Inputs!AM27</f>
        <v>-</v>
      </c>
      <c r="AN24" s="157" t="str">
        <f>Inputs!AN27</f>
        <v>-</v>
      </c>
      <c r="AO24" s="157" t="str">
        <f>Inputs!AO27</f>
        <v>-</v>
      </c>
      <c r="AP24" s="157" t="str">
        <f>Inputs!AP27</f>
        <v>-</v>
      </c>
      <c r="AQ24" s="157" t="str">
        <f>Inputs!AQ27</f>
        <v>-</v>
      </c>
      <c r="AR24" s="157" t="str">
        <f>Inputs!AR27</f>
        <v>-</v>
      </c>
      <c r="AS24" s="157" t="str">
        <f>Inputs!AS27</f>
        <v>-</v>
      </c>
      <c r="AT24" s="136"/>
    </row>
    <row r="25">
      <c r="A25" s="80"/>
      <c r="B25" s="81"/>
      <c r="C25" s="90"/>
      <c r="D25" s="90"/>
      <c r="E25" s="140" t="s">
        <v>792</v>
      </c>
      <c r="F25" s="172" t="str">
        <f>Inputs!F28</f>
        <v>%</v>
      </c>
      <c r="G25" s="175" t="str">
        <f>Inputs!G28</f>
        <v>input</v>
      </c>
      <c r="H25" s="217">
        <f>Inputs!H28</f>
        <v>0.2</v>
      </c>
      <c r="I25" s="179" t="str">
        <f>Inputs!I28</f>
        <v>-</v>
      </c>
      <c r="J25" s="179" t="str">
        <f>Inputs!J28</f>
        <v>-</v>
      </c>
      <c r="K25" s="179" t="str">
        <f>Inputs!K28</f>
        <v>-</v>
      </c>
      <c r="L25" s="179" t="str">
        <f>Inputs!L28</f>
        <v>-</v>
      </c>
      <c r="M25" s="179" t="str">
        <f>Inputs!M28</f>
        <v>-</v>
      </c>
      <c r="N25" s="179" t="str">
        <f>Inputs!N28</f>
        <v>-</v>
      </c>
      <c r="O25" s="179" t="str">
        <f>Inputs!O28</f>
        <v>-</v>
      </c>
      <c r="P25" s="179" t="str">
        <f>Inputs!P28</f>
        <v>-</v>
      </c>
      <c r="Q25" s="179" t="str">
        <f>Inputs!Q28</f>
        <v>-</v>
      </c>
      <c r="R25" s="179" t="str">
        <f>Inputs!R28</f>
        <v>-</v>
      </c>
      <c r="S25" s="179" t="str">
        <f>Inputs!S28</f>
        <v>-</v>
      </c>
      <c r="T25" s="179" t="str">
        <f>Inputs!T28</f>
        <v>-</v>
      </c>
      <c r="U25" s="179" t="str">
        <f>Inputs!U28</f>
        <v>-</v>
      </c>
      <c r="V25" s="179" t="str">
        <f>Inputs!V28</f>
        <v>-</v>
      </c>
      <c r="W25" s="179" t="str">
        <f>Inputs!W28</f>
        <v>-</v>
      </c>
      <c r="X25" s="179" t="str">
        <f>Inputs!X28</f>
        <v>-</v>
      </c>
      <c r="Y25" s="179" t="str">
        <f>Inputs!Y28</f>
        <v>-</v>
      </c>
      <c r="Z25" s="179" t="str">
        <f>Inputs!Z28</f>
        <v>-</v>
      </c>
      <c r="AA25" s="179" t="str">
        <f>Inputs!AA28</f>
        <v>-</v>
      </c>
      <c r="AB25" s="179" t="str">
        <f>Inputs!AB28</f>
        <v>-</v>
      </c>
      <c r="AC25" s="179" t="str">
        <f>Inputs!AC28</f>
        <v>-</v>
      </c>
      <c r="AD25" s="179" t="str">
        <f>Inputs!AD28</f>
        <v>-</v>
      </c>
      <c r="AE25" s="179" t="str">
        <f>Inputs!AE28</f>
        <v>-</v>
      </c>
      <c r="AF25" s="179" t="str">
        <f>Inputs!AF28</f>
        <v>-</v>
      </c>
      <c r="AG25" s="179" t="str">
        <f>Inputs!AG28</f>
        <v>-</v>
      </c>
      <c r="AH25" s="179" t="str">
        <f>Inputs!AH28</f>
        <v>-</v>
      </c>
      <c r="AI25" s="179" t="str">
        <f>Inputs!AI28</f>
        <v>-</v>
      </c>
      <c r="AJ25" s="179" t="str">
        <f>Inputs!AJ28</f>
        <v>-</v>
      </c>
      <c r="AK25" s="179" t="str">
        <f>Inputs!AK28</f>
        <v>-</v>
      </c>
      <c r="AL25" s="179" t="str">
        <f>Inputs!AL28</f>
        <v>-</v>
      </c>
      <c r="AM25" s="179" t="str">
        <f>Inputs!AM28</f>
        <v>-</v>
      </c>
      <c r="AN25" s="179" t="str">
        <f>Inputs!AN28</f>
        <v>-</v>
      </c>
      <c r="AO25" s="179" t="str">
        <f>Inputs!AO28</f>
        <v>-</v>
      </c>
      <c r="AP25" s="179" t="str">
        <f>Inputs!AP28</f>
        <v>-</v>
      </c>
      <c r="AQ25" s="179" t="str">
        <f>Inputs!AQ28</f>
        <v>-</v>
      </c>
      <c r="AR25" s="179" t="str">
        <f>Inputs!AR28</f>
        <v>-</v>
      </c>
      <c r="AS25" s="179" t="str">
        <f>Inputs!AS28</f>
        <v>-</v>
      </c>
      <c r="AT25" s="163"/>
    </row>
    <row r="26">
      <c r="A26" s="80"/>
      <c r="B26" s="81"/>
      <c r="C26" s="90"/>
      <c r="D26" s="90"/>
      <c r="E26" s="140" t="s">
        <v>801</v>
      </c>
      <c r="F26" s="172" t="str">
        <f>Inputs!F29</f>
        <v>%</v>
      </c>
      <c r="G26" s="175" t="str">
        <f>Inputs!G29</f>
        <v>input</v>
      </c>
      <c r="H26" s="217">
        <f>Inputs!H29</f>
        <v>0.35</v>
      </c>
      <c r="I26" s="179" t="str">
        <f>Inputs!I29</f>
        <v>-</v>
      </c>
      <c r="J26" s="179" t="str">
        <f>Inputs!J29</f>
        <v>-</v>
      </c>
      <c r="K26" s="179" t="str">
        <f>Inputs!K29</f>
        <v>-</v>
      </c>
      <c r="L26" s="179" t="str">
        <f>Inputs!L29</f>
        <v>-</v>
      </c>
      <c r="M26" s="179" t="str">
        <f>Inputs!M29</f>
        <v>-</v>
      </c>
      <c r="N26" s="179" t="str">
        <f>Inputs!N29</f>
        <v>-</v>
      </c>
      <c r="O26" s="179" t="str">
        <f>Inputs!O29</f>
        <v>-</v>
      </c>
      <c r="P26" s="179" t="str">
        <f>Inputs!P29</f>
        <v>-</v>
      </c>
      <c r="Q26" s="179" t="str">
        <f>Inputs!Q29</f>
        <v>-</v>
      </c>
      <c r="R26" s="179" t="str">
        <f>Inputs!R29</f>
        <v>-</v>
      </c>
      <c r="S26" s="179" t="str">
        <f>Inputs!S29</f>
        <v>-</v>
      </c>
      <c r="T26" s="179" t="str">
        <f>Inputs!T29</f>
        <v>-</v>
      </c>
      <c r="U26" s="179" t="str">
        <f>Inputs!U29</f>
        <v>-</v>
      </c>
      <c r="V26" s="179" t="str">
        <f>Inputs!V29</f>
        <v>-</v>
      </c>
      <c r="W26" s="179" t="str">
        <f>Inputs!W29</f>
        <v>-</v>
      </c>
      <c r="X26" s="179" t="str">
        <f>Inputs!X29</f>
        <v>-</v>
      </c>
      <c r="Y26" s="179" t="str">
        <f>Inputs!Y29</f>
        <v>-</v>
      </c>
      <c r="Z26" s="179" t="str">
        <f>Inputs!Z29</f>
        <v>-</v>
      </c>
      <c r="AA26" s="179" t="str">
        <f>Inputs!AA29</f>
        <v>-</v>
      </c>
      <c r="AB26" s="179" t="str">
        <f>Inputs!AB29</f>
        <v>-</v>
      </c>
      <c r="AC26" s="179" t="str">
        <f>Inputs!AC29</f>
        <v>-</v>
      </c>
      <c r="AD26" s="179" t="str">
        <f>Inputs!AD29</f>
        <v>-</v>
      </c>
      <c r="AE26" s="179" t="str">
        <f>Inputs!AE29</f>
        <v>-</v>
      </c>
      <c r="AF26" s="179" t="str">
        <f>Inputs!AF29</f>
        <v>-</v>
      </c>
      <c r="AG26" s="179" t="str">
        <f>Inputs!AG29</f>
        <v>-</v>
      </c>
      <c r="AH26" s="179" t="str">
        <f>Inputs!AH29</f>
        <v>-</v>
      </c>
      <c r="AI26" s="179" t="str">
        <f>Inputs!AI29</f>
        <v>-</v>
      </c>
      <c r="AJ26" s="179" t="str">
        <f>Inputs!AJ29</f>
        <v>-</v>
      </c>
      <c r="AK26" s="179" t="str">
        <f>Inputs!AK29</f>
        <v>-</v>
      </c>
      <c r="AL26" s="179" t="str">
        <f>Inputs!AL29</f>
        <v>-</v>
      </c>
      <c r="AM26" s="179" t="str">
        <f>Inputs!AM29</f>
        <v>-</v>
      </c>
      <c r="AN26" s="179" t="str">
        <f>Inputs!AN29</f>
        <v>-</v>
      </c>
      <c r="AO26" s="179" t="str">
        <f>Inputs!AO29</f>
        <v>-</v>
      </c>
      <c r="AP26" s="179" t="str">
        <f>Inputs!AP29</f>
        <v>-</v>
      </c>
      <c r="AQ26" s="179" t="str">
        <f>Inputs!AQ29</f>
        <v>-</v>
      </c>
      <c r="AR26" s="179" t="str">
        <f>Inputs!AR29</f>
        <v>-</v>
      </c>
      <c r="AS26" s="179" t="str">
        <f>Inputs!AS29</f>
        <v>-</v>
      </c>
      <c r="AT26" s="163"/>
    </row>
    <row r="27">
      <c r="A27" s="80"/>
      <c r="B27" s="81"/>
      <c r="C27" s="90"/>
      <c r="D27" s="90"/>
      <c r="E27" s="237" t="s">
        <v>805</v>
      </c>
      <c r="F27" s="231" t="str">
        <f>Inputs!F30</f>
        <v>%</v>
      </c>
      <c r="G27" s="233" t="str">
        <f>Inputs!G30</f>
        <v>input</v>
      </c>
      <c r="H27" s="315">
        <f>Inputs!H30</f>
        <v>0.35</v>
      </c>
      <c r="I27" s="235" t="str">
        <f>Inputs!I30</f>
        <v>-</v>
      </c>
      <c r="J27" s="235" t="str">
        <f>Inputs!J30</f>
        <v>-</v>
      </c>
      <c r="K27" s="235" t="str">
        <f>Inputs!K30</f>
        <v>-</v>
      </c>
      <c r="L27" s="235" t="str">
        <f>Inputs!L30</f>
        <v>-</v>
      </c>
      <c r="M27" s="235" t="str">
        <f>Inputs!M30</f>
        <v>-</v>
      </c>
      <c r="N27" s="235" t="str">
        <f>Inputs!N30</f>
        <v>-</v>
      </c>
      <c r="O27" s="235" t="str">
        <f>Inputs!O30</f>
        <v>-</v>
      </c>
      <c r="P27" s="235" t="str">
        <f>Inputs!P30</f>
        <v>-</v>
      </c>
      <c r="Q27" s="235" t="str">
        <f>Inputs!Q30</f>
        <v>-</v>
      </c>
      <c r="R27" s="235" t="str">
        <f>Inputs!R30</f>
        <v>-</v>
      </c>
      <c r="S27" s="235" t="str">
        <f>Inputs!S30</f>
        <v>-</v>
      </c>
      <c r="T27" s="235" t="str">
        <f>Inputs!T30</f>
        <v>-</v>
      </c>
      <c r="U27" s="235" t="str">
        <f>Inputs!U30</f>
        <v>-</v>
      </c>
      <c r="V27" s="235" t="str">
        <f>Inputs!V30</f>
        <v>-</v>
      </c>
      <c r="W27" s="235" t="str">
        <f>Inputs!W30</f>
        <v>-</v>
      </c>
      <c r="X27" s="235" t="str">
        <f>Inputs!X30</f>
        <v>-</v>
      </c>
      <c r="Y27" s="235" t="str">
        <f>Inputs!Y30</f>
        <v>-</v>
      </c>
      <c r="Z27" s="235" t="str">
        <f>Inputs!Z30</f>
        <v>-</v>
      </c>
      <c r="AA27" s="235" t="str">
        <f>Inputs!AA30</f>
        <v>-</v>
      </c>
      <c r="AB27" s="235" t="str">
        <f>Inputs!AB30</f>
        <v>-</v>
      </c>
      <c r="AC27" s="235" t="str">
        <f>Inputs!AC30</f>
        <v>-</v>
      </c>
      <c r="AD27" s="235" t="str">
        <f>Inputs!AD30</f>
        <v>-</v>
      </c>
      <c r="AE27" s="235" t="str">
        <f>Inputs!AE30</f>
        <v>-</v>
      </c>
      <c r="AF27" s="235" t="str">
        <f>Inputs!AF30</f>
        <v>-</v>
      </c>
      <c r="AG27" s="235" t="str">
        <f>Inputs!AG30</f>
        <v>-</v>
      </c>
      <c r="AH27" s="235" t="str">
        <f>Inputs!AH30</f>
        <v>-</v>
      </c>
      <c r="AI27" s="235" t="str">
        <f>Inputs!AI30</f>
        <v>-</v>
      </c>
      <c r="AJ27" s="235" t="str">
        <f>Inputs!AJ30</f>
        <v>-</v>
      </c>
      <c r="AK27" s="235" t="str">
        <f>Inputs!AK30</f>
        <v>-</v>
      </c>
      <c r="AL27" s="235" t="str">
        <f>Inputs!AL30</f>
        <v>-</v>
      </c>
      <c r="AM27" s="235" t="str">
        <f>Inputs!AM30</f>
        <v>-</v>
      </c>
      <c r="AN27" s="235" t="str">
        <f>Inputs!AN30</f>
        <v>-</v>
      </c>
      <c r="AO27" s="235" t="str">
        <f>Inputs!AO30</f>
        <v>-</v>
      </c>
      <c r="AP27" s="235" t="str">
        <f>Inputs!AP30</f>
        <v>-</v>
      </c>
      <c r="AQ27" s="235" t="str">
        <f>Inputs!AQ30</f>
        <v>-</v>
      </c>
      <c r="AR27" s="235" t="str">
        <f>Inputs!AR30</f>
        <v>-</v>
      </c>
      <c r="AS27" s="235" t="str">
        <f>Inputs!AS30</f>
        <v>-</v>
      </c>
      <c r="AT27" s="248"/>
    </row>
    <row r="28">
      <c r="A28" s="80"/>
      <c r="B28" s="81"/>
      <c r="C28" s="90"/>
      <c r="D28" s="90"/>
      <c r="E28" s="243"/>
      <c r="F28" s="83"/>
      <c r="G28" s="135"/>
      <c r="H28" s="579"/>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8"/>
    </row>
    <row r="29">
      <c r="A29" s="80"/>
      <c r="B29" s="81"/>
      <c r="C29" s="90" t="s">
        <v>804</v>
      </c>
      <c r="F29" s="83"/>
      <c r="G29" s="135"/>
      <c r="H29" s="85"/>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8"/>
    </row>
    <row r="30">
      <c r="A30" s="80"/>
      <c r="B30" s="81"/>
      <c r="C30" s="90"/>
      <c r="D30" s="90"/>
      <c r="E30" s="113" t="s">
        <v>816</v>
      </c>
      <c r="F30" s="189" t="s">
        <v>122</v>
      </c>
      <c r="G30" s="271" t="s">
        <v>149</v>
      </c>
      <c r="H30" s="156">
        <f>SUMPRODUCT(H18:H21,H24:H27)</f>
        <v>0.63205348</v>
      </c>
      <c r="I30" s="273" t="s">
        <v>150</v>
      </c>
      <c r="J30" s="273" t="s">
        <v>150</v>
      </c>
      <c r="K30" s="273" t="s">
        <v>150</v>
      </c>
      <c r="L30" s="273" t="s">
        <v>150</v>
      </c>
      <c r="M30" s="273" t="s">
        <v>150</v>
      </c>
      <c r="N30" s="273" t="s">
        <v>150</v>
      </c>
      <c r="O30" s="273" t="s">
        <v>150</v>
      </c>
      <c r="P30" s="273" t="s">
        <v>150</v>
      </c>
      <c r="Q30" s="273" t="s">
        <v>150</v>
      </c>
      <c r="R30" s="273" t="s">
        <v>150</v>
      </c>
      <c r="S30" s="273" t="s">
        <v>150</v>
      </c>
      <c r="T30" s="273" t="s">
        <v>150</v>
      </c>
      <c r="U30" s="273" t="s">
        <v>150</v>
      </c>
      <c r="V30" s="273" t="s">
        <v>150</v>
      </c>
      <c r="W30" s="273" t="s">
        <v>150</v>
      </c>
      <c r="X30" s="273" t="s">
        <v>150</v>
      </c>
      <c r="Y30" s="273" t="s">
        <v>150</v>
      </c>
      <c r="Z30" s="273" t="s">
        <v>150</v>
      </c>
      <c r="AA30" s="273" t="s">
        <v>150</v>
      </c>
      <c r="AB30" s="273" t="s">
        <v>150</v>
      </c>
      <c r="AC30" s="273" t="s">
        <v>150</v>
      </c>
      <c r="AD30" s="273" t="s">
        <v>150</v>
      </c>
      <c r="AE30" s="273" t="s">
        <v>150</v>
      </c>
      <c r="AF30" s="273" t="s">
        <v>150</v>
      </c>
      <c r="AG30" s="273" t="s">
        <v>150</v>
      </c>
      <c r="AH30" s="273" t="s">
        <v>150</v>
      </c>
      <c r="AI30" s="273" t="s">
        <v>150</v>
      </c>
      <c r="AJ30" s="273" t="s">
        <v>150</v>
      </c>
      <c r="AK30" s="273" t="s">
        <v>150</v>
      </c>
      <c r="AL30" s="273" t="s">
        <v>150</v>
      </c>
      <c r="AM30" s="273" t="s">
        <v>150</v>
      </c>
      <c r="AN30" s="273" t="s">
        <v>150</v>
      </c>
      <c r="AO30" s="273" t="s">
        <v>150</v>
      </c>
      <c r="AP30" s="273" t="s">
        <v>150</v>
      </c>
      <c r="AQ30" s="273" t="s">
        <v>150</v>
      </c>
      <c r="AR30" s="273" t="s">
        <v>150</v>
      </c>
      <c r="AS30" s="273" t="s">
        <v>150</v>
      </c>
      <c r="AT30" s="136"/>
    </row>
    <row r="31">
      <c r="A31" s="80"/>
      <c r="B31" s="81"/>
      <c r="C31" s="90"/>
      <c r="D31" s="90"/>
      <c r="E31" s="140" t="s">
        <v>820</v>
      </c>
      <c r="F31" s="215" t="s">
        <v>122</v>
      </c>
      <c r="G31" s="276" t="s">
        <v>149</v>
      </c>
      <c r="H31" s="176">
        <f>(H30/H18)-1</f>
        <v>-0.2564076706</v>
      </c>
      <c r="I31" s="232" t="s">
        <v>150</v>
      </c>
      <c r="J31" s="232" t="s">
        <v>150</v>
      </c>
      <c r="K31" s="232" t="s">
        <v>150</v>
      </c>
      <c r="L31" s="232" t="s">
        <v>150</v>
      </c>
      <c r="M31" s="232" t="s">
        <v>150</v>
      </c>
      <c r="N31" s="232" t="s">
        <v>150</v>
      </c>
      <c r="O31" s="232" t="s">
        <v>150</v>
      </c>
      <c r="P31" s="232" t="s">
        <v>150</v>
      </c>
      <c r="Q31" s="232" t="s">
        <v>150</v>
      </c>
      <c r="R31" s="232" t="s">
        <v>150</v>
      </c>
      <c r="S31" s="232" t="s">
        <v>150</v>
      </c>
      <c r="T31" s="232" t="s">
        <v>150</v>
      </c>
      <c r="U31" s="232" t="s">
        <v>150</v>
      </c>
      <c r="V31" s="232" t="s">
        <v>150</v>
      </c>
      <c r="W31" s="232" t="s">
        <v>150</v>
      </c>
      <c r="X31" s="232" t="s">
        <v>150</v>
      </c>
      <c r="Y31" s="232" t="s">
        <v>150</v>
      </c>
      <c r="Z31" s="232" t="s">
        <v>150</v>
      </c>
      <c r="AA31" s="232" t="s">
        <v>150</v>
      </c>
      <c r="AB31" s="232" t="s">
        <v>150</v>
      </c>
      <c r="AC31" s="232" t="s">
        <v>150</v>
      </c>
      <c r="AD31" s="232" t="s">
        <v>150</v>
      </c>
      <c r="AE31" s="232" t="s">
        <v>150</v>
      </c>
      <c r="AF31" s="232" t="s">
        <v>150</v>
      </c>
      <c r="AG31" s="232" t="s">
        <v>150</v>
      </c>
      <c r="AH31" s="232" t="s">
        <v>150</v>
      </c>
      <c r="AI31" s="232" t="s">
        <v>150</v>
      </c>
      <c r="AJ31" s="232" t="s">
        <v>150</v>
      </c>
      <c r="AK31" s="232" t="s">
        <v>150</v>
      </c>
      <c r="AL31" s="232" t="s">
        <v>150</v>
      </c>
      <c r="AM31" s="232" t="s">
        <v>150</v>
      </c>
      <c r="AN31" s="232" t="s">
        <v>150</v>
      </c>
      <c r="AO31" s="232" t="s">
        <v>150</v>
      </c>
      <c r="AP31" s="232" t="s">
        <v>150</v>
      </c>
      <c r="AQ31" s="232" t="s">
        <v>150</v>
      </c>
      <c r="AR31" s="232" t="s">
        <v>150</v>
      </c>
      <c r="AS31" s="232" t="s">
        <v>150</v>
      </c>
      <c r="AT31" s="163"/>
    </row>
    <row r="32">
      <c r="A32" s="80"/>
      <c r="B32" s="81"/>
      <c r="C32" s="90"/>
      <c r="D32" s="90"/>
      <c r="E32" s="140" t="s">
        <v>810</v>
      </c>
      <c r="F32" s="172" t="str">
        <f>Inputs!F31</f>
        <v>%</v>
      </c>
      <c r="G32" s="175" t="str">
        <f>Inputs!G31</f>
        <v>input</v>
      </c>
      <c r="H32" s="217">
        <f>Inputs!H31</f>
        <v>0.75</v>
      </c>
      <c r="I32" s="179" t="str">
        <f>Inputs!I31</f>
        <v>-</v>
      </c>
      <c r="J32" s="179" t="str">
        <f>Inputs!J31</f>
        <v>-</v>
      </c>
      <c r="K32" s="179" t="str">
        <f>Inputs!K31</f>
        <v>-</v>
      </c>
      <c r="L32" s="179" t="str">
        <f>Inputs!L31</f>
        <v>-</v>
      </c>
      <c r="M32" s="179" t="str">
        <f>Inputs!M31</f>
        <v>-</v>
      </c>
      <c r="N32" s="179" t="str">
        <f>Inputs!N31</f>
        <v>-</v>
      </c>
      <c r="O32" s="179" t="str">
        <f>Inputs!O31</f>
        <v>-</v>
      </c>
      <c r="P32" s="179" t="str">
        <f>Inputs!P31</f>
        <v>-</v>
      </c>
      <c r="Q32" s="179" t="str">
        <f>Inputs!Q31</f>
        <v>-</v>
      </c>
      <c r="R32" s="179" t="str">
        <f>Inputs!R31</f>
        <v>-</v>
      </c>
      <c r="S32" s="179" t="str">
        <f>Inputs!S31</f>
        <v>-</v>
      </c>
      <c r="T32" s="179" t="str">
        <f>Inputs!T31</f>
        <v>-</v>
      </c>
      <c r="U32" s="179" t="str">
        <f>Inputs!U31</f>
        <v>-</v>
      </c>
      <c r="V32" s="179" t="str">
        <f>Inputs!V31</f>
        <v>-</v>
      </c>
      <c r="W32" s="179" t="str">
        <f>Inputs!W31</f>
        <v>-</v>
      </c>
      <c r="X32" s="179" t="str">
        <f>Inputs!X31</f>
        <v>-</v>
      </c>
      <c r="Y32" s="179" t="str">
        <f>Inputs!Y31</f>
        <v>-</v>
      </c>
      <c r="Z32" s="179" t="str">
        <f>Inputs!Z31</f>
        <v>-</v>
      </c>
      <c r="AA32" s="179" t="str">
        <f>Inputs!AA31</f>
        <v>-</v>
      </c>
      <c r="AB32" s="179" t="str">
        <f>Inputs!AB31</f>
        <v>-</v>
      </c>
      <c r="AC32" s="179" t="str">
        <f>Inputs!AC31</f>
        <v>-</v>
      </c>
      <c r="AD32" s="179" t="str">
        <f>Inputs!AD31</f>
        <v>-</v>
      </c>
      <c r="AE32" s="179" t="str">
        <f>Inputs!AE31</f>
        <v>-</v>
      </c>
      <c r="AF32" s="179" t="str">
        <f>Inputs!AF31</f>
        <v>-</v>
      </c>
      <c r="AG32" s="179" t="str">
        <f>Inputs!AG31</f>
        <v>-</v>
      </c>
      <c r="AH32" s="179" t="str">
        <f>Inputs!AH31</f>
        <v>-</v>
      </c>
      <c r="AI32" s="179" t="str">
        <f>Inputs!AI31</f>
        <v>-</v>
      </c>
      <c r="AJ32" s="179" t="str">
        <f>Inputs!AJ31</f>
        <v>-</v>
      </c>
      <c r="AK32" s="179" t="str">
        <f>Inputs!AK31</f>
        <v>-</v>
      </c>
      <c r="AL32" s="179" t="str">
        <f>Inputs!AL31</f>
        <v>-</v>
      </c>
      <c r="AM32" s="179" t="str">
        <f>Inputs!AM31</f>
        <v>-</v>
      </c>
      <c r="AN32" s="179" t="str">
        <f>Inputs!AN31</f>
        <v>-</v>
      </c>
      <c r="AO32" s="179" t="str">
        <f>Inputs!AO31</f>
        <v>-</v>
      </c>
      <c r="AP32" s="179" t="str">
        <f>Inputs!AP31</f>
        <v>-</v>
      </c>
      <c r="AQ32" s="179" t="str">
        <f>Inputs!AQ31</f>
        <v>-</v>
      </c>
      <c r="AR32" s="179" t="str">
        <f>Inputs!AR31</f>
        <v>-</v>
      </c>
      <c r="AS32" s="179" t="str">
        <f>Inputs!AS31</f>
        <v>-</v>
      </c>
      <c r="AT32" s="163"/>
    </row>
    <row r="33">
      <c r="A33" s="80"/>
      <c r="B33" s="81"/>
      <c r="C33" s="90"/>
      <c r="D33" s="90"/>
      <c r="E33" s="237" t="s">
        <v>825</v>
      </c>
      <c r="F33" s="195" t="s">
        <v>122</v>
      </c>
      <c r="G33" s="291" t="s">
        <v>149</v>
      </c>
      <c r="H33" s="234">
        <f>H31*H32</f>
        <v>-0.1923057529</v>
      </c>
      <c r="I33" s="292" t="s">
        <v>150</v>
      </c>
      <c r="J33" s="292" t="s">
        <v>150</v>
      </c>
      <c r="K33" s="292" t="s">
        <v>150</v>
      </c>
      <c r="L33" s="292" t="s">
        <v>150</v>
      </c>
      <c r="M33" s="292" t="s">
        <v>150</v>
      </c>
      <c r="N33" s="292" t="s">
        <v>150</v>
      </c>
      <c r="O33" s="292" t="s">
        <v>150</v>
      </c>
      <c r="P33" s="292" t="s">
        <v>150</v>
      </c>
      <c r="Q33" s="292" t="s">
        <v>150</v>
      </c>
      <c r="R33" s="292" t="s">
        <v>150</v>
      </c>
      <c r="S33" s="292" t="s">
        <v>150</v>
      </c>
      <c r="T33" s="292" t="s">
        <v>150</v>
      </c>
      <c r="U33" s="292" t="s">
        <v>150</v>
      </c>
      <c r="V33" s="292" t="s">
        <v>150</v>
      </c>
      <c r="W33" s="292" t="s">
        <v>150</v>
      </c>
      <c r="X33" s="292" t="s">
        <v>150</v>
      </c>
      <c r="Y33" s="292" t="s">
        <v>150</v>
      </c>
      <c r="Z33" s="292" t="s">
        <v>150</v>
      </c>
      <c r="AA33" s="292" t="s">
        <v>150</v>
      </c>
      <c r="AB33" s="292" t="s">
        <v>150</v>
      </c>
      <c r="AC33" s="292" t="s">
        <v>150</v>
      </c>
      <c r="AD33" s="292" t="s">
        <v>150</v>
      </c>
      <c r="AE33" s="292" t="s">
        <v>150</v>
      </c>
      <c r="AF33" s="292" t="s">
        <v>150</v>
      </c>
      <c r="AG33" s="292" t="s">
        <v>150</v>
      </c>
      <c r="AH33" s="292" t="s">
        <v>150</v>
      </c>
      <c r="AI33" s="292" t="s">
        <v>150</v>
      </c>
      <c r="AJ33" s="292" t="s">
        <v>150</v>
      </c>
      <c r="AK33" s="292" t="s">
        <v>150</v>
      </c>
      <c r="AL33" s="292" t="s">
        <v>150</v>
      </c>
      <c r="AM33" s="292" t="s">
        <v>150</v>
      </c>
      <c r="AN33" s="292" t="s">
        <v>150</v>
      </c>
      <c r="AO33" s="292" t="s">
        <v>150</v>
      </c>
      <c r="AP33" s="292" t="s">
        <v>150</v>
      </c>
      <c r="AQ33" s="292" t="s">
        <v>150</v>
      </c>
      <c r="AR33" s="292" t="s">
        <v>150</v>
      </c>
      <c r="AS33" s="292" t="s">
        <v>150</v>
      </c>
      <c r="AT33" s="248"/>
    </row>
    <row r="34">
      <c r="A34" s="80"/>
      <c r="B34" s="81"/>
      <c r="C34" s="90"/>
      <c r="D34" s="90"/>
      <c r="E34" s="243"/>
      <c r="F34" s="83"/>
      <c r="G34" s="135"/>
      <c r="H34" s="85"/>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8"/>
    </row>
    <row r="35">
      <c r="A35" s="80"/>
      <c r="B35" s="81"/>
      <c r="C35" s="90" t="s">
        <v>827</v>
      </c>
      <c r="F35" s="83"/>
      <c r="G35" s="135"/>
      <c r="H35" s="85"/>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8"/>
    </row>
    <row r="36">
      <c r="A36" s="80"/>
      <c r="B36" s="81"/>
      <c r="C36" s="90"/>
      <c r="D36" s="90"/>
      <c r="E36" s="113" t="s">
        <v>828</v>
      </c>
      <c r="F36" s="189" t="s">
        <v>122</v>
      </c>
      <c r="G36" s="271" t="s">
        <v>149</v>
      </c>
      <c r="H36" s="156">
        <f t="shared" ref="H36:H40" si="2">H8*(1+H$33)</f>
        <v>0.68654011</v>
      </c>
      <c r="I36" s="273" t="s">
        <v>150</v>
      </c>
      <c r="J36" s="273" t="s">
        <v>150</v>
      </c>
      <c r="K36" s="273" t="s">
        <v>150</v>
      </c>
      <c r="L36" s="273" t="s">
        <v>150</v>
      </c>
      <c r="M36" s="273" t="s">
        <v>150</v>
      </c>
      <c r="N36" s="273" t="s">
        <v>150</v>
      </c>
      <c r="O36" s="273" t="s">
        <v>150</v>
      </c>
      <c r="P36" s="273" t="s">
        <v>150</v>
      </c>
      <c r="Q36" s="273" t="s">
        <v>150</v>
      </c>
      <c r="R36" s="273" t="s">
        <v>150</v>
      </c>
      <c r="S36" s="273" t="s">
        <v>150</v>
      </c>
      <c r="T36" s="273" t="s">
        <v>150</v>
      </c>
      <c r="U36" s="273" t="s">
        <v>150</v>
      </c>
      <c r="V36" s="273" t="s">
        <v>150</v>
      </c>
      <c r="W36" s="273" t="s">
        <v>150</v>
      </c>
      <c r="X36" s="273" t="s">
        <v>150</v>
      </c>
      <c r="Y36" s="273" t="s">
        <v>150</v>
      </c>
      <c r="Z36" s="273" t="s">
        <v>150</v>
      </c>
      <c r="AA36" s="273" t="s">
        <v>150</v>
      </c>
      <c r="AB36" s="273" t="s">
        <v>150</v>
      </c>
      <c r="AC36" s="273" t="s">
        <v>150</v>
      </c>
      <c r="AD36" s="273" t="s">
        <v>150</v>
      </c>
      <c r="AE36" s="273" t="s">
        <v>150</v>
      </c>
      <c r="AF36" s="273" t="s">
        <v>150</v>
      </c>
      <c r="AG36" s="273" t="s">
        <v>150</v>
      </c>
      <c r="AH36" s="273" t="s">
        <v>150</v>
      </c>
      <c r="AI36" s="273" t="s">
        <v>150</v>
      </c>
      <c r="AJ36" s="273" t="s">
        <v>150</v>
      </c>
      <c r="AK36" s="273" t="s">
        <v>150</v>
      </c>
      <c r="AL36" s="273" t="s">
        <v>150</v>
      </c>
      <c r="AM36" s="273" t="s">
        <v>150</v>
      </c>
      <c r="AN36" s="273" t="s">
        <v>150</v>
      </c>
      <c r="AO36" s="273" t="s">
        <v>150</v>
      </c>
      <c r="AP36" s="273" t="s">
        <v>150</v>
      </c>
      <c r="AQ36" s="273" t="s">
        <v>150</v>
      </c>
      <c r="AR36" s="273" t="s">
        <v>150</v>
      </c>
      <c r="AS36" s="273" t="s">
        <v>150</v>
      </c>
      <c r="AT36" s="136"/>
    </row>
    <row r="37">
      <c r="A37" s="80"/>
      <c r="B37" s="81"/>
      <c r="C37" s="90"/>
      <c r="D37" s="90"/>
      <c r="E37" s="140" t="s">
        <v>831</v>
      </c>
      <c r="F37" s="215" t="s">
        <v>122</v>
      </c>
      <c r="G37" s="276" t="s">
        <v>149</v>
      </c>
      <c r="H37" s="176">
        <f t="shared" si="2"/>
        <v>0.6784631675</v>
      </c>
      <c r="I37" s="232" t="s">
        <v>150</v>
      </c>
      <c r="J37" s="232" t="s">
        <v>150</v>
      </c>
      <c r="K37" s="232" t="s">
        <v>150</v>
      </c>
      <c r="L37" s="232" t="s">
        <v>150</v>
      </c>
      <c r="M37" s="232" t="s">
        <v>150</v>
      </c>
      <c r="N37" s="232" t="s">
        <v>150</v>
      </c>
      <c r="O37" s="232" t="s">
        <v>150</v>
      </c>
      <c r="P37" s="232" t="s">
        <v>150</v>
      </c>
      <c r="Q37" s="232" t="s">
        <v>150</v>
      </c>
      <c r="R37" s="232" t="s">
        <v>150</v>
      </c>
      <c r="S37" s="232" t="s">
        <v>150</v>
      </c>
      <c r="T37" s="232" t="s">
        <v>150</v>
      </c>
      <c r="U37" s="232" t="s">
        <v>150</v>
      </c>
      <c r="V37" s="232" t="s">
        <v>150</v>
      </c>
      <c r="W37" s="232" t="s">
        <v>150</v>
      </c>
      <c r="X37" s="232" t="s">
        <v>150</v>
      </c>
      <c r="Y37" s="232" t="s">
        <v>150</v>
      </c>
      <c r="Z37" s="232" t="s">
        <v>150</v>
      </c>
      <c r="AA37" s="232" t="s">
        <v>150</v>
      </c>
      <c r="AB37" s="232" t="s">
        <v>150</v>
      </c>
      <c r="AC37" s="232" t="s">
        <v>150</v>
      </c>
      <c r="AD37" s="232" t="s">
        <v>150</v>
      </c>
      <c r="AE37" s="232" t="s">
        <v>150</v>
      </c>
      <c r="AF37" s="232" t="s">
        <v>150</v>
      </c>
      <c r="AG37" s="232" t="s">
        <v>150</v>
      </c>
      <c r="AH37" s="232" t="s">
        <v>150</v>
      </c>
      <c r="AI37" s="232" t="s">
        <v>150</v>
      </c>
      <c r="AJ37" s="232" t="s">
        <v>150</v>
      </c>
      <c r="AK37" s="232" t="s">
        <v>150</v>
      </c>
      <c r="AL37" s="232" t="s">
        <v>150</v>
      </c>
      <c r="AM37" s="232" t="s">
        <v>150</v>
      </c>
      <c r="AN37" s="232" t="s">
        <v>150</v>
      </c>
      <c r="AO37" s="232" t="s">
        <v>150</v>
      </c>
      <c r="AP37" s="232" t="s">
        <v>150</v>
      </c>
      <c r="AQ37" s="232" t="s">
        <v>150</v>
      </c>
      <c r="AR37" s="232" t="s">
        <v>150</v>
      </c>
      <c r="AS37" s="232" t="s">
        <v>150</v>
      </c>
      <c r="AT37" s="163"/>
    </row>
    <row r="38">
      <c r="A38" s="80"/>
      <c r="B38" s="81"/>
      <c r="C38" s="90"/>
      <c r="D38" s="90"/>
      <c r="E38" s="140" t="s">
        <v>832</v>
      </c>
      <c r="F38" s="215" t="s">
        <v>122</v>
      </c>
      <c r="G38" s="276" t="s">
        <v>149</v>
      </c>
      <c r="H38" s="176">
        <f t="shared" si="2"/>
        <v>0.6623092826</v>
      </c>
      <c r="I38" s="232" t="s">
        <v>150</v>
      </c>
      <c r="J38" s="232" t="s">
        <v>150</v>
      </c>
      <c r="K38" s="232" t="s">
        <v>150</v>
      </c>
      <c r="L38" s="232" t="s">
        <v>150</v>
      </c>
      <c r="M38" s="232" t="s">
        <v>150</v>
      </c>
      <c r="N38" s="232" t="s">
        <v>150</v>
      </c>
      <c r="O38" s="232" t="s">
        <v>150</v>
      </c>
      <c r="P38" s="232" t="s">
        <v>150</v>
      </c>
      <c r="Q38" s="232" t="s">
        <v>150</v>
      </c>
      <c r="R38" s="232" t="s">
        <v>150</v>
      </c>
      <c r="S38" s="232" t="s">
        <v>150</v>
      </c>
      <c r="T38" s="232" t="s">
        <v>150</v>
      </c>
      <c r="U38" s="232" t="s">
        <v>150</v>
      </c>
      <c r="V38" s="232" t="s">
        <v>150</v>
      </c>
      <c r="W38" s="232" t="s">
        <v>150</v>
      </c>
      <c r="X38" s="232" t="s">
        <v>150</v>
      </c>
      <c r="Y38" s="232" t="s">
        <v>150</v>
      </c>
      <c r="Z38" s="232" t="s">
        <v>150</v>
      </c>
      <c r="AA38" s="232" t="s">
        <v>150</v>
      </c>
      <c r="AB38" s="232" t="s">
        <v>150</v>
      </c>
      <c r="AC38" s="232" t="s">
        <v>150</v>
      </c>
      <c r="AD38" s="232" t="s">
        <v>150</v>
      </c>
      <c r="AE38" s="232" t="s">
        <v>150</v>
      </c>
      <c r="AF38" s="232" t="s">
        <v>150</v>
      </c>
      <c r="AG38" s="232" t="s">
        <v>150</v>
      </c>
      <c r="AH38" s="232" t="s">
        <v>150</v>
      </c>
      <c r="AI38" s="232" t="s">
        <v>150</v>
      </c>
      <c r="AJ38" s="232" t="s">
        <v>150</v>
      </c>
      <c r="AK38" s="232" t="s">
        <v>150</v>
      </c>
      <c r="AL38" s="232" t="s">
        <v>150</v>
      </c>
      <c r="AM38" s="232" t="s">
        <v>150</v>
      </c>
      <c r="AN38" s="232" t="s">
        <v>150</v>
      </c>
      <c r="AO38" s="232" t="s">
        <v>150</v>
      </c>
      <c r="AP38" s="232" t="s">
        <v>150</v>
      </c>
      <c r="AQ38" s="232" t="s">
        <v>150</v>
      </c>
      <c r="AR38" s="232" t="s">
        <v>150</v>
      </c>
      <c r="AS38" s="232" t="s">
        <v>150</v>
      </c>
      <c r="AT38" s="163"/>
    </row>
    <row r="39">
      <c r="A39" s="80"/>
      <c r="B39" s="81"/>
      <c r="C39" s="90"/>
      <c r="D39" s="90"/>
      <c r="E39" s="140" t="s">
        <v>833</v>
      </c>
      <c r="F39" s="215" t="s">
        <v>122</v>
      </c>
      <c r="G39" s="276" t="s">
        <v>149</v>
      </c>
      <c r="H39" s="176">
        <f t="shared" si="2"/>
        <v>0.4684626633</v>
      </c>
      <c r="I39" s="232" t="s">
        <v>150</v>
      </c>
      <c r="J39" s="232" t="s">
        <v>150</v>
      </c>
      <c r="K39" s="232" t="s">
        <v>150</v>
      </c>
      <c r="L39" s="232" t="s">
        <v>150</v>
      </c>
      <c r="M39" s="232" t="s">
        <v>150</v>
      </c>
      <c r="N39" s="232" t="s">
        <v>150</v>
      </c>
      <c r="O39" s="232" t="s">
        <v>150</v>
      </c>
      <c r="P39" s="232" t="s">
        <v>150</v>
      </c>
      <c r="Q39" s="232" t="s">
        <v>150</v>
      </c>
      <c r="R39" s="232" t="s">
        <v>150</v>
      </c>
      <c r="S39" s="232" t="s">
        <v>150</v>
      </c>
      <c r="T39" s="232" t="s">
        <v>150</v>
      </c>
      <c r="U39" s="232" t="s">
        <v>150</v>
      </c>
      <c r="V39" s="232" t="s">
        <v>150</v>
      </c>
      <c r="W39" s="232" t="s">
        <v>150</v>
      </c>
      <c r="X39" s="232" t="s">
        <v>150</v>
      </c>
      <c r="Y39" s="232" t="s">
        <v>150</v>
      </c>
      <c r="Z39" s="232" t="s">
        <v>150</v>
      </c>
      <c r="AA39" s="232" t="s">
        <v>150</v>
      </c>
      <c r="AB39" s="232" t="s">
        <v>150</v>
      </c>
      <c r="AC39" s="232" t="s">
        <v>150</v>
      </c>
      <c r="AD39" s="232" t="s">
        <v>150</v>
      </c>
      <c r="AE39" s="232" t="s">
        <v>150</v>
      </c>
      <c r="AF39" s="232" t="s">
        <v>150</v>
      </c>
      <c r="AG39" s="232" t="s">
        <v>150</v>
      </c>
      <c r="AH39" s="232" t="s">
        <v>150</v>
      </c>
      <c r="AI39" s="232" t="s">
        <v>150</v>
      </c>
      <c r="AJ39" s="232" t="s">
        <v>150</v>
      </c>
      <c r="AK39" s="232" t="s">
        <v>150</v>
      </c>
      <c r="AL39" s="232" t="s">
        <v>150</v>
      </c>
      <c r="AM39" s="232" t="s">
        <v>150</v>
      </c>
      <c r="AN39" s="232" t="s">
        <v>150</v>
      </c>
      <c r="AO39" s="232" t="s">
        <v>150</v>
      </c>
      <c r="AP39" s="232" t="s">
        <v>150</v>
      </c>
      <c r="AQ39" s="232" t="s">
        <v>150</v>
      </c>
      <c r="AR39" s="232" t="s">
        <v>150</v>
      </c>
      <c r="AS39" s="232" t="s">
        <v>150</v>
      </c>
      <c r="AT39" s="163"/>
    </row>
    <row r="40">
      <c r="A40" s="80"/>
      <c r="B40" s="81"/>
      <c r="C40" s="90"/>
      <c r="D40" s="90"/>
      <c r="E40" s="140" t="s">
        <v>834</v>
      </c>
      <c r="F40" s="215" t="s">
        <v>122</v>
      </c>
      <c r="G40" s="276" t="s">
        <v>149</v>
      </c>
      <c r="H40" s="176">
        <f t="shared" si="2"/>
        <v>0.3715393536</v>
      </c>
      <c r="I40" s="232" t="s">
        <v>150</v>
      </c>
      <c r="J40" s="232" t="s">
        <v>150</v>
      </c>
      <c r="K40" s="232" t="s">
        <v>150</v>
      </c>
      <c r="L40" s="232" t="s">
        <v>150</v>
      </c>
      <c r="M40" s="232" t="s">
        <v>150</v>
      </c>
      <c r="N40" s="232" t="s">
        <v>150</v>
      </c>
      <c r="O40" s="232" t="s">
        <v>150</v>
      </c>
      <c r="P40" s="232" t="s">
        <v>150</v>
      </c>
      <c r="Q40" s="232" t="s">
        <v>150</v>
      </c>
      <c r="R40" s="232" t="s">
        <v>150</v>
      </c>
      <c r="S40" s="232" t="s">
        <v>150</v>
      </c>
      <c r="T40" s="232" t="s">
        <v>150</v>
      </c>
      <c r="U40" s="232" t="s">
        <v>150</v>
      </c>
      <c r="V40" s="232" t="s">
        <v>150</v>
      </c>
      <c r="W40" s="232" t="s">
        <v>150</v>
      </c>
      <c r="X40" s="232" t="s">
        <v>150</v>
      </c>
      <c r="Y40" s="232" t="s">
        <v>150</v>
      </c>
      <c r="Z40" s="232" t="s">
        <v>150</v>
      </c>
      <c r="AA40" s="232" t="s">
        <v>150</v>
      </c>
      <c r="AB40" s="232" t="s">
        <v>150</v>
      </c>
      <c r="AC40" s="232" t="s">
        <v>150</v>
      </c>
      <c r="AD40" s="232" t="s">
        <v>150</v>
      </c>
      <c r="AE40" s="232" t="s">
        <v>150</v>
      </c>
      <c r="AF40" s="232" t="s">
        <v>150</v>
      </c>
      <c r="AG40" s="232" t="s">
        <v>150</v>
      </c>
      <c r="AH40" s="232" t="s">
        <v>150</v>
      </c>
      <c r="AI40" s="232" t="s">
        <v>150</v>
      </c>
      <c r="AJ40" s="232" t="s">
        <v>150</v>
      </c>
      <c r="AK40" s="232" t="s">
        <v>150</v>
      </c>
      <c r="AL40" s="232" t="s">
        <v>150</v>
      </c>
      <c r="AM40" s="232" t="s">
        <v>150</v>
      </c>
      <c r="AN40" s="232" t="s">
        <v>150</v>
      </c>
      <c r="AO40" s="232" t="s">
        <v>150</v>
      </c>
      <c r="AP40" s="232" t="s">
        <v>150</v>
      </c>
      <c r="AQ40" s="232" t="s">
        <v>150</v>
      </c>
      <c r="AR40" s="232" t="s">
        <v>150</v>
      </c>
      <c r="AS40" s="232" t="s">
        <v>150</v>
      </c>
      <c r="AT40" s="163"/>
    </row>
    <row r="41">
      <c r="A41" s="80"/>
      <c r="B41" s="81"/>
      <c r="C41" s="90"/>
      <c r="D41" s="90"/>
      <c r="E41" s="237" t="s">
        <v>836</v>
      </c>
      <c r="F41" s="195" t="s">
        <v>122</v>
      </c>
      <c r="G41" s="291" t="s">
        <v>149</v>
      </c>
      <c r="H41" s="234">
        <f>H13*(1+H31)</f>
        <v>0.63205348</v>
      </c>
      <c r="I41" s="292" t="s">
        <v>150</v>
      </c>
      <c r="J41" s="292" t="s">
        <v>150</v>
      </c>
      <c r="K41" s="292" t="s">
        <v>150</v>
      </c>
      <c r="L41" s="292" t="s">
        <v>150</v>
      </c>
      <c r="M41" s="292" t="s">
        <v>150</v>
      </c>
      <c r="N41" s="292" t="s">
        <v>150</v>
      </c>
      <c r="O41" s="292" t="s">
        <v>150</v>
      </c>
      <c r="P41" s="292" t="s">
        <v>150</v>
      </c>
      <c r="Q41" s="292" t="s">
        <v>150</v>
      </c>
      <c r="R41" s="292" t="s">
        <v>150</v>
      </c>
      <c r="S41" s="292" t="s">
        <v>150</v>
      </c>
      <c r="T41" s="292" t="s">
        <v>150</v>
      </c>
      <c r="U41" s="292" t="s">
        <v>150</v>
      </c>
      <c r="V41" s="292" t="s">
        <v>150</v>
      </c>
      <c r="W41" s="292" t="s">
        <v>150</v>
      </c>
      <c r="X41" s="292" t="s">
        <v>150</v>
      </c>
      <c r="Y41" s="292" t="s">
        <v>150</v>
      </c>
      <c r="Z41" s="292" t="s">
        <v>150</v>
      </c>
      <c r="AA41" s="292" t="s">
        <v>150</v>
      </c>
      <c r="AB41" s="292" t="s">
        <v>150</v>
      </c>
      <c r="AC41" s="292" t="s">
        <v>150</v>
      </c>
      <c r="AD41" s="292" t="s">
        <v>150</v>
      </c>
      <c r="AE41" s="292" t="s">
        <v>150</v>
      </c>
      <c r="AF41" s="292" t="s">
        <v>150</v>
      </c>
      <c r="AG41" s="292" t="s">
        <v>150</v>
      </c>
      <c r="AH41" s="292" t="s">
        <v>150</v>
      </c>
      <c r="AI41" s="292" t="s">
        <v>150</v>
      </c>
      <c r="AJ41" s="292" t="s">
        <v>150</v>
      </c>
      <c r="AK41" s="292" t="s">
        <v>150</v>
      </c>
      <c r="AL41" s="292" t="s">
        <v>150</v>
      </c>
      <c r="AM41" s="292" t="s">
        <v>150</v>
      </c>
      <c r="AN41" s="292" t="s">
        <v>150</v>
      </c>
      <c r="AO41" s="292" t="s">
        <v>150</v>
      </c>
      <c r="AP41" s="292" t="s">
        <v>150</v>
      </c>
      <c r="AQ41" s="292" t="s">
        <v>150</v>
      </c>
      <c r="AR41" s="292" t="s">
        <v>150</v>
      </c>
      <c r="AS41" s="292" t="s">
        <v>150</v>
      </c>
      <c r="AT41" s="248"/>
    </row>
    <row r="42">
      <c r="A42" s="80"/>
      <c r="B42" s="81"/>
      <c r="C42" s="90"/>
      <c r="D42" s="90"/>
      <c r="E42" s="243"/>
      <c r="F42" s="83"/>
      <c r="G42" s="135"/>
      <c r="H42" s="85"/>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8"/>
    </row>
    <row r="43">
      <c r="A43" s="72" t="s">
        <v>837</v>
      </c>
      <c r="B43" s="14"/>
      <c r="C43" s="14"/>
      <c r="D43" s="14"/>
      <c r="E43" s="14"/>
      <c r="F43" s="14"/>
      <c r="G43" s="14"/>
      <c r="H43" s="73"/>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79"/>
    </row>
    <row r="44">
      <c r="A44" s="80"/>
      <c r="B44" s="81"/>
      <c r="C44" s="90"/>
      <c r="D44" s="90"/>
      <c r="E44" s="243"/>
      <c r="F44" s="83"/>
      <c r="G44" s="135"/>
      <c r="H44" s="85"/>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8"/>
    </row>
    <row r="45">
      <c r="A45" s="80"/>
      <c r="B45" s="81"/>
      <c r="C45" s="126" t="s">
        <v>811</v>
      </c>
      <c r="F45" s="83"/>
      <c r="G45" s="91"/>
      <c r="H45" s="85"/>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8"/>
    </row>
    <row r="46">
      <c r="A46" s="80"/>
      <c r="B46" s="81"/>
      <c r="C46" s="90"/>
      <c r="D46" s="90"/>
      <c r="E46" s="224" t="s">
        <v>812</v>
      </c>
      <c r="F46" s="251" t="str">
        <f>Inputs!F34</f>
        <v>%</v>
      </c>
      <c r="G46" s="603" t="str">
        <f>Inputs!G34</f>
        <v>input</v>
      </c>
      <c r="H46" s="254">
        <f>Inputs!H34</f>
        <v>0.95</v>
      </c>
      <c r="I46" s="255" t="str">
        <f>Inputs!I34</f>
        <v>-</v>
      </c>
      <c r="J46" s="255" t="str">
        <f>Inputs!J34</f>
        <v>-</v>
      </c>
      <c r="K46" s="255" t="str">
        <f>Inputs!K34</f>
        <v>-</v>
      </c>
      <c r="L46" s="255" t="str">
        <f>Inputs!L34</f>
        <v>-</v>
      </c>
      <c r="M46" s="255" t="str">
        <f>Inputs!M34</f>
        <v>-</v>
      </c>
      <c r="N46" s="255" t="str">
        <f>Inputs!N34</f>
        <v>-</v>
      </c>
      <c r="O46" s="255" t="str">
        <f>Inputs!O34</f>
        <v>-</v>
      </c>
      <c r="P46" s="255" t="str">
        <f>Inputs!P34</f>
        <v>-</v>
      </c>
      <c r="Q46" s="255" t="str">
        <f>Inputs!Q34</f>
        <v>-</v>
      </c>
      <c r="R46" s="255" t="str">
        <f>Inputs!R34</f>
        <v>-</v>
      </c>
      <c r="S46" s="255" t="str">
        <f>Inputs!S34</f>
        <v>-</v>
      </c>
      <c r="T46" s="255" t="str">
        <f>Inputs!T34</f>
        <v>-</v>
      </c>
      <c r="U46" s="255" t="str">
        <f>Inputs!U34</f>
        <v>-</v>
      </c>
      <c r="V46" s="255" t="str">
        <f>Inputs!V34</f>
        <v>-</v>
      </c>
      <c r="W46" s="255" t="str">
        <f>Inputs!W34</f>
        <v>-</v>
      </c>
      <c r="X46" s="255" t="str">
        <f>Inputs!X34</f>
        <v>-</v>
      </c>
      <c r="Y46" s="255" t="str">
        <f>Inputs!Y34</f>
        <v>-</v>
      </c>
      <c r="Z46" s="255" t="str">
        <f>Inputs!Z34</f>
        <v>-</v>
      </c>
      <c r="AA46" s="255" t="str">
        <f>Inputs!AA34</f>
        <v>-</v>
      </c>
      <c r="AB46" s="255" t="str">
        <f>Inputs!AB34</f>
        <v>-</v>
      </c>
      <c r="AC46" s="255" t="str">
        <f>Inputs!AC34</f>
        <v>-</v>
      </c>
      <c r="AD46" s="255" t="str">
        <f>Inputs!AD34</f>
        <v>-</v>
      </c>
      <c r="AE46" s="255" t="str">
        <f>Inputs!AE34</f>
        <v>-</v>
      </c>
      <c r="AF46" s="255" t="str">
        <f>Inputs!AF34</f>
        <v>-</v>
      </c>
      <c r="AG46" s="255" t="str">
        <f>Inputs!AG34</f>
        <v>-</v>
      </c>
      <c r="AH46" s="255" t="str">
        <f>Inputs!AH34</f>
        <v>-</v>
      </c>
      <c r="AI46" s="255" t="str">
        <f>Inputs!AI34</f>
        <v>-</v>
      </c>
      <c r="AJ46" s="255" t="str">
        <f>Inputs!AJ34</f>
        <v>-</v>
      </c>
      <c r="AK46" s="255" t="str">
        <f>Inputs!AK34</f>
        <v>-</v>
      </c>
      <c r="AL46" s="255" t="str">
        <f>Inputs!AL34</f>
        <v>-</v>
      </c>
      <c r="AM46" s="255" t="str">
        <f>Inputs!AM34</f>
        <v>-</v>
      </c>
      <c r="AN46" s="255" t="str">
        <f>Inputs!AN34</f>
        <v>-</v>
      </c>
      <c r="AO46" s="255" t="str">
        <f>Inputs!AO34</f>
        <v>-</v>
      </c>
      <c r="AP46" s="255" t="str">
        <f>Inputs!AP34</f>
        <v>-</v>
      </c>
      <c r="AQ46" s="255" t="str">
        <f>Inputs!AQ34</f>
        <v>-</v>
      </c>
      <c r="AR46" s="255" t="str">
        <f>Inputs!AR34</f>
        <v>-</v>
      </c>
      <c r="AS46" s="255" t="str">
        <f>Inputs!AS34</f>
        <v>-</v>
      </c>
      <c r="AT46" s="265"/>
    </row>
    <row r="47">
      <c r="A47" s="80"/>
      <c r="B47" s="81"/>
      <c r="C47" s="90"/>
      <c r="D47" s="90"/>
      <c r="E47" s="243"/>
      <c r="F47" s="83"/>
      <c r="G47" s="91"/>
      <c r="H47" s="85"/>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8"/>
    </row>
    <row r="48">
      <c r="A48" s="80"/>
      <c r="B48" s="81"/>
      <c r="C48" s="90" t="s">
        <v>262</v>
      </c>
      <c r="F48" s="83"/>
      <c r="G48" s="91"/>
      <c r="H48" s="85"/>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8"/>
    </row>
    <row r="49">
      <c r="A49" s="80"/>
      <c r="B49" s="81"/>
      <c r="C49" s="90"/>
      <c r="D49" s="90"/>
      <c r="E49" s="113" t="s">
        <v>263</v>
      </c>
      <c r="F49" s="189" t="s">
        <v>122</v>
      </c>
      <c r="G49" s="263" t="s">
        <v>149</v>
      </c>
      <c r="H49" s="156">
        <f t="shared" ref="H49:H54" si="3">H36/H$46</f>
        <v>0.7226738</v>
      </c>
      <c r="I49" s="273" t="s">
        <v>150</v>
      </c>
      <c r="J49" s="273" t="s">
        <v>150</v>
      </c>
      <c r="K49" s="273" t="s">
        <v>150</v>
      </c>
      <c r="L49" s="273" t="s">
        <v>150</v>
      </c>
      <c r="M49" s="273" t="s">
        <v>150</v>
      </c>
      <c r="N49" s="273" t="s">
        <v>150</v>
      </c>
      <c r="O49" s="273" t="s">
        <v>150</v>
      </c>
      <c r="P49" s="273" t="s">
        <v>150</v>
      </c>
      <c r="Q49" s="273" t="s">
        <v>150</v>
      </c>
      <c r="R49" s="273" t="s">
        <v>150</v>
      </c>
      <c r="S49" s="273" t="s">
        <v>150</v>
      </c>
      <c r="T49" s="273" t="s">
        <v>150</v>
      </c>
      <c r="U49" s="273" t="s">
        <v>150</v>
      </c>
      <c r="V49" s="273" t="s">
        <v>150</v>
      </c>
      <c r="W49" s="273" t="s">
        <v>150</v>
      </c>
      <c r="X49" s="273" t="s">
        <v>150</v>
      </c>
      <c r="Y49" s="273" t="s">
        <v>150</v>
      </c>
      <c r="Z49" s="273" t="s">
        <v>150</v>
      </c>
      <c r="AA49" s="273" t="s">
        <v>150</v>
      </c>
      <c r="AB49" s="273" t="s">
        <v>150</v>
      </c>
      <c r="AC49" s="273" t="s">
        <v>150</v>
      </c>
      <c r="AD49" s="273" t="s">
        <v>150</v>
      </c>
      <c r="AE49" s="273" t="s">
        <v>150</v>
      </c>
      <c r="AF49" s="273" t="s">
        <v>150</v>
      </c>
      <c r="AG49" s="273" t="s">
        <v>150</v>
      </c>
      <c r="AH49" s="273" t="s">
        <v>150</v>
      </c>
      <c r="AI49" s="273" t="s">
        <v>150</v>
      </c>
      <c r="AJ49" s="273" t="s">
        <v>150</v>
      </c>
      <c r="AK49" s="273" t="s">
        <v>150</v>
      </c>
      <c r="AL49" s="273" t="s">
        <v>150</v>
      </c>
      <c r="AM49" s="273" t="s">
        <v>150</v>
      </c>
      <c r="AN49" s="273" t="s">
        <v>150</v>
      </c>
      <c r="AO49" s="273" t="s">
        <v>150</v>
      </c>
      <c r="AP49" s="273" t="s">
        <v>150</v>
      </c>
      <c r="AQ49" s="273" t="s">
        <v>150</v>
      </c>
      <c r="AR49" s="273" t="s">
        <v>150</v>
      </c>
      <c r="AS49" s="273" t="s">
        <v>150</v>
      </c>
      <c r="AT49" s="136"/>
    </row>
    <row r="50">
      <c r="A50" s="80"/>
      <c r="B50" s="81"/>
      <c r="C50" s="90"/>
      <c r="D50" s="90"/>
      <c r="E50" s="113" t="s">
        <v>266</v>
      </c>
      <c r="F50" s="215" t="s">
        <v>122</v>
      </c>
      <c r="G50" s="277" t="s">
        <v>149</v>
      </c>
      <c r="H50" s="176">
        <f t="shared" si="3"/>
        <v>0.7141717553</v>
      </c>
      <c r="I50" s="232" t="s">
        <v>150</v>
      </c>
      <c r="J50" s="232" t="s">
        <v>150</v>
      </c>
      <c r="K50" s="232" t="s">
        <v>150</v>
      </c>
      <c r="L50" s="232" t="s">
        <v>150</v>
      </c>
      <c r="M50" s="232" t="s">
        <v>150</v>
      </c>
      <c r="N50" s="232" t="s">
        <v>150</v>
      </c>
      <c r="O50" s="232" t="s">
        <v>150</v>
      </c>
      <c r="P50" s="232" t="s">
        <v>150</v>
      </c>
      <c r="Q50" s="232" t="s">
        <v>150</v>
      </c>
      <c r="R50" s="232" t="s">
        <v>150</v>
      </c>
      <c r="S50" s="232" t="s">
        <v>150</v>
      </c>
      <c r="T50" s="232" t="s">
        <v>150</v>
      </c>
      <c r="U50" s="232" t="s">
        <v>150</v>
      </c>
      <c r="V50" s="232" t="s">
        <v>150</v>
      </c>
      <c r="W50" s="232" t="s">
        <v>150</v>
      </c>
      <c r="X50" s="232" t="s">
        <v>150</v>
      </c>
      <c r="Y50" s="232" t="s">
        <v>150</v>
      </c>
      <c r="Z50" s="232" t="s">
        <v>150</v>
      </c>
      <c r="AA50" s="232" t="s">
        <v>150</v>
      </c>
      <c r="AB50" s="232" t="s">
        <v>150</v>
      </c>
      <c r="AC50" s="232" t="s">
        <v>150</v>
      </c>
      <c r="AD50" s="232" t="s">
        <v>150</v>
      </c>
      <c r="AE50" s="232" t="s">
        <v>150</v>
      </c>
      <c r="AF50" s="232" t="s">
        <v>150</v>
      </c>
      <c r="AG50" s="232" t="s">
        <v>150</v>
      </c>
      <c r="AH50" s="232" t="s">
        <v>150</v>
      </c>
      <c r="AI50" s="232" t="s">
        <v>150</v>
      </c>
      <c r="AJ50" s="232" t="s">
        <v>150</v>
      </c>
      <c r="AK50" s="232" t="s">
        <v>150</v>
      </c>
      <c r="AL50" s="232" t="s">
        <v>150</v>
      </c>
      <c r="AM50" s="232" t="s">
        <v>150</v>
      </c>
      <c r="AN50" s="232" t="s">
        <v>150</v>
      </c>
      <c r="AO50" s="232" t="s">
        <v>150</v>
      </c>
      <c r="AP50" s="232" t="s">
        <v>150</v>
      </c>
      <c r="AQ50" s="232" t="s">
        <v>150</v>
      </c>
      <c r="AR50" s="232" t="s">
        <v>150</v>
      </c>
      <c r="AS50" s="232" t="s">
        <v>150</v>
      </c>
      <c r="AT50" s="163"/>
    </row>
    <row r="51">
      <c r="A51" s="80"/>
      <c r="B51" s="81"/>
      <c r="C51" s="90"/>
      <c r="D51" s="90"/>
      <c r="E51" s="113" t="s">
        <v>269</v>
      </c>
      <c r="F51" s="215" t="s">
        <v>122</v>
      </c>
      <c r="G51" s="277" t="s">
        <v>149</v>
      </c>
      <c r="H51" s="176">
        <f t="shared" si="3"/>
        <v>0.6971676659</v>
      </c>
      <c r="I51" s="232" t="s">
        <v>150</v>
      </c>
      <c r="J51" s="232" t="s">
        <v>150</v>
      </c>
      <c r="K51" s="232" t="s">
        <v>150</v>
      </c>
      <c r="L51" s="232" t="s">
        <v>150</v>
      </c>
      <c r="M51" s="232" t="s">
        <v>150</v>
      </c>
      <c r="N51" s="232" t="s">
        <v>150</v>
      </c>
      <c r="O51" s="232" t="s">
        <v>150</v>
      </c>
      <c r="P51" s="232" t="s">
        <v>150</v>
      </c>
      <c r="Q51" s="232" t="s">
        <v>150</v>
      </c>
      <c r="R51" s="232" t="s">
        <v>150</v>
      </c>
      <c r="S51" s="232" t="s">
        <v>150</v>
      </c>
      <c r="T51" s="232" t="s">
        <v>150</v>
      </c>
      <c r="U51" s="232" t="s">
        <v>150</v>
      </c>
      <c r="V51" s="232" t="s">
        <v>150</v>
      </c>
      <c r="W51" s="232" t="s">
        <v>150</v>
      </c>
      <c r="X51" s="232" t="s">
        <v>150</v>
      </c>
      <c r="Y51" s="232" t="s">
        <v>150</v>
      </c>
      <c r="Z51" s="232" t="s">
        <v>150</v>
      </c>
      <c r="AA51" s="232" t="s">
        <v>150</v>
      </c>
      <c r="AB51" s="232" t="s">
        <v>150</v>
      </c>
      <c r="AC51" s="232" t="s">
        <v>150</v>
      </c>
      <c r="AD51" s="232" t="s">
        <v>150</v>
      </c>
      <c r="AE51" s="232" t="s">
        <v>150</v>
      </c>
      <c r="AF51" s="232" t="s">
        <v>150</v>
      </c>
      <c r="AG51" s="232" t="s">
        <v>150</v>
      </c>
      <c r="AH51" s="232" t="s">
        <v>150</v>
      </c>
      <c r="AI51" s="232" t="s">
        <v>150</v>
      </c>
      <c r="AJ51" s="232" t="s">
        <v>150</v>
      </c>
      <c r="AK51" s="232" t="s">
        <v>150</v>
      </c>
      <c r="AL51" s="232" t="s">
        <v>150</v>
      </c>
      <c r="AM51" s="232" t="s">
        <v>150</v>
      </c>
      <c r="AN51" s="232" t="s">
        <v>150</v>
      </c>
      <c r="AO51" s="232" t="s">
        <v>150</v>
      </c>
      <c r="AP51" s="232" t="s">
        <v>150</v>
      </c>
      <c r="AQ51" s="232" t="s">
        <v>150</v>
      </c>
      <c r="AR51" s="232" t="s">
        <v>150</v>
      </c>
      <c r="AS51" s="232" t="s">
        <v>150</v>
      </c>
      <c r="AT51" s="163"/>
    </row>
    <row r="52">
      <c r="A52" s="80"/>
      <c r="B52" s="81"/>
      <c r="C52" s="90"/>
      <c r="D52" s="90"/>
      <c r="E52" s="113" t="s">
        <v>273</v>
      </c>
      <c r="F52" s="215" t="s">
        <v>122</v>
      </c>
      <c r="G52" s="277" t="s">
        <v>149</v>
      </c>
      <c r="H52" s="176">
        <f t="shared" si="3"/>
        <v>0.4931185929</v>
      </c>
      <c r="I52" s="232" t="s">
        <v>150</v>
      </c>
      <c r="J52" s="232" t="s">
        <v>150</v>
      </c>
      <c r="K52" s="232" t="s">
        <v>150</v>
      </c>
      <c r="L52" s="232" t="s">
        <v>150</v>
      </c>
      <c r="M52" s="232" t="s">
        <v>150</v>
      </c>
      <c r="N52" s="232" t="s">
        <v>150</v>
      </c>
      <c r="O52" s="232" t="s">
        <v>150</v>
      </c>
      <c r="P52" s="232" t="s">
        <v>150</v>
      </c>
      <c r="Q52" s="232" t="s">
        <v>150</v>
      </c>
      <c r="R52" s="232" t="s">
        <v>150</v>
      </c>
      <c r="S52" s="232" t="s">
        <v>150</v>
      </c>
      <c r="T52" s="232" t="s">
        <v>150</v>
      </c>
      <c r="U52" s="232" t="s">
        <v>150</v>
      </c>
      <c r="V52" s="232" t="s">
        <v>150</v>
      </c>
      <c r="W52" s="232" t="s">
        <v>150</v>
      </c>
      <c r="X52" s="232" t="s">
        <v>150</v>
      </c>
      <c r="Y52" s="232" t="s">
        <v>150</v>
      </c>
      <c r="Z52" s="232" t="s">
        <v>150</v>
      </c>
      <c r="AA52" s="232" t="s">
        <v>150</v>
      </c>
      <c r="AB52" s="232" t="s">
        <v>150</v>
      </c>
      <c r="AC52" s="232" t="s">
        <v>150</v>
      </c>
      <c r="AD52" s="232" t="s">
        <v>150</v>
      </c>
      <c r="AE52" s="232" t="s">
        <v>150</v>
      </c>
      <c r="AF52" s="232" t="s">
        <v>150</v>
      </c>
      <c r="AG52" s="232" t="s">
        <v>150</v>
      </c>
      <c r="AH52" s="232" t="s">
        <v>150</v>
      </c>
      <c r="AI52" s="232" t="s">
        <v>150</v>
      </c>
      <c r="AJ52" s="232" t="s">
        <v>150</v>
      </c>
      <c r="AK52" s="232" t="s">
        <v>150</v>
      </c>
      <c r="AL52" s="232" t="s">
        <v>150</v>
      </c>
      <c r="AM52" s="232" t="s">
        <v>150</v>
      </c>
      <c r="AN52" s="232" t="s">
        <v>150</v>
      </c>
      <c r="AO52" s="232" t="s">
        <v>150</v>
      </c>
      <c r="AP52" s="232" t="s">
        <v>150</v>
      </c>
      <c r="AQ52" s="232" t="s">
        <v>150</v>
      </c>
      <c r="AR52" s="232" t="s">
        <v>150</v>
      </c>
      <c r="AS52" s="232" t="s">
        <v>150</v>
      </c>
      <c r="AT52" s="163"/>
    </row>
    <row r="53">
      <c r="A53" s="80"/>
      <c r="B53" s="81"/>
      <c r="C53" s="90"/>
      <c r="D53" s="90"/>
      <c r="E53" s="113" t="s">
        <v>275</v>
      </c>
      <c r="F53" s="189" t="s">
        <v>122</v>
      </c>
      <c r="G53" s="263" t="s">
        <v>149</v>
      </c>
      <c r="H53" s="156">
        <f t="shared" si="3"/>
        <v>0.3910940565</v>
      </c>
      <c r="I53" s="273" t="s">
        <v>150</v>
      </c>
      <c r="J53" s="273" t="s">
        <v>150</v>
      </c>
      <c r="K53" s="273" t="s">
        <v>150</v>
      </c>
      <c r="L53" s="273" t="s">
        <v>150</v>
      </c>
      <c r="M53" s="273" t="s">
        <v>150</v>
      </c>
      <c r="N53" s="273" t="s">
        <v>150</v>
      </c>
      <c r="O53" s="273" t="s">
        <v>150</v>
      </c>
      <c r="P53" s="273" t="s">
        <v>150</v>
      </c>
      <c r="Q53" s="273" t="s">
        <v>150</v>
      </c>
      <c r="R53" s="273" t="s">
        <v>150</v>
      </c>
      <c r="S53" s="273" t="s">
        <v>150</v>
      </c>
      <c r="T53" s="273" t="s">
        <v>150</v>
      </c>
      <c r="U53" s="273" t="s">
        <v>150</v>
      </c>
      <c r="V53" s="273" t="s">
        <v>150</v>
      </c>
      <c r="W53" s="273" t="s">
        <v>150</v>
      </c>
      <c r="X53" s="273" t="s">
        <v>150</v>
      </c>
      <c r="Y53" s="273" t="s">
        <v>150</v>
      </c>
      <c r="Z53" s="273" t="s">
        <v>150</v>
      </c>
      <c r="AA53" s="273" t="s">
        <v>150</v>
      </c>
      <c r="AB53" s="273" t="s">
        <v>150</v>
      </c>
      <c r="AC53" s="273" t="s">
        <v>150</v>
      </c>
      <c r="AD53" s="273" t="s">
        <v>150</v>
      </c>
      <c r="AE53" s="273" t="s">
        <v>150</v>
      </c>
      <c r="AF53" s="273" t="s">
        <v>150</v>
      </c>
      <c r="AG53" s="273" t="s">
        <v>150</v>
      </c>
      <c r="AH53" s="273" t="s">
        <v>150</v>
      </c>
      <c r="AI53" s="273" t="s">
        <v>150</v>
      </c>
      <c r="AJ53" s="273" t="s">
        <v>150</v>
      </c>
      <c r="AK53" s="273" t="s">
        <v>150</v>
      </c>
      <c r="AL53" s="273" t="s">
        <v>150</v>
      </c>
      <c r="AM53" s="273" t="s">
        <v>150</v>
      </c>
      <c r="AN53" s="273" t="s">
        <v>150</v>
      </c>
      <c r="AO53" s="273" t="s">
        <v>150</v>
      </c>
      <c r="AP53" s="273" t="s">
        <v>150</v>
      </c>
      <c r="AQ53" s="273" t="s">
        <v>150</v>
      </c>
      <c r="AR53" s="273" t="s">
        <v>150</v>
      </c>
      <c r="AS53" s="273" t="s">
        <v>150</v>
      </c>
      <c r="AT53" s="136"/>
    </row>
    <row r="54">
      <c r="A54" s="80"/>
      <c r="B54" s="81"/>
      <c r="C54" s="90"/>
      <c r="D54" s="90"/>
      <c r="E54" s="237" t="s">
        <v>279</v>
      </c>
      <c r="F54" s="195" t="s">
        <v>122</v>
      </c>
      <c r="G54" s="316" t="s">
        <v>149</v>
      </c>
      <c r="H54" s="234">
        <f t="shared" si="3"/>
        <v>0.6653194526</v>
      </c>
      <c r="I54" s="292" t="s">
        <v>150</v>
      </c>
      <c r="J54" s="292" t="s">
        <v>150</v>
      </c>
      <c r="K54" s="292" t="s">
        <v>150</v>
      </c>
      <c r="L54" s="292" t="s">
        <v>150</v>
      </c>
      <c r="M54" s="292" t="s">
        <v>150</v>
      </c>
      <c r="N54" s="292" t="s">
        <v>150</v>
      </c>
      <c r="O54" s="292" t="s">
        <v>150</v>
      </c>
      <c r="P54" s="292" t="s">
        <v>150</v>
      </c>
      <c r="Q54" s="292" t="s">
        <v>150</v>
      </c>
      <c r="R54" s="292" t="s">
        <v>150</v>
      </c>
      <c r="S54" s="292" t="s">
        <v>150</v>
      </c>
      <c r="T54" s="292" t="s">
        <v>150</v>
      </c>
      <c r="U54" s="292" t="s">
        <v>150</v>
      </c>
      <c r="V54" s="292" t="s">
        <v>150</v>
      </c>
      <c r="W54" s="292" t="s">
        <v>150</v>
      </c>
      <c r="X54" s="292" t="s">
        <v>150</v>
      </c>
      <c r="Y54" s="292" t="s">
        <v>150</v>
      </c>
      <c r="Z54" s="292" t="s">
        <v>150</v>
      </c>
      <c r="AA54" s="292" t="s">
        <v>150</v>
      </c>
      <c r="AB54" s="292" t="s">
        <v>150</v>
      </c>
      <c r="AC54" s="292" t="s">
        <v>150</v>
      </c>
      <c r="AD54" s="292" t="s">
        <v>150</v>
      </c>
      <c r="AE54" s="292" t="s">
        <v>150</v>
      </c>
      <c r="AF54" s="292" t="s">
        <v>150</v>
      </c>
      <c r="AG54" s="292" t="s">
        <v>150</v>
      </c>
      <c r="AH54" s="292" t="s">
        <v>150</v>
      </c>
      <c r="AI54" s="292" t="s">
        <v>150</v>
      </c>
      <c r="AJ54" s="292" t="s">
        <v>150</v>
      </c>
      <c r="AK54" s="292" t="s">
        <v>150</v>
      </c>
      <c r="AL54" s="292" t="s">
        <v>150</v>
      </c>
      <c r="AM54" s="292" t="s">
        <v>150</v>
      </c>
      <c r="AN54" s="292" t="s">
        <v>150</v>
      </c>
      <c r="AO54" s="292" t="s">
        <v>150</v>
      </c>
      <c r="AP54" s="292" t="s">
        <v>150</v>
      </c>
      <c r="AQ54" s="292" t="s">
        <v>150</v>
      </c>
      <c r="AR54" s="292" t="s">
        <v>150</v>
      </c>
      <c r="AS54" s="292" t="s">
        <v>150</v>
      </c>
      <c r="AT54" s="248"/>
    </row>
    <row r="55">
      <c r="A55" s="80"/>
      <c r="B55" s="81"/>
      <c r="C55" s="90"/>
      <c r="D55" s="90"/>
      <c r="E55" s="243"/>
      <c r="F55" s="83"/>
      <c r="G55" s="135"/>
      <c r="H55" s="85"/>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8"/>
    </row>
    <row r="56">
      <c r="A56" s="72" t="s">
        <v>846</v>
      </c>
      <c r="B56" s="14"/>
      <c r="C56" s="14"/>
      <c r="D56" s="14"/>
      <c r="E56" s="14"/>
      <c r="F56" s="14"/>
      <c r="G56" s="14"/>
      <c r="H56" s="73"/>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79"/>
    </row>
    <row r="57">
      <c r="A57" s="80"/>
      <c r="B57" s="81"/>
      <c r="C57" s="90"/>
      <c r="D57" s="90"/>
      <c r="E57" s="243"/>
      <c r="F57" s="83"/>
      <c r="G57" s="135"/>
      <c r="H57" s="85"/>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8"/>
    </row>
    <row r="58">
      <c r="A58" s="80"/>
      <c r="B58" s="81"/>
      <c r="C58" s="90" t="s">
        <v>847</v>
      </c>
      <c r="F58" s="83"/>
      <c r="G58" s="135"/>
      <c r="H58" s="85"/>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8"/>
    </row>
    <row r="59">
      <c r="A59" s="80"/>
      <c r="B59" s="81"/>
      <c r="C59" s="90"/>
      <c r="D59" s="90"/>
      <c r="E59" s="224" t="s">
        <v>848</v>
      </c>
      <c r="F59" s="93" t="s">
        <v>122</v>
      </c>
      <c r="G59" s="321" t="s">
        <v>149</v>
      </c>
      <c r="H59" s="129" t="s">
        <v>150</v>
      </c>
      <c r="I59" s="308">
        <f>SUMPRODUCT($H8:$H13,'Aggregation across vaccines'!I45:I50)</f>
        <v>0.6250664506</v>
      </c>
      <c r="J59" s="308">
        <f>SUMPRODUCT($H8:$H13,'Aggregation across vaccines'!J45:J50)</f>
        <v>0.619713325</v>
      </c>
      <c r="K59" s="308">
        <f>SUMPRODUCT($H8:$H13,'Aggregation across vaccines'!K45:K50)</f>
        <v>0.6451833087</v>
      </c>
      <c r="L59" s="308">
        <f>SUMPRODUCT($H8:$H13,'Aggregation across vaccines'!L45:L50)</f>
        <v>0.6272082296</v>
      </c>
      <c r="M59" s="308">
        <f>SUMPRODUCT($H8:$H13,'Aggregation across vaccines'!M45:M50)</f>
        <v>0.6107107919</v>
      </c>
      <c r="N59" s="308">
        <f>SUMPRODUCT($H8:$H13,'Aggregation across vaccines'!N45:N50)</f>
        <v>0.6373908607</v>
      </c>
      <c r="O59" s="308">
        <f>SUMPRODUCT($H8:$H13,'Aggregation across vaccines'!O45:O50)</f>
        <v>0.6379797073</v>
      </c>
      <c r="P59" s="308">
        <f>SUMPRODUCT($H8:$H13,'Aggregation across vaccines'!P45:P50)</f>
        <v>0.6281716892</v>
      </c>
      <c r="Q59" s="308">
        <f>SUMPRODUCT($H8:$H13,'Aggregation across vaccines'!Q45:Q50)</f>
        <v>0.6376113954</v>
      </c>
      <c r="R59" s="308">
        <f>SUMPRODUCT($H8:$H13,'Aggregation across vaccines'!R45:R50)</f>
        <v>0.5894068172</v>
      </c>
      <c r="S59" s="308">
        <f>SUMPRODUCT($H8:$H13,'Aggregation across vaccines'!S45:S50)</f>
        <v>0.6125133274</v>
      </c>
      <c r="T59" s="308">
        <f>SUMPRODUCT($H8:$H13,'Aggregation across vaccines'!T45:T50)</f>
        <v>0.6312491418</v>
      </c>
      <c r="U59" s="308">
        <f>SUMPRODUCT($H8:$H13,'Aggregation across vaccines'!U45:U50)</f>
        <v>0.6420367878</v>
      </c>
      <c r="V59" s="308">
        <f>SUMPRODUCT($H8:$H13,'Aggregation across vaccines'!V45:V50)</f>
        <v>0.6184266351</v>
      </c>
      <c r="W59" s="308">
        <f>SUMPRODUCT($H8:$H13,'Aggregation across vaccines'!W45:W50)</f>
        <v>0.60504429</v>
      </c>
      <c r="X59" s="308">
        <f>SUMPRODUCT($H8:$H13,'Aggregation across vaccines'!X45:X50)</f>
        <v>0.6301972398</v>
      </c>
      <c r="Y59" s="308">
        <f>SUMPRODUCT($H8:$H13,'Aggregation across vaccines'!Y45:Y50)</f>
        <v>0.6385435456</v>
      </c>
      <c r="Z59" s="308">
        <f>SUMPRODUCT($H8:$H13,'Aggregation across vaccines'!Z45:Z50)</f>
        <v>0.6289189855</v>
      </c>
      <c r="AA59" s="308">
        <f>SUMPRODUCT($H8:$H13,'Aggregation across vaccines'!AA45:AA50)</f>
        <v>0.6243823837</v>
      </c>
      <c r="AB59" s="308">
        <f>SUMPRODUCT($H8:$H13,'Aggregation across vaccines'!AB45:AB50)</f>
        <v>0.6337688718</v>
      </c>
      <c r="AC59" s="308">
        <f>SUMPRODUCT($H8:$H13,'Aggregation across vaccines'!AC45:AC50)</f>
        <v>0.6311827891</v>
      </c>
      <c r="AD59" s="308">
        <f>SUMPRODUCT($H8:$H13,'Aggregation across vaccines'!AD45:AD50)</f>
        <v>0.6417529672</v>
      </c>
      <c r="AE59" s="308">
        <f>SUMPRODUCT($H8:$H13,'Aggregation across vaccines'!AE45:AE50)</f>
        <v>0.6295163022</v>
      </c>
      <c r="AF59" s="308">
        <f>SUMPRODUCT($H8:$H13,'Aggregation across vaccines'!AF45:AF50)</f>
        <v>0.6303499986</v>
      </c>
      <c r="AG59" s="308">
        <f>SUMPRODUCT($H8:$H13,'Aggregation across vaccines'!AG45:AG50)</f>
        <v>0.6652752254</v>
      </c>
      <c r="AH59" s="308">
        <f>SUMPRODUCT($H8:$H13,'Aggregation across vaccines'!AH45:AH50)</f>
        <v>0.6442158814</v>
      </c>
      <c r="AI59" s="308">
        <f>SUMPRODUCT($H8:$H13,'Aggregation across vaccines'!AI45:AI50)</f>
        <v>0.6297924441</v>
      </c>
      <c r="AJ59" s="308">
        <f>SUMPRODUCT($H8:$H13,'Aggregation across vaccines'!AJ45:AJ50)</f>
        <v>0.6306729688</v>
      </c>
      <c r="AK59" s="308">
        <f>SUMPRODUCT($H8:$H13,'Aggregation across vaccines'!AK45:AK50)</f>
        <v>0.6170080835</v>
      </c>
      <c r="AL59" s="308">
        <f>SUMPRODUCT($H8:$H13,'Aggregation across vaccines'!AL45:AL50)</f>
        <v>0.6301972974</v>
      </c>
      <c r="AM59" s="308">
        <f>SUMPRODUCT($H8:$H13,'Aggregation across vaccines'!AM45:AM50)</f>
        <v>0.625550706</v>
      </c>
      <c r="AN59" s="308">
        <f>SUMPRODUCT($H8:$H13,'Aggregation across vaccines'!AN45:AN50)</f>
        <v>0.6360400751</v>
      </c>
      <c r="AO59" s="308">
        <f>SUMPRODUCT($H8:$H13,'Aggregation across vaccines'!AO45:AO50)</f>
        <v>0.6433215504</v>
      </c>
      <c r="AP59" s="308">
        <f>SUMPRODUCT($H8:$H13,'Aggregation across vaccines'!AP45:AP50)</f>
        <v>0.6240472214</v>
      </c>
      <c r="AQ59" s="308">
        <f>SUMPRODUCT($H8:$H13,'Aggregation across vaccines'!AQ45:AQ50)</f>
        <v>0.6281736807</v>
      </c>
      <c r="AR59" s="308">
        <f>SUMPRODUCT($H8:$H13,'Aggregation across vaccines'!AR45:AR50)</f>
        <v>0.6034350024</v>
      </c>
      <c r="AS59" s="308">
        <f>SUMPRODUCT($H8:$H13,'Aggregation across vaccines'!AS45:AS50)</f>
        <v>0.6423663361</v>
      </c>
      <c r="AT59" s="265"/>
    </row>
    <row r="60">
      <c r="A60" s="81"/>
      <c r="B60" s="81"/>
      <c r="C60" s="90"/>
      <c r="D60" s="90"/>
      <c r="E60" s="243"/>
      <c r="F60" s="108"/>
      <c r="G60" s="109"/>
      <c r="H60" s="110"/>
      <c r="I60" s="111"/>
      <c r="J60" s="111"/>
      <c r="K60" s="111"/>
      <c r="L60" s="111"/>
      <c r="M60" s="111"/>
      <c r="N60" s="111"/>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88"/>
    </row>
    <row r="61">
      <c r="A61" s="81"/>
      <c r="B61" s="81"/>
      <c r="C61" s="90" t="s">
        <v>852</v>
      </c>
      <c r="F61" s="108"/>
      <c r="G61" s="109"/>
      <c r="H61" s="110"/>
      <c r="I61" s="111"/>
      <c r="J61" s="111"/>
      <c r="K61" s="111"/>
      <c r="L61" s="111"/>
      <c r="M61" s="111"/>
      <c r="N61" s="111"/>
      <c r="O61" s="111"/>
      <c r="P61" s="111"/>
      <c r="Q61" s="111"/>
      <c r="R61" s="111"/>
      <c r="S61" s="111"/>
      <c r="T61" s="111"/>
      <c r="U61" s="111"/>
      <c r="V61" s="111"/>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88"/>
    </row>
    <row r="62">
      <c r="A62" s="81"/>
      <c r="B62" s="81"/>
      <c r="C62" s="90"/>
      <c r="D62" s="90"/>
      <c r="E62" s="224" t="s">
        <v>852</v>
      </c>
      <c r="F62" s="93" t="s">
        <v>122</v>
      </c>
      <c r="G62" s="93" t="s">
        <v>149</v>
      </c>
      <c r="H62" s="129" t="s">
        <v>150</v>
      </c>
      <c r="I62" s="308">
        <f t="array" ref="I62">SUMPRODUCT({$H33,$H33,$H33,$H33,$H33,$H31},{'Aggregation across vaccines'!I45,'Aggregation across vaccines'!I46,'Aggregation across vaccines'!I47,'Aggregation across vaccines'!I48,'Aggregation across vaccines'!I49,'Aggregation across vaccines'!I50})</f>
        <v>-0.1953522431</v>
      </c>
      <c r="J62" s="308">
        <f t="array" ref="J62">SUMPRODUCT({$H33,$H33,$H33,$H33,$H33,$H31},{'Aggregation across vaccines'!J45,'Aggregation across vaccines'!J46,'Aggregation across vaccines'!J47,'Aggregation across vaccines'!J48,'Aggregation across vaccines'!J49,'Aggregation across vaccines'!J50})</f>
        <v>-0.1946754996</v>
      </c>
      <c r="K62" s="308">
        <f t="array" ref="K62">SUMPRODUCT({$H33,$H33,$H33,$H33,$H33,$H31},{'Aggregation across vaccines'!K45,'Aggregation across vaccines'!K46,'Aggregation across vaccines'!K47,'Aggregation across vaccines'!K48,'Aggregation across vaccines'!K49,'Aggregation across vaccines'!K50})</f>
        <v>-0.1957730228</v>
      </c>
      <c r="L62" s="308">
        <f t="array" ref="L62">SUMPRODUCT({$H33,$H33,$H33,$H33,$H33,$H31},{'Aggregation across vaccines'!L45,'Aggregation across vaccines'!L46,'Aggregation across vaccines'!L47,'Aggregation across vaccines'!L48,'Aggregation across vaccines'!L49,'Aggregation across vaccines'!L50})</f>
        <v>-0.1950605688</v>
      </c>
      <c r="M62" s="308">
        <f t="array" ref="M62">SUMPRODUCT({$H33,$H33,$H33,$H33,$H33,$H31},{'Aggregation across vaccines'!M45,'Aggregation across vaccines'!M46,'Aggregation across vaccines'!M47,'Aggregation across vaccines'!M48,'Aggregation across vaccines'!M49,'Aggregation across vaccines'!M50})</f>
        <v>-0.1940490915</v>
      </c>
      <c r="N62" s="308">
        <f t="array" ref="N62">SUMPRODUCT({$H33,$H33,$H33,$H33,$H33,$H31},{'Aggregation across vaccines'!N45,'Aggregation across vaccines'!N46,'Aggregation across vaccines'!N47,'Aggregation across vaccines'!N48,'Aggregation across vaccines'!N49,'Aggregation across vaccines'!N50})</f>
        <v>-0.1965214918</v>
      </c>
      <c r="O62" s="308">
        <f t="array" ref="O62">SUMPRODUCT({$H33,$H33,$H33,$H33,$H33,$H31},{'Aggregation across vaccines'!O45,'Aggregation across vaccines'!O46,'Aggregation across vaccines'!O47,'Aggregation across vaccines'!O48,'Aggregation across vaccines'!O49,'Aggregation across vaccines'!O50})</f>
        <v>-0.1962790534</v>
      </c>
      <c r="P62" s="308">
        <f t="array" ref="P62">SUMPRODUCT({$H33,$H33,$H33,$H33,$H33,$H31},{'Aggregation across vaccines'!P45,'Aggregation across vaccines'!P46,'Aggregation across vaccines'!P47,'Aggregation across vaccines'!P48,'Aggregation across vaccines'!P49,'Aggregation across vaccines'!P50})</f>
        <v>-0.1956195334</v>
      </c>
      <c r="Q62" s="308">
        <f t="array" ref="Q62">SUMPRODUCT({$H33,$H33,$H33,$H33,$H33,$H31},{'Aggregation across vaccines'!Q45,'Aggregation across vaccines'!Q46,'Aggregation across vaccines'!Q47,'Aggregation across vaccines'!Q48,'Aggregation across vaccines'!Q49,'Aggregation across vaccines'!Q50})</f>
        <v>-0.1960401702</v>
      </c>
      <c r="R62" s="308">
        <f t="array" ref="R62">SUMPRODUCT({$H33,$H33,$H33,$H33,$H33,$H31},{'Aggregation across vaccines'!R45,'Aggregation across vaccines'!R46,'Aggregation across vaccines'!R47,'Aggregation across vaccines'!R48,'Aggregation across vaccines'!R49,'Aggregation across vaccines'!R50})</f>
        <v>-0.1903799621</v>
      </c>
      <c r="S62" s="308">
        <f t="array" ref="S62">SUMPRODUCT({$H33,$H33,$H33,$H33,$H33,$H31},{'Aggregation across vaccines'!S45,'Aggregation across vaccines'!S46,'Aggregation across vaccines'!S47,'Aggregation across vaccines'!S48,'Aggregation across vaccines'!S49,'Aggregation across vaccines'!S50})</f>
        <v>-0.1940011743</v>
      </c>
      <c r="T62" s="308">
        <f t="array" ref="T62">SUMPRODUCT({$H33,$H33,$H33,$H33,$H33,$H31},{'Aggregation across vaccines'!T45,'Aggregation across vaccines'!T46,'Aggregation across vaccines'!T47,'Aggregation across vaccines'!T48,'Aggregation across vaccines'!T49,'Aggregation across vaccines'!T50})</f>
        <v>-0.1949164855</v>
      </c>
      <c r="U62" s="308">
        <f t="array" ref="U62">SUMPRODUCT({$H33,$H33,$H33,$H33,$H33,$H31},{'Aggregation across vaccines'!U45,'Aggregation across vaccines'!U46,'Aggregation across vaccines'!U47,'Aggregation across vaccines'!U48,'Aggregation across vaccines'!U49,'Aggregation across vaccines'!U50})</f>
        <v>-0.1941559728</v>
      </c>
      <c r="V62" s="308">
        <f t="array" ref="V62">SUMPRODUCT({$H33,$H33,$H33,$H33,$H33,$H31},{'Aggregation across vaccines'!V45,'Aggregation across vaccines'!V46,'Aggregation across vaccines'!V47,'Aggregation across vaccines'!V48,'Aggregation across vaccines'!V49,'Aggregation across vaccines'!V50})</f>
        <v>-0.1952266932</v>
      </c>
      <c r="W62" s="308">
        <f t="array" ref="W62">SUMPRODUCT({$H33,$H33,$H33,$H33,$H33,$H31},{'Aggregation across vaccines'!W45,'Aggregation across vaccines'!W46,'Aggregation across vaccines'!W47,'Aggregation across vaccines'!W48,'Aggregation across vaccines'!W49,'Aggregation across vaccines'!W50})</f>
        <v>-0.1940914171</v>
      </c>
      <c r="X62" s="308">
        <f t="array" ref="X62">SUMPRODUCT({$H33,$H33,$H33,$H33,$H33,$H31},{'Aggregation across vaccines'!X45,'Aggregation across vaccines'!X46,'Aggregation across vaccines'!X47,'Aggregation across vaccines'!X48,'Aggregation across vaccines'!X49,'Aggregation across vaccines'!X50})</f>
        <v>-0.1962774568</v>
      </c>
      <c r="Y62" s="308">
        <f t="array" ref="Y62">SUMPRODUCT({$H33,$H33,$H33,$H33,$H33,$H31},{'Aggregation across vaccines'!Y45,'Aggregation across vaccines'!Y46,'Aggregation across vaccines'!Y47,'Aggregation across vaccines'!Y48,'Aggregation across vaccines'!Y49,'Aggregation across vaccines'!Y50})</f>
        <v>-0.1951182693</v>
      </c>
      <c r="Z62" s="308">
        <f t="array" ref="Z62">SUMPRODUCT({$H33,$H33,$H33,$H33,$H33,$H31},{'Aggregation across vaccines'!Z45,'Aggregation across vaccines'!Z46,'Aggregation across vaccines'!Z47,'Aggregation across vaccines'!Z48,'Aggregation across vaccines'!Z49,'Aggregation across vaccines'!Z50})</f>
        <v>-0.1944756156</v>
      </c>
      <c r="AA62" s="308">
        <f t="array" ref="AA62">SUMPRODUCT({$H33,$H33,$H33,$H33,$H33,$H31},{'Aggregation across vaccines'!AA45,'Aggregation across vaccines'!AA46,'Aggregation across vaccines'!AA47,'Aggregation across vaccines'!AA48,'Aggregation across vaccines'!AA49,'Aggregation across vaccines'!AA50})</f>
        <v>-0.1942399961</v>
      </c>
      <c r="AB62" s="308">
        <f t="array" ref="AB62">SUMPRODUCT({$H33,$H33,$H33,$H33,$H33,$H31},{'Aggregation across vaccines'!AB45,'Aggregation across vaccines'!AB46,'Aggregation across vaccines'!AB47,'Aggregation across vaccines'!AB48,'Aggregation across vaccines'!AB49,'Aggregation across vaccines'!AB50})</f>
        <v>-0.1944424205</v>
      </c>
      <c r="AC62" s="308">
        <f t="array" ref="AC62">SUMPRODUCT({$H33,$H33,$H33,$H33,$H33,$H31},{'Aggregation across vaccines'!AC45,'Aggregation across vaccines'!AC46,'Aggregation across vaccines'!AC47,'Aggregation across vaccines'!AC48,'Aggregation across vaccines'!AC49,'Aggregation across vaccines'!AC50})</f>
        <v>-0.195069729</v>
      </c>
      <c r="AD62" s="308">
        <f t="array" ref="AD62">SUMPRODUCT({$H33,$H33,$H33,$H33,$H33,$H31},{'Aggregation across vaccines'!AD45,'Aggregation across vaccines'!AD46,'Aggregation across vaccines'!AD47,'Aggregation across vaccines'!AD48,'Aggregation across vaccines'!AD49,'Aggregation across vaccines'!AD50})</f>
        <v>-0.1947570226</v>
      </c>
      <c r="AE62" s="308">
        <f t="array" ref="AE62">SUMPRODUCT({$H33,$H33,$H33,$H33,$H33,$H31},{'Aggregation across vaccines'!AE45,'Aggregation across vaccines'!AE46,'Aggregation across vaccines'!AE47,'Aggregation across vaccines'!AE48,'Aggregation across vaccines'!AE49,'Aggregation across vaccines'!AE50})</f>
        <v>-0.1940816513</v>
      </c>
      <c r="AF62" s="308">
        <f t="array" ref="AF62">SUMPRODUCT({$H33,$H33,$H33,$H33,$H33,$H31},{'Aggregation across vaccines'!AF45,'Aggregation across vaccines'!AF46,'Aggregation across vaccines'!AF47,'Aggregation across vaccines'!AF48,'Aggregation across vaccines'!AF49,'Aggregation across vaccines'!AF50})</f>
        <v>-0.194154286</v>
      </c>
      <c r="AG62" s="308">
        <f t="array" ref="AG62">SUMPRODUCT({$H33,$H33,$H33,$H33,$H33,$H31},{'Aggregation across vaccines'!AG45,'Aggregation across vaccines'!AG46,'Aggregation across vaccines'!AG47,'Aggregation across vaccines'!AG48,'Aggregation across vaccines'!AG49,'Aggregation across vaccines'!AG50})</f>
        <v>-0.1953505843</v>
      </c>
      <c r="AH62" s="308">
        <f t="array" ref="AH62">SUMPRODUCT({$H33,$H33,$H33,$H33,$H33,$H31},{'Aggregation across vaccines'!AH45,'Aggregation across vaccines'!AH46,'Aggregation across vaccines'!AH47,'Aggregation across vaccines'!AH48,'Aggregation across vaccines'!AH49,'Aggregation across vaccines'!AH50})</f>
        <v>-0.1969625645</v>
      </c>
      <c r="AI62" s="308">
        <f t="array" ref="AI62">SUMPRODUCT({$H33,$H33,$H33,$H33,$H33,$H31},{'Aggregation across vaccines'!AI45,'Aggregation across vaccines'!AI46,'Aggregation across vaccines'!AI47,'Aggregation across vaccines'!AI48,'Aggregation across vaccines'!AI49,'Aggregation across vaccines'!AI50})</f>
        <v>-0.1947295525</v>
      </c>
      <c r="AJ62" s="308">
        <f t="array" ref="AJ62">SUMPRODUCT({$H33,$H33,$H33,$H33,$H33,$H31},{'Aggregation across vaccines'!AJ45,'Aggregation across vaccines'!AJ46,'Aggregation across vaccines'!AJ47,'Aggregation across vaccines'!AJ48,'Aggregation across vaccines'!AJ49,'Aggregation across vaccines'!AJ50})</f>
        <v>-0.1948783652</v>
      </c>
      <c r="AK62" s="308">
        <f t="array" ref="AK62">SUMPRODUCT({$H33,$H33,$H33,$H33,$H33,$H31},{'Aggregation across vaccines'!AK45,'Aggregation across vaccines'!AK46,'Aggregation across vaccines'!AK47,'Aggregation across vaccines'!AK48,'Aggregation across vaccines'!AK49,'Aggregation across vaccines'!AK50})</f>
        <v>-0.1948750137</v>
      </c>
      <c r="AL62" s="308">
        <f t="array" ref="AL62">SUMPRODUCT({$H33,$H33,$H33,$H33,$H33,$H31},{'Aggregation across vaccines'!AL45,'Aggregation across vaccines'!AL46,'Aggregation across vaccines'!AL47,'Aggregation across vaccines'!AL48,'Aggregation across vaccines'!AL49,'Aggregation across vaccines'!AL50})</f>
        <v>-0.1947098057</v>
      </c>
      <c r="AM62" s="308">
        <f t="array" ref="AM62">SUMPRODUCT({$H33,$H33,$H33,$H33,$H33,$H31},{'Aggregation across vaccines'!AM45,'Aggregation across vaccines'!AM46,'Aggregation across vaccines'!AM47,'Aggregation across vaccines'!AM48,'Aggregation across vaccines'!AM49,'Aggregation across vaccines'!AM50})</f>
        <v>-0.1946965149</v>
      </c>
      <c r="AN62" s="308">
        <f t="array" ref="AN62">SUMPRODUCT({$H33,$H33,$H33,$H33,$H33,$H31},{'Aggregation across vaccines'!AN45,'Aggregation across vaccines'!AN46,'Aggregation across vaccines'!AN47,'Aggregation across vaccines'!AN48,'Aggregation across vaccines'!AN49,'Aggregation across vaccines'!AN50})</f>
        <v>-0.1951589421</v>
      </c>
      <c r="AO62" s="308">
        <f t="array" ref="AO62">SUMPRODUCT({$H33,$H33,$H33,$H33,$H33,$H31},{'Aggregation across vaccines'!AO45,'Aggregation across vaccines'!AO46,'Aggregation across vaccines'!AO47,'Aggregation across vaccines'!AO48,'Aggregation across vaccines'!AO49,'Aggregation across vaccines'!AO50})</f>
        <v>-0.1953878138</v>
      </c>
      <c r="AP62" s="308">
        <f t="array" ref="AP62">SUMPRODUCT({$H33,$H33,$H33,$H33,$H33,$H31},{'Aggregation across vaccines'!AP45,'Aggregation across vaccines'!AP46,'Aggregation across vaccines'!AP47,'Aggregation across vaccines'!AP48,'Aggregation across vaccines'!AP49,'Aggregation across vaccines'!AP50})</f>
        <v>-0.1947351216</v>
      </c>
      <c r="AQ62" s="308">
        <f t="array" ref="AQ62">SUMPRODUCT({$H33,$H33,$H33,$H33,$H33,$H31},{'Aggregation across vaccines'!AQ45,'Aggregation across vaccines'!AQ46,'Aggregation across vaccines'!AQ47,'Aggregation across vaccines'!AQ48,'Aggregation across vaccines'!AQ49,'Aggregation across vaccines'!AQ50})</f>
        <v>-0.1944032431</v>
      </c>
      <c r="AR62" s="308">
        <f t="array" ref="AR62">SUMPRODUCT({$H33,$H33,$H33,$H33,$H33,$H31},{'Aggregation across vaccines'!AR45,'Aggregation across vaccines'!AR46,'Aggregation across vaccines'!AR47,'Aggregation across vaccines'!AR48,'Aggregation across vaccines'!AR49,'Aggregation across vaccines'!AR50})</f>
        <v>-0.1940491444</v>
      </c>
      <c r="AS62" s="308">
        <f t="array" ref="AS62">SUMPRODUCT({$H33,$H33,$H33,$H33,$H33,$H31},{'Aggregation across vaccines'!AS45,'Aggregation across vaccines'!AS46,'Aggregation across vaccines'!AS47,'Aggregation across vaccines'!AS48,'Aggregation across vaccines'!AS49,'Aggregation across vaccines'!AS50})</f>
        <v>-0.1964723892</v>
      </c>
      <c r="AT62" s="265"/>
    </row>
    <row r="63">
      <c r="A63" s="333"/>
      <c r="B63" s="334"/>
      <c r="C63" s="652"/>
      <c r="D63" s="652"/>
      <c r="E63" s="224"/>
      <c r="F63" s="251"/>
      <c r="G63" s="252"/>
      <c r="H63" s="337"/>
      <c r="I63" s="338"/>
      <c r="J63" s="338"/>
      <c r="K63" s="338"/>
      <c r="L63" s="338"/>
      <c r="M63" s="338"/>
      <c r="N63" s="338"/>
      <c r="O63" s="338"/>
      <c r="P63" s="338"/>
      <c r="Q63" s="338"/>
      <c r="R63" s="338"/>
      <c r="S63" s="338"/>
      <c r="T63" s="338"/>
      <c r="U63" s="338"/>
      <c r="V63" s="338"/>
      <c r="W63" s="338"/>
      <c r="X63" s="338"/>
      <c r="Y63" s="338"/>
      <c r="Z63" s="338"/>
      <c r="AA63" s="338"/>
      <c r="AB63" s="338"/>
      <c r="AC63" s="338"/>
      <c r="AD63" s="338"/>
      <c r="AE63" s="338"/>
      <c r="AF63" s="338"/>
      <c r="AG63" s="338"/>
      <c r="AH63" s="338"/>
      <c r="AI63" s="338"/>
      <c r="AJ63" s="338"/>
      <c r="AK63" s="338"/>
      <c r="AL63" s="338"/>
      <c r="AM63" s="338"/>
      <c r="AN63" s="338"/>
      <c r="AO63" s="338"/>
      <c r="AP63" s="338"/>
      <c r="AQ63" s="338"/>
      <c r="AR63" s="338"/>
      <c r="AS63" s="338"/>
      <c r="AT63" s="265"/>
    </row>
  </sheetData>
  <mergeCells count="18">
    <mergeCell ref="I1:Q1"/>
    <mergeCell ref="R1:AE1"/>
    <mergeCell ref="AF1:AS1"/>
    <mergeCell ref="A3:E3"/>
    <mergeCell ref="A5:G5"/>
    <mergeCell ref="C6:E6"/>
    <mergeCell ref="C7:E7"/>
    <mergeCell ref="C48:E48"/>
    <mergeCell ref="A56:G56"/>
    <mergeCell ref="C58:E58"/>
    <mergeCell ref="C61:E61"/>
    <mergeCell ref="A15:G15"/>
    <mergeCell ref="C17:E17"/>
    <mergeCell ref="C23:E23"/>
    <mergeCell ref="C29:E29"/>
    <mergeCell ref="C35:E35"/>
    <mergeCell ref="A43:G43"/>
    <mergeCell ref="C45:E45"/>
  </mergeCells>
  <hyperlinks>
    <hyperlink display="BCG vaccine efficacy rate from Mangtani et al. 2014" location="Inputs!E16" ref="E8"/>
    <hyperlink display="DTP vaccine efficacy rate from the LiST meta-analysis (part of the Penta vaccine)" location="Inputs!E17" ref="E9"/>
    <hyperlink display="Hib vaccine efficacy rate from Thumburu et al. 2015 (part of the Penta vaccine)" location="Inputs!E18" ref="E10"/>
    <hyperlink display="PCV vaccine efficacy rate from the LiST meta-analysis" location="Inputs!E19" ref="E11"/>
    <hyperlink display="Rotavirus vaccine efficacy rate from the LiST meta-analysis" location="Inputs!E20" ref="E12"/>
    <hyperlink display="Measles vaccine efficacy rate from the LiST meta-analysis" location="Inputs!E21" ref="E13"/>
    <hyperlink display="Measles vaccine efficacy rate from the LiST meta-analysis" location="Inputs!E21" ref="E18"/>
    <hyperlink display="Measles vaccine efficacy rate GiveWell infers from the results of IDinsight's biomarkers pilot, assuming the results are entirely explained by vaccine efficacy" location="Inputs!E24" ref="E19"/>
    <hyperlink display="Measles vaccine efficacy rate implied by the results of Fowotade et al. 2015" location="Inputs!E25" ref="E20"/>
    <hyperlink display="Measles vaccine efficacy rate from Uzicanin and Zimmerman 2011" location="Inputs!E26" ref="E21"/>
    <hyperlink display="Weight assigned to the vaccine efficacy rate from the LiST meta-analysis" location="Inputs!E27" ref="E24"/>
    <hyperlink display="Weight assigned to the vaccine efficacy rate GiveWell infers from the results of IDinsight's biomarkers pilot" location="Inputs!E28" ref="E25"/>
    <hyperlink display="Weight assigned to the vaccine efficacy rate implied by the results of Fowotade et al. 2015" location="Inputs!E29" ref="E26"/>
    <hyperlink display="Weight assigned to the vaccine efficacy rate from Uzicanin and Zimmerman 2011" location="Inputs!E30" ref="E27"/>
    <hyperlink display="Proportion of the adjustment for geography-specific measles vaccine efficacy that applies to other vaccines" location="Inputs!E31" ref="E32"/>
    <hyperlink display="Vaccination coverage rate in the trials informing our vaccine efficacy estimates" location="Inputs!E34" ref="E46"/>
  </hyperlink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45" width="12.13"/>
    <col customWidth="1" min="46" max="46" width="3.63"/>
  </cols>
  <sheetData>
    <row r="1">
      <c r="A1" s="1"/>
      <c r="B1" s="3"/>
      <c r="C1" s="3"/>
      <c r="D1" s="3"/>
      <c r="E1" s="5"/>
      <c r="F1" s="7"/>
      <c r="G1" s="8"/>
      <c r="H1" s="9"/>
      <c r="I1" s="11" t="s">
        <v>1</v>
      </c>
      <c r="J1" s="12"/>
      <c r="K1" s="12"/>
      <c r="L1" s="12"/>
      <c r="M1" s="12"/>
      <c r="N1" s="12"/>
      <c r="O1" s="12"/>
      <c r="P1" s="12"/>
      <c r="Q1" s="12"/>
      <c r="R1" s="16" t="s">
        <v>3</v>
      </c>
      <c r="S1" s="14"/>
      <c r="T1" s="14"/>
      <c r="U1" s="14"/>
      <c r="V1" s="14"/>
      <c r="W1" s="14"/>
      <c r="X1" s="14"/>
      <c r="Y1" s="14"/>
      <c r="Z1" s="14"/>
      <c r="AA1" s="14"/>
      <c r="AB1" s="14"/>
      <c r="AC1" s="14"/>
      <c r="AD1" s="14"/>
      <c r="AE1" s="14"/>
      <c r="AF1" s="20" t="s">
        <v>3</v>
      </c>
      <c r="AG1" s="14"/>
      <c r="AH1" s="14"/>
      <c r="AI1" s="14"/>
      <c r="AJ1" s="14"/>
      <c r="AK1" s="14"/>
      <c r="AL1" s="14"/>
      <c r="AM1" s="14"/>
      <c r="AN1" s="14"/>
      <c r="AO1" s="14"/>
      <c r="AP1" s="14"/>
      <c r="AQ1" s="14"/>
      <c r="AR1" s="14"/>
      <c r="AS1" s="14"/>
      <c r="AT1" s="23"/>
    </row>
    <row r="2">
      <c r="A2" s="24"/>
      <c r="B2" s="25"/>
      <c r="C2" s="25"/>
      <c r="D2" s="25"/>
      <c r="E2" s="464"/>
      <c r="F2" s="28"/>
      <c r="G2" s="29"/>
      <c r="H2" s="465"/>
      <c r="I2" s="35" t="s">
        <v>7</v>
      </c>
      <c r="J2" s="35" t="s">
        <v>7</v>
      </c>
      <c r="K2" s="35" t="s">
        <v>7</v>
      </c>
      <c r="L2" s="35" t="s">
        <v>7</v>
      </c>
      <c r="M2" s="35" t="s">
        <v>7</v>
      </c>
      <c r="N2" s="35" t="s">
        <v>7</v>
      </c>
      <c r="O2" s="35" t="s">
        <v>7</v>
      </c>
      <c r="P2" s="35" t="s">
        <v>7</v>
      </c>
      <c r="Q2" s="40" t="s">
        <v>7</v>
      </c>
      <c r="R2" s="35" t="s">
        <v>7</v>
      </c>
      <c r="S2" s="35" t="s">
        <v>7</v>
      </c>
      <c r="T2" s="35" t="s">
        <v>7</v>
      </c>
      <c r="U2" s="35" t="s">
        <v>7</v>
      </c>
      <c r="V2" s="35" t="s">
        <v>7</v>
      </c>
      <c r="W2" s="35" t="s">
        <v>7</v>
      </c>
      <c r="X2" s="35" t="s">
        <v>7</v>
      </c>
      <c r="Y2" s="35" t="s">
        <v>7</v>
      </c>
      <c r="Z2" s="35" t="s">
        <v>7</v>
      </c>
      <c r="AA2" s="35" t="s">
        <v>7</v>
      </c>
      <c r="AB2" s="35" t="s">
        <v>7</v>
      </c>
      <c r="AC2" s="35" t="s">
        <v>7</v>
      </c>
      <c r="AD2" s="35" t="s">
        <v>7</v>
      </c>
      <c r="AE2" s="35" t="s">
        <v>7</v>
      </c>
      <c r="AF2" s="35" t="s">
        <v>7</v>
      </c>
      <c r="AG2" s="35" t="s">
        <v>7</v>
      </c>
      <c r="AH2" s="35" t="s">
        <v>7</v>
      </c>
      <c r="AI2" s="35" t="s">
        <v>7</v>
      </c>
      <c r="AJ2" s="35" t="s">
        <v>7</v>
      </c>
      <c r="AK2" s="35" t="s">
        <v>7</v>
      </c>
      <c r="AL2" s="35" t="s">
        <v>7</v>
      </c>
      <c r="AM2" s="35" t="s">
        <v>7</v>
      </c>
      <c r="AN2" s="35" t="s">
        <v>7</v>
      </c>
      <c r="AO2" s="35" t="s">
        <v>7</v>
      </c>
      <c r="AP2" s="35" t="s">
        <v>7</v>
      </c>
      <c r="AQ2" s="35" t="s">
        <v>7</v>
      </c>
      <c r="AR2" s="35" t="s">
        <v>7</v>
      </c>
      <c r="AS2" s="35" t="s">
        <v>7</v>
      </c>
      <c r="AT2" s="472"/>
    </row>
    <row r="3">
      <c r="A3" s="43" t="s">
        <v>748</v>
      </c>
      <c r="B3" s="12"/>
      <c r="C3" s="12"/>
      <c r="D3" s="12"/>
      <c r="E3" s="12"/>
      <c r="F3" s="44" t="s">
        <v>21</v>
      </c>
      <c r="G3" s="45" t="s">
        <v>22</v>
      </c>
      <c r="H3" s="46" t="s">
        <v>24</v>
      </c>
      <c r="I3" s="47" t="s">
        <v>26</v>
      </c>
      <c r="J3" s="47" t="s">
        <v>28</v>
      </c>
      <c r="K3" s="47" t="s">
        <v>30</v>
      </c>
      <c r="L3" s="47" t="s">
        <v>31</v>
      </c>
      <c r="M3" s="47" t="s">
        <v>32</v>
      </c>
      <c r="N3" s="47" t="s">
        <v>33</v>
      </c>
      <c r="O3" s="47" t="s">
        <v>34</v>
      </c>
      <c r="P3" s="47" t="s">
        <v>35</v>
      </c>
      <c r="Q3" s="48" t="s">
        <v>37</v>
      </c>
      <c r="R3" s="47" t="s">
        <v>38</v>
      </c>
      <c r="S3" s="47" t="s">
        <v>39</v>
      </c>
      <c r="T3" s="47" t="s">
        <v>40</v>
      </c>
      <c r="U3" s="47" t="s">
        <v>41</v>
      </c>
      <c r="V3" s="47" t="s">
        <v>42</v>
      </c>
      <c r="W3" s="47" t="s">
        <v>44</v>
      </c>
      <c r="X3" s="47" t="s">
        <v>45</v>
      </c>
      <c r="Y3" s="47" t="s">
        <v>46</v>
      </c>
      <c r="Z3" s="47" t="s">
        <v>47</v>
      </c>
      <c r="AA3" s="47" t="s">
        <v>48</v>
      </c>
      <c r="AB3" s="47" t="s">
        <v>49</v>
      </c>
      <c r="AC3" s="47" t="s">
        <v>50</v>
      </c>
      <c r="AD3" s="47" t="s">
        <v>51</v>
      </c>
      <c r="AE3" s="47" t="s">
        <v>52</v>
      </c>
      <c r="AF3" s="47" t="s">
        <v>53</v>
      </c>
      <c r="AG3" s="47" t="s">
        <v>54</v>
      </c>
      <c r="AH3" s="47" t="s">
        <v>55</v>
      </c>
      <c r="AI3" s="47" t="s">
        <v>56</v>
      </c>
      <c r="AJ3" s="47" t="s">
        <v>57</v>
      </c>
      <c r="AK3" s="47" t="s">
        <v>58</v>
      </c>
      <c r="AL3" s="47" t="s">
        <v>59</v>
      </c>
      <c r="AM3" s="47" t="s">
        <v>60</v>
      </c>
      <c r="AN3" s="47" t="s">
        <v>61</v>
      </c>
      <c r="AO3" s="47" t="s">
        <v>63</v>
      </c>
      <c r="AP3" s="47" t="s">
        <v>64</v>
      </c>
      <c r="AQ3" s="47" t="s">
        <v>65</v>
      </c>
      <c r="AR3" s="47" t="s">
        <v>66</v>
      </c>
      <c r="AS3" s="47" t="s">
        <v>67</v>
      </c>
      <c r="AT3" s="475"/>
    </row>
    <row r="4">
      <c r="A4" s="54"/>
      <c r="B4" s="56"/>
      <c r="C4" s="56"/>
      <c r="D4" s="56"/>
      <c r="E4" s="57" t="s">
        <v>70</v>
      </c>
      <c r="F4" s="61" t="str">
        <f>'Main CEA'!F241</f>
        <v>xcash</v>
      </c>
      <c r="G4" s="62" t="str">
        <f>'Main CEA'!G241</f>
        <v>calc</v>
      </c>
      <c r="H4" s="65" t="str">
        <f>'Main CEA'!H241</f>
        <v>-</v>
      </c>
      <c r="I4" s="67">
        <f>'Main CEA'!I241</f>
        <v>23.79888889</v>
      </c>
      <c r="J4" s="67">
        <f>'Main CEA'!J241</f>
        <v>10.80064073</v>
      </c>
      <c r="K4" s="67">
        <f>'Main CEA'!K241</f>
        <v>19.89994382</v>
      </c>
      <c r="L4" s="67">
        <f>'Main CEA'!L241</f>
        <v>5.656827509</v>
      </c>
      <c r="M4" s="67">
        <f>'Main CEA'!M241</f>
        <v>13.12917563</v>
      </c>
      <c r="N4" s="67">
        <f>'Main CEA'!N241</f>
        <v>20.32981152</v>
      </c>
      <c r="O4" s="67">
        <f>'Main CEA'!O241</f>
        <v>31.53213901</v>
      </c>
      <c r="P4" s="67">
        <f>'Main CEA'!P241</f>
        <v>51.33089054</v>
      </c>
      <c r="Q4" s="67">
        <f>'Main CEA'!Q241</f>
        <v>38.10262623</v>
      </c>
      <c r="R4" s="67">
        <f>'Main CEA'!R241</f>
        <v>1.867786341</v>
      </c>
      <c r="S4" s="67">
        <f>'Main CEA'!S241</f>
        <v>4.225686691</v>
      </c>
      <c r="T4" s="67">
        <f>'Main CEA'!T241</f>
        <v>1.768109683</v>
      </c>
      <c r="U4" s="67">
        <f>'Main CEA'!U241</f>
        <v>2.150636078</v>
      </c>
      <c r="V4" s="67">
        <f>'Main CEA'!V241</f>
        <v>2.992986954</v>
      </c>
      <c r="W4" s="67">
        <f>'Main CEA'!W241</f>
        <v>3.694768058</v>
      </c>
      <c r="X4" s="67">
        <f>'Main CEA'!X241</f>
        <v>7.445203475</v>
      </c>
      <c r="Y4" s="67">
        <f>'Main CEA'!Y241</f>
        <v>1.470093695</v>
      </c>
      <c r="Z4" s="67">
        <f>'Main CEA'!Z241</f>
        <v>2.491823062</v>
      </c>
      <c r="AA4" s="67">
        <f>'Main CEA'!AA241</f>
        <v>0.9010486621</v>
      </c>
      <c r="AB4" s="67">
        <f>'Main CEA'!AB241</f>
        <v>1.689729482</v>
      </c>
      <c r="AC4" s="67">
        <f>'Main CEA'!AC241</f>
        <v>1.163916063</v>
      </c>
      <c r="AD4" s="67">
        <f>'Main CEA'!AD241</f>
        <v>0.9454095081</v>
      </c>
      <c r="AE4" s="67">
        <f>'Main CEA'!AE241</f>
        <v>1.452673546</v>
      </c>
      <c r="AF4" s="67">
        <f>'Main CEA'!AF241</f>
        <v>1.113372117</v>
      </c>
      <c r="AG4" s="67">
        <f>'Main CEA'!AG241</f>
        <v>2.326412741</v>
      </c>
      <c r="AH4" s="67">
        <f>'Main CEA'!AH241</f>
        <v>2.58552318</v>
      </c>
      <c r="AI4" s="67">
        <f>'Main CEA'!AI241</f>
        <v>1.057455961</v>
      </c>
      <c r="AJ4" s="67">
        <f>'Main CEA'!AJ241</f>
        <v>4.122478511</v>
      </c>
      <c r="AK4" s="67">
        <f>'Main CEA'!AK241</f>
        <v>8.328347179</v>
      </c>
      <c r="AL4" s="67">
        <f>'Main CEA'!AL241</f>
        <v>3.316423642</v>
      </c>
      <c r="AM4" s="67">
        <f>'Main CEA'!AM241</f>
        <v>2.891797582</v>
      </c>
      <c r="AN4" s="67">
        <f>'Main CEA'!AN241</f>
        <v>1.109345771</v>
      </c>
      <c r="AO4" s="67">
        <f>'Main CEA'!AO241</f>
        <v>1.997283971</v>
      </c>
      <c r="AP4" s="67">
        <f>'Main CEA'!AP241</f>
        <v>2.667363328</v>
      </c>
      <c r="AQ4" s="67">
        <f>'Main CEA'!AQ241</f>
        <v>1.639182556</v>
      </c>
      <c r="AR4" s="67">
        <f>'Main CEA'!AR241</f>
        <v>7.705572783</v>
      </c>
      <c r="AS4" s="67">
        <f>'Main CEA'!AS241</f>
        <v>6.722833091</v>
      </c>
      <c r="AT4" s="71"/>
    </row>
    <row r="5">
      <c r="A5" s="72" t="s">
        <v>754</v>
      </c>
      <c r="B5" s="14"/>
      <c r="C5" s="14"/>
      <c r="D5" s="14"/>
      <c r="E5" s="14"/>
      <c r="F5" s="14"/>
      <c r="G5" s="482"/>
      <c r="H5" s="73"/>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7"/>
      <c r="AP5" s="97"/>
      <c r="AQ5" s="97"/>
      <c r="AR5" s="97"/>
      <c r="AS5" s="97"/>
      <c r="AT5" s="483"/>
    </row>
    <row r="6">
      <c r="A6" s="80"/>
      <c r="B6" s="81"/>
      <c r="C6" s="81"/>
      <c r="D6" s="81"/>
      <c r="E6" s="484"/>
      <c r="F6" s="83"/>
      <c r="G6" s="84"/>
      <c r="H6" s="85"/>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58"/>
    </row>
    <row r="7">
      <c r="A7" s="80"/>
      <c r="B7" s="81"/>
      <c r="C7" s="90" t="s">
        <v>96</v>
      </c>
      <c r="F7" s="83"/>
      <c r="G7" s="91"/>
      <c r="H7" s="85"/>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58"/>
    </row>
    <row r="8">
      <c r="A8" s="80"/>
      <c r="B8" s="81"/>
      <c r="C8" s="81"/>
      <c r="D8" s="81"/>
      <c r="E8" s="92" t="s">
        <v>103</v>
      </c>
      <c r="F8" s="93" t="s">
        <v>118</v>
      </c>
      <c r="G8" s="95" t="s">
        <v>203</v>
      </c>
      <c r="H8" s="485">
        <f>Inputs!H8</f>
        <v>1000000</v>
      </c>
      <c r="I8" s="131" t="str">
        <f>Inputs!I8</f>
        <v>-</v>
      </c>
      <c r="J8" s="131" t="str">
        <f>Inputs!J8</f>
        <v>-</v>
      </c>
      <c r="K8" s="131" t="str">
        <f>Inputs!K8</f>
        <v>-</v>
      </c>
      <c r="L8" s="131" t="str">
        <f>Inputs!L8</f>
        <v>-</v>
      </c>
      <c r="M8" s="131" t="str">
        <f>Inputs!M8</f>
        <v>-</v>
      </c>
      <c r="N8" s="131" t="str">
        <f>Inputs!N8</f>
        <v>-</v>
      </c>
      <c r="O8" s="131" t="str">
        <f>Inputs!O8</f>
        <v>-</v>
      </c>
      <c r="P8" s="131" t="str">
        <f>Inputs!P8</f>
        <v>-</v>
      </c>
      <c r="Q8" s="131" t="str">
        <f>Inputs!Q8</f>
        <v>-</v>
      </c>
      <c r="R8" s="131" t="str">
        <f>Inputs!R8</f>
        <v>-</v>
      </c>
      <c r="S8" s="131" t="str">
        <f>Inputs!S8</f>
        <v>-</v>
      </c>
      <c r="T8" s="131" t="str">
        <f>Inputs!T8</f>
        <v>-</v>
      </c>
      <c r="U8" s="131" t="str">
        <f>Inputs!U8</f>
        <v>-</v>
      </c>
      <c r="V8" s="131" t="str">
        <f>Inputs!V8</f>
        <v>-</v>
      </c>
      <c r="W8" s="131" t="str">
        <f>Inputs!W8</f>
        <v>-</v>
      </c>
      <c r="X8" s="131" t="str">
        <f>Inputs!X8</f>
        <v>-</v>
      </c>
      <c r="Y8" s="131" t="str">
        <f>Inputs!Y8</f>
        <v>-</v>
      </c>
      <c r="Z8" s="131" t="str">
        <f>Inputs!Z8</f>
        <v>-</v>
      </c>
      <c r="AA8" s="131" t="str">
        <f>Inputs!AA8</f>
        <v>-</v>
      </c>
      <c r="AB8" s="131" t="str">
        <f>Inputs!AB8</f>
        <v>-</v>
      </c>
      <c r="AC8" s="131" t="str">
        <f>Inputs!AC8</f>
        <v>-</v>
      </c>
      <c r="AD8" s="131" t="str">
        <f>Inputs!AD8</f>
        <v>-</v>
      </c>
      <c r="AE8" s="131" t="str">
        <f>Inputs!AE8</f>
        <v>-</v>
      </c>
      <c r="AF8" s="131" t="str">
        <f>Inputs!AF8</f>
        <v>-</v>
      </c>
      <c r="AG8" s="131" t="str">
        <f>Inputs!AG8</f>
        <v>-</v>
      </c>
      <c r="AH8" s="131" t="str">
        <f>Inputs!AH8</f>
        <v>-</v>
      </c>
      <c r="AI8" s="131" t="str">
        <f>Inputs!AI8</f>
        <v>-</v>
      </c>
      <c r="AJ8" s="131" t="str">
        <f>Inputs!AJ8</f>
        <v>-</v>
      </c>
      <c r="AK8" s="131" t="str">
        <f>Inputs!AK8</f>
        <v>-</v>
      </c>
      <c r="AL8" s="131" t="str">
        <f>Inputs!AL8</f>
        <v>-</v>
      </c>
      <c r="AM8" s="131" t="str">
        <f>Inputs!AM8</f>
        <v>-</v>
      </c>
      <c r="AN8" s="131" t="str">
        <f>Inputs!AN8</f>
        <v>-</v>
      </c>
      <c r="AO8" s="131" t="str">
        <f>Inputs!AO8</f>
        <v>-</v>
      </c>
      <c r="AP8" s="131" t="str">
        <f>Inputs!AP8</f>
        <v>-</v>
      </c>
      <c r="AQ8" s="131" t="str">
        <f>Inputs!AQ8</f>
        <v>-</v>
      </c>
      <c r="AR8" s="131" t="str">
        <f>Inputs!AR8</f>
        <v>-</v>
      </c>
      <c r="AS8" s="131" t="str">
        <f>Inputs!AS8</f>
        <v>-</v>
      </c>
      <c r="AT8" s="78"/>
    </row>
    <row r="9">
      <c r="A9" s="80"/>
      <c r="B9" s="81"/>
      <c r="C9" s="101"/>
      <c r="D9" s="101"/>
      <c r="E9" s="486"/>
      <c r="F9" s="487"/>
      <c r="G9" s="379"/>
      <c r="H9" s="85"/>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58"/>
    </row>
    <row r="10">
      <c r="A10" s="80"/>
      <c r="B10" s="81"/>
      <c r="C10" s="101" t="s">
        <v>760</v>
      </c>
      <c r="F10" s="487"/>
      <c r="G10" s="379"/>
      <c r="H10" s="85"/>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58"/>
    </row>
    <row r="11">
      <c r="A11" s="80"/>
      <c r="B11" s="81"/>
      <c r="C11" s="101"/>
      <c r="D11" s="101"/>
      <c r="E11" s="488" t="s">
        <v>761</v>
      </c>
      <c r="F11" s="489" t="str">
        <f>Inputs!F302</f>
        <v>$</v>
      </c>
      <c r="G11" s="490" t="str">
        <f>Inputs!G302</f>
        <v>input</v>
      </c>
      <c r="H11" s="491">
        <f>Inputs!H302</f>
        <v>34.28598</v>
      </c>
      <c r="I11" s="289" t="str">
        <f>Inputs!I302</f>
        <v>-</v>
      </c>
      <c r="J11" s="289" t="str">
        <f>Inputs!J302</f>
        <v>-</v>
      </c>
      <c r="K11" s="289" t="str">
        <f>Inputs!K302</f>
        <v>-</v>
      </c>
      <c r="L11" s="289" t="str">
        <f>Inputs!L302</f>
        <v>-</v>
      </c>
      <c r="M11" s="289" t="str">
        <f>Inputs!M302</f>
        <v>-</v>
      </c>
      <c r="N11" s="289" t="str">
        <f>Inputs!N302</f>
        <v>-</v>
      </c>
      <c r="O11" s="289" t="str">
        <f>Inputs!O302</f>
        <v>-</v>
      </c>
      <c r="P11" s="289" t="str">
        <f>Inputs!P302</f>
        <v>-</v>
      </c>
      <c r="Q11" s="289" t="str">
        <f>Inputs!Q302</f>
        <v>-</v>
      </c>
      <c r="R11" s="289" t="str">
        <f>Inputs!R302</f>
        <v>-</v>
      </c>
      <c r="S11" s="289" t="str">
        <f>Inputs!S302</f>
        <v>-</v>
      </c>
      <c r="T11" s="289" t="str">
        <f>Inputs!T302</f>
        <v>-</v>
      </c>
      <c r="U11" s="289" t="str">
        <f>Inputs!U302</f>
        <v>-</v>
      </c>
      <c r="V11" s="289" t="str">
        <f>Inputs!V302</f>
        <v>-</v>
      </c>
      <c r="W11" s="289" t="str">
        <f>Inputs!W302</f>
        <v>-</v>
      </c>
      <c r="X11" s="289" t="str">
        <f>Inputs!X302</f>
        <v>-</v>
      </c>
      <c r="Y11" s="289" t="str">
        <f>Inputs!Y302</f>
        <v>-</v>
      </c>
      <c r="Z11" s="289" t="str">
        <f>Inputs!Z302</f>
        <v>-</v>
      </c>
      <c r="AA11" s="289" t="str">
        <f>Inputs!AA302</f>
        <v>-</v>
      </c>
      <c r="AB11" s="289" t="str">
        <f>Inputs!AB302</f>
        <v>-</v>
      </c>
      <c r="AC11" s="289" t="str">
        <f>Inputs!AC302</f>
        <v>-</v>
      </c>
      <c r="AD11" s="289" t="str">
        <f>Inputs!AD302</f>
        <v>-</v>
      </c>
      <c r="AE11" s="289" t="str">
        <f>Inputs!AE302</f>
        <v>-</v>
      </c>
      <c r="AF11" s="289" t="str">
        <f>Inputs!AF302</f>
        <v>-</v>
      </c>
      <c r="AG11" s="289" t="str">
        <f>Inputs!AG302</f>
        <v>-</v>
      </c>
      <c r="AH11" s="289" t="str">
        <f>Inputs!AH302</f>
        <v>-</v>
      </c>
      <c r="AI11" s="289" t="str">
        <f>Inputs!AI302</f>
        <v>-</v>
      </c>
      <c r="AJ11" s="289" t="str">
        <f>Inputs!AJ302</f>
        <v>-</v>
      </c>
      <c r="AK11" s="289" t="str">
        <f>Inputs!AK302</f>
        <v>-</v>
      </c>
      <c r="AL11" s="289" t="str">
        <f>Inputs!AL302</f>
        <v>-</v>
      </c>
      <c r="AM11" s="289" t="str">
        <f>Inputs!AM302</f>
        <v>-</v>
      </c>
      <c r="AN11" s="289" t="str">
        <f>Inputs!AN302</f>
        <v>-</v>
      </c>
      <c r="AO11" s="289" t="str">
        <f>Inputs!AO302</f>
        <v>-</v>
      </c>
      <c r="AP11" s="289" t="str">
        <f>Inputs!AP302</f>
        <v>-</v>
      </c>
      <c r="AQ11" s="289" t="str">
        <f>Inputs!AQ302</f>
        <v>-</v>
      </c>
      <c r="AR11" s="289" t="str">
        <f>Inputs!AR302</f>
        <v>-</v>
      </c>
      <c r="AS11" s="289" t="str">
        <f>Inputs!AS302</f>
        <v>-</v>
      </c>
      <c r="AT11" s="34"/>
    </row>
    <row r="12">
      <c r="A12" s="80"/>
      <c r="B12" s="81"/>
      <c r="C12" s="101"/>
      <c r="D12" s="101"/>
      <c r="E12" s="492" t="s">
        <v>764</v>
      </c>
      <c r="F12" s="387" t="str">
        <f>Inputs!F303</f>
        <v>$</v>
      </c>
      <c r="G12" s="493" t="str">
        <f>Inputs!G303</f>
        <v>input</v>
      </c>
      <c r="H12" s="390">
        <f>Inputs!H303</f>
        <v>28.63798</v>
      </c>
      <c r="I12" s="310" t="str">
        <f>Inputs!I303</f>
        <v>-</v>
      </c>
      <c r="J12" s="310" t="str">
        <f>Inputs!J303</f>
        <v>-</v>
      </c>
      <c r="K12" s="310" t="str">
        <f>Inputs!K303</f>
        <v>-</v>
      </c>
      <c r="L12" s="310" t="str">
        <f>Inputs!L303</f>
        <v>-</v>
      </c>
      <c r="M12" s="310" t="str">
        <f>Inputs!M303</f>
        <v>-</v>
      </c>
      <c r="N12" s="310" t="str">
        <f>Inputs!N303</f>
        <v>-</v>
      </c>
      <c r="O12" s="310" t="str">
        <f>Inputs!O303</f>
        <v>-</v>
      </c>
      <c r="P12" s="310" t="str">
        <f>Inputs!P303</f>
        <v>-</v>
      </c>
      <c r="Q12" s="310" t="str">
        <f>Inputs!Q303</f>
        <v>-</v>
      </c>
      <c r="R12" s="310" t="str">
        <f>Inputs!R303</f>
        <v>-</v>
      </c>
      <c r="S12" s="310" t="str">
        <f>Inputs!S303</f>
        <v>-</v>
      </c>
      <c r="T12" s="310" t="str">
        <f>Inputs!T303</f>
        <v>-</v>
      </c>
      <c r="U12" s="310" t="str">
        <f>Inputs!U303</f>
        <v>-</v>
      </c>
      <c r="V12" s="310" t="str">
        <f>Inputs!V303</f>
        <v>-</v>
      </c>
      <c r="W12" s="310" t="str">
        <f>Inputs!W303</f>
        <v>-</v>
      </c>
      <c r="X12" s="310" t="str">
        <f>Inputs!X303</f>
        <v>-</v>
      </c>
      <c r="Y12" s="310" t="str">
        <f>Inputs!Y303</f>
        <v>-</v>
      </c>
      <c r="Z12" s="310" t="str">
        <f>Inputs!Z303</f>
        <v>-</v>
      </c>
      <c r="AA12" s="310" t="str">
        <f>Inputs!AA303</f>
        <v>-</v>
      </c>
      <c r="AB12" s="310" t="str">
        <f>Inputs!AB303</f>
        <v>-</v>
      </c>
      <c r="AC12" s="310" t="str">
        <f>Inputs!AC303</f>
        <v>-</v>
      </c>
      <c r="AD12" s="310" t="str">
        <f>Inputs!AD303</f>
        <v>-</v>
      </c>
      <c r="AE12" s="310" t="str">
        <f>Inputs!AE303</f>
        <v>-</v>
      </c>
      <c r="AF12" s="310" t="str">
        <f>Inputs!AF303</f>
        <v>-</v>
      </c>
      <c r="AG12" s="310" t="str">
        <f>Inputs!AG303</f>
        <v>-</v>
      </c>
      <c r="AH12" s="310" t="str">
        <f>Inputs!AH303</f>
        <v>-</v>
      </c>
      <c r="AI12" s="310" t="str">
        <f>Inputs!AI303</f>
        <v>-</v>
      </c>
      <c r="AJ12" s="310" t="str">
        <f>Inputs!AJ303</f>
        <v>-</v>
      </c>
      <c r="AK12" s="310" t="str">
        <f>Inputs!AK303</f>
        <v>-</v>
      </c>
      <c r="AL12" s="310" t="str">
        <f>Inputs!AL303</f>
        <v>-</v>
      </c>
      <c r="AM12" s="310" t="str">
        <f>Inputs!AM303</f>
        <v>-</v>
      </c>
      <c r="AN12" s="310" t="str">
        <f>Inputs!AN303</f>
        <v>-</v>
      </c>
      <c r="AO12" s="310" t="str">
        <f>Inputs!AO303</f>
        <v>-</v>
      </c>
      <c r="AP12" s="310" t="str">
        <f>Inputs!AP303</f>
        <v>-</v>
      </c>
      <c r="AQ12" s="310" t="str">
        <f>Inputs!AQ303</f>
        <v>-</v>
      </c>
      <c r="AR12" s="310" t="str">
        <f>Inputs!AR303</f>
        <v>-</v>
      </c>
      <c r="AS12" s="310" t="str">
        <f>Inputs!AS303</f>
        <v>-</v>
      </c>
      <c r="AT12" s="39"/>
    </row>
    <row r="13">
      <c r="A13" s="80"/>
      <c r="B13" s="81"/>
      <c r="C13" s="101"/>
      <c r="D13" s="101"/>
      <c r="E13" s="492" t="s">
        <v>208</v>
      </c>
      <c r="F13" s="387" t="str">
        <f>'Main CEA'!F38</f>
        <v>#</v>
      </c>
      <c r="G13" s="493" t="s">
        <v>769</v>
      </c>
      <c r="H13" s="274" t="str">
        <f>'Main CEA'!H38</f>
        <v>-</v>
      </c>
      <c r="I13" s="420">
        <f>'Main CEA'!I38</f>
        <v>12087.70771</v>
      </c>
      <c r="J13" s="420">
        <f>'Main CEA'!J38</f>
        <v>7410.433128</v>
      </c>
      <c r="K13" s="420">
        <f>'Main CEA'!K38</f>
        <v>9501.68365</v>
      </c>
      <c r="L13" s="420">
        <f>'Main CEA'!L38</f>
        <v>5690.722107</v>
      </c>
      <c r="M13" s="420">
        <f>'Main CEA'!M38</f>
        <v>10088.18067</v>
      </c>
      <c r="N13" s="420">
        <f>'Main CEA'!N38</f>
        <v>13484.8175</v>
      </c>
      <c r="O13" s="420">
        <f>'Main CEA'!O38</f>
        <v>18907.86324</v>
      </c>
      <c r="P13" s="420">
        <f>'Main CEA'!P38</f>
        <v>23388.2996</v>
      </c>
      <c r="Q13" s="420">
        <f>'Main CEA'!Q38</f>
        <v>14948.41216</v>
      </c>
      <c r="R13" s="420">
        <f>'Main CEA'!R38</f>
        <v>2243.072291</v>
      </c>
      <c r="S13" s="420">
        <f>'Main CEA'!S38</f>
        <v>2845.701858</v>
      </c>
      <c r="T13" s="420">
        <f>'Main CEA'!T38</f>
        <v>2934.796058</v>
      </c>
      <c r="U13" s="420">
        <f>'Main CEA'!U38</f>
        <v>3663.728334</v>
      </c>
      <c r="V13" s="420">
        <f>'Main CEA'!V38</f>
        <v>4277.354796</v>
      </c>
      <c r="W13" s="420">
        <f>'Main CEA'!W38</f>
        <v>4267.246679</v>
      </c>
      <c r="X13" s="420">
        <f>'Main CEA'!X38</f>
        <v>11338.04302</v>
      </c>
      <c r="Y13" s="420">
        <f>'Main CEA'!Y38</f>
        <v>1446.413673</v>
      </c>
      <c r="Z13" s="420">
        <f>'Main CEA'!Z38</f>
        <v>3951.898399</v>
      </c>
      <c r="AA13" s="420">
        <f>'Main CEA'!AA38</f>
        <v>152.1687448</v>
      </c>
      <c r="AB13" s="420">
        <f>'Main CEA'!AB38</f>
        <v>1879.844323</v>
      </c>
      <c r="AC13" s="420">
        <f>'Main CEA'!AC38</f>
        <v>995.1407344</v>
      </c>
      <c r="AD13" s="420">
        <f>'Main CEA'!AD38</f>
        <v>542.0318103</v>
      </c>
      <c r="AE13" s="420">
        <f>'Main CEA'!AE38</f>
        <v>1663.569919</v>
      </c>
      <c r="AF13" s="420">
        <f>'Main CEA'!AF38</f>
        <v>1230.319597</v>
      </c>
      <c r="AG13" s="420">
        <f>'Main CEA'!AG38</f>
        <v>3659.310189</v>
      </c>
      <c r="AH13" s="420">
        <f>'Main CEA'!AH38</f>
        <v>7058.414215</v>
      </c>
      <c r="AI13" s="420">
        <f>'Main CEA'!AI38</f>
        <v>1498.019702</v>
      </c>
      <c r="AJ13" s="420">
        <f>'Main CEA'!AJ38</f>
        <v>6072.448593</v>
      </c>
      <c r="AK13" s="420">
        <f>'Main CEA'!AK38</f>
        <v>9393.278799</v>
      </c>
      <c r="AL13" s="420">
        <f>'Main CEA'!AL38</f>
        <v>7833.901957</v>
      </c>
      <c r="AM13" s="420">
        <f>'Main CEA'!AM38</f>
        <v>5669.610801</v>
      </c>
      <c r="AN13" s="420">
        <f>'Main CEA'!AN38</f>
        <v>2047.855231</v>
      </c>
      <c r="AO13" s="420">
        <f>'Main CEA'!AO38</f>
        <v>5771.269278</v>
      </c>
      <c r="AP13" s="420">
        <f>'Main CEA'!AP38</f>
        <v>4111.05258</v>
      </c>
      <c r="AQ13" s="420">
        <f>'Main CEA'!AQ38</f>
        <v>2021.68402</v>
      </c>
      <c r="AR13" s="420">
        <f>'Main CEA'!AR38</f>
        <v>5713.81014</v>
      </c>
      <c r="AS13" s="420">
        <f>'Main CEA'!AS38</f>
        <v>5148.038709</v>
      </c>
      <c r="AT13" s="39"/>
    </row>
    <row r="14">
      <c r="A14" s="80"/>
      <c r="B14" s="81"/>
      <c r="C14" s="101"/>
      <c r="D14" s="101"/>
      <c r="E14" s="492" t="s">
        <v>776</v>
      </c>
      <c r="F14" s="387" t="s">
        <v>118</v>
      </c>
      <c r="G14" s="493" t="s">
        <v>149</v>
      </c>
      <c r="H14" s="187" t="s">
        <v>150</v>
      </c>
      <c r="I14" s="496">
        <f t="shared" ref="I14:AS14" si="1">$H11*I$13</f>
        <v>414438.9046</v>
      </c>
      <c r="J14" s="496">
        <f t="shared" si="1"/>
        <v>254073.962</v>
      </c>
      <c r="K14" s="496">
        <f t="shared" si="1"/>
        <v>325774.5356</v>
      </c>
      <c r="L14" s="496">
        <f t="shared" si="1"/>
        <v>195111.9843</v>
      </c>
      <c r="M14" s="496">
        <f t="shared" si="1"/>
        <v>345883.1607</v>
      </c>
      <c r="N14" s="496">
        <f t="shared" si="1"/>
        <v>462340.1829</v>
      </c>
      <c r="O14" s="496">
        <f t="shared" si="1"/>
        <v>648274.6209</v>
      </c>
      <c r="P14" s="496">
        <f t="shared" si="1"/>
        <v>801890.7723</v>
      </c>
      <c r="Q14" s="496">
        <f t="shared" si="1"/>
        <v>512520.9605</v>
      </c>
      <c r="R14" s="496">
        <f t="shared" si="1"/>
        <v>76905.93169</v>
      </c>
      <c r="S14" s="496">
        <f t="shared" si="1"/>
        <v>97567.67699</v>
      </c>
      <c r="T14" s="496">
        <f t="shared" si="1"/>
        <v>100622.3589</v>
      </c>
      <c r="U14" s="496">
        <f t="shared" si="1"/>
        <v>125614.5164</v>
      </c>
      <c r="V14" s="496">
        <f t="shared" si="1"/>
        <v>146653.301</v>
      </c>
      <c r="W14" s="496">
        <f t="shared" si="1"/>
        <v>146306.7343</v>
      </c>
      <c r="X14" s="496">
        <f t="shared" si="1"/>
        <v>388735.9161</v>
      </c>
      <c r="Y14" s="496">
        <f t="shared" si="1"/>
        <v>49591.71025</v>
      </c>
      <c r="Z14" s="496">
        <f t="shared" si="1"/>
        <v>135494.7095</v>
      </c>
      <c r="AA14" s="496">
        <f t="shared" si="1"/>
        <v>5217.254542</v>
      </c>
      <c r="AB14" s="496">
        <f t="shared" si="1"/>
        <v>64452.30487</v>
      </c>
      <c r="AC14" s="496">
        <f t="shared" si="1"/>
        <v>34119.37532</v>
      </c>
      <c r="AD14" s="496">
        <f t="shared" si="1"/>
        <v>18584.09181</v>
      </c>
      <c r="AE14" s="496">
        <f t="shared" si="1"/>
        <v>57037.12498</v>
      </c>
      <c r="AF14" s="496">
        <f t="shared" si="1"/>
        <v>42182.71309</v>
      </c>
      <c r="AG14" s="496">
        <f t="shared" si="1"/>
        <v>125463.0359</v>
      </c>
      <c r="AH14" s="496">
        <f t="shared" si="1"/>
        <v>242004.6486</v>
      </c>
      <c r="AI14" s="496">
        <f t="shared" si="1"/>
        <v>51361.07355</v>
      </c>
      <c r="AJ14" s="496">
        <f t="shared" si="1"/>
        <v>208199.851</v>
      </c>
      <c r="AK14" s="496">
        <f t="shared" si="1"/>
        <v>322057.769</v>
      </c>
      <c r="AL14" s="496">
        <f t="shared" si="1"/>
        <v>268593.0058</v>
      </c>
      <c r="AM14" s="496">
        <f t="shared" si="1"/>
        <v>194388.1625</v>
      </c>
      <c r="AN14" s="496">
        <f t="shared" si="1"/>
        <v>70212.7235</v>
      </c>
      <c r="AO14" s="496">
        <f t="shared" si="1"/>
        <v>197873.623</v>
      </c>
      <c r="AP14" s="496">
        <f t="shared" si="1"/>
        <v>140951.4665</v>
      </c>
      <c r="AQ14" s="496">
        <f t="shared" si="1"/>
        <v>69315.41789</v>
      </c>
      <c r="AR14" s="496">
        <f t="shared" si="1"/>
        <v>195903.5802</v>
      </c>
      <c r="AS14" s="496">
        <f t="shared" si="1"/>
        <v>176505.5522</v>
      </c>
      <c r="AT14" s="39"/>
    </row>
    <row r="15">
      <c r="A15" s="80"/>
      <c r="B15" s="81"/>
      <c r="C15" s="101"/>
      <c r="D15" s="101"/>
      <c r="E15" s="497" t="s">
        <v>777</v>
      </c>
      <c r="F15" s="396" t="s">
        <v>118</v>
      </c>
      <c r="G15" s="498" t="s">
        <v>149</v>
      </c>
      <c r="H15" s="197" t="s">
        <v>150</v>
      </c>
      <c r="I15" s="441">
        <f t="shared" ref="I15:AS15" si="2">$H12*I$13</f>
        <v>346167.5315</v>
      </c>
      <c r="J15" s="441">
        <f t="shared" si="2"/>
        <v>212219.8357</v>
      </c>
      <c r="K15" s="441">
        <f t="shared" si="2"/>
        <v>272109.0263</v>
      </c>
      <c r="L15" s="441">
        <f t="shared" si="2"/>
        <v>162970.7859</v>
      </c>
      <c r="M15" s="441">
        <f t="shared" si="2"/>
        <v>288905.1162</v>
      </c>
      <c r="N15" s="441">
        <f t="shared" si="2"/>
        <v>386177.9337</v>
      </c>
      <c r="O15" s="441">
        <f t="shared" si="2"/>
        <v>541483.0093</v>
      </c>
      <c r="P15" s="441">
        <f t="shared" si="2"/>
        <v>669793.6562</v>
      </c>
      <c r="Q15" s="441">
        <f t="shared" si="2"/>
        <v>428092.3286</v>
      </c>
      <c r="R15" s="441">
        <f t="shared" si="2"/>
        <v>64237.0594</v>
      </c>
      <c r="S15" s="441">
        <f t="shared" si="2"/>
        <v>81495.15289</v>
      </c>
      <c r="T15" s="441">
        <f t="shared" si="2"/>
        <v>84046.63081</v>
      </c>
      <c r="U15" s="441">
        <f t="shared" si="2"/>
        <v>104921.7787</v>
      </c>
      <c r="V15" s="441">
        <f t="shared" si="2"/>
        <v>122494.8011</v>
      </c>
      <c r="W15" s="441">
        <f t="shared" si="2"/>
        <v>122205.325</v>
      </c>
      <c r="X15" s="441">
        <f t="shared" si="2"/>
        <v>324698.6492</v>
      </c>
      <c r="Y15" s="441">
        <f t="shared" si="2"/>
        <v>41422.36583</v>
      </c>
      <c r="Z15" s="441">
        <f t="shared" si="2"/>
        <v>113174.3873</v>
      </c>
      <c r="AA15" s="441">
        <f t="shared" si="2"/>
        <v>4357.805471</v>
      </c>
      <c r="AB15" s="441">
        <f t="shared" si="2"/>
        <v>53834.94413</v>
      </c>
      <c r="AC15" s="441">
        <f t="shared" si="2"/>
        <v>28498.82045</v>
      </c>
      <c r="AD15" s="441">
        <f t="shared" si="2"/>
        <v>15522.69614</v>
      </c>
      <c r="AE15" s="441">
        <f t="shared" si="2"/>
        <v>47641.28208</v>
      </c>
      <c r="AF15" s="441">
        <f t="shared" si="2"/>
        <v>35233.86801</v>
      </c>
      <c r="AG15" s="441">
        <f t="shared" si="2"/>
        <v>104795.252</v>
      </c>
      <c r="AH15" s="441">
        <f t="shared" si="2"/>
        <v>202138.7251</v>
      </c>
      <c r="AI15" s="441">
        <f t="shared" si="2"/>
        <v>42900.25827</v>
      </c>
      <c r="AJ15" s="441">
        <f t="shared" si="2"/>
        <v>173902.6614</v>
      </c>
      <c r="AK15" s="441">
        <f t="shared" si="2"/>
        <v>269004.5304</v>
      </c>
      <c r="AL15" s="441">
        <f t="shared" si="2"/>
        <v>224347.1276</v>
      </c>
      <c r="AM15" s="441">
        <f t="shared" si="2"/>
        <v>162366.2007</v>
      </c>
      <c r="AN15" s="441">
        <f t="shared" si="2"/>
        <v>58646.43715</v>
      </c>
      <c r="AO15" s="441">
        <f t="shared" si="2"/>
        <v>165277.4942</v>
      </c>
      <c r="AP15" s="441">
        <f t="shared" si="2"/>
        <v>117732.2416</v>
      </c>
      <c r="AQ15" s="441">
        <f t="shared" si="2"/>
        <v>57896.94654</v>
      </c>
      <c r="AR15" s="441">
        <f t="shared" si="2"/>
        <v>163631.9805</v>
      </c>
      <c r="AS15" s="441">
        <f t="shared" si="2"/>
        <v>147429.4296</v>
      </c>
      <c r="AT15" s="55"/>
    </row>
    <row r="16">
      <c r="A16" s="80"/>
      <c r="B16" s="81"/>
      <c r="C16" s="81"/>
      <c r="D16" s="81"/>
      <c r="E16" s="243"/>
      <c r="F16" s="108"/>
      <c r="G16" s="177"/>
      <c r="H16" s="499"/>
      <c r="I16" s="184"/>
      <c r="J16" s="184"/>
      <c r="K16" s="184"/>
      <c r="L16" s="184"/>
      <c r="M16" s="184"/>
      <c r="N16" s="184"/>
      <c r="O16" s="184"/>
      <c r="P16" s="184"/>
      <c r="Q16" s="184"/>
      <c r="R16" s="184"/>
      <c r="S16" s="184"/>
      <c r="T16" s="184"/>
      <c r="U16" s="184"/>
      <c r="V16" s="184"/>
      <c r="W16" s="184"/>
      <c r="X16" s="184"/>
      <c r="Y16" s="184"/>
      <c r="Z16" s="184"/>
      <c r="AA16" s="184"/>
      <c r="AB16" s="184"/>
      <c r="AC16" s="184"/>
      <c r="AD16" s="184"/>
      <c r="AE16" s="184"/>
      <c r="AF16" s="184"/>
      <c r="AG16" s="184"/>
      <c r="AH16" s="184"/>
      <c r="AI16" s="184"/>
      <c r="AJ16" s="184"/>
      <c r="AK16" s="184"/>
      <c r="AL16" s="184"/>
      <c r="AM16" s="184"/>
      <c r="AN16" s="184"/>
      <c r="AO16" s="184"/>
      <c r="AP16" s="184"/>
      <c r="AQ16" s="184"/>
      <c r="AR16" s="184"/>
      <c r="AS16" s="184"/>
      <c r="AT16" s="58"/>
    </row>
    <row r="17">
      <c r="A17" s="80"/>
      <c r="B17" s="81"/>
      <c r="C17" s="126" t="s">
        <v>779</v>
      </c>
      <c r="F17" s="108"/>
      <c r="G17" s="127"/>
      <c r="H17" s="314"/>
      <c r="I17" s="329"/>
      <c r="J17" s="329"/>
      <c r="K17" s="329"/>
      <c r="L17" s="329"/>
      <c r="M17" s="329"/>
      <c r="N17" s="329"/>
      <c r="O17" s="329"/>
      <c r="P17" s="329"/>
      <c r="Q17" s="329"/>
      <c r="R17" s="329"/>
      <c r="S17" s="329"/>
      <c r="T17" s="329"/>
      <c r="U17" s="329"/>
      <c r="V17" s="329"/>
      <c r="W17" s="329"/>
      <c r="X17" s="329"/>
      <c r="Y17" s="329"/>
      <c r="Z17" s="329"/>
      <c r="AA17" s="329"/>
      <c r="AB17" s="329"/>
      <c r="AC17" s="329"/>
      <c r="AD17" s="329"/>
      <c r="AE17" s="329"/>
      <c r="AF17" s="329"/>
      <c r="AG17" s="329"/>
      <c r="AH17" s="329"/>
      <c r="AI17" s="329"/>
      <c r="AJ17" s="329"/>
      <c r="AK17" s="329"/>
      <c r="AL17" s="329"/>
      <c r="AM17" s="329"/>
      <c r="AN17" s="329"/>
      <c r="AO17" s="329"/>
      <c r="AP17" s="329"/>
      <c r="AQ17" s="329"/>
      <c r="AR17" s="329"/>
      <c r="AS17" s="329"/>
      <c r="AT17" s="58"/>
    </row>
    <row r="18">
      <c r="A18" s="80"/>
      <c r="B18" s="81"/>
      <c r="C18" s="126"/>
      <c r="D18" s="81"/>
      <c r="E18" s="224" t="s">
        <v>780</v>
      </c>
      <c r="F18" s="93" t="s">
        <v>122</v>
      </c>
      <c r="G18" s="128" t="s">
        <v>149</v>
      </c>
      <c r="H18" s="500" t="s">
        <v>150</v>
      </c>
      <c r="I18" s="131">
        <f t="shared" ref="I18:AS18" si="3">IF(I8="-",SUM($H8,I14:I15),SUM(I8,I14:I15))</f>
        <v>1760606.436</v>
      </c>
      <c r="J18" s="131">
        <f t="shared" si="3"/>
        <v>1466293.798</v>
      </c>
      <c r="K18" s="131">
        <f t="shared" si="3"/>
        <v>1597883.562</v>
      </c>
      <c r="L18" s="131">
        <f t="shared" si="3"/>
        <v>1358082.77</v>
      </c>
      <c r="M18" s="131">
        <f t="shared" si="3"/>
        <v>1634788.277</v>
      </c>
      <c r="N18" s="131">
        <f t="shared" si="3"/>
        <v>1848518.117</v>
      </c>
      <c r="O18" s="131">
        <f t="shared" si="3"/>
        <v>2189757.63</v>
      </c>
      <c r="P18" s="131">
        <f t="shared" si="3"/>
        <v>2471684.429</v>
      </c>
      <c r="Q18" s="131">
        <f t="shared" si="3"/>
        <v>1940613.289</v>
      </c>
      <c r="R18" s="131">
        <f t="shared" si="3"/>
        <v>1141142.991</v>
      </c>
      <c r="S18" s="131">
        <f t="shared" si="3"/>
        <v>1179062.83</v>
      </c>
      <c r="T18" s="131">
        <f t="shared" si="3"/>
        <v>1184668.99</v>
      </c>
      <c r="U18" s="131">
        <f t="shared" si="3"/>
        <v>1230536.295</v>
      </c>
      <c r="V18" s="131">
        <f t="shared" si="3"/>
        <v>1269148.102</v>
      </c>
      <c r="W18" s="131">
        <f t="shared" si="3"/>
        <v>1268512.059</v>
      </c>
      <c r="X18" s="131">
        <f t="shared" si="3"/>
        <v>1713434.565</v>
      </c>
      <c r="Y18" s="131">
        <f t="shared" si="3"/>
        <v>1091014.076</v>
      </c>
      <c r="Z18" s="131">
        <f t="shared" si="3"/>
        <v>1248669.097</v>
      </c>
      <c r="AA18" s="131">
        <f t="shared" si="3"/>
        <v>1009575.06</v>
      </c>
      <c r="AB18" s="131">
        <f t="shared" si="3"/>
        <v>1118287.249</v>
      </c>
      <c r="AC18" s="131">
        <f t="shared" si="3"/>
        <v>1062618.196</v>
      </c>
      <c r="AD18" s="131">
        <f t="shared" si="3"/>
        <v>1034106.788</v>
      </c>
      <c r="AE18" s="131">
        <f t="shared" si="3"/>
        <v>1104678.407</v>
      </c>
      <c r="AF18" s="131">
        <f t="shared" si="3"/>
        <v>1077416.581</v>
      </c>
      <c r="AG18" s="131">
        <f t="shared" si="3"/>
        <v>1230258.288</v>
      </c>
      <c r="AH18" s="131">
        <f t="shared" si="3"/>
        <v>1444143.374</v>
      </c>
      <c r="AI18" s="131">
        <f t="shared" si="3"/>
        <v>1094261.332</v>
      </c>
      <c r="AJ18" s="131">
        <f t="shared" si="3"/>
        <v>1382102.512</v>
      </c>
      <c r="AK18" s="131">
        <f t="shared" si="3"/>
        <v>1591062.299</v>
      </c>
      <c r="AL18" s="131">
        <f t="shared" si="3"/>
        <v>1492940.133</v>
      </c>
      <c r="AM18" s="131">
        <f t="shared" si="3"/>
        <v>1356754.363</v>
      </c>
      <c r="AN18" s="131">
        <f t="shared" si="3"/>
        <v>1128859.161</v>
      </c>
      <c r="AO18" s="131">
        <f t="shared" si="3"/>
        <v>1363151.117</v>
      </c>
      <c r="AP18" s="131">
        <f t="shared" si="3"/>
        <v>1258683.708</v>
      </c>
      <c r="AQ18" s="131">
        <f t="shared" si="3"/>
        <v>1127212.364</v>
      </c>
      <c r="AR18" s="131">
        <f t="shared" si="3"/>
        <v>1359535.561</v>
      </c>
      <c r="AS18" s="131">
        <f t="shared" si="3"/>
        <v>1323934.982</v>
      </c>
      <c r="AT18" s="78"/>
    </row>
    <row r="19">
      <c r="A19" s="80"/>
      <c r="B19" s="81"/>
      <c r="C19" s="325"/>
      <c r="D19" s="325"/>
      <c r="E19" s="243"/>
      <c r="F19" s="83"/>
      <c r="G19" s="91"/>
      <c r="H19" s="314"/>
      <c r="I19" s="329"/>
      <c r="J19" s="329"/>
      <c r="K19" s="329"/>
      <c r="L19" s="329"/>
      <c r="M19" s="329"/>
      <c r="N19" s="329"/>
      <c r="O19" s="329"/>
      <c r="P19" s="329"/>
      <c r="Q19" s="329"/>
      <c r="R19" s="329"/>
      <c r="S19" s="329"/>
      <c r="T19" s="329"/>
      <c r="U19" s="329"/>
      <c r="V19" s="329"/>
      <c r="W19" s="329"/>
      <c r="X19" s="329"/>
      <c r="Y19" s="329"/>
      <c r="Z19" s="329"/>
      <c r="AA19" s="329"/>
      <c r="AB19" s="329"/>
      <c r="AC19" s="329"/>
      <c r="AD19" s="329"/>
      <c r="AE19" s="329"/>
      <c r="AF19" s="329"/>
      <c r="AG19" s="329"/>
      <c r="AH19" s="329"/>
      <c r="AI19" s="329"/>
      <c r="AJ19" s="329"/>
      <c r="AK19" s="329"/>
      <c r="AL19" s="329"/>
      <c r="AM19" s="329"/>
      <c r="AN19" s="329"/>
      <c r="AO19" s="329"/>
      <c r="AP19" s="329"/>
      <c r="AQ19" s="329"/>
      <c r="AR19" s="329"/>
      <c r="AS19" s="329"/>
      <c r="AT19" s="58"/>
    </row>
    <row r="20">
      <c r="A20" s="80"/>
      <c r="B20" s="81"/>
      <c r="C20" s="325" t="s">
        <v>782</v>
      </c>
      <c r="F20" s="83"/>
      <c r="G20" s="91"/>
      <c r="H20" s="314"/>
      <c r="I20" s="329"/>
      <c r="J20" s="329"/>
      <c r="K20" s="329"/>
      <c r="L20" s="329"/>
      <c r="M20" s="329"/>
      <c r="N20" s="329"/>
      <c r="O20" s="329"/>
      <c r="P20" s="329"/>
      <c r="Q20" s="329"/>
      <c r="R20" s="329"/>
      <c r="S20" s="329"/>
      <c r="T20" s="329"/>
      <c r="U20" s="329"/>
      <c r="V20" s="329"/>
      <c r="W20" s="329"/>
      <c r="X20" s="329"/>
      <c r="Y20" s="329"/>
      <c r="Z20" s="329"/>
      <c r="AA20" s="329"/>
      <c r="AB20" s="329"/>
      <c r="AC20" s="329"/>
      <c r="AD20" s="329"/>
      <c r="AE20" s="329"/>
      <c r="AF20" s="329"/>
      <c r="AG20" s="329"/>
      <c r="AH20" s="329"/>
      <c r="AI20" s="329"/>
      <c r="AJ20" s="329"/>
      <c r="AK20" s="329"/>
      <c r="AL20" s="329"/>
      <c r="AM20" s="329"/>
      <c r="AN20" s="329"/>
      <c r="AO20" s="329"/>
      <c r="AP20" s="329"/>
      <c r="AQ20" s="329"/>
      <c r="AR20" s="329"/>
      <c r="AS20" s="329"/>
      <c r="AT20" s="58"/>
    </row>
    <row r="21">
      <c r="A21" s="80"/>
      <c r="B21" s="81"/>
      <c r="C21" s="81"/>
      <c r="D21" s="81"/>
      <c r="E21" s="113" t="s">
        <v>148</v>
      </c>
      <c r="F21" s="189" t="s">
        <v>118</v>
      </c>
      <c r="G21" s="190" t="s">
        <v>149</v>
      </c>
      <c r="H21" s="200" t="s">
        <v>150</v>
      </c>
      <c r="I21" s="510">
        <f t="shared" ref="I21:AS21" si="4">IF(I8="-",$H8,I8)</f>
        <v>1000000</v>
      </c>
      <c r="J21" s="510">
        <f t="shared" si="4"/>
        <v>1000000</v>
      </c>
      <c r="K21" s="510">
        <f t="shared" si="4"/>
        <v>1000000</v>
      </c>
      <c r="L21" s="510">
        <f t="shared" si="4"/>
        <v>1000000</v>
      </c>
      <c r="M21" s="510">
        <f t="shared" si="4"/>
        <v>1000000</v>
      </c>
      <c r="N21" s="510">
        <f t="shared" si="4"/>
        <v>1000000</v>
      </c>
      <c r="O21" s="510">
        <f t="shared" si="4"/>
        <v>1000000</v>
      </c>
      <c r="P21" s="510">
        <f t="shared" si="4"/>
        <v>1000000</v>
      </c>
      <c r="Q21" s="510">
        <f t="shared" si="4"/>
        <v>1000000</v>
      </c>
      <c r="R21" s="510">
        <f t="shared" si="4"/>
        <v>1000000</v>
      </c>
      <c r="S21" s="510">
        <f t="shared" si="4"/>
        <v>1000000</v>
      </c>
      <c r="T21" s="510">
        <f t="shared" si="4"/>
        <v>1000000</v>
      </c>
      <c r="U21" s="510">
        <f t="shared" si="4"/>
        <v>1000000</v>
      </c>
      <c r="V21" s="510">
        <f t="shared" si="4"/>
        <v>1000000</v>
      </c>
      <c r="W21" s="510">
        <f t="shared" si="4"/>
        <v>1000000</v>
      </c>
      <c r="X21" s="510">
        <f t="shared" si="4"/>
        <v>1000000</v>
      </c>
      <c r="Y21" s="510">
        <f t="shared" si="4"/>
        <v>1000000</v>
      </c>
      <c r="Z21" s="510">
        <f t="shared" si="4"/>
        <v>1000000</v>
      </c>
      <c r="AA21" s="510">
        <f t="shared" si="4"/>
        <v>1000000</v>
      </c>
      <c r="AB21" s="510">
        <f t="shared" si="4"/>
        <v>1000000</v>
      </c>
      <c r="AC21" s="510">
        <f t="shared" si="4"/>
        <v>1000000</v>
      </c>
      <c r="AD21" s="510">
        <f t="shared" si="4"/>
        <v>1000000</v>
      </c>
      <c r="AE21" s="510">
        <f t="shared" si="4"/>
        <v>1000000</v>
      </c>
      <c r="AF21" s="510">
        <f t="shared" si="4"/>
        <v>1000000</v>
      </c>
      <c r="AG21" s="510">
        <f t="shared" si="4"/>
        <v>1000000</v>
      </c>
      <c r="AH21" s="510">
        <f t="shared" si="4"/>
        <v>1000000</v>
      </c>
      <c r="AI21" s="510">
        <f t="shared" si="4"/>
        <v>1000000</v>
      </c>
      <c r="AJ21" s="510">
        <f t="shared" si="4"/>
        <v>1000000</v>
      </c>
      <c r="AK21" s="510">
        <f t="shared" si="4"/>
        <v>1000000</v>
      </c>
      <c r="AL21" s="510">
        <f t="shared" si="4"/>
        <v>1000000</v>
      </c>
      <c r="AM21" s="510">
        <f t="shared" si="4"/>
        <v>1000000</v>
      </c>
      <c r="AN21" s="510">
        <f t="shared" si="4"/>
        <v>1000000</v>
      </c>
      <c r="AO21" s="510">
        <f t="shared" si="4"/>
        <v>1000000</v>
      </c>
      <c r="AP21" s="510">
        <f t="shared" si="4"/>
        <v>1000000</v>
      </c>
      <c r="AQ21" s="510">
        <f t="shared" si="4"/>
        <v>1000000</v>
      </c>
      <c r="AR21" s="510">
        <f t="shared" si="4"/>
        <v>1000000</v>
      </c>
      <c r="AS21" s="510">
        <f t="shared" si="4"/>
        <v>1000000</v>
      </c>
      <c r="AT21" s="34"/>
    </row>
    <row r="22">
      <c r="A22" s="80"/>
      <c r="B22" s="81"/>
      <c r="C22" s="325"/>
      <c r="D22" s="81"/>
      <c r="E22" s="140" t="s">
        <v>785</v>
      </c>
      <c r="F22" s="215" t="s">
        <v>118</v>
      </c>
      <c r="G22" s="423" t="s">
        <v>149</v>
      </c>
      <c r="H22" s="511" t="s">
        <v>150</v>
      </c>
      <c r="I22" s="512">
        <f t="shared" ref="I22:AS22" si="5">I14</f>
        <v>414438.9046</v>
      </c>
      <c r="J22" s="512">
        <f t="shared" si="5"/>
        <v>254073.962</v>
      </c>
      <c r="K22" s="512">
        <f t="shared" si="5"/>
        <v>325774.5356</v>
      </c>
      <c r="L22" s="512">
        <f t="shared" si="5"/>
        <v>195111.9843</v>
      </c>
      <c r="M22" s="512">
        <f t="shared" si="5"/>
        <v>345883.1607</v>
      </c>
      <c r="N22" s="512">
        <f t="shared" si="5"/>
        <v>462340.1829</v>
      </c>
      <c r="O22" s="512">
        <f t="shared" si="5"/>
        <v>648274.6209</v>
      </c>
      <c r="P22" s="512">
        <f t="shared" si="5"/>
        <v>801890.7723</v>
      </c>
      <c r="Q22" s="512">
        <f t="shared" si="5"/>
        <v>512520.9605</v>
      </c>
      <c r="R22" s="512">
        <f t="shared" si="5"/>
        <v>76905.93169</v>
      </c>
      <c r="S22" s="512">
        <f t="shared" si="5"/>
        <v>97567.67699</v>
      </c>
      <c r="T22" s="512">
        <f t="shared" si="5"/>
        <v>100622.3589</v>
      </c>
      <c r="U22" s="512">
        <f t="shared" si="5"/>
        <v>125614.5164</v>
      </c>
      <c r="V22" s="512">
        <f t="shared" si="5"/>
        <v>146653.301</v>
      </c>
      <c r="W22" s="512">
        <f t="shared" si="5"/>
        <v>146306.7343</v>
      </c>
      <c r="X22" s="512">
        <f t="shared" si="5"/>
        <v>388735.9161</v>
      </c>
      <c r="Y22" s="512">
        <f t="shared" si="5"/>
        <v>49591.71025</v>
      </c>
      <c r="Z22" s="512">
        <f t="shared" si="5"/>
        <v>135494.7095</v>
      </c>
      <c r="AA22" s="512">
        <f t="shared" si="5"/>
        <v>5217.254542</v>
      </c>
      <c r="AB22" s="512">
        <f t="shared" si="5"/>
        <v>64452.30487</v>
      </c>
      <c r="AC22" s="512">
        <f t="shared" si="5"/>
        <v>34119.37532</v>
      </c>
      <c r="AD22" s="512">
        <f t="shared" si="5"/>
        <v>18584.09181</v>
      </c>
      <c r="AE22" s="512">
        <f t="shared" si="5"/>
        <v>57037.12498</v>
      </c>
      <c r="AF22" s="512">
        <f t="shared" si="5"/>
        <v>42182.71309</v>
      </c>
      <c r="AG22" s="512">
        <f t="shared" si="5"/>
        <v>125463.0359</v>
      </c>
      <c r="AH22" s="512">
        <f t="shared" si="5"/>
        <v>242004.6486</v>
      </c>
      <c r="AI22" s="512">
        <f t="shared" si="5"/>
        <v>51361.07355</v>
      </c>
      <c r="AJ22" s="512">
        <f t="shared" si="5"/>
        <v>208199.851</v>
      </c>
      <c r="AK22" s="512">
        <f t="shared" si="5"/>
        <v>322057.769</v>
      </c>
      <c r="AL22" s="512">
        <f t="shared" si="5"/>
        <v>268593.0058</v>
      </c>
      <c r="AM22" s="512">
        <f t="shared" si="5"/>
        <v>194388.1625</v>
      </c>
      <c r="AN22" s="512">
        <f t="shared" si="5"/>
        <v>70212.7235</v>
      </c>
      <c r="AO22" s="512">
        <f t="shared" si="5"/>
        <v>197873.623</v>
      </c>
      <c r="AP22" s="512">
        <f t="shared" si="5"/>
        <v>140951.4665</v>
      </c>
      <c r="AQ22" s="512">
        <f t="shared" si="5"/>
        <v>69315.41789</v>
      </c>
      <c r="AR22" s="512">
        <f t="shared" si="5"/>
        <v>195903.5802</v>
      </c>
      <c r="AS22" s="512">
        <f t="shared" si="5"/>
        <v>176505.5522</v>
      </c>
      <c r="AT22" s="39"/>
    </row>
    <row r="23">
      <c r="A23" s="80"/>
      <c r="B23" s="81"/>
      <c r="C23" s="325"/>
      <c r="D23" s="81"/>
      <c r="E23" s="237" t="s">
        <v>788</v>
      </c>
      <c r="F23" s="195" t="s">
        <v>118</v>
      </c>
      <c r="G23" s="374" t="s">
        <v>149</v>
      </c>
      <c r="H23" s="513" t="s">
        <v>150</v>
      </c>
      <c r="I23" s="514">
        <f t="shared" ref="I23:AS23" si="6">I15</f>
        <v>346167.5315</v>
      </c>
      <c r="J23" s="514">
        <f t="shared" si="6"/>
        <v>212219.8357</v>
      </c>
      <c r="K23" s="514">
        <f t="shared" si="6"/>
        <v>272109.0263</v>
      </c>
      <c r="L23" s="514">
        <f t="shared" si="6"/>
        <v>162970.7859</v>
      </c>
      <c r="M23" s="514">
        <f t="shared" si="6"/>
        <v>288905.1162</v>
      </c>
      <c r="N23" s="514">
        <f t="shared" si="6"/>
        <v>386177.9337</v>
      </c>
      <c r="O23" s="514">
        <f t="shared" si="6"/>
        <v>541483.0093</v>
      </c>
      <c r="P23" s="514">
        <f t="shared" si="6"/>
        <v>669793.6562</v>
      </c>
      <c r="Q23" s="514">
        <f t="shared" si="6"/>
        <v>428092.3286</v>
      </c>
      <c r="R23" s="514">
        <f t="shared" si="6"/>
        <v>64237.0594</v>
      </c>
      <c r="S23" s="514">
        <f t="shared" si="6"/>
        <v>81495.15289</v>
      </c>
      <c r="T23" s="514">
        <f t="shared" si="6"/>
        <v>84046.63081</v>
      </c>
      <c r="U23" s="514">
        <f t="shared" si="6"/>
        <v>104921.7787</v>
      </c>
      <c r="V23" s="514">
        <f t="shared" si="6"/>
        <v>122494.8011</v>
      </c>
      <c r="W23" s="514">
        <f t="shared" si="6"/>
        <v>122205.325</v>
      </c>
      <c r="X23" s="514">
        <f t="shared" si="6"/>
        <v>324698.6492</v>
      </c>
      <c r="Y23" s="514">
        <f t="shared" si="6"/>
        <v>41422.36583</v>
      </c>
      <c r="Z23" s="514">
        <f t="shared" si="6"/>
        <v>113174.3873</v>
      </c>
      <c r="AA23" s="514">
        <f t="shared" si="6"/>
        <v>4357.805471</v>
      </c>
      <c r="AB23" s="514">
        <f t="shared" si="6"/>
        <v>53834.94413</v>
      </c>
      <c r="AC23" s="514">
        <f t="shared" si="6"/>
        <v>28498.82045</v>
      </c>
      <c r="AD23" s="514">
        <f t="shared" si="6"/>
        <v>15522.69614</v>
      </c>
      <c r="AE23" s="514">
        <f t="shared" si="6"/>
        <v>47641.28208</v>
      </c>
      <c r="AF23" s="514">
        <f t="shared" si="6"/>
        <v>35233.86801</v>
      </c>
      <c r="AG23" s="514">
        <f t="shared" si="6"/>
        <v>104795.252</v>
      </c>
      <c r="AH23" s="514">
        <f t="shared" si="6"/>
        <v>202138.7251</v>
      </c>
      <c r="AI23" s="514">
        <f t="shared" si="6"/>
        <v>42900.25827</v>
      </c>
      <c r="AJ23" s="514">
        <f t="shared" si="6"/>
        <v>173902.6614</v>
      </c>
      <c r="AK23" s="514">
        <f t="shared" si="6"/>
        <v>269004.5304</v>
      </c>
      <c r="AL23" s="514">
        <f t="shared" si="6"/>
        <v>224347.1276</v>
      </c>
      <c r="AM23" s="514">
        <f t="shared" si="6"/>
        <v>162366.2007</v>
      </c>
      <c r="AN23" s="514">
        <f t="shared" si="6"/>
        <v>58646.43715</v>
      </c>
      <c r="AO23" s="514">
        <f t="shared" si="6"/>
        <v>165277.4942</v>
      </c>
      <c r="AP23" s="514">
        <f t="shared" si="6"/>
        <v>117732.2416</v>
      </c>
      <c r="AQ23" s="514">
        <f t="shared" si="6"/>
        <v>57896.94654</v>
      </c>
      <c r="AR23" s="514">
        <f t="shared" si="6"/>
        <v>163631.9805</v>
      </c>
      <c r="AS23" s="514">
        <f t="shared" si="6"/>
        <v>147429.4296</v>
      </c>
      <c r="AT23" s="55"/>
    </row>
    <row r="24">
      <c r="A24" s="80"/>
      <c r="B24" s="81"/>
      <c r="C24" s="325"/>
      <c r="D24" s="325"/>
      <c r="E24" s="243"/>
      <c r="F24" s="108"/>
      <c r="G24" s="177"/>
      <c r="H24" s="314"/>
      <c r="I24" s="329"/>
      <c r="J24" s="329"/>
      <c r="K24" s="329"/>
      <c r="L24" s="329"/>
      <c r="M24" s="329"/>
      <c r="N24" s="329"/>
      <c r="O24" s="329"/>
      <c r="P24" s="329"/>
      <c r="Q24" s="329"/>
      <c r="R24" s="329"/>
      <c r="S24" s="329"/>
      <c r="T24" s="329"/>
      <c r="U24" s="329"/>
      <c r="V24" s="329"/>
      <c r="W24" s="329"/>
      <c r="X24" s="329"/>
      <c r="Y24" s="329"/>
      <c r="Z24" s="329"/>
      <c r="AA24" s="329"/>
      <c r="AB24" s="329"/>
      <c r="AC24" s="329"/>
      <c r="AD24" s="329"/>
      <c r="AE24" s="329"/>
      <c r="AF24" s="329"/>
      <c r="AG24" s="329"/>
      <c r="AH24" s="329"/>
      <c r="AI24" s="329"/>
      <c r="AJ24" s="329"/>
      <c r="AK24" s="329"/>
      <c r="AL24" s="329"/>
      <c r="AM24" s="329"/>
      <c r="AN24" s="329"/>
      <c r="AO24" s="329"/>
      <c r="AP24" s="329"/>
      <c r="AQ24" s="329"/>
      <c r="AR24" s="329"/>
      <c r="AS24" s="329"/>
      <c r="AT24" s="58"/>
    </row>
    <row r="25">
      <c r="A25" s="80"/>
      <c r="B25" s="81"/>
      <c r="C25" s="325" t="s">
        <v>789</v>
      </c>
      <c r="F25" s="108"/>
      <c r="G25" s="177"/>
      <c r="H25" s="178"/>
      <c r="I25" s="245"/>
      <c r="J25" s="245"/>
      <c r="K25" s="245"/>
      <c r="L25" s="245"/>
      <c r="M25" s="245"/>
      <c r="N25" s="245"/>
      <c r="O25" s="245"/>
      <c r="P25" s="245"/>
      <c r="Q25" s="245"/>
      <c r="R25" s="245"/>
      <c r="S25" s="245"/>
      <c r="T25" s="245"/>
      <c r="U25" s="245"/>
      <c r="V25" s="245"/>
      <c r="W25" s="245"/>
      <c r="X25" s="245"/>
      <c r="Y25" s="245"/>
      <c r="Z25" s="245"/>
      <c r="AA25" s="245"/>
      <c r="AB25" s="245"/>
      <c r="AC25" s="245"/>
      <c r="AD25" s="245"/>
      <c r="AE25" s="245"/>
      <c r="AF25" s="245"/>
      <c r="AG25" s="245"/>
      <c r="AH25" s="245"/>
      <c r="AI25" s="245"/>
      <c r="AJ25" s="245"/>
      <c r="AK25" s="245"/>
      <c r="AL25" s="245"/>
      <c r="AM25" s="245"/>
      <c r="AN25" s="245"/>
      <c r="AO25" s="245"/>
      <c r="AP25" s="245"/>
      <c r="AQ25" s="245"/>
      <c r="AR25" s="245"/>
      <c r="AS25" s="245"/>
      <c r="AT25" s="58"/>
    </row>
    <row r="26">
      <c r="A26" s="80"/>
      <c r="B26" s="81"/>
      <c r="C26" s="81"/>
      <c r="D26" s="81"/>
      <c r="E26" s="113" t="s">
        <v>790</v>
      </c>
      <c r="F26" s="189" t="s">
        <v>118</v>
      </c>
      <c r="G26" s="426" t="s">
        <v>149</v>
      </c>
      <c r="H26" s="258" t="s">
        <v>150</v>
      </c>
      <c r="I26" s="510">
        <f t="shared" ref="I26:AS26" si="7">I21</f>
        <v>1000000</v>
      </c>
      <c r="J26" s="510">
        <f t="shared" si="7"/>
        <v>1000000</v>
      </c>
      <c r="K26" s="510">
        <f t="shared" si="7"/>
        <v>1000000</v>
      </c>
      <c r="L26" s="510">
        <f t="shared" si="7"/>
        <v>1000000</v>
      </c>
      <c r="M26" s="510">
        <f t="shared" si="7"/>
        <v>1000000</v>
      </c>
      <c r="N26" s="510">
        <f t="shared" si="7"/>
        <v>1000000</v>
      </c>
      <c r="O26" s="510">
        <f t="shared" si="7"/>
        <v>1000000</v>
      </c>
      <c r="P26" s="510">
        <f t="shared" si="7"/>
        <v>1000000</v>
      </c>
      <c r="Q26" s="510">
        <f t="shared" si="7"/>
        <v>1000000</v>
      </c>
      <c r="R26" s="510">
        <f t="shared" si="7"/>
        <v>1000000</v>
      </c>
      <c r="S26" s="510">
        <f t="shared" si="7"/>
        <v>1000000</v>
      </c>
      <c r="T26" s="510">
        <f t="shared" si="7"/>
        <v>1000000</v>
      </c>
      <c r="U26" s="510">
        <f t="shared" si="7"/>
        <v>1000000</v>
      </c>
      <c r="V26" s="510">
        <f t="shared" si="7"/>
        <v>1000000</v>
      </c>
      <c r="W26" s="510">
        <f t="shared" si="7"/>
        <v>1000000</v>
      </c>
      <c r="X26" s="510">
        <f t="shared" si="7"/>
        <v>1000000</v>
      </c>
      <c r="Y26" s="510">
        <f t="shared" si="7"/>
        <v>1000000</v>
      </c>
      <c r="Z26" s="510">
        <f t="shared" si="7"/>
        <v>1000000</v>
      </c>
      <c r="AA26" s="510">
        <f t="shared" si="7"/>
        <v>1000000</v>
      </c>
      <c r="AB26" s="510">
        <f t="shared" si="7"/>
        <v>1000000</v>
      </c>
      <c r="AC26" s="510">
        <f t="shared" si="7"/>
        <v>1000000</v>
      </c>
      <c r="AD26" s="510">
        <f t="shared" si="7"/>
        <v>1000000</v>
      </c>
      <c r="AE26" s="510">
        <f t="shared" si="7"/>
        <v>1000000</v>
      </c>
      <c r="AF26" s="510">
        <f t="shared" si="7"/>
        <v>1000000</v>
      </c>
      <c r="AG26" s="510">
        <f t="shared" si="7"/>
        <v>1000000</v>
      </c>
      <c r="AH26" s="510">
        <f t="shared" si="7"/>
        <v>1000000</v>
      </c>
      <c r="AI26" s="510">
        <f t="shared" si="7"/>
        <v>1000000</v>
      </c>
      <c r="AJ26" s="510">
        <f t="shared" si="7"/>
        <v>1000000</v>
      </c>
      <c r="AK26" s="510">
        <f t="shared" si="7"/>
        <v>1000000</v>
      </c>
      <c r="AL26" s="510">
        <f t="shared" si="7"/>
        <v>1000000</v>
      </c>
      <c r="AM26" s="510">
        <f t="shared" si="7"/>
        <v>1000000</v>
      </c>
      <c r="AN26" s="510">
        <f t="shared" si="7"/>
        <v>1000000</v>
      </c>
      <c r="AO26" s="510">
        <f t="shared" si="7"/>
        <v>1000000</v>
      </c>
      <c r="AP26" s="510">
        <f t="shared" si="7"/>
        <v>1000000</v>
      </c>
      <c r="AQ26" s="510">
        <f t="shared" si="7"/>
        <v>1000000</v>
      </c>
      <c r="AR26" s="510">
        <f t="shared" si="7"/>
        <v>1000000</v>
      </c>
      <c r="AS26" s="510">
        <f t="shared" si="7"/>
        <v>1000000</v>
      </c>
      <c r="AT26" s="34"/>
    </row>
    <row r="27">
      <c r="A27" s="80"/>
      <c r="B27" s="81"/>
      <c r="C27" s="81"/>
      <c r="D27" s="81"/>
      <c r="E27" s="224" t="s">
        <v>794</v>
      </c>
      <c r="F27" s="93" t="s">
        <v>118</v>
      </c>
      <c r="G27" s="533" t="s">
        <v>149</v>
      </c>
      <c r="H27" s="96" t="s">
        <v>150</v>
      </c>
      <c r="I27" s="98">
        <f t="shared" ref="I27:AS27" si="8">SUM(I22:I23)</f>
        <v>760606.4362</v>
      </c>
      <c r="J27" s="98">
        <f t="shared" si="8"/>
        <v>466293.7978</v>
      </c>
      <c r="K27" s="98">
        <f t="shared" si="8"/>
        <v>597883.562</v>
      </c>
      <c r="L27" s="98">
        <f t="shared" si="8"/>
        <v>358082.7702</v>
      </c>
      <c r="M27" s="98">
        <f t="shared" si="8"/>
        <v>634788.2769</v>
      </c>
      <c r="N27" s="98">
        <f t="shared" si="8"/>
        <v>848518.1167</v>
      </c>
      <c r="O27" s="98">
        <f t="shared" si="8"/>
        <v>1189757.63</v>
      </c>
      <c r="P27" s="98">
        <f t="shared" si="8"/>
        <v>1471684.429</v>
      </c>
      <c r="Q27" s="98">
        <f t="shared" si="8"/>
        <v>940613.2891</v>
      </c>
      <c r="R27" s="98">
        <f t="shared" si="8"/>
        <v>141142.9911</v>
      </c>
      <c r="S27" s="98">
        <f t="shared" si="8"/>
        <v>179062.8299</v>
      </c>
      <c r="T27" s="98">
        <f t="shared" si="8"/>
        <v>184668.9898</v>
      </c>
      <c r="U27" s="98">
        <f t="shared" si="8"/>
        <v>230536.2951</v>
      </c>
      <c r="V27" s="98">
        <f t="shared" si="8"/>
        <v>269148.1021</v>
      </c>
      <c r="W27" s="98">
        <f t="shared" si="8"/>
        <v>268512.0593</v>
      </c>
      <c r="X27" s="98">
        <f t="shared" si="8"/>
        <v>713434.5653</v>
      </c>
      <c r="Y27" s="98">
        <f t="shared" si="8"/>
        <v>91014.07608</v>
      </c>
      <c r="Z27" s="98">
        <f t="shared" si="8"/>
        <v>248669.0968</v>
      </c>
      <c r="AA27" s="98">
        <f t="shared" si="8"/>
        <v>9575.060013</v>
      </c>
      <c r="AB27" s="98">
        <f t="shared" si="8"/>
        <v>118287.249</v>
      </c>
      <c r="AC27" s="98">
        <f t="shared" si="8"/>
        <v>62618.19577</v>
      </c>
      <c r="AD27" s="98">
        <f t="shared" si="8"/>
        <v>34106.78795</v>
      </c>
      <c r="AE27" s="98">
        <f t="shared" si="8"/>
        <v>104678.4071</v>
      </c>
      <c r="AF27" s="98">
        <f t="shared" si="8"/>
        <v>77416.5811</v>
      </c>
      <c r="AG27" s="98">
        <f t="shared" si="8"/>
        <v>230258.2879</v>
      </c>
      <c r="AH27" s="98">
        <f t="shared" si="8"/>
        <v>444143.3737</v>
      </c>
      <c r="AI27" s="98">
        <f t="shared" si="8"/>
        <v>94261.33182</v>
      </c>
      <c r="AJ27" s="98">
        <f t="shared" si="8"/>
        <v>382102.5124</v>
      </c>
      <c r="AK27" s="98">
        <f t="shared" si="8"/>
        <v>591062.2994</v>
      </c>
      <c r="AL27" s="98">
        <f t="shared" si="8"/>
        <v>492940.1334</v>
      </c>
      <c r="AM27" s="98">
        <f t="shared" si="8"/>
        <v>356754.3633</v>
      </c>
      <c r="AN27" s="98">
        <f t="shared" si="8"/>
        <v>128859.1606</v>
      </c>
      <c r="AO27" s="98">
        <f t="shared" si="8"/>
        <v>363151.1172</v>
      </c>
      <c r="AP27" s="98">
        <f t="shared" si="8"/>
        <v>258683.7081</v>
      </c>
      <c r="AQ27" s="98">
        <f t="shared" si="8"/>
        <v>127212.3644</v>
      </c>
      <c r="AR27" s="98">
        <f t="shared" si="8"/>
        <v>359535.5607</v>
      </c>
      <c r="AS27" s="98">
        <f t="shared" si="8"/>
        <v>323934.9818</v>
      </c>
      <c r="AT27" s="78"/>
    </row>
    <row r="28">
      <c r="A28" s="80"/>
      <c r="B28" s="81"/>
      <c r="C28" s="81"/>
      <c r="D28" s="81"/>
      <c r="E28" s="243"/>
      <c r="F28" s="108"/>
      <c r="G28" s="177"/>
      <c r="H28" s="178"/>
      <c r="I28" s="245"/>
      <c r="J28" s="245"/>
      <c r="K28" s="245"/>
      <c r="L28" s="245"/>
      <c r="M28" s="245"/>
      <c r="N28" s="245"/>
      <c r="O28" s="245"/>
      <c r="P28" s="245"/>
      <c r="Q28" s="245"/>
      <c r="R28" s="245"/>
      <c r="S28" s="245"/>
      <c r="T28" s="245"/>
      <c r="U28" s="245"/>
      <c r="V28" s="245"/>
      <c r="W28" s="245"/>
      <c r="X28" s="245"/>
      <c r="Y28" s="245"/>
      <c r="Z28" s="245"/>
      <c r="AA28" s="245"/>
      <c r="AB28" s="245"/>
      <c r="AC28" s="245"/>
      <c r="AD28" s="245"/>
      <c r="AE28" s="245"/>
      <c r="AF28" s="245"/>
      <c r="AG28" s="245"/>
      <c r="AH28" s="245"/>
      <c r="AI28" s="245"/>
      <c r="AJ28" s="245"/>
      <c r="AK28" s="245"/>
      <c r="AL28" s="245"/>
      <c r="AM28" s="245"/>
      <c r="AN28" s="245"/>
      <c r="AO28" s="245"/>
      <c r="AP28" s="245"/>
      <c r="AQ28" s="245"/>
      <c r="AR28" s="245"/>
      <c r="AS28" s="245"/>
      <c r="AT28" s="58"/>
    </row>
    <row r="29">
      <c r="A29" s="72" t="s">
        <v>796</v>
      </c>
      <c r="B29" s="14"/>
      <c r="C29" s="14"/>
      <c r="D29" s="14"/>
      <c r="E29" s="14"/>
      <c r="F29" s="14"/>
      <c r="G29" s="482"/>
      <c r="H29" s="168"/>
      <c r="I29" s="261"/>
      <c r="J29" s="261"/>
      <c r="K29" s="261"/>
      <c r="L29" s="261"/>
      <c r="M29" s="261"/>
      <c r="N29" s="261"/>
      <c r="O29" s="261"/>
      <c r="P29" s="261"/>
      <c r="Q29" s="261"/>
      <c r="R29" s="261"/>
      <c r="S29" s="261"/>
      <c r="T29" s="261"/>
      <c r="U29" s="261"/>
      <c r="V29" s="261"/>
      <c r="W29" s="261"/>
      <c r="X29" s="261"/>
      <c r="Y29" s="261"/>
      <c r="Z29" s="261"/>
      <c r="AA29" s="261"/>
      <c r="AB29" s="261"/>
      <c r="AC29" s="261"/>
      <c r="AD29" s="261"/>
      <c r="AE29" s="261"/>
      <c r="AF29" s="261"/>
      <c r="AG29" s="261"/>
      <c r="AH29" s="261"/>
      <c r="AI29" s="261"/>
      <c r="AJ29" s="261"/>
      <c r="AK29" s="261"/>
      <c r="AL29" s="261"/>
      <c r="AM29" s="261"/>
      <c r="AN29" s="261"/>
      <c r="AO29" s="261"/>
      <c r="AP29" s="261"/>
      <c r="AQ29" s="261"/>
      <c r="AR29" s="261"/>
      <c r="AS29" s="261"/>
      <c r="AT29" s="547"/>
    </row>
    <row r="30">
      <c r="A30" s="80"/>
      <c r="B30" s="81"/>
      <c r="C30" s="262"/>
      <c r="D30" s="81"/>
      <c r="E30" s="484"/>
      <c r="F30" s="83"/>
      <c r="G30" s="84"/>
      <c r="H30" s="85"/>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58"/>
    </row>
    <row r="31">
      <c r="A31" s="80"/>
      <c r="B31" s="81"/>
      <c r="C31" s="325" t="s">
        <v>797</v>
      </c>
      <c r="F31" s="83"/>
      <c r="G31" s="91"/>
      <c r="H31" s="542"/>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58"/>
    </row>
    <row r="32">
      <c r="A32" s="80"/>
      <c r="B32" s="81"/>
      <c r="C32" s="81"/>
      <c r="D32" s="81"/>
      <c r="E32" s="113" t="s">
        <v>798</v>
      </c>
      <c r="F32" s="189" t="s">
        <v>122</v>
      </c>
      <c r="G32" s="190" t="s">
        <v>203</v>
      </c>
      <c r="H32" s="156" t="str">
        <f>Inputs!H306</f>
        <v>-</v>
      </c>
      <c r="I32" s="119">
        <f>Inputs!I306</f>
        <v>0.1</v>
      </c>
      <c r="J32" s="119">
        <f>Inputs!J306</f>
        <v>0.1</v>
      </c>
      <c r="K32" s="119">
        <f>Inputs!K306</f>
        <v>0.1</v>
      </c>
      <c r="L32" s="119">
        <f>Inputs!L306</f>
        <v>0.1</v>
      </c>
      <c r="M32" s="119">
        <f>Inputs!M306</f>
        <v>0.1</v>
      </c>
      <c r="N32" s="119">
        <f>Inputs!N306</f>
        <v>0.1</v>
      </c>
      <c r="O32" s="119">
        <f>Inputs!O306</f>
        <v>0.1</v>
      </c>
      <c r="P32" s="119">
        <f>Inputs!P306</f>
        <v>0.1</v>
      </c>
      <c r="Q32" s="119">
        <f>Inputs!Q306</f>
        <v>0.1</v>
      </c>
      <c r="R32" s="119">
        <f>Inputs!R306</f>
        <v>0.1</v>
      </c>
      <c r="S32" s="119">
        <f>Inputs!S306</f>
        <v>0.1</v>
      </c>
      <c r="T32" s="119">
        <f>Inputs!T306</f>
        <v>0.1</v>
      </c>
      <c r="U32" s="119">
        <f>Inputs!U306</f>
        <v>0.1</v>
      </c>
      <c r="V32" s="119">
        <f>Inputs!V306</f>
        <v>0.1</v>
      </c>
      <c r="W32" s="119">
        <f>Inputs!W306</f>
        <v>0.1</v>
      </c>
      <c r="X32" s="119">
        <f>Inputs!X306</f>
        <v>0.1</v>
      </c>
      <c r="Y32" s="119">
        <f>Inputs!Y306</f>
        <v>0.1</v>
      </c>
      <c r="Z32" s="119">
        <f>Inputs!Z306</f>
        <v>0.1</v>
      </c>
      <c r="AA32" s="119">
        <f>Inputs!AA306</f>
        <v>0.1</v>
      </c>
      <c r="AB32" s="119">
        <f>Inputs!AB306</f>
        <v>0.1</v>
      </c>
      <c r="AC32" s="119">
        <f>Inputs!AC306</f>
        <v>0.1</v>
      </c>
      <c r="AD32" s="119">
        <f>Inputs!AD306</f>
        <v>0.1</v>
      </c>
      <c r="AE32" s="119">
        <f>Inputs!AE306</f>
        <v>0.1</v>
      </c>
      <c r="AF32" s="119">
        <f>Inputs!AF306</f>
        <v>0.1</v>
      </c>
      <c r="AG32" s="119">
        <f>Inputs!AG306</f>
        <v>0.1</v>
      </c>
      <c r="AH32" s="119">
        <f>Inputs!AH306</f>
        <v>0.1</v>
      </c>
      <c r="AI32" s="119">
        <f>Inputs!AI306</f>
        <v>0.1</v>
      </c>
      <c r="AJ32" s="119">
        <f>Inputs!AJ306</f>
        <v>0.1</v>
      </c>
      <c r="AK32" s="119">
        <f>Inputs!AK306</f>
        <v>0.1</v>
      </c>
      <c r="AL32" s="119">
        <f>Inputs!AL306</f>
        <v>0.1</v>
      </c>
      <c r="AM32" s="119">
        <f>Inputs!AM306</f>
        <v>0.1</v>
      </c>
      <c r="AN32" s="119">
        <f>Inputs!AN306</f>
        <v>0.1</v>
      </c>
      <c r="AO32" s="119">
        <f>Inputs!AO306</f>
        <v>0.1</v>
      </c>
      <c r="AP32" s="119">
        <f>Inputs!AP306</f>
        <v>0.1</v>
      </c>
      <c r="AQ32" s="119">
        <f>Inputs!AQ306</f>
        <v>0.1</v>
      </c>
      <c r="AR32" s="119">
        <f>Inputs!AR306</f>
        <v>0.1</v>
      </c>
      <c r="AS32" s="119">
        <f>Inputs!AS306</f>
        <v>0.1</v>
      </c>
      <c r="AT32" s="34"/>
    </row>
    <row r="33">
      <c r="A33" s="80"/>
      <c r="B33" s="81"/>
      <c r="C33" s="186"/>
      <c r="D33" s="81"/>
      <c r="E33" s="237" t="s">
        <v>803</v>
      </c>
      <c r="F33" s="195" t="s">
        <v>122</v>
      </c>
      <c r="G33" s="316" t="s">
        <v>149</v>
      </c>
      <c r="H33" s="197" t="s">
        <v>150</v>
      </c>
      <c r="I33" s="240">
        <f t="shared" ref="I33:AS33" si="9">1-SUM(I32)</f>
        <v>0.9</v>
      </c>
      <c r="J33" s="240">
        <f t="shared" si="9"/>
        <v>0.9</v>
      </c>
      <c r="K33" s="240">
        <f t="shared" si="9"/>
        <v>0.9</v>
      </c>
      <c r="L33" s="240">
        <f t="shared" si="9"/>
        <v>0.9</v>
      </c>
      <c r="M33" s="240">
        <f t="shared" si="9"/>
        <v>0.9</v>
      </c>
      <c r="N33" s="240">
        <f t="shared" si="9"/>
        <v>0.9</v>
      </c>
      <c r="O33" s="240">
        <f t="shared" si="9"/>
        <v>0.9</v>
      </c>
      <c r="P33" s="240">
        <f t="shared" si="9"/>
        <v>0.9</v>
      </c>
      <c r="Q33" s="240">
        <f t="shared" si="9"/>
        <v>0.9</v>
      </c>
      <c r="R33" s="240">
        <f t="shared" si="9"/>
        <v>0.9</v>
      </c>
      <c r="S33" s="240">
        <f t="shared" si="9"/>
        <v>0.9</v>
      </c>
      <c r="T33" s="240">
        <f t="shared" si="9"/>
        <v>0.9</v>
      </c>
      <c r="U33" s="240">
        <f t="shared" si="9"/>
        <v>0.9</v>
      </c>
      <c r="V33" s="240">
        <f t="shared" si="9"/>
        <v>0.9</v>
      </c>
      <c r="W33" s="240">
        <f t="shared" si="9"/>
        <v>0.9</v>
      </c>
      <c r="X33" s="240">
        <f t="shared" si="9"/>
        <v>0.9</v>
      </c>
      <c r="Y33" s="240">
        <f t="shared" si="9"/>
        <v>0.9</v>
      </c>
      <c r="Z33" s="240">
        <f t="shared" si="9"/>
        <v>0.9</v>
      </c>
      <c r="AA33" s="240">
        <f t="shared" si="9"/>
        <v>0.9</v>
      </c>
      <c r="AB33" s="240">
        <f t="shared" si="9"/>
        <v>0.9</v>
      </c>
      <c r="AC33" s="240">
        <f t="shared" si="9"/>
        <v>0.9</v>
      </c>
      <c r="AD33" s="240">
        <f t="shared" si="9"/>
        <v>0.9</v>
      </c>
      <c r="AE33" s="240">
        <f t="shared" si="9"/>
        <v>0.9</v>
      </c>
      <c r="AF33" s="240">
        <f t="shared" si="9"/>
        <v>0.9</v>
      </c>
      <c r="AG33" s="240">
        <f t="shared" si="9"/>
        <v>0.9</v>
      </c>
      <c r="AH33" s="240">
        <f t="shared" si="9"/>
        <v>0.9</v>
      </c>
      <c r="AI33" s="240">
        <f t="shared" si="9"/>
        <v>0.9</v>
      </c>
      <c r="AJ33" s="240">
        <f t="shared" si="9"/>
        <v>0.9</v>
      </c>
      <c r="AK33" s="240">
        <f t="shared" si="9"/>
        <v>0.9</v>
      </c>
      <c r="AL33" s="240">
        <f t="shared" si="9"/>
        <v>0.9</v>
      </c>
      <c r="AM33" s="240">
        <f t="shared" si="9"/>
        <v>0.9</v>
      </c>
      <c r="AN33" s="240">
        <f t="shared" si="9"/>
        <v>0.9</v>
      </c>
      <c r="AO33" s="240">
        <f t="shared" si="9"/>
        <v>0.9</v>
      </c>
      <c r="AP33" s="240">
        <f t="shared" si="9"/>
        <v>0.9</v>
      </c>
      <c r="AQ33" s="240">
        <f t="shared" si="9"/>
        <v>0.9</v>
      </c>
      <c r="AR33" s="240">
        <f t="shared" si="9"/>
        <v>0.9</v>
      </c>
      <c r="AS33" s="240">
        <f t="shared" si="9"/>
        <v>0.9</v>
      </c>
      <c r="AT33" s="55"/>
    </row>
    <row r="34">
      <c r="A34" s="139"/>
      <c r="B34" s="21"/>
      <c r="C34" s="21"/>
      <c r="D34" s="21"/>
      <c r="E34" s="563"/>
      <c r="F34" s="21"/>
      <c r="G34" s="58"/>
      <c r="H34" s="85"/>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58"/>
    </row>
    <row r="35">
      <c r="A35" s="139"/>
      <c r="B35" s="21"/>
      <c r="C35" s="101" t="s">
        <v>806</v>
      </c>
      <c r="F35" s="21"/>
      <c r="G35" s="58"/>
      <c r="H35" s="85"/>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58"/>
    </row>
    <row r="36">
      <c r="A36" s="139"/>
      <c r="B36" s="21"/>
      <c r="C36" s="21"/>
      <c r="D36" s="21"/>
      <c r="E36" s="488" t="s">
        <v>798</v>
      </c>
      <c r="F36" s="564" t="s">
        <v>122</v>
      </c>
      <c r="G36" s="565" t="s">
        <v>203</v>
      </c>
      <c r="H36" s="156">
        <f>Inputs!H309</f>
        <v>1</v>
      </c>
      <c r="I36" s="289" t="str">
        <f>Inputs!I309</f>
        <v>-</v>
      </c>
      <c r="J36" s="289" t="str">
        <f>Inputs!J309</f>
        <v>-</v>
      </c>
      <c r="K36" s="289" t="str">
        <f>Inputs!K309</f>
        <v>-</v>
      </c>
      <c r="L36" s="289" t="str">
        <f>Inputs!L309</f>
        <v>-</v>
      </c>
      <c r="M36" s="289" t="str">
        <f>Inputs!M309</f>
        <v>-</v>
      </c>
      <c r="N36" s="289" t="str">
        <f>Inputs!N309</f>
        <v>-</v>
      </c>
      <c r="O36" s="289" t="str">
        <f>Inputs!O309</f>
        <v>-</v>
      </c>
      <c r="P36" s="289" t="str">
        <f>Inputs!P309</f>
        <v>-</v>
      </c>
      <c r="Q36" s="289" t="str">
        <f>Inputs!Q309</f>
        <v>-</v>
      </c>
      <c r="R36" s="289" t="str">
        <f>Inputs!R309</f>
        <v>-</v>
      </c>
      <c r="S36" s="289" t="str">
        <f>Inputs!S309</f>
        <v>-</v>
      </c>
      <c r="T36" s="289" t="str">
        <f>Inputs!T309</f>
        <v>-</v>
      </c>
      <c r="U36" s="289" t="str">
        <f>Inputs!U309</f>
        <v>-</v>
      </c>
      <c r="V36" s="289" t="str">
        <f>Inputs!V309</f>
        <v>-</v>
      </c>
      <c r="W36" s="289" t="str">
        <f>Inputs!W309</f>
        <v>-</v>
      </c>
      <c r="X36" s="289" t="str">
        <f>Inputs!X309</f>
        <v>-</v>
      </c>
      <c r="Y36" s="289" t="str">
        <f>Inputs!Y309</f>
        <v>-</v>
      </c>
      <c r="Z36" s="289" t="str">
        <f>Inputs!Z309</f>
        <v>-</v>
      </c>
      <c r="AA36" s="289" t="str">
        <f>Inputs!AA309</f>
        <v>-</v>
      </c>
      <c r="AB36" s="289" t="str">
        <f>Inputs!AB309</f>
        <v>-</v>
      </c>
      <c r="AC36" s="289" t="str">
        <f>Inputs!AC309</f>
        <v>-</v>
      </c>
      <c r="AD36" s="289" t="str">
        <f>Inputs!AD309</f>
        <v>-</v>
      </c>
      <c r="AE36" s="289" t="str">
        <f>Inputs!AE309</f>
        <v>-</v>
      </c>
      <c r="AF36" s="289" t="str">
        <f>Inputs!AF309</f>
        <v>-</v>
      </c>
      <c r="AG36" s="289" t="str">
        <f>Inputs!AG309</f>
        <v>-</v>
      </c>
      <c r="AH36" s="289" t="str">
        <f>Inputs!AH309</f>
        <v>-</v>
      </c>
      <c r="AI36" s="289" t="str">
        <f>Inputs!AI309</f>
        <v>-</v>
      </c>
      <c r="AJ36" s="289" t="str">
        <f>Inputs!AJ309</f>
        <v>-</v>
      </c>
      <c r="AK36" s="289" t="str">
        <f>Inputs!AK309</f>
        <v>-</v>
      </c>
      <c r="AL36" s="289" t="str">
        <f>Inputs!AL309</f>
        <v>-</v>
      </c>
      <c r="AM36" s="289" t="str">
        <f>Inputs!AM309</f>
        <v>-</v>
      </c>
      <c r="AN36" s="289" t="str">
        <f>Inputs!AN309</f>
        <v>-</v>
      </c>
      <c r="AO36" s="289" t="str">
        <f>Inputs!AO309</f>
        <v>-</v>
      </c>
      <c r="AP36" s="289" t="str">
        <f>Inputs!AP309</f>
        <v>-</v>
      </c>
      <c r="AQ36" s="289" t="str">
        <f>Inputs!AQ309</f>
        <v>-</v>
      </c>
      <c r="AR36" s="289" t="str">
        <f>Inputs!AR309</f>
        <v>-</v>
      </c>
      <c r="AS36" s="289" t="str">
        <f>Inputs!AS309</f>
        <v>-</v>
      </c>
      <c r="AT36" s="34"/>
    </row>
    <row r="37">
      <c r="A37" s="139"/>
      <c r="B37" s="21"/>
      <c r="C37" s="21"/>
      <c r="D37" s="21"/>
      <c r="E37" s="574" t="s">
        <v>803</v>
      </c>
      <c r="F37" s="575" t="s">
        <v>122</v>
      </c>
      <c r="G37" s="576" t="s">
        <v>203</v>
      </c>
      <c r="H37" s="234">
        <f>Inputs!H310</f>
        <v>0</v>
      </c>
      <c r="I37" s="427" t="str">
        <f>Inputs!I310</f>
        <v>-</v>
      </c>
      <c r="J37" s="427" t="str">
        <f>Inputs!J310</f>
        <v>-</v>
      </c>
      <c r="K37" s="427" t="str">
        <f>Inputs!K310</f>
        <v>-</v>
      </c>
      <c r="L37" s="427" t="str">
        <f>Inputs!L310</f>
        <v>-</v>
      </c>
      <c r="M37" s="427" t="str">
        <f>Inputs!M310</f>
        <v>-</v>
      </c>
      <c r="N37" s="427" t="str">
        <f>Inputs!N310</f>
        <v>-</v>
      </c>
      <c r="O37" s="427" t="str">
        <f>Inputs!O310</f>
        <v>-</v>
      </c>
      <c r="P37" s="427" t="str">
        <f>Inputs!P310</f>
        <v>-</v>
      </c>
      <c r="Q37" s="427" t="str">
        <f>Inputs!Q310</f>
        <v>-</v>
      </c>
      <c r="R37" s="427" t="str">
        <f>Inputs!R310</f>
        <v>-</v>
      </c>
      <c r="S37" s="427" t="str">
        <f>Inputs!S310</f>
        <v>-</v>
      </c>
      <c r="T37" s="427" t="str">
        <f>Inputs!T310</f>
        <v>-</v>
      </c>
      <c r="U37" s="427" t="str">
        <f>Inputs!U310</f>
        <v>-</v>
      </c>
      <c r="V37" s="427" t="str">
        <f>Inputs!V310</f>
        <v>-</v>
      </c>
      <c r="W37" s="427" t="str">
        <f>Inputs!W310</f>
        <v>-</v>
      </c>
      <c r="X37" s="427" t="str">
        <f>Inputs!X310</f>
        <v>-</v>
      </c>
      <c r="Y37" s="427" t="str">
        <f>Inputs!Y310</f>
        <v>-</v>
      </c>
      <c r="Z37" s="427" t="str">
        <f>Inputs!Z310</f>
        <v>-</v>
      </c>
      <c r="AA37" s="427" t="str">
        <f>Inputs!AA310</f>
        <v>-</v>
      </c>
      <c r="AB37" s="427" t="str">
        <f>Inputs!AB310</f>
        <v>-</v>
      </c>
      <c r="AC37" s="427" t="str">
        <f>Inputs!AC310</f>
        <v>-</v>
      </c>
      <c r="AD37" s="427" t="str">
        <f>Inputs!AD310</f>
        <v>-</v>
      </c>
      <c r="AE37" s="427" t="str">
        <f>Inputs!AE310</f>
        <v>-</v>
      </c>
      <c r="AF37" s="427" t="str">
        <f>Inputs!AF310</f>
        <v>-</v>
      </c>
      <c r="AG37" s="427" t="str">
        <f>Inputs!AG310</f>
        <v>-</v>
      </c>
      <c r="AH37" s="427" t="str">
        <f>Inputs!AH310</f>
        <v>-</v>
      </c>
      <c r="AI37" s="427" t="str">
        <f>Inputs!AI310</f>
        <v>-</v>
      </c>
      <c r="AJ37" s="427" t="str">
        <f>Inputs!AJ310</f>
        <v>-</v>
      </c>
      <c r="AK37" s="427" t="str">
        <f>Inputs!AK310</f>
        <v>-</v>
      </c>
      <c r="AL37" s="427" t="str">
        <f>Inputs!AL310</f>
        <v>-</v>
      </c>
      <c r="AM37" s="427" t="str">
        <f>Inputs!AM310</f>
        <v>-</v>
      </c>
      <c r="AN37" s="427" t="str">
        <f>Inputs!AN310</f>
        <v>-</v>
      </c>
      <c r="AO37" s="427" t="str">
        <f>Inputs!AO310</f>
        <v>-</v>
      </c>
      <c r="AP37" s="427" t="str">
        <f>Inputs!AP310</f>
        <v>-</v>
      </c>
      <c r="AQ37" s="427" t="str">
        <f>Inputs!AQ310</f>
        <v>-</v>
      </c>
      <c r="AR37" s="427" t="str">
        <f>Inputs!AR310</f>
        <v>-</v>
      </c>
      <c r="AS37" s="427" t="str">
        <f>Inputs!AS310</f>
        <v>-</v>
      </c>
      <c r="AT37" s="55"/>
    </row>
    <row r="38">
      <c r="A38" s="139"/>
      <c r="B38" s="21"/>
      <c r="C38" s="21"/>
      <c r="D38" s="21"/>
      <c r="E38" s="563"/>
      <c r="F38" s="378"/>
      <c r="G38" s="379"/>
      <c r="H38" s="85"/>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58"/>
    </row>
    <row r="39">
      <c r="A39" s="72" t="s">
        <v>821</v>
      </c>
      <c r="B39" s="14"/>
      <c r="C39" s="14"/>
      <c r="D39" s="14"/>
      <c r="E39" s="14"/>
      <c r="F39" s="14"/>
      <c r="G39" s="482"/>
      <c r="H39" s="73"/>
      <c r="I39" s="97"/>
      <c r="J39" s="97"/>
      <c r="K39" s="97"/>
      <c r="L39" s="97"/>
      <c r="M39" s="97"/>
      <c r="N39" s="97"/>
      <c r="O39" s="97"/>
      <c r="P39" s="97"/>
      <c r="Q39" s="97"/>
      <c r="R39" s="97"/>
      <c r="S39" s="97"/>
      <c r="T39" s="97"/>
      <c r="U39" s="97"/>
      <c r="V39" s="97"/>
      <c r="W39" s="97"/>
      <c r="X39" s="97"/>
      <c r="Y39" s="97"/>
      <c r="Z39" s="97"/>
      <c r="AA39" s="97"/>
      <c r="AB39" s="97"/>
      <c r="AC39" s="97"/>
      <c r="AD39" s="97"/>
      <c r="AE39" s="97"/>
      <c r="AF39" s="97"/>
      <c r="AG39" s="97"/>
      <c r="AH39" s="97"/>
      <c r="AI39" s="97"/>
      <c r="AJ39" s="97"/>
      <c r="AK39" s="97"/>
      <c r="AL39" s="97"/>
      <c r="AM39" s="97"/>
      <c r="AN39" s="97"/>
      <c r="AO39" s="97"/>
      <c r="AP39" s="97"/>
      <c r="AQ39" s="97"/>
      <c r="AR39" s="97"/>
      <c r="AS39" s="97"/>
      <c r="AT39" s="584"/>
    </row>
    <row r="40">
      <c r="A40" s="585"/>
      <c r="B40" s="81"/>
      <c r="C40" s="81"/>
      <c r="D40" s="81"/>
      <c r="E40" s="484"/>
      <c r="F40" s="83"/>
      <c r="G40" s="84"/>
      <c r="H40" s="587"/>
      <c r="I40" s="588"/>
      <c r="J40" s="588"/>
      <c r="K40" s="588"/>
      <c r="L40" s="588"/>
      <c r="M40" s="588"/>
      <c r="N40" s="588"/>
      <c r="O40" s="588"/>
      <c r="P40" s="588"/>
      <c r="Q40" s="588"/>
      <c r="R40" s="588"/>
      <c r="S40" s="588"/>
      <c r="T40" s="588"/>
      <c r="U40" s="588"/>
      <c r="V40" s="588"/>
      <c r="W40" s="588"/>
      <c r="X40" s="588"/>
      <c r="Y40" s="588"/>
      <c r="Z40" s="588"/>
      <c r="AA40" s="588"/>
      <c r="AB40" s="588"/>
      <c r="AC40" s="588"/>
      <c r="AD40" s="588"/>
      <c r="AE40" s="588"/>
      <c r="AF40" s="588"/>
      <c r="AG40" s="588"/>
      <c r="AH40" s="588"/>
      <c r="AI40" s="588"/>
      <c r="AJ40" s="588"/>
      <c r="AK40" s="588"/>
      <c r="AL40" s="588"/>
      <c r="AM40" s="588"/>
      <c r="AN40" s="588"/>
      <c r="AO40" s="588"/>
      <c r="AP40" s="588"/>
      <c r="AQ40" s="588"/>
      <c r="AR40" s="588"/>
      <c r="AS40" s="588"/>
      <c r="AT40" s="84"/>
    </row>
    <row r="41">
      <c r="A41" s="585"/>
      <c r="B41" s="81"/>
      <c r="C41" s="325" t="s">
        <v>823</v>
      </c>
      <c r="F41" s="108"/>
      <c r="G41" s="84"/>
      <c r="H41" s="587"/>
      <c r="I41" s="588"/>
      <c r="J41" s="588"/>
      <c r="K41" s="588"/>
      <c r="L41" s="588"/>
      <c r="M41" s="588"/>
      <c r="N41" s="588"/>
      <c r="O41" s="588"/>
      <c r="P41" s="588"/>
      <c r="Q41" s="588"/>
      <c r="R41" s="588"/>
      <c r="S41" s="588"/>
      <c r="T41" s="588"/>
      <c r="U41" s="588"/>
      <c r="V41" s="588"/>
      <c r="W41" s="588"/>
      <c r="X41" s="588"/>
      <c r="Y41" s="588"/>
      <c r="Z41" s="588"/>
      <c r="AA41" s="588"/>
      <c r="AB41" s="588"/>
      <c r="AC41" s="588"/>
      <c r="AD41" s="588"/>
      <c r="AE41" s="588"/>
      <c r="AF41" s="588"/>
      <c r="AG41" s="588"/>
      <c r="AH41" s="588"/>
      <c r="AI41" s="588"/>
      <c r="AJ41" s="588"/>
      <c r="AK41" s="588"/>
      <c r="AL41" s="588"/>
      <c r="AM41" s="588"/>
      <c r="AN41" s="588"/>
      <c r="AO41" s="588"/>
      <c r="AP41" s="588"/>
      <c r="AQ41" s="588"/>
      <c r="AR41" s="588"/>
      <c r="AS41" s="588"/>
      <c r="AT41" s="84"/>
    </row>
    <row r="42">
      <c r="A42" s="585"/>
      <c r="B42" s="81"/>
      <c r="C42" s="325"/>
      <c r="D42" s="81"/>
      <c r="E42" s="113" t="s">
        <v>582</v>
      </c>
      <c r="F42" s="189" t="s">
        <v>127</v>
      </c>
      <c r="G42" s="263" t="s">
        <v>769</v>
      </c>
      <c r="H42" s="591" t="str">
        <f>'Main CEA'!H175</f>
        <v>-</v>
      </c>
      <c r="I42" s="592">
        <f>'Main CEA'!I175</f>
        <v>0.07502659744</v>
      </c>
      <c r="J42" s="592">
        <f>'Main CEA'!J175</f>
        <v>0.03438341278</v>
      </c>
      <c r="K42" s="592">
        <f>'Main CEA'!K175</f>
        <v>0.06247719018</v>
      </c>
      <c r="L42" s="592">
        <f>'Main CEA'!L175</f>
        <v>0.01833935833</v>
      </c>
      <c r="M42" s="592">
        <f>'Main CEA'!M175</f>
        <v>0.04222125051</v>
      </c>
      <c r="N42" s="592">
        <f>'Main CEA'!N175</f>
        <v>0.06498019192</v>
      </c>
      <c r="O42" s="592">
        <f>'Main CEA'!O175</f>
        <v>0.1004292219</v>
      </c>
      <c r="P42" s="592">
        <f>'Main CEA'!P175</f>
        <v>0.1615360346</v>
      </c>
      <c r="Q42" s="592">
        <f>'Main CEA'!Q175</f>
        <v>0.1190597318</v>
      </c>
      <c r="R42" s="592">
        <f>'Main CEA'!R175</f>
        <v>0.005860813074</v>
      </c>
      <c r="S42" s="592">
        <f>'Main CEA'!S175</f>
        <v>0.01315912866</v>
      </c>
      <c r="T42" s="592">
        <f>'Main CEA'!T175</f>
        <v>0.005769386011</v>
      </c>
      <c r="U42" s="592">
        <f>'Main CEA'!U175</f>
        <v>0.007144460708</v>
      </c>
      <c r="V42" s="592">
        <f>'Main CEA'!V175</f>
        <v>0.009872334458</v>
      </c>
      <c r="W42" s="592">
        <f>'Main CEA'!W175</f>
        <v>0.01198717706</v>
      </c>
      <c r="X42" s="592">
        <f>'Main CEA'!X175</f>
        <v>0.02544595076</v>
      </c>
      <c r="Y42" s="592">
        <f>'Main CEA'!Y175</f>
        <v>0.004419467256</v>
      </c>
      <c r="Z42" s="592">
        <f>'Main CEA'!Z175</f>
        <v>0.008261357414</v>
      </c>
      <c r="AA42" s="592">
        <f>'Main CEA'!AA175</f>
        <v>0.002310376994</v>
      </c>
      <c r="AB42" s="592">
        <f>'Main CEA'!AB175</f>
        <v>0.00521350588</v>
      </c>
      <c r="AC42" s="592">
        <f>'Main CEA'!AC175</f>
        <v>0.003358853437</v>
      </c>
      <c r="AD42" s="592">
        <f>'Main CEA'!AD175</f>
        <v>0.002562266051</v>
      </c>
      <c r="AE42" s="592">
        <f>'Main CEA'!AE175</f>
        <v>0.004432628861</v>
      </c>
      <c r="AF42" s="592">
        <f>'Main CEA'!AF175</f>
        <v>0.003277506367</v>
      </c>
      <c r="AG42" s="592">
        <f>'Main CEA'!AG175</f>
        <v>0.007673599004</v>
      </c>
      <c r="AH42" s="592">
        <f>'Main CEA'!AH175</f>
        <v>0.009484485641</v>
      </c>
      <c r="AI42" s="592">
        <f>'Main CEA'!AI175</f>
        <v>0.003189790796</v>
      </c>
      <c r="AJ42" s="592">
        <f>'Main CEA'!AJ175</f>
        <v>0.01382440237</v>
      </c>
      <c r="AK42" s="592">
        <f>'Main CEA'!AK175</f>
        <v>0.02752250101</v>
      </c>
      <c r="AL42" s="592">
        <f>'Main CEA'!AL175</f>
        <v>0.0119250095</v>
      </c>
      <c r="AM42" s="592">
        <f>'Main CEA'!AM175</f>
        <v>0.009988395246</v>
      </c>
      <c r="AN42" s="592">
        <f>'Main CEA'!AN175</f>
        <v>0.003512825597</v>
      </c>
      <c r="AO42" s="592">
        <f>'Main CEA'!AO175</f>
        <v>0.00731961854</v>
      </c>
      <c r="AP42" s="592">
        <f>'Main CEA'!AP175</f>
        <v>0.008839296088</v>
      </c>
      <c r="AQ42" s="592">
        <f>'Main CEA'!AQ175</f>
        <v>0.005103895787</v>
      </c>
      <c r="AR42" s="592">
        <f>'Main CEA'!AR175</f>
        <v>0.02452924722</v>
      </c>
      <c r="AS42" s="592">
        <f>'Main CEA'!AS175</f>
        <v>0.02139218049</v>
      </c>
      <c r="AT42" s="443"/>
    </row>
    <row r="43">
      <c r="A43" s="585"/>
      <c r="B43" s="81"/>
      <c r="C43" s="325"/>
      <c r="D43" s="81"/>
      <c r="E43" s="140" t="s">
        <v>654</v>
      </c>
      <c r="F43" s="215" t="s">
        <v>122</v>
      </c>
      <c r="G43" s="277" t="s">
        <v>769</v>
      </c>
      <c r="H43" s="599">
        <f>'Main CEA'!H207</f>
        <v>-0.07</v>
      </c>
      <c r="I43" s="600" t="str">
        <f>'Main CEA'!I207</f>
        <v>-</v>
      </c>
      <c r="J43" s="600" t="str">
        <f>'Main CEA'!J207</f>
        <v>-</v>
      </c>
      <c r="K43" s="600" t="str">
        <f>'Main CEA'!K207</f>
        <v>-</v>
      </c>
      <c r="L43" s="600" t="str">
        <f>'Main CEA'!L207</f>
        <v>-</v>
      </c>
      <c r="M43" s="600" t="str">
        <f>'Main CEA'!M207</f>
        <v>-</v>
      </c>
      <c r="N43" s="600" t="str">
        <f>'Main CEA'!N207</f>
        <v>-</v>
      </c>
      <c r="O43" s="600" t="str">
        <f>'Main CEA'!O207</f>
        <v>-</v>
      </c>
      <c r="P43" s="600" t="str">
        <f>'Main CEA'!P207</f>
        <v>-</v>
      </c>
      <c r="Q43" s="600" t="str">
        <f>'Main CEA'!Q207</f>
        <v>-</v>
      </c>
      <c r="R43" s="600" t="str">
        <f>'Main CEA'!R207</f>
        <v>-</v>
      </c>
      <c r="S43" s="600" t="str">
        <f>'Main CEA'!S207</f>
        <v>-</v>
      </c>
      <c r="T43" s="600" t="str">
        <f>'Main CEA'!T207</f>
        <v>-</v>
      </c>
      <c r="U43" s="600" t="str">
        <f>'Main CEA'!U207</f>
        <v>-</v>
      </c>
      <c r="V43" s="600" t="str">
        <f>'Main CEA'!V207</f>
        <v>-</v>
      </c>
      <c r="W43" s="600" t="str">
        <f>'Main CEA'!W207</f>
        <v>-</v>
      </c>
      <c r="X43" s="600" t="str">
        <f>'Main CEA'!X207</f>
        <v>-</v>
      </c>
      <c r="Y43" s="600" t="str">
        <f>'Main CEA'!Y207</f>
        <v>-</v>
      </c>
      <c r="Z43" s="600" t="str">
        <f>'Main CEA'!Z207</f>
        <v>-</v>
      </c>
      <c r="AA43" s="600" t="str">
        <f>'Main CEA'!AA207</f>
        <v>-</v>
      </c>
      <c r="AB43" s="600" t="str">
        <f>'Main CEA'!AB207</f>
        <v>-</v>
      </c>
      <c r="AC43" s="600" t="str">
        <f>'Main CEA'!AC207</f>
        <v>-</v>
      </c>
      <c r="AD43" s="600" t="str">
        <f>'Main CEA'!AD207</f>
        <v>-</v>
      </c>
      <c r="AE43" s="600" t="str">
        <f>'Main CEA'!AE207</f>
        <v>-</v>
      </c>
      <c r="AF43" s="600" t="str">
        <f>'Main CEA'!AF207</f>
        <v>-</v>
      </c>
      <c r="AG43" s="600" t="str">
        <f>'Main CEA'!AG207</f>
        <v>-</v>
      </c>
      <c r="AH43" s="600" t="str">
        <f>'Main CEA'!AH207</f>
        <v>-</v>
      </c>
      <c r="AI43" s="600" t="str">
        <f>'Main CEA'!AI207</f>
        <v>-</v>
      </c>
      <c r="AJ43" s="600" t="str">
        <f>'Main CEA'!AJ207</f>
        <v>-</v>
      </c>
      <c r="AK43" s="600" t="str">
        <f>'Main CEA'!AK207</f>
        <v>-</v>
      </c>
      <c r="AL43" s="600" t="str">
        <f>'Main CEA'!AL207</f>
        <v>-</v>
      </c>
      <c r="AM43" s="600" t="str">
        <f>'Main CEA'!AM207</f>
        <v>-</v>
      </c>
      <c r="AN43" s="600" t="str">
        <f>'Main CEA'!AN207</f>
        <v>-</v>
      </c>
      <c r="AO43" s="600" t="str">
        <f>'Main CEA'!AO207</f>
        <v>-</v>
      </c>
      <c r="AP43" s="600" t="str">
        <f>'Main CEA'!AP207</f>
        <v>-</v>
      </c>
      <c r="AQ43" s="600" t="str">
        <f>'Main CEA'!AQ207</f>
        <v>-</v>
      </c>
      <c r="AR43" s="600" t="str">
        <f>'Main CEA'!AR207</f>
        <v>-</v>
      </c>
      <c r="AS43" s="600" t="str">
        <f>'Main CEA'!AS207</f>
        <v>-</v>
      </c>
      <c r="AT43" s="444"/>
    </row>
    <row r="44">
      <c r="A44" s="585"/>
      <c r="B44" s="81"/>
      <c r="C44" s="325"/>
      <c r="D44" s="81"/>
      <c r="E44" s="140" t="s">
        <v>727</v>
      </c>
      <c r="F44" s="215" t="s">
        <v>122</v>
      </c>
      <c r="G44" s="277" t="s">
        <v>769</v>
      </c>
      <c r="H44" s="599">
        <f>'Main CEA'!H227</f>
        <v>0.328</v>
      </c>
      <c r="I44" s="600" t="str">
        <f>'Main CEA'!I227</f>
        <v>-</v>
      </c>
      <c r="J44" s="600" t="str">
        <f>'Main CEA'!J227</f>
        <v>-</v>
      </c>
      <c r="K44" s="600" t="str">
        <f>'Main CEA'!K227</f>
        <v>-</v>
      </c>
      <c r="L44" s="600" t="str">
        <f>'Main CEA'!L227</f>
        <v>-</v>
      </c>
      <c r="M44" s="600" t="str">
        <f>'Main CEA'!M227</f>
        <v>-</v>
      </c>
      <c r="N44" s="600" t="str">
        <f>'Main CEA'!N227</f>
        <v>-</v>
      </c>
      <c r="O44" s="600" t="str">
        <f>'Main CEA'!O227</f>
        <v>-</v>
      </c>
      <c r="P44" s="600" t="str">
        <f>'Main CEA'!P227</f>
        <v>-</v>
      </c>
      <c r="Q44" s="600" t="str">
        <f>'Main CEA'!Q227</f>
        <v>-</v>
      </c>
      <c r="R44" s="600" t="str">
        <f>'Main CEA'!R227</f>
        <v>-</v>
      </c>
      <c r="S44" s="600" t="str">
        <f>'Main CEA'!S227</f>
        <v>-</v>
      </c>
      <c r="T44" s="600" t="str">
        <f>'Main CEA'!T227</f>
        <v>-</v>
      </c>
      <c r="U44" s="600" t="str">
        <f>'Main CEA'!U227</f>
        <v>-</v>
      </c>
      <c r="V44" s="600" t="str">
        <f>'Main CEA'!V227</f>
        <v>-</v>
      </c>
      <c r="W44" s="600" t="str">
        <f>'Main CEA'!W227</f>
        <v>-</v>
      </c>
      <c r="X44" s="600" t="str">
        <f>'Main CEA'!X227</f>
        <v>-</v>
      </c>
      <c r="Y44" s="600" t="str">
        <f>'Main CEA'!Y227</f>
        <v>-</v>
      </c>
      <c r="Z44" s="600" t="str">
        <f>'Main CEA'!Z227</f>
        <v>-</v>
      </c>
      <c r="AA44" s="600" t="str">
        <f>'Main CEA'!AA227</f>
        <v>-</v>
      </c>
      <c r="AB44" s="600" t="str">
        <f>'Main CEA'!AB227</f>
        <v>-</v>
      </c>
      <c r="AC44" s="600" t="str">
        <f>'Main CEA'!AC227</f>
        <v>-</v>
      </c>
      <c r="AD44" s="600" t="str">
        <f>'Main CEA'!AD227</f>
        <v>-</v>
      </c>
      <c r="AE44" s="600" t="str">
        <f>'Main CEA'!AE227</f>
        <v>-</v>
      </c>
      <c r="AF44" s="600" t="str">
        <f>'Main CEA'!AF227</f>
        <v>-</v>
      </c>
      <c r="AG44" s="600" t="str">
        <f>'Main CEA'!AG227</f>
        <v>-</v>
      </c>
      <c r="AH44" s="600" t="str">
        <f>'Main CEA'!AH227</f>
        <v>-</v>
      </c>
      <c r="AI44" s="600" t="str">
        <f>'Main CEA'!AI227</f>
        <v>-</v>
      </c>
      <c r="AJ44" s="600" t="str">
        <f>'Main CEA'!AJ227</f>
        <v>-</v>
      </c>
      <c r="AK44" s="600" t="str">
        <f>'Main CEA'!AK227</f>
        <v>-</v>
      </c>
      <c r="AL44" s="600" t="str">
        <f>'Main CEA'!AL227</f>
        <v>-</v>
      </c>
      <c r="AM44" s="600" t="str">
        <f>'Main CEA'!AM227</f>
        <v>-</v>
      </c>
      <c r="AN44" s="600" t="str">
        <f>'Main CEA'!AN227</f>
        <v>-</v>
      </c>
      <c r="AO44" s="600" t="str">
        <f>'Main CEA'!AO227</f>
        <v>-</v>
      </c>
      <c r="AP44" s="600" t="str">
        <f>'Main CEA'!AP227</f>
        <v>-</v>
      </c>
      <c r="AQ44" s="600" t="str">
        <f>'Main CEA'!AQ227</f>
        <v>-</v>
      </c>
      <c r="AR44" s="600" t="str">
        <f>'Main CEA'!AR227</f>
        <v>-</v>
      </c>
      <c r="AS44" s="600" t="str">
        <f>'Main CEA'!AS227</f>
        <v>-</v>
      </c>
      <c r="AT44" s="444"/>
    </row>
    <row r="45">
      <c r="A45" s="585"/>
      <c r="B45" s="81"/>
      <c r="C45" s="325"/>
      <c r="D45" s="81"/>
      <c r="E45" s="237" t="s">
        <v>842</v>
      </c>
      <c r="F45" s="195" t="s">
        <v>127</v>
      </c>
      <c r="G45" s="316" t="s">
        <v>149</v>
      </c>
      <c r="H45" s="605" t="s">
        <v>150</v>
      </c>
      <c r="I45" s="606">
        <f t="shared" ref="I45:AS45" si="10">I42*(1+$H43)*(1+$H44)</f>
        <v>0.0926608489</v>
      </c>
      <c r="J45" s="606">
        <f t="shared" si="10"/>
        <v>0.04246489012</v>
      </c>
      <c r="K45" s="606">
        <f t="shared" si="10"/>
        <v>0.07716182896</v>
      </c>
      <c r="L45" s="606">
        <f t="shared" si="10"/>
        <v>0.02264984112</v>
      </c>
      <c r="M45" s="606">
        <f t="shared" si="10"/>
        <v>0.05214493323</v>
      </c>
      <c r="N45" s="606">
        <f t="shared" si="10"/>
        <v>0.08025313622</v>
      </c>
      <c r="O45" s="606">
        <f t="shared" si="10"/>
        <v>0.1240341062</v>
      </c>
      <c r="P45" s="606">
        <f t="shared" si="10"/>
        <v>0.1995034642</v>
      </c>
      <c r="Q45" s="606">
        <f t="shared" si="10"/>
        <v>0.1470435311</v>
      </c>
      <c r="R45" s="606">
        <f t="shared" si="10"/>
        <v>0.007238338578</v>
      </c>
      <c r="S45" s="606">
        <f t="shared" si="10"/>
        <v>0.01625205026</v>
      </c>
      <c r="T45" s="606">
        <f t="shared" si="10"/>
        <v>0.0071254225</v>
      </c>
      <c r="U45" s="606">
        <f t="shared" si="10"/>
        <v>0.008823694753</v>
      </c>
      <c r="V45" s="606">
        <f t="shared" si="10"/>
        <v>0.01219272795</v>
      </c>
      <c r="W45" s="606">
        <f t="shared" si="10"/>
        <v>0.01480464315</v>
      </c>
      <c r="X45" s="606">
        <f t="shared" si="10"/>
        <v>0.03142676702</v>
      </c>
      <c r="Y45" s="606">
        <f t="shared" si="10"/>
        <v>0.005458218839</v>
      </c>
      <c r="Z45" s="606">
        <f t="shared" si="10"/>
        <v>0.01020310686</v>
      </c>
      <c r="AA45" s="606">
        <f t="shared" si="10"/>
        <v>0.002853408002</v>
      </c>
      <c r="AB45" s="606">
        <f t="shared" si="10"/>
        <v>0.006438888302</v>
      </c>
      <c r="AC45" s="606">
        <f t="shared" si="10"/>
        <v>0.004148318349</v>
      </c>
      <c r="AD45" s="606">
        <f t="shared" si="10"/>
        <v>0.003164501064</v>
      </c>
      <c r="AE45" s="606">
        <f t="shared" si="10"/>
        <v>0.005474473949</v>
      </c>
      <c r="AF45" s="606">
        <f t="shared" si="10"/>
        <v>0.004047851464</v>
      </c>
      <c r="AG45" s="606">
        <f t="shared" si="10"/>
        <v>0.009477201714</v>
      </c>
      <c r="AH45" s="606">
        <f t="shared" si="10"/>
        <v>0.01171371915</v>
      </c>
      <c r="AI45" s="606">
        <f t="shared" si="10"/>
        <v>0.003939519224</v>
      </c>
      <c r="AJ45" s="606">
        <f t="shared" si="10"/>
        <v>0.0170736899</v>
      </c>
      <c r="AK45" s="606">
        <f t="shared" si="10"/>
        <v>0.03399138964</v>
      </c>
      <c r="AL45" s="606">
        <f t="shared" si="10"/>
        <v>0.01472786373</v>
      </c>
      <c r="AM45" s="606">
        <f t="shared" si="10"/>
        <v>0.01233606766</v>
      </c>
      <c r="AN45" s="606">
        <f t="shared" si="10"/>
        <v>0.004338480125</v>
      </c>
      <c r="AO45" s="606">
        <f t="shared" si="10"/>
        <v>0.009040021682</v>
      </c>
      <c r="AP45" s="606">
        <f t="shared" si="10"/>
        <v>0.01091688424</v>
      </c>
      <c r="AQ45" s="606">
        <f t="shared" si="10"/>
        <v>0.006303515453</v>
      </c>
      <c r="AR45" s="606">
        <f t="shared" si="10"/>
        <v>0.03029460149</v>
      </c>
      <c r="AS45" s="606">
        <f t="shared" si="10"/>
        <v>0.02642019859</v>
      </c>
      <c r="AT45" s="610"/>
    </row>
    <row r="46">
      <c r="A46" s="585"/>
      <c r="B46" s="81"/>
      <c r="C46" s="325"/>
      <c r="D46" s="81"/>
      <c r="E46" s="484"/>
      <c r="F46" s="108"/>
      <c r="G46" s="84"/>
      <c r="H46" s="587"/>
      <c r="I46" s="588"/>
      <c r="J46" s="588"/>
      <c r="K46" s="588"/>
      <c r="L46" s="588"/>
      <c r="M46" s="588"/>
      <c r="N46" s="588"/>
      <c r="O46" s="588"/>
      <c r="P46" s="588"/>
      <c r="Q46" s="588"/>
      <c r="R46" s="588"/>
      <c r="S46" s="588"/>
      <c r="T46" s="588"/>
      <c r="U46" s="588"/>
      <c r="V46" s="588"/>
      <c r="W46" s="588"/>
      <c r="X46" s="588"/>
      <c r="Y46" s="588"/>
      <c r="Z46" s="588"/>
      <c r="AA46" s="588"/>
      <c r="AB46" s="588"/>
      <c r="AC46" s="588"/>
      <c r="AD46" s="588"/>
      <c r="AE46" s="588"/>
      <c r="AF46" s="588"/>
      <c r="AG46" s="588"/>
      <c r="AH46" s="588"/>
      <c r="AI46" s="588"/>
      <c r="AJ46" s="588"/>
      <c r="AK46" s="588"/>
      <c r="AL46" s="588"/>
      <c r="AM46" s="588"/>
      <c r="AN46" s="588"/>
      <c r="AO46" s="588"/>
      <c r="AP46" s="588"/>
      <c r="AQ46" s="588"/>
      <c r="AR46" s="588"/>
      <c r="AS46" s="588"/>
      <c r="AT46" s="84"/>
    </row>
    <row r="47">
      <c r="A47" s="585"/>
      <c r="B47" s="81"/>
      <c r="C47" s="325" t="s">
        <v>844</v>
      </c>
      <c r="F47" s="108"/>
      <c r="G47" s="84"/>
      <c r="H47" s="587"/>
      <c r="I47" s="588"/>
      <c r="J47" s="588"/>
      <c r="K47" s="588"/>
      <c r="L47" s="588"/>
      <c r="M47" s="588"/>
      <c r="N47" s="588"/>
      <c r="O47" s="588"/>
      <c r="P47" s="588"/>
      <c r="Q47" s="588"/>
      <c r="R47" s="588"/>
      <c r="S47" s="588"/>
      <c r="T47" s="588"/>
      <c r="U47" s="588"/>
      <c r="V47" s="588"/>
      <c r="W47" s="588"/>
      <c r="X47" s="588"/>
      <c r="Y47" s="588"/>
      <c r="Z47" s="588"/>
      <c r="AA47" s="588"/>
      <c r="AB47" s="588"/>
      <c r="AC47" s="588"/>
      <c r="AD47" s="588"/>
      <c r="AE47" s="588"/>
      <c r="AF47" s="588"/>
      <c r="AG47" s="588"/>
      <c r="AH47" s="588"/>
      <c r="AI47" s="588"/>
      <c r="AJ47" s="588"/>
      <c r="AK47" s="588"/>
      <c r="AL47" s="588"/>
      <c r="AM47" s="588"/>
      <c r="AN47" s="588"/>
      <c r="AO47" s="588"/>
      <c r="AP47" s="588"/>
      <c r="AQ47" s="588"/>
      <c r="AR47" s="588"/>
      <c r="AS47" s="588"/>
      <c r="AT47" s="84"/>
    </row>
    <row r="48">
      <c r="A48" s="585"/>
      <c r="B48" s="81"/>
      <c r="C48" s="325"/>
      <c r="D48" s="81"/>
      <c r="E48" s="611" t="str">
        <f>'Main CEA'!E189</f>
        <v>Total lives saved (before final adjustments)</v>
      </c>
      <c r="F48" s="189" t="str">
        <f>'Main CEA'!F189</f>
        <v>#</v>
      </c>
      <c r="G48" s="263" t="s">
        <v>769</v>
      </c>
      <c r="H48" s="612" t="str">
        <f>'Main CEA'!H189</f>
        <v>-</v>
      </c>
      <c r="I48" s="613">
        <f>'Main CEA'!I189</f>
        <v>560.5520676</v>
      </c>
      <c r="J48" s="613">
        <f>'Main CEA'!J189</f>
        <v>245.7647602</v>
      </c>
      <c r="K48" s="613">
        <f>'Main CEA'!K189</f>
        <v>463.7308221</v>
      </c>
      <c r="L48" s="613">
        <f>'Main CEA'!L189</f>
        <v>122.8940818</v>
      </c>
      <c r="M48" s="613">
        <f>'Main CEA'!M189</f>
        <v>300.0664864</v>
      </c>
      <c r="N48" s="613">
        <f>'Main CEA'!N189</f>
        <v>492.9325051</v>
      </c>
      <c r="O48" s="613">
        <f>'Main CEA'!O189</f>
        <v>779.6471334</v>
      </c>
      <c r="P48" s="613">
        <f>'Main CEA'!P189</f>
        <v>1227.178737</v>
      </c>
      <c r="Q48" s="613">
        <f>'Main CEA'!Q189</f>
        <v>895.634209</v>
      </c>
      <c r="R48" s="613">
        <f>'Main CEA'!R189</f>
        <v>30.15694618</v>
      </c>
      <c r="S48" s="613">
        <f>'Main CEA'!S189</f>
        <v>83.8331658</v>
      </c>
      <c r="T48" s="613">
        <f>'Main CEA'!T189</f>
        <v>31.42762589</v>
      </c>
      <c r="U48" s="613">
        <f>'Main CEA'!U189</f>
        <v>41.50233502</v>
      </c>
      <c r="V48" s="613">
        <f>'Main CEA'!V189</f>
        <v>62.98851179</v>
      </c>
      <c r="W48" s="613">
        <f>'Main CEA'!W189</f>
        <v>80.45030222</v>
      </c>
      <c r="X48" s="613">
        <f>'Main CEA'!X189</f>
        <v>192.4286371</v>
      </c>
      <c r="Y48" s="613">
        <f>'Main CEA'!Y189</f>
        <v>20.47061457</v>
      </c>
      <c r="Z48" s="613">
        <f>'Main CEA'!Z189</f>
        <v>49.46861925</v>
      </c>
      <c r="AA48" s="613">
        <f>'Main CEA'!AA189</f>
        <v>2.745732674</v>
      </c>
      <c r="AB48" s="613">
        <f>'Main CEA'!AB189</f>
        <v>24.93564672</v>
      </c>
      <c r="AC48" s="613">
        <f>'Main CEA'!AC189</f>
        <v>11.19506082</v>
      </c>
      <c r="AD48" s="613">
        <f>'Main CEA'!AD189</f>
        <v>5.17249486</v>
      </c>
      <c r="AE48" s="613">
        <f>'Main CEA'!AE189</f>
        <v>18.91440574</v>
      </c>
      <c r="AF48" s="613">
        <f>'Main CEA'!AF189</f>
        <v>10.96503722</v>
      </c>
      <c r="AG48" s="613">
        <f>'Main CEA'!AG189</f>
        <v>46.56752975</v>
      </c>
      <c r="AH48" s="613">
        <f>'Main CEA'!AH189</f>
        <v>66.07422496</v>
      </c>
      <c r="AI48" s="613">
        <f>'Main CEA'!AI189</f>
        <v>10.02030097</v>
      </c>
      <c r="AJ48" s="613">
        <f>'Main CEA'!AJ189</f>
        <v>93.59297377</v>
      </c>
      <c r="AK48" s="613">
        <f>'Main CEA'!AK189</f>
        <v>203.7290886</v>
      </c>
      <c r="AL48" s="613">
        <f>'Main CEA'!AL189</f>
        <v>85.18799529</v>
      </c>
      <c r="AM48" s="613">
        <f>'Main CEA'!AM189</f>
        <v>66.01137287</v>
      </c>
      <c r="AN48" s="613">
        <f>'Main CEA'!AN189</f>
        <v>13.91329886</v>
      </c>
      <c r="AO48" s="613">
        <f>'Main CEA'!AO189</f>
        <v>44.62765786</v>
      </c>
      <c r="AP48" s="613">
        <f>'Main CEA'!AP189</f>
        <v>55.98928458</v>
      </c>
      <c r="AQ48" s="613">
        <f>'Main CEA'!AQ189</f>
        <v>24.65872242</v>
      </c>
      <c r="AR48" s="613">
        <f>'Main CEA'!AR189</f>
        <v>167.8327752</v>
      </c>
      <c r="AS48" s="613">
        <f>'Main CEA'!AS189</f>
        <v>158.6993053</v>
      </c>
      <c r="AT48" s="443"/>
    </row>
    <row r="49">
      <c r="A49" s="585"/>
      <c r="B49" s="81"/>
      <c r="C49" s="325"/>
      <c r="D49" s="81"/>
      <c r="E49" s="619" t="str">
        <f>'Main CEA'!D207</f>
        <v>Total supplemental grantee-level adjustment</v>
      </c>
      <c r="F49" s="215" t="str">
        <f>'Main CEA'!F207</f>
        <v>%</v>
      </c>
      <c r="G49" s="277" t="s">
        <v>769</v>
      </c>
      <c r="H49" s="620">
        <f>'Main CEA'!H207</f>
        <v>-0.07</v>
      </c>
      <c r="I49" s="621" t="str">
        <f>'Main CEA'!I207</f>
        <v>-</v>
      </c>
      <c r="J49" s="621" t="str">
        <f>'Main CEA'!J207</f>
        <v>-</v>
      </c>
      <c r="K49" s="621" t="str">
        <f>'Main CEA'!K207</f>
        <v>-</v>
      </c>
      <c r="L49" s="621" t="str">
        <f>'Main CEA'!L207</f>
        <v>-</v>
      </c>
      <c r="M49" s="621" t="str">
        <f>'Main CEA'!M207</f>
        <v>-</v>
      </c>
      <c r="N49" s="621" t="str">
        <f>'Main CEA'!N207</f>
        <v>-</v>
      </c>
      <c r="O49" s="621" t="str">
        <f>'Main CEA'!O207</f>
        <v>-</v>
      </c>
      <c r="P49" s="621" t="str">
        <f>'Main CEA'!P207</f>
        <v>-</v>
      </c>
      <c r="Q49" s="621" t="str">
        <f>'Main CEA'!Q207</f>
        <v>-</v>
      </c>
      <c r="R49" s="621" t="str">
        <f>'Main CEA'!R207</f>
        <v>-</v>
      </c>
      <c r="S49" s="621" t="str">
        <f>'Main CEA'!S207</f>
        <v>-</v>
      </c>
      <c r="T49" s="621" t="str">
        <f>'Main CEA'!T207</f>
        <v>-</v>
      </c>
      <c r="U49" s="621" t="str">
        <f>'Main CEA'!U207</f>
        <v>-</v>
      </c>
      <c r="V49" s="621" t="str">
        <f>'Main CEA'!V207</f>
        <v>-</v>
      </c>
      <c r="W49" s="621" t="str">
        <f>'Main CEA'!W207</f>
        <v>-</v>
      </c>
      <c r="X49" s="621" t="str">
        <f>'Main CEA'!X207</f>
        <v>-</v>
      </c>
      <c r="Y49" s="621" t="str">
        <f>'Main CEA'!Y207</f>
        <v>-</v>
      </c>
      <c r="Z49" s="621" t="str">
        <f>'Main CEA'!Z207</f>
        <v>-</v>
      </c>
      <c r="AA49" s="621" t="str">
        <f>'Main CEA'!AA207</f>
        <v>-</v>
      </c>
      <c r="AB49" s="621" t="str">
        <f>'Main CEA'!AB207</f>
        <v>-</v>
      </c>
      <c r="AC49" s="621" t="str">
        <f>'Main CEA'!AC207</f>
        <v>-</v>
      </c>
      <c r="AD49" s="621" t="str">
        <f>'Main CEA'!AD207</f>
        <v>-</v>
      </c>
      <c r="AE49" s="621" t="str">
        <f>'Main CEA'!AE207</f>
        <v>-</v>
      </c>
      <c r="AF49" s="621" t="str">
        <f>'Main CEA'!AF207</f>
        <v>-</v>
      </c>
      <c r="AG49" s="621" t="str">
        <f>'Main CEA'!AG207</f>
        <v>-</v>
      </c>
      <c r="AH49" s="621" t="str">
        <f>'Main CEA'!AH207</f>
        <v>-</v>
      </c>
      <c r="AI49" s="621" t="str">
        <f>'Main CEA'!AI207</f>
        <v>-</v>
      </c>
      <c r="AJ49" s="621" t="str">
        <f>'Main CEA'!AJ207</f>
        <v>-</v>
      </c>
      <c r="AK49" s="621" t="str">
        <f>'Main CEA'!AK207</f>
        <v>-</v>
      </c>
      <c r="AL49" s="621" t="str">
        <f>'Main CEA'!AL207</f>
        <v>-</v>
      </c>
      <c r="AM49" s="621" t="str">
        <f>'Main CEA'!AM207</f>
        <v>-</v>
      </c>
      <c r="AN49" s="621" t="str">
        <f>'Main CEA'!AN207</f>
        <v>-</v>
      </c>
      <c r="AO49" s="621" t="str">
        <f>'Main CEA'!AO207</f>
        <v>-</v>
      </c>
      <c r="AP49" s="621" t="str">
        <f>'Main CEA'!AP207</f>
        <v>-</v>
      </c>
      <c r="AQ49" s="621" t="str">
        <f>'Main CEA'!AQ207</f>
        <v>-</v>
      </c>
      <c r="AR49" s="621" t="str">
        <f>'Main CEA'!AR207</f>
        <v>-</v>
      </c>
      <c r="AS49" s="621" t="str">
        <f>'Main CEA'!AS207</f>
        <v>-</v>
      </c>
      <c r="AT49" s="444"/>
    </row>
    <row r="50">
      <c r="A50" s="585"/>
      <c r="B50" s="81"/>
      <c r="C50" s="325"/>
      <c r="D50" s="81"/>
      <c r="E50" s="619" t="str">
        <f>'Main CEA'!E252</f>
        <v>Total supplemental intervention-level adjustment affecting lives saved</v>
      </c>
      <c r="F50" s="215" t="str">
        <f>'Main CEA'!F252</f>
        <v>%</v>
      </c>
      <c r="G50" s="277" t="s">
        <v>769</v>
      </c>
      <c r="H50" s="627" t="str">
        <f>'Main CEA'!H252</f>
        <v>-</v>
      </c>
      <c r="I50" s="600">
        <f>'Main CEA'!I252</f>
        <v>0.061</v>
      </c>
      <c r="J50" s="600">
        <f>'Main CEA'!J252</f>
        <v>0.061</v>
      </c>
      <c r="K50" s="600">
        <f>'Main CEA'!K252</f>
        <v>0.061</v>
      </c>
      <c r="L50" s="600">
        <f>'Main CEA'!L252</f>
        <v>0.061</v>
      </c>
      <c r="M50" s="600">
        <f>'Main CEA'!M252</f>
        <v>0.061</v>
      </c>
      <c r="N50" s="600">
        <f>'Main CEA'!N252</f>
        <v>0.061</v>
      </c>
      <c r="O50" s="600">
        <f>'Main CEA'!O252</f>
        <v>0.061</v>
      </c>
      <c r="P50" s="600">
        <f>'Main CEA'!P252</f>
        <v>0.061</v>
      </c>
      <c r="Q50" s="600">
        <f>'Main CEA'!Q252</f>
        <v>0.061</v>
      </c>
      <c r="R50" s="600">
        <f>'Main CEA'!R252</f>
        <v>0.061</v>
      </c>
      <c r="S50" s="600">
        <f>'Main CEA'!S252</f>
        <v>0.061</v>
      </c>
      <c r="T50" s="600">
        <f>'Main CEA'!T252</f>
        <v>0.061</v>
      </c>
      <c r="U50" s="600">
        <f>'Main CEA'!U252</f>
        <v>0.061</v>
      </c>
      <c r="V50" s="600">
        <f>'Main CEA'!V252</f>
        <v>0.061</v>
      </c>
      <c r="W50" s="600">
        <f>'Main CEA'!W252</f>
        <v>0.061</v>
      </c>
      <c r="X50" s="600">
        <f>'Main CEA'!X252</f>
        <v>0.061</v>
      </c>
      <c r="Y50" s="600">
        <f>'Main CEA'!Y252</f>
        <v>0.061</v>
      </c>
      <c r="Z50" s="600">
        <f>'Main CEA'!Z252</f>
        <v>0.061</v>
      </c>
      <c r="AA50" s="600">
        <f>'Main CEA'!AA252</f>
        <v>0.061</v>
      </c>
      <c r="AB50" s="600">
        <f>'Main CEA'!AB252</f>
        <v>0.061</v>
      </c>
      <c r="AC50" s="600">
        <f>'Main CEA'!AC252</f>
        <v>0.061</v>
      </c>
      <c r="AD50" s="600">
        <f>'Main CEA'!AD252</f>
        <v>0.061</v>
      </c>
      <c r="AE50" s="600">
        <f>'Main CEA'!AE252</f>
        <v>0.061</v>
      </c>
      <c r="AF50" s="600">
        <f>'Main CEA'!AF252</f>
        <v>0.061</v>
      </c>
      <c r="AG50" s="600">
        <f>'Main CEA'!AG252</f>
        <v>0.061</v>
      </c>
      <c r="AH50" s="600">
        <f>'Main CEA'!AH252</f>
        <v>0.061</v>
      </c>
      <c r="AI50" s="600">
        <f>'Main CEA'!AI252</f>
        <v>0.061</v>
      </c>
      <c r="AJ50" s="600">
        <f>'Main CEA'!AJ252</f>
        <v>0.061</v>
      </c>
      <c r="AK50" s="600">
        <f>'Main CEA'!AK252</f>
        <v>0.061</v>
      </c>
      <c r="AL50" s="600">
        <f>'Main CEA'!AL252</f>
        <v>0.061</v>
      </c>
      <c r="AM50" s="600">
        <f>'Main CEA'!AM252</f>
        <v>0.061</v>
      </c>
      <c r="AN50" s="600">
        <f>'Main CEA'!AN252</f>
        <v>0.061</v>
      </c>
      <c r="AO50" s="600">
        <f>'Main CEA'!AO252</f>
        <v>0.061</v>
      </c>
      <c r="AP50" s="600">
        <f>'Main CEA'!AP252</f>
        <v>0.061</v>
      </c>
      <c r="AQ50" s="600">
        <f>'Main CEA'!AQ252</f>
        <v>0.061</v>
      </c>
      <c r="AR50" s="600">
        <f>'Main CEA'!AR252</f>
        <v>0.061</v>
      </c>
      <c r="AS50" s="600">
        <f>'Main CEA'!AS252</f>
        <v>0.061</v>
      </c>
      <c r="AT50" s="444"/>
    </row>
    <row r="51">
      <c r="A51" s="585"/>
      <c r="B51" s="81"/>
      <c r="C51" s="325"/>
      <c r="D51" s="81"/>
      <c r="E51" s="237" t="s">
        <v>853</v>
      </c>
      <c r="F51" s="195" t="s">
        <v>111</v>
      </c>
      <c r="G51" s="316" t="s">
        <v>149</v>
      </c>
      <c r="H51" s="605" t="s">
        <v>150</v>
      </c>
      <c r="I51" s="628">
        <f t="shared" ref="I51:AS51" si="11">I48*(1+$H49)*(1+I50)</f>
        <v>553.1135416</v>
      </c>
      <c r="J51" s="628">
        <f t="shared" si="11"/>
        <v>242.5034618</v>
      </c>
      <c r="K51" s="628">
        <f t="shared" si="11"/>
        <v>457.5771141</v>
      </c>
      <c r="L51" s="628">
        <f t="shared" si="11"/>
        <v>121.2632774</v>
      </c>
      <c r="M51" s="628">
        <f t="shared" si="11"/>
        <v>296.0846041</v>
      </c>
      <c r="N51" s="628">
        <f t="shared" si="11"/>
        <v>486.3912907</v>
      </c>
      <c r="O51" s="628">
        <f t="shared" si="11"/>
        <v>769.301216</v>
      </c>
      <c r="P51" s="628">
        <f t="shared" si="11"/>
        <v>1210.894075</v>
      </c>
      <c r="Q51" s="628">
        <f t="shared" si="11"/>
        <v>883.749143</v>
      </c>
      <c r="R51" s="628">
        <f t="shared" si="11"/>
        <v>29.75676351</v>
      </c>
      <c r="S51" s="628">
        <f t="shared" si="11"/>
        <v>82.72069969</v>
      </c>
      <c r="T51" s="628">
        <f t="shared" si="11"/>
        <v>31.01058129</v>
      </c>
      <c r="U51" s="628">
        <f t="shared" si="11"/>
        <v>40.95159904</v>
      </c>
      <c r="V51" s="628">
        <f t="shared" si="11"/>
        <v>62.15265424</v>
      </c>
      <c r="W51" s="628">
        <f t="shared" si="11"/>
        <v>79.38272671</v>
      </c>
      <c r="X51" s="628">
        <f t="shared" si="11"/>
        <v>189.8751091</v>
      </c>
      <c r="Y51" s="628">
        <f t="shared" si="11"/>
        <v>20.19896951</v>
      </c>
      <c r="Z51" s="628">
        <f t="shared" si="11"/>
        <v>48.81217067</v>
      </c>
      <c r="AA51" s="628">
        <f t="shared" si="11"/>
        <v>2.709296801</v>
      </c>
      <c r="AB51" s="628">
        <f t="shared" si="11"/>
        <v>24.60475069</v>
      </c>
      <c r="AC51" s="628">
        <f t="shared" si="11"/>
        <v>11.04650236</v>
      </c>
      <c r="AD51" s="628">
        <f t="shared" si="11"/>
        <v>5.103855854</v>
      </c>
      <c r="AE51" s="628">
        <f t="shared" si="11"/>
        <v>18.66341158</v>
      </c>
      <c r="AF51" s="628">
        <f t="shared" si="11"/>
        <v>10.81953117</v>
      </c>
      <c r="AG51" s="628">
        <f t="shared" si="11"/>
        <v>45.94957863</v>
      </c>
      <c r="AH51" s="628">
        <f t="shared" si="11"/>
        <v>65.19742</v>
      </c>
      <c r="AI51" s="628">
        <f t="shared" si="11"/>
        <v>9.887331576</v>
      </c>
      <c r="AJ51" s="628">
        <f t="shared" si="11"/>
        <v>92.35099501</v>
      </c>
      <c r="AK51" s="628">
        <f t="shared" si="11"/>
        <v>201.0256036</v>
      </c>
      <c r="AL51" s="628">
        <f t="shared" si="11"/>
        <v>84.0575506</v>
      </c>
      <c r="AM51" s="628">
        <f t="shared" si="11"/>
        <v>65.13540196</v>
      </c>
      <c r="AN51" s="628">
        <f t="shared" si="11"/>
        <v>13.72866939</v>
      </c>
      <c r="AO51" s="628">
        <f t="shared" si="11"/>
        <v>44.03544884</v>
      </c>
      <c r="AP51" s="628">
        <f t="shared" si="11"/>
        <v>55.24630678</v>
      </c>
      <c r="AQ51" s="628">
        <f t="shared" si="11"/>
        <v>24.33150118</v>
      </c>
      <c r="AR51" s="628">
        <f t="shared" si="11"/>
        <v>165.6056342</v>
      </c>
      <c r="AS51" s="628">
        <f t="shared" si="11"/>
        <v>156.5933655</v>
      </c>
      <c r="AT51" s="610"/>
    </row>
    <row r="52">
      <c r="A52" s="585"/>
      <c r="B52" s="81"/>
      <c r="C52" s="325"/>
      <c r="D52" s="81"/>
      <c r="E52" s="484"/>
      <c r="F52" s="108"/>
      <c r="G52" s="84"/>
      <c r="H52" s="587"/>
      <c r="I52" s="588"/>
      <c r="J52" s="588"/>
      <c r="K52" s="588"/>
      <c r="L52" s="588"/>
      <c r="M52" s="588"/>
      <c r="N52" s="588"/>
      <c r="O52" s="588"/>
      <c r="P52" s="588"/>
      <c r="Q52" s="588"/>
      <c r="R52" s="588"/>
      <c r="S52" s="588"/>
      <c r="T52" s="588"/>
      <c r="U52" s="588"/>
      <c r="V52" s="588"/>
      <c r="W52" s="588"/>
      <c r="X52" s="588"/>
      <c r="Y52" s="588"/>
      <c r="Z52" s="588"/>
      <c r="AA52" s="588"/>
      <c r="AB52" s="588"/>
      <c r="AC52" s="588"/>
      <c r="AD52" s="588"/>
      <c r="AE52" s="588"/>
      <c r="AF52" s="588"/>
      <c r="AG52" s="588"/>
      <c r="AH52" s="588"/>
      <c r="AI52" s="588"/>
      <c r="AJ52" s="588"/>
      <c r="AK52" s="588"/>
      <c r="AL52" s="588"/>
      <c r="AM52" s="588"/>
      <c r="AN52" s="588"/>
      <c r="AO52" s="588"/>
      <c r="AP52" s="588"/>
      <c r="AQ52" s="588"/>
      <c r="AR52" s="588"/>
      <c r="AS52" s="588"/>
      <c r="AT52" s="84"/>
    </row>
    <row r="53">
      <c r="A53" s="585"/>
      <c r="B53" s="81"/>
      <c r="C53" s="325" t="s">
        <v>857</v>
      </c>
      <c r="F53" s="108"/>
      <c r="G53" s="84"/>
      <c r="H53" s="587"/>
      <c r="I53" s="588"/>
      <c r="J53" s="588"/>
      <c r="K53" s="588"/>
      <c r="L53" s="588"/>
      <c r="M53" s="588"/>
      <c r="N53" s="588"/>
      <c r="O53" s="588"/>
      <c r="P53" s="588"/>
      <c r="Q53" s="588"/>
      <c r="R53" s="588"/>
      <c r="S53" s="588"/>
      <c r="T53" s="588"/>
      <c r="U53" s="588"/>
      <c r="V53" s="588"/>
      <c r="W53" s="588"/>
      <c r="X53" s="588"/>
      <c r="Y53" s="588"/>
      <c r="Z53" s="588"/>
      <c r="AA53" s="588"/>
      <c r="AB53" s="588"/>
      <c r="AC53" s="588"/>
      <c r="AD53" s="588"/>
      <c r="AE53" s="588"/>
      <c r="AF53" s="588"/>
      <c r="AG53" s="588"/>
      <c r="AH53" s="588"/>
      <c r="AI53" s="588"/>
      <c r="AJ53" s="588"/>
      <c r="AK53" s="588"/>
      <c r="AL53" s="588"/>
      <c r="AM53" s="588"/>
      <c r="AN53" s="588"/>
      <c r="AO53" s="588"/>
      <c r="AP53" s="588"/>
      <c r="AQ53" s="588"/>
      <c r="AR53" s="588"/>
      <c r="AS53" s="588"/>
      <c r="AT53" s="84"/>
    </row>
    <row r="54">
      <c r="A54" s="585"/>
      <c r="B54" s="81"/>
      <c r="C54" s="81"/>
      <c r="D54" s="81"/>
      <c r="E54" s="113" t="s">
        <v>858</v>
      </c>
      <c r="F54" s="189" t="s">
        <v>127</v>
      </c>
      <c r="G54" s="263" t="s">
        <v>203</v>
      </c>
      <c r="H54" s="629">
        <f>Inputs!H313</f>
        <v>0.005057</v>
      </c>
      <c r="I54" s="630" t="str">
        <f>Inputs!I313</f>
        <v>-</v>
      </c>
      <c r="J54" s="630" t="str">
        <f>Inputs!J313</f>
        <v>-</v>
      </c>
      <c r="K54" s="630" t="str">
        <f>Inputs!K313</f>
        <v>-</v>
      </c>
      <c r="L54" s="630" t="str">
        <f>Inputs!L313</f>
        <v>-</v>
      </c>
      <c r="M54" s="630" t="str">
        <f>Inputs!M313</f>
        <v>-</v>
      </c>
      <c r="N54" s="630" t="str">
        <f>Inputs!N313</f>
        <v>-</v>
      </c>
      <c r="O54" s="630" t="str">
        <f>Inputs!O313</f>
        <v>-</v>
      </c>
      <c r="P54" s="630" t="str">
        <f>Inputs!P313</f>
        <v>-</v>
      </c>
      <c r="Q54" s="630" t="str">
        <f>Inputs!Q313</f>
        <v>-</v>
      </c>
      <c r="R54" s="630" t="str">
        <f>Inputs!R313</f>
        <v>-</v>
      </c>
      <c r="S54" s="630" t="str">
        <f>Inputs!S313</f>
        <v>-</v>
      </c>
      <c r="T54" s="630" t="str">
        <f>Inputs!T313</f>
        <v>-</v>
      </c>
      <c r="U54" s="630" t="str">
        <f>Inputs!U313</f>
        <v>-</v>
      </c>
      <c r="V54" s="630" t="str">
        <f>Inputs!V313</f>
        <v>-</v>
      </c>
      <c r="W54" s="630" t="str">
        <f>Inputs!W313</f>
        <v>-</v>
      </c>
      <c r="X54" s="630" t="str">
        <f>Inputs!X313</f>
        <v>-</v>
      </c>
      <c r="Y54" s="630" t="str">
        <f>Inputs!Y313</f>
        <v>-</v>
      </c>
      <c r="Z54" s="630" t="str">
        <f>Inputs!Z313</f>
        <v>-</v>
      </c>
      <c r="AA54" s="630" t="str">
        <f>Inputs!AA313</f>
        <v>-</v>
      </c>
      <c r="AB54" s="630" t="str">
        <f>Inputs!AB313</f>
        <v>-</v>
      </c>
      <c r="AC54" s="630" t="str">
        <f>Inputs!AC313</f>
        <v>-</v>
      </c>
      <c r="AD54" s="630" t="str">
        <f>Inputs!AD313</f>
        <v>-</v>
      </c>
      <c r="AE54" s="630" t="str">
        <f>Inputs!AE313</f>
        <v>-</v>
      </c>
      <c r="AF54" s="630" t="str">
        <f>Inputs!AF313</f>
        <v>-</v>
      </c>
      <c r="AG54" s="630" t="str">
        <f>Inputs!AG313</f>
        <v>-</v>
      </c>
      <c r="AH54" s="630" t="str">
        <f>Inputs!AH313</f>
        <v>-</v>
      </c>
      <c r="AI54" s="630" t="str">
        <f>Inputs!AI313</f>
        <v>-</v>
      </c>
      <c r="AJ54" s="630" t="str">
        <f>Inputs!AJ313</f>
        <v>-</v>
      </c>
      <c r="AK54" s="630" t="str">
        <f>Inputs!AK313</f>
        <v>-</v>
      </c>
      <c r="AL54" s="630" t="str">
        <f>Inputs!AL313</f>
        <v>-</v>
      </c>
      <c r="AM54" s="630" t="str">
        <f>Inputs!AM313</f>
        <v>-</v>
      </c>
      <c r="AN54" s="630" t="str">
        <f>Inputs!AN313</f>
        <v>-</v>
      </c>
      <c r="AO54" s="630" t="str">
        <f>Inputs!AO313</f>
        <v>-</v>
      </c>
      <c r="AP54" s="630" t="str">
        <f>Inputs!AP313</f>
        <v>-</v>
      </c>
      <c r="AQ54" s="630" t="str">
        <f>Inputs!AQ313</f>
        <v>-</v>
      </c>
      <c r="AR54" s="630" t="str">
        <f>Inputs!AR313</f>
        <v>-</v>
      </c>
      <c r="AS54" s="630" t="str">
        <f>Inputs!AS313</f>
        <v>-</v>
      </c>
      <c r="AT54" s="443"/>
    </row>
    <row r="55">
      <c r="A55" s="585"/>
      <c r="B55" s="81"/>
      <c r="C55" s="81"/>
      <c r="D55" s="81"/>
      <c r="E55" s="224" t="s">
        <v>861</v>
      </c>
      <c r="F55" s="93" t="s">
        <v>127</v>
      </c>
      <c r="G55" s="128" t="s">
        <v>203</v>
      </c>
      <c r="H55" s="631">
        <f>Inputs!H314</f>
        <v>0.007</v>
      </c>
      <c r="I55" s="632" t="str">
        <f>Inputs!I314</f>
        <v>-</v>
      </c>
      <c r="J55" s="632" t="str">
        <f>Inputs!J314</f>
        <v>-</v>
      </c>
      <c r="K55" s="632" t="str">
        <f>Inputs!K314</f>
        <v>-</v>
      </c>
      <c r="L55" s="632" t="str">
        <f>Inputs!L314</f>
        <v>-</v>
      </c>
      <c r="M55" s="632" t="str">
        <f>Inputs!M314</f>
        <v>-</v>
      </c>
      <c r="N55" s="632" t="str">
        <f>Inputs!N314</f>
        <v>-</v>
      </c>
      <c r="O55" s="632" t="str">
        <f>Inputs!O314</f>
        <v>-</v>
      </c>
      <c r="P55" s="632" t="str">
        <f>Inputs!P314</f>
        <v>-</v>
      </c>
      <c r="Q55" s="632" t="str">
        <f>Inputs!Q314</f>
        <v>-</v>
      </c>
      <c r="R55" s="632" t="str">
        <f>Inputs!R314</f>
        <v>-</v>
      </c>
      <c r="S55" s="632" t="str">
        <f>Inputs!S314</f>
        <v>-</v>
      </c>
      <c r="T55" s="632" t="str">
        <f>Inputs!T314</f>
        <v>-</v>
      </c>
      <c r="U55" s="632" t="str">
        <f>Inputs!U314</f>
        <v>-</v>
      </c>
      <c r="V55" s="632" t="str">
        <f>Inputs!V314</f>
        <v>-</v>
      </c>
      <c r="W55" s="632" t="str">
        <f>Inputs!W314</f>
        <v>-</v>
      </c>
      <c r="X55" s="632" t="str">
        <f>Inputs!X314</f>
        <v>-</v>
      </c>
      <c r="Y55" s="632" t="str">
        <f>Inputs!Y314</f>
        <v>-</v>
      </c>
      <c r="Z55" s="632" t="str">
        <f>Inputs!Z314</f>
        <v>-</v>
      </c>
      <c r="AA55" s="632" t="str">
        <f>Inputs!AA314</f>
        <v>-</v>
      </c>
      <c r="AB55" s="632" t="str">
        <f>Inputs!AB314</f>
        <v>-</v>
      </c>
      <c r="AC55" s="632" t="str">
        <f>Inputs!AC314</f>
        <v>-</v>
      </c>
      <c r="AD55" s="632" t="str">
        <f>Inputs!AD314</f>
        <v>-</v>
      </c>
      <c r="AE55" s="632" t="str">
        <f>Inputs!AE314</f>
        <v>-</v>
      </c>
      <c r="AF55" s="632" t="str">
        <f>Inputs!AF314</f>
        <v>-</v>
      </c>
      <c r="AG55" s="632" t="str">
        <f>Inputs!AG314</f>
        <v>-</v>
      </c>
      <c r="AH55" s="632" t="str">
        <f>Inputs!AH314</f>
        <v>-</v>
      </c>
      <c r="AI55" s="632" t="str">
        <f>Inputs!AI314</f>
        <v>-</v>
      </c>
      <c r="AJ55" s="632" t="str">
        <f>Inputs!AJ314</f>
        <v>-</v>
      </c>
      <c r="AK55" s="632" t="str">
        <f>Inputs!AK314</f>
        <v>-</v>
      </c>
      <c r="AL55" s="632" t="str">
        <f>Inputs!AL314</f>
        <v>-</v>
      </c>
      <c r="AM55" s="632" t="str">
        <f>Inputs!AM314</f>
        <v>-</v>
      </c>
      <c r="AN55" s="632" t="str">
        <f>Inputs!AN314</f>
        <v>-</v>
      </c>
      <c r="AO55" s="632" t="str">
        <f>Inputs!AO314</f>
        <v>-</v>
      </c>
      <c r="AP55" s="632" t="str">
        <f>Inputs!AP314</f>
        <v>-</v>
      </c>
      <c r="AQ55" s="632" t="str">
        <f>Inputs!AQ314</f>
        <v>-</v>
      </c>
      <c r="AR55" s="632" t="str">
        <f>Inputs!AR314</f>
        <v>-</v>
      </c>
      <c r="AS55" s="632" t="str">
        <f>Inputs!AS314</f>
        <v>-</v>
      </c>
      <c r="AT55" s="336"/>
    </row>
    <row r="56">
      <c r="A56" s="585"/>
      <c r="B56" s="81"/>
      <c r="C56" s="81"/>
      <c r="D56" s="81"/>
      <c r="E56" s="484"/>
      <c r="F56" s="83"/>
      <c r="G56" s="84"/>
      <c r="H56" s="587"/>
      <c r="I56" s="588"/>
      <c r="J56" s="588"/>
      <c r="K56" s="588"/>
      <c r="L56" s="588"/>
      <c r="M56" s="588"/>
      <c r="N56" s="588"/>
      <c r="O56" s="588"/>
      <c r="P56" s="588"/>
      <c r="Q56" s="588"/>
      <c r="R56" s="588"/>
      <c r="S56" s="588"/>
      <c r="T56" s="588"/>
      <c r="U56" s="588"/>
      <c r="V56" s="588"/>
      <c r="W56" s="588"/>
      <c r="X56" s="588"/>
      <c r="Y56" s="588"/>
      <c r="Z56" s="588"/>
      <c r="AA56" s="588"/>
      <c r="AB56" s="588"/>
      <c r="AC56" s="588"/>
      <c r="AD56" s="588"/>
      <c r="AE56" s="588"/>
      <c r="AF56" s="588"/>
      <c r="AG56" s="588"/>
      <c r="AH56" s="588"/>
      <c r="AI56" s="588"/>
      <c r="AJ56" s="588"/>
      <c r="AK56" s="588"/>
      <c r="AL56" s="588"/>
      <c r="AM56" s="588"/>
      <c r="AN56" s="588"/>
      <c r="AO56" s="588"/>
      <c r="AP56" s="588"/>
      <c r="AQ56" s="588"/>
      <c r="AR56" s="588"/>
      <c r="AS56" s="588"/>
      <c r="AT56" s="84"/>
    </row>
    <row r="57">
      <c r="A57" s="72" t="s">
        <v>864</v>
      </c>
      <c r="B57" s="14"/>
      <c r="C57" s="14"/>
      <c r="D57" s="14"/>
      <c r="E57" s="14"/>
      <c r="F57" s="14"/>
      <c r="G57" s="482"/>
      <c r="H57" s="73"/>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584"/>
    </row>
    <row r="58">
      <c r="A58" s="633"/>
      <c r="B58" s="634"/>
      <c r="C58" s="635"/>
      <c r="D58" s="635"/>
      <c r="E58" s="243"/>
      <c r="F58" s="636"/>
      <c r="G58" s="637"/>
      <c r="H58" s="638"/>
      <c r="I58" s="639"/>
      <c r="J58" s="639"/>
      <c r="K58" s="639"/>
      <c r="L58" s="639"/>
      <c r="M58" s="639"/>
      <c r="N58" s="639"/>
      <c r="O58" s="639"/>
      <c r="P58" s="639"/>
      <c r="Q58" s="639"/>
      <c r="R58" s="639"/>
      <c r="S58" s="639"/>
      <c r="T58" s="639"/>
      <c r="U58" s="639"/>
      <c r="V58" s="639"/>
      <c r="W58" s="639"/>
      <c r="X58" s="639"/>
      <c r="Y58" s="639"/>
      <c r="Z58" s="639"/>
      <c r="AA58" s="639"/>
      <c r="AB58" s="639"/>
      <c r="AC58" s="639"/>
      <c r="AD58" s="639"/>
      <c r="AE58" s="639"/>
      <c r="AF58" s="639"/>
      <c r="AG58" s="639"/>
      <c r="AH58" s="639"/>
      <c r="AI58" s="639"/>
      <c r="AJ58" s="639"/>
      <c r="AK58" s="639"/>
      <c r="AL58" s="639"/>
      <c r="AM58" s="639"/>
      <c r="AN58" s="639"/>
      <c r="AO58" s="639"/>
      <c r="AP58" s="639"/>
      <c r="AQ58" s="639"/>
      <c r="AR58" s="639"/>
      <c r="AS58" s="639"/>
      <c r="AT58" s="640"/>
    </row>
    <row r="59">
      <c r="A59" s="633"/>
      <c r="B59" s="634"/>
      <c r="C59" s="325" t="s">
        <v>865</v>
      </c>
      <c r="F59" s="636"/>
      <c r="G59" s="637"/>
      <c r="H59" s="638"/>
      <c r="I59" s="639"/>
      <c r="J59" s="639"/>
      <c r="K59" s="639"/>
      <c r="L59" s="639"/>
      <c r="M59" s="639"/>
      <c r="N59" s="639"/>
      <c r="O59" s="639"/>
      <c r="P59" s="639"/>
      <c r="Q59" s="639"/>
      <c r="R59" s="639"/>
      <c r="S59" s="639"/>
      <c r="T59" s="639"/>
      <c r="U59" s="639"/>
      <c r="V59" s="639"/>
      <c r="W59" s="639"/>
      <c r="X59" s="639"/>
      <c r="Y59" s="639"/>
      <c r="Z59" s="639"/>
      <c r="AA59" s="639"/>
      <c r="AB59" s="639"/>
      <c r="AC59" s="639"/>
      <c r="AD59" s="639"/>
      <c r="AE59" s="639"/>
      <c r="AF59" s="639"/>
      <c r="AG59" s="639"/>
      <c r="AH59" s="639"/>
      <c r="AI59" s="639"/>
      <c r="AJ59" s="639"/>
      <c r="AK59" s="639"/>
      <c r="AL59" s="639"/>
      <c r="AM59" s="639"/>
      <c r="AN59" s="639"/>
      <c r="AO59" s="639"/>
      <c r="AP59" s="639"/>
      <c r="AQ59" s="639"/>
      <c r="AR59" s="639"/>
      <c r="AS59" s="639"/>
      <c r="AT59" s="640"/>
    </row>
    <row r="60">
      <c r="A60" s="633"/>
      <c r="B60" s="634"/>
      <c r="C60" s="635"/>
      <c r="D60" s="641" t="s">
        <v>866</v>
      </c>
      <c r="E60" s="70"/>
      <c r="F60" s="116"/>
      <c r="G60" s="642"/>
      <c r="H60" s="200"/>
      <c r="I60" s="432"/>
      <c r="J60" s="432"/>
      <c r="K60" s="432"/>
      <c r="L60" s="432"/>
      <c r="M60" s="432"/>
      <c r="N60" s="432"/>
      <c r="O60" s="432"/>
      <c r="P60" s="432"/>
      <c r="Q60" s="432"/>
      <c r="R60" s="432"/>
      <c r="S60" s="432"/>
      <c r="T60" s="432"/>
      <c r="U60" s="432"/>
      <c r="V60" s="432"/>
      <c r="W60" s="432"/>
      <c r="X60" s="432"/>
      <c r="Y60" s="432"/>
      <c r="Z60" s="432"/>
      <c r="AA60" s="432"/>
      <c r="AB60" s="432"/>
      <c r="AC60" s="432"/>
      <c r="AD60" s="432"/>
      <c r="AE60" s="432"/>
      <c r="AF60" s="432"/>
      <c r="AG60" s="432"/>
      <c r="AH60" s="432"/>
      <c r="AI60" s="432"/>
      <c r="AJ60" s="432"/>
      <c r="AK60" s="432"/>
      <c r="AL60" s="432"/>
      <c r="AM60" s="432"/>
      <c r="AN60" s="432"/>
      <c r="AO60" s="432"/>
      <c r="AP60" s="432"/>
      <c r="AQ60" s="432"/>
      <c r="AR60" s="432"/>
      <c r="AS60" s="432"/>
      <c r="AT60" s="643"/>
    </row>
    <row r="61">
      <c r="A61" s="633"/>
      <c r="B61" s="634"/>
      <c r="C61" s="635"/>
      <c r="D61" s="635"/>
      <c r="E61" s="113" t="s">
        <v>867</v>
      </c>
      <c r="F61" s="116" t="s">
        <v>118</v>
      </c>
      <c r="G61" s="642" t="s">
        <v>149</v>
      </c>
      <c r="H61" s="200" t="s">
        <v>150</v>
      </c>
      <c r="I61" s="432">
        <f t="shared" ref="I61:AS61" si="12">I21</f>
        <v>1000000</v>
      </c>
      <c r="J61" s="432">
        <f t="shared" si="12"/>
        <v>1000000</v>
      </c>
      <c r="K61" s="432">
        <f t="shared" si="12"/>
        <v>1000000</v>
      </c>
      <c r="L61" s="432">
        <f t="shared" si="12"/>
        <v>1000000</v>
      </c>
      <c r="M61" s="432">
        <f t="shared" si="12"/>
        <v>1000000</v>
      </c>
      <c r="N61" s="432">
        <f t="shared" si="12"/>
        <v>1000000</v>
      </c>
      <c r="O61" s="432">
        <f t="shared" si="12"/>
        <v>1000000</v>
      </c>
      <c r="P61" s="432">
        <f t="shared" si="12"/>
        <v>1000000</v>
      </c>
      <c r="Q61" s="432">
        <f t="shared" si="12"/>
        <v>1000000</v>
      </c>
      <c r="R61" s="432">
        <f t="shared" si="12"/>
        <v>1000000</v>
      </c>
      <c r="S61" s="432">
        <f t="shared" si="12"/>
        <v>1000000</v>
      </c>
      <c r="T61" s="432">
        <f t="shared" si="12"/>
        <v>1000000</v>
      </c>
      <c r="U61" s="432">
        <f t="shared" si="12"/>
        <v>1000000</v>
      </c>
      <c r="V61" s="432">
        <f t="shared" si="12"/>
        <v>1000000</v>
      </c>
      <c r="W61" s="432">
        <f t="shared" si="12"/>
        <v>1000000</v>
      </c>
      <c r="X61" s="432">
        <f t="shared" si="12"/>
        <v>1000000</v>
      </c>
      <c r="Y61" s="432">
        <f t="shared" si="12"/>
        <v>1000000</v>
      </c>
      <c r="Z61" s="432">
        <f t="shared" si="12"/>
        <v>1000000</v>
      </c>
      <c r="AA61" s="432">
        <f t="shared" si="12"/>
        <v>1000000</v>
      </c>
      <c r="AB61" s="432">
        <f t="shared" si="12"/>
        <v>1000000</v>
      </c>
      <c r="AC61" s="432">
        <f t="shared" si="12"/>
        <v>1000000</v>
      </c>
      <c r="AD61" s="432">
        <f t="shared" si="12"/>
        <v>1000000</v>
      </c>
      <c r="AE61" s="432">
        <f t="shared" si="12"/>
        <v>1000000</v>
      </c>
      <c r="AF61" s="432">
        <f t="shared" si="12"/>
        <v>1000000</v>
      </c>
      <c r="AG61" s="432">
        <f t="shared" si="12"/>
        <v>1000000</v>
      </c>
      <c r="AH61" s="432">
        <f t="shared" si="12"/>
        <v>1000000</v>
      </c>
      <c r="AI61" s="432">
        <f t="shared" si="12"/>
        <v>1000000</v>
      </c>
      <c r="AJ61" s="432">
        <f t="shared" si="12"/>
        <v>1000000</v>
      </c>
      <c r="AK61" s="432">
        <f t="shared" si="12"/>
        <v>1000000</v>
      </c>
      <c r="AL61" s="432">
        <f t="shared" si="12"/>
        <v>1000000</v>
      </c>
      <c r="AM61" s="432">
        <f t="shared" si="12"/>
        <v>1000000</v>
      </c>
      <c r="AN61" s="432">
        <f t="shared" si="12"/>
        <v>1000000</v>
      </c>
      <c r="AO61" s="432">
        <f t="shared" si="12"/>
        <v>1000000</v>
      </c>
      <c r="AP61" s="432">
        <f t="shared" si="12"/>
        <v>1000000</v>
      </c>
      <c r="AQ61" s="432">
        <f t="shared" si="12"/>
        <v>1000000</v>
      </c>
      <c r="AR61" s="432">
        <f t="shared" si="12"/>
        <v>1000000</v>
      </c>
      <c r="AS61" s="432">
        <f t="shared" si="12"/>
        <v>1000000</v>
      </c>
      <c r="AT61" s="643"/>
    </row>
    <row r="62">
      <c r="A62" s="633"/>
      <c r="B62" s="634"/>
      <c r="C62" s="635"/>
      <c r="D62" s="635"/>
      <c r="E62" s="140" t="s">
        <v>869</v>
      </c>
      <c r="F62" s="141" t="s">
        <v>127</v>
      </c>
      <c r="G62" s="644" t="s">
        <v>149</v>
      </c>
      <c r="H62" s="187" t="s">
        <v>150</v>
      </c>
      <c r="I62" s="420">
        <f t="shared" ref="I62:AS62" si="13">I61*I45</f>
        <v>92660.8489</v>
      </c>
      <c r="J62" s="420">
        <f t="shared" si="13"/>
        <v>42464.89012</v>
      </c>
      <c r="K62" s="420">
        <f t="shared" si="13"/>
        <v>77161.82896</v>
      </c>
      <c r="L62" s="420">
        <f t="shared" si="13"/>
        <v>22649.84112</v>
      </c>
      <c r="M62" s="420">
        <f t="shared" si="13"/>
        <v>52144.93323</v>
      </c>
      <c r="N62" s="420">
        <f t="shared" si="13"/>
        <v>80253.13622</v>
      </c>
      <c r="O62" s="420">
        <f t="shared" si="13"/>
        <v>124034.1062</v>
      </c>
      <c r="P62" s="420">
        <f t="shared" si="13"/>
        <v>199503.4642</v>
      </c>
      <c r="Q62" s="420">
        <f t="shared" si="13"/>
        <v>147043.5311</v>
      </c>
      <c r="R62" s="420">
        <f t="shared" si="13"/>
        <v>7238.338578</v>
      </c>
      <c r="S62" s="420">
        <f t="shared" si="13"/>
        <v>16252.05026</v>
      </c>
      <c r="T62" s="420">
        <f t="shared" si="13"/>
        <v>7125.4225</v>
      </c>
      <c r="U62" s="420">
        <f t="shared" si="13"/>
        <v>8823.694753</v>
      </c>
      <c r="V62" s="420">
        <f t="shared" si="13"/>
        <v>12192.72795</v>
      </c>
      <c r="W62" s="420">
        <f t="shared" si="13"/>
        <v>14804.64315</v>
      </c>
      <c r="X62" s="420">
        <f t="shared" si="13"/>
        <v>31426.76702</v>
      </c>
      <c r="Y62" s="420">
        <f t="shared" si="13"/>
        <v>5458.218839</v>
      </c>
      <c r="Z62" s="420">
        <f t="shared" si="13"/>
        <v>10203.10686</v>
      </c>
      <c r="AA62" s="420">
        <f t="shared" si="13"/>
        <v>2853.408002</v>
      </c>
      <c r="AB62" s="420">
        <f t="shared" si="13"/>
        <v>6438.888302</v>
      </c>
      <c r="AC62" s="420">
        <f t="shared" si="13"/>
        <v>4148.318349</v>
      </c>
      <c r="AD62" s="420">
        <f t="shared" si="13"/>
        <v>3164.501064</v>
      </c>
      <c r="AE62" s="420">
        <f t="shared" si="13"/>
        <v>5474.473949</v>
      </c>
      <c r="AF62" s="420">
        <f t="shared" si="13"/>
        <v>4047.851464</v>
      </c>
      <c r="AG62" s="420">
        <f t="shared" si="13"/>
        <v>9477.201714</v>
      </c>
      <c r="AH62" s="420">
        <f t="shared" si="13"/>
        <v>11713.71915</v>
      </c>
      <c r="AI62" s="420">
        <f t="shared" si="13"/>
        <v>3939.519224</v>
      </c>
      <c r="AJ62" s="420">
        <f t="shared" si="13"/>
        <v>17073.6899</v>
      </c>
      <c r="AK62" s="420">
        <f t="shared" si="13"/>
        <v>33991.38964</v>
      </c>
      <c r="AL62" s="420">
        <f t="shared" si="13"/>
        <v>14727.86373</v>
      </c>
      <c r="AM62" s="420">
        <f t="shared" si="13"/>
        <v>12336.06766</v>
      </c>
      <c r="AN62" s="420">
        <f t="shared" si="13"/>
        <v>4338.480125</v>
      </c>
      <c r="AO62" s="420">
        <f t="shared" si="13"/>
        <v>9040.021682</v>
      </c>
      <c r="AP62" s="420">
        <f t="shared" si="13"/>
        <v>10916.88424</v>
      </c>
      <c r="AQ62" s="420">
        <f t="shared" si="13"/>
        <v>6303.515453</v>
      </c>
      <c r="AR62" s="420">
        <f t="shared" si="13"/>
        <v>30294.60149</v>
      </c>
      <c r="AS62" s="420">
        <f t="shared" si="13"/>
        <v>26420.19859</v>
      </c>
      <c r="AT62" s="645"/>
    </row>
    <row r="63">
      <c r="A63" s="633"/>
      <c r="B63" s="634"/>
      <c r="C63" s="635"/>
      <c r="D63" s="635"/>
      <c r="E63" s="140" t="s">
        <v>870</v>
      </c>
      <c r="F63" s="141" t="s">
        <v>127</v>
      </c>
      <c r="G63" s="644" t="s">
        <v>149</v>
      </c>
      <c r="H63" s="187" t="s">
        <v>150</v>
      </c>
      <c r="I63" s="420">
        <f t="shared" ref="I63:AS63" si="14">I61*$H54</f>
        <v>5057</v>
      </c>
      <c r="J63" s="420">
        <f t="shared" si="14"/>
        <v>5057</v>
      </c>
      <c r="K63" s="420">
        <f t="shared" si="14"/>
        <v>5057</v>
      </c>
      <c r="L63" s="420">
        <f t="shared" si="14"/>
        <v>5057</v>
      </c>
      <c r="M63" s="420">
        <f t="shared" si="14"/>
        <v>5057</v>
      </c>
      <c r="N63" s="420">
        <f t="shared" si="14"/>
        <v>5057</v>
      </c>
      <c r="O63" s="420">
        <f t="shared" si="14"/>
        <v>5057</v>
      </c>
      <c r="P63" s="420">
        <f t="shared" si="14"/>
        <v>5057</v>
      </c>
      <c r="Q63" s="420">
        <f t="shared" si="14"/>
        <v>5057</v>
      </c>
      <c r="R63" s="420">
        <f t="shared" si="14"/>
        <v>5057</v>
      </c>
      <c r="S63" s="420">
        <f t="shared" si="14"/>
        <v>5057</v>
      </c>
      <c r="T63" s="420">
        <f t="shared" si="14"/>
        <v>5057</v>
      </c>
      <c r="U63" s="420">
        <f t="shared" si="14"/>
        <v>5057</v>
      </c>
      <c r="V63" s="420">
        <f t="shared" si="14"/>
        <v>5057</v>
      </c>
      <c r="W63" s="420">
        <f t="shared" si="14"/>
        <v>5057</v>
      </c>
      <c r="X63" s="420">
        <f t="shared" si="14"/>
        <v>5057</v>
      </c>
      <c r="Y63" s="420">
        <f t="shared" si="14"/>
        <v>5057</v>
      </c>
      <c r="Z63" s="420">
        <f t="shared" si="14"/>
        <v>5057</v>
      </c>
      <c r="AA63" s="420">
        <f t="shared" si="14"/>
        <v>5057</v>
      </c>
      <c r="AB63" s="420">
        <f t="shared" si="14"/>
        <v>5057</v>
      </c>
      <c r="AC63" s="420">
        <f t="shared" si="14"/>
        <v>5057</v>
      </c>
      <c r="AD63" s="420">
        <f t="shared" si="14"/>
        <v>5057</v>
      </c>
      <c r="AE63" s="420">
        <f t="shared" si="14"/>
        <v>5057</v>
      </c>
      <c r="AF63" s="420">
        <f t="shared" si="14"/>
        <v>5057</v>
      </c>
      <c r="AG63" s="420">
        <f t="shared" si="14"/>
        <v>5057</v>
      </c>
      <c r="AH63" s="420">
        <f t="shared" si="14"/>
        <v>5057</v>
      </c>
      <c r="AI63" s="420">
        <f t="shared" si="14"/>
        <v>5057</v>
      </c>
      <c r="AJ63" s="420">
        <f t="shared" si="14"/>
        <v>5057</v>
      </c>
      <c r="AK63" s="420">
        <f t="shared" si="14"/>
        <v>5057</v>
      </c>
      <c r="AL63" s="420">
        <f t="shared" si="14"/>
        <v>5057</v>
      </c>
      <c r="AM63" s="420">
        <f t="shared" si="14"/>
        <v>5057</v>
      </c>
      <c r="AN63" s="420">
        <f t="shared" si="14"/>
        <v>5057</v>
      </c>
      <c r="AO63" s="420">
        <f t="shared" si="14"/>
        <v>5057</v>
      </c>
      <c r="AP63" s="420">
        <f t="shared" si="14"/>
        <v>5057</v>
      </c>
      <c r="AQ63" s="420">
        <f t="shared" si="14"/>
        <v>5057</v>
      </c>
      <c r="AR63" s="420">
        <f t="shared" si="14"/>
        <v>5057</v>
      </c>
      <c r="AS63" s="420">
        <f t="shared" si="14"/>
        <v>5057</v>
      </c>
      <c r="AT63" s="645"/>
    </row>
    <row r="64">
      <c r="A64" s="633"/>
      <c r="B64" s="634"/>
      <c r="C64" s="635"/>
      <c r="D64" s="635"/>
      <c r="E64" s="140" t="s">
        <v>871</v>
      </c>
      <c r="F64" s="141" t="s">
        <v>127</v>
      </c>
      <c r="G64" s="644" t="s">
        <v>149</v>
      </c>
      <c r="H64" s="187" t="s">
        <v>150</v>
      </c>
      <c r="I64" s="420">
        <f t="shared" ref="I64:AS64" si="15">I62-I63</f>
        <v>87603.8489</v>
      </c>
      <c r="J64" s="420">
        <f t="shared" si="15"/>
        <v>37407.89012</v>
      </c>
      <c r="K64" s="420">
        <f t="shared" si="15"/>
        <v>72104.82896</v>
      </c>
      <c r="L64" s="420">
        <f t="shared" si="15"/>
        <v>17592.84112</v>
      </c>
      <c r="M64" s="420">
        <f t="shared" si="15"/>
        <v>47087.93323</v>
      </c>
      <c r="N64" s="420">
        <f t="shared" si="15"/>
        <v>75196.13622</v>
      </c>
      <c r="O64" s="420">
        <f t="shared" si="15"/>
        <v>118977.1062</v>
      </c>
      <c r="P64" s="420">
        <f t="shared" si="15"/>
        <v>194446.4642</v>
      </c>
      <c r="Q64" s="420">
        <f t="shared" si="15"/>
        <v>141986.5311</v>
      </c>
      <c r="R64" s="420">
        <f t="shared" si="15"/>
        <v>2181.338578</v>
      </c>
      <c r="S64" s="420">
        <f t="shared" si="15"/>
        <v>11195.05026</v>
      </c>
      <c r="T64" s="420">
        <f t="shared" si="15"/>
        <v>2068.4225</v>
      </c>
      <c r="U64" s="420">
        <f t="shared" si="15"/>
        <v>3766.694753</v>
      </c>
      <c r="V64" s="420">
        <f t="shared" si="15"/>
        <v>7135.727948</v>
      </c>
      <c r="W64" s="420">
        <f t="shared" si="15"/>
        <v>9747.643154</v>
      </c>
      <c r="X64" s="420">
        <f t="shared" si="15"/>
        <v>26369.76702</v>
      </c>
      <c r="Y64" s="420">
        <f t="shared" si="15"/>
        <v>401.2188393</v>
      </c>
      <c r="Z64" s="420">
        <f t="shared" si="15"/>
        <v>5146.10686</v>
      </c>
      <c r="AA64" s="420">
        <f t="shared" si="15"/>
        <v>-2203.591998</v>
      </c>
      <c r="AB64" s="420">
        <f t="shared" si="15"/>
        <v>1381.888302</v>
      </c>
      <c r="AC64" s="420">
        <f t="shared" si="15"/>
        <v>-908.6816506</v>
      </c>
      <c r="AD64" s="420">
        <f t="shared" si="15"/>
        <v>-1892.498936</v>
      </c>
      <c r="AE64" s="420">
        <f t="shared" si="15"/>
        <v>417.4739489</v>
      </c>
      <c r="AF64" s="420">
        <f t="shared" si="15"/>
        <v>-1009.148536</v>
      </c>
      <c r="AG64" s="420">
        <f t="shared" si="15"/>
        <v>4420.201714</v>
      </c>
      <c r="AH64" s="420">
        <f t="shared" si="15"/>
        <v>6656.719146</v>
      </c>
      <c r="AI64" s="420">
        <f t="shared" si="15"/>
        <v>-1117.480776</v>
      </c>
      <c r="AJ64" s="420">
        <f t="shared" si="15"/>
        <v>12016.6899</v>
      </c>
      <c r="AK64" s="420">
        <f t="shared" si="15"/>
        <v>28934.38964</v>
      </c>
      <c r="AL64" s="420">
        <f t="shared" si="15"/>
        <v>9670.86373</v>
      </c>
      <c r="AM64" s="420">
        <f t="shared" si="15"/>
        <v>7279.067664</v>
      </c>
      <c r="AN64" s="420">
        <f t="shared" si="15"/>
        <v>-718.5198752</v>
      </c>
      <c r="AO64" s="420">
        <f t="shared" si="15"/>
        <v>3983.021682</v>
      </c>
      <c r="AP64" s="420">
        <f t="shared" si="15"/>
        <v>5859.884241</v>
      </c>
      <c r="AQ64" s="420">
        <f t="shared" si="15"/>
        <v>1246.515453</v>
      </c>
      <c r="AR64" s="420">
        <f t="shared" si="15"/>
        <v>25237.60149</v>
      </c>
      <c r="AS64" s="420">
        <f t="shared" si="15"/>
        <v>21363.19859</v>
      </c>
      <c r="AT64" s="645"/>
    </row>
    <row r="65">
      <c r="A65" s="633"/>
      <c r="B65" s="634"/>
      <c r="C65" s="635"/>
      <c r="D65" s="635"/>
      <c r="E65" s="140" t="s">
        <v>872</v>
      </c>
      <c r="F65" s="141" t="s">
        <v>127</v>
      </c>
      <c r="G65" s="644" t="s">
        <v>149</v>
      </c>
      <c r="H65" s="187" t="s">
        <v>150</v>
      </c>
      <c r="I65" s="420">
        <f t="shared" ref="I65:AS65" si="16">-I64</f>
        <v>-87603.8489</v>
      </c>
      <c r="J65" s="420">
        <f t="shared" si="16"/>
        <v>-37407.89012</v>
      </c>
      <c r="K65" s="420">
        <f t="shared" si="16"/>
        <v>-72104.82896</v>
      </c>
      <c r="L65" s="420">
        <f t="shared" si="16"/>
        <v>-17592.84112</v>
      </c>
      <c r="M65" s="420">
        <f t="shared" si="16"/>
        <v>-47087.93323</v>
      </c>
      <c r="N65" s="420">
        <f t="shared" si="16"/>
        <v>-75196.13622</v>
      </c>
      <c r="O65" s="420">
        <f t="shared" si="16"/>
        <v>-118977.1062</v>
      </c>
      <c r="P65" s="420">
        <f t="shared" si="16"/>
        <v>-194446.4642</v>
      </c>
      <c r="Q65" s="420">
        <f t="shared" si="16"/>
        <v>-141986.5311</v>
      </c>
      <c r="R65" s="420">
        <f t="shared" si="16"/>
        <v>-2181.338578</v>
      </c>
      <c r="S65" s="420">
        <f t="shared" si="16"/>
        <v>-11195.05026</v>
      </c>
      <c r="T65" s="420">
        <f t="shared" si="16"/>
        <v>-2068.4225</v>
      </c>
      <c r="U65" s="420">
        <f t="shared" si="16"/>
        <v>-3766.694753</v>
      </c>
      <c r="V65" s="420">
        <f t="shared" si="16"/>
        <v>-7135.727948</v>
      </c>
      <c r="W65" s="420">
        <f t="shared" si="16"/>
        <v>-9747.643154</v>
      </c>
      <c r="X65" s="420">
        <f t="shared" si="16"/>
        <v>-26369.76702</v>
      </c>
      <c r="Y65" s="420">
        <f t="shared" si="16"/>
        <v>-401.2188393</v>
      </c>
      <c r="Z65" s="420">
        <f t="shared" si="16"/>
        <v>-5146.10686</v>
      </c>
      <c r="AA65" s="420">
        <f t="shared" si="16"/>
        <v>2203.591998</v>
      </c>
      <c r="AB65" s="420">
        <f t="shared" si="16"/>
        <v>-1381.888302</v>
      </c>
      <c r="AC65" s="420">
        <f t="shared" si="16"/>
        <v>908.6816506</v>
      </c>
      <c r="AD65" s="420">
        <f t="shared" si="16"/>
        <v>1892.498936</v>
      </c>
      <c r="AE65" s="420">
        <f t="shared" si="16"/>
        <v>-417.4739489</v>
      </c>
      <c r="AF65" s="420">
        <f t="shared" si="16"/>
        <v>1009.148536</v>
      </c>
      <c r="AG65" s="420">
        <f t="shared" si="16"/>
        <v>-4420.201714</v>
      </c>
      <c r="AH65" s="420">
        <f t="shared" si="16"/>
        <v>-6656.719146</v>
      </c>
      <c r="AI65" s="420">
        <f t="shared" si="16"/>
        <v>1117.480776</v>
      </c>
      <c r="AJ65" s="420">
        <f t="shared" si="16"/>
        <v>-12016.6899</v>
      </c>
      <c r="AK65" s="420">
        <f t="shared" si="16"/>
        <v>-28934.38964</v>
      </c>
      <c r="AL65" s="420">
        <f t="shared" si="16"/>
        <v>-9670.86373</v>
      </c>
      <c r="AM65" s="420">
        <f t="shared" si="16"/>
        <v>-7279.067664</v>
      </c>
      <c r="AN65" s="420">
        <f t="shared" si="16"/>
        <v>718.5198752</v>
      </c>
      <c r="AO65" s="420">
        <f t="shared" si="16"/>
        <v>-3983.021682</v>
      </c>
      <c r="AP65" s="420">
        <f t="shared" si="16"/>
        <v>-5859.884241</v>
      </c>
      <c r="AQ65" s="420">
        <f t="shared" si="16"/>
        <v>-1246.515453</v>
      </c>
      <c r="AR65" s="420">
        <f t="shared" si="16"/>
        <v>-25237.60149</v>
      </c>
      <c r="AS65" s="420">
        <f t="shared" si="16"/>
        <v>-21363.19859</v>
      </c>
      <c r="AT65" s="645"/>
    </row>
    <row r="66">
      <c r="A66" s="633"/>
      <c r="B66" s="634"/>
      <c r="C66" s="635"/>
      <c r="D66" s="635"/>
      <c r="E66" s="140" t="s">
        <v>874</v>
      </c>
      <c r="F66" s="141" t="s">
        <v>122</v>
      </c>
      <c r="G66" s="644" t="s">
        <v>71</v>
      </c>
      <c r="H66" s="217" t="str">
        <f t="shared" ref="H66:AS66" si="17">H32</f>
        <v>-</v>
      </c>
      <c r="I66" s="149">
        <f t="shared" si="17"/>
        <v>0.1</v>
      </c>
      <c r="J66" s="149">
        <f t="shared" si="17"/>
        <v>0.1</v>
      </c>
      <c r="K66" s="149">
        <f t="shared" si="17"/>
        <v>0.1</v>
      </c>
      <c r="L66" s="149">
        <f t="shared" si="17"/>
        <v>0.1</v>
      </c>
      <c r="M66" s="149">
        <f t="shared" si="17"/>
        <v>0.1</v>
      </c>
      <c r="N66" s="149">
        <f t="shared" si="17"/>
        <v>0.1</v>
      </c>
      <c r="O66" s="149">
        <f t="shared" si="17"/>
        <v>0.1</v>
      </c>
      <c r="P66" s="149">
        <f t="shared" si="17"/>
        <v>0.1</v>
      </c>
      <c r="Q66" s="149">
        <f t="shared" si="17"/>
        <v>0.1</v>
      </c>
      <c r="R66" s="149">
        <f t="shared" si="17"/>
        <v>0.1</v>
      </c>
      <c r="S66" s="149">
        <f t="shared" si="17"/>
        <v>0.1</v>
      </c>
      <c r="T66" s="149">
        <f t="shared" si="17"/>
        <v>0.1</v>
      </c>
      <c r="U66" s="149">
        <f t="shared" si="17"/>
        <v>0.1</v>
      </c>
      <c r="V66" s="149">
        <f t="shared" si="17"/>
        <v>0.1</v>
      </c>
      <c r="W66" s="149">
        <f t="shared" si="17"/>
        <v>0.1</v>
      </c>
      <c r="X66" s="149">
        <f t="shared" si="17"/>
        <v>0.1</v>
      </c>
      <c r="Y66" s="149">
        <f t="shared" si="17"/>
        <v>0.1</v>
      </c>
      <c r="Z66" s="149">
        <f t="shared" si="17"/>
        <v>0.1</v>
      </c>
      <c r="AA66" s="149">
        <f t="shared" si="17"/>
        <v>0.1</v>
      </c>
      <c r="AB66" s="149">
        <f t="shared" si="17"/>
        <v>0.1</v>
      </c>
      <c r="AC66" s="149">
        <f t="shared" si="17"/>
        <v>0.1</v>
      </c>
      <c r="AD66" s="149">
        <f t="shared" si="17"/>
        <v>0.1</v>
      </c>
      <c r="AE66" s="149">
        <f t="shared" si="17"/>
        <v>0.1</v>
      </c>
      <c r="AF66" s="149">
        <f t="shared" si="17"/>
        <v>0.1</v>
      </c>
      <c r="AG66" s="149">
        <f t="shared" si="17"/>
        <v>0.1</v>
      </c>
      <c r="AH66" s="149">
        <f t="shared" si="17"/>
        <v>0.1</v>
      </c>
      <c r="AI66" s="149">
        <f t="shared" si="17"/>
        <v>0.1</v>
      </c>
      <c r="AJ66" s="149">
        <f t="shared" si="17"/>
        <v>0.1</v>
      </c>
      <c r="AK66" s="149">
        <f t="shared" si="17"/>
        <v>0.1</v>
      </c>
      <c r="AL66" s="149">
        <f t="shared" si="17"/>
        <v>0.1</v>
      </c>
      <c r="AM66" s="149">
        <f t="shared" si="17"/>
        <v>0.1</v>
      </c>
      <c r="AN66" s="149">
        <f t="shared" si="17"/>
        <v>0.1</v>
      </c>
      <c r="AO66" s="149">
        <f t="shared" si="17"/>
        <v>0.1</v>
      </c>
      <c r="AP66" s="149">
        <f t="shared" si="17"/>
        <v>0.1</v>
      </c>
      <c r="AQ66" s="149">
        <f t="shared" si="17"/>
        <v>0.1</v>
      </c>
      <c r="AR66" s="149">
        <f t="shared" si="17"/>
        <v>0.1</v>
      </c>
      <c r="AS66" s="149">
        <f t="shared" si="17"/>
        <v>0.1</v>
      </c>
      <c r="AT66" s="645"/>
    </row>
    <row r="67">
      <c r="A67" s="633"/>
      <c r="B67" s="634"/>
      <c r="C67" s="635"/>
      <c r="D67" s="635"/>
      <c r="E67" s="237" t="s">
        <v>875</v>
      </c>
      <c r="F67" s="238" t="s">
        <v>127</v>
      </c>
      <c r="G67" s="649" t="s">
        <v>149</v>
      </c>
      <c r="H67" s="197" t="s">
        <v>150</v>
      </c>
      <c r="I67" s="397">
        <f t="shared" ref="I67:AS67" si="18">I65*I66</f>
        <v>-8760.38489</v>
      </c>
      <c r="J67" s="397">
        <f t="shared" si="18"/>
        <v>-3740.789012</v>
      </c>
      <c r="K67" s="397">
        <f t="shared" si="18"/>
        <v>-7210.482896</v>
      </c>
      <c r="L67" s="397">
        <f t="shared" si="18"/>
        <v>-1759.284112</v>
      </c>
      <c r="M67" s="397">
        <f t="shared" si="18"/>
        <v>-4708.793323</v>
      </c>
      <c r="N67" s="397">
        <f t="shared" si="18"/>
        <v>-7519.613622</v>
      </c>
      <c r="O67" s="397">
        <f t="shared" si="18"/>
        <v>-11897.71062</v>
      </c>
      <c r="P67" s="397">
        <f t="shared" si="18"/>
        <v>-19444.64642</v>
      </c>
      <c r="Q67" s="397">
        <f t="shared" si="18"/>
        <v>-14198.65311</v>
      </c>
      <c r="R67" s="397">
        <f t="shared" si="18"/>
        <v>-218.1338578</v>
      </c>
      <c r="S67" s="397">
        <f t="shared" si="18"/>
        <v>-1119.505026</v>
      </c>
      <c r="T67" s="397">
        <f t="shared" si="18"/>
        <v>-206.84225</v>
      </c>
      <c r="U67" s="397">
        <f t="shared" si="18"/>
        <v>-376.6694753</v>
      </c>
      <c r="V67" s="397">
        <f t="shared" si="18"/>
        <v>-713.5727948</v>
      </c>
      <c r="W67" s="397">
        <f t="shared" si="18"/>
        <v>-974.7643154</v>
      </c>
      <c r="X67" s="397">
        <f t="shared" si="18"/>
        <v>-2636.976702</v>
      </c>
      <c r="Y67" s="397">
        <f t="shared" si="18"/>
        <v>-40.12188393</v>
      </c>
      <c r="Z67" s="397">
        <f t="shared" si="18"/>
        <v>-514.610686</v>
      </c>
      <c r="AA67" s="397">
        <f t="shared" si="18"/>
        <v>220.3591998</v>
      </c>
      <c r="AB67" s="397">
        <f t="shared" si="18"/>
        <v>-138.1888302</v>
      </c>
      <c r="AC67" s="397">
        <f t="shared" si="18"/>
        <v>90.86816506</v>
      </c>
      <c r="AD67" s="397">
        <f t="shared" si="18"/>
        <v>189.2498936</v>
      </c>
      <c r="AE67" s="397">
        <f t="shared" si="18"/>
        <v>-41.74739489</v>
      </c>
      <c r="AF67" s="397">
        <f t="shared" si="18"/>
        <v>100.9148536</v>
      </c>
      <c r="AG67" s="397">
        <f t="shared" si="18"/>
        <v>-442.0201714</v>
      </c>
      <c r="AH67" s="397">
        <f t="shared" si="18"/>
        <v>-665.6719146</v>
      </c>
      <c r="AI67" s="397">
        <f t="shared" si="18"/>
        <v>111.7480776</v>
      </c>
      <c r="AJ67" s="397">
        <f t="shared" si="18"/>
        <v>-1201.66899</v>
      </c>
      <c r="AK67" s="397">
        <f t="shared" si="18"/>
        <v>-2893.438964</v>
      </c>
      <c r="AL67" s="397">
        <f t="shared" si="18"/>
        <v>-967.086373</v>
      </c>
      <c r="AM67" s="397">
        <f t="shared" si="18"/>
        <v>-727.9067664</v>
      </c>
      <c r="AN67" s="397">
        <f t="shared" si="18"/>
        <v>71.85198752</v>
      </c>
      <c r="AO67" s="397">
        <f t="shared" si="18"/>
        <v>-398.3021682</v>
      </c>
      <c r="AP67" s="397">
        <f t="shared" si="18"/>
        <v>-585.9884241</v>
      </c>
      <c r="AQ67" s="397">
        <f t="shared" si="18"/>
        <v>-124.6515453</v>
      </c>
      <c r="AR67" s="397">
        <f t="shared" si="18"/>
        <v>-2523.760149</v>
      </c>
      <c r="AS67" s="397">
        <f t="shared" si="18"/>
        <v>-2136.319859</v>
      </c>
      <c r="AT67" s="650"/>
    </row>
    <row r="68">
      <c r="A68" s="633"/>
      <c r="B68" s="634"/>
      <c r="C68" s="635"/>
      <c r="D68" s="635"/>
      <c r="E68" s="243"/>
      <c r="F68" s="636"/>
      <c r="G68" s="637"/>
      <c r="H68" s="638"/>
      <c r="I68" s="639"/>
      <c r="J68" s="639"/>
      <c r="K68" s="639"/>
      <c r="L68" s="639"/>
      <c r="M68" s="639"/>
      <c r="N68" s="639"/>
      <c r="O68" s="639"/>
      <c r="P68" s="639"/>
      <c r="Q68" s="639"/>
      <c r="R68" s="639"/>
      <c r="S68" s="639"/>
      <c r="T68" s="639"/>
      <c r="U68" s="639"/>
      <c r="V68" s="639"/>
      <c r="W68" s="639"/>
      <c r="X68" s="639"/>
      <c r="Y68" s="639"/>
      <c r="Z68" s="639"/>
      <c r="AA68" s="639"/>
      <c r="AB68" s="639"/>
      <c r="AC68" s="639"/>
      <c r="AD68" s="639"/>
      <c r="AE68" s="639"/>
      <c r="AF68" s="639"/>
      <c r="AG68" s="639"/>
      <c r="AH68" s="639"/>
      <c r="AI68" s="639"/>
      <c r="AJ68" s="639"/>
      <c r="AK68" s="639"/>
      <c r="AL68" s="639"/>
      <c r="AM68" s="639"/>
      <c r="AN68" s="639"/>
      <c r="AO68" s="639"/>
      <c r="AP68" s="639"/>
      <c r="AQ68" s="639"/>
      <c r="AR68" s="639"/>
      <c r="AS68" s="639"/>
      <c r="AT68" s="640"/>
    </row>
    <row r="69">
      <c r="A69" s="633"/>
      <c r="B69" s="634"/>
      <c r="C69" s="325" t="s">
        <v>876</v>
      </c>
      <c r="F69" s="636"/>
      <c r="G69" s="637"/>
      <c r="H69" s="638"/>
      <c r="I69" s="639"/>
      <c r="J69" s="639"/>
      <c r="K69" s="639"/>
      <c r="L69" s="639"/>
      <c r="M69" s="639"/>
      <c r="N69" s="639"/>
      <c r="O69" s="639"/>
      <c r="P69" s="639"/>
      <c r="Q69" s="639"/>
      <c r="R69" s="639"/>
      <c r="S69" s="639"/>
      <c r="T69" s="639"/>
      <c r="U69" s="639"/>
      <c r="V69" s="639"/>
      <c r="W69" s="639"/>
      <c r="X69" s="639"/>
      <c r="Y69" s="639"/>
      <c r="Z69" s="639"/>
      <c r="AA69" s="639"/>
      <c r="AB69" s="639"/>
      <c r="AC69" s="639"/>
      <c r="AD69" s="639"/>
      <c r="AE69" s="639"/>
      <c r="AF69" s="639"/>
      <c r="AG69" s="639"/>
      <c r="AH69" s="639"/>
      <c r="AI69" s="639"/>
      <c r="AJ69" s="639"/>
      <c r="AK69" s="639"/>
      <c r="AL69" s="639"/>
      <c r="AM69" s="639"/>
      <c r="AN69" s="639"/>
      <c r="AO69" s="639"/>
      <c r="AP69" s="639"/>
      <c r="AQ69" s="639"/>
      <c r="AR69" s="639"/>
      <c r="AS69" s="639"/>
      <c r="AT69" s="640"/>
    </row>
    <row r="70">
      <c r="A70" s="633"/>
      <c r="B70" s="634"/>
      <c r="C70" s="635"/>
      <c r="D70" s="641" t="s">
        <v>866</v>
      </c>
      <c r="E70" s="70"/>
      <c r="F70" s="116"/>
      <c r="G70" s="642"/>
      <c r="H70" s="200"/>
      <c r="I70" s="432"/>
      <c r="J70" s="432"/>
      <c r="K70" s="432"/>
      <c r="L70" s="432"/>
      <c r="M70" s="432"/>
      <c r="N70" s="432"/>
      <c r="O70" s="432"/>
      <c r="P70" s="432"/>
      <c r="Q70" s="432"/>
      <c r="R70" s="432"/>
      <c r="S70" s="432"/>
      <c r="T70" s="432"/>
      <c r="U70" s="432"/>
      <c r="V70" s="432"/>
      <c r="W70" s="432"/>
      <c r="X70" s="432"/>
      <c r="Y70" s="432"/>
      <c r="Z70" s="432"/>
      <c r="AA70" s="432"/>
      <c r="AB70" s="432"/>
      <c r="AC70" s="432"/>
      <c r="AD70" s="432"/>
      <c r="AE70" s="432"/>
      <c r="AF70" s="432"/>
      <c r="AG70" s="432"/>
      <c r="AH70" s="432"/>
      <c r="AI70" s="432"/>
      <c r="AJ70" s="432"/>
      <c r="AK70" s="432"/>
      <c r="AL70" s="432"/>
      <c r="AM70" s="432"/>
      <c r="AN70" s="432"/>
      <c r="AO70" s="432"/>
      <c r="AP70" s="432"/>
      <c r="AQ70" s="432"/>
      <c r="AR70" s="432"/>
      <c r="AS70" s="432"/>
      <c r="AT70" s="643"/>
    </row>
    <row r="71">
      <c r="A71" s="633"/>
      <c r="B71" s="634"/>
      <c r="C71" s="635"/>
      <c r="D71" s="635"/>
      <c r="E71" s="113" t="s">
        <v>877</v>
      </c>
      <c r="F71" s="116" t="s">
        <v>118</v>
      </c>
      <c r="G71" s="642" t="s">
        <v>149</v>
      </c>
      <c r="H71" s="200" t="s">
        <v>150</v>
      </c>
      <c r="I71" s="432">
        <f t="shared" ref="I71:AS71" si="19">I14</f>
        <v>414438.9046</v>
      </c>
      <c r="J71" s="432">
        <f t="shared" si="19"/>
        <v>254073.962</v>
      </c>
      <c r="K71" s="432">
        <f t="shared" si="19"/>
        <v>325774.5356</v>
      </c>
      <c r="L71" s="432">
        <f t="shared" si="19"/>
        <v>195111.9843</v>
      </c>
      <c r="M71" s="432">
        <f t="shared" si="19"/>
        <v>345883.1607</v>
      </c>
      <c r="N71" s="432">
        <f t="shared" si="19"/>
        <v>462340.1829</v>
      </c>
      <c r="O71" s="432">
        <f t="shared" si="19"/>
        <v>648274.6209</v>
      </c>
      <c r="P71" s="432">
        <f t="shared" si="19"/>
        <v>801890.7723</v>
      </c>
      <c r="Q71" s="432">
        <f t="shared" si="19"/>
        <v>512520.9605</v>
      </c>
      <c r="R71" s="432">
        <f t="shared" si="19"/>
        <v>76905.93169</v>
      </c>
      <c r="S71" s="432">
        <f t="shared" si="19"/>
        <v>97567.67699</v>
      </c>
      <c r="T71" s="432">
        <f t="shared" si="19"/>
        <v>100622.3589</v>
      </c>
      <c r="U71" s="432">
        <f t="shared" si="19"/>
        <v>125614.5164</v>
      </c>
      <c r="V71" s="432">
        <f t="shared" si="19"/>
        <v>146653.301</v>
      </c>
      <c r="W71" s="432">
        <f t="shared" si="19"/>
        <v>146306.7343</v>
      </c>
      <c r="X71" s="432">
        <f t="shared" si="19"/>
        <v>388735.9161</v>
      </c>
      <c r="Y71" s="432">
        <f t="shared" si="19"/>
        <v>49591.71025</v>
      </c>
      <c r="Z71" s="432">
        <f t="shared" si="19"/>
        <v>135494.7095</v>
      </c>
      <c r="AA71" s="432">
        <f t="shared" si="19"/>
        <v>5217.254542</v>
      </c>
      <c r="AB71" s="432">
        <f t="shared" si="19"/>
        <v>64452.30487</v>
      </c>
      <c r="AC71" s="432">
        <f t="shared" si="19"/>
        <v>34119.37532</v>
      </c>
      <c r="AD71" s="432">
        <f t="shared" si="19"/>
        <v>18584.09181</v>
      </c>
      <c r="AE71" s="432">
        <f t="shared" si="19"/>
        <v>57037.12498</v>
      </c>
      <c r="AF71" s="432">
        <f t="shared" si="19"/>
        <v>42182.71309</v>
      </c>
      <c r="AG71" s="432">
        <f t="shared" si="19"/>
        <v>125463.0359</v>
      </c>
      <c r="AH71" s="432">
        <f t="shared" si="19"/>
        <v>242004.6486</v>
      </c>
      <c r="AI71" s="432">
        <f t="shared" si="19"/>
        <v>51361.07355</v>
      </c>
      <c r="AJ71" s="432">
        <f t="shared" si="19"/>
        <v>208199.851</v>
      </c>
      <c r="AK71" s="432">
        <f t="shared" si="19"/>
        <v>322057.769</v>
      </c>
      <c r="AL71" s="432">
        <f t="shared" si="19"/>
        <v>268593.0058</v>
      </c>
      <c r="AM71" s="432">
        <f t="shared" si="19"/>
        <v>194388.1625</v>
      </c>
      <c r="AN71" s="432">
        <f t="shared" si="19"/>
        <v>70212.7235</v>
      </c>
      <c r="AO71" s="432">
        <f t="shared" si="19"/>
        <v>197873.623</v>
      </c>
      <c r="AP71" s="432">
        <f t="shared" si="19"/>
        <v>140951.4665</v>
      </c>
      <c r="AQ71" s="432">
        <f t="shared" si="19"/>
        <v>69315.41789</v>
      </c>
      <c r="AR71" s="432">
        <f t="shared" si="19"/>
        <v>195903.5802</v>
      </c>
      <c r="AS71" s="432">
        <f t="shared" si="19"/>
        <v>176505.5522</v>
      </c>
      <c r="AT71" s="643"/>
    </row>
    <row r="72">
      <c r="A72" s="633"/>
      <c r="B72" s="634"/>
      <c r="C72" s="635"/>
      <c r="D72" s="635"/>
      <c r="E72" s="140" t="s">
        <v>879</v>
      </c>
      <c r="F72" s="141" t="s">
        <v>127</v>
      </c>
      <c r="G72" s="644" t="s">
        <v>149</v>
      </c>
      <c r="H72" s="187" t="s">
        <v>150</v>
      </c>
      <c r="I72" s="420">
        <f t="shared" ref="I72:AS72" si="20">I71*$H54</f>
        <v>2095.817541</v>
      </c>
      <c r="J72" s="420">
        <f t="shared" si="20"/>
        <v>1284.852026</v>
      </c>
      <c r="K72" s="420">
        <f t="shared" si="20"/>
        <v>1647.441827</v>
      </c>
      <c r="L72" s="420">
        <f t="shared" si="20"/>
        <v>986.6813049</v>
      </c>
      <c r="M72" s="420">
        <f t="shared" si="20"/>
        <v>1749.131143</v>
      </c>
      <c r="N72" s="420">
        <f t="shared" si="20"/>
        <v>2338.054305</v>
      </c>
      <c r="O72" s="420">
        <f t="shared" si="20"/>
        <v>3278.324758</v>
      </c>
      <c r="P72" s="420">
        <f t="shared" si="20"/>
        <v>4055.161636</v>
      </c>
      <c r="Q72" s="420">
        <f t="shared" si="20"/>
        <v>2591.818497</v>
      </c>
      <c r="R72" s="420">
        <f t="shared" si="20"/>
        <v>388.9132966</v>
      </c>
      <c r="S72" s="420">
        <f t="shared" si="20"/>
        <v>493.3997425</v>
      </c>
      <c r="T72" s="420">
        <f t="shared" si="20"/>
        <v>508.8472692</v>
      </c>
      <c r="U72" s="420">
        <f t="shared" si="20"/>
        <v>635.2326093</v>
      </c>
      <c r="V72" s="420">
        <f t="shared" si="20"/>
        <v>741.625743</v>
      </c>
      <c r="W72" s="420">
        <f t="shared" si="20"/>
        <v>739.8731553</v>
      </c>
      <c r="X72" s="420">
        <f t="shared" si="20"/>
        <v>1965.837528</v>
      </c>
      <c r="Y72" s="420">
        <f t="shared" si="20"/>
        <v>250.7852787</v>
      </c>
      <c r="Z72" s="420">
        <f t="shared" si="20"/>
        <v>685.1967459</v>
      </c>
      <c r="AA72" s="420">
        <f t="shared" si="20"/>
        <v>26.38365622</v>
      </c>
      <c r="AB72" s="420">
        <f t="shared" si="20"/>
        <v>325.9353057</v>
      </c>
      <c r="AC72" s="420">
        <f t="shared" si="20"/>
        <v>172.541681</v>
      </c>
      <c r="AD72" s="420">
        <f t="shared" si="20"/>
        <v>93.97975227</v>
      </c>
      <c r="AE72" s="420">
        <f t="shared" si="20"/>
        <v>288.436741</v>
      </c>
      <c r="AF72" s="420">
        <f t="shared" si="20"/>
        <v>213.3179801</v>
      </c>
      <c r="AG72" s="420">
        <f t="shared" si="20"/>
        <v>634.4665728</v>
      </c>
      <c r="AH72" s="420">
        <f t="shared" si="20"/>
        <v>1223.817508</v>
      </c>
      <c r="AI72" s="420">
        <f t="shared" si="20"/>
        <v>259.7329489</v>
      </c>
      <c r="AJ72" s="420">
        <f t="shared" si="20"/>
        <v>1052.866647</v>
      </c>
      <c r="AK72" s="420">
        <f t="shared" si="20"/>
        <v>1628.646138</v>
      </c>
      <c r="AL72" s="420">
        <f t="shared" si="20"/>
        <v>1358.27483</v>
      </c>
      <c r="AM72" s="420">
        <f t="shared" si="20"/>
        <v>983.0209379</v>
      </c>
      <c r="AN72" s="420">
        <f t="shared" si="20"/>
        <v>355.0657427</v>
      </c>
      <c r="AO72" s="420">
        <f t="shared" si="20"/>
        <v>1000.646912</v>
      </c>
      <c r="AP72" s="420">
        <f t="shared" si="20"/>
        <v>712.7915663</v>
      </c>
      <c r="AQ72" s="420">
        <f t="shared" si="20"/>
        <v>350.5280683</v>
      </c>
      <c r="AR72" s="420">
        <f t="shared" si="20"/>
        <v>990.6844049</v>
      </c>
      <c r="AS72" s="420">
        <f t="shared" si="20"/>
        <v>892.5885775</v>
      </c>
      <c r="AT72" s="645"/>
    </row>
    <row r="73">
      <c r="A73" s="633"/>
      <c r="B73" s="634"/>
      <c r="C73" s="635"/>
      <c r="D73" s="635"/>
      <c r="E73" s="140" t="s">
        <v>880</v>
      </c>
      <c r="F73" s="141" t="s">
        <v>127</v>
      </c>
      <c r="G73" s="644" t="s">
        <v>149</v>
      </c>
      <c r="H73" s="187" t="s">
        <v>150</v>
      </c>
      <c r="I73" s="312">
        <v>0.0</v>
      </c>
      <c r="J73" s="312">
        <v>0.0</v>
      </c>
      <c r="K73" s="312">
        <v>0.0</v>
      </c>
      <c r="L73" s="312">
        <v>0.0</v>
      </c>
      <c r="M73" s="312">
        <v>0.0</v>
      </c>
      <c r="N73" s="312">
        <v>0.0</v>
      </c>
      <c r="O73" s="312">
        <v>0.0</v>
      </c>
      <c r="P73" s="312">
        <v>0.0</v>
      </c>
      <c r="Q73" s="312">
        <v>0.0</v>
      </c>
      <c r="R73" s="312">
        <v>0.0</v>
      </c>
      <c r="S73" s="312">
        <v>0.0</v>
      </c>
      <c r="T73" s="312">
        <v>0.0</v>
      </c>
      <c r="U73" s="312">
        <v>0.0</v>
      </c>
      <c r="V73" s="312">
        <v>0.0</v>
      </c>
      <c r="W73" s="312">
        <v>0.0</v>
      </c>
      <c r="X73" s="312">
        <v>0.0</v>
      </c>
      <c r="Y73" s="312">
        <v>0.0</v>
      </c>
      <c r="Z73" s="312">
        <v>0.0</v>
      </c>
      <c r="AA73" s="312">
        <v>0.0</v>
      </c>
      <c r="AB73" s="312">
        <v>0.0</v>
      </c>
      <c r="AC73" s="312">
        <v>0.0</v>
      </c>
      <c r="AD73" s="312">
        <v>0.0</v>
      </c>
      <c r="AE73" s="312">
        <v>0.0</v>
      </c>
      <c r="AF73" s="312">
        <v>0.0</v>
      </c>
      <c r="AG73" s="312">
        <v>0.0</v>
      </c>
      <c r="AH73" s="312">
        <v>0.0</v>
      </c>
      <c r="AI73" s="312">
        <v>0.0</v>
      </c>
      <c r="AJ73" s="312">
        <v>0.0</v>
      </c>
      <c r="AK73" s="312">
        <v>0.0</v>
      </c>
      <c r="AL73" s="312">
        <v>0.0</v>
      </c>
      <c r="AM73" s="312">
        <v>0.0</v>
      </c>
      <c r="AN73" s="312">
        <v>0.0</v>
      </c>
      <c r="AO73" s="312">
        <v>0.0</v>
      </c>
      <c r="AP73" s="312">
        <v>0.0</v>
      </c>
      <c r="AQ73" s="312">
        <v>0.0</v>
      </c>
      <c r="AR73" s="312">
        <v>0.0</v>
      </c>
      <c r="AS73" s="312">
        <v>0.0</v>
      </c>
      <c r="AT73" s="645"/>
    </row>
    <row r="74">
      <c r="A74" s="633"/>
      <c r="B74" s="634"/>
      <c r="C74" s="635"/>
      <c r="D74" s="635"/>
      <c r="E74" s="140" t="s">
        <v>881</v>
      </c>
      <c r="F74" s="141" t="s">
        <v>127</v>
      </c>
      <c r="G74" s="644" t="s">
        <v>149</v>
      </c>
      <c r="H74" s="187" t="s">
        <v>150</v>
      </c>
      <c r="I74" s="420">
        <f t="shared" ref="I74:AS74" si="21">I72-I73</f>
        <v>2095.817541</v>
      </c>
      <c r="J74" s="420">
        <f t="shared" si="21"/>
        <v>1284.852026</v>
      </c>
      <c r="K74" s="420">
        <f t="shared" si="21"/>
        <v>1647.441827</v>
      </c>
      <c r="L74" s="420">
        <f t="shared" si="21"/>
        <v>986.6813049</v>
      </c>
      <c r="M74" s="420">
        <f t="shared" si="21"/>
        <v>1749.131143</v>
      </c>
      <c r="N74" s="420">
        <f t="shared" si="21"/>
        <v>2338.054305</v>
      </c>
      <c r="O74" s="420">
        <f t="shared" si="21"/>
        <v>3278.324758</v>
      </c>
      <c r="P74" s="420">
        <f t="shared" si="21"/>
        <v>4055.161636</v>
      </c>
      <c r="Q74" s="420">
        <f t="shared" si="21"/>
        <v>2591.818497</v>
      </c>
      <c r="R74" s="420">
        <f t="shared" si="21"/>
        <v>388.9132966</v>
      </c>
      <c r="S74" s="420">
        <f t="shared" si="21"/>
        <v>493.3997425</v>
      </c>
      <c r="T74" s="420">
        <f t="shared" si="21"/>
        <v>508.8472692</v>
      </c>
      <c r="U74" s="420">
        <f t="shared" si="21"/>
        <v>635.2326093</v>
      </c>
      <c r="V74" s="420">
        <f t="shared" si="21"/>
        <v>741.625743</v>
      </c>
      <c r="W74" s="420">
        <f t="shared" si="21"/>
        <v>739.8731553</v>
      </c>
      <c r="X74" s="420">
        <f t="shared" si="21"/>
        <v>1965.837528</v>
      </c>
      <c r="Y74" s="420">
        <f t="shared" si="21"/>
        <v>250.7852787</v>
      </c>
      <c r="Z74" s="420">
        <f t="shared" si="21"/>
        <v>685.1967459</v>
      </c>
      <c r="AA74" s="420">
        <f t="shared" si="21"/>
        <v>26.38365622</v>
      </c>
      <c r="AB74" s="420">
        <f t="shared" si="21"/>
        <v>325.9353057</v>
      </c>
      <c r="AC74" s="420">
        <f t="shared" si="21"/>
        <v>172.541681</v>
      </c>
      <c r="AD74" s="420">
        <f t="shared" si="21"/>
        <v>93.97975227</v>
      </c>
      <c r="AE74" s="420">
        <f t="shared" si="21"/>
        <v>288.436741</v>
      </c>
      <c r="AF74" s="420">
        <f t="shared" si="21"/>
        <v>213.3179801</v>
      </c>
      <c r="AG74" s="420">
        <f t="shared" si="21"/>
        <v>634.4665728</v>
      </c>
      <c r="AH74" s="420">
        <f t="shared" si="21"/>
        <v>1223.817508</v>
      </c>
      <c r="AI74" s="420">
        <f t="shared" si="21"/>
        <v>259.7329489</v>
      </c>
      <c r="AJ74" s="420">
        <f t="shared" si="21"/>
        <v>1052.866647</v>
      </c>
      <c r="AK74" s="420">
        <f t="shared" si="21"/>
        <v>1628.646138</v>
      </c>
      <c r="AL74" s="420">
        <f t="shared" si="21"/>
        <v>1358.27483</v>
      </c>
      <c r="AM74" s="420">
        <f t="shared" si="21"/>
        <v>983.0209379</v>
      </c>
      <c r="AN74" s="420">
        <f t="shared" si="21"/>
        <v>355.0657427</v>
      </c>
      <c r="AO74" s="420">
        <f t="shared" si="21"/>
        <v>1000.646912</v>
      </c>
      <c r="AP74" s="420">
        <f t="shared" si="21"/>
        <v>712.7915663</v>
      </c>
      <c r="AQ74" s="420">
        <f t="shared" si="21"/>
        <v>350.5280683</v>
      </c>
      <c r="AR74" s="420">
        <f t="shared" si="21"/>
        <v>990.6844049</v>
      </c>
      <c r="AS74" s="420">
        <f t="shared" si="21"/>
        <v>892.5885775</v>
      </c>
      <c r="AT74" s="645"/>
    </row>
    <row r="75">
      <c r="A75" s="633"/>
      <c r="B75" s="634"/>
      <c r="C75" s="635"/>
      <c r="D75" s="641" t="s">
        <v>866</v>
      </c>
      <c r="E75" s="70"/>
      <c r="F75" s="116"/>
      <c r="G75" s="642"/>
      <c r="H75" s="200"/>
      <c r="I75" s="432"/>
      <c r="J75" s="432"/>
      <c r="K75" s="432"/>
      <c r="L75" s="432"/>
      <c r="M75" s="432"/>
      <c r="N75" s="432"/>
      <c r="O75" s="432"/>
      <c r="P75" s="432"/>
      <c r="Q75" s="432"/>
      <c r="R75" s="432"/>
      <c r="S75" s="432"/>
      <c r="T75" s="432"/>
      <c r="U75" s="432"/>
      <c r="V75" s="432"/>
      <c r="W75" s="432"/>
      <c r="X75" s="432"/>
      <c r="Y75" s="432"/>
      <c r="Z75" s="432"/>
      <c r="AA75" s="432"/>
      <c r="AB75" s="432"/>
      <c r="AC75" s="432"/>
      <c r="AD75" s="432"/>
      <c r="AE75" s="432"/>
      <c r="AF75" s="432"/>
      <c r="AG75" s="432"/>
      <c r="AH75" s="432"/>
      <c r="AI75" s="432"/>
      <c r="AJ75" s="432"/>
      <c r="AK75" s="432"/>
      <c r="AL75" s="432"/>
      <c r="AM75" s="432"/>
      <c r="AN75" s="432"/>
      <c r="AO75" s="432"/>
      <c r="AP75" s="432"/>
      <c r="AQ75" s="432"/>
      <c r="AR75" s="432"/>
      <c r="AS75" s="432"/>
      <c r="AT75" s="643"/>
    </row>
    <row r="76">
      <c r="A76" s="633"/>
      <c r="B76" s="634"/>
      <c r="C76" s="635"/>
      <c r="D76" s="635"/>
      <c r="E76" s="113" t="s">
        <v>882</v>
      </c>
      <c r="F76" s="116" t="s">
        <v>118</v>
      </c>
      <c r="G76" s="642" t="s">
        <v>149</v>
      </c>
      <c r="H76" s="200" t="s">
        <v>150</v>
      </c>
      <c r="I76" s="432">
        <f t="shared" ref="I76:AS76" si="22">I23</f>
        <v>346167.5315</v>
      </c>
      <c r="J76" s="432">
        <f t="shared" si="22"/>
        <v>212219.8357</v>
      </c>
      <c r="K76" s="432">
        <f t="shared" si="22"/>
        <v>272109.0263</v>
      </c>
      <c r="L76" s="432">
        <f t="shared" si="22"/>
        <v>162970.7859</v>
      </c>
      <c r="M76" s="432">
        <f t="shared" si="22"/>
        <v>288905.1162</v>
      </c>
      <c r="N76" s="432">
        <f t="shared" si="22"/>
        <v>386177.9337</v>
      </c>
      <c r="O76" s="432">
        <f t="shared" si="22"/>
        <v>541483.0093</v>
      </c>
      <c r="P76" s="432">
        <f t="shared" si="22"/>
        <v>669793.6562</v>
      </c>
      <c r="Q76" s="432">
        <f t="shared" si="22"/>
        <v>428092.3286</v>
      </c>
      <c r="R76" s="432">
        <f t="shared" si="22"/>
        <v>64237.0594</v>
      </c>
      <c r="S76" s="432">
        <f t="shared" si="22"/>
        <v>81495.15289</v>
      </c>
      <c r="T76" s="432">
        <f t="shared" si="22"/>
        <v>84046.63081</v>
      </c>
      <c r="U76" s="432">
        <f t="shared" si="22"/>
        <v>104921.7787</v>
      </c>
      <c r="V76" s="432">
        <f t="shared" si="22"/>
        <v>122494.8011</v>
      </c>
      <c r="W76" s="432">
        <f t="shared" si="22"/>
        <v>122205.325</v>
      </c>
      <c r="X76" s="432">
        <f t="shared" si="22"/>
        <v>324698.6492</v>
      </c>
      <c r="Y76" s="432">
        <f t="shared" si="22"/>
        <v>41422.36583</v>
      </c>
      <c r="Z76" s="432">
        <f t="shared" si="22"/>
        <v>113174.3873</v>
      </c>
      <c r="AA76" s="432">
        <f t="shared" si="22"/>
        <v>4357.805471</v>
      </c>
      <c r="AB76" s="432">
        <f t="shared" si="22"/>
        <v>53834.94413</v>
      </c>
      <c r="AC76" s="432">
        <f t="shared" si="22"/>
        <v>28498.82045</v>
      </c>
      <c r="AD76" s="432">
        <f t="shared" si="22"/>
        <v>15522.69614</v>
      </c>
      <c r="AE76" s="432">
        <f t="shared" si="22"/>
        <v>47641.28208</v>
      </c>
      <c r="AF76" s="432">
        <f t="shared" si="22"/>
        <v>35233.86801</v>
      </c>
      <c r="AG76" s="432">
        <f t="shared" si="22"/>
        <v>104795.252</v>
      </c>
      <c r="AH76" s="432">
        <f t="shared" si="22"/>
        <v>202138.7251</v>
      </c>
      <c r="AI76" s="432">
        <f t="shared" si="22"/>
        <v>42900.25827</v>
      </c>
      <c r="AJ76" s="432">
        <f t="shared" si="22"/>
        <v>173902.6614</v>
      </c>
      <c r="AK76" s="432">
        <f t="shared" si="22"/>
        <v>269004.5304</v>
      </c>
      <c r="AL76" s="432">
        <f t="shared" si="22"/>
        <v>224347.1276</v>
      </c>
      <c r="AM76" s="432">
        <f t="shared" si="22"/>
        <v>162366.2007</v>
      </c>
      <c r="AN76" s="432">
        <f t="shared" si="22"/>
        <v>58646.43715</v>
      </c>
      <c r="AO76" s="432">
        <f t="shared" si="22"/>
        <v>165277.4942</v>
      </c>
      <c r="AP76" s="432">
        <f t="shared" si="22"/>
        <v>117732.2416</v>
      </c>
      <c r="AQ76" s="432">
        <f t="shared" si="22"/>
        <v>57896.94654</v>
      </c>
      <c r="AR76" s="432">
        <f t="shared" si="22"/>
        <v>163631.9805</v>
      </c>
      <c r="AS76" s="432">
        <f t="shared" si="22"/>
        <v>147429.4296</v>
      </c>
      <c r="AT76" s="643"/>
    </row>
    <row r="77">
      <c r="A77" s="633"/>
      <c r="B77" s="634"/>
      <c r="C77" s="635"/>
      <c r="D77" s="635"/>
      <c r="E77" s="140" t="s">
        <v>883</v>
      </c>
      <c r="F77" s="141" t="s">
        <v>127</v>
      </c>
      <c r="G77" s="644" t="s">
        <v>149</v>
      </c>
      <c r="H77" s="187" t="s">
        <v>150</v>
      </c>
      <c r="I77" s="420">
        <f t="shared" ref="I77:AS77" si="23">I76*$H55</f>
        <v>2423.172721</v>
      </c>
      <c r="J77" s="420">
        <f t="shared" si="23"/>
        <v>1485.53885</v>
      </c>
      <c r="K77" s="420">
        <f t="shared" si="23"/>
        <v>1904.763184</v>
      </c>
      <c r="L77" s="420">
        <f t="shared" si="23"/>
        <v>1140.795501</v>
      </c>
      <c r="M77" s="420">
        <f t="shared" si="23"/>
        <v>2022.335814</v>
      </c>
      <c r="N77" s="420">
        <f t="shared" si="23"/>
        <v>2703.245536</v>
      </c>
      <c r="O77" s="420">
        <f t="shared" si="23"/>
        <v>3790.381065</v>
      </c>
      <c r="P77" s="420">
        <f t="shared" si="23"/>
        <v>4688.555593</v>
      </c>
      <c r="Q77" s="420">
        <f t="shared" si="23"/>
        <v>2996.6463</v>
      </c>
      <c r="R77" s="420">
        <f t="shared" si="23"/>
        <v>449.6594158</v>
      </c>
      <c r="S77" s="420">
        <f t="shared" si="23"/>
        <v>570.4660702</v>
      </c>
      <c r="T77" s="420">
        <f t="shared" si="23"/>
        <v>588.3264157</v>
      </c>
      <c r="U77" s="420">
        <f t="shared" si="23"/>
        <v>734.4524512</v>
      </c>
      <c r="V77" s="420">
        <f t="shared" si="23"/>
        <v>857.4636076</v>
      </c>
      <c r="W77" s="420">
        <f t="shared" si="23"/>
        <v>855.4372753</v>
      </c>
      <c r="X77" s="420">
        <f t="shared" si="23"/>
        <v>2272.890544</v>
      </c>
      <c r="Y77" s="420">
        <f t="shared" si="23"/>
        <v>289.9565608</v>
      </c>
      <c r="Z77" s="420">
        <f t="shared" si="23"/>
        <v>792.2207113</v>
      </c>
      <c r="AA77" s="420">
        <f t="shared" si="23"/>
        <v>30.5046383</v>
      </c>
      <c r="AB77" s="420">
        <f t="shared" si="23"/>
        <v>376.8446089</v>
      </c>
      <c r="AC77" s="420">
        <f t="shared" si="23"/>
        <v>199.4917431</v>
      </c>
      <c r="AD77" s="420">
        <f t="shared" si="23"/>
        <v>108.658873</v>
      </c>
      <c r="AE77" s="420">
        <f t="shared" si="23"/>
        <v>333.4889745</v>
      </c>
      <c r="AF77" s="420">
        <f t="shared" si="23"/>
        <v>246.6370761</v>
      </c>
      <c r="AG77" s="420">
        <f t="shared" si="23"/>
        <v>733.566764</v>
      </c>
      <c r="AH77" s="420">
        <f t="shared" si="23"/>
        <v>1414.971076</v>
      </c>
      <c r="AI77" s="420">
        <f t="shared" si="23"/>
        <v>300.3018079</v>
      </c>
      <c r="AJ77" s="420">
        <f t="shared" si="23"/>
        <v>1217.31863</v>
      </c>
      <c r="AK77" s="420">
        <f t="shared" si="23"/>
        <v>1883.031713</v>
      </c>
      <c r="AL77" s="420">
        <f t="shared" si="23"/>
        <v>1570.429893</v>
      </c>
      <c r="AM77" s="420">
        <f t="shared" si="23"/>
        <v>1136.563405</v>
      </c>
      <c r="AN77" s="420">
        <f t="shared" si="23"/>
        <v>410.5250601</v>
      </c>
      <c r="AO77" s="420">
        <f t="shared" si="23"/>
        <v>1156.942459</v>
      </c>
      <c r="AP77" s="420">
        <f t="shared" si="23"/>
        <v>824.125691</v>
      </c>
      <c r="AQ77" s="420">
        <f t="shared" si="23"/>
        <v>405.2786258</v>
      </c>
      <c r="AR77" s="420">
        <f t="shared" si="23"/>
        <v>1145.423864</v>
      </c>
      <c r="AS77" s="420">
        <f t="shared" si="23"/>
        <v>1032.006007</v>
      </c>
      <c r="AT77" s="645"/>
    </row>
    <row r="78">
      <c r="A78" s="633"/>
      <c r="B78" s="634"/>
      <c r="C78" s="635"/>
      <c r="D78" s="635"/>
      <c r="E78" s="140" t="s">
        <v>884</v>
      </c>
      <c r="F78" s="141" t="s">
        <v>127</v>
      </c>
      <c r="G78" s="644" t="s">
        <v>149</v>
      </c>
      <c r="H78" s="187" t="s">
        <v>150</v>
      </c>
      <c r="I78" s="312">
        <v>0.0</v>
      </c>
      <c r="J78" s="312">
        <v>0.0</v>
      </c>
      <c r="K78" s="312">
        <v>0.0</v>
      </c>
      <c r="L78" s="312">
        <v>0.0</v>
      </c>
      <c r="M78" s="312">
        <v>0.0</v>
      </c>
      <c r="N78" s="312">
        <v>0.0</v>
      </c>
      <c r="O78" s="312">
        <v>0.0</v>
      </c>
      <c r="P78" s="312">
        <v>0.0</v>
      </c>
      <c r="Q78" s="312">
        <v>0.0</v>
      </c>
      <c r="R78" s="312">
        <v>0.0</v>
      </c>
      <c r="S78" s="312">
        <v>0.0</v>
      </c>
      <c r="T78" s="312">
        <v>0.0</v>
      </c>
      <c r="U78" s="312">
        <v>0.0</v>
      </c>
      <c r="V78" s="312">
        <v>0.0</v>
      </c>
      <c r="W78" s="312">
        <v>0.0</v>
      </c>
      <c r="X78" s="312">
        <v>0.0</v>
      </c>
      <c r="Y78" s="312">
        <v>0.0</v>
      </c>
      <c r="Z78" s="312">
        <v>0.0</v>
      </c>
      <c r="AA78" s="312">
        <v>0.0</v>
      </c>
      <c r="AB78" s="312">
        <v>0.0</v>
      </c>
      <c r="AC78" s="312">
        <v>0.0</v>
      </c>
      <c r="AD78" s="312">
        <v>0.0</v>
      </c>
      <c r="AE78" s="312">
        <v>0.0</v>
      </c>
      <c r="AF78" s="312">
        <v>0.0</v>
      </c>
      <c r="AG78" s="312">
        <v>0.0</v>
      </c>
      <c r="AH78" s="312">
        <v>0.0</v>
      </c>
      <c r="AI78" s="312">
        <v>0.0</v>
      </c>
      <c r="AJ78" s="312">
        <v>0.0</v>
      </c>
      <c r="AK78" s="312">
        <v>0.0</v>
      </c>
      <c r="AL78" s="312">
        <v>0.0</v>
      </c>
      <c r="AM78" s="312">
        <v>0.0</v>
      </c>
      <c r="AN78" s="312">
        <v>0.0</v>
      </c>
      <c r="AO78" s="312">
        <v>0.0</v>
      </c>
      <c r="AP78" s="312">
        <v>0.0</v>
      </c>
      <c r="AQ78" s="312">
        <v>0.0</v>
      </c>
      <c r="AR78" s="312">
        <v>0.0</v>
      </c>
      <c r="AS78" s="312">
        <v>0.0</v>
      </c>
      <c r="AT78" s="645"/>
    </row>
    <row r="79">
      <c r="A79" s="633"/>
      <c r="B79" s="634"/>
      <c r="C79" s="635"/>
      <c r="D79" s="635"/>
      <c r="E79" s="140" t="s">
        <v>885</v>
      </c>
      <c r="F79" s="141" t="s">
        <v>127</v>
      </c>
      <c r="G79" s="644" t="s">
        <v>149</v>
      </c>
      <c r="H79" s="187" t="s">
        <v>150</v>
      </c>
      <c r="I79" s="420">
        <f t="shared" ref="I79:AS79" si="24">I77-I78</f>
        <v>2423.172721</v>
      </c>
      <c r="J79" s="420">
        <f t="shared" si="24"/>
        <v>1485.53885</v>
      </c>
      <c r="K79" s="420">
        <f t="shared" si="24"/>
        <v>1904.763184</v>
      </c>
      <c r="L79" s="420">
        <f t="shared" si="24"/>
        <v>1140.795501</v>
      </c>
      <c r="M79" s="420">
        <f t="shared" si="24"/>
        <v>2022.335814</v>
      </c>
      <c r="N79" s="420">
        <f t="shared" si="24"/>
        <v>2703.245536</v>
      </c>
      <c r="O79" s="420">
        <f t="shared" si="24"/>
        <v>3790.381065</v>
      </c>
      <c r="P79" s="420">
        <f t="shared" si="24"/>
        <v>4688.555593</v>
      </c>
      <c r="Q79" s="420">
        <f t="shared" si="24"/>
        <v>2996.6463</v>
      </c>
      <c r="R79" s="420">
        <f t="shared" si="24"/>
        <v>449.6594158</v>
      </c>
      <c r="S79" s="420">
        <f t="shared" si="24"/>
        <v>570.4660702</v>
      </c>
      <c r="T79" s="420">
        <f t="shared" si="24"/>
        <v>588.3264157</v>
      </c>
      <c r="U79" s="420">
        <f t="shared" si="24"/>
        <v>734.4524512</v>
      </c>
      <c r="V79" s="420">
        <f t="shared" si="24"/>
        <v>857.4636076</v>
      </c>
      <c r="W79" s="420">
        <f t="shared" si="24"/>
        <v>855.4372753</v>
      </c>
      <c r="X79" s="420">
        <f t="shared" si="24"/>
        <v>2272.890544</v>
      </c>
      <c r="Y79" s="420">
        <f t="shared" si="24"/>
        <v>289.9565608</v>
      </c>
      <c r="Z79" s="420">
        <f t="shared" si="24"/>
        <v>792.2207113</v>
      </c>
      <c r="AA79" s="420">
        <f t="shared" si="24"/>
        <v>30.5046383</v>
      </c>
      <c r="AB79" s="420">
        <f t="shared" si="24"/>
        <v>376.8446089</v>
      </c>
      <c r="AC79" s="420">
        <f t="shared" si="24"/>
        <v>199.4917431</v>
      </c>
      <c r="AD79" s="420">
        <f t="shared" si="24"/>
        <v>108.658873</v>
      </c>
      <c r="AE79" s="420">
        <f t="shared" si="24"/>
        <v>333.4889745</v>
      </c>
      <c r="AF79" s="420">
        <f t="shared" si="24"/>
        <v>246.6370761</v>
      </c>
      <c r="AG79" s="420">
        <f t="shared" si="24"/>
        <v>733.566764</v>
      </c>
      <c r="AH79" s="420">
        <f t="shared" si="24"/>
        <v>1414.971076</v>
      </c>
      <c r="AI79" s="420">
        <f t="shared" si="24"/>
        <v>300.3018079</v>
      </c>
      <c r="AJ79" s="420">
        <f t="shared" si="24"/>
        <v>1217.31863</v>
      </c>
      <c r="AK79" s="420">
        <f t="shared" si="24"/>
        <v>1883.031713</v>
      </c>
      <c r="AL79" s="420">
        <f t="shared" si="24"/>
        <v>1570.429893</v>
      </c>
      <c r="AM79" s="420">
        <f t="shared" si="24"/>
        <v>1136.563405</v>
      </c>
      <c r="AN79" s="420">
        <f t="shared" si="24"/>
        <v>410.5250601</v>
      </c>
      <c r="AO79" s="420">
        <f t="shared" si="24"/>
        <v>1156.942459</v>
      </c>
      <c r="AP79" s="420">
        <f t="shared" si="24"/>
        <v>824.125691</v>
      </c>
      <c r="AQ79" s="420">
        <f t="shared" si="24"/>
        <v>405.2786258</v>
      </c>
      <c r="AR79" s="420">
        <f t="shared" si="24"/>
        <v>1145.423864</v>
      </c>
      <c r="AS79" s="420">
        <f t="shared" si="24"/>
        <v>1032.006007</v>
      </c>
      <c r="AT79" s="645"/>
    </row>
    <row r="80">
      <c r="A80" s="633"/>
      <c r="B80" s="634"/>
      <c r="C80" s="635"/>
      <c r="D80" s="641" t="s">
        <v>888</v>
      </c>
      <c r="E80" s="70"/>
      <c r="F80" s="141"/>
      <c r="G80" s="644"/>
      <c r="H80" s="187"/>
      <c r="I80" s="420"/>
      <c r="J80" s="420"/>
      <c r="K80" s="420"/>
      <c r="L80" s="420"/>
      <c r="M80" s="420"/>
      <c r="N80" s="420"/>
      <c r="O80" s="420"/>
      <c r="P80" s="420"/>
      <c r="Q80" s="420"/>
      <c r="R80" s="420"/>
      <c r="S80" s="420"/>
      <c r="T80" s="420"/>
      <c r="U80" s="420"/>
      <c r="V80" s="420"/>
      <c r="W80" s="420"/>
      <c r="X80" s="420"/>
      <c r="Y80" s="420"/>
      <c r="Z80" s="420"/>
      <c r="AA80" s="420"/>
      <c r="AB80" s="420"/>
      <c r="AC80" s="420"/>
      <c r="AD80" s="420"/>
      <c r="AE80" s="420"/>
      <c r="AF80" s="420"/>
      <c r="AG80" s="420"/>
      <c r="AH80" s="420"/>
      <c r="AI80" s="420"/>
      <c r="AJ80" s="420"/>
      <c r="AK80" s="420"/>
      <c r="AL80" s="420"/>
      <c r="AM80" s="420"/>
      <c r="AN80" s="420"/>
      <c r="AO80" s="420"/>
      <c r="AP80" s="420"/>
      <c r="AQ80" s="420"/>
      <c r="AR80" s="420"/>
      <c r="AS80" s="420"/>
      <c r="AT80" s="645"/>
    </row>
    <row r="81">
      <c r="A81" s="633"/>
      <c r="B81" s="634"/>
      <c r="C81" s="635"/>
      <c r="D81" s="635"/>
      <c r="E81" s="140" t="s">
        <v>872</v>
      </c>
      <c r="F81" s="141" t="s">
        <v>127</v>
      </c>
      <c r="G81" s="644" t="s">
        <v>149</v>
      </c>
      <c r="H81" s="187" t="s">
        <v>150</v>
      </c>
      <c r="I81" s="420">
        <f t="shared" ref="I81:AS81" si="25">-SUM(I74,I79)</f>
        <v>-4518.990261</v>
      </c>
      <c r="J81" s="420">
        <f t="shared" si="25"/>
        <v>-2770.390876</v>
      </c>
      <c r="K81" s="420">
        <f t="shared" si="25"/>
        <v>-3552.205011</v>
      </c>
      <c r="L81" s="420">
        <f t="shared" si="25"/>
        <v>-2127.476806</v>
      </c>
      <c r="M81" s="420">
        <f t="shared" si="25"/>
        <v>-3771.466957</v>
      </c>
      <c r="N81" s="420">
        <f t="shared" si="25"/>
        <v>-5041.299841</v>
      </c>
      <c r="O81" s="420">
        <f t="shared" si="25"/>
        <v>-7068.705823</v>
      </c>
      <c r="P81" s="420">
        <f t="shared" si="25"/>
        <v>-8743.717229</v>
      </c>
      <c r="Q81" s="420">
        <f t="shared" si="25"/>
        <v>-5588.464797</v>
      </c>
      <c r="R81" s="420">
        <f t="shared" si="25"/>
        <v>-838.5727124</v>
      </c>
      <c r="S81" s="420">
        <f t="shared" si="25"/>
        <v>-1063.865813</v>
      </c>
      <c r="T81" s="420">
        <f t="shared" si="25"/>
        <v>-1097.173685</v>
      </c>
      <c r="U81" s="420">
        <f t="shared" si="25"/>
        <v>-1369.685061</v>
      </c>
      <c r="V81" s="420">
        <f t="shared" si="25"/>
        <v>-1599.089351</v>
      </c>
      <c r="W81" s="420">
        <f t="shared" si="25"/>
        <v>-1595.310431</v>
      </c>
      <c r="X81" s="420">
        <f t="shared" si="25"/>
        <v>-4238.728072</v>
      </c>
      <c r="Y81" s="420">
        <f t="shared" si="25"/>
        <v>-540.7418395</v>
      </c>
      <c r="Z81" s="420">
        <f t="shared" si="25"/>
        <v>-1477.417457</v>
      </c>
      <c r="AA81" s="420">
        <f t="shared" si="25"/>
        <v>-56.88829451</v>
      </c>
      <c r="AB81" s="420">
        <f t="shared" si="25"/>
        <v>-702.7799147</v>
      </c>
      <c r="AC81" s="420">
        <f t="shared" si="25"/>
        <v>-372.0334241</v>
      </c>
      <c r="AD81" s="420">
        <f t="shared" si="25"/>
        <v>-202.6386253</v>
      </c>
      <c r="AE81" s="420">
        <f t="shared" si="25"/>
        <v>-621.9257156</v>
      </c>
      <c r="AF81" s="420">
        <f t="shared" si="25"/>
        <v>-459.9550561</v>
      </c>
      <c r="AG81" s="420">
        <f t="shared" si="25"/>
        <v>-1368.033337</v>
      </c>
      <c r="AH81" s="420">
        <f t="shared" si="25"/>
        <v>-2638.788584</v>
      </c>
      <c r="AI81" s="420">
        <f t="shared" si="25"/>
        <v>-560.0347568</v>
      </c>
      <c r="AJ81" s="420">
        <f t="shared" si="25"/>
        <v>-2270.185276</v>
      </c>
      <c r="AK81" s="420">
        <f t="shared" si="25"/>
        <v>-3511.677851</v>
      </c>
      <c r="AL81" s="420">
        <f t="shared" si="25"/>
        <v>-2928.704723</v>
      </c>
      <c r="AM81" s="420">
        <f t="shared" si="25"/>
        <v>-2119.584343</v>
      </c>
      <c r="AN81" s="420">
        <f t="shared" si="25"/>
        <v>-765.5908028</v>
      </c>
      <c r="AO81" s="420">
        <f t="shared" si="25"/>
        <v>-2157.589371</v>
      </c>
      <c r="AP81" s="420">
        <f t="shared" si="25"/>
        <v>-1536.917257</v>
      </c>
      <c r="AQ81" s="420">
        <f t="shared" si="25"/>
        <v>-755.8066941</v>
      </c>
      <c r="AR81" s="420">
        <f t="shared" si="25"/>
        <v>-2136.108268</v>
      </c>
      <c r="AS81" s="420">
        <f t="shared" si="25"/>
        <v>-1924.594585</v>
      </c>
      <c r="AT81" s="645"/>
    </row>
    <row r="82">
      <c r="A82" s="633"/>
      <c r="B82" s="634"/>
      <c r="C82" s="635"/>
      <c r="D82" s="635"/>
      <c r="E82" s="140" t="s">
        <v>874</v>
      </c>
      <c r="F82" s="141" t="s">
        <v>122</v>
      </c>
      <c r="G82" s="644" t="s">
        <v>71</v>
      </c>
      <c r="H82" s="651" t="str">
        <f t="shared" ref="H82:AS82" si="26">H33</f>
        <v>-</v>
      </c>
      <c r="I82" s="149">
        <f t="shared" si="26"/>
        <v>0.9</v>
      </c>
      <c r="J82" s="149">
        <f t="shared" si="26"/>
        <v>0.9</v>
      </c>
      <c r="K82" s="149">
        <f t="shared" si="26"/>
        <v>0.9</v>
      </c>
      <c r="L82" s="149">
        <f t="shared" si="26"/>
        <v>0.9</v>
      </c>
      <c r="M82" s="149">
        <f t="shared" si="26"/>
        <v>0.9</v>
      </c>
      <c r="N82" s="149">
        <f t="shared" si="26"/>
        <v>0.9</v>
      </c>
      <c r="O82" s="149">
        <f t="shared" si="26"/>
        <v>0.9</v>
      </c>
      <c r="P82" s="149">
        <f t="shared" si="26"/>
        <v>0.9</v>
      </c>
      <c r="Q82" s="149">
        <f t="shared" si="26"/>
        <v>0.9</v>
      </c>
      <c r="R82" s="149">
        <f t="shared" si="26"/>
        <v>0.9</v>
      </c>
      <c r="S82" s="149">
        <f t="shared" si="26"/>
        <v>0.9</v>
      </c>
      <c r="T82" s="149">
        <f t="shared" si="26"/>
        <v>0.9</v>
      </c>
      <c r="U82" s="149">
        <f t="shared" si="26"/>
        <v>0.9</v>
      </c>
      <c r="V82" s="149">
        <f t="shared" si="26"/>
        <v>0.9</v>
      </c>
      <c r="W82" s="149">
        <f t="shared" si="26"/>
        <v>0.9</v>
      </c>
      <c r="X82" s="149">
        <f t="shared" si="26"/>
        <v>0.9</v>
      </c>
      <c r="Y82" s="149">
        <f t="shared" si="26"/>
        <v>0.9</v>
      </c>
      <c r="Z82" s="149">
        <f t="shared" si="26"/>
        <v>0.9</v>
      </c>
      <c r="AA82" s="149">
        <f t="shared" si="26"/>
        <v>0.9</v>
      </c>
      <c r="AB82" s="149">
        <f t="shared" si="26"/>
        <v>0.9</v>
      </c>
      <c r="AC82" s="149">
        <f t="shared" si="26"/>
        <v>0.9</v>
      </c>
      <c r="AD82" s="149">
        <f t="shared" si="26"/>
        <v>0.9</v>
      </c>
      <c r="AE82" s="149">
        <f t="shared" si="26"/>
        <v>0.9</v>
      </c>
      <c r="AF82" s="149">
        <f t="shared" si="26"/>
        <v>0.9</v>
      </c>
      <c r="AG82" s="149">
        <f t="shared" si="26"/>
        <v>0.9</v>
      </c>
      <c r="AH82" s="149">
        <f t="shared" si="26"/>
        <v>0.9</v>
      </c>
      <c r="AI82" s="149">
        <f t="shared" si="26"/>
        <v>0.9</v>
      </c>
      <c r="AJ82" s="149">
        <f t="shared" si="26"/>
        <v>0.9</v>
      </c>
      <c r="AK82" s="149">
        <f t="shared" si="26"/>
        <v>0.9</v>
      </c>
      <c r="AL82" s="149">
        <f t="shared" si="26"/>
        <v>0.9</v>
      </c>
      <c r="AM82" s="149">
        <f t="shared" si="26"/>
        <v>0.9</v>
      </c>
      <c r="AN82" s="149">
        <f t="shared" si="26"/>
        <v>0.9</v>
      </c>
      <c r="AO82" s="149">
        <f t="shared" si="26"/>
        <v>0.9</v>
      </c>
      <c r="AP82" s="149">
        <f t="shared" si="26"/>
        <v>0.9</v>
      </c>
      <c r="AQ82" s="149">
        <f t="shared" si="26"/>
        <v>0.9</v>
      </c>
      <c r="AR82" s="149">
        <f t="shared" si="26"/>
        <v>0.9</v>
      </c>
      <c r="AS82" s="149">
        <f t="shared" si="26"/>
        <v>0.9</v>
      </c>
      <c r="AT82" s="645"/>
    </row>
    <row r="83">
      <c r="A83" s="633"/>
      <c r="B83" s="634"/>
      <c r="C83" s="635"/>
      <c r="D83" s="635"/>
      <c r="E83" s="237" t="s">
        <v>890</v>
      </c>
      <c r="F83" s="238" t="s">
        <v>127</v>
      </c>
      <c r="G83" s="649" t="s">
        <v>149</v>
      </c>
      <c r="H83" s="197" t="s">
        <v>150</v>
      </c>
      <c r="I83" s="397">
        <f t="shared" ref="I83:AS83" si="27">I81*I82</f>
        <v>-4067.091235</v>
      </c>
      <c r="J83" s="397">
        <f t="shared" si="27"/>
        <v>-2493.351788</v>
      </c>
      <c r="K83" s="397">
        <f t="shared" si="27"/>
        <v>-3196.98451</v>
      </c>
      <c r="L83" s="397">
        <f t="shared" si="27"/>
        <v>-1914.729125</v>
      </c>
      <c r="M83" s="397">
        <f t="shared" si="27"/>
        <v>-3394.320261</v>
      </c>
      <c r="N83" s="397">
        <f t="shared" si="27"/>
        <v>-4537.169857</v>
      </c>
      <c r="O83" s="397">
        <f t="shared" si="27"/>
        <v>-6361.835241</v>
      </c>
      <c r="P83" s="397">
        <f t="shared" si="27"/>
        <v>-7869.345506</v>
      </c>
      <c r="Q83" s="397">
        <f t="shared" si="27"/>
        <v>-5029.618318</v>
      </c>
      <c r="R83" s="397">
        <f t="shared" si="27"/>
        <v>-754.7154411</v>
      </c>
      <c r="S83" s="397">
        <f t="shared" si="27"/>
        <v>-957.4792315</v>
      </c>
      <c r="T83" s="397">
        <f t="shared" si="27"/>
        <v>-987.4563164</v>
      </c>
      <c r="U83" s="397">
        <f t="shared" si="27"/>
        <v>-1232.716555</v>
      </c>
      <c r="V83" s="397">
        <f t="shared" si="27"/>
        <v>-1439.180416</v>
      </c>
      <c r="W83" s="397">
        <f t="shared" si="27"/>
        <v>-1435.779388</v>
      </c>
      <c r="X83" s="397">
        <f t="shared" si="27"/>
        <v>-3814.855265</v>
      </c>
      <c r="Y83" s="397">
        <f t="shared" si="27"/>
        <v>-486.6676556</v>
      </c>
      <c r="Z83" s="397">
        <f t="shared" si="27"/>
        <v>-1329.675711</v>
      </c>
      <c r="AA83" s="397">
        <f t="shared" si="27"/>
        <v>-51.19946506</v>
      </c>
      <c r="AB83" s="397">
        <f t="shared" si="27"/>
        <v>-632.5019232</v>
      </c>
      <c r="AC83" s="397">
        <f t="shared" si="27"/>
        <v>-334.8300817</v>
      </c>
      <c r="AD83" s="397">
        <f t="shared" si="27"/>
        <v>-182.3747627</v>
      </c>
      <c r="AE83" s="397">
        <f t="shared" si="27"/>
        <v>-559.733144</v>
      </c>
      <c r="AF83" s="397">
        <f t="shared" si="27"/>
        <v>-413.9595505</v>
      </c>
      <c r="AG83" s="397">
        <f t="shared" si="27"/>
        <v>-1231.230003</v>
      </c>
      <c r="AH83" s="397">
        <f t="shared" si="27"/>
        <v>-2374.909726</v>
      </c>
      <c r="AI83" s="397">
        <f t="shared" si="27"/>
        <v>-504.0312812</v>
      </c>
      <c r="AJ83" s="397">
        <f t="shared" si="27"/>
        <v>-2043.166749</v>
      </c>
      <c r="AK83" s="397">
        <f t="shared" si="27"/>
        <v>-3160.510066</v>
      </c>
      <c r="AL83" s="397">
        <f t="shared" si="27"/>
        <v>-2635.834251</v>
      </c>
      <c r="AM83" s="397">
        <f t="shared" si="27"/>
        <v>-1907.625909</v>
      </c>
      <c r="AN83" s="397">
        <f t="shared" si="27"/>
        <v>-689.0317225</v>
      </c>
      <c r="AO83" s="397">
        <f t="shared" si="27"/>
        <v>-1941.830434</v>
      </c>
      <c r="AP83" s="397">
        <f t="shared" si="27"/>
        <v>-1383.225532</v>
      </c>
      <c r="AQ83" s="397">
        <f t="shared" si="27"/>
        <v>-680.2260246</v>
      </c>
      <c r="AR83" s="397">
        <f t="shared" si="27"/>
        <v>-1922.497442</v>
      </c>
      <c r="AS83" s="397">
        <f t="shared" si="27"/>
        <v>-1732.135126</v>
      </c>
      <c r="AT83" s="650"/>
    </row>
    <row r="84">
      <c r="A84" s="633"/>
      <c r="B84" s="634"/>
      <c r="C84" s="635"/>
      <c r="D84" s="635"/>
      <c r="E84" s="243"/>
      <c r="F84" s="636"/>
      <c r="G84" s="637"/>
      <c r="H84" s="638"/>
      <c r="I84" s="639"/>
      <c r="J84" s="639"/>
      <c r="K84" s="639"/>
      <c r="L84" s="639"/>
      <c r="M84" s="639"/>
      <c r="N84" s="639"/>
      <c r="O84" s="639"/>
      <c r="P84" s="639"/>
      <c r="Q84" s="639"/>
      <c r="R84" s="639"/>
      <c r="S84" s="639"/>
      <c r="T84" s="639"/>
      <c r="U84" s="639"/>
      <c r="V84" s="639"/>
      <c r="W84" s="639"/>
      <c r="X84" s="639"/>
      <c r="Y84" s="639"/>
      <c r="Z84" s="639"/>
      <c r="AA84" s="639"/>
      <c r="AB84" s="639"/>
      <c r="AC84" s="639"/>
      <c r="AD84" s="639"/>
      <c r="AE84" s="639"/>
      <c r="AF84" s="639"/>
      <c r="AG84" s="639"/>
      <c r="AH84" s="639"/>
      <c r="AI84" s="639"/>
      <c r="AJ84" s="639"/>
      <c r="AK84" s="639"/>
      <c r="AL84" s="639"/>
      <c r="AM84" s="639"/>
      <c r="AN84" s="639"/>
      <c r="AO84" s="639"/>
      <c r="AP84" s="639"/>
      <c r="AQ84" s="639"/>
      <c r="AR84" s="639"/>
      <c r="AS84" s="639"/>
      <c r="AT84" s="640"/>
    </row>
    <row r="85">
      <c r="A85" s="653" t="s">
        <v>892</v>
      </c>
      <c r="B85" s="14"/>
      <c r="C85" s="14"/>
      <c r="D85" s="14"/>
      <c r="E85" s="14"/>
      <c r="F85" s="14"/>
      <c r="G85" s="482"/>
      <c r="H85" s="654"/>
      <c r="I85" s="655"/>
      <c r="J85" s="655"/>
      <c r="K85" s="655"/>
      <c r="L85" s="655"/>
      <c r="M85" s="655"/>
      <c r="N85" s="655"/>
      <c r="O85" s="655"/>
      <c r="P85" s="655"/>
      <c r="Q85" s="655"/>
      <c r="R85" s="655"/>
      <c r="S85" s="655"/>
      <c r="T85" s="655"/>
      <c r="U85" s="655"/>
      <c r="V85" s="655"/>
      <c r="W85" s="655"/>
      <c r="X85" s="655"/>
      <c r="Y85" s="655"/>
      <c r="Z85" s="655"/>
      <c r="AA85" s="655"/>
      <c r="AB85" s="655"/>
      <c r="AC85" s="655"/>
      <c r="AD85" s="655"/>
      <c r="AE85" s="655"/>
      <c r="AF85" s="655"/>
      <c r="AG85" s="655"/>
      <c r="AH85" s="655"/>
      <c r="AI85" s="655"/>
      <c r="AJ85" s="655"/>
      <c r="AK85" s="655"/>
      <c r="AL85" s="655"/>
      <c r="AM85" s="655"/>
      <c r="AN85" s="655"/>
      <c r="AO85" s="655"/>
      <c r="AP85" s="655"/>
      <c r="AQ85" s="655"/>
      <c r="AR85" s="655"/>
      <c r="AS85" s="655"/>
      <c r="AT85" s="656"/>
    </row>
    <row r="86">
      <c r="A86" s="633"/>
      <c r="B86" s="634"/>
      <c r="C86" s="325"/>
      <c r="D86" s="635"/>
      <c r="E86" s="243"/>
      <c r="F86" s="636"/>
      <c r="G86" s="637"/>
      <c r="H86" s="638"/>
      <c r="I86" s="657"/>
      <c r="J86" s="657"/>
      <c r="K86" s="657"/>
      <c r="L86" s="657"/>
      <c r="M86" s="657"/>
      <c r="N86" s="657"/>
      <c r="O86" s="657"/>
      <c r="P86" s="657"/>
      <c r="Q86" s="657"/>
      <c r="R86" s="657"/>
      <c r="S86" s="657"/>
      <c r="T86" s="657"/>
      <c r="U86" s="657"/>
      <c r="V86" s="657"/>
      <c r="W86" s="657"/>
      <c r="X86" s="657"/>
      <c r="Y86" s="657"/>
      <c r="Z86" s="657"/>
      <c r="AA86" s="657"/>
      <c r="AB86" s="657"/>
      <c r="AC86" s="657"/>
      <c r="AD86" s="657"/>
      <c r="AE86" s="657"/>
      <c r="AF86" s="657"/>
      <c r="AG86" s="657"/>
      <c r="AH86" s="657"/>
      <c r="AI86" s="657"/>
      <c r="AJ86" s="657"/>
      <c r="AK86" s="657"/>
      <c r="AL86" s="657"/>
      <c r="AM86" s="657"/>
      <c r="AN86" s="657"/>
      <c r="AO86" s="657"/>
      <c r="AP86" s="657"/>
      <c r="AQ86" s="657"/>
      <c r="AR86" s="657"/>
      <c r="AS86" s="657"/>
      <c r="AT86" s="640"/>
    </row>
    <row r="87">
      <c r="A87" s="633"/>
      <c r="B87" s="634"/>
      <c r="C87" s="325" t="s">
        <v>893</v>
      </c>
      <c r="F87" s="636"/>
      <c r="G87" s="637"/>
      <c r="H87" s="638"/>
      <c r="I87" s="639"/>
      <c r="J87" s="639"/>
      <c r="K87" s="639"/>
      <c r="L87" s="639"/>
      <c r="M87" s="639"/>
      <c r="N87" s="639"/>
      <c r="O87" s="639"/>
      <c r="P87" s="639"/>
      <c r="Q87" s="639"/>
      <c r="R87" s="639"/>
      <c r="S87" s="639"/>
      <c r="T87" s="639"/>
      <c r="U87" s="639"/>
      <c r="V87" s="639"/>
      <c r="W87" s="639"/>
      <c r="X87" s="639"/>
      <c r="Y87" s="639"/>
      <c r="Z87" s="639"/>
      <c r="AA87" s="639"/>
      <c r="AB87" s="639"/>
      <c r="AC87" s="639"/>
      <c r="AD87" s="639"/>
      <c r="AE87" s="639"/>
      <c r="AF87" s="639"/>
      <c r="AG87" s="639"/>
      <c r="AH87" s="639"/>
      <c r="AI87" s="639"/>
      <c r="AJ87" s="639"/>
      <c r="AK87" s="639"/>
      <c r="AL87" s="639"/>
      <c r="AM87" s="639"/>
      <c r="AN87" s="639"/>
      <c r="AO87" s="639"/>
      <c r="AP87" s="639"/>
      <c r="AQ87" s="639"/>
      <c r="AR87" s="639"/>
      <c r="AS87" s="639"/>
      <c r="AT87" s="640"/>
    </row>
    <row r="88">
      <c r="A88" s="633"/>
      <c r="B88" s="634"/>
      <c r="C88" s="635"/>
      <c r="D88" s="635"/>
      <c r="E88" s="113" t="s">
        <v>894</v>
      </c>
      <c r="F88" s="116" t="s">
        <v>127</v>
      </c>
      <c r="G88" s="642" t="s">
        <v>149</v>
      </c>
      <c r="H88" s="200" t="s">
        <v>150</v>
      </c>
      <c r="I88" s="418">
        <f t="shared" ref="I88:AS88" si="28">I21*I45</f>
        <v>92660.8489</v>
      </c>
      <c r="J88" s="418">
        <f t="shared" si="28"/>
        <v>42464.89012</v>
      </c>
      <c r="K88" s="418">
        <f t="shared" si="28"/>
        <v>77161.82896</v>
      </c>
      <c r="L88" s="418">
        <f t="shared" si="28"/>
        <v>22649.84112</v>
      </c>
      <c r="M88" s="418">
        <f t="shared" si="28"/>
        <v>52144.93323</v>
      </c>
      <c r="N88" s="418">
        <f t="shared" si="28"/>
        <v>80253.13622</v>
      </c>
      <c r="O88" s="418">
        <f t="shared" si="28"/>
        <v>124034.1062</v>
      </c>
      <c r="P88" s="418">
        <f t="shared" si="28"/>
        <v>199503.4642</v>
      </c>
      <c r="Q88" s="418">
        <f t="shared" si="28"/>
        <v>147043.5311</v>
      </c>
      <c r="R88" s="418">
        <f t="shared" si="28"/>
        <v>7238.338578</v>
      </c>
      <c r="S88" s="418">
        <f t="shared" si="28"/>
        <v>16252.05026</v>
      </c>
      <c r="T88" s="418">
        <f t="shared" si="28"/>
        <v>7125.4225</v>
      </c>
      <c r="U88" s="418">
        <f t="shared" si="28"/>
        <v>8823.694753</v>
      </c>
      <c r="V88" s="418">
        <f t="shared" si="28"/>
        <v>12192.72795</v>
      </c>
      <c r="W88" s="418">
        <f t="shared" si="28"/>
        <v>14804.64315</v>
      </c>
      <c r="X88" s="418">
        <f t="shared" si="28"/>
        <v>31426.76702</v>
      </c>
      <c r="Y88" s="418">
        <f t="shared" si="28"/>
        <v>5458.218839</v>
      </c>
      <c r="Z88" s="418">
        <f t="shared" si="28"/>
        <v>10203.10686</v>
      </c>
      <c r="AA88" s="418">
        <f t="shared" si="28"/>
        <v>2853.408002</v>
      </c>
      <c r="AB88" s="418">
        <f t="shared" si="28"/>
        <v>6438.888302</v>
      </c>
      <c r="AC88" s="418">
        <f t="shared" si="28"/>
        <v>4148.318349</v>
      </c>
      <c r="AD88" s="418">
        <f t="shared" si="28"/>
        <v>3164.501064</v>
      </c>
      <c r="AE88" s="418">
        <f t="shared" si="28"/>
        <v>5474.473949</v>
      </c>
      <c r="AF88" s="418">
        <f t="shared" si="28"/>
        <v>4047.851464</v>
      </c>
      <c r="AG88" s="418">
        <f t="shared" si="28"/>
        <v>9477.201714</v>
      </c>
      <c r="AH88" s="418">
        <f t="shared" si="28"/>
        <v>11713.71915</v>
      </c>
      <c r="AI88" s="418">
        <f t="shared" si="28"/>
        <v>3939.519224</v>
      </c>
      <c r="AJ88" s="418">
        <f t="shared" si="28"/>
        <v>17073.6899</v>
      </c>
      <c r="AK88" s="418">
        <f t="shared" si="28"/>
        <v>33991.38964</v>
      </c>
      <c r="AL88" s="418">
        <f t="shared" si="28"/>
        <v>14727.86373</v>
      </c>
      <c r="AM88" s="418">
        <f t="shared" si="28"/>
        <v>12336.06766</v>
      </c>
      <c r="AN88" s="418">
        <f t="shared" si="28"/>
        <v>4338.480125</v>
      </c>
      <c r="AO88" s="418">
        <f t="shared" si="28"/>
        <v>9040.021682</v>
      </c>
      <c r="AP88" s="418">
        <f t="shared" si="28"/>
        <v>10916.88424</v>
      </c>
      <c r="AQ88" s="418">
        <f t="shared" si="28"/>
        <v>6303.515453</v>
      </c>
      <c r="AR88" s="418">
        <f t="shared" si="28"/>
        <v>30294.60149</v>
      </c>
      <c r="AS88" s="418">
        <f t="shared" si="28"/>
        <v>26420.19859</v>
      </c>
      <c r="AT88" s="643"/>
    </row>
    <row r="89">
      <c r="A89" s="633"/>
      <c r="B89" s="634"/>
      <c r="C89" s="635"/>
      <c r="D89" s="635"/>
      <c r="E89" s="113" t="s">
        <v>895</v>
      </c>
      <c r="F89" s="116" t="s">
        <v>127</v>
      </c>
      <c r="G89" s="642" t="s">
        <v>149</v>
      </c>
      <c r="H89" s="200" t="s">
        <v>150</v>
      </c>
      <c r="I89" s="418">
        <f t="shared" ref="I89:AS89" si="29">I83</f>
        <v>-4067.091235</v>
      </c>
      <c r="J89" s="418">
        <f t="shared" si="29"/>
        <v>-2493.351788</v>
      </c>
      <c r="K89" s="418">
        <f t="shared" si="29"/>
        <v>-3196.98451</v>
      </c>
      <c r="L89" s="418">
        <f t="shared" si="29"/>
        <v>-1914.729125</v>
      </c>
      <c r="M89" s="418">
        <f t="shared" si="29"/>
        <v>-3394.320261</v>
      </c>
      <c r="N89" s="418">
        <f t="shared" si="29"/>
        <v>-4537.169857</v>
      </c>
      <c r="O89" s="418">
        <f t="shared" si="29"/>
        <v>-6361.835241</v>
      </c>
      <c r="P89" s="418">
        <f t="shared" si="29"/>
        <v>-7869.345506</v>
      </c>
      <c r="Q89" s="418">
        <f t="shared" si="29"/>
        <v>-5029.618318</v>
      </c>
      <c r="R89" s="418">
        <f t="shared" si="29"/>
        <v>-754.7154411</v>
      </c>
      <c r="S89" s="418">
        <f t="shared" si="29"/>
        <v>-957.4792315</v>
      </c>
      <c r="T89" s="418">
        <f t="shared" si="29"/>
        <v>-987.4563164</v>
      </c>
      <c r="U89" s="418">
        <f t="shared" si="29"/>
        <v>-1232.716555</v>
      </c>
      <c r="V89" s="418">
        <f t="shared" si="29"/>
        <v>-1439.180416</v>
      </c>
      <c r="W89" s="418">
        <f t="shared" si="29"/>
        <v>-1435.779388</v>
      </c>
      <c r="X89" s="418">
        <f t="shared" si="29"/>
        <v>-3814.855265</v>
      </c>
      <c r="Y89" s="418">
        <f t="shared" si="29"/>
        <v>-486.6676556</v>
      </c>
      <c r="Z89" s="418">
        <f t="shared" si="29"/>
        <v>-1329.675711</v>
      </c>
      <c r="AA89" s="418">
        <f t="shared" si="29"/>
        <v>-51.19946506</v>
      </c>
      <c r="AB89" s="418">
        <f t="shared" si="29"/>
        <v>-632.5019232</v>
      </c>
      <c r="AC89" s="418">
        <f t="shared" si="29"/>
        <v>-334.8300817</v>
      </c>
      <c r="AD89" s="418">
        <f t="shared" si="29"/>
        <v>-182.3747627</v>
      </c>
      <c r="AE89" s="418">
        <f t="shared" si="29"/>
        <v>-559.733144</v>
      </c>
      <c r="AF89" s="418">
        <f t="shared" si="29"/>
        <v>-413.9595505</v>
      </c>
      <c r="AG89" s="418">
        <f t="shared" si="29"/>
        <v>-1231.230003</v>
      </c>
      <c r="AH89" s="418">
        <f t="shared" si="29"/>
        <v>-2374.909726</v>
      </c>
      <c r="AI89" s="418">
        <f t="shared" si="29"/>
        <v>-504.0312812</v>
      </c>
      <c r="AJ89" s="418">
        <f t="shared" si="29"/>
        <v>-2043.166749</v>
      </c>
      <c r="AK89" s="418">
        <f t="shared" si="29"/>
        <v>-3160.510066</v>
      </c>
      <c r="AL89" s="418">
        <f t="shared" si="29"/>
        <v>-2635.834251</v>
      </c>
      <c r="AM89" s="418">
        <f t="shared" si="29"/>
        <v>-1907.625909</v>
      </c>
      <c r="AN89" s="418">
        <f t="shared" si="29"/>
        <v>-689.0317225</v>
      </c>
      <c r="AO89" s="418">
        <f t="shared" si="29"/>
        <v>-1941.830434</v>
      </c>
      <c r="AP89" s="418">
        <f t="shared" si="29"/>
        <v>-1383.225532</v>
      </c>
      <c r="AQ89" s="418">
        <f t="shared" si="29"/>
        <v>-680.2260246</v>
      </c>
      <c r="AR89" s="418">
        <f t="shared" si="29"/>
        <v>-1922.497442</v>
      </c>
      <c r="AS89" s="418">
        <f t="shared" si="29"/>
        <v>-1732.135126</v>
      </c>
      <c r="AT89" s="643"/>
    </row>
    <row r="90">
      <c r="A90" s="633"/>
      <c r="B90" s="634"/>
      <c r="C90" s="635"/>
      <c r="D90" s="635"/>
      <c r="E90" s="113" t="s">
        <v>897</v>
      </c>
      <c r="F90" s="116" t="s">
        <v>127</v>
      </c>
      <c r="G90" s="642" t="s">
        <v>149</v>
      </c>
      <c r="H90" s="200" t="s">
        <v>150</v>
      </c>
      <c r="I90" s="418">
        <f t="shared" ref="I90:AS90" si="30">I67</f>
        <v>-8760.38489</v>
      </c>
      <c r="J90" s="418">
        <f t="shared" si="30"/>
        <v>-3740.789012</v>
      </c>
      <c r="K90" s="418">
        <f t="shared" si="30"/>
        <v>-7210.482896</v>
      </c>
      <c r="L90" s="418">
        <f t="shared" si="30"/>
        <v>-1759.284112</v>
      </c>
      <c r="M90" s="418">
        <f t="shared" si="30"/>
        <v>-4708.793323</v>
      </c>
      <c r="N90" s="418">
        <f t="shared" si="30"/>
        <v>-7519.613622</v>
      </c>
      <c r="O90" s="418">
        <f t="shared" si="30"/>
        <v>-11897.71062</v>
      </c>
      <c r="P90" s="418">
        <f t="shared" si="30"/>
        <v>-19444.64642</v>
      </c>
      <c r="Q90" s="418">
        <f t="shared" si="30"/>
        <v>-14198.65311</v>
      </c>
      <c r="R90" s="418">
        <f t="shared" si="30"/>
        <v>-218.1338578</v>
      </c>
      <c r="S90" s="418">
        <f t="shared" si="30"/>
        <v>-1119.505026</v>
      </c>
      <c r="T90" s="418">
        <f t="shared" si="30"/>
        <v>-206.84225</v>
      </c>
      <c r="U90" s="418">
        <f t="shared" si="30"/>
        <v>-376.6694753</v>
      </c>
      <c r="V90" s="418">
        <f t="shared" si="30"/>
        <v>-713.5727948</v>
      </c>
      <c r="W90" s="418">
        <f t="shared" si="30"/>
        <v>-974.7643154</v>
      </c>
      <c r="X90" s="418">
        <f t="shared" si="30"/>
        <v>-2636.976702</v>
      </c>
      <c r="Y90" s="418">
        <f t="shared" si="30"/>
        <v>-40.12188393</v>
      </c>
      <c r="Z90" s="418">
        <f t="shared" si="30"/>
        <v>-514.610686</v>
      </c>
      <c r="AA90" s="418">
        <f t="shared" si="30"/>
        <v>220.3591998</v>
      </c>
      <c r="AB90" s="418">
        <f t="shared" si="30"/>
        <v>-138.1888302</v>
      </c>
      <c r="AC90" s="418">
        <f t="shared" si="30"/>
        <v>90.86816506</v>
      </c>
      <c r="AD90" s="418">
        <f t="shared" si="30"/>
        <v>189.2498936</v>
      </c>
      <c r="AE90" s="418">
        <f t="shared" si="30"/>
        <v>-41.74739489</v>
      </c>
      <c r="AF90" s="418">
        <f t="shared" si="30"/>
        <v>100.9148536</v>
      </c>
      <c r="AG90" s="418">
        <f t="shared" si="30"/>
        <v>-442.0201714</v>
      </c>
      <c r="AH90" s="418">
        <f t="shared" si="30"/>
        <v>-665.6719146</v>
      </c>
      <c r="AI90" s="418">
        <f t="shared" si="30"/>
        <v>111.7480776</v>
      </c>
      <c r="AJ90" s="418">
        <f t="shared" si="30"/>
        <v>-1201.66899</v>
      </c>
      <c r="AK90" s="418">
        <f t="shared" si="30"/>
        <v>-2893.438964</v>
      </c>
      <c r="AL90" s="418">
        <f t="shared" si="30"/>
        <v>-967.086373</v>
      </c>
      <c r="AM90" s="418">
        <f t="shared" si="30"/>
        <v>-727.9067664</v>
      </c>
      <c r="AN90" s="418">
        <f t="shared" si="30"/>
        <v>71.85198752</v>
      </c>
      <c r="AO90" s="418">
        <f t="shared" si="30"/>
        <v>-398.3021682</v>
      </c>
      <c r="AP90" s="418">
        <f t="shared" si="30"/>
        <v>-585.9884241</v>
      </c>
      <c r="AQ90" s="418">
        <f t="shared" si="30"/>
        <v>-124.6515453</v>
      </c>
      <c r="AR90" s="418">
        <f t="shared" si="30"/>
        <v>-2523.760149</v>
      </c>
      <c r="AS90" s="418">
        <f t="shared" si="30"/>
        <v>-2136.319859</v>
      </c>
      <c r="AT90" s="643"/>
    </row>
    <row r="91">
      <c r="A91" s="633"/>
      <c r="B91" s="634"/>
      <c r="C91" s="635"/>
      <c r="D91" s="635"/>
      <c r="E91" s="140" t="s">
        <v>898</v>
      </c>
      <c r="F91" s="141" t="s">
        <v>127</v>
      </c>
      <c r="G91" s="644" t="s">
        <v>149</v>
      </c>
      <c r="H91" s="187" t="s">
        <v>150</v>
      </c>
      <c r="I91" s="420">
        <f t="shared" ref="I91:AS91" si="31">SUM(I67,I83)</f>
        <v>-12827.47613</v>
      </c>
      <c r="J91" s="420">
        <f t="shared" si="31"/>
        <v>-6234.1408</v>
      </c>
      <c r="K91" s="420">
        <f t="shared" si="31"/>
        <v>-10407.46741</v>
      </c>
      <c r="L91" s="420">
        <f t="shared" si="31"/>
        <v>-3674.013237</v>
      </c>
      <c r="M91" s="420">
        <f t="shared" si="31"/>
        <v>-8103.113584</v>
      </c>
      <c r="N91" s="420">
        <f t="shared" si="31"/>
        <v>-12056.78348</v>
      </c>
      <c r="O91" s="420">
        <f t="shared" si="31"/>
        <v>-18259.54586</v>
      </c>
      <c r="P91" s="420">
        <f t="shared" si="31"/>
        <v>-27313.99193</v>
      </c>
      <c r="Q91" s="420">
        <f t="shared" si="31"/>
        <v>-19228.27143</v>
      </c>
      <c r="R91" s="420">
        <f t="shared" si="31"/>
        <v>-972.849299</v>
      </c>
      <c r="S91" s="420">
        <f t="shared" si="31"/>
        <v>-2076.984258</v>
      </c>
      <c r="T91" s="420">
        <f t="shared" si="31"/>
        <v>-1194.298566</v>
      </c>
      <c r="U91" s="420">
        <f t="shared" si="31"/>
        <v>-1609.38603</v>
      </c>
      <c r="V91" s="420">
        <f t="shared" si="31"/>
        <v>-2152.75321</v>
      </c>
      <c r="W91" s="420">
        <f t="shared" si="31"/>
        <v>-2410.543703</v>
      </c>
      <c r="X91" s="420">
        <f t="shared" si="31"/>
        <v>-6451.831967</v>
      </c>
      <c r="Y91" s="420">
        <f t="shared" si="31"/>
        <v>-526.7895395</v>
      </c>
      <c r="Z91" s="420">
        <f t="shared" si="31"/>
        <v>-1844.286397</v>
      </c>
      <c r="AA91" s="420">
        <f t="shared" si="31"/>
        <v>169.1597347</v>
      </c>
      <c r="AB91" s="420">
        <f t="shared" si="31"/>
        <v>-770.6907534</v>
      </c>
      <c r="AC91" s="420">
        <f t="shared" si="31"/>
        <v>-243.9619167</v>
      </c>
      <c r="AD91" s="420">
        <f t="shared" si="31"/>
        <v>6.875130853</v>
      </c>
      <c r="AE91" s="420">
        <f t="shared" si="31"/>
        <v>-601.4805389</v>
      </c>
      <c r="AF91" s="420">
        <f t="shared" si="31"/>
        <v>-313.0446969</v>
      </c>
      <c r="AG91" s="420">
        <f t="shared" si="31"/>
        <v>-1673.250174</v>
      </c>
      <c r="AH91" s="420">
        <f t="shared" si="31"/>
        <v>-3040.58164</v>
      </c>
      <c r="AI91" s="420">
        <f t="shared" si="31"/>
        <v>-392.2832036</v>
      </c>
      <c r="AJ91" s="420">
        <f t="shared" si="31"/>
        <v>-3244.835739</v>
      </c>
      <c r="AK91" s="420">
        <f t="shared" si="31"/>
        <v>-6053.94903</v>
      </c>
      <c r="AL91" s="420">
        <f t="shared" si="31"/>
        <v>-3602.920624</v>
      </c>
      <c r="AM91" s="420">
        <f t="shared" si="31"/>
        <v>-2635.532675</v>
      </c>
      <c r="AN91" s="420">
        <f t="shared" si="31"/>
        <v>-617.179735</v>
      </c>
      <c r="AO91" s="420">
        <f t="shared" si="31"/>
        <v>-2340.132602</v>
      </c>
      <c r="AP91" s="420">
        <f t="shared" si="31"/>
        <v>-1969.213956</v>
      </c>
      <c r="AQ91" s="420">
        <f t="shared" si="31"/>
        <v>-804.8775699</v>
      </c>
      <c r="AR91" s="420">
        <f t="shared" si="31"/>
        <v>-4446.257591</v>
      </c>
      <c r="AS91" s="420">
        <f t="shared" si="31"/>
        <v>-3868.454985</v>
      </c>
      <c r="AT91" s="645"/>
    </row>
    <row r="92">
      <c r="A92" s="633"/>
      <c r="B92" s="634"/>
      <c r="C92" s="635"/>
      <c r="D92" s="635"/>
      <c r="E92" s="224" t="s">
        <v>744</v>
      </c>
      <c r="F92" s="658" t="s">
        <v>899</v>
      </c>
      <c r="G92" s="658" t="s">
        <v>149</v>
      </c>
      <c r="H92" s="129" t="s">
        <v>150</v>
      </c>
      <c r="I92" s="659">
        <f t="shared" ref="I92:AS92" si="32">SUM(I88,I91)</f>
        <v>79833.37278</v>
      </c>
      <c r="J92" s="659">
        <f t="shared" si="32"/>
        <v>36230.74932</v>
      </c>
      <c r="K92" s="659">
        <f t="shared" si="32"/>
        <v>66754.36156</v>
      </c>
      <c r="L92" s="659">
        <f t="shared" si="32"/>
        <v>18975.82788</v>
      </c>
      <c r="M92" s="659">
        <f t="shared" si="32"/>
        <v>44041.81964</v>
      </c>
      <c r="N92" s="659">
        <f t="shared" si="32"/>
        <v>68196.35274</v>
      </c>
      <c r="O92" s="659">
        <f t="shared" si="32"/>
        <v>105774.5603</v>
      </c>
      <c r="P92" s="659">
        <f t="shared" si="32"/>
        <v>172189.4723</v>
      </c>
      <c r="Q92" s="659">
        <f t="shared" si="32"/>
        <v>127815.2597</v>
      </c>
      <c r="R92" s="659">
        <f t="shared" si="32"/>
        <v>6265.489279</v>
      </c>
      <c r="S92" s="659">
        <f t="shared" si="32"/>
        <v>14175.066</v>
      </c>
      <c r="T92" s="659">
        <f t="shared" si="32"/>
        <v>5931.123933</v>
      </c>
      <c r="U92" s="659">
        <f t="shared" si="32"/>
        <v>7214.308723</v>
      </c>
      <c r="V92" s="659">
        <f t="shared" si="32"/>
        <v>10039.97474</v>
      </c>
      <c r="W92" s="659">
        <f t="shared" si="32"/>
        <v>12394.09945</v>
      </c>
      <c r="X92" s="659">
        <f t="shared" si="32"/>
        <v>24974.93506</v>
      </c>
      <c r="Y92" s="659">
        <f t="shared" si="32"/>
        <v>4931.4293</v>
      </c>
      <c r="Z92" s="659">
        <f t="shared" si="32"/>
        <v>8358.820463</v>
      </c>
      <c r="AA92" s="659">
        <f t="shared" si="32"/>
        <v>3022.567737</v>
      </c>
      <c r="AB92" s="659">
        <f t="shared" si="32"/>
        <v>5668.197548</v>
      </c>
      <c r="AC92" s="659">
        <f t="shared" si="32"/>
        <v>3904.356433</v>
      </c>
      <c r="AD92" s="659">
        <f t="shared" si="32"/>
        <v>3171.376195</v>
      </c>
      <c r="AE92" s="659">
        <f t="shared" si="32"/>
        <v>4872.99341</v>
      </c>
      <c r="AF92" s="659">
        <f t="shared" si="32"/>
        <v>3734.806767</v>
      </c>
      <c r="AG92" s="659">
        <f t="shared" si="32"/>
        <v>7803.951539</v>
      </c>
      <c r="AH92" s="659">
        <f t="shared" si="32"/>
        <v>8673.137506</v>
      </c>
      <c r="AI92" s="659">
        <f t="shared" si="32"/>
        <v>3547.236021</v>
      </c>
      <c r="AJ92" s="659">
        <f t="shared" si="32"/>
        <v>13828.85417</v>
      </c>
      <c r="AK92" s="659">
        <f t="shared" si="32"/>
        <v>27937.44061</v>
      </c>
      <c r="AL92" s="659">
        <f t="shared" si="32"/>
        <v>11124.94311</v>
      </c>
      <c r="AM92" s="659">
        <f t="shared" si="32"/>
        <v>9700.534989</v>
      </c>
      <c r="AN92" s="659">
        <f t="shared" si="32"/>
        <v>3721.30039</v>
      </c>
      <c r="AO92" s="659">
        <f t="shared" si="32"/>
        <v>6699.88908</v>
      </c>
      <c r="AP92" s="659">
        <f t="shared" si="32"/>
        <v>8947.670285</v>
      </c>
      <c r="AQ92" s="659">
        <f t="shared" si="32"/>
        <v>5498.637883</v>
      </c>
      <c r="AR92" s="659">
        <f t="shared" si="32"/>
        <v>25848.3439</v>
      </c>
      <c r="AS92" s="659">
        <f t="shared" si="32"/>
        <v>22551.7436</v>
      </c>
      <c r="AT92" s="665"/>
    </row>
    <row r="93">
      <c r="A93" s="633"/>
      <c r="B93" s="634"/>
      <c r="C93" s="635"/>
      <c r="D93" s="635"/>
      <c r="E93" s="243"/>
      <c r="F93" s="636"/>
      <c r="G93" s="636"/>
      <c r="H93" s="110"/>
      <c r="I93" s="111"/>
      <c r="J93" s="111"/>
      <c r="K93" s="111"/>
      <c r="L93" s="111"/>
      <c r="M93" s="111"/>
      <c r="N93" s="111"/>
      <c r="O93" s="111"/>
      <c r="P93" s="111"/>
      <c r="Q93" s="111"/>
      <c r="R93" s="111"/>
      <c r="S93" s="111"/>
      <c r="T93" s="111"/>
      <c r="U93" s="111"/>
      <c r="V93" s="111"/>
      <c r="W93" s="111"/>
      <c r="X93" s="111"/>
      <c r="Y93" s="111"/>
      <c r="Z93" s="111"/>
      <c r="AA93" s="111"/>
      <c r="AB93" s="111"/>
      <c r="AC93" s="111"/>
      <c r="AD93" s="111"/>
      <c r="AE93" s="111"/>
      <c r="AF93" s="111"/>
      <c r="AG93" s="111"/>
      <c r="AH93" s="111"/>
      <c r="AI93" s="111"/>
      <c r="AJ93" s="111"/>
      <c r="AK93" s="111"/>
      <c r="AL93" s="111"/>
      <c r="AM93" s="111"/>
      <c r="AN93" s="111"/>
      <c r="AO93" s="111"/>
      <c r="AP93" s="111"/>
      <c r="AQ93" s="111"/>
      <c r="AR93" s="111"/>
      <c r="AS93" s="111"/>
      <c r="AT93" s="640"/>
    </row>
    <row r="94">
      <c r="A94" s="633"/>
      <c r="B94" s="634"/>
      <c r="C94" s="325" t="s">
        <v>892</v>
      </c>
      <c r="F94" s="636"/>
      <c r="G94" s="636"/>
      <c r="H94" s="110"/>
      <c r="AT94" s="669"/>
    </row>
    <row r="95">
      <c r="A95" s="633"/>
      <c r="B95" s="634"/>
      <c r="C95" s="635"/>
      <c r="D95" s="635"/>
      <c r="E95" s="113" t="s">
        <v>732</v>
      </c>
      <c r="F95" s="116" t="s">
        <v>122</v>
      </c>
      <c r="G95" s="642" t="s">
        <v>149</v>
      </c>
      <c r="H95" s="200" t="s">
        <v>150</v>
      </c>
      <c r="I95" s="119">
        <f t="shared" ref="I95:AS95" si="33">I89/I88</f>
        <v>-0.04389222939</v>
      </c>
      <c r="J95" s="119">
        <f t="shared" si="33"/>
        <v>-0.05871560674</v>
      </c>
      <c r="K95" s="119">
        <f t="shared" si="33"/>
        <v>-0.04143220233</v>
      </c>
      <c r="L95" s="119">
        <f t="shared" si="33"/>
        <v>-0.08453609522</v>
      </c>
      <c r="M95" s="119">
        <f t="shared" si="33"/>
        <v>-0.06509396122</v>
      </c>
      <c r="N95" s="119">
        <f t="shared" si="33"/>
        <v>-0.05653573269</v>
      </c>
      <c r="O95" s="119">
        <f t="shared" si="33"/>
        <v>-0.05129101533</v>
      </c>
      <c r="P95" s="119">
        <f t="shared" si="33"/>
        <v>-0.03944465594</v>
      </c>
      <c r="Q95" s="119">
        <f t="shared" si="33"/>
        <v>-0.03420496148</v>
      </c>
      <c r="R95" s="119">
        <f t="shared" si="33"/>
        <v>-0.1042663911</v>
      </c>
      <c r="S95" s="119">
        <f t="shared" si="33"/>
        <v>-0.05891436564</v>
      </c>
      <c r="T95" s="119">
        <f t="shared" si="33"/>
        <v>-0.1385821425</v>
      </c>
      <c r="U95" s="119">
        <f t="shared" si="33"/>
        <v>-0.1397052583</v>
      </c>
      <c r="V95" s="119">
        <f t="shared" si="33"/>
        <v>-0.1180359655</v>
      </c>
      <c r="W95" s="119">
        <f t="shared" si="33"/>
        <v>-0.09698169505</v>
      </c>
      <c r="X95" s="119">
        <f t="shared" si="33"/>
        <v>-0.1213887277</v>
      </c>
      <c r="Y95" s="119">
        <f t="shared" si="33"/>
        <v>-0.08916235679</v>
      </c>
      <c r="Z95" s="119">
        <f t="shared" si="33"/>
        <v>-0.130320669</v>
      </c>
      <c r="AA95" s="119">
        <f t="shared" si="33"/>
        <v>-0.0179432682</v>
      </c>
      <c r="AB95" s="119">
        <f t="shared" si="33"/>
        <v>-0.09823154147</v>
      </c>
      <c r="AC95" s="119">
        <f t="shared" si="33"/>
        <v>-0.08071465435</v>
      </c>
      <c r="AD95" s="119">
        <f t="shared" si="33"/>
        <v>-0.05763144302</v>
      </c>
      <c r="AE95" s="119">
        <f t="shared" si="33"/>
        <v>-0.1022441881</v>
      </c>
      <c r="AF95" s="119">
        <f t="shared" si="33"/>
        <v>-0.1022664874</v>
      </c>
      <c r="AG95" s="119">
        <f t="shared" si="33"/>
        <v>-0.1299149306</v>
      </c>
      <c r="AH95" s="119">
        <f t="shared" si="33"/>
        <v>-0.202746002</v>
      </c>
      <c r="AI95" s="119">
        <f t="shared" si="33"/>
        <v>-0.1279423332</v>
      </c>
      <c r="AJ95" s="119">
        <f t="shared" si="33"/>
        <v>-0.1196675563</v>
      </c>
      <c r="AK95" s="119">
        <f t="shared" si="33"/>
        <v>-0.09297972513</v>
      </c>
      <c r="AL95" s="119">
        <f t="shared" si="33"/>
        <v>-0.1789692178</v>
      </c>
      <c r="AM95" s="119">
        <f t="shared" si="33"/>
        <v>-0.1546380873</v>
      </c>
      <c r="AN95" s="119">
        <f t="shared" si="33"/>
        <v>-0.1588186883</v>
      </c>
      <c r="AO95" s="119">
        <f t="shared" si="33"/>
        <v>-0.2148037363</v>
      </c>
      <c r="AP95" s="119">
        <f t="shared" si="33"/>
        <v>-0.126705157</v>
      </c>
      <c r="AQ95" s="119">
        <f t="shared" si="33"/>
        <v>-0.107912169</v>
      </c>
      <c r="AR95" s="119">
        <f t="shared" si="33"/>
        <v>-0.06346006704</v>
      </c>
      <c r="AS95" s="119">
        <f t="shared" si="33"/>
        <v>-0.06556101841</v>
      </c>
      <c r="AT95" s="643"/>
    </row>
    <row r="96">
      <c r="A96" s="633"/>
      <c r="B96" s="634"/>
      <c r="C96" s="635"/>
      <c r="D96" s="635"/>
      <c r="E96" s="113" t="s">
        <v>737</v>
      </c>
      <c r="F96" s="116" t="s">
        <v>122</v>
      </c>
      <c r="G96" s="642" t="s">
        <v>149</v>
      </c>
      <c r="H96" s="200" t="s">
        <v>150</v>
      </c>
      <c r="I96" s="111">
        <f t="shared" ref="I96:AS96" si="34">I90/I88</f>
        <v>-0.09454246312</v>
      </c>
      <c r="J96" s="111">
        <f t="shared" si="34"/>
        <v>-0.08809133855</v>
      </c>
      <c r="K96" s="111">
        <f t="shared" si="34"/>
        <v>-0.0934462414</v>
      </c>
      <c r="L96" s="111">
        <f t="shared" si="34"/>
        <v>-0.07767313257</v>
      </c>
      <c r="M96" s="111">
        <f t="shared" si="34"/>
        <v>-0.09030202996</v>
      </c>
      <c r="N96" s="111">
        <f t="shared" si="34"/>
        <v>-0.09369868863</v>
      </c>
      <c r="O96" s="111">
        <f t="shared" si="34"/>
        <v>-0.0959228956</v>
      </c>
      <c r="P96" s="111">
        <f t="shared" si="34"/>
        <v>-0.09746520692</v>
      </c>
      <c r="Q96" s="111">
        <f t="shared" si="34"/>
        <v>-0.09656088237</v>
      </c>
      <c r="R96" s="111">
        <f t="shared" si="34"/>
        <v>-0.03013590142</v>
      </c>
      <c r="S96" s="111">
        <f t="shared" si="34"/>
        <v>-0.06888392591</v>
      </c>
      <c r="T96" s="111">
        <f t="shared" si="34"/>
        <v>-0.02902876987</v>
      </c>
      <c r="U96" s="111">
        <f t="shared" si="34"/>
        <v>-0.04268840727</v>
      </c>
      <c r="V96" s="111">
        <f t="shared" si="34"/>
        <v>-0.05852445801</v>
      </c>
      <c r="W96" s="111">
        <f t="shared" si="34"/>
        <v>-0.06584179742</v>
      </c>
      <c r="X96" s="111">
        <f t="shared" si="34"/>
        <v>-0.0839086216</v>
      </c>
      <c r="Y96" s="111">
        <f t="shared" si="34"/>
        <v>-0.007350728345</v>
      </c>
      <c r="Z96" s="111">
        <f t="shared" si="34"/>
        <v>-0.05043666533</v>
      </c>
      <c r="AA96" s="111">
        <f t="shared" si="34"/>
        <v>0.07722667056</v>
      </c>
      <c r="AB96" s="111">
        <f t="shared" si="34"/>
        <v>-0.02146159767</v>
      </c>
      <c r="AC96" s="111">
        <f t="shared" si="34"/>
        <v>0.02190481959</v>
      </c>
      <c r="AD96" s="111">
        <f t="shared" si="34"/>
        <v>0.05980402274</v>
      </c>
      <c r="AE96" s="111">
        <f t="shared" si="34"/>
        <v>-0.007625827666</v>
      </c>
      <c r="AF96" s="111">
        <f t="shared" si="34"/>
        <v>0.0249304735</v>
      </c>
      <c r="AG96" s="111">
        <f t="shared" si="34"/>
        <v>-0.04664036756</v>
      </c>
      <c r="AH96" s="111">
        <f t="shared" si="34"/>
        <v>-0.05682839979</v>
      </c>
      <c r="AI96" s="111">
        <f t="shared" si="34"/>
        <v>0.02836591757</v>
      </c>
      <c r="AJ96" s="111">
        <f t="shared" si="34"/>
        <v>-0.07038132924</v>
      </c>
      <c r="AK96" s="111">
        <f t="shared" si="34"/>
        <v>-0.08512270297</v>
      </c>
      <c r="AL96" s="111">
        <f t="shared" si="34"/>
        <v>-0.06566372359</v>
      </c>
      <c r="AM96" s="111">
        <f t="shared" si="34"/>
        <v>-0.05900638568</v>
      </c>
      <c r="AN96" s="111">
        <f t="shared" si="34"/>
        <v>0.01656155738</v>
      </c>
      <c r="AO96" s="111">
        <f t="shared" si="34"/>
        <v>-0.04405986868</v>
      </c>
      <c r="AP96" s="111">
        <f t="shared" si="34"/>
        <v>-0.05367725911</v>
      </c>
      <c r="AQ96" s="111">
        <f t="shared" si="34"/>
        <v>-0.01977492499</v>
      </c>
      <c r="AR96" s="111">
        <f t="shared" si="34"/>
        <v>-0.0833072569</v>
      </c>
      <c r="AS96" s="111">
        <f t="shared" si="34"/>
        <v>-0.08085934145</v>
      </c>
      <c r="AT96" s="640"/>
    </row>
    <row r="97">
      <c r="A97" s="633"/>
      <c r="B97" s="634"/>
      <c r="C97" s="635"/>
      <c r="D97" s="635"/>
      <c r="E97" s="237" t="s">
        <v>741</v>
      </c>
      <c r="F97" s="238" t="s">
        <v>122</v>
      </c>
      <c r="G97" s="649" t="s">
        <v>149</v>
      </c>
      <c r="H97" s="197" t="s">
        <v>150</v>
      </c>
      <c r="I97" s="240">
        <f t="shared" ref="I97:AS97" si="35">I91/I88</f>
        <v>-0.1384346925</v>
      </c>
      <c r="J97" s="240">
        <f t="shared" si="35"/>
        <v>-0.1468069453</v>
      </c>
      <c r="K97" s="240">
        <f t="shared" si="35"/>
        <v>-0.1348784437</v>
      </c>
      <c r="L97" s="240">
        <f t="shared" si="35"/>
        <v>-0.1622092278</v>
      </c>
      <c r="M97" s="240">
        <f t="shared" si="35"/>
        <v>-0.1553959912</v>
      </c>
      <c r="N97" s="240">
        <f t="shared" si="35"/>
        <v>-0.1502344213</v>
      </c>
      <c r="O97" s="240">
        <f t="shared" si="35"/>
        <v>-0.1472139109</v>
      </c>
      <c r="P97" s="240">
        <f t="shared" si="35"/>
        <v>-0.1369098629</v>
      </c>
      <c r="Q97" s="240">
        <f t="shared" si="35"/>
        <v>-0.1307658439</v>
      </c>
      <c r="R97" s="240">
        <f t="shared" si="35"/>
        <v>-0.1344022925</v>
      </c>
      <c r="S97" s="240">
        <f t="shared" si="35"/>
        <v>-0.1277982916</v>
      </c>
      <c r="T97" s="240">
        <f t="shared" si="35"/>
        <v>-0.1676109124</v>
      </c>
      <c r="U97" s="240">
        <f t="shared" si="35"/>
        <v>-0.1823936656</v>
      </c>
      <c r="V97" s="240">
        <f t="shared" si="35"/>
        <v>-0.1765604235</v>
      </c>
      <c r="W97" s="240">
        <f t="shared" si="35"/>
        <v>-0.1628234925</v>
      </c>
      <c r="X97" s="240">
        <f t="shared" si="35"/>
        <v>-0.2052973493</v>
      </c>
      <c r="Y97" s="240">
        <f t="shared" si="35"/>
        <v>-0.09651308513</v>
      </c>
      <c r="Z97" s="240">
        <f t="shared" si="35"/>
        <v>-0.1807573343</v>
      </c>
      <c r="AA97" s="240">
        <f t="shared" si="35"/>
        <v>0.05928340236</v>
      </c>
      <c r="AB97" s="240">
        <f t="shared" si="35"/>
        <v>-0.1196931391</v>
      </c>
      <c r="AC97" s="240">
        <f t="shared" si="35"/>
        <v>-0.05880983476</v>
      </c>
      <c r="AD97" s="240">
        <f t="shared" si="35"/>
        <v>0.002172579726</v>
      </c>
      <c r="AE97" s="240">
        <f t="shared" si="35"/>
        <v>-0.1098700157</v>
      </c>
      <c r="AF97" s="240">
        <f t="shared" si="35"/>
        <v>-0.07733601386</v>
      </c>
      <c r="AG97" s="240">
        <f t="shared" si="35"/>
        <v>-0.1765552982</v>
      </c>
      <c r="AH97" s="240">
        <f t="shared" si="35"/>
        <v>-0.2595744018</v>
      </c>
      <c r="AI97" s="240">
        <f t="shared" si="35"/>
        <v>-0.09957641561</v>
      </c>
      <c r="AJ97" s="240">
        <f t="shared" si="35"/>
        <v>-0.1900488856</v>
      </c>
      <c r="AK97" s="240">
        <f t="shared" si="35"/>
        <v>-0.1781024281</v>
      </c>
      <c r="AL97" s="240">
        <f t="shared" si="35"/>
        <v>-0.2446329413</v>
      </c>
      <c r="AM97" s="240">
        <f t="shared" si="35"/>
        <v>-0.213644473</v>
      </c>
      <c r="AN97" s="240">
        <f t="shared" si="35"/>
        <v>-0.1422571309</v>
      </c>
      <c r="AO97" s="240">
        <f t="shared" si="35"/>
        <v>-0.258863605</v>
      </c>
      <c r="AP97" s="240">
        <f t="shared" si="35"/>
        <v>-0.1803824161</v>
      </c>
      <c r="AQ97" s="240">
        <f t="shared" si="35"/>
        <v>-0.127687094</v>
      </c>
      <c r="AR97" s="240">
        <f t="shared" si="35"/>
        <v>-0.1467673239</v>
      </c>
      <c r="AS97" s="240">
        <f t="shared" si="35"/>
        <v>-0.1464203599</v>
      </c>
      <c r="AT97" s="650"/>
    </row>
    <row r="98">
      <c r="A98" s="633"/>
      <c r="B98" s="634"/>
      <c r="C98" s="635"/>
      <c r="D98" s="635"/>
      <c r="E98" s="243"/>
      <c r="F98" s="636"/>
      <c r="G98" s="637"/>
      <c r="H98" s="638"/>
      <c r="I98" s="111"/>
      <c r="J98" s="111"/>
      <c r="K98" s="111"/>
      <c r="L98" s="111"/>
      <c r="M98" s="111"/>
      <c r="N98" s="111"/>
      <c r="O98" s="111"/>
      <c r="P98" s="111"/>
      <c r="Q98" s="111"/>
      <c r="R98" s="111"/>
      <c r="S98" s="111"/>
      <c r="T98" s="111"/>
      <c r="U98" s="111"/>
      <c r="V98" s="111"/>
      <c r="W98" s="111"/>
      <c r="X98" s="111"/>
      <c r="Y98" s="111"/>
      <c r="Z98" s="111"/>
      <c r="AA98" s="111"/>
      <c r="AB98" s="111"/>
      <c r="AC98" s="111"/>
      <c r="AD98" s="111"/>
      <c r="AE98" s="111"/>
      <c r="AF98" s="111"/>
      <c r="AG98" s="111"/>
      <c r="AH98" s="111"/>
      <c r="AI98" s="111"/>
      <c r="AJ98" s="111"/>
      <c r="AK98" s="111"/>
      <c r="AL98" s="111"/>
      <c r="AM98" s="111"/>
      <c r="AN98" s="111"/>
      <c r="AO98" s="111"/>
      <c r="AP98" s="111"/>
      <c r="AQ98" s="111"/>
      <c r="AR98" s="111"/>
      <c r="AS98" s="111"/>
      <c r="AT98" s="640"/>
    </row>
    <row r="99">
      <c r="A99" s="633"/>
      <c r="B99" s="634"/>
      <c r="C99" s="325" t="s">
        <v>752</v>
      </c>
      <c r="F99" s="636"/>
      <c r="G99" s="636"/>
      <c r="H99" s="638"/>
      <c r="I99" s="111"/>
      <c r="J99" s="111"/>
      <c r="K99" s="111"/>
      <c r="L99" s="111"/>
      <c r="M99" s="111"/>
      <c r="N99" s="111"/>
      <c r="O99" s="111"/>
      <c r="P99" s="111"/>
      <c r="Q99" s="111"/>
      <c r="R99" s="111"/>
      <c r="S99" s="111"/>
      <c r="T99" s="111"/>
      <c r="U99" s="111"/>
      <c r="V99" s="111"/>
      <c r="W99" s="111"/>
      <c r="X99" s="111"/>
      <c r="Y99" s="111"/>
      <c r="Z99" s="111"/>
      <c r="AA99" s="111"/>
      <c r="AB99" s="111"/>
      <c r="AC99" s="111"/>
      <c r="AD99" s="111"/>
      <c r="AE99" s="111"/>
      <c r="AF99" s="111"/>
      <c r="AG99" s="111"/>
      <c r="AH99" s="111"/>
      <c r="AI99" s="111"/>
      <c r="AJ99" s="111"/>
      <c r="AK99" s="111"/>
      <c r="AL99" s="111"/>
      <c r="AM99" s="111"/>
      <c r="AN99" s="111"/>
      <c r="AO99" s="111"/>
      <c r="AP99" s="111"/>
      <c r="AQ99" s="111"/>
      <c r="AR99" s="111"/>
      <c r="AS99" s="111"/>
      <c r="AT99" s="640"/>
    </row>
    <row r="100">
      <c r="A100" s="633"/>
      <c r="B100" s="634"/>
      <c r="C100" s="635"/>
      <c r="D100" s="635"/>
      <c r="E100" s="224" t="s">
        <v>752</v>
      </c>
      <c r="F100" s="658" t="s">
        <v>122</v>
      </c>
      <c r="G100" s="658" t="s">
        <v>149</v>
      </c>
      <c r="H100" s="129" t="s">
        <v>150</v>
      </c>
      <c r="I100" s="308">
        <f t="shared" ref="I100:AS100" si="36">((MIN(I65,0)*I66)+I89)/I88</f>
        <v>-0.1384346925</v>
      </c>
      <c r="J100" s="308">
        <f t="shared" si="36"/>
        <v>-0.1468069453</v>
      </c>
      <c r="K100" s="308">
        <f t="shared" si="36"/>
        <v>-0.1348784437</v>
      </c>
      <c r="L100" s="308">
        <f t="shared" si="36"/>
        <v>-0.1622092278</v>
      </c>
      <c r="M100" s="308">
        <f t="shared" si="36"/>
        <v>-0.1553959912</v>
      </c>
      <c r="N100" s="308">
        <f t="shared" si="36"/>
        <v>-0.1502344213</v>
      </c>
      <c r="O100" s="308">
        <f t="shared" si="36"/>
        <v>-0.1472139109</v>
      </c>
      <c r="P100" s="308">
        <f t="shared" si="36"/>
        <v>-0.1369098629</v>
      </c>
      <c r="Q100" s="308">
        <f t="shared" si="36"/>
        <v>-0.1307658439</v>
      </c>
      <c r="R100" s="308">
        <f t="shared" si="36"/>
        <v>-0.1344022925</v>
      </c>
      <c r="S100" s="308">
        <f t="shared" si="36"/>
        <v>-0.1277982916</v>
      </c>
      <c r="T100" s="308">
        <f t="shared" si="36"/>
        <v>-0.1676109124</v>
      </c>
      <c r="U100" s="308">
        <f t="shared" si="36"/>
        <v>-0.1823936656</v>
      </c>
      <c r="V100" s="308">
        <f t="shared" si="36"/>
        <v>-0.1765604235</v>
      </c>
      <c r="W100" s="308">
        <f t="shared" si="36"/>
        <v>-0.1628234925</v>
      </c>
      <c r="X100" s="308">
        <f t="shared" si="36"/>
        <v>-0.2052973493</v>
      </c>
      <c r="Y100" s="308">
        <f t="shared" si="36"/>
        <v>-0.09651308513</v>
      </c>
      <c r="Z100" s="308">
        <f t="shared" si="36"/>
        <v>-0.1807573343</v>
      </c>
      <c r="AA100" s="308">
        <f t="shared" si="36"/>
        <v>-0.0179432682</v>
      </c>
      <c r="AB100" s="308">
        <f t="shared" si="36"/>
        <v>-0.1196931391</v>
      </c>
      <c r="AC100" s="308">
        <f t="shared" si="36"/>
        <v>-0.08071465435</v>
      </c>
      <c r="AD100" s="308">
        <f t="shared" si="36"/>
        <v>-0.05763144302</v>
      </c>
      <c r="AE100" s="308">
        <f t="shared" si="36"/>
        <v>-0.1098700157</v>
      </c>
      <c r="AF100" s="308">
        <f t="shared" si="36"/>
        <v>-0.1022664874</v>
      </c>
      <c r="AG100" s="308">
        <f t="shared" si="36"/>
        <v>-0.1765552982</v>
      </c>
      <c r="AH100" s="308">
        <f t="shared" si="36"/>
        <v>-0.2595744018</v>
      </c>
      <c r="AI100" s="308">
        <f t="shared" si="36"/>
        <v>-0.1279423332</v>
      </c>
      <c r="AJ100" s="308">
        <f t="shared" si="36"/>
        <v>-0.1900488856</v>
      </c>
      <c r="AK100" s="308">
        <f t="shared" si="36"/>
        <v>-0.1781024281</v>
      </c>
      <c r="AL100" s="308">
        <f t="shared" si="36"/>
        <v>-0.2446329413</v>
      </c>
      <c r="AM100" s="308">
        <f t="shared" si="36"/>
        <v>-0.213644473</v>
      </c>
      <c r="AN100" s="308">
        <f t="shared" si="36"/>
        <v>-0.1588186883</v>
      </c>
      <c r="AO100" s="308">
        <f t="shared" si="36"/>
        <v>-0.258863605</v>
      </c>
      <c r="AP100" s="308">
        <f t="shared" si="36"/>
        <v>-0.1803824161</v>
      </c>
      <c r="AQ100" s="308">
        <f t="shared" si="36"/>
        <v>-0.127687094</v>
      </c>
      <c r="AR100" s="308">
        <f t="shared" si="36"/>
        <v>-0.1467673239</v>
      </c>
      <c r="AS100" s="308">
        <f t="shared" si="36"/>
        <v>-0.1464203599</v>
      </c>
      <c r="AT100" s="665"/>
    </row>
    <row r="101">
      <c r="A101" s="703"/>
      <c r="B101" s="704"/>
      <c r="C101" s="705"/>
      <c r="D101" s="705"/>
      <c r="E101" s="224"/>
      <c r="F101" s="658"/>
      <c r="G101" s="658"/>
      <c r="H101" s="706"/>
      <c r="I101" s="659"/>
      <c r="J101" s="659"/>
      <c r="K101" s="659"/>
      <c r="L101" s="659"/>
      <c r="M101" s="659"/>
      <c r="N101" s="659"/>
      <c r="O101" s="659"/>
      <c r="P101" s="659"/>
      <c r="Q101" s="659"/>
      <c r="R101" s="659"/>
      <c r="S101" s="659"/>
      <c r="T101" s="659"/>
      <c r="U101" s="659"/>
      <c r="V101" s="659"/>
      <c r="W101" s="659"/>
      <c r="X101" s="659"/>
      <c r="Y101" s="659"/>
      <c r="Z101" s="659"/>
      <c r="AA101" s="659"/>
      <c r="AB101" s="659"/>
      <c r="AC101" s="659"/>
      <c r="AD101" s="659"/>
      <c r="AE101" s="659"/>
      <c r="AF101" s="659"/>
      <c r="AG101" s="659"/>
      <c r="AH101" s="659"/>
      <c r="AI101" s="659"/>
      <c r="AJ101" s="659"/>
      <c r="AK101" s="659"/>
      <c r="AL101" s="659"/>
      <c r="AM101" s="659"/>
      <c r="AN101" s="659"/>
      <c r="AO101" s="659"/>
      <c r="AP101" s="659"/>
      <c r="AQ101" s="659"/>
      <c r="AR101" s="659"/>
      <c r="AS101" s="659"/>
      <c r="AT101" s="665"/>
    </row>
  </sheetData>
  <mergeCells count="28">
    <mergeCell ref="I1:Q1"/>
    <mergeCell ref="R1:AE1"/>
    <mergeCell ref="AF1:AS1"/>
    <mergeCell ref="A3:E3"/>
    <mergeCell ref="A5:G5"/>
    <mergeCell ref="C7:E7"/>
    <mergeCell ref="C10:E10"/>
    <mergeCell ref="C17:E17"/>
    <mergeCell ref="C20:E20"/>
    <mergeCell ref="C25:E25"/>
    <mergeCell ref="A29:G29"/>
    <mergeCell ref="C31:E31"/>
    <mergeCell ref="C35:E35"/>
    <mergeCell ref="A39:G39"/>
    <mergeCell ref="D70:E70"/>
    <mergeCell ref="D75:E75"/>
    <mergeCell ref="D80:E80"/>
    <mergeCell ref="A85:G85"/>
    <mergeCell ref="C87:E87"/>
    <mergeCell ref="C94:E94"/>
    <mergeCell ref="C99:E99"/>
    <mergeCell ref="C41:E41"/>
    <mergeCell ref="C47:E47"/>
    <mergeCell ref="C53:E53"/>
    <mergeCell ref="A57:G57"/>
    <mergeCell ref="C59:E59"/>
    <mergeCell ref="D60:E60"/>
    <mergeCell ref="C69:E69"/>
  </mergeCells>
  <hyperlinks>
    <hyperlink display="Grant size" location="Inputs!E8" ref="E8"/>
    <hyperlink display="Domestic government costs incurred per child counterfactually vaccinated" location="Inputs!E302" ref="E11"/>
    <hyperlink display="Gavi costs incurred per child counterfactually vaccinated" location="Inputs!E303" ref="E12"/>
    <hyperlink display="Children counterfactually vaccinated" location="'Main CEA'!E38" ref="E13"/>
    <hyperlink display="Scenario 1: Domestic governments would replace the grantee's costs" location="Inputs!E306" ref="E32"/>
    <hyperlink display="Scenario 1: Domestic governments would replace the grantee's costs" location="Inputs!E309" ref="E36"/>
    <hyperlink display="Scenario 2: Distributions would go unfunded" location="Inputs!E310" ref="E37"/>
    <hyperlink display="Units of value generated per dollar (before final adjustments)" location="'Main CEA'!E175" ref="E42"/>
    <hyperlink display="Total supplemental grantee-level adjustment" location="'Main CEA'!D207" ref="E43"/>
    <hyperlink display="Total supplemental intervention-level adjustment" location="'Main CEA'!D227" ref="E44"/>
    <hyperlink display="Counterfactual value per dollar spent by domestic governments on immunization programs" location="Inputs!E313" ref="E54"/>
    <hyperlink display="Counterfactual value per dollar spent by Gavi" location="Inputs!E314" ref="E55"/>
  </hyperlink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45" width="12.13"/>
    <col customWidth="1" min="46" max="46" width="3.63"/>
    <col customWidth="1" min="47" max="47" width="17.38"/>
    <col customWidth="1" min="48" max="48" width="48.25"/>
  </cols>
  <sheetData>
    <row r="1">
      <c r="A1" s="1"/>
      <c r="B1" s="3"/>
      <c r="C1" s="3"/>
      <c r="D1" s="3"/>
      <c r="E1" s="5"/>
      <c r="F1" s="7"/>
      <c r="G1" s="8"/>
      <c r="H1" s="9"/>
      <c r="I1" s="11" t="s">
        <v>1</v>
      </c>
      <c r="J1" s="12"/>
      <c r="K1" s="12"/>
      <c r="L1" s="12"/>
      <c r="M1" s="12"/>
      <c r="N1" s="12"/>
      <c r="O1" s="12"/>
      <c r="P1" s="12"/>
      <c r="Q1" s="12"/>
      <c r="R1" s="16" t="s">
        <v>3</v>
      </c>
      <c r="S1" s="14"/>
      <c r="T1" s="14"/>
      <c r="U1" s="14"/>
      <c r="V1" s="14"/>
      <c r="W1" s="14"/>
      <c r="X1" s="14"/>
      <c r="Y1" s="14"/>
      <c r="Z1" s="14"/>
      <c r="AA1" s="14"/>
      <c r="AB1" s="14"/>
      <c r="AC1" s="14"/>
      <c r="AD1" s="14"/>
      <c r="AE1" s="14"/>
      <c r="AF1" s="20" t="s">
        <v>3</v>
      </c>
      <c r="AG1" s="14"/>
      <c r="AH1" s="14"/>
      <c r="AI1" s="14"/>
      <c r="AJ1" s="14"/>
      <c r="AK1" s="14"/>
      <c r="AL1" s="14"/>
      <c r="AM1" s="14"/>
      <c r="AN1" s="14"/>
      <c r="AO1" s="14"/>
      <c r="AP1" s="14"/>
      <c r="AQ1" s="14"/>
      <c r="AR1" s="14"/>
      <c r="AS1" s="14"/>
      <c r="AT1" s="501"/>
      <c r="AU1" s="502"/>
      <c r="AV1" s="503"/>
    </row>
    <row r="2">
      <c r="A2" s="24"/>
      <c r="B2" s="25"/>
      <c r="C2" s="25"/>
      <c r="D2" s="25"/>
      <c r="E2" s="26"/>
      <c r="F2" s="28"/>
      <c r="G2" s="28"/>
      <c r="H2" s="465"/>
      <c r="I2" s="35" t="s">
        <v>7</v>
      </c>
      <c r="J2" s="35" t="s">
        <v>7</v>
      </c>
      <c r="K2" s="35" t="s">
        <v>7</v>
      </c>
      <c r="L2" s="35" t="s">
        <v>7</v>
      </c>
      <c r="M2" s="35" t="s">
        <v>7</v>
      </c>
      <c r="N2" s="35" t="s">
        <v>7</v>
      </c>
      <c r="O2" s="35" t="s">
        <v>7</v>
      </c>
      <c r="P2" s="35" t="s">
        <v>7</v>
      </c>
      <c r="Q2" s="40" t="s">
        <v>7</v>
      </c>
      <c r="R2" s="35" t="s">
        <v>7</v>
      </c>
      <c r="S2" s="35" t="s">
        <v>7</v>
      </c>
      <c r="T2" s="35" t="s">
        <v>7</v>
      </c>
      <c r="U2" s="35" t="s">
        <v>7</v>
      </c>
      <c r="V2" s="35" t="s">
        <v>7</v>
      </c>
      <c r="W2" s="35" t="s">
        <v>7</v>
      </c>
      <c r="X2" s="35" t="s">
        <v>7</v>
      </c>
      <c r="Y2" s="35" t="s">
        <v>7</v>
      </c>
      <c r="Z2" s="35" t="s">
        <v>7</v>
      </c>
      <c r="AA2" s="35" t="s">
        <v>7</v>
      </c>
      <c r="AB2" s="35" t="s">
        <v>7</v>
      </c>
      <c r="AC2" s="35" t="s">
        <v>7</v>
      </c>
      <c r="AD2" s="35" t="s">
        <v>7</v>
      </c>
      <c r="AE2" s="35" t="s">
        <v>7</v>
      </c>
      <c r="AF2" s="35" t="s">
        <v>7</v>
      </c>
      <c r="AG2" s="35" t="s">
        <v>7</v>
      </c>
      <c r="AH2" s="35" t="s">
        <v>7</v>
      </c>
      <c r="AI2" s="35" t="s">
        <v>7</v>
      </c>
      <c r="AJ2" s="35" t="s">
        <v>7</v>
      </c>
      <c r="AK2" s="35" t="s">
        <v>7</v>
      </c>
      <c r="AL2" s="35" t="s">
        <v>7</v>
      </c>
      <c r="AM2" s="35" t="s">
        <v>7</v>
      </c>
      <c r="AN2" s="35" t="s">
        <v>7</v>
      </c>
      <c r="AO2" s="35" t="s">
        <v>7</v>
      </c>
      <c r="AP2" s="35" t="s">
        <v>7</v>
      </c>
      <c r="AQ2" s="35" t="s">
        <v>7</v>
      </c>
      <c r="AR2" s="35" t="s">
        <v>7</v>
      </c>
      <c r="AS2" s="35" t="s">
        <v>7</v>
      </c>
      <c r="AT2" s="504"/>
      <c r="AU2" s="502"/>
      <c r="AV2" s="505"/>
    </row>
    <row r="3">
      <c r="A3" s="43" t="s">
        <v>20</v>
      </c>
      <c r="B3" s="12"/>
      <c r="C3" s="12"/>
      <c r="D3" s="12"/>
      <c r="E3" s="12"/>
      <c r="F3" s="44" t="s">
        <v>21</v>
      </c>
      <c r="G3" s="44" t="s">
        <v>22</v>
      </c>
      <c r="H3" s="46" t="s">
        <v>24</v>
      </c>
      <c r="I3" s="47" t="s">
        <v>26</v>
      </c>
      <c r="J3" s="47" t="s">
        <v>28</v>
      </c>
      <c r="K3" s="47" t="s">
        <v>30</v>
      </c>
      <c r="L3" s="47" t="s">
        <v>31</v>
      </c>
      <c r="M3" s="47" t="s">
        <v>32</v>
      </c>
      <c r="N3" s="47" t="s">
        <v>33</v>
      </c>
      <c r="O3" s="47" t="s">
        <v>34</v>
      </c>
      <c r="P3" s="47" t="s">
        <v>35</v>
      </c>
      <c r="Q3" s="48" t="s">
        <v>37</v>
      </c>
      <c r="R3" s="47" t="s">
        <v>38</v>
      </c>
      <c r="S3" s="47" t="s">
        <v>39</v>
      </c>
      <c r="T3" s="47" t="s">
        <v>40</v>
      </c>
      <c r="U3" s="47" t="s">
        <v>41</v>
      </c>
      <c r="V3" s="47" t="s">
        <v>42</v>
      </c>
      <c r="W3" s="47" t="s">
        <v>44</v>
      </c>
      <c r="X3" s="47" t="s">
        <v>45</v>
      </c>
      <c r="Y3" s="47" t="s">
        <v>46</v>
      </c>
      <c r="Z3" s="47" t="s">
        <v>47</v>
      </c>
      <c r="AA3" s="47" t="s">
        <v>48</v>
      </c>
      <c r="AB3" s="47" t="s">
        <v>49</v>
      </c>
      <c r="AC3" s="47" t="s">
        <v>50</v>
      </c>
      <c r="AD3" s="47" t="s">
        <v>51</v>
      </c>
      <c r="AE3" s="47" t="s">
        <v>52</v>
      </c>
      <c r="AF3" s="47" t="s">
        <v>53</v>
      </c>
      <c r="AG3" s="47" t="s">
        <v>54</v>
      </c>
      <c r="AH3" s="47" t="s">
        <v>55</v>
      </c>
      <c r="AI3" s="47" t="s">
        <v>56</v>
      </c>
      <c r="AJ3" s="47" t="s">
        <v>57</v>
      </c>
      <c r="AK3" s="47" t="s">
        <v>58</v>
      </c>
      <c r="AL3" s="47" t="s">
        <v>59</v>
      </c>
      <c r="AM3" s="47" t="s">
        <v>60</v>
      </c>
      <c r="AN3" s="47" t="s">
        <v>61</v>
      </c>
      <c r="AO3" s="47" t="s">
        <v>63</v>
      </c>
      <c r="AP3" s="47" t="s">
        <v>64</v>
      </c>
      <c r="AQ3" s="47" t="s">
        <v>65</v>
      </c>
      <c r="AR3" s="47" t="s">
        <v>66</v>
      </c>
      <c r="AS3" s="47" t="s">
        <v>67</v>
      </c>
      <c r="AT3" s="507"/>
      <c r="AU3" s="508" t="s">
        <v>783</v>
      </c>
      <c r="AV3" s="509" t="s">
        <v>784</v>
      </c>
    </row>
    <row r="4">
      <c r="A4" s="54"/>
      <c r="B4" s="56"/>
      <c r="C4" s="56"/>
      <c r="D4" s="56"/>
      <c r="E4" s="57" t="s">
        <v>70</v>
      </c>
      <c r="F4" s="61" t="str">
        <f>'Main CEA'!F241</f>
        <v>xcash</v>
      </c>
      <c r="G4" s="62" t="str">
        <f>'Main CEA'!G241</f>
        <v>calc</v>
      </c>
      <c r="H4" s="65" t="str">
        <f>'Main CEA'!H241</f>
        <v>-</v>
      </c>
      <c r="I4" s="67">
        <f>'Main CEA'!I241</f>
        <v>23.79888889</v>
      </c>
      <c r="J4" s="67">
        <f>'Main CEA'!J241</f>
        <v>10.80064073</v>
      </c>
      <c r="K4" s="67">
        <f>'Main CEA'!K241</f>
        <v>19.89994382</v>
      </c>
      <c r="L4" s="67">
        <f>'Main CEA'!L241</f>
        <v>5.656827509</v>
      </c>
      <c r="M4" s="67">
        <f>'Main CEA'!M241</f>
        <v>13.12917563</v>
      </c>
      <c r="N4" s="67">
        <f>'Main CEA'!N241</f>
        <v>20.32981152</v>
      </c>
      <c r="O4" s="67">
        <f>'Main CEA'!O241</f>
        <v>31.53213901</v>
      </c>
      <c r="P4" s="67">
        <f>'Main CEA'!P241</f>
        <v>51.33089054</v>
      </c>
      <c r="Q4" s="67">
        <f>'Main CEA'!Q241</f>
        <v>38.10262623</v>
      </c>
      <c r="R4" s="67">
        <f>'Main CEA'!R241</f>
        <v>1.867786341</v>
      </c>
      <c r="S4" s="67">
        <f>'Main CEA'!S241</f>
        <v>4.225686691</v>
      </c>
      <c r="T4" s="67">
        <f>'Main CEA'!T241</f>
        <v>1.768109683</v>
      </c>
      <c r="U4" s="67">
        <f>'Main CEA'!U241</f>
        <v>2.150636078</v>
      </c>
      <c r="V4" s="67">
        <f>'Main CEA'!V241</f>
        <v>2.992986954</v>
      </c>
      <c r="W4" s="67">
        <f>'Main CEA'!W241</f>
        <v>3.694768058</v>
      </c>
      <c r="X4" s="67">
        <f>'Main CEA'!X241</f>
        <v>7.445203475</v>
      </c>
      <c r="Y4" s="67">
        <f>'Main CEA'!Y241</f>
        <v>1.470093695</v>
      </c>
      <c r="Z4" s="67">
        <f>'Main CEA'!Z241</f>
        <v>2.491823062</v>
      </c>
      <c r="AA4" s="67">
        <f>'Main CEA'!AA241</f>
        <v>0.9010486621</v>
      </c>
      <c r="AB4" s="67">
        <f>'Main CEA'!AB241</f>
        <v>1.689729482</v>
      </c>
      <c r="AC4" s="67">
        <f>'Main CEA'!AC241</f>
        <v>1.163916063</v>
      </c>
      <c r="AD4" s="67">
        <f>'Main CEA'!AD241</f>
        <v>0.9454095081</v>
      </c>
      <c r="AE4" s="67">
        <f>'Main CEA'!AE241</f>
        <v>1.452673546</v>
      </c>
      <c r="AF4" s="67">
        <f>'Main CEA'!AF241</f>
        <v>1.113372117</v>
      </c>
      <c r="AG4" s="67">
        <f>'Main CEA'!AG241</f>
        <v>2.326412741</v>
      </c>
      <c r="AH4" s="67">
        <f>'Main CEA'!AH241</f>
        <v>2.58552318</v>
      </c>
      <c r="AI4" s="67">
        <f>'Main CEA'!AI241</f>
        <v>1.057455961</v>
      </c>
      <c r="AJ4" s="67">
        <f>'Main CEA'!AJ241</f>
        <v>4.122478511</v>
      </c>
      <c r="AK4" s="67">
        <f>'Main CEA'!AK241</f>
        <v>8.328347179</v>
      </c>
      <c r="AL4" s="67">
        <f>'Main CEA'!AL241</f>
        <v>3.316423642</v>
      </c>
      <c r="AM4" s="67">
        <f>'Main CEA'!AM241</f>
        <v>2.891797582</v>
      </c>
      <c r="AN4" s="67">
        <f>'Main CEA'!AN241</f>
        <v>1.109345771</v>
      </c>
      <c r="AO4" s="67">
        <f>'Main CEA'!AO241</f>
        <v>1.997283971</v>
      </c>
      <c r="AP4" s="67">
        <f>'Main CEA'!AP241</f>
        <v>2.667363328</v>
      </c>
      <c r="AQ4" s="67">
        <f>'Main CEA'!AQ241</f>
        <v>1.639182556</v>
      </c>
      <c r="AR4" s="67">
        <f>'Main CEA'!AR241</f>
        <v>7.705572783</v>
      </c>
      <c r="AS4" s="67">
        <f>'Main CEA'!AS241</f>
        <v>6.722833091</v>
      </c>
      <c r="AT4" s="515"/>
      <c r="AU4" s="516"/>
      <c r="AV4" s="517"/>
    </row>
    <row r="5">
      <c r="A5" s="72" t="s">
        <v>754</v>
      </c>
      <c r="B5" s="14"/>
      <c r="C5" s="14"/>
      <c r="D5" s="14"/>
      <c r="E5" s="14"/>
      <c r="F5" s="14"/>
      <c r="G5" s="482"/>
      <c r="H5" s="518"/>
      <c r="I5" s="519"/>
      <c r="J5" s="519"/>
      <c r="K5" s="519"/>
      <c r="L5" s="519"/>
      <c r="M5" s="519"/>
      <c r="N5" s="519"/>
      <c r="O5" s="519"/>
      <c r="P5" s="519"/>
      <c r="Q5" s="519"/>
      <c r="R5" s="519"/>
      <c r="S5" s="519"/>
      <c r="T5" s="519"/>
      <c r="U5" s="519"/>
      <c r="V5" s="519"/>
      <c r="W5" s="519"/>
      <c r="X5" s="519"/>
      <c r="Y5" s="519"/>
      <c r="Z5" s="519"/>
      <c r="AA5" s="519"/>
      <c r="AB5" s="519"/>
      <c r="AC5" s="519"/>
      <c r="AD5" s="519"/>
      <c r="AE5" s="519"/>
      <c r="AF5" s="519"/>
      <c r="AG5" s="519"/>
      <c r="AH5" s="519"/>
      <c r="AI5" s="519"/>
      <c r="AJ5" s="519"/>
      <c r="AK5" s="519"/>
      <c r="AL5" s="519"/>
      <c r="AM5" s="519"/>
      <c r="AN5" s="519"/>
      <c r="AO5" s="519"/>
      <c r="AP5" s="519"/>
      <c r="AQ5" s="519"/>
      <c r="AR5" s="519"/>
      <c r="AS5" s="519"/>
      <c r="AT5" s="520"/>
      <c r="AU5" s="516"/>
      <c r="AV5" s="521"/>
    </row>
    <row r="6">
      <c r="A6" s="80"/>
      <c r="B6" s="81"/>
      <c r="C6" s="81"/>
      <c r="D6" s="81"/>
      <c r="E6" s="102"/>
      <c r="F6" s="83"/>
      <c r="G6" s="84"/>
      <c r="H6" s="522"/>
      <c r="I6" s="378"/>
      <c r="J6" s="378"/>
      <c r="K6" s="378"/>
      <c r="L6" s="378"/>
      <c r="M6" s="378"/>
      <c r="N6" s="378"/>
      <c r="O6" s="378"/>
      <c r="P6" s="378"/>
      <c r="Q6" s="378"/>
      <c r="R6" s="378"/>
      <c r="S6" s="378"/>
      <c r="T6" s="378"/>
      <c r="U6" s="378"/>
      <c r="V6" s="378"/>
      <c r="W6" s="378"/>
      <c r="X6" s="378"/>
      <c r="Y6" s="378"/>
      <c r="Z6" s="378"/>
      <c r="AA6" s="378"/>
      <c r="AB6" s="378"/>
      <c r="AC6" s="378"/>
      <c r="AD6" s="378"/>
      <c r="AE6" s="378"/>
      <c r="AF6" s="378"/>
      <c r="AG6" s="378"/>
      <c r="AH6" s="378"/>
      <c r="AI6" s="378"/>
      <c r="AJ6" s="378"/>
      <c r="AK6" s="378"/>
      <c r="AL6" s="378"/>
      <c r="AM6" s="378"/>
      <c r="AN6" s="378"/>
      <c r="AO6" s="378"/>
      <c r="AP6" s="378"/>
      <c r="AQ6" s="378"/>
      <c r="AR6" s="378"/>
      <c r="AS6" s="378"/>
      <c r="AT6" s="139"/>
      <c r="AU6" s="523"/>
      <c r="AV6" s="524"/>
    </row>
    <row r="7">
      <c r="A7" s="80"/>
      <c r="B7" s="81"/>
      <c r="C7" s="90" t="s">
        <v>96</v>
      </c>
      <c r="F7" s="83"/>
      <c r="G7" s="91"/>
      <c r="H7" s="522"/>
      <c r="I7" s="378"/>
      <c r="J7" s="378"/>
      <c r="K7" s="378"/>
      <c r="L7" s="378"/>
      <c r="M7" s="378"/>
      <c r="N7" s="378"/>
      <c r="O7" s="378"/>
      <c r="P7" s="378"/>
      <c r="Q7" s="378"/>
      <c r="R7" s="378"/>
      <c r="S7" s="378"/>
      <c r="T7" s="378"/>
      <c r="U7" s="378"/>
      <c r="V7" s="378"/>
      <c r="W7" s="378"/>
      <c r="X7" s="378"/>
      <c r="Y7" s="378"/>
      <c r="Z7" s="378"/>
      <c r="AA7" s="378"/>
      <c r="AB7" s="378"/>
      <c r="AC7" s="378"/>
      <c r="AD7" s="378"/>
      <c r="AE7" s="378"/>
      <c r="AF7" s="378"/>
      <c r="AG7" s="378"/>
      <c r="AH7" s="378"/>
      <c r="AI7" s="378"/>
      <c r="AJ7" s="378"/>
      <c r="AK7" s="378"/>
      <c r="AL7" s="378"/>
      <c r="AM7" s="378"/>
      <c r="AN7" s="378"/>
      <c r="AO7" s="378"/>
      <c r="AP7" s="378"/>
      <c r="AQ7" s="378"/>
      <c r="AR7" s="378"/>
      <c r="AS7" s="378"/>
      <c r="AT7" s="139"/>
      <c r="AU7" s="523"/>
      <c r="AV7" s="524"/>
    </row>
    <row r="8">
      <c r="A8" s="80"/>
      <c r="B8" s="81"/>
      <c r="C8" s="81"/>
      <c r="D8" s="81"/>
      <c r="E8" s="92" t="s">
        <v>103</v>
      </c>
      <c r="F8" s="93" t="s">
        <v>118</v>
      </c>
      <c r="G8" s="95" t="s">
        <v>203</v>
      </c>
      <c r="H8" s="525">
        <v>1000000.0</v>
      </c>
      <c r="I8" s="526" t="s">
        <v>150</v>
      </c>
      <c r="J8" s="526" t="s">
        <v>150</v>
      </c>
      <c r="K8" s="526" t="s">
        <v>150</v>
      </c>
      <c r="L8" s="526" t="s">
        <v>150</v>
      </c>
      <c r="M8" s="526" t="s">
        <v>150</v>
      </c>
      <c r="N8" s="526" t="s">
        <v>150</v>
      </c>
      <c r="O8" s="526" t="s">
        <v>150</v>
      </c>
      <c r="P8" s="526" t="s">
        <v>150</v>
      </c>
      <c r="Q8" s="526" t="s">
        <v>150</v>
      </c>
      <c r="R8" s="526" t="s">
        <v>150</v>
      </c>
      <c r="S8" s="526" t="s">
        <v>150</v>
      </c>
      <c r="T8" s="526" t="s">
        <v>150</v>
      </c>
      <c r="U8" s="526" t="s">
        <v>150</v>
      </c>
      <c r="V8" s="526" t="s">
        <v>150</v>
      </c>
      <c r="W8" s="526" t="s">
        <v>150</v>
      </c>
      <c r="X8" s="526" t="s">
        <v>150</v>
      </c>
      <c r="Y8" s="526" t="s">
        <v>150</v>
      </c>
      <c r="Z8" s="526" t="s">
        <v>150</v>
      </c>
      <c r="AA8" s="526" t="s">
        <v>150</v>
      </c>
      <c r="AB8" s="526" t="s">
        <v>150</v>
      </c>
      <c r="AC8" s="526" t="s">
        <v>150</v>
      </c>
      <c r="AD8" s="526" t="s">
        <v>150</v>
      </c>
      <c r="AE8" s="526" t="s">
        <v>150</v>
      </c>
      <c r="AF8" s="526" t="s">
        <v>150</v>
      </c>
      <c r="AG8" s="526" t="s">
        <v>150</v>
      </c>
      <c r="AH8" s="526" t="s">
        <v>150</v>
      </c>
      <c r="AI8" s="526" t="s">
        <v>150</v>
      </c>
      <c r="AJ8" s="526" t="s">
        <v>150</v>
      </c>
      <c r="AK8" s="526" t="s">
        <v>150</v>
      </c>
      <c r="AL8" s="526" t="s">
        <v>150</v>
      </c>
      <c r="AM8" s="526" t="s">
        <v>150</v>
      </c>
      <c r="AN8" s="526" t="s">
        <v>150</v>
      </c>
      <c r="AO8" s="526" t="s">
        <v>150</v>
      </c>
      <c r="AP8" s="526" t="s">
        <v>150</v>
      </c>
      <c r="AQ8" s="526" t="s">
        <v>150</v>
      </c>
      <c r="AR8" s="526" t="s">
        <v>150</v>
      </c>
      <c r="AS8" s="526" t="s">
        <v>150</v>
      </c>
      <c r="AT8" s="166"/>
      <c r="AU8" s="527" t="s">
        <v>791</v>
      </c>
      <c r="AV8" s="528"/>
    </row>
    <row r="9">
      <c r="A9" s="80"/>
      <c r="B9" s="81"/>
      <c r="C9" s="21"/>
      <c r="D9" s="21"/>
      <c r="E9" s="99"/>
      <c r="F9" s="487"/>
      <c r="G9" s="379"/>
      <c r="H9" s="529"/>
      <c r="I9" s="378"/>
      <c r="J9" s="378"/>
      <c r="K9" s="378"/>
      <c r="L9" s="378"/>
      <c r="M9" s="378"/>
      <c r="N9" s="378"/>
      <c r="O9" s="378"/>
      <c r="P9" s="378"/>
      <c r="Q9" s="378"/>
      <c r="R9" s="378"/>
      <c r="S9" s="378"/>
      <c r="T9" s="378"/>
      <c r="U9" s="378"/>
      <c r="V9" s="378"/>
      <c r="W9" s="378"/>
      <c r="X9" s="378"/>
      <c r="Y9" s="378"/>
      <c r="Z9" s="378"/>
      <c r="AA9" s="378"/>
      <c r="AB9" s="378"/>
      <c r="AC9" s="378"/>
      <c r="AD9" s="378"/>
      <c r="AE9" s="378"/>
      <c r="AF9" s="378"/>
      <c r="AG9" s="378"/>
      <c r="AH9" s="378"/>
      <c r="AI9" s="378"/>
      <c r="AJ9" s="378"/>
      <c r="AK9" s="378"/>
      <c r="AL9" s="378"/>
      <c r="AM9" s="378"/>
      <c r="AN9" s="378"/>
      <c r="AO9" s="378"/>
      <c r="AP9" s="378"/>
      <c r="AQ9" s="378"/>
      <c r="AR9" s="378"/>
      <c r="AS9" s="378"/>
      <c r="AT9" s="139"/>
      <c r="AU9" s="523"/>
      <c r="AV9" s="524"/>
    </row>
    <row r="10">
      <c r="A10" s="80"/>
      <c r="B10" s="81"/>
      <c r="C10" s="126" t="s">
        <v>793</v>
      </c>
      <c r="F10" s="83"/>
      <c r="G10" s="84"/>
      <c r="H10" s="522"/>
      <c r="I10" s="378"/>
      <c r="J10" s="378"/>
      <c r="K10" s="378"/>
      <c r="L10" s="378"/>
      <c r="M10" s="378"/>
      <c r="N10" s="378"/>
      <c r="O10" s="378"/>
      <c r="P10" s="378"/>
      <c r="Q10" s="378"/>
      <c r="R10" s="378"/>
      <c r="S10" s="378"/>
      <c r="T10" s="378"/>
      <c r="U10" s="378"/>
      <c r="V10" s="378"/>
      <c r="W10" s="378"/>
      <c r="X10" s="378"/>
      <c r="Y10" s="378"/>
      <c r="Z10" s="378"/>
      <c r="AA10" s="378"/>
      <c r="AB10" s="378"/>
      <c r="AC10" s="378"/>
      <c r="AD10" s="378"/>
      <c r="AE10" s="378"/>
      <c r="AF10" s="378"/>
      <c r="AG10" s="378"/>
      <c r="AH10" s="378"/>
      <c r="AI10" s="378"/>
      <c r="AJ10" s="378"/>
      <c r="AK10" s="378"/>
      <c r="AL10" s="378"/>
      <c r="AM10" s="378"/>
      <c r="AN10" s="378"/>
      <c r="AO10" s="378"/>
      <c r="AP10" s="378"/>
      <c r="AQ10" s="378"/>
      <c r="AR10" s="378"/>
      <c r="AS10" s="378"/>
      <c r="AT10" s="139"/>
      <c r="AU10" s="523"/>
      <c r="AV10" s="524"/>
    </row>
    <row r="11">
      <c r="A11" s="80"/>
      <c r="B11" s="81"/>
      <c r="C11" s="81"/>
      <c r="D11" s="206"/>
      <c r="E11" s="530" t="s">
        <v>158</v>
      </c>
      <c r="F11" s="93" t="s">
        <v>118</v>
      </c>
      <c r="G11" s="128" t="s">
        <v>203</v>
      </c>
      <c r="H11" s="531">
        <v>21.27455</v>
      </c>
      <c r="I11" s="532" t="s">
        <v>150</v>
      </c>
      <c r="J11" s="532" t="s">
        <v>150</v>
      </c>
      <c r="K11" s="532" t="s">
        <v>150</v>
      </c>
      <c r="L11" s="532" t="s">
        <v>150</v>
      </c>
      <c r="M11" s="532" t="s">
        <v>150</v>
      </c>
      <c r="N11" s="532" t="s">
        <v>150</v>
      </c>
      <c r="O11" s="532" t="s">
        <v>150</v>
      </c>
      <c r="P11" s="532" t="s">
        <v>150</v>
      </c>
      <c r="Q11" s="532" t="s">
        <v>150</v>
      </c>
      <c r="R11" s="532" t="s">
        <v>150</v>
      </c>
      <c r="S11" s="532" t="s">
        <v>150</v>
      </c>
      <c r="T11" s="532" t="s">
        <v>150</v>
      </c>
      <c r="U11" s="532" t="s">
        <v>150</v>
      </c>
      <c r="V11" s="532" t="s">
        <v>150</v>
      </c>
      <c r="W11" s="532" t="s">
        <v>150</v>
      </c>
      <c r="X11" s="532" t="s">
        <v>150</v>
      </c>
      <c r="Y11" s="532" t="s">
        <v>150</v>
      </c>
      <c r="Z11" s="532" t="s">
        <v>150</v>
      </c>
      <c r="AA11" s="532" t="s">
        <v>150</v>
      </c>
      <c r="AB11" s="532" t="s">
        <v>150</v>
      </c>
      <c r="AC11" s="532" t="s">
        <v>150</v>
      </c>
      <c r="AD11" s="532" t="s">
        <v>150</v>
      </c>
      <c r="AE11" s="532" t="s">
        <v>150</v>
      </c>
      <c r="AF11" s="532" t="s">
        <v>150</v>
      </c>
      <c r="AG11" s="532" t="s">
        <v>150</v>
      </c>
      <c r="AH11" s="532" t="s">
        <v>150</v>
      </c>
      <c r="AI11" s="532" t="s">
        <v>150</v>
      </c>
      <c r="AJ11" s="532" t="s">
        <v>150</v>
      </c>
      <c r="AK11" s="532" t="s">
        <v>150</v>
      </c>
      <c r="AL11" s="532" t="s">
        <v>150</v>
      </c>
      <c r="AM11" s="532" t="s">
        <v>150</v>
      </c>
      <c r="AN11" s="532" t="s">
        <v>150</v>
      </c>
      <c r="AO11" s="532" t="s">
        <v>150</v>
      </c>
      <c r="AP11" s="532" t="s">
        <v>150</v>
      </c>
      <c r="AQ11" s="532" t="s">
        <v>150</v>
      </c>
      <c r="AR11" s="532" t="s">
        <v>150</v>
      </c>
      <c r="AS11" s="532" t="s">
        <v>150</v>
      </c>
      <c r="AT11" s="166"/>
      <c r="AU11" s="527" t="s">
        <v>795</v>
      </c>
      <c r="AV11" s="534" t="s">
        <v>146</v>
      </c>
    </row>
    <row r="12">
      <c r="A12" s="80"/>
      <c r="B12" s="81"/>
      <c r="C12" s="21"/>
      <c r="D12" s="21"/>
      <c r="E12" s="99"/>
      <c r="F12" s="378"/>
      <c r="G12" s="379"/>
      <c r="H12" s="522"/>
      <c r="I12" s="378"/>
      <c r="J12" s="378"/>
      <c r="K12" s="378"/>
      <c r="L12" s="378"/>
      <c r="M12" s="378"/>
      <c r="N12" s="378"/>
      <c r="O12" s="378"/>
      <c r="P12" s="378"/>
      <c r="Q12" s="378"/>
      <c r="R12" s="378"/>
      <c r="S12" s="378"/>
      <c r="T12" s="378"/>
      <c r="U12" s="378"/>
      <c r="V12" s="378"/>
      <c r="W12" s="378"/>
      <c r="X12" s="378"/>
      <c r="Y12" s="378"/>
      <c r="Z12" s="378"/>
      <c r="AA12" s="378"/>
      <c r="AB12" s="378"/>
      <c r="AC12" s="378"/>
      <c r="AD12" s="378"/>
      <c r="AE12" s="378"/>
      <c r="AF12" s="378"/>
      <c r="AG12" s="378"/>
      <c r="AH12" s="378"/>
      <c r="AI12" s="378"/>
      <c r="AJ12" s="378"/>
      <c r="AK12" s="378"/>
      <c r="AL12" s="378"/>
      <c r="AM12" s="378"/>
      <c r="AN12" s="378"/>
      <c r="AO12" s="378"/>
      <c r="AP12" s="378"/>
      <c r="AQ12" s="378"/>
      <c r="AR12" s="378"/>
      <c r="AS12" s="378"/>
      <c r="AT12" s="139"/>
      <c r="AU12" s="523"/>
      <c r="AV12" s="524"/>
    </row>
    <row r="13">
      <c r="A13" s="72" t="s">
        <v>15</v>
      </c>
      <c r="B13" s="14"/>
      <c r="C13" s="14"/>
      <c r="D13" s="14"/>
      <c r="E13" s="14"/>
      <c r="F13" s="14"/>
      <c r="G13" s="482"/>
      <c r="H13" s="535"/>
      <c r="I13" s="536"/>
      <c r="J13" s="536"/>
      <c r="K13" s="536"/>
      <c r="L13" s="536"/>
      <c r="M13" s="536"/>
      <c r="N13" s="536"/>
      <c r="O13" s="536"/>
      <c r="P13" s="536"/>
      <c r="Q13" s="536"/>
      <c r="R13" s="536"/>
      <c r="S13" s="536"/>
      <c r="T13" s="536"/>
      <c r="U13" s="536"/>
      <c r="V13" s="536"/>
      <c r="W13" s="536"/>
      <c r="X13" s="536"/>
      <c r="Y13" s="536"/>
      <c r="Z13" s="536"/>
      <c r="AA13" s="536"/>
      <c r="AB13" s="536"/>
      <c r="AC13" s="536"/>
      <c r="AD13" s="536"/>
      <c r="AE13" s="536"/>
      <c r="AF13" s="536"/>
      <c r="AG13" s="536"/>
      <c r="AH13" s="536"/>
      <c r="AI13" s="536"/>
      <c r="AJ13" s="536"/>
      <c r="AK13" s="536"/>
      <c r="AL13" s="536"/>
      <c r="AM13" s="536"/>
      <c r="AN13" s="536"/>
      <c r="AO13" s="536"/>
      <c r="AP13" s="536"/>
      <c r="AQ13" s="536"/>
      <c r="AR13" s="536"/>
      <c r="AS13" s="536"/>
      <c r="AT13" s="537"/>
      <c r="AU13" s="538"/>
      <c r="AV13" s="539"/>
    </row>
    <row r="14">
      <c r="A14" s="540"/>
      <c r="B14" s="206"/>
      <c r="C14" s="206"/>
      <c r="D14" s="206"/>
      <c r="E14" s="541"/>
      <c r="F14" s="201"/>
      <c r="G14" s="202"/>
      <c r="H14" s="542"/>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543"/>
      <c r="AU14" s="544"/>
      <c r="AV14" s="545"/>
    </row>
    <row r="15">
      <c r="A15" s="540"/>
      <c r="B15" s="206"/>
      <c r="C15" s="126" t="s">
        <v>747</v>
      </c>
      <c r="F15" s="201"/>
      <c r="G15" s="202"/>
      <c r="H15" s="546"/>
      <c r="I15" s="135"/>
      <c r="J15" s="135"/>
      <c r="K15" s="135"/>
      <c r="L15" s="135"/>
      <c r="M15" s="135"/>
      <c r="N15" s="135"/>
      <c r="O15" s="135"/>
      <c r="P15" s="135"/>
      <c r="Q15" s="135"/>
      <c r="R15" s="135"/>
      <c r="S15" s="135"/>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5"/>
      <c r="AQ15" s="135"/>
      <c r="AR15" s="135"/>
      <c r="AS15" s="135"/>
      <c r="AT15" s="543"/>
      <c r="AU15" s="544"/>
      <c r="AV15" s="545"/>
    </row>
    <row r="16">
      <c r="A16" s="540"/>
      <c r="B16" s="206"/>
      <c r="C16" s="206"/>
      <c r="D16" s="206"/>
      <c r="E16" s="548" t="s">
        <v>749</v>
      </c>
      <c r="F16" s="207" t="s">
        <v>122</v>
      </c>
      <c r="G16" s="208" t="s">
        <v>203</v>
      </c>
      <c r="H16" s="549">
        <v>0.85</v>
      </c>
      <c r="I16" s="271" t="s">
        <v>150</v>
      </c>
      <c r="J16" s="271" t="s">
        <v>150</v>
      </c>
      <c r="K16" s="271" t="s">
        <v>150</v>
      </c>
      <c r="L16" s="271" t="s">
        <v>150</v>
      </c>
      <c r="M16" s="271" t="s">
        <v>150</v>
      </c>
      <c r="N16" s="271" t="s">
        <v>150</v>
      </c>
      <c r="O16" s="271" t="s">
        <v>150</v>
      </c>
      <c r="P16" s="271" t="s">
        <v>150</v>
      </c>
      <c r="Q16" s="271" t="s">
        <v>150</v>
      </c>
      <c r="R16" s="271" t="s">
        <v>150</v>
      </c>
      <c r="S16" s="271" t="s">
        <v>150</v>
      </c>
      <c r="T16" s="271" t="s">
        <v>150</v>
      </c>
      <c r="U16" s="271" t="s">
        <v>150</v>
      </c>
      <c r="V16" s="271" t="s">
        <v>150</v>
      </c>
      <c r="W16" s="271" t="s">
        <v>150</v>
      </c>
      <c r="X16" s="271" t="s">
        <v>150</v>
      </c>
      <c r="Y16" s="271" t="s">
        <v>150</v>
      </c>
      <c r="Z16" s="271" t="s">
        <v>150</v>
      </c>
      <c r="AA16" s="271" t="s">
        <v>150</v>
      </c>
      <c r="AB16" s="271" t="s">
        <v>150</v>
      </c>
      <c r="AC16" s="271" t="s">
        <v>150</v>
      </c>
      <c r="AD16" s="271" t="s">
        <v>150</v>
      </c>
      <c r="AE16" s="271" t="s">
        <v>150</v>
      </c>
      <c r="AF16" s="271" t="s">
        <v>150</v>
      </c>
      <c r="AG16" s="271" t="s">
        <v>150</v>
      </c>
      <c r="AH16" s="271" t="s">
        <v>150</v>
      </c>
      <c r="AI16" s="271" t="s">
        <v>150</v>
      </c>
      <c r="AJ16" s="271" t="s">
        <v>150</v>
      </c>
      <c r="AK16" s="271" t="s">
        <v>150</v>
      </c>
      <c r="AL16" s="271" t="s">
        <v>150</v>
      </c>
      <c r="AM16" s="271" t="s">
        <v>150</v>
      </c>
      <c r="AN16" s="271" t="s">
        <v>150</v>
      </c>
      <c r="AO16" s="271" t="s">
        <v>150</v>
      </c>
      <c r="AP16" s="271" t="s">
        <v>150</v>
      </c>
      <c r="AQ16" s="271" t="s">
        <v>150</v>
      </c>
      <c r="AR16" s="271" t="s">
        <v>150</v>
      </c>
      <c r="AS16" s="271" t="s">
        <v>150</v>
      </c>
      <c r="AT16" s="550"/>
      <c r="AU16" s="551" t="s">
        <v>799</v>
      </c>
      <c r="AV16" s="552"/>
    </row>
    <row r="17">
      <c r="A17" s="540"/>
      <c r="B17" s="206"/>
      <c r="C17" s="206"/>
      <c r="D17" s="206"/>
      <c r="E17" s="553" t="s">
        <v>753</v>
      </c>
      <c r="F17" s="278" t="s">
        <v>122</v>
      </c>
      <c r="G17" s="279" t="s">
        <v>203</v>
      </c>
      <c r="H17" s="554">
        <v>0.84</v>
      </c>
      <c r="I17" s="276" t="s">
        <v>150</v>
      </c>
      <c r="J17" s="276" t="s">
        <v>150</v>
      </c>
      <c r="K17" s="276" t="s">
        <v>150</v>
      </c>
      <c r="L17" s="276" t="s">
        <v>150</v>
      </c>
      <c r="M17" s="276" t="s">
        <v>150</v>
      </c>
      <c r="N17" s="276" t="s">
        <v>150</v>
      </c>
      <c r="O17" s="276" t="s">
        <v>150</v>
      </c>
      <c r="P17" s="276" t="s">
        <v>150</v>
      </c>
      <c r="Q17" s="276" t="s">
        <v>150</v>
      </c>
      <c r="R17" s="276" t="s">
        <v>150</v>
      </c>
      <c r="S17" s="276" t="s">
        <v>150</v>
      </c>
      <c r="T17" s="276" t="s">
        <v>150</v>
      </c>
      <c r="U17" s="276" t="s">
        <v>150</v>
      </c>
      <c r="V17" s="276" t="s">
        <v>150</v>
      </c>
      <c r="W17" s="276" t="s">
        <v>150</v>
      </c>
      <c r="X17" s="276" t="s">
        <v>150</v>
      </c>
      <c r="Y17" s="276" t="s">
        <v>150</v>
      </c>
      <c r="Z17" s="276" t="s">
        <v>150</v>
      </c>
      <c r="AA17" s="276" t="s">
        <v>150</v>
      </c>
      <c r="AB17" s="276" t="s">
        <v>150</v>
      </c>
      <c r="AC17" s="276" t="s">
        <v>150</v>
      </c>
      <c r="AD17" s="276" t="s">
        <v>150</v>
      </c>
      <c r="AE17" s="276" t="s">
        <v>150</v>
      </c>
      <c r="AF17" s="276" t="s">
        <v>150</v>
      </c>
      <c r="AG17" s="276" t="s">
        <v>150</v>
      </c>
      <c r="AH17" s="276" t="s">
        <v>150</v>
      </c>
      <c r="AI17" s="276" t="s">
        <v>150</v>
      </c>
      <c r="AJ17" s="276" t="s">
        <v>150</v>
      </c>
      <c r="AK17" s="276" t="s">
        <v>150</v>
      </c>
      <c r="AL17" s="276" t="s">
        <v>150</v>
      </c>
      <c r="AM17" s="276" t="s">
        <v>150</v>
      </c>
      <c r="AN17" s="276" t="s">
        <v>150</v>
      </c>
      <c r="AO17" s="276" t="s">
        <v>150</v>
      </c>
      <c r="AP17" s="276" t="s">
        <v>150</v>
      </c>
      <c r="AQ17" s="276" t="s">
        <v>150</v>
      </c>
      <c r="AR17" s="276" t="s">
        <v>150</v>
      </c>
      <c r="AS17" s="276" t="s">
        <v>150</v>
      </c>
      <c r="AT17" s="555"/>
      <c r="AU17" s="556" t="s">
        <v>800</v>
      </c>
      <c r="AV17" s="557"/>
    </row>
    <row r="18">
      <c r="A18" s="540"/>
      <c r="B18" s="206"/>
      <c r="C18" s="206"/>
      <c r="D18" s="206"/>
      <c r="E18" s="553" t="s">
        <v>756</v>
      </c>
      <c r="F18" s="278" t="s">
        <v>122</v>
      </c>
      <c r="G18" s="279" t="s">
        <v>203</v>
      </c>
      <c r="H18" s="554">
        <v>0.82</v>
      </c>
      <c r="I18" s="276" t="s">
        <v>150</v>
      </c>
      <c r="J18" s="276" t="s">
        <v>150</v>
      </c>
      <c r="K18" s="276" t="s">
        <v>150</v>
      </c>
      <c r="L18" s="276" t="s">
        <v>150</v>
      </c>
      <c r="M18" s="276" t="s">
        <v>150</v>
      </c>
      <c r="N18" s="276" t="s">
        <v>150</v>
      </c>
      <c r="O18" s="276" t="s">
        <v>150</v>
      </c>
      <c r="P18" s="276" t="s">
        <v>150</v>
      </c>
      <c r="Q18" s="276" t="s">
        <v>150</v>
      </c>
      <c r="R18" s="276" t="s">
        <v>150</v>
      </c>
      <c r="S18" s="276" t="s">
        <v>150</v>
      </c>
      <c r="T18" s="276" t="s">
        <v>150</v>
      </c>
      <c r="U18" s="276" t="s">
        <v>150</v>
      </c>
      <c r="V18" s="276" t="s">
        <v>150</v>
      </c>
      <c r="W18" s="276" t="s">
        <v>150</v>
      </c>
      <c r="X18" s="276" t="s">
        <v>150</v>
      </c>
      <c r="Y18" s="276" t="s">
        <v>150</v>
      </c>
      <c r="Z18" s="276" t="s">
        <v>150</v>
      </c>
      <c r="AA18" s="276" t="s">
        <v>150</v>
      </c>
      <c r="AB18" s="276" t="s">
        <v>150</v>
      </c>
      <c r="AC18" s="276" t="s">
        <v>150</v>
      </c>
      <c r="AD18" s="276" t="s">
        <v>150</v>
      </c>
      <c r="AE18" s="276" t="s">
        <v>150</v>
      </c>
      <c r="AF18" s="276" t="s">
        <v>150</v>
      </c>
      <c r="AG18" s="276" t="s">
        <v>150</v>
      </c>
      <c r="AH18" s="276" t="s">
        <v>150</v>
      </c>
      <c r="AI18" s="276" t="s">
        <v>150</v>
      </c>
      <c r="AJ18" s="276" t="s">
        <v>150</v>
      </c>
      <c r="AK18" s="276" t="s">
        <v>150</v>
      </c>
      <c r="AL18" s="276" t="s">
        <v>150</v>
      </c>
      <c r="AM18" s="276" t="s">
        <v>150</v>
      </c>
      <c r="AN18" s="276" t="s">
        <v>150</v>
      </c>
      <c r="AO18" s="276" t="s">
        <v>150</v>
      </c>
      <c r="AP18" s="276" t="s">
        <v>150</v>
      </c>
      <c r="AQ18" s="276" t="s">
        <v>150</v>
      </c>
      <c r="AR18" s="276" t="s">
        <v>150</v>
      </c>
      <c r="AS18" s="276" t="s">
        <v>150</v>
      </c>
      <c r="AT18" s="555"/>
      <c r="AU18" s="556" t="s">
        <v>802</v>
      </c>
      <c r="AV18" s="557"/>
    </row>
    <row r="19">
      <c r="A19" s="540"/>
      <c r="B19" s="206"/>
      <c r="C19" s="206"/>
      <c r="D19" s="206"/>
      <c r="E19" s="553" t="s">
        <v>759</v>
      </c>
      <c r="F19" s="278" t="s">
        <v>122</v>
      </c>
      <c r="G19" s="279" t="s">
        <v>203</v>
      </c>
      <c r="H19" s="554">
        <v>0.58</v>
      </c>
      <c r="I19" s="276" t="s">
        <v>150</v>
      </c>
      <c r="J19" s="276" t="s">
        <v>150</v>
      </c>
      <c r="K19" s="276" t="s">
        <v>150</v>
      </c>
      <c r="L19" s="276" t="s">
        <v>150</v>
      </c>
      <c r="M19" s="276" t="s">
        <v>150</v>
      </c>
      <c r="N19" s="276" t="s">
        <v>150</v>
      </c>
      <c r="O19" s="276" t="s">
        <v>150</v>
      </c>
      <c r="P19" s="276" t="s">
        <v>150</v>
      </c>
      <c r="Q19" s="276" t="s">
        <v>150</v>
      </c>
      <c r="R19" s="276" t="s">
        <v>150</v>
      </c>
      <c r="S19" s="276" t="s">
        <v>150</v>
      </c>
      <c r="T19" s="276" t="s">
        <v>150</v>
      </c>
      <c r="U19" s="276" t="s">
        <v>150</v>
      </c>
      <c r="V19" s="276" t="s">
        <v>150</v>
      </c>
      <c r="W19" s="276" t="s">
        <v>150</v>
      </c>
      <c r="X19" s="276" t="s">
        <v>150</v>
      </c>
      <c r="Y19" s="276" t="s">
        <v>150</v>
      </c>
      <c r="Z19" s="276" t="s">
        <v>150</v>
      </c>
      <c r="AA19" s="276" t="s">
        <v>150</v>
      </c>
      <c r="AB19" s="276" t="s">
        <v>150</v>
      </c>
      <c r="AC19" s="276" t="s">
        <v>150</v>
      </c>
      <c r="AD19" s="276" t="s">
        <v>150</v>
      </c>
      <c r="AE19" s="276" t="s">
        <v>150</v>
      </c>
      <c r="AF19" s="276" t="s">
        <v>150</v>
      </c>
      <c r="AG19" s="276" t="s">
        <v>150</v>
      </c>
      <c r="AH19" s="276" t="s">
        <v>150</v>
      </c>
      <c r="AI19" s="276" t="s">
        <v>150</v>
      </c>
      <c r="AJ19" s="276" t="s">
        <v>150</v>
      </c>
      <c r="AK19" s="276" t="s">
        <v>150</v>
      </c>
      <c r="AL19" s="276" t="s">
        <v>150</v>
      </c>
      <c r="AM19" s="276" t="s">
        <v>150</v>
      </c>
      <c r="AN19" s="276" t="s">
        <v>150</v>
      </c>
      <c r="AO19" s="276" t="s">
        <v>150</v>
      </c>
      <c r="AP19" s="276" t="s">
        <v>150</v>
      </c>
      <c r="AQ19" s="276" t="s">
        <v>150</v>
      </c>
      <c r="AR19" s="276" t="s">
        <v>150</v>
      </c>
      <c r="AS19" s="276" t="s">
        <v>150</v>
      </c>
      <c r="AT19" s="555"/>
      <c r="AU19" s="556" t="s">
        <v>800</v>
      </c>
      <c r="AV19" s="557"/>
    </row>
    <row r="20">
      <c r="A20" s="540"/>
      <c r="B20" s="206"/>
      <c r="C20" s="206"/>
      <c r="D20" s="206"/>
      <c r="E20" s="553" t="s">
        <v>762</v>
      </c>
      <c r="F20" s="278" t="s">
        <v>122</v>
      </c>
      <c r="G20" s="279" t="s">
        <v>203</v>
      </c>
      <c r="H20" s="554">
        <v>0.46</v>
      </c>
      <c r="I20" s="276" t="s">
        <v>150</v>
      </c>
      <c r="J20" s="276" t="s">
        <v>150</v>
      </c>
      <c r="K20" s="276" t="s">
        <v>150</v>
      </c>
      <c r="L20" s="276" t="s">
        <v>150</v>
      </c>
      <c r="M20" s="276" t="s">
        <v>150</v>
      </c>
      <c r="N20" s="276" t="s">
        <v>150</v>
      </c>
      <c r="O20" s="276" t="s">
        <v>150</v>
      </c>
      <c r="P20" s="276" t="s">
        <v>150</v>
      </c>
      <c r="Q20" s="276" t="s">
        <v>150</v>
      </c>
      <c r="R20" s="276" t="s">
        <v>150</v>
      </c>
      <c r="S20" s="276" t="s">
        <v>150</v>
      </c>
      <c r="T20" s="276" t="s">
        <v>150</v>
      </c>
      <c r="U20" s="276" t="s">
        <v>150</v>
      </c>
      <c r="V20" s="276" t="s">
        <v>150</v>
      </c>
      <c r="W20" s="276" t="s">
        <v>150</v>
      </c>
      <c r="X20" s="276" t="s">
        <v>150</v>
      </c>
      <c r="Y20" s="276" t="s">
        <v>150</v>
      </c>
      <c r="Z20" s="276" t="s">
        <v>150</v>
      </c>
      <c r="AA20" s="276" t="s">
        <v>150</v>
      </c>
      <c r="AB20" s="276" t="s">
        <v>150</v>
      </c>
      <c r="AC20" s="276" t="s">
        <v>150</v>
      </c>
      <c r="AD20" s="276" t="s">
        <v>150</v>
      </c>
      <c r="AE20" s="276" t="s">
        <v>150</v>
      </c>
      <c r="AF20" s="276" t="s">
        <v>150</v>
      </c>
      <c r="AG20" s="276" t="s">
        <v>150</v>
      </c>
      <c r="AH20" s="276" t="s">
        <v>150</v>
      </c>
      <c r="AI20" s="276" t="s">
        <v>150</v>
      </c>
      <c r="AJ20" s="276" t="s">
        <v>150</v>
      </c>
      <c r="AK20" s="276" t="s">
        <v>150</v>
      </c>
      <c r="AL20" s="276" t="s">
        <v>150</v>
      </c>
      <c r="AM20" s="276" t="s">
        <v>150</v>
      </c>
      <c r="AN20" s="276" t="s">
        <v>150</v>
      </c>
      <c r="AO20" s="276" t="s">
        <v>150</v>
      </c>
      <c r="AP20" s="276" t="s">
        <v>150</v>
      </c>
      <c r="AQ20" s="276" t="s">
        <v>150</v>
      </c>
      <c r="AR20" s="276" t="s">
        <v>150</v>
      </c>
      <c r="AS20" s="276" t="s">
        <v>150</v>
      </c>
      <c r="AT20" s="555"/>
      <c r="AU20" s="556" t="s">
        <v>800</v>
      </c>
      <c r="AV20" s="557"/>
    </row>
    <row r="21">
      <c r="A21" s="540"/>
      <c r="B21" s="206"/>
      <c r="C21" s="206"/>
      <c r="D21" s="206"/>
      <c r="E21" s="558" t="s">
        <v>767</v>
      </c>
      <c r="F21" s="283" t="s">
        <v>122</v>
      </c>
      <c r="G21" s="285" t="s">
        <v>203</v>
      </c>
      <c r="H21" s="559">
        <v>0.85</v>
      </c>
      <c r="I21" s="291" t="s">
        <v>150</v>
      </c>
      <c r="J21" s="291" t="s">
        <v>150</v>
      </c>
      <c r="K21" s="291" t="s">
        <v>150</v>
      </c>
      <c r="L21" s="291" t="s">
        <v>150</v>
      </c>
      <c r="M21" s="291" t="s">
        <v>150</v>
      </c>
      <c r="N21" s="291" t="s">
        <v>150</v>
      </c>
      <c r="O21" s="291" t="s">
        <v>150</v>
      </c>
      <c r="P21" s="291" t="s">
        <v>150</v>
      </c>
      <c r="Q21" s="291" t="s">
        <v>150</v>
      </c>
      <c r="R21" s="291" t="s">
        <v>150</v>
      </c>
      <c r="S21" s="291" t="s">
        <v>150</v>
      </c>
      <c r="T21" s="291" t="s">
        <v>150</v>
      </c>
      <c r="U21" s="291" t="s">
        <v>150</v>
      </c>
      <c r="V21" s="291" t="s">
        <v>150</v>
      </c>
      <c r="W21" s="291" t="s">
        <v>150</v>
      </c>
      <c r="X21" s="291" t="s">
        <v>150</v>
      </c>
      <c r="Y21" s="291" t="s">
        <v>150</v>
      </c>
      <c r="Z21" s="291" t="s">
        <v>150</v>
      </c>
      <c r="AA21" s="291" t="s">
        <v>150</v>
      </c>
      <c r="AB21" s="291" t="s">
        <v>150</v>
      </c>
      <c r="AC21" s="291" t="s">
        <v>150</v>
      </c>
      <c r="AD21" s="291" t="s">
        <v>150</v>
      </c>
      <c r="AE21" s="291" t="s">
        <v>150</v>
      </c>
      <c r="AF21" s="291" t="s">
        <v>150</v>
      </c>
      <c r="AG21" s="291" t="s">
        <v>150</v>
      </c>
      <c r="AH21" s="291" t="s">
        <v>150</v>
      </c>
      <c r="AI21" s="291" t="s">
        <v>150</v>
      </c>
      <c r="AJ21" s="291" t="s">
        <v>150</v>
      </c>
      <c r="AK21" s="291" t="s">
        <v>150</v>
      </c>
      <c r="AL21" s="291" t="s">
        <v>150</v>
      </c>
      <c r="AM21" s="291" t="s">
        <v>150</v>
      </c>
      <c r="AN21" s="291" t="s">
        <v>150</v>
      </c>
      <c r="AO21" s="291" t="s">
        <v>150</v>
      </c>
      <c r="AP21" s="291" t="s">
        <v>150</v>
      </c>
      <c r="AQ21" s="291" t="s">
        <v>150</v>
      </c>
      <c r="AR21" s="291" t="s">
        <v>150</v>
      </c>
      <c r="AS21" s="291" t="s">
        <v>150</v>
      </c>
      <c r="AT21" s="560"/>
      <c r="AU21" s="147" t="s">
        <v>800</v>
      </c>
      <c r="AV21" s="561"/>
    </row>
    <row r="22">
      <c r="A22" s="540"/>
      <c r="B22" s="206"/>
      <c r="C22" s="206"/>
      <c r="D22" s="206"/>
      <c r="E22" s="541"/>
      <c r="F22" s="201"/>
      <c r="G22" s="202"/>
      <c r="H22" s="542"/>
      <c r="I22" s="368"/>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543"/>
      <c r="AU22" s="544"/>
      <c r="AV22" s="545"/>
    </row>
    <row r="23">
      <c r="A23" s="540"/>
      <c r="B23" s="206"/>
      <c r="C23" s="90" t="s">
        <v>804</v>
      </c>
      <c r="F23" s="201"/>
      <c r="G23" s="202"/>
      <c r="H23" s="542"/>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c r="AI23" s="135"/>
      <c r="AJ23" s="135"/>
      <c r="AK23" s="135"/>
      <c r="AL23" s="135"/>
      <c r="AM23" s="135"/>
      <c r="AN23" s="135"/>
      <c r="AO23" s="135"/>
      <c r="AP23" s="135"/>
      <c r="AQ23" s="135"/>
      <c r="AR23" s="135"/>
      <c r="AS23" s="135"/>
      <c r="AT23" s="543"/>
      <c r="AU23" s="544"/>
      <c r="AV23" s="545"/>
    </row>
    <row r="24">
      <c r="A24" s="540"/>
      <c r="B24" s="206"/>
      <c r="C24" s="206"/>
      <c r="D24" s="206"/>
      <c r="E24" s="548" t="s">
        <v>775</v>
      </c>
      <c r="F24" s="207" t="s">
        <v>122</v>
      </c>
      <c r="G24" s="208" t="s">
        <v>203</v>
      </c>
      <c r="H24" s="549">
        <v>0.2572674</v>
      </c>
      <c r="I24" s="271" t="s">
        <v>150</v>
      </c>
      <c r="J24" s="271" t="s">
        <v>150</v>
      </c>
      <c r="K24" s="271" t="s">
        <v>150</v>
      </c>
      <c r="L24" s="271" t="s">
        <v>150</v>
      </c>
      <c r="M24" s="271" t="s">
        <v>150</v>
      </c>
      <c r="N24" s="271" t="s">
        <v>150</v>
      </c>
      <c r="O24" s="271" t="s">
        <v>150</v>
      </c>
      <c r="P24" s="271" t="s">
        <v>150</v>
      </c>
      <c r="Q24" s="271" t="s">
        <v>150</v>
      </c>
      <c r="R24" s="271" t="s">
        <v>150</v>
      </c>
      <c r="S24" s="271" t="s">
        <v>150</v>
      </c>
      <c r="T24" s="271" t="s">
        <v>150</v>
      </c>
      <c r="U24" s="271" t="s">
        <v>150</v>
      </c>
      <c r="V24" s="271" t="s">
        <v>150</v>
      </c>
      <c r="W24" s="271" t="s">
        <v>150</v>
      </c>
      <c r="X24" s="271" t="s">
        <v>150</v>
      </c>
      <c r="Y24" s="271" t="s">
        <v>150</v>
      </c>
      <c r="Z24" s="271" t="s">
        <v>150</v>
      </c>
      <c r="AA24" s="271" t="s">
        <v>150</v>
      </c>
      <c r="AB24" s="271" t="s">
        <v>150</v>
      </c>
      <c r="AC24" s="271" t="s">
        <v>150</v>
      </c>
      <c r="AD24" s="271" t="s">
        <v>150</v>
      </c>
      <c r="AE24" s="271" t="s">
        <v>150</v>
      </c>
      <c r="AF24" s="271" t="s">
        <v>150</v>
      </c>
      <c r="AG24" s="271" t="s">
        <v>150</v>
      </c>
      <c r="AH24" s="271" t="s">
        <v>150</v>
      </c>
      <c r="AI24" s="271" t="s">
        <v>150</v>
      </c>
      <c r="AJ24" s="271" t="s">
        <v>150</v>
      </c>
      <c r="AK24" s="271" t="s">
        <v>150</v>
      </c>
      <c r="AL24" s="271" t="s">
        <v>150</v>
      </c>
      <c r="AM24" s="271" t="s">
        <v>150</v>
      </c>
      <c r="AN24" s="271" t="s">
        <v>150</v>
      </c>
      <c r="AO24" s="271" t="s">
        <v>150</v>
      </c>
      <c r="AP24" s="271" t="s">
        <v>150</v>
      </c>
      <c r="AQ24" s="271" t="s">
        <v>150</v>
      </c>
      <c r="AR24" s="271" t="s">
        <v>150</v>
      </c>
      <c r="AS24" s="271" t="s">
        <v>150</v>
      </c>
      <c r="AT24" s="550"/>
      <c r="AU24" s="562" t="s">
        <v>795</v>
      </c>
      <c r="AV24" s="130" t="s">
        <v>151</v>
      </c>
    </row>
    <row r="25">
      <c r="A25" s="540"/>
      <c r="B25" s="206"/>
      <c r="C25" s="206"/>
      <c r="D25" s="206"/>
      <c r="E25" s="553" t="s">
        <v>778</v>
      </c>
      <c r="F25" s="278" t="s">
        <v>122</v>
      </c>
      <c r="G25" s="279" t="s">
        <v>203</v>
      </c>
      <c r="H25" s="554">
        <v>0.686</v>
      </c>
      <c r="I25" s="276" t="s">
        <v>150</v>
      </c>
      <c r="J25" s="276" t="s">
        <v>150</v>
      </c>
      <c r="K25" s="276" t="s">
        <v>150</v>
      </c>
      <c r="L25" s="276" t="s">
        <v>150</v>
      </c>
      <c r="M25" s="276" t="s">
        <v>150</v>
      </c>
      <c r="N25" s="276" t="s">
        <v>150</v>
      </c>
      <c r="O25" s="276" t="s">
        <v>150</v>
      </c>
      <c r="P25" s="276" t="s">
        <v>150</v>
      </c>
      <c r="Q25" s="276" t="s">
        <v>150</v>
      </c>
      <c r="R25" s="276" t="s">
        <v>150</v>
      </c>
      <c r="S25" s="276" t="s">
        <v>150</v>
      </c>
      <c r="T25" s="276" t="s">
        <v>150</v>
      </c>
      <c r="U25" s="276" t="s">
        <v>150</v>
      </c>
      <c r="V25" s="276" t="s">
        <v>150</v>
      </c>
      <c r="W25" s="276" t="s">
        <v>150</v>
      </c>
      <c r="X25" s="276" t="s">
        <v>150</v>
      </c>
      <c r="Y25" s="276" t="s">
        <v>150</v>
      </c>
      <c r="Z25" s="276" t="s">
        <v>150</v>
      </c>
      <c r="AA25" s="276" t="s">
        <v>150</v>
      </c>
      <c r="AB25" s="276" t="s">
        <v>150</v>
      </c>
      <c r="AC25" s="276" t="s">
        <v>150</v>
      </c>
      <c r="AD25" s="276" t="s">
        <v>150</v>
      </c>
      <c r="AE25" s="276" t="s">
        <v>150</v>
      </c>
      <c r="AF25" s="276" t="s">
        <v>150</v>
      </c>
      <c r="AG25" s="276" t="s">
        <v>150</v>
      </c>
      <c r="AH25" s="276" t="s">
        <v>150</v>
      </c>
      <c r="AI25" s="276" t="s">
        <v>150</v>
      </c>
      <c r="AJ25" s="276" t="s">
        <v>150</v>
      </c>
      <c r="AK25" s="276" t="s">
        <v>150</v>
      </c>
      <c r="AL25" s="276" t="s">
        <v>150</v>
      </c>
      <c r="AM25" s="276" t="s">
        <v>150</v>
      </c>
      <c r="AN25" s="276" t="s">
        <v>150</v>
      </c>
      <c r="AO25" s="276" t="s">
        <v>150</v>
      </c>
      <c r="AP25" s="276" t="s">
        <v>150</v>
      </c>
      <c r="AQ25" s="276" t="s">
        <v>150</v>
      </c>
      <c r="AR25" s="276" t="s">
        <v>150</v>
      </c>
      <c r="AS25" s="276" t="s">
        <v>150</v>
      </c>
      <c r="AT25" s="555"/>
      <c r="AU25" s="556" t="s">
        <v>807</v>
      </c>
      <c r="AV25" s="557"/>
    </row>
    <row r="26">
      <c r="A26" s="540"/>
      <c r="B26" s="206"/>
      <c r="C26" s="206"/>
      <c r="D26" s="206"/>
      <c r="E26" s="553" t="s">
        <v>781</v>
      </c>
      <c r="F26" s="278" t="s">
        <v>122</v>
      </c>
      <c r="G26" s="279" t="s">
        <v>203</v>
      </c>
      <c r="H26" s="554">
        <v>0.73</v>
      </c>
      <c r="I26" s="276" t="s">
        <v>150</v>
      </c>
      <c r="J26" s="276" t="s">
        <v>150</v>
      </c>
      <c r="K26" s="276" t="s">
        <v>150</v>
      </c>
      <c r="L26" s="276" t="s">
        <v>150</v>
      </c>
      <c r="M26" s="276" t="s">
        <v>150</v>
      </c>
      <c r="N26" s="276" t="s">
        <v>150</v>
      </c>
      <c r="O26" s="276" t="s">
        <v>150</v>
      </c>
      <c r="P26" s="276" t="s">
        <v>150</v>
      </c>
      <c r="Q26" s="276" t="s">
        <v>150</v>
      </c>
      <c r="R26" s="276" t="s">
        <v>150</v>
      </c>
      <c r="S26" s="276" t="s">
        <v>150</v>
      </c>
      <c r="T26" s="276" t="s">
        <v>150</v>
      </c>
      <c r="U26" s="276" t="s">
        <v>150</v>
      </c>
      <c r="V26" s="276" t="s">
        <v>150</v>
      </c>
      <c r="W26" s="276" t="s">
        <v>150</v>
      </c>
      <c r="X26" s="276" t="s">
        <v>150</v>
      </c>
      <c r="Y26" s="276" t="s">
        <v>150</v>
      </c>
      <c r="Z26" s="276" t="s">
        <v>150</v>
      </c>
      <c r="AA26" s="276" t="s">
        <v>150</v>
      </c>
      <c r="AB26" s="276" t="s">
        <v>150</v>
      </c>
      <c r="AC26" s="276" t="s">
        <v>150</v>
      </c>
      <c r="AD26" s="276" t="s">
        <v>150</v>
      </c>
      <c r="AE26" s="276" t="s">
        <v>150</v>
      </c>
      <c r="AF26" s="276" t="s">
        <v>150</v>
      </c>
      <c r="AG26" s="276" t="s">
        <v>150</v>
      </c>
      <c r="AH26" s="276" t="s">
        <v>150</v>
      </c>
      <c r="AI26" s="276" t="s">
        <v>150</v>
      </c>
      <c r="AJ26" s="276" t="s">
        <v>150</v>
      </c>
      <c r="AK26" s="276" t="s">
        <v>150</v>
      </c>
      <c r="AL26" s="276" t="s">
        <v>150</v>
      </c>
      <c r="AM26" s="276" t="s">
        <v>150</v>
      </c>
      <c r="AN26" s="276" t="s">
        <v>150</v>
      </c>
      <c r="AO26" s="276" t="s">
        <v>150</v>
      </c>
      <c r="AP26" s="276" t="s">
        <v>150</v>
      </c>
      <c r="AQ26" s="276" t="s">
        <v>150</v>
      </c>
      <c r="AR26" s="276" t="s">
        <v>150</v>
      </c>
      <c r="AS26" s="276" t="s">
        <v>150</v>
      </c>
      <c r="AT26" s="555"/>
      <c r="AU26" s="556" t="s">
        <v>808</v>
      </c>
      <c r="AV26" s="557"/>
    </row>
    <row r="27">
      <c r="A27" s="540"/>
      <c r="B27" s="206"/>
      <c r="C27" s="206"/>
      <c r="D27" s="206"/>
      <c r="E27" s="553" t="s">
        <v>787</v>
      </c>
      <c r="F27" s="278" t="s">
        <v>122</v>
      </c>
      <c r="G27" s="279" t="s">
        <v>203</v>
      </c>
      <c r="H27" s="554">
        <v>0.1</v>
      </c>
      <c r="I27" s="276" t="s">
        <v>150</v>
      </c>
      <c r="J27" s="276" t="s">
        <v>150</v>
      </c>
      <c r="K27" s="276" t="s">
        <v>150</v>
      </c>
      <c r="L27" s="276" t="s">
        <v>150</v>
      </c>
      <c r="M27" s="276" t="s">
        <v>150</v>
      </c>
      <c r="N27" s="276" t="s">
        <v>150</v>
      </c>
      <c r="O27" s="276" t="s">
        <v>150</v>
      </c>
      <c r="P27" s="276" t="s">
        <v>150</v>
      </c>
      <c r="Q27" s="276" t="s">
        <v>150</v>
      </c>
      <c r="R27" s="276" t="s">
        <v>150</v>
      </c>
      <c r="S27" s="276" t="s">
        <v>150</v>
      </c>
      <c r="T27" s="276" t="s">
        <v>150</v>
      </c>
      <c r="U27" s="276" t="s">
        <v>150</v>
      </c>
      <c r="V27" s="276" t="s">
        <v>150</v>
      </c>
      <c r="W27" s="276" t="s">
        <v>150</v>
      </c>
      <c r="X27" s="276" t="s">
        <v>150</v>
      </c>
      <c r="Y27" s="276" t="s">
        <v>150</v>
      </c>
      <c r="Z27" s="276" t="s">
        <v>150</v>
      </c>
      <c r="AA27" s="276" t="s">
        <v>150</v>
      </c>
      <c r="AB27" s="276" t="s">
        <v>150</v>
      </c>
      <c r="AC27" s="276" t="s">
        <v>150</v>
      </c>
      <c r="AD27" s="276" t="s">
        <v>150</v>
      </c>
      <c r="AE27" s="276" t="s">
        <v>150</v>
      </c>
      <c r="AF27" s="276" t="s">
        <v>150</v>
      </c>
      <c r="AG27" s="276" t="s">
        <v>150</v>
      </c>
      <c r="AH27" s="276" t="s">
        <v>150</v>
      </c>
      <c r="AI27" s="276" t="s">
        <v>150</v>
      </c>
      <c r="AJ27" s="276" t="s">
        <v>150</v>
      </c>
      <c r="AK27" s="276" t="s">
        <v>150</v>
      </c>
      <c r="AL27" s="276" t="s">
        <v>150</v>
      </c>
      <c r="AM27" s="276" t="s">
        <v>150</v>
      </c>
      <c r="AN27" s="276" t="s">
        <v>150</v>
      </c>
      <c r="AO27" s="276" t="s">
        <v>150</v>
      </c>
      <c r="AP27" s="276" t="s">
        <v>150</v>
      </c>
      <c r="AQ27" s="276" t="s">
        <v>150</v>
      </c>
      <c r="AR27" s="276" t="s">
        <v>150</v>
      </c>
      <c r="AS27" s="276" t="s">
        <v>150</v>
      </c>
      <c r="AT27" s="555"/>
      <c r="AU27" s="566" t="s">
        <v>809</v>
      </c>
      <c r="AV27" s="557"/>
    </row>
    <row r="28">
      <c r="A28" s="540"/>
      <c r="B28" s="206"/>
      <c r="C28" s="206"/>
      <c r="D28" s="206"/>
      <c r="E28" s="553" t="s">
        <v>792</v>
      </c>
      <c r="F28" s="278" t="s">
        <v>122</v>
      </c>
      <c r="G28" s="279" t="s">
        <v>203</v>
      </c>
      <c r="H28" s="554">
        <v>0.2</v>
      </c>
      <c r="I28" s="276" t="s">
        <v>150</v>
      </c>
      <c r="J28" s="276" t="s">
        <v>150</v>
      </c>
      <c r="K28" s="276" t="s">
        <v>150</v>
      </c>
      <c r="L28" s="276" t="s">
        <v>150</v>
      </c>
      <c r="M28" s="276" t="s">
        <v>150</v>
      </c>
      <c r="N28" s="276" t="s">
        <v>150</v>
      </c>
      <c r="O28" s="276" t="s">
        <v>150</v>
      </c>
      <c r="P28" s="276" t="s">
        <v>150</v>
      </c>
      <c r="Q28" s="276" t="s">
        <v>150</v>
      </c>
      <c r="R28" s="276" t="s">
        <v>150</v>
      </c>
      <c r="S28" s="276" t="s">
        <v>150</v>
      </c>
      <c r="T28" s="276" t="s">
        <v>150</v>
      </c>
      <c r="U28" s="276" t="s">
        <v>150</v>
      </c>
      <c r="V28" s="276" t="s">
        <v>150</v>
      </c>
      <c r="W28" s="276" t="s">
        <v>150</v>
      </c>
      <c r="X28" s="276" t="s">
        <v>150</v>
      </c>
      <c r="Y28" s="276" t="s">
        <v>150</v>
      </c>
      <c r="Z28" s="276" t="s">
        <v>150</v>
      </c>
      <c r="AA28" s="276" t="s">
        <v>150</v>
      </c>
      <c r="AB28" s="276" t="s">
        <v>150</v>
      </c>
      <c r="AC28" s="276" t="s">
        <v>150</v>
      </c>
      <c r="AD28" s="276" t="s">
        <v>150</v>
      </c>
      <c r="AE28" s="276" t="s">
        <v>150</v>
      </c>
      <c r="AF28" s="276" t="s">
        <v>150</v>
      </c>
      <c r="AG28" s="276" t="s">
        <v>150</v>
      </c>
      <c r="AH28" s="276" t="s">
        <v>150</v>
      </c>
      <c r="AI28" s="276" t="s">
        <v>150</v>
      </c>
      <c r="AJ28" s="276" t="s">
        <v>150</v>
      </c>
      <c r="AK28" s="276" t="s">
        <v>150</v>
      </c>
      <c r="AL28" s="276" t="s">
        <v>150</v>
      </c>
      <c r="AM28" s="276" t="s">
        <v>150</v>
      </c>
      <c r="AN28" s="276" t="s">
        <v>150</v>
      </c>
      <c r="AO28" s="276" t="s">
        <v>150</v>
      </c>
      <c r="AP28" s="276" t="s">
        <v>150</v>
      </c>
      <c r="AQ28" s="276" t="s">
        <v>150</v>
      </c>
      <c r="AR28" s="276" t="s">
        <v>150</v>
      </c>
      <c r="AS28" s="276" t="s">
        <v>150</v>
      </c>
      <c r="AT28" s="555"/>
      <c r="AU28" s="566" t="s">
        <v>809</v>
      </c>
      <c r="AV28" s="557"/>
    </row>
    <row r="29">
      <c r="A29" s="540"/>
      <c r="B29" s="206"/>
      <c r="C29" s="206"/>
      <c r="D29" s="206"/>
      <c r="E29" s="553" t="s">
        <v>801</v>
      </c>
      <c r="F29" s="278" t="s">
        <v>122</v>
      </c>
      <c r="G29" s="279" t="s">
        <v>203</v>
      </c>
      <c r="H29" s="554">
        <v>0.35</v>
      </c>
      <c r="I29" s="276" t="s">
        <v>150</v>
      </c>
      <c r="J29" s="276" t="s">
        <v>150</v>
      </c>
      <c r="K29" s="276" t="s">
        <v>150</v>
      </c>
      <c r="L29" s="276" t="s">
        <v>150</v>
      </c>
      <c r="M29" s="276" t="s">
        <v>150</v>
      </c>
      <c r="N29" s="276" t="s">
        <v>150</v>
      </c>
      <c r="O29" s="276" t="s">
        <v>150</v>
      </c>
      <c r="P29" s="276" t="s">
        <v>150</v>
      </c>
      <c r="Q29" s="276" t="s">
        <v>150</v>
      </c>
      <c r="R29" s="276" t="s">
        <v>150</v>
      </c>
      <c r="S29" s="276" t="s">
        <v>150</v>
      </c>
      <c r="T29" s="276" t="s">
        <v>150</v>
      </c>
      <c r="U29" s="276" t="s">
        <v>150</v>
      </c>
      <c r="V29" s="276" t="s">
        <v>150</v>
      </c>
      <c r="W29" s="276" t="s">
        <v>150</v>
      </c>
      <c r="X29" s="276" t="s">
        <v>150</v>
      </c>
      <c r="Y29" s="276" t="s">
        <v>150</v>
      </c>
      <c r="Z29" s="276" t="s">
        <v>150</v>
      </c>
      <c r="AA29" s="276" t="s">
        <v>150</v>
      </c>
      <c r="AB29" s="276" t="s">
        <v>150</v>
      </c>
      <c r="AC29" s="276" t="s">
        <v>150</v>
      </c>
      <c r="AD29" s="276" t="s">
        <v>150</v>
      </c>
      <c r="AE29" s="276" t="s">
        <v>150</v>
      </c>
      <c r="AF29" s="276" t="s">
        <v>150</v>
      </c>
      <c r="AG29" s="276" t="s">
        <v>150</v>
      </c>
      <c r="AH29" s="276" t="s">
        <v>150</v>
      </c>
      <c r="AI29" s="276" t="s">
        <v>150</v>
      </c>
      <c r="AJ29" s="276" t="s">
        <v>150</v>
      </c>
      <c r="AK29" s="276" t="s">
        <v>150</v>
      </c>
      <c r="AL29" s="276" t="s">
        <v>150</v>
      </c>
      <c r="AM29" s="276" t="s">
        <v>150</v>
      </c>
      <c r="AN29" s="276" t="s">
        <v>150</v>
      </c>
      <c r="AO29" s="276" t="s">
        <v>150</v>
      </c>
      <c r="AP29" s="276" t="s">
        <v>150</v>
      </c>
      <c r="AQ29" s="276" t="s">
        <v>150</v>
      </c>
      <c r="AR29" s="276" t="s">
        <v>150</v>
      </c>
      <c r="AS29" s="276" t="s">
        <v>150</v>
      </c>
      <c r="AT29" s="555"/>
      <c r="AU29" s="566" t="s">
        <v>809</v>
      </c>
      <c r="AV29" s="557"/>
    </row>
    <row r="30">
      <c r="A30" s="540"/>
      <c r="B30" s="206"/>
      <c r="C30" s="206"/>
      <c r="D30" s="206"/>
      <c r="E30" s="553" t="s">
        <v>805</v>
      </c>
      <c r="F30" s="278" t="s">
        <v>122</v>
      </c>
      <c r="G30" s="279" t="s">
        <v>203</v>
      </c>
      <c r="H30" s="554">
        <v>0.35</v>
      </c>
      <c r="I30" s="276" t="s">
        <v>150</v>
      </c>
      <c r="J30" s="276" t="s">
        <v>150</v>
      </c>
      <c r="K30" s="276" t="s">
        <v>150</v>
      </c>
      <c r="L30" s="276" t="s">
        <v>150</v>
      </c>
      <c r="M30" s="276" t="s">
        <v>150</v>
      </c>
      <c r="N30" s="276" t="s">
        <v>150</v>
      </c>
      <c r="O30" s="276" t="s">
        <v>150</v>
      </c>
      <c r="P30" s="276" t="s">
        <v>150</v>
      </c>
      <c r="Q30" s="276" t="s">
        <v>150</v>
      </c>
      <c r="R30" s="276" t="s">
        <v>150</v>
      </c>
      <c r="S30" s="276" t="s">
        <v>150</v>
      </c>
      <c r="T30" s="276" t="s">
        <v>150</v>
      </c>
      <c r="U30" s="276" t="s">
        <v>150</v>
      </c>
      <c r="V30" s="276" t="s">
        <v>150</v>
      </c>
      <c r="W30" s="276" t="s">
        <v>150</v>
      </c>
      <c r="X30" s="276" t="s">
        <v>150</v>
      </c>
      <c r="Y30" s="276" t="s">
        <v>150</v>
      </c>
      <c r="Z30" s="276" t="s">
        <v>150</v>
      </c>
      <c r="AA30" s="276" t="s">
        <v>150</v>
      </c>
      <c r="AB30" s="276" t="s">
        <v>150</v>
      </c>
      <c r="AC30" s="276" t="s">
        <v>150</v>
      </c>
      <c r="AD30" s="276" t="s">
        <v>150</v>
      </c>
      <c r="AE30" s="276" t="s">
        <v>150</v>
      </c>
      <c r="AF30" s="276" t="s">
        <v>150</v>
      </c>
      <c r="AG30" s="276" t="s">
        <v>150</v>
      </c>
      <c r="AH30" s="276" t="s">
        <v>150</v>
      </c>
      <c r="AI30" s="276" t="s">
        <v>150</v>
      </c>
      <c r="AJ30" s="276" t="s">
        <v>150</v>
      </c>
      <c r="AK30" s="276" t="s">
        <v>150</v>
      </c>
      <c r="AL30" s="276" t="s">
        <v>150</v>
      </c>
      <c r="AM30" s="276" t="s">
        <v>150</v>
      </c>
      <c r="AN30" s="276" t="s">
        <v>150</v>
      </c>
      <c r="AO30" s="276" t="s">
        <v>150</v>
      </c>
      <c r="AP30" s="276" t="s">
        <v>150</v>
      </c>
      <c r="AQ30" s="276" t="s">
        <v>150</v>
      </c>
      <c r="AR30" s="276" t="s">
        <v>150</v>
      </c>
      <c r="AS30" s="276" t="s">
        <v>150</v>
      </c>
      <c r="AT30" s="555"/>
      <c r="AU30" s="566" t="s">
        <v>809</v>
      </c>
      <c r="AV30" s="557"/>
    </row>
    <row r="31">
      <c r="A31" s="540"/>
      <c r="B31" s="206"/>
      <c r="C31" s="206"/>
      <c r="D31" s="206"/>
      <c r="E31" s="558" t="s">
        <v>810</v>
      </c>
      <c r="F31" s="283" t="s">
        <v>122</v>
      </c>
      <c r="G31" s="285" t="s">
        <v>203</v>
      </c>
      <c r="H31" s="559">
        <v>0.75</v>
      </c>
      <c r="I31" s="291" t="s">
        <v>150</v>
      </c>
      <c r="J31" s="291" t="s">
        <v>150</v>
      </c>
      <c r="K31" s="291" t="s">
        <v>150</v>
      </c>
      <c r="L31" s="291" t="s">
        <v>150</v>
      </c>
      <c r="M31" s="291" t="s">
        <v>150</v>
      </c>
      <c r="N31" s="291" t="s">
        <v>150</v>
      </c>
      <c r="O31" s="291" t="s">
        <v>150</v>
      </c>
      <c r="P31" s="291" t="s">
        <v>150</v>
      </c>
      <c r="Q31" s="291" t="s">
        <v>150</v>
      </c>
      <c r="R31" s="291" t="s">
        <v>150</v>
      </c>
      <c r="S31" s="291" t="s">
        <v>150</v>
      </c>
      <c r="T31" s="291" t="s">
        <v>150</v>
      </c>
      <c r="U31" s="291" t="s">
        <v>150</v>
      </c>
      <c r="V31" s="291" t="s">
        <v>150</v>
      </c>
      <c r="W31" s="291" t="s">
        <v>150</v>
      </c>
      <c r="X31" s="291" t="s">
        <v>150</v>
      </c>
      <c r="Y31" s="291" t="s">
        <v>150</v>
      </c>
      <c r="Z31" s="291" t="s">
        <v>150</v>
      </c>
      <c r="AA31" s="291" t="s">
        <v>150</v>
      </c>
      <c r="AB31" s="291" t="s">
        <v>150</v>
      </c>
      <c r="AC31" s="291" t="s">
        <v>150</v>
      </c>
      <c r="AD31" s="291" t="s">
        <v>150</v>
      </c>
      <c r="AE31" s="291" t="s">
        <v>150</v>
      </c>
      <c r="AF31" s="291" t="s">
        <v>150</v>
      </c>
      <c r="AG31" s="291" t="s">
        <v>150</v>
      </c>
      <c r="AH31" s="291" t="s">
        <v>150</v>
      </c>
      <c r="AI31" s="291" t="s">
        <v>150</v>
      </c>
      <c r="AJ31" s="291" t="s">
        <v>150</v>
      </c>
      <c r="AK31" s="291" t="s">
        <v>150</v>
      </c>
      <c r="AL31" s="291" t="s">
        <v>150</v>
      </c>
      <c r="AM31" s="291" t="s">
        <v>150</v>
      </c>
      <c r="AN31" s="291" t="s">
        <v>150</v>
      </c>
      <c r="AO31" s="291" t="s">
        <v>150</v>
      </c>
      <c r="AP31" s="291" t="s">
        <v>150</v>
      </c>
      <c r="AQ31" s="291" t="s">
        <v>150</v>
      </c>
      <c r="AR31" s="291" t="s">
        <v>150</v>
      </c>
      <c r="AS31" s="291" t="s">
        <v>150</v>
      </c>
      <c r="AT31" s="560"/>
      <c r="AU31" s="567" t="s">
        <v>809</v>
      </c>
      <c r="AV31" s="561"/>
    </row>
    <row r="32">
      <c r="A32" s="540"/>
      <c r="B32" s="206"/>
      <c r="C32" s="206"/>
      <c r="D32" s="206"/>
      <c r="E32" s="541"/>
      <c r="F32" s="201"/>
      <c r="G32" s="202"/>
      <c r="H32" s="542"/>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543"/>
      <c r="AU32" s="544"/>
      <c r="AV32" s="545"/>
    </row>
    <row r="33">
      <c r="A33" s="540"/>
      <c r="B33" s="206"/>
      <c r="C33" s="126" t="s">
        <v>811</v>
      </c>
      <c r="F33" s="201"/>
      <c r="G33" s="202"/>
      <c r="H33" s="542"/>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543"/>
      <c r="AU33" s="544"/>
      <c r="AV33" s="545"/>
    </row>
    <row r="34">
      <c r="A34" s="540"/>
      <c r="B34" s="206"/>
      <c r="C34" s="206"/>
      <c r="D34" s="206"/>
      <c r="E34" s="530" t="s">
        <v>812</v>
      </c>
      <c r="F34" s="568" t="s">
        <v>122</v>
      </c>
      <c r="G34" s="569" t="s">
        <v>203</v>
      </c>
      <c r="H34" s="570">
        <v>0.95</v>
      </c>
      <c r="I34" s="321" t="s">
        <v>150</v>
      </c>
      <c r="J34" s="321" t="s">
        <v>150</v>
      </c>
      <c r="K34" s="321" t="s">
        <v>150</v>
      </c>
      <c r="L34" s="321" t="s">
        <v>150</v>
      </c>
      <c r="M34" s="321" t="s">
        <v>150</v>
      </c>
      <c r="N34" s="321" t="s">
        <v>150</v>
      </c>
      <c r="O34" s="321" t="s">
        <v>150</v>
      </c>
      <c r="P34" s="321" t="s">
        <v>150</v>
      </c>
      <c r="Q34" s="321" t="s">
        <v>150</v>
      </c>
      <c r="R34" s="321" t="s">
        <v>150</v>
      </c>
      <c r="S34" s="321" t="s">
        <v>150</v>
      </c>
      <c r="T34" s="321" t="s">
        <v>150</v>
      </c>
      <c r="U34" s="321" t="s">
        <v>150</v>
      </c>
      <c r="V34" s="321" t="s">
        <v>150</v>
      </c>
      <c r="W34" s="321" t="s">
        <v>150</v>
      </c>
      <c r="X34" s="321" t="s">
        <v>150</v>
      </c>
      <c r="Y34" s="321" t="s">
        <v>150</v>
      </c>
      <c r="Z34" s="321" t="s">
        <v>150</v>
      </c>
      <c r="AA34" s="321" t="s">
        <v>150</v>
      </c>
      <c r="AB34" s="321" t="s">
        <v>150</v>
      </c>
      <c r="AC34" s="321" t="s">
        <v>150</v>
      </c>
      <c r="AD34" s="321" t="s">
        <v>150</v>
      </c>
      <c r="AE34" s="321" t="s">
        <v>150</v>
      </c>
      <c r="AF34" s="321" t="s">
        <v>150</v>
      </c>
      <c r="AG34" s="321" t="s">
        <v>150</v>
      </c>
      <c r="AH34" s="321" t="s">
        <v>150</v>
      </c>
      <c r="AI34" s="321" t="s">
        <v>150</v>
      </c>
      <c r="AJ34" s="321" t="s">
        <v>150</v>
      </c>
      <c r="AK34" s="321" t="s">
        <v>150</v>
      </c>
      <c r="AL34" s="321" t="s">
        <v>150</v>
      </c>
      <c r="AM34" s="321" t="s">
        <v>150</v>
      </c>
      <c r="AN34" s="321" t="s">
        <v>150</v>
      </c>
      <c r="AO34" s="321" t="s">
        <v>150</v>
      </c>
      <c r="AP34" s="321" t="s">
        <v>150</v>
      </c>
      <c r="AQ34" s="321" t="s">
        <v>150</v>
      </c>
      <c r="AR34" s="321" t="s">
        <v>150</v>
      </c>
      <c r="AS34" s="321" t="s">
        <v>150</v>
      </c>
      <c r="AT34" s="571"/>
      <c r="AU34" s="572" t="s">
        <v>809</v>
      </c>
      <c r="AV34" s="573"/>
    </row>
    <row r="35">
      <c r="A35" s="540"/>
      <c r="B35" s="206"/>
      <c r="C35" s="206"/>
      <c r="D35" s="206"/>
      <c r="E35" s="541"/>
      <c r="F35" s="201"/>
      <c r="G35" s="202"/>
      <c r="H35" s="542"/>
      <c r="I35" s="135"/>
      <c r="J35" s="135"/>
      <c r="K35" s="135"/>
      <c r="L35" s="135"/>
      <c r="M35" s="135"/>
      <c r="N35" s="135"/>
      <c r="O35" s="135"/>
      <c r="P35" s="135"/>
      <c r="Q35" s="135"/>
      <c r="R35" s="135"/>
      <c r="S35" s="135"/>
      <c r="T35" s="135"/>
      <c r="U35" s="135"/>
      <c r="V35" s="135"/>
      <c r="W35" s="135"/>
      <c r="X35" s="135"/>
      <c r="Y35" s="135"/>
      <c r="Z35" s="135"/>
      <c r="AA35" s="135"/>
      <c r="AB35" s="135"/>
      <c r="AC35" s="135"/>
      <c r="AD35" s="135"/>
      <c r="AE35" s="135"/>
      <c r="AF35" s="135"/>
      <c r="AG35" s="135"/>
      <c r="AH35" s="135"/>
      <c r="AI35" s="135"/>
      <c r="AJ35" s="135"/>
      <c r="AK35" s="135"/>
      <c r="AL35" s="135"/>
      <c r="AM35" s="135"/>
      <c r="AN35" s="135"/>
      <c r="AO35" s="135"/>
      <c r="AP35" s="135"/>
      <c r="AQ35" s="135"/>
      <c r="AR35" s="135"/>
      <c r="AS35" s="135"/>
      <c r="AT35" s="543"/>
      <c r="AU35" s="544"/>
      <c r="AV35" s="545"/>
    </row>
    <row r="36">
      <c r="A36" s="72" t="s">
        <v>813</v>
      </c>
      <c r="B36" s="14"/>
      <c r="C36" s="14"/>
      <c r="D36" s="14"/>
      <c r="E36" s="14"/>
      <c r="F36" s="14"/>
      <c r="G36" s="482"/>
      <c r="H36" s="535"/>
      <c r="I36" s="536"/>
      <c r="J36" s="536"/>
      <c r="K36" s="536"/>
      <c r="L36" s="536"/>
      <c r="M36" s="536"/>
      <c r="N36" s="536"/>
      <c r="O36" s="536"/>
      <c r="P36" s="536"/>
      <c r="Q36" s="536"/>
      <c r="R36" s="536"/>
      <c r="S36" s="536"/>
      <c r="T36" s="536"/>
      <c r="U36" s="536"/>
      <c r="V36" s="536"/>
      <c r="W36" s="536"/>
      <c r="X36" s="536"/>
      <c r="Y36" s="536"/>
      <c r="Z36" s="536"/>
      <c r="AA36" s="536"/>
      <c r="AB36" s="536"/>
      <c r="AC36" s="536"/>
      <c r="AD36" s="536"/>
      <c r="AE36" s="536"/>
      <c r="AF36" s="536"/>
      <c r="AG36" s="536"/>
      <c r="AH36" s="536"/>
      <c r="AI36" s="536"/>
      <c r="AJ36" s="536"/>
      <c r="AK36" s="536"/>
      <c r="AL36" s="536"/>
      <c r="AM36" s="536"/>
      <c r="AN36" s="536"/>
      <c r="AO36" s="536"/>
      <c r="AP36" s="536"/>
      <c r="AQ36" s="536"/>
      <c r="AR36" s="536"/>
      <c r="AS36" s="536"/>
      <c r="AT36" s="537"/>
      <c r="AU36" s="538"/>
      <c r="AV36" s="539"/>
    </row>
    <row r="37">
      <c r="A37" s="540"/>
      <c r="B37" s="206"/>
      <c r="C37" s="206"/>
      <c r="D37" s="206"/>
      <c r="E37" s="541"/>
      <c r="F37" s="201"/>
      <c r="G37" s="202"/>
      <c r="H37" s="542"/>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543"/>
      <c r="AU37" s="544"/>
      <c r="AV37" s="545"/>
    </row>
    <row r="38">
      <c r="A38" s="540"/>
      <c r="B38" s="206"/>
      <c r="C38" s="90" t="s">
        <v>356</v>
      </c>
      <c r="F38" s="83"/>
      <c r="G38" s="91"/>
      <c r="H38" s="542"/>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543"/>
      <c r="AU38" s="544"/>
      <c r="AV38" s="545"/>
    </row>
    <row r="39">
      <c r="A39" s="540"/>
      <c r="B39" s="206"/>
      <c r="C39" s="90"/>
      <c r="D39" s="90"/>
      <c r="E39" s="577" t="s">
        <v>357</v>
      </c>
      <c r="F39" s="189" t="s">
        <v>111</v>
      </c>
      <c r="G39" s="190" t="s">
        <v>203</v>
      </c>
      <c r="H39" s="578" t="s">
        <v>150</v>
      </c>
      <c r="I39" s="271">
        <v>20.0</v>
      </c>
      <c r="J39" s="271">
        <v>11.0</v>
      </c>
      <c r="K39" s="271">
        <v>27.0</v>
      </c>
      <c r="L39" s="271">
        <v>23.0</v>
      </c>
      <c r="M39" s="271">
        <v>44.0</v>
      </c>
      <c r="N39" s="271">
        <v>34.0</v>
      </c>
      <c r="O39" s="271">
        <v>21.0</v>
      </c>
      <c r="P39" s="271">
        <v>23.0</v>
      </c>
      <c r="Q39" s="271">
        <v>14.0</v>
      </c>
      <c r="R39" s="271">
        <v>17.0</v>
      </c>
      <c r="S39" s="271">
        <v>21.0</v>
      </c>
      <c r="T39" s="271">
        <v>31.0</v>
      </c>
      <c r="U39" s="271">
        <v>21.0</v>
      </c>
      <c r="V39" s="271">
        <v>8.0</v>
      </c>
      <c r="W39" s="271">
        <v>23.0</v>
      </c>
      <c r="X39" s="271">
        <v>27.0</v>
      </c>
      <c r="Y39" s="271">
        <v>18.0</v>
      </c>
      <c r="Z39" s="271">
        <v>25.0</v>
      </c>
      <c r="AA39" s="271">
        <v>12.0</v>
      </c>
      <c r="AB39" s="271">
        <v>18.0</v>
      </c>
      <c r="AC39" s="271">
        <v>16.0</v>
      </c>
      <c r="AD39" s="271">
        <v>17.0</v>
      </c>
      <c r="AE39" s="271">
        <v>6.0</v>
      </c>
      <c r="AF39" s="271">
        <v>27.0</v>
      </c>
      <c r="AG39" s="271">
        <v>21.0</v>
      </c>
      <c r="AH39" s="271">
        <v>16.0</v>
      </c>
      <c r="AI39" s="271">
        <v>20.0</v>
      </c>
      <c r="AJ39" s="271">
        <v>13.0</v>
      </c>
      <c r="AK39" s="271">
        <v>25.0</v>
      </c>
      <c r="AL39" s="271">
        <v>20.0</v>
      </c>
      <c r="AM39" s="271">
        <v>18.0</v>
      </c>
      <c r="AN39" s="271">
        <v>30.0</v>
      </c>
      <c r="AO39" s="271">
        <v>33.0</v>
      </c>
      <c r="AP39" s="271">
        <v>17.0</v>
      </c>
      <c r="AQ39" s="271">
        <v>23.0</v>
      </c>
      <c r="AR39" s="271">
        <v>16.0</v>
      </c>
      <c r="AS39" s="271">
        <v>17.0</v>
      </c>
      <c r="AT39" s="550"/>
      <c r="AU39" s="551" t="s">
        <v>814</v>
      </c>
      <c r="AV39" s="552"/>
    </row>
    <row r="40">
      <c r="A40" s="540"/>
      <c r="B40" s="206"/>
      <c r="C40" s="90"/>
      <c r="D40" s="90"/>
      <c r="E40" s="580" t="s">
        <v>818</v>
      </c>
      <c r="F40" s="215" t="s">
        <v>111</v>
      </c>
      <c r="G40" s="216" t="s">
        <v>203</v>
      </c>
      <c r="H40" s="581" t="s">
        <v>150</v>
      </c>
      <c r="I40" s="276">
        <v>20.0</v>
      </c>
      <c r="J40" s="276">
        <v>11.0</v>
      </c>
      <c r="K40" s="276">
        <v>23.0</v>
      </c>
      <c r="L40" s="276">
        <v>18.0</v>
      </c>
      <c r="M40" s="276">
        <v>44.0</v>
      </c>
      <c r="N40" s="276">
        <v>12.0</v>
      </c>
      <c r="O40" s="276">
        <v>16.0</v>
      </c>
      <c r="P40" s="276">
        <v>14.0</v>
      </c>
      <c r="Q40" s="276">
        <v>1.0</v>
      </c>
      <c r="R40" s="276">
        <v>0.0</v>
      </c>
      <c r="S40" s="276">
        <v>18.0</v>
      </c>
      <c r="T40" s="276">
        <v>0.0</v>
      </c>
      <c r="U40" s="276">
        <v>0.0</v>
      </c>
      <c r="V40" s="276">
        <v>0.0</v>
      </c>
      <c r="W40" s="276">
        <v>0.0</v>
      </c>
      <c r="X40" s="276">
        <v>0.0</v>
      </c>
      <c r="Y40" s="276">
        <v>0.0</v>
      </c>
      <c r="Z40" s="276">
        <v>0.0</v>
      </c>
      <c r="AA40" s="276">
        <v>0.0</v>
      </c>
      <c r="AB40" s="276">
        <v>0.0</v>
      </c>
      <c r="AC40" s="276">
        <v>0.0</v>
      </c>
      <c r="AD40" s="276">
        <v>0.0</v>
      </c>
      <c r="AE40" s="276">
        <v>0.0</v>
      </c>
      <c r="AF40" s="276">
        <v>0.0</v>
      </c>
      <c r="AG40" s="276">
        <v>0.0</v>
      </c>
      <c r="AH40" s="276">
        <v>0.0</v>
      </c>
      <c r="AI40" s="276">
        <v>0.0</v>
      </c>
      <c r="AJ40" s="276">
        <v>0.0</v>
      </c>
      <c r="AK40" s="276">
        <v>0.0</v>
      </c>
      <c r="AL40" s="276">
        <v>0.0</v>
      </c>
      <c r="AM40" s="276">
        <v>0.0</v>
      </c>
      <c r="AN40" s="276">
        <v>0.0</v>
      </c>
      <c r="AO40" s="276">
        <v>0.0</v>
      </c>
      <c r="AP40" s="276">
        <v>0.0</v>
      </c>
      <c r="AQ40" s="276">
        <v>0.0</v>
      </c>
      <c r="AR40" s="276">
        <v>9.0</v>
      </c>
      <c r="AS40" s="276">
        <v>0.0</v>
      </c>
      <c r="AT40" s="555"/>
      <c r="AU40" s="566" t="s">
        <v>795</v>
      </c>
      <c r="AV40" s="582" t="s">
        <v>819</v>
      </c>
    </row>
    <row r="41">
      <c r="A41" s="540"/>
      <c r="B41" s="206"/>
      <c r="C41" s="90"/>
      <c r="D41" s="90"/>
      <c r="E41" s="583" t="s">
        <v>367</v>
      </c>
      <c r="F41" s="195" t="s">
        <v>122</v>
      </c>
      <c r="G41" s="291" t="s">
        <v>203</v>
      </c>
      <c r="H41" s="559">
        <v>0.5</v>
      </c>
      <c r="I41" s="291" t="s">
        <v>150</v>
      </c>
      <c r="J41" s="291" t="s">
        <v>150</v>
      </c>
      <c r="K41" s="291" t="s">
        <v>150</v>
      </c>
      <c r="L41" s="291" t="s">
        <v>150</v>
      </c>
      <c r="M41" s="291" t="s">
        <v>150</v>
      </c>
      <c r="N41" s="291" t="s">
        <v>150</v>
      </c>
      <c r="O41" s="291" t="s">
        <v>150</v>
      </c>
      <c r="P41" s="291" t="s">
        <v>150</v>
      </c>
      <c r="Q41" s="291" t="s">
        <v>150</v>
      </c>
      <c r="R41" s="291" t="s">
        <v>150</v>
      </c>
      <c r="S41" s="291" t="s">
        <v>150</v>
      </c>
      <c r="T41" s="291" t="s">
        <v>150</v>
      </c>
      <c r="U41" s="291" t="s">
        <v>150</v>
      </c>
      <c r="V41" s="291" t="s">
        <v>150</v>
      </c>
      <c r="W41" s="291" t="s">
        <v>150</v>
      </c>
      <c r="X41" s="291" t="s">
        <v>150</v>
      </c>
      <c r="Y41" s="291" t="s">
        <v>150</v>
      </c>
      <c r="Z41" s="291" t="s">
        <v>150</v>
      </c>
      <c r="AA41" s="291" t="s">
        <v>150</v>
      </c>
      <c r="AB41" s="291" t="s">
        <v>150</v>
      </c>
      <c r="AC41" s="291" t="s">
        <v>150</v>
      </c>
      <c r="AD41" s="291" t="s">
        <v>150</v>
      </c>
      <c r="AE41" s="291" t="s">
        <v>150</v>
      </c>
      <c r="AF41" s="291" t="s">
        <v>150</v>
      </c>
      <c r="AG41" s="291" t="s">
        <v>150</v>
      </c>
      <c r="AH41" s="291" t="s">
        <v>150</v>
      </c>
      <c r="AI41" s="291" t="s">
        <v>150</v>
      </c>
      <c r="AJ41" s="291" t="s">
        <v>150</v>
      </c>
      <c r="AK41" s="291" t="s">
        <v>150</v>
      </c>
      <c r="AL41" s="291" t="s">
        <v>150</v>
      </c>
      <c r="AM41" s="291" t="s">
        <v>150</v>
      </c>
      <c r="AN41" s="291" t="s">
        <v>150</v>
      </c>
      <c r="AO41" s="291" t="s">
        <v>150</v>
      </c>
      <c r="AP41" s="291" t="s">
        <v>150</v>
      </c>
      <c r="AQ41" s="291" t="s">
        <v>150</v>
      </c>
      <c r="AR41" s="291" t="s">
        <v>150</v>
      </c>
      <c r="AS41" s="291" t="s">
        <v>150</v>
      </c>
      <c r="AT41" s="560"/>
      <c r="AU41" s="567" t="s">
        <v>809</v>
      </c>
      <c r="AV41" s="561"/>
    </row>
    <row r="42">
      <c r="A42" s="540"/>
      <c r="B42" s="206"/>
      <c r="C42" s="90"/>
      <c r="D42" s="90"/>
      <c r="E42" s="112"/>
      <c r="F42" s="108"/>
      <c r="G42" s="122"/>
      <c r="H42" s="542"/>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543"/>
      <c r="AU42" s="544"/>
      <c r="AV42" s="545"/>
    </row>
    <row r="43">
      <c r="A43" s="206"/>
      <c r="B43" s="206"/>
      <c r="C43" s="90" t="s">
        <v>374</v>
      </c>
      <c r="F43" s="83"/>
      <c r="G43" s="135"/>
      <c r="H43" s="542"/>
      <c r="I43" s="135"/>
      <c r="J43" s="135"/>
      <c r="K43" s="135"/>
      <c r="L43" s="135"/>
      <c r="M43" s="135"/>
      <c r="N43" s="135"/>
      <c r="O43" s="135"/>
      <c r="P43" s="135"/>
      <c r="Q43" s="135"/>
      <c r="R43" s="135"/>
      <c r="S43" s="135"/>
      <c r="T43" s="135"/>
      <c r="U43" s="135"/>
      <c r="V43" s="135"/>
      <c r="W43" s="135"/>
      <c r="X43" s="135"/>
      <c r="Y43" s="135"/>
      <c r="Z43" s="135"/>
      <c r="AA43" s="135"/>
      <c r="AB43" s="135"/>
      <c r="AC43" s="135"/>
      <c r="AD43" s="135"/>
      <c r="AE43" s="135"/>
      <c r="AF43" s="135"/>
      <c r="AG43" s="135"/>
      <c r="AH43" s="135"/>
      <c r="AI43" s="135"/>
      <c r="AJ43" s="135"/>
      <c r="AK43" s="135"/>
      <c r="AL43" s="135"/>
      <c r="AM43" s="135"/>
      <c r="AN43" s="135"/>
      <c r="AO43" s="135"/>
      <c r="AP43" s="135"/>
      <c r="AQ43" s="135"/>
      <c r="AR43" s="135"/>
      <c r="AS43" s="135"/>
      <c r="AT43" s="543"/>
      <c r="AU43" s="544"/>
      <c r="AV43" s="545"/>
    </row>
    <row r="44">
      <c r="A44" s="540"/>
      <c r="B44" s="206"/>
      <c r="C44" s="90"/>
      <c r="D44" s="90"/>
      <c r="E44" s="577" t="s">
        <v>375</v>
      </c>
      <c r="F44" s="189" t="s">
        <v>122</v>
      </c>
      <c r="G44" s="190" t="s">
        <v>203</v>
      </c>
      <c r="H44" s="578" t="s">
        <v>150</v>
      </c>
      <c r="I44" s="586">
        <v>0.5502363</v>
      </c>
      <c r="J44" s="586">
        <v>0.71897</v>
      </c>
      <c r="K44" s="586">
        <v>0.607543</v>
      </c>
      <c r="L44" s="586">
        <v>0.771063</v>
      </c>
      <c r="M44" s="586">
        <v>0.625174</v>
      </c>
      <c r="N44" s="586">
        <v>0.42517</v>
      </c>
      <c r="O44" s="586">
        <v>0.389681</v>
      </c>
      <c r="P44" s="586">
        <v>0.347098</v>
      </c>
      <c r="Q44" s="586">
        <v>0.2098</v>
      </c>
      <c r="R44" s="271" t="s">
        <v>150</v>
      </c>
      <c r="S44" s="586">
        <v>0.8916488</v>
      </c>
      <c r="T44" s="271" t="s">
        <v>150</v>
      </c>
      <c r="U44" s="271" t="s">
        <v>150</v>
      </c>
      <c r="V44" s="586" t="s">
        <v>150</v>
      </c>
      <c r="W44" s="586" t="s">
        <v>150</v>
      </c>
      <c r="X44" s="586" t="s">
        <v>150</v>
      </c>
      <c r="Y44" s="586" t="s">
        <v>150</v>
      </c>
      <c r="Z44" s="586" t="s">
        <v>150</v>
      </c>
      <c r="AA44" s="586" t="s">
        <v>150</v>
      </c>
      <c r="AB44" s="586" t="s">
        <v>150</v>
      </c>
      <c r="AC44" s="586" t="s">
        <v>150</v>
      </c>
      <c r="AD44" s="586" t="s">
        <v>150</v>
      </c>
      <c r="AE44" s="586" t="s">
        <v>150</v>
      </c>
      <c r="AF44" s="586" t="s">
        <v>150</v>
      </c>
      <c r="AG44" s="586" t="s">
        <v>150</v>
      </c>
      <c r="AH44" s="586" t="s">
        <v>150</v>
      </c>
      <c r="AI44" s="586" t="s">
        <v>150</v>
      </c>
      <c r="AJ44" s="586" t="s">
        <v>150</v>
      </c>
      <c r="AK44" s="586" t="s">
        <v>150</v>
      </c>
      <c r="AL44" s="586" t="s">
        <v>150</v>
      </c>
      <c r="AM44" s="586" t="s">
        <v>150</v>
      </c>
      <c r="AN44" s="586" t="s">
        <v>150</v>
      </c>
      <c r="AO44" s="586" t="s">
        <v>150</v>
      </c>
      <c r="AP44" s="586" t="s">
        <v>150</v>
      </c>
      <c r="AQ44" s="586" t="s">
        <v>150</v>
      </c>
      <c r="AR44" s="586">
        <v>0.76868</v>
      </c>
      <c r="AS44" s="586" t="s">
        <v>150</v>
      </c>
      <c r="AT44" s="550"/>
      <c r="AU44" s="589" t="s">
        <v>795</v>
      </c>
      <c r="AV44" s="130" t="s">
        <v>819</v>
      </c>
    </row>
    <row r="45">
      <c r="A45" s="540"/>
      <c r="B45" s="206"/>
      <c r="C45" s="90"/>
      <c r="D45" s="90"/>
      <c r="E45" s="577" t="s">
        <v>380</v>
      </c>
      <c r="F45" s="189" t="s">
        <v>122</v>
      </c>
      <c r="G45" s="190" t="s">
        <v>203</v>
      </c>
      <c r="H45" s="578" t="s">
        <v>150</v>
      </c>
      <c r="I45" s="586">
        <v>0.492627</v>
      </c>
      <c r="J45" s="586">
        <v>0.669297</v>
      </c>
      <c r="K45" s="586">
        <v>0.570422</v>
      </c>
      <c r="L45" s="586">
        <v>0.737175</v>
      </c>
      <c r="M45" s="586">
        <v>0.576081</v>
      </c>
      <c r="N45" s="586">
        <v>0.391148</v>
      </c>
      <c r="O45" s="586">
        <v>0.323942</v>
      </c>
      <c r="P45" s="586">
        <v>0.267364</v>
      </c>
      <c r="Q45" s="586">
        <v>0.1367</v>
      </c>
      <c r="R45" s="271" t="s">
        <v>150</v>
      </c>
      <c r="S45" s="586">
        <v>0.8639257</v>
      </c>
      <c r="T45" s="271" t="s">
        <v>150</v>
      </c>
      <c r="U45" s="271" t="s">
        <v>150</v>
      </c>
      <c r="V45" s="586" t="s">
        <v>150</v>
      </c>
      <c r="W45" s="586" t="s">
        <v>150</v>
      </c>
      <c r="X45" s="586" t="s">
        <v>150</v>
      </c>
      <c r="Y45" s="586" t="s">
        <v>150</v>
      </c>
      <c r="Z45" s="586" t="s">
        <v>150</v>
      </c>
      <c r="AA45" s="586" t="s">
        <v>150</v>
      </c>
      <c r="AB45" s="586" t="s">
        <v>150</v>
      </c>
      <c r="AC45" s="586" t="s">
        <v>150</v>
      </c>
      <c r="AD45" s="586" t="s">
        <v>150</v>
      </c>
      <c r="AE45" s="586" t="s">
        <v>150</v>
      </c>
      <c r="AF45" s="586" t="s">
        <v>150</v>
      </c>
      <c r="AG45" s="586" t="s">
        <v>150</v>
      </c>
      <c r="AH45" s="586" t="s">
        <v>150</v>
      </c>
      <c r="AI45" s="586" t="s">
        <v>150</v>
      </c>
      <c r="AJ45" s="586" t="s">
        <v>150</v>
      </c>
      <c r="AK45" s="586" t="s">
        <v>150</v>
      </c>
      <c r="AL45" s="586" t="s">
        <v>150</v>
      </c>
      <c r="AM45" s="586" t="s">
        <v>150</v>
      </c>
      <c r="AN45" s="586" t="s">
        <v>150</v>
      </c>
      <c r="AO45" s="586" t="s">
        <v>150</v>
      </c>
      <c r="AP45" s="586" t="s">
        <v>150</v>
      </c>
      <c r="AQ45" s="586" t="s">
        <v>150</v>
      </c>
      <c r="AR45" s="586">
        <v>0.737023</v>
      </c>
      <c r="AS45" s="586" t="s">
        <v>150</v>
      </c>
      <c r="AT45" s="550"/>
      <c r="AU45" s="590" t="s">
        <v>795</v>
      </c>
      <c r="AV45" s="582" t="s">
        <v>819</v>
      </c>
    </row>
    <row r="46">
      <c r="A46" s="540"/>
      <c r="B46" s="206"/>
      <c r="C46" s="90"/>
      <c r="D46" s="90"/>
      <c r="E46" s="580" t="s">
        <v>385</v>
      </c>
      <c r="F46" s="215" t="s">
        <v>122</v>
      </c>
      <c r="G46" s="216" t="s">
        <v>203</v>
      </c>
      <c r="H46" s="581" t="s">
        <v>150</v>
      </c>
      <c r="I46" s="303">
        <v>0.4492416</v>
      </c>
      <c r="J46" s="303">
        <v>0.627728</v>
      </c>
      <c r="K46" s="303">
        <v>0.514389</v>
      </c>
      <c r="L46" s="303">
        <v>0.666353</v>
      </c>
      <c r="M46" s="303">
        <v>0.495632</v>
      </c>
      <c r="N46" s="303">
        <v>0.375029</v>
      </c>
      <c r="O46" s="303">
        <v>0.232988</v>
      </c>
      <c r="P46" s="303">
        <v>0.256479</v>
      </c>
      <c r="Q46" s="303">
        <v>0.1248</v>
      </c>
      <c r="R46" s="276" t="s">
        <v>150</v>
      </c>
      <c r="S46" s="303">
        <v>0.7891816</v>
      </c>
      <c r="T46" s="276" t="s">
        <v>150</v>
      </c>
      <c r="U46" s="276" t="s">
        <v>150</v>
      </c>
      <c r="V46" s="303" t="s">
        <v>150</v>
      </c>
      <c r="W46" s="303" t="s">
        <v>150</v>
      </c>
      <c r="X46" s="303" t="s">
        <v>150</v>
      </c>
      <c r="Y46" s="303" t="s">
        <v>150</v>
      </c>
      <c r="Z46" s="303" t="s">
        <v>150</v>
      </c>
      <c r="AA46" s="303" t="s">
        <v>150</v>
      </c>
      <c r="AB46" s="303" t="s">
        <v>150</v>
      </c>
      <c r="AC46" s="303" t="s">
        <v>150</v>
      </c>
      <c r="AD46" s="303" t="s">
        <v>150</v>
      </c>
      <c r="AE46" s="303" t="s">
        <v>150</v>
      </c>
      <c r="AF46" s="303" t="s">
        <v>150</v>
      </c>
      <c r="AG46" s="303" t="s">
        <v>150</v>
      </c>
      <c r="AH46" s="303" t="s">
        <v>150</v>
      </c>
      <c r="AI46" s="303" t="s">
        <v>150</v>
      </c>
      <c r="AJ46" s="303" t="s">
        <v>150</v>
      </c>
      <c r="AK46" s="303" t="s">
        <v>150</v>
      </c>
      <c r="AL46" s="303" t="s">
        <v>150</v>
      </c>
      <c r="AM46" s="303" t="s">
        <v>150</v>
      </c>
      <c r="AN46" s="303" t="s">
        <v>150</v>
      </c>
      <c r="AO46" s="303" t="s">
        <v>150</v>
      </c>
      <c r="AP46" s="303" t="s">
        <v>150</v>
      </c>
      <c r="AQ46" s="303" t="s">
        <v>150</v>
      </c>
      <c r="AR46" s="303">
        <v>0.670801</v>
      </c>
      <c r="AS46" s="303" t="s">
        <v>150</v>
      </c>
      <c r="AT46" s="555"/>
      <c r="AU46" s="590" t="s">
        <v>795</v>
      </c>
      <c r="AV46" s="582" t="s">
        <v>819</v>
      </c>
    </row>
    <row r="47">
      <c r="A47" s="540"/>
      <c r="B47" s="206"/>
      <c r="C47" s="90"/>
      <c r="D47" s="90"/>
      <c r="E47" s="580" t="s">
        <v>390</v>
      </c>
      <c r="F47" s="215" t="s">
        <v>122</v>
      </c>
      <c r="G47" s="216" t="s">
        <v>203</v>
      </c>
      <c r="H47" s="581" t="s">
        <v>150</v>
      </c>
      <c r="I47" s="303">
        <v>0.3592128</v>
      </c>
      <c r="J47" s="303">
        <v>0.498994</v>
      </c>
      <c r="K47" s="303">
        <v>0.394439</v>
      </c>
      <c r="L47" s="303">
        <v>0.575903</v>
      </c>
      <c r="M47" s="303">
        <v>0.379575</v>
      </c>
      <c r="N47" s="303">
        <v>0.298181</v>
      </c>
      <c r="O47" s="303">
        <v>0.140453</v>
      </c>
      <c r="P47" s="303">
        <v>0.184736</v>
      </c>
      <c r="Q47" s="303">
        <v>0.0871</v>
      </c>
      <c r="R47" s="276" t="s">
        <v>150</v>
      </c>
      <c r="S47" s="303">
        <v>0.696186</v>
      </c>
      <c r="T47" s="276" t="s">
        <v>150</v>
      </c>
      <c r="U47" s="276" t="s">
        <v>150</v>
      </c>
      <c r="V47" s="303" t="s">
        <v>150</v>
      </c>
      <c r="W47" s="303" t="s">
        <v>150</v>
      </c>
      <c r="X47" s="303" t="s">
        <v>150</v>
      </c>
      <c r="Y47" s="303" t="s">
        <v>150</v>
      </c>
      <c r="Z47" s="303" t="s">
        <v>150</v>
      </c>
      <c r="AA47" s="303" t="s">
        <v>150</v>
      </c>
      <c r="AB47" s="303" t="s">
        <v>150</v>
      </c>
      <c r="AC47" s="303" t="s">
        <v>150</v>
      </c>
      <c r="AD47" s="303" t="s">
        <v>150</v>
      </c>
      <c r="AE47" s="303" t="s">
        <v>150</v>
      </c>
      <c r="AF47" s="303" t="s">
        <v>150</v>
      </c>
      <c r="AG47" s="303" t="s">
        <v>150</v>
      </c>
      <c r="AH47" s="303" t="s">
        <v>150</v>
      </c>
      <c r="AI47" s="303" t="s">
        <v>150</v>
      </c>
      <c r="AJ47" s="303" t="s">
        <v>150</v>
      </c>
      <c r="AK47" s="303" t="s">
        <v>150</v>
      </c>
      <c r="AL47" s="303" t="s">
        <v>150</v>
      </c>
      <c r="AM47" s="303" t="s">
        <v>150</v>
      </c>
      <c r="AN47" s="303" t="s">
        <v>150</v>
      </c>
      <c r="AO47" s="303" t="s">
        <v>150</v>
      </c>
      <c r="AP47" s="303" t="s">
        <v>150</v>
      </c>
      <c r="AQ47" s="303" t="s">
        <v>150</v>
      </c>
      <c r="AR47" s="303">
        <v>0.569836</v>
      </c>
      <c r="AS47" s="303" t="s">
        <v>150</v>
      </c>
      <c r="AT47" s="555"/>
      <c r="AU47" s="590" t="s">
        <v>795</v>
      </c>
      <c r="AV47" s="582" t="s">
        <v>819</v>
      </c>
    </row>
    <row r="48">
      <c r="A48" s="540"/>
      <c r="B48" s="206"/>
      <c r="C48" s="90"/>
      <c r="D48" s="90"/>
      <c r="E48" s="583" t="s">
        <v>394</v>
      </c>
      <c r="F48" s="195" t="s">
        <v>122</v>
      </c>
      <c r="G48" s="196" t="s">
        <v>203</v>
      </c>
      <c r="H48" s="593" t="s">
        <v>150</v>
      </c>
      <c r="I48" s="594">
        <v>0.3507536</v>
      </c>
      <c r="J48" s="594">
        <v>0.487185</v>
      </c>
      <c r="K48" s="594">
        <v>0.376109</v>
      </c>
      <c r="L48" s="594">
        <v>0.534296</v>
      </c>
      <c r="M48" s="594">
        <v>0.341451</v>
      </c>
      <c r="N48" s="594">
        <v>0.267725</v>
      </c>
      <c r="O48" s="594">
        <v>0.216692</v>
      </c>
      <c r="P48" s="594">
        <v>0.212981</v>
      </c>
      <c r="Q48" s="594">
        <v>0.1393</v>
      </c>
      <c r="R48" s="291" t="s">
        <v>150</v>
      </c>
      <c r="S48" s="594">
        <v>0.5973075</v>
      </c>
      <c r="T48" s="291" t="s">
        <v>150</v>
      </c>
      <c r="U48" s="291" t="s">
        <v>150</v>
      </c>
      <c r="V48" s="594" t="s">
        <v>150</v>
      </c>
      <c r="W48" s="594" t="s">
        <v>150</v>
      </c>
      <c r="X48" s="594" t="s">
        <v>150</v>
      </c>
      <c r="Y48" s="594" t="s">
        <v>150</v>
      </c>
      <c r="Z48" s="594" t="s">
        <v>150</v>
      </c>
      <c r="AA48" s="594" t="s">
        <v>150</v>
      </c>
      <c r="AB48" s="594" t="s">
        <v>150</v>
      </c>
      <c r="AC48" s="594" t="s">
        <v>150</v>
      </c>
      <c r="AD48" s="594" t="s">
        <v>150</v>
      </c>
      <c r="AE48" s="594" t="s">
        <v>150</v>
      </c>
      <c r="AF48" s="594" t="s">
        <v>150</v>
      </c>
      <c r="AG48" s="594" t="s">
        <v>150</v>
      </c>
      <c r="AH48" s="594" t="s">
        <v>150</v>
      </c>
      <c r="AI48" s="594" t="s">
        <v>150</v>
      </c>
      <c r="AJ48" s="594" t="s">
        <v>150</v>
      </c>
      <c r="AK48" s="594" t="s">
        <v>150</v>
      </c>
      <c r="AL48" s="594" t="s">
        <v>150</v>
      </c>
      <c r="AM48" s="594" t="s">
        <v>150</v>
      </c>
      <c r="AN48" s="594" t="s">
        <v>150</v>
      </c>
      <c r="AO48" s="594" t="s">
        <v>150</v>
      </c>
      <c r="AP48" s="594" t="s">
        <v>150</v>
      </c>
      <c r="AQ48" s="594" t="s">
        <v>150</v>
      </c>
      <c r="AR48" s="594">
        <v>0.506814</v>
      </c>
      <c r="AS48" s="594" t="s">
        <v>150</v>
      </c>
      <c r="AT48" s="560"/>
      <c r="AU48" s="595" t="s">
        <v>795</v>
      </c>
      <c r="AV48" s="596" t="s">
        <v>819</v>
      </c>
    </row>
    <row r="49">
      <c r="A49" s="540"/>
      <c r="B49" s="206"/>
      <c r="C49" s="206"/>
      <c r="D49" s="206"/>
      <c r="E49" s="541"/>
      <c r="F49" s="201"/>
      <c r="G49" s="202"/>
      <c r="H49" s="542"/>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c r="AI49" s="135"/>
      <c r="AJ49" s="135"/>
      <c r="AK49" s="135"/>
      <c r="AL49" s="135"/>
      <c r="AM49" s="135"/>
      <c r="AN49" s="135"/>
      <c r="AO49" s="135"/>
      <c r="AP49" s="135"/>
      <c r="AQ49" s="135"/>
      <c r="AR49" s="135"/>
      <c r="AS49" s="135"/>
      <c r="AT49" s="543"/>
      <c r="AU49" s="544"/>
      <c r="AV49" s="545"/>
    </row>
    <row r="50">
      <c r="A50" s="540"/>
      <c r="B50" s="206"/>
      <c r="C50" s="90" t="s">
        <v>400</v>
      </c>
      <c r="F50" s="201"/>
      <c r="G50" s="202"/>
      <c r="H50" s="542"/>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135"/>
      <c r="AH50" s="135"/>
      <c r="AI50" s="135"/>
      <c r="AJ50" s="135"/>
      <c r="AK50" s="135"/>
      <c r="AL50" s="135"/>
      <c r="AM50" s="135"/>
      <c r="AN50" s="135"/>
      <c r="AO50" s="135"/>
      <c r="AP50" s="135"/>
      <c r="AQ50" s="135"/>
      <c r="AR50" s="135"/>
      <c r="AS50" s="135"/>
      <c r="AT50" s="543"/>
      <c r="AU50" s="544"/>
      <c r="AV50" s="545"/>
    </row>
    <row r="51">
      <c r="A51" s="540"/>
      <c r="B51" s="206"/>
      <c r="C51" s="206"/>
      <c r="D51" s="206"/>
      <c r="E51" s="530" t="s">
        <v>401</v>
      </c>
      <c r="F51" s="225" t="s">
        <v>122</v>
      </c>
      <c r="G51" s="226" t="s">
        <v>203</v>
      </c>
      <c r="H51" s="597">
        <v>0.006</v>
      </c>
      <c r="I51" s="321" t="s">
        <v>150</v>
      </c>
      <c r="J51" s="321" t="s">
        <v>150</v>
      </c>
      <c r="K51" s="321" t="s">
        <v>150</v>
      </c>
      <c r="L51" s="321" t="s">
        <v>150</v>
      </c>
      <c r="M51" s="321" t="s">
        <v>150</v>
      </c>
      <c r="N51" s="321" t="s">
        <v>150</v>
      </c>
      <c r="O51" s="321" t="s">
        <v>150</v>
      </c>
      <c r="P51" s="321" t="s">
        <v>150</v>
      </c>
      <c r="Q51" s="321" t="s">
        <v>150</v>
      </c>
      <c r="R51" s="321" t="s">
        <v>150</v>
      </c>
      <c r="S51" s="321" t="s">
        <v>150</v>
      </c>
      <c r="T51" s="321" t="s">
        <v>150</v>
      </c>
      <c r="U51" s="321" t="s">
        <v>150</v>
      </c>
      <c r="V51" s="321" t="s">
        <v>150</v>
      </c>
      <c r="W51" s="321" t="s">
        <v>150</v>
      </c>
      <c r="X51" s="321" t="s">
        <v>150</v>
      </c>
      <c r="Y51" s="321" t="s">
        <v>150</v>
      </c>
      <c r="Z51" s="321" t="s">
        <v>150</v>
      </c>
      <c r="AA51" s="321" t="s">
        <v>150</v>
      </c>
      <c r="AB51" s="321" t="s">
        <v>150</v>
      </c>
      <c r="AC51" s="321" t="s">
        <v>150</v>
      </c>
      <c r="AD51" s="321" t="s">
        <v>150</v>
      </c>
      <c r="AE51" s="321" t="s">
        <v>150</v>
      </c>
      <c r="AF51" s="321" t="s">
        <v>150</v>
      </c>
      <c r="AG51" s="321" t="s">
        <v>150</v>
      </c>
      <c r="AH51" s="321" t="s">
        <v>150</v>
      </c>
      <c r="AI51" s="321" t="s">
        <v>150</v>
      </c>
      <c r="AJ51" s="321" t="s">
        <v>150</v>
      </c>
      <c r="AK51" s="321" t="s">
        <v>150</v>
      </c>
      <c r="AL51" s="321" t="s">
        <v>150</v>
      </c>
      <c r="AM51" s="321" t="s">
        <v>150</v>
      </c>
      <c r="AN51" s="321" t="s">
        <v>150</v>
      </c>
      <c r="AO51" s="321" t="s">
        <v>150</v>
      </c>
      <c r="AP51" s="321" t="s">
        <v>150</v>
      </c>
      <c r="AQ51" s="321" t="s">
        <v>150</v>
      </c>
      <c r="AR51" s="321" t="s">
        <v>150</v>
      </c>
      <c r="AS51" s="321" t="s">
        <v>150</v>
      </c>
      <c r="AT51" s="571"/>
      <c r="AU51" s="572" t="s">
        <v>795</v>
      </c>
      <c r="AV51" s="534" t="s">
        <v>819</v>
      </c>
    </row>
    <row r="52">
      <c r="A52" s="540"/>
      <c r="B52" s="206"/>
      <c r="C52" s="206"/>
      <c r="D52" s="206"/>
      <c r="E52" s="541"/>
      <c r="F52" s="598"/>
      <c r="G52" s="202"/>
      <c r="H52" s="542"/>
      <c r="I52" s="135"/>
      <c r="J52" s="135"/>
      <c r="K52" s="135"/>
      <c r="L52" s="135"/>
      <c r="M52" s="135"/>
      <c r="N52" s="135"/>
      <c r="O52" s="135"/>
      <c r="P52" s="135"/>
      <c r="Q52" s="135"/>
      <c r="R52" s="135"/>
      <c r="S52" s="135"/>
      <c r="T52" s="135"/>
      <c r="U52" s="135"/>
      <c r="V52" s="135"/>
      <c r="W52" s="135"/>
      <c r="X52" s="135"/>
      <c r="Y52" s="135"/>
      <c r="Z52" s="135"/>
      <c r="AA52" s="135"/>
      <c r="AB52" s="135"/>
      <c r="AC52" s="135"/>
      <c r="AD52" s="135"/>
      <c r="AE52" s="135"/>
      <c r="AF52" s="135"/>
      <c r="AG52" s="135"/>
      <c r="AH52" s="135"/>
      <c r="AI52" s="135"/>
      <c r="AJ52" s="135"/>
      <c r="AK52" s="135"/>
      <c r="AL52" s="135"/>
      <c r="AM52" s="135"/>
      <c r="AN52" s="135"/>
      <c r="AO52" s="135"/>
      <c r="AP52" s="135"/>
      <c r="AQ52" s="135"/>
      <c r="AR52" s="135"/>
      <c r="AS52" s="135"/>
      <c r="AT52" s="543"/>
      <c r="AU52" s="544"/>
      <c r="AV52" s="545"/>
    </row>
    <row r="53">
      <c r="A53" s="206"/>
      <c r="B53" s="206"/>
      <c r="C53" s="90" t="s">
        <v>826</v>
      </c>
      <c r="F53" s="201"/>
      <c r="G53" s="201"/>
      <c r="H53" s="542"/>
      <c r="I53" s="135"/>
      <c r="J53" s="135"/>
      <c r="K53" s="135"/>
      <c r="L53" s="135"/>
      <c r="M53" s="135"/>
      <c r="N53" s="135"/>
      <c r="O53" s="135"/>
      <c r="P53" s="135"/>
      <c r="Q53" s="135"/>
      <c r="R53" s="135"/>
      <c r="S53" s="135"/>
      <c r="T53" s="135"/>
      <c r="U53" s="135"/>
      <c r="V53" s="135"/>
      <c r="W53" s="135"/>
      <c r="X53" s="135"/>
      <c r="Y53" s="135"/>
      <c r="Z53" s="135"/>
      <c r="AA53" s="135"/>
      <c r="AB53" s="135"/>
      <c r="AC53" s="135"/>
      <c r="AD53" s="135"/>
      <c r="AE53" s="135"/>
      <c r="AF53" s="135"/>
      <c r="AG53" s="135"/>
      <c r="AH53" s="135"/>
      <c r="AI53" s="135"/>
      <c r="AJ53" s="135"/>
      <c r="AK53" s="135"/>
      <c r="AL53" s="135"/>
      <c r="AM53" s="135"/>
      <c r="AN53" s="135"/>
      <c r="AO53" s="135"/>
      <c r="AP53" s="135"/>
      <c r="AQ53" s="135"/>
      <c r="AR53" s="135"/>
      <c r="AS53" s="135"/>
      <c r="AT53" s="543"/>
      <c r="AU53" s="544"/>
      <c r="AV53" s="545"/>
    </row>
    <row r="54">
      <c r="A54" s="540"/>
      <c r="B54" s="206"/>
      <c r="C54" s="206"/>
      <c r="D54" s="206"/>
      <c r="E54" s="548" t="s">
        <v>417</v>
      </c>
      <c r="F54" s="207" t="s">
        <v>122</v>
      </c>
      <c r="G54" s="208" t="s">
        <v>203</v>
      </c>
      <c r="H54" s="578" t="s">
        <v>150</v>
      </c>
      <c r="I54" s="586">
        <v>0.491</v>
      </c>
      <c r="J54" s="586">
        <v>0.59</v>
      </c>
      <c r="K54" s="586">
        <v>0.635</v>
      </c>
      <c r="L54" s="586">
        <v>0.781</v>
      </c>
      <c r="M54" s="586">
        <v>0.603</v>
      </c>
      <c r="N54" s="586">
        <v>0.569</v>
      </c>
      <c r="O54" s="586">
        <v>0.636</v>
      </c>
      <c r="P54" s="586">
        <v>0.337</v>
      </c>
      <c r="Q54" s="586">
        <v>0.508</v>
      </c>
      <c r="R54" s="586">
        <v>0.905</v>
      </c>
      <c r="S54" s="586">
        <v>0.836</v>
      </c>
      <c r="T54" s="586">
        <v>0.856</v>
      </c>
      <c r="U54" s="586">
        <v>0.844</v>
      </c>
      <c r="V54" s="586">
        <v>0.789</v>
      </c>
      <c r="W54" s="586">
        <v>0.817</v>
      </c>
      <c r="X54" s="586">
        <v>0.648</v>
      </c>
      <c r="Y54" s="586">
        <v>0.931</v>
      </c>
      <c r="Z54" s="586">
        <v>0.835</v>
      </c>
      <c r="AA54" s="586">
        <v>0.993</v>
      </c>
      <c r="AB54" s="586">
        <v>0.923</v>
      </c>
      <c r="AC54" s="586">
        <v>0.99</v>
      </c>
      <c r="AD54" s="586">
        <v>0.991</v>
      </c>
      <c r="AE54" s="586">
        <v>0.952</v>
      </c>
      <c r="AF54" s="586">
        <v>0.947</v>
      </c>
      <c r="AG54" s="586">
        <v>0.923</v>
      </c>
      <c r="AH54" s="586">
        <v>0.723</v>
      </c>
      <c r="AI54" s="586">
        <v>0.944</v>
      </c>
      <c r="AJ54" s="586">
        <v>0.792</v>
      </c>
      <c r="AK54" s="586">
        <v>0.667</v>
      </c>
      <c r="AL54" s="586">
        <v>0.723</v>
      </c>
      <c r="AM54" s="586">
        <v>0.751</v>
      </c>
      <c r="AN54" s="586">
        <v>0.93</v>
      </c>
      <c r="AO54" s="586">
        <v>0.825</v>
      </c>
      <c r="AP54" s="586">
        <v>0.877</v>
      </c>
      <c r="AQ54" s="586">
        <v>0.903</v>
      </c>
      <c r="AR54" s="586">
        <v>0.711</v>
      </c>
      <c r="AS54" s="586">
        <v>0.752</v>
      </c>
      <c r="AT54" s="550"/>
      <c r="AU54" s="551" t="s">
        <v>830</v>
      </c>
      <c r="AV54" s="552"/>
    </row>
    <row r="55">
      <c r="A55" s="540"/>
      <c r="B55" s="206"/>
      <c r="C55" s="206"/>
      <c r="D55" s="206"/>
      <c r="E55" s="553" t="s">
        <v>422</v>
      </c>
      <c r="F55" s="278" t="s">
        <v>122</v>
      </c>
      <c r="G55" s="279" t="s">
        <v>203</v>
      </c>
      <c r="H55" s="581" t="s">
        <v>150</v>
      </c>
      <c r="I55" s="303">
        <v>0.423</v>
      </c>
      <c r="J55" s="303">
        <v>0.542</v>
      </c>
      <c r="K55" s="303">
        <v>0.614</v>
      </c>
      <c r="L55" s="303">
        <v>0.726</v>
      </c>
      <c r="M55" s="303">
        <v>0.549</v>
      </c>
      <c r="N55" s="303">
        <v>0.53</v>
      </c>
      <c r="O55" s="303">
        <v>0.595</v>
      </c>
      <c r="P55" s="303">
        <v>0.288</v>
      </c>
      <c r="Q55" s="303">
        <v>0.45</v>
      </c>
      <c r="R55" s="303">
        <v>0.882</v>
      </c>
      <c r="S55" s="303">
        <v>0.75</v>
      </c>
      <c r="T55" s="303">
        <v>0.862</v>
      </c>
      <c r="U55" s="303">
        <v>0.829</v>
      </c>
      <c r="V55" s="303">
        <v>0.775</v>
      </c>
      <c r="W55" s="303">
        <v>0.808</v>
      </c>
      <c r="X55" s="303">
        <v>0.579</v>
      </c>
      <c r="Y55" s="303">
        <v>0.931</v>
      </c>
      <c r="Z55" s="303">
        <v>0.81</v>
      </c>
      <c r="AA55" s="303">
        <v>0.991</v>
      </c>
      <c r="AB55" s="303">
        <v>0.922</v>
      </c>
      <c r="AC55" s="303">
        <v>0.946</v>
      </c>
      <c r="AD55" s="303">
        <v>0.985</v>
      </c>
      <c r="AE55" s="303">
        <v>0.905</v>
      </c>
      <c r="AF55" s="303">
        <v>0.941</v>
      </c>
      <c r="AG55" s="303">
        <v>0.862</v>
      </c>
      <c r="AH55" s="303">
        <v>0.663</v>
      </c>
      <c r="AI55" s="303">
        <v>0.924</v>
      </c>
      <c r="AJ55" s="303">
        <v>0.719</v>
      </c>
      <c r="AK55" s="303">
        <v>0.621</v>
      </c>
      <c r="AL55" s="303">
        <v>0.667</v>
      </c>
      <c r="AM55" s="303">
        <v>0.734</v>
      </c>
      <c r="AN55" s="303">
        <v>0.914</v>
      </c>
      <c r="AO55" s="303">
        <v>0.756</v>
      </c>
      <c r="AP55" s="303">
        <v>0.8</v>
      </c>
      <c r="AQ55" s="303">
        <v>0.896</v>
      </c>
      <c r="AR55" s="303">
        <v>0.715</v>
      </c>
      <c r="AS55" s="303">
        <v>0.738</v>
      </c>
      <c r="AT55" s="555"/>
      <c r="AU55" s="551" t="s">
        <v>830</v>
      </c>
      <c r="AV55" s="557"/>
    </row>
    <row r="56">
      <c r="A56" s="540"/>
      <c r="B56" s="206"/>
      <c r="C56" s="206"/>
      <c r="D56" s="206"/>
      <c r="E56" s="553" t="s">
        <v>426</v>
      </c>
      <c r="F56" s="278" t="s">
        <v>122</v>
      </c>
      <c r="G56" s="279" t="s">
        <v>203</v>
      </c>
      <c r="H56" s="581" t="s">
        <v>150</v>
      </c>
      <c r="I56" s="303">
        <v>0.376</v>
      </c>
      <c r="J56" s="303">
        <v>0.512</v>
      </c>
      <c r="K56" s="303">
        <v>0.564</v>
      </c>
      <c r="L56" s="303">
        <v>0.665</v>
      </c>
      <c r="M56" s="303">
        <v>0.47</v>
      </c>
      <c r="N56" s="303">
        <v>0.466</v>
      </c>
      <c r="O56" s="303">
        <v>0.584</v>
      </c>
      <c r="P56" s="303">
        <v>0.184</v>
      </c>
      <c r="Q56" s="303">
        <v>0.353</v>
      </c>
      <c r="R56" s="303">
        <v>0.86</v>
      </c>
      <c r="S56" s="303">
        <v>0.666</v>
      </c>
      <c r="T56" s="303">
        <v>0.823</v>
      </c>
      <c r="U56" s="303">
        <v>0.754</v>
      </c>
      <c r="V56" s="303">
        <v>0.76</v>
      </c>
      <c r="W56" s="303">
        <v>0.745</v>
      </c>
      <c r="X56" s="303">
        <v>0.453</v>
      </c>
      <c r="Y56" s="303">
        <v>0.918</v>
      </c>
      <c r="Z56" s="303">
        <v>0.755</v>
      </c>
      <c r="AA56" s="303">
        <v>0.99</v>
      </c>
      <c r="AB56" s="303">
        <v>0.908</v>
      </c>
      <c r="AC56" s="303">
        <v>0.943</v>
      </c>
      <c r="AD56" s="303">
        <v>0.967</v>
      </c>
      <c r="AE56" s="303">
        <v>0.872</v>
      </c>
      <c r="AF56" s="303">
        <v>0.932</v>
      </c>
      <c r="AG56" s="303">
        <v>0.74</v>
      </c>
      <c r="AH56" s="303">
        <v>0.641</v>
      </c>
      <c r="AI56" s="303">
        <v>0.901</v>
      </c>
      <c r="AJ56" s="303">
        <v>0.647</v>
      </c>
      <c r="AK56" s="303">
        <v>0.497</v>
      </c>
      <c r="AL56" s="303">
        <v>0.58</v>
      </c>
      <c r="AM56" s="303">
        <v>0.682</v>
      </c>
      <c r="AN56" s="303">
        <v>0.882</v>
      </c>
      <c r="AO56" s="303">
        <v>0.642</v>
      </c>
      <c r="AP56" s="303">
        <v>0.779</v>
      </c>
      <c r="AQ56" s="303">
        <v>0.871</v>
      </c>
      <c r="AR56" s="303">
        <v>0.653</v>
      </c>
      <c r="AS56" s="303">
        <v>0.712</v>
      </c>
      <c r="AT56" s="555"/>
      <c r="AU56" s="551" t="s">
        <v>830</v>
      </c>
      <c r="AV56" s="557"/>
    </row>
    <row r="57">
      <c r="A57" s="540"/>
      <c r="B57" s="206"/>
      <c r="C57" s="206"/>
      <c r="D57" s="206"/>
      <c r="E57" s="553" t="s">
        <v>430</v>
      </c>
      <c r="F57" s="278" t="s">
        <v>122</v>
      </c>
      <c r="G57" s="279" t="s">
        <v>203</v>
      </c>
      <c r="H57" s="581" t="s">
        <v>150</v>
      </c>
      <c r="I57" s="303">
        <v>0.313</v>
      </c>
      <c r="J57" s="303">
        <v>0.38</v>
      </c>
      <c r="K57" s="303">
        <v>0.488</v>
      </c>
      <c r="L57" s="303">
        <v>0.603</v>
      </c>
      <c r="M57" s="303">
        <v>0.424</v>
      </c>
      <c r="N57" s="303">
        <v>0.412</v>
      </c>
      <c r="O57" s="303">
        <v>0.551</v>
      </c>
      <c r="P57" s="303">
        <v>0.115</v>
      </c>
      <c r="Q57" s="303">
        <v>0.248</v>
      </c>
      <c r="R57" s="303">
        <v>0.75</v>
      </c>
      <c r="S57" s="303">
        <v>0.539</v>
      </c>
      <c r="T57" s="303">
        <v>0.731</v>
      </c>
      <c r="U57" s="303">
        <v>0.736</v>
      </c>
      <c r="V57" s="303">
        <v>0.702</v>
      </c>
      <c r="W57" s="303">
        <v>0.628</v>
      </c>
      <c r="X57" s="303">
        <v>0.301</v>
      </c>
      <c r="Y57" s="303">
        <v>0.75</v>
      </c>
      <c r="Z57" s="303">
        <v>0.699</v>
      </c>
      <c r="AA57" s="303">
        <v>0.987</v>
      </c>
      <c r="AB57" s="303">
        <v>0.827</v>
      </c>
      <c r="AC57" s="303">
        <v>0.849</v>
      </c>
      <c r="AD57" s="303">
        <v>0.908</v>
      </c>
      <c r="AE57" s="303">
        <v>0.796</v>
      </c>
      <c r="AF57" s="303">
        <v>0.888</v>
      </c>
      <c r="AG57" s="303">
        <v>0.632</v>
      </c>
      <c r="AH57" s="303">
        <v>0.551</v>
      </c>
      <c r="AI57" s="303">
        <v>0.847</v>
      </c>
      <c r="AJ57" s="303">
        <v>0.54</v>
      </c>
      <c r="AK57" s="303">
        <v>0.394</v>
      </c>
      <c r="AL57" s="303">
        <v>0.413</v>
      </c>
      <c r="AM57" s="303">
        <v>0.626</v>
      </c>
      <c r="AN57" s="303">
        <v>0.815</v>
      </c>
      <c r="AO57" s="303">
        <v>0.569</v>
      </c>
      <c r="AP57" s="303">
        <v>0.654</v>
      </c>
      <c r="AQ57" s="303">
        <v>0.781</v>
      </c>
      <c r="AR57" s="303">
        <v>0.524</v>
      </c>
      <c r="AS57" s="303">
        <v>0.642</v>
      </c>
      <c r="AT57" s="555"/>
      <c r="AU57" s="551" t="s">
        <v>830</v>
      </c>
      <c r="AV57" s="557"/>
    </row>
    <row r="58">
      <c r="A58" s="540"/>
      <c r="B58" s="206"/>
      <c r="C58" s="206"/>
      <c r="D58" s="206"/>
      <c r="E58" s="548" t="s">
        <v>435</v>
      </c>
      <c r="F58" s="207" t="s">
        <v>122</v>
      </c>
      <c r="G58" s="208" t="s">
        <v>203</v>
      </c>
      <c r="H58" s="578" t="s">
        <v>150</v>
      </c>
      <c r="I58" s="586">
        <v>0.415</v>
      </c>
      <c r="J58" s="586">
        <v>0.522</v>
      </c>
      <c r="K58" s="586">
        <v>0.606</v>
      </c>
      <c r="L58" s="586">
        <v>0.72</v>
      </c>
      <c r="M58" s="586">
        <v>0.544</v>
      </c>
      <c r="N58" s="586">
        <v>0.518</v>
      </c>
      <c r="O58" s="586">
        <v>0.596</v>
      </c>
      <c r="P58" s="586">
        <v>0.218</v>
      </c>
      <c r="Q58" s="586">
        <v>0.459</v>
      </c>
      <c r="R58" s="586">
        <v>0.888</v>
      </c>
      <c r="S58" s="586">
        <v>0.747</v>
      </c>
      <c r="T58" s="586">
        <v>0.843</v>
      </c>
      <c r="U58" s="586">
        <v>0.829</v>
      </c>
      <c r="V58" s="586">
        <v>0.771</v>
      </c>
      <c r="W58" s="586">
        <v>0.788</v>
      </c>
      <c r="X58" s="586">
        <v>0.539</v>
      </c>
      <c r="Y58" s="586">
        <v>0.931</v>
      </c>
      <c r="Z58" s="586">
        <v>0.792</v>
      </c>
      <c r="AA58" s="586">
        <v>0.992</v>
      </c>
      <c r="AB58" s="586">
        <v>0.895</v>
      </c>
      <c r="AC58" s="586">
        <v>0.956</v>
      </c>
      <c r="AD58" s="586">
        <v>0.985</v>
      </c>
      <c r="AE58" s="586">
        <v>0.913</v>
      </c>
      <c r="AF58" s="586">
        <v>0.935</v>
      </c>
      <c r="AG58" s="586">
        <v>0.847</v>
      </c>
      <c r="AH58" s="586">
        <v>0.636</v>
      </c>
      <c r="AI58" s="586">
        <v>0.924</v>
      </c>
      <c r="AJ58" s="586">
        <v>0.709</v>
      </c>
      <c r="AK58" s="586">
        <v>0.575</v>
      </c>
      <c r="AL58" s="586">
        <v>0.647</v>
      </c>
      <c r="AM58" s="586">
        <v>0.721</v>
      </c>
      <c r="AN58" s="586">
        <v>0.906</v>
      </c>
      <c r="AO58" s="586">
        <v>0.751</v>
      </c>
      <c r="AP58" s="586">
        <v>0.786</v>
      </c>
      <c r="AQ58" s="586">
        <v>0.895</v>
      </c>
      <c r="AR58" s="586">
        <v>0.708</v>
      </c>
      <c r="AS58" s="586">
        <v>0.72</v>
      </c>
      <c r="AT58" s="550"/>
      <c r="AU58" s="551" t="s">
        <v>830</v>
      </c>
      <c r="AV58" s="552"/>
    </row>
    <row r="59">
      <c r="A59" s="540"/>
      <c r="B59" s="206"/>
      <c r="C59" s="206"/>
      <c r="D59" s="206"/>
      <c r="E59" s="553" t="s">
        <v>438</v>
      </c>
      <c r="F59" s="278" t="s">
        <v>122</v>
      </c>
      <c r="G59" s="279" t="s">
        <v>203</v>
      </c>
      <c r="H59" s="581" t="s">
        <v>150</v>
      </c>
      <c r="I59" s="303">
        <v>0.38</v>
      </c>
      <c r="J59" s="303">
        <v>0.467</v>
      </c>
      <c r="K59" s="303">
        <v>0.555</v>
      </c>
      <c r="L59" s="303">
        <v>0.647</v>
      </c>
      <c r="M59" s="303">
        <v>0.466</v>
      </c>
      <c r="N59" s="303">
        <v>0.439</v>
      </c>
      <c r="O59" s="303">
        <v>0.569</v>
      </c>
      <c r="P59" s="303">
        <v>0.142</v>
      </c>
      <c r="Q59" s="303">
        <v>0.355</v>
      </c>
      <c r="R59" s="303">
        <v>0.851</v>
      </c>
      <c r="S59" s="303">
        <v>0.669</v>
      </c>
      <c r="T59" s="303">
        <v>0.816</v>
      </c>
      <c r="U59" s="303">
        <v>0.75</v>
      </c>
      <c r="V59" s="303">
        <v>0.751</v>
      </c>
      <c r="W59" s="303">
        <v>0.711</v>
      </c>
      <c r="X59" s="303">
        <v>0.378</v>
      </c>
      <c r="Y59" s="303">
        <v>0.918</v>
      </c>
      <c r="Z59" s="303">
        <v>0.734</v>
      </c>
      <c r="AA59" s="303">
        <v>0.99</v>
      </c>
      <c r="AB59" s="303">
        <v>0.855</v>
      </c>
      <c r="AC59" s="303">
        <v>0.895</v>
      </c>
      <c r="AD59" s="303">
        <v>0.959</v>
      </c>
      <c r="AE59" s="303">
        <v>0.872</v>
      </c>
      <c r="AF59" s="303">
        <v>0.912</v>
      </c>
      <c r="AG59" s="303">
        <v>0.719</v>
      </c>
      <c r="AH59" s="303">
        <v>0.607</v>
      </c>
      <c r="AI59" s="303">
        <v>0.886</v>
      </c>
      <c r="AJ59" s="303">
        <v>0.634</v>
      </c>
      <c r="AK59" s="303">
        <v>0.498</v>
      </c>
      <c r="AL59" s="303">
        <v>0.566</v>
      </c>
      <c r="AM59" s="303">
        <v>0.656</v>
      </c>
      <c r="AN59" s="303">
        <v>0.828</v>
      </c>
      <c r="AO59" s="303">
        <v>0.626</v>
      </c>
      <c r="AP59" s="303">
        <v>0.687</v>
      </c>
      <c r="AQ59" s="303">
        <v>0.853</v>
      </c>
      <c r="AR59" s="303">
        <v>0.619</v>
      </c>
      <c r="AS59" s="303">
        <v>0.681</v>
      </c>
      <c r="AT59" s="555"/>
      <c r="AU59" s="551" t="s">
        <v>830</v>
      </c>
      <c r="AV59" s="557"/>
    </row>
    <row r="60">
      <c r="A60" s="540"/>
      <c r="B60" s="206"/>
      <c r="C60" s="206"/>
      <c r="D60" s="206"/>
      <c r="E60" s="553" t="s">
        <v>442</v>
      </c>
      <c r="F60" s="278" t="s">
        <v>122</v>
      </c>
      <c r="G60" s="279" t="s">
        <v>203</v>
      </c>
      <c r="H60" s="581" t="s">
        <v>150</v>
      </c>
      <c r="I60" s="303">
        <v>0.313</v>
      </c>
      <c r="J60" s="303">
        <v>0.369</v>
      </c>
      <c r="K60" s="303">
        <v>0.483</v>
      </c>
      <c r="L60" s="303">
        <v>0.59</v>
      </c>
      <c r="M60" s="303">
        <v>0.399</v>
      </c>
      <c r="N60" s="303">
        <v>0.391</v>
      </c>
      <c r="O60" s="303">
        <v>0.539</v>
      </c>
      <c r="P60" s="303">
        <v>0.1</v>
      </c>
      <c r="Q60" s="303">
        <v>0.268</v>
      </c>
      <c r="R60" s="303">
        <v>0.665</v>
      </c>
      <c r="S60" s="303">
        <v>0.538</v>
      </c>
      <c r="T60" s="303">
        <v>0.705</v>
      </c>
      <c r="U60" s="303">
        <v>0.736</v>
      </c>
      <c r="V60" s="303">
        <v>0.665</v>
      </c>
      <c r="W60" s="303">
        <v>0.563</v>
      </c>
      <c r="X60" s="303">
        <v>0.305</v>
      </c>
      <c r="Y60" s="303">
        <v>0.732</v>
      </c>
      <c r="Z60" s="303">
        <v>0.693</v>
      </c>
      <c r="AA60" s="303">
        <v>0.987</v>
      </c>
      <c r="AB60" s="303">
        <v>0.774</v>
      </c>
      <c r="AC60" s="303">
        <v>0.83</v>
      </c>
      <c r="AD60" s="303">
        <v>0.906</v>
      </c>
      <c r="AE60" s="303">
        <v>0.796</v>
      </c>
      <c r="AF60" s="303">
        <v>0.855</v>
      </c>
      <c r="AG60" s="303">
        <v>0.621</v>
      </c>
      <c r="AH60" s="303">
        <v>0.532</v>
      </c>
      <c r="AI60" s="303">
        <v>0.799</v>
      </c>
      <c r="AJ60" s="303">
        <v>0.507</v>
      </c>
      <c r="AK60" s="303">
        <v>0.396</v>
      </c>
      <c r="AL60" s="303">
        <v>0.396</v>
      </c>
      <c r="AM60" s="303">
        <v>0.61</v>
      </c>
      <c r="AN60" s="303">
        <v>0.689</v>
      </c>
      <c r="AO60" s="303">
        <v>0.57</v>
      </c>
      <c r="AP60" s="303">
        <v>0.61</v>
      </c>
      <c r="AQ60" s="303">
        <v>0.789</v>
      </c>
      <c r="AR60" s="303">
        <v>0.504</v>
      </c>
      <c r="AS60" s="303">
        <v>0.631</v>
      </c>
      <c r="AT60" s="555"/>
      <c r="AU60" s="551" t="s">
        <v>830</v>
      </c>
      <c r="AV60" s="557"/>
    </row>
    <row r="61">
      <c r="A61" s="540"/>
      <c r="B61" s="206"/>
      <c r="C61" s="206"/>
      <c r="D61" s="206"/>
      <c r="E61" s="558" t="s">
        <v>446</v>
      </c>
      <c r="F61" s="283" t="s">
        <v>122</v>
      </c>
      <c r="G61" s="285" t="s">
        <v>203</v>
      </c>
      <c r="H61" s="593" t="s">
        <v>150</v>
      </c>
      <c r="I61" s="594">
        <v>0.308</v>
      </c>
      <c r="J61" s="594">
        <v>0.367</v>
      </c>
      <c r="K61" s="594">
        <v>0.559</v>
      </c>
      <c r="L61" s="594">
        <v>0.567</v>
      </c>
      <c r="M61" s="594">
        <v>0.405</v>
      </c>
      <c r="N61" s="594">
        <v>0.437</v>
      </c>
      <c r="O61" s="594">
        <v>0.632</v>
      </c>
      <c r="P61" s="594">
        <v>0.191</v>
      </c>
      <c r="Q61" s="594">
        <v>0.46</v>
      </c>
      <c r="R61" s="594">
        <v>0.749</v>
      </c>
      <c r="S61" s="594">
        <v>0.613</v>
      </c>
      <c r="T61" s="594">
        <v>0.72</v>
      </c>
      <c r="U61" s="594">
        <v>0.671</v>
      </c>
      <c r="V61" s="594">
        <v>0.664</v>
      </c>
      <c r="W61" s="594">
        <v>0.68</v>
      </c>
      <c r="X61" s="594">
        <v>0.387</v>
      </c>
      <c r="Y61" s="594">
        <v>0.796</v>
      </c>
      <c r="Z61" s="594">
        <v>0.732</v>
      </c>
      <c r="AA61" s="594">
        <v>0.923</v>
      </c>
      <c r="AB61" s="594">
        <v>0.798</v>
      </c>
      <c r="AC61" s="594">
        <v>0.945</v>
      </c>
      <c r="AD61" s="594">
        <v>0.796</v>
      </c>
      <c r="AE61" s="594">
        <v>0.895</v>
      </c>
      <c r="AF61" s="594">
        <v>0.753</v>
      </c>
      <c r="AG61" s="594">
        <v>0.723</v>
      </c>
      <c r="AH61" s="594">
        <v>0.642</v>
      </c>
      <c r="AI61" s="594">
        <v>0.863</v>
      </c>
      <c r="AJ61" s="594">
        <v>0.566</v>
      </c>
      <c r="AK61" s="594">
        <v>0.546</v>
      </c>
      <c r="AL61" s="594">
        <v>0.56</v>
      </c>
      <c r="AM61" s="594">
        <v>0.66</v>
      </c>
      <c r="AN61" s="594">
        <v>0.804</v>
      </c>
      <c r="AO61" s="594">
        <v>0.611</v>
      </c>
      <c r="AP61" s="594">
        <v>0.703</v>
      </c>
      <c r="AQ61" s="594">
        <v>0.846</v>
      </c>
      <c r="AR61" s="594">
        <v>0.654</v>
      </c>
      <c r="AS61" s="594">
        <v>0.713</v>
      </c>
      <c r="AT61" s="560"/>
      <c r="AU61" s="601" t="s">
        <v>830</v>
      </c>
      <c r="AV61" s="561"/>
    </row>
    <row r="62">
      <c r="A62" s="540"/>
      <c r="B62" s="206"/>
      <c r="C62" s="206"/>
      <c r="D62" s="206"/>
      <c r="E62" s="541"/>
      <c r="F62" s="201"/>
      <c r="G62" s="202"/>
      <c r="H62" s="542"/>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c r="AT62" s="543"/>
      <c r="AU62" s="544"/>
      <c r="AV62" s="545"/>
    </row>
    <row r="63">
      <c r="A63" s="540"/>
      <c r="B63" s="206"/>
      <c r="C63" s="90" t="s">
        <v>839</v>
      </c>
      <c r="F63" s="201"/>
      <c r="G63" s="202"/>
      <c r="H63" s="542"/>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543"/>
      <c r="AU63" s="544"/>
      <c r="AV63" s="545"/>
    </row>
    <row r="64">
      <c r="A64" s="540"/>
      <c r="B64" s="206"/>
      <c r="C64" s="206"/>
      <c r="D64" s="206"/>
      <c r="E64" s="548" t="s">
        <v>498</v>
      </c>
      <c r="F64" s="207" t="s">
        <v>122</v>
      </c>
      <c r="G64" s="208" t="s">
        <v>203</v>
      </c>
      <c r="H64" s="602" t="s">
        <v>150</v>
      </c>
      <c r="I64" s="586">
        <v>0.353</v>
      </c>
      <c r="J64" s="586">
        <v>0.447</v>
      </c>
      <c r="K64" s="586">
        <v>0.195</v>
      </c>
      <c r="L64" s="586">
        <v>0.437</v>
      </c>
      <c r="M64" s="586">
        <v>0.279</v>
      </c>
      <c r="N64" s="586">
        <v>0.282</v>
      </c>
      <c r="O64" s="586">
        <v>0.202</v>
      </c>
      <c r="P64" s="586">
        <v>0.094</v>
      </c>
      <c r="Q64" s="586">
        <v>0.147</v>
      </c>
      <c r="R64" s="586">
        <v>0.816</v>
      </c>
      <c r="S64" s="586">
        <v>0.566</v>
      </c>
      <c r="T64" s="586">
        <v>0.802</v>
      </c>
      <c r="U64" s="586">
        <v>0.895</v>
      </c>
      <c r="V64" s="586">
        <v>0.612</v>
      </c>
      <c r="W64" s="586">
        <v>0.683</v>
      </c>
      <c r="X64" s="586">
        <v>0.729</v>
      </c>
      <c r="Y64" s="586">
        <v>0.835</v>
      </c>
      <c r="Z64" s="586">
        <v>0.757</v>
      </c>
      <c r="AA64" s="586">
        <v>0.797</v>
      </c>
      <c r="AB64" s="586">
        <v>0.886</v>
      </c>
      <c r="AC64" s="586">
        <v>0.871</v>
      </c>
      <c r="AD64" s="586">
        <v>0.849</v>
      </c>
      <c r="AE64" s="586">
        <v>0.877</v>
      </c>
      <c r="AF64" s="586">
        <v>0.881</v>
      </c>
      <c r="AG64" s="586">
        <v>0.637</v>
      </c>
      <c r="AH64" s="586">
        <v>0.708</v>
      </c>
      <c r="AI64" s="586">
        <v>0.936</v>
      </c>
      <c r="AJ64" s="586">
        <v>0.564</v>
      </c>
      <c r="AK64" s="586">
        <v>0.363</v>
      </c>
      <c r="AL64" s="586">
        <v>0.711</v>
      </c>
      <c r="AM64" s="586">
        <v>0.764</v>
      </c>
      <c r="AN64" s="586">
        <v>0.831</v>
      </c>
      <c r="AO64" s="586">
        <v>0.691</v>
      </c>
      <c r="AP64" s="586">
        <v>0.699</v>
      </c>
      <c r="AQ64" s="586">
        <v>0.82</v>
      </c>
      <c r="AR64" s="586">
        <v>0.359</v>
      </c>
      <c r="AS64" s="586">
        <v>0.175</v>
      </c>
      <c r="AT64" s="550"/>
      <c r="AU64" s="551" t="s">
        <v>840</v>
      </c>
      <c r="AV64" s="552"/>
    </row>
    <row r="65">
      <c r="A65" s="540"/>
      <c r="B65" s="206"/>
      <c r="C65" s="206"/>
      <c r="D65" s="206"/>
      <c r="E65" s="553" t="s">
        <v>501</v>
      </c>
      <c r="F65" s="278" t="s">
        <v>122</v>
      </c>
      <c r="G65" s="279" t="s">
        <v>203</v>
      </c>
      <c r="H65" s="604" t="s">
        <v>150</v>
      </c>
      <c r="I65" s="303">
        <v>0.252</v>
      </c>
      <c r="J65" s="303">
        <v>0.291</v>
      </c>
      <c r="K65" s="303">
        <v>0.09</v>
      </c>
      <c r="L65" s="303">
        <v>0.325</v>
      </c>
      <c r="M65" s="303">
        <v>0.209</v>
      </c>
      <c r="N65" s="303">
        <v>0.183</v>
      </c>
      <c r="O65" s="303">
        <v>0.167</v>
      </c>
      <c r="P65" s="303">
        <v>0.052</v>
      </c>
      <c r="Q65" s="303">
        <v>0.095</v>
      </c>
      <c r="R65" s="303">
        <v>0.686</v>
      </c>
      <c r="S65" s="303">
        <v>0.503</v>
      </c>
      <c r="T65" s="303">
        <v>0.734</v>
      </c>
      <c r="U65" s="303">
        <v>0.824</v>
      </c>
      <c r="V65" s="303">
        <v>0.503</v>
      </c>
      <c r="W65" s="303">
        <v>0.595</v>
      </c>
      <c r="X65" s="303">
        <v>0.639</v>
      </c>
      <c r="Y65" s="303">
        <v>0.769</v>
      </c>
      <c r="Z65" s="303">
        <v>0.637</v>
      </c>
      <c r="AA65" s="303">
        <v>0.662</v>
      </c>
      <c r="AB65" s="303">
        <v>0.861</v>
      </c>
      <c r="AC65" s="303">
        <v>0.801</v>
      </c>
      <c r="AD65" s="303">
        <v>0.786</v>
      </c>
      <c r="AE65" s="303">
        <v>0.719</v>
      </c>
      <c r="AF65" s="303">
        <v>0.717</v>
      </c>
      <c r="AG65" s="303">
        <v>0.476</v>
      </c>
      <c r="AH65" s="303">
        <v>0.613</v>
      </c>
      <c r="AI65" s="303">
        <v>0.856</v>
      </c>
      <c r="AJ65" s="303">
        <v>0.447</v>
      </c>
      <c r="AK65" s="303">
        <v>0.306</v>
      </c>
      <c r="AL65" s="303">
        <v>0.589</v>
      </c>
      <c r="AM65" s="303">
        <v>0.714</v>
      </c>
      <c r="AN65" s="303">
        <v>0.657</v>
      </c>
      <c r="AO65" s="303">
        <v>0.649</v>
      </c>
      <c r="AP65" s="303">
        <v>0.571</v>
      </c>
      <c r="AQ65" s="303">
        <v>0.728</v>
      </c>
      <c r="AR65" s="303">
        <v>0.2</v>
      </c>
      <c r="AS65" s="303">
        <v>0.113</v>
      </c>
      <c r="AT65" s="555"/>
      <c r="AU65" s="551" t="s">
        <v>840</v>
      </c>
      <c r="AV65" s="557"/>
    </row>
    <row r="66">
      <c r="A66" s="540"/>
      <c r="B66" s="206"/>
      <c r="C66" s="206"/>
      <c r="D66" s="206"/>
      <c r="E66" s="553" t="s">
        <v>505</v>
      </c>
      <c r="F66" s="278" t="s">
        <v>122</v>
      </c>
      <c r="G66" s="279" t="s">
        <v>203</v>
      </c>
      <c r="H66" s="604" t="s">
        <v>150</v>
      </c>
      <c r="I66" s="303">
        <v>0.185</v>
      </c>
      <c r="J66" s="303">
        <v>0.25</v>
      </c>
      <c r="K66" s="303">
        <v>0.071</v>
      </c>
      <c r="L66" s="303">
        <v>0.295</v>
      </c>
      <c r="M66" s="303">
        <v>0.159</v>
      </c>
      <c r="N66" s="303">
        <v>0.121</v>
      </c>
      <c r="O66" s="303">
        <v>0.113</v>
      </c>
      <c r="P66" s="303">
        <v>0.029</v>
      </c>
      <c r="Q66" s="303">
        <v>0.089</v>
      </c>
      <c r="R66" s="303">
        <v>0.548</v>
      </c>
      <c r="S66" s="303">
        <v>0.379</v>
      </c>
      <c r="T66" s="303">
        <v>0.684</v>
      </c>
      <c r="U66" s="303">
        <v>0.762</v>
      </c>
      <c r="V66" s="303">
        <v>0.426</v>
      </c>
      <c r="W66" s="303">
        <v>0.574</v>
      </c>
      <c r="X66" s="303">
        <v>0.477</v>
      </c>
      <c r="Y66" s="303">
        <v>0.695</v>
      </c>
      <c r="Z66" s="303">
        <v>0.572</v>
      </c>
      <c r="AA66" s="303">
        <v>0.544</v>
      </c>
      <c r="AB66" s="303">
        <v>0.745</v>
      </c>
      <c r="AC66" s="303">
        <v>0.722</v>
      </c>
      <c r="AD66" s="303">
        <v>0.738</v>
      </c>
      <c r="AE66" s="303">
        <v>0.657</v>
      </c>
      <c r="AF66" s="303">
        <v>0.656</v>
      </c>
      <c r="AG66" s="303">
        <v>0.384</v>
      </c>
      <c r="AH66" s="303">
        <v>0.491</v>
      </c>
      <c r="AI66" s="303">
        <v>0.802</v>
      </c>
      <c r="AJ66" s="303">
        <v>0.349</v>
      </c>
      <c r="AK66" s="303">
        <v>0.2</v>
      </c>
      <c r="AL66" s="303">
        <v>0.521</v>
      </c>
      <c r="AM66" s="303">
        <v>0.662</v>
      </c>
      <c r="AN66" s="303">
        <v>0.6</v>
      </c>
      <c r="AO66" s="303">
        <v>0.541</v>
      </c>
      <c r="AP66" s="303">
        <v>0.452</v>
      </c>
      <c r="AQ66" s="303">
        <v>0.66</v>
      </c>
      <c r="AR66" s="303">
        <v>0.164</v>
      </c>
      <c r="AS66" s="303">
        <v>0.087</v>
      </c>
      <c r="AT66" s="555"/>
      <c r="AU66" s="551" t="s">
        <v>840</v>
      </c>
      <c r="AV66" s="557"/>
    </row>
    <row r="67">
      <c r="A67" s="540"/>
      <c r="B67" s="206"/>
      <c r="C67" s="206"/>
      <c r="D67" s="206"/>
      <c r="E67" s="553" t="s">
        <v>494</v>
      </c>
      <c r="F67" s="278" t="s">
        <v>122</v>
      </c>
      <c r="G67" s="279" t="s">
        <v>203</v>
      </c>
      <c r="H67" s="604" t="s">
        <v>150</v>
      </c>
      <c r="I67" s="303">
        <v>0.412</v>
      </c>
      <c r="J67" s="303">
        <v>0.544</v>
      </c>
      <c r="K67" s="303">
        <v>0.256</v>
      </c>
      <c r="L67" s="303">
        <v>0.514</v>
      </c>
      <c r="M67" s="303">
        <v>0.337</v>
      </c>
      <c r="N67" s="303">
        <v>0.285</v>
      </c>
      <c r="O67" s="303">
        <v>0.226</v>
      </c>
      <c r="P67" s="303">
        <v>0.163</v>
      </c>
      <c r="Q67" s="303">
        <v>0.19</v>
      </c>
      <c r="R67" s="303">
        <v>0.871</v>
      </c>
      <c r="S67" s="303">
        <v>0.674</v>
      </c>
      <c r="T67" s="303">
        <v>0.824</v>
      </c>
      <c r="U67" s="303">
        <v>0.885</v>
      </c>
      <c r="V67" s="303">
        <v>0.659</v>
      </c>
      <c r="W67" s="303">
        <v>0.664</v>
      </c>
      <c r="X67" s="303">
        <v>0.806</v>
      </c>
      <c r="Y67" s="303">
        <v>0.882</v>
      </c>
      <c r="Z67" s="303">
        <v>0.809</v>
      </c>
      <c r="AA67" s="303">
        <v>0.825</v>
      </c>
      <c r="AB67" s="303">
        <v>0.967</v>
      </c>
      <c r="AC67" s="303">
        <v>0.865</v>
      </c>
      <c r="AD67" s="303">
        <v>0.932</v>
      </c>
      <c r="AE67" s="303">
        <v>0.875</v>
      </c>
      <c r="AF67" s="303">
        <v>0.956</v>
      </c>
      <c r="AG67" s="303">
        <v>0.733</v>
      </c>
      <c r="AH67" s="303">
        <v>0.721</v>
      </c>
      <c r="AI67" s="303">
        <v>0.929</v>
      </c>
      <c r="AJ67" s="303">
        <v>0.638</v>
      </c>
      <c r="AK67" s="303">
        <v>0.381</v>
      </c>
      <c r="AL67" s="303">
        <v>0.8</v>
      </c>
      <c r="AM67" s="303">
        <v>0.831</v>
      </c>
      <c r="AN67" s="303">
        <v>0.875</v>
      </c>
      <c r="AO67" s="303">
        <v>0.771</v>
      </c>
      <c r="AP67" s="303">
        <v>0.801</v>
      </c>
      <c r="AQ67" s="303">
        <v>0.82</v>
      </c>
      <c r="AR67" s="303">
        <v>0.397</v>
      </c>
      <c r="AS67" s="303">
        <v>0.163</v>
      </c>
      <c r="AT67" s="555"/>
      <c r="AU67" s="551" t="s">
        <v>840</v>
      </c>
      <c r="AV67" s="557"/>
    </row>
    <row r="68">
      <c r="A68" s="540"/>
      <c r="B68" s="206"/>
      <c r="C68" s="206"/>
      <c r="D68" s="206"/>
      <c r="E68" s="558" t="s">
        <v>511</v>
      </c>
      <c r="F68" s="283" t="s">
        <v>122</v>
      </c>
      <c r="G68" s="285" t="s">
        <v>203</v>
      </c>
      <c r="H68" s="593" t="s">
        <v>150</v>
      </c>
      <c r="I68" s="594">
        <v>0.222</v>
      </c>
      <c r="J68" s="594">
        <v>0.324</v>
      </c>
      <c r="K68" s="594">
        <v>0.104</v>
      </c>
      <c r="L68" s="594">
        <v>0.431</v>
      </c>
      <c r="M68" s="594">
        <v>0.241</v>
      </c>
      <c r="N68" s="594">
        <v>0.211</v>
      </c>
      <c r="O68" s="594">
        <v>0.255</v>
      </c>
      <c r="P68" s="594">
        <v>0.098</v>
      </c>
      <c r="Q68" s="594">
        <v>0.162</v>
      </c>
      <c r="R68" s="594">
        <v>0.704</v>
      </c>
      <c r="S68" s="594">
        <v>0.488</v>
      </c>
      <c r="T68" s="594">
        <v>0.637</v>
      </c>
      <c r="U68" s="594">
        <v>0.75</v>
      </c>
      <c r="V68" s="594">
        <v>0.516</v>
      </c>
      <c r="W68" s="594">
        <v>0.536</v>
      </c>
      <c r="X68" s="594">
        <v>0.581</v>
      </c>
      <c r="Y68" s="594">
        <v>0.737</v>
      </c>
      <c r="Z68" s="594">
        <v>0.637</v>
      </c>
      <c r="AA68" s="594">
        <v>0.576</v>
      </c>
      <c r="AB68" s="594">
        <v>0.861</v>
      </c>
      <c r="AC68" s="594">
        <v>0.801</v>
      </c>
      <c r="AD68" s="594">
        <v>0.812</v>
      </c>
      <c r="AE68" s="594">
        <v>0.763</v>
      </c>
      <c r="AF68" s="594">
        <v>0.746</v>
      </c>
      <c r="AG68" s="594">
        <v>0.65</v>
      </c>
      <c r="AH68" s="594">
        <v>0.669</v>
      </c>
      <c r="AI68" s="594">
        <v>0.88</v>
      </c>
      <c r="AJ68" s="594">
        <v>0.497</v>
      </c>
      <c r="AK68" s="594">
        <v>0.312</v>
      </c>
      <c r="AL68" s="594">
        <v>0.587</v>
      </c>
      <c r="AM68" s="594">
        <v>0.722</v>
      </c>
      <c r="AN68" s="594">
        <v>0.67</v>
      </c>
      <c r="AO68" s="594">
        <v>0.531</v>
      </c>
      <c r="AP68" s="594">
        <v>0.653</v>
      </c>
      <c r="AQ68" s="594">
        <v>0.707</v>
      </c>
      <c r="AR68" s="594">
        <v>0.292</v>
      </c>
      <c r="AS68" s="594">
        <v>0.147</v>
      </c>
      <c r="AT68" s="560"/>
      <c r="AU68" s="601" t="s">
        <v>840</v>
      </c>
      <c r="AV68" s="561"/>
    </row>
    <row r="69">
      <c r="A69" s="540"/>
      <c r="B69" s="206"/>
      <c r="C69" s="206"/>
      <c r="D69" s="206"/>
      <c r="E69" s="541"/>
      <c r="F69" s="201"/>
      <c r="G69" s="202"/>
      <c r="H69" s="542"/>
      <c r="I69" s="135"/>
      <c r="J69" s="135"/>
      <c r="K69" s="135"/>
      <c r="L69" s="135"/>
      <c r="M69" s="135"/>
      <c r="N69" s="135"/>
      <c r="O69" s="135"/>
      <c r="P69" s="135"/>
      <c r="Q69" s="135"/>
      <c r="R69" s="135"/>
      <c r="S69" s="135"/>
      <c r="T69" s="135"/>
      <c r="U69" s="135"/>
      <c r="V69" s="135"/>
      <c r="W69" s="135"/>
      <c r="X69" s="135"/>
      <c r="Y69" s="135"/>
      <c r="Z69" s="135"/>
      <c r="AA69" s="135"/>
      <c r="AB69" s="135"/>
      <c r="AC69" s="135"/>
      <c r="AD69" s="135"/>
      <c r="AE69" s="135"/>
      <c r="AF69" s="135"/>
      <c r="AG69" s="135"/>
      <c r="AH69" s="135"/>
      <c r="AI69" s="135"/>
      <c r="AJ69" s="135"/>
      <c r="AK69" s="135"/>
      <c r="AL69" s="135"/>
      <c r="AM69" s="135"/>
      <c r="AN69" s="135"/>
      <c r="AO69" s="135"/>
      <c r="AP69" s="135"/>
      <c r="AQ69" s="135"/>
      <c r="AR69" s="135"/>
      <c r="AS69" s="135"/>
      <c r="AT69" s="543"/>
      <c r="AU69" s="544"/>
      <c r="AV69" s="545"/>
    </row>
    <row r="70">
      <c r="A70" s="540"/>
      <c r="B70" s="206"/>
      <c r="C70" s="126" t="s">
        <v>841</v>
      </c>
      <c r="F70" s="201"/>
      <c r="G70" s="202"/>
      <c r="H70" s="542"/>
      <c r="I70" s="135"/>
      <c r="J70" s="135"/>
      <c r="K70" s="135"/>
      <c r="L70" s="135"/>
      <c r="M70" s="135"/>
      <c r="N70" s="135"/>
      <c r="O70" s="135"/>
      <c r="P70" s="135"/>
      <c r="Q70" s="135"/>
      <c r="R70" s="135"/>
      <c r="S70" s="135"/>
      <c r="T70" s="135"/>
      <c r="U70" s="135"/>
      <c r="V70" s="135"/>
      <c r="W70" s="135"/>
      <c r="X70" s="135"/>
      <c r="Y70" s="135"/>
      <c r="Z70" s="135"/>
      <c r="AA70" s="135"/>
      <c r="AB70" s="135"/>
      <c r="AC70" s="135"/>
      <c r="AD70" s="135"/>
      <c r="AE70" s="135"/>
      <c r="AF70" s="135"/>
      <c r="AG70" s="135"/>
      <c r="AH70" s="135"/>
      <c r="AI70" s="135"/>
      <c r="AJ70" s="135"/>
      <c r="AK70" s="135"/>
      <c r="AL70" s="135"/>
      <c r="AM70" s="135"/>
      <c r="AN70" s="135"/>
      <c r="AO70" s="135"/>
      <c r="AP70" s="135"/>
      <c r="AQ70" s="135"/>
      <c r="AR70" s="135"/>
      <c r="AS70" s="135"/>
      <c r="AT70" s="543"/>
      <c r="AU70" s="544"/>
      <c r="AV70" s="545"/>
    </row>
    <row r="71">
      <c r="A71" s="540"/>
      <c r="B71" s="206"/>
      <c r="C71" s="206"/>
      <c r="D71" s="206"/>
      <c r="E71" s="548" t="s">
        <v>458</v>
      </c>
      <c r="F71" s="207" t="s">
        <v>122</v>
      </c>
      <c r="G71" s="208" t="s">
        <v>203</v>
      </c>
      <c r="H71" s="549">
        <v>0.217176</v>
      </c>
      <c r="I71" s="271" t="s">
        <v>150</v>
      </c>
      <c r="J71" s="271" t="s">
        <v>150</v>
      </c>
      <c r="K71" s="271" t="s">
        <v>150</v>
      </c>
      <c r="L71" s="271" t="s">
        <v>150</v>
      </c>
      <c r="M71" s="271" t="s">
        <v>150</v>
      </c>
      <c r="N71" s="271" t="s">
        <v>150</v>
      </c>
      <c r="O71" s="271" t="s">
        <v>150</v>
      </c>
      <c r="P71" s="271" t="s">
        <v>150</v>
      </c>
      <c r="Q71" s="271" t="s">
        <v>150</v>
      </c>
      <c r="R71" s="271" t="s">
        <v>150</v>
      </c>
      <c r="S71" s="271" t="s">
        <v>150</v>
      </c>
      <c r="T71" s="271" t="s">
        <v>150</v>
      </c>
      <c r="U71" s="271" t="s">
        <v>150</v>
      </c>
      <c r="V71" s="271" t="s">
        <v>150</v>
      </c>
      <c r="W71" s="271" t="s">
        <v>150</v>
      </c>
      <c r="X71" s="271" t="s">
        <v>150</v>
      </c>
      <c r="Y71" s="271" t="s">
        <v>150</v>
      </c>
      <c r="Z71" s="271" t="s">
        <v>150</v>
      </c>
      <c r="AA71" s="271" t="s">
        <v>150</v>
      </c>
      <c r="AB71" s="271" t="s">
        <v>150</v>
      </c>
      <c r="AC71" s="271" t="s">
        <v>150</v>
      </c>
      <c r="AD71" s="271" t="s">
        <v>150</v>
      </c>
      <c r="AE71" s="271" t="s">
        <v>150</v>
      </c>
      <c r="AF71" s="271" t="s">
        <v>150</v>
      </c>
      <c r="AG71" s="271" t="s">
        <v>150</v>
      </c>
      <c r="AH71" s="271" t="s">
        <v>150</v>
      </c>
      <c r="AI71" s="271" t="s">
        <v>150</v>
      </c>
      <c r="AJ71" s="271" t="s">
        <v>150</v>
      </c>
      <c r="AK71" s="271" t="s">
        <v>150</v>
      </c>
      <c r="AL71" s="271" t="s">
        <v>150</v>
      </c>
      <c r="AM71" s="271" t="s">
        <v>150</v>
      </c>
      <c r="AN71" s="271" t="s">
        <v>150</v>
      </c>
      <c r="AO71" s="271" t="s">
        <v>150</v>
      </c>
      <c r="AP71" s="271" t="s">
        <v>150</v>
      </c>
      <c r="AQ71" s="271" t="s">
        <v>150</v>
      </c>
      <c r="AR71" s="271" t="s">
        <v>150</v>
      </c>
      <c r="AS71" s="271" t="s">
        <v>150</v>
      </c>
      <c r="AT71" s="550"/>
      <c r="AU71" s="562" t="s">
        <v>795</v>
      </c>
      <c r="AV71" s="130" t="s">
        <v>152</v>
      </c>
    </row>
    <row r="72">
      <c r="A72" s="540"/>
      <c r="B72" s="206"/>
      <c r="C72" s="206"/>
      <c r="D72" s="206"/>
      <c r="E72" s="558" t="s">
        <v>519</v>
      </c>
      <c r="F72" s="283" t="s">
        <v>122</v>
      </c>
      <c r="G72" s="285" t="s">
        <v>203</v>
      </c>
      <c r="H72" s="559">
        <v>0.4415068</v>
      </c>
      <c r="I72" s="291" t="s">
        <v>150</v>
      </c>
      <c r="J72" s="291" t="s">
        <v>150</v>
      </c>
      <c r="K72" s="291" t="s">
        <v>150</v>
      </c>
      <c r="L72" s="291" t="s">
        <v>150</v>
      </c>
      <c r="M72" s="291" t="s">
        <v>150</v>
      </c>
      <c r="N72" s="291" t="s">
        <v>150</v>
      </c>
      <c r="O72" s="291" t="s">
        <v>150</v>
      </c>
      <c r="P72" s="291" t="s">
        <v>150</v>
      </c>
      <c r="Q72" s="291" t="s">
        <v>150</v>
      </c>
      <c r="R72" s="291" t="s">
        <v>150</v>
      </c>
      <c r="S72" s="291" t="s">
        <v>150</v>
      </c>
      <c r="T72" s="291" t="s">
        <v>150</v>
      </c>
      <c r="U72" s="291" t="s">
        <v>150</v>
      </c>
      <c r="V72" s="291" t="s">
        <v>150</v>
      </c>
      <c r="W72" s="291" t="s">
        <v>150</v>
      </c>
      <c r="X72" s="291" t="s">
        <v>150</v>
      </c>
      <c r="Y72" s="291" t="s">
        <v>150</v>
      </c>
      <c r="Z72" s="291" t="s">
        <v>150</v>
      </c>
      <c r="AA72" s="291" t="s">
        <v>150</v>
      </c>
      <c r="AB72" s="291" t="s">
        <v>150</v>
      </c>
      <c r="AC72" s="291" t="s">
        <v>150</v>
      </c>
      <c r="AD72" s="291" t="s">
        <v>150</v>
      </c>
      <c r="AE72" s="291" t="s">
        <v>150</v>
      </c>
      <c r="AF72" s="291" t="s">
        <v>150</v>
      </c>
      <c r="AG72" s="291" t="s">
        <v>150</v>
      </c>
      <c r="AH72" s="291" t="s">
        <v>150</v>
      </c>
      <c r="AI72" s="291" t="s">
        <v>150</v>
      </c>
      <c r="AJ72" s="291" t="s">
        <v>150</v>
      </c>
      <c r="AK72" s="291" t="s">
        <v>150</v>
      </c>
      <c r="AL72" s="291" t="s">
        <v>150</v>
      </c>
      <c r="AM72" s="291" t="s">
        <v>150</v>
      </c>
      <c r="AN72" s="291" t="s">
        <v>150</v>
      </c>
      <c r="AO72" s="291" t="s">
        <v>150</v>
      </c>
      <c r="AP72" s="291" t="s">
        <v>150</v>
      </c>
      <c r="AQ72" s="291" t="s">
        <v>150</v>
      </c>
      <c r="AR72" s="291" t="s">
        <v>150</v>
      </c>
      <c r="AS72" s="291" t="s">
        <v>150</v>
      </c>
      <c r="AT72" s="560"/>
      <c r="AU72" s="567" t="s">
        <v>795</v>
      </c>
      <c r="AV72" s="534" t="s">
        <v>152</v>
      </c>
    </row>
    <row r="73">
      <c r="A73" s="540"/>
      <c r="B73" s="206"/>
      <c r="C73" s="206"/>
      <c r="D73" s="206"/>
      <c r="E73" s="541"/>
      <c r="F73" s="201"/>
      <c r="G73" s="202"/>
      <c r="H73" s="542"/>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5"/>
      <c r="AF73" s="135"/>
      <c r="AG73" s="135"/>
      <c r="AH73" s="135"/>
      <c r="AI73" s="135"/>
      <c r="AJ73" s="135"/>
      <c r="AK73" s="135"/>
      <c r="AL73" s="135"/>
      <c r="AM73" s="135"/>
      <c r="AN73" s="135"/>
      <c r="AO73" s="135"/>
      <c r="AP73" s="135"/>
      <c r="AQ73" s="135"/>
      <c r="AR73" s="135"/>
      <c r="AS73" s="135"/>
      <c r="AT73" s="543"/>
      <c r="AU73" s="609"/>
      <c r="AV73" s="545"/>
    </row>
    <row r="74">
      <c r="A74" s="540"/>
      <c r="B74" s="206"/>
      <c r="C74" s="325" t="s">
        <v>613</v>
      </c>
      <c r="F74" s="201"/>
      <c r="G74" s="202"/>
      <c r="H74" s="542"/>
      <c r="I74" s="135"/>
      <c r="J74" s="135"/>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135"/>
      <c r="AH74" s="135"/>
      <c r="AI74" s="135"/>
      <c r="AJ74" s="135"/>
      <c r="AK74" s="135"/>
      <c r="AL74" s="135"/>
      <c r="AM74" s="135"/>
      <c r="AN74" s="135"/>
      <c r="AO74" s="135"/>
      <c r="AP74" s="135"/>
      <c r="AQ74" s="135"/>
      <c r="AR74" s="135"/>
      <c r="AS74" s="135"/>
      <c r="AT74" s="543"/>
      <c r="AU74" s="544"/>
      <c r="AV74" s="545"/>
    </row>
    <row r="75">
      <c r="A75" s="540"/>
      <c r="B75" s="206"/>
      <c r="C75" s="206"/>
      <c r="D75" s="206"/>
      <c r="E75" s="548" t="s">
        <v>615</v>
      </c>
      <c r="F75" s="207" t="s">
        <v>122</v>
      </c>
      <c r="G75" s="208" t="s">
        <v>203</v>
      </c>
      <c r="H75" s="549">
        <v>0.5</v>
      </c>
      <c r="I75" s="271" t="s">
        <v>150</v>
      </c>
      <c r="J75" s="271" t="s">
        <v>150</v>
      </c>
      <c r="K75" s="271" t="s">
        <v>150</v>
      </c>
      <c r="L75" s="271" t="s">
        <v>150</v>
      </c>
      <c r="M75" s="271" t="s">
        <v>150</v>
      </c>
      <c r="N75" s="271" t="s">
        <v>150</v>
      </c>
      <c r="O75" s="271" t="s">
        <v>150</v>
      </c>
      <c r="P75" s="271" t="s">
        <v>150</v>
      </c>
      <c r="Q75" s="271" t="s">
        <v>150</v>
      </c>
      <c r="R75" s="271" t="s">
        <v>150</v>
      </c>
      <c r="S75" s="271" t="s">
        <v>150</v>
      </c>
      <c r="T75" s="271" t="s">
        <v>150</v>
      </c>
      <c r="U75" s="271" t="s">
        <v>150</v>
      </c>
      <c r="V75" s="271" t="s">
        <v>150</v>
      </c>
      <c r="W75" s="271" t="s">
        <v>150</v>
      </c>
      <c r="X75" s="271" t="s">
        <v>150</v>
      </c>
      <c r="Y75" s="271" t="s">
        <v>150</v>
      </c>
      <c r="Z75" s="271" t="s">
        <v>150</v>
      </c>
      <c r="AA75" s="271" t="s">
        <v>150</v>
      </c>
      <c r="AB75" s="271" t="s">
        <v>150</v>
      </c>
      <c r="AC75" s="271" t="s">
        <v>150</v>
      </c>
      <c r="AD75" s="271" t="s">
        <v>150</v>
      </c>
      <c r="AE75" s="271" t="s">
        <v>150</v>
      </c>
      <c r="AF75" s="271" t="s">
        <v>150</v>
      </c>
      <c r="AG75" s="271" t="s">
        <v>150</v>
      </c>
      <c r="AH75" s="271" t="s">
        <v>150</v>
      </c>
      <c r="AI75" s="271" t="s">
        <v>150</v>
      </c>
      <c r="AJ75" s="271" t="s">
        <v>150</v>
      </c>
      <c r="AK75" s="271" t="s">
        <v>150</v>
      </c>
      <c r="AL75" s="271" t="s">
        <v>150</v>
      </c>
      <c r="AM75" s="271" t="s">
        <v>150</v>
      </c>
      <c r="AN75" s="271" t="s">
        <v>150</v>
      </c>
      <c r="AO75" s="271" t="s">
        <v>150</v>
      </c>
      <c r="AP75" s="271" t="s">
        <v>150</v>
      </c>
      <c r="AQ75" s="271" t="s">
        <v>150</v>
      </c>
      <c r="AR75" s="271" t="s">
        <v>150</v>
      </c>
      <c r="AS75" s="271" t="s">
        <v>150</v>
      </c>
      <c r="AT75" s="550"/>
      <c r="AU75" s="562" t="s">
        <v>809</v>
      </c>
      <c r="AV75" s="552"/>
    </row>
    <row r="76">
      <c r="A76" s="540"/>
      <c r="B76" s="206"/>
      <c r="C76" s="206"/>
      <c r="D76" s="206"/>
      <c r="E76" s="558" t="s">
        <v>622</v>
      </c>
      <c r="F76" s="283" t="s">
        <v>122</v>
      </c>
      <c r="G76" s="285" t="s">
        <v>203</v>
      </c>
      <c r="H76" s="559">
        <f>1-H75</f>
        <v>0.5</v>
      </c>
      <c r="I76" s="291" t="s">
        <v>150</v>
      </c>
      <c r="J76" s="291" t="s">
        <v>150</v>
      </c>
      <c r="K76" s="291" t="s">
        <v>150</v>
      </c>
      <c r="L76" s="291" t="s">
        <v>150</v>
      </c>
      <c r="M76" s="291" t="s">
        <v>150</v>
      </c>
      <c r="N76" s="291" t="s">
        <v>150</v>
      </c>
      <c r="O76" s="291" t="s">
        <v>150</v>
      </c>
      <c r="P76" s="291" t="s">
        <v>150</v>
      </c>
      <c r="Q76" s="291" t="s">
        <v>150</v>
      </c>
      <c r="R76" s="291" t="s">
        <v>150</v>
      </c>
      <c r="S76" s="291" t="s">
        <v>150</v>
      </c>
      <c r="T76" s="291" t="s">
        <v>150</v>
      </c>
      <c r="U76" s="291" t="s">
        <v>150</v>
      </c>
      <c r="V76" s="291" t="s">
        <v>150</v>
      </c>
      <c r="W76" s="291" t="s">
        <v>150</v>
      </c>
      <c r="X76" s="291" t="s">
        <v>150</v>
      </c>
      <c r="Y76" s="291" t="s">
        <v>150</v>
      </c>
      <c r="Z76" s="291" t="s">
        <v>150</v>
      </c>
      <c r="AA76" s="291" t="s">
        <v>150</v>
      </c>
      <c r="AB76" s="291" t="s">
        <v>150</v>
      </c>
      <c r="AC76" s="291" t="s">
        <v>150</v>
      </c>
      <c r="AD76" s="291" t="s">
        <v>150</v>
      </c>
      <c r="AE76" s="291" t="s">
        <v>150</v>
      </c>
      <c r="AF76" s="291" t="s">
        <v>150</v>
      </c>
      <c r="AG76" s="291" t="s">
        <v>150</v>
      </c>
      <c r="AH76" s="291" t="s">
        <v>150</v>
      </c>
      <c r="AI76" s="291" t="s">
        <v>150</v>
      </c>
      <c r="AJ76" s="291" t="s">
        <v>150</v>
      </c>
      <c r="AK76" s="291" t="s">
        <v>150</v>
      </c>
      <c r="AL76" s="291" t="s">
        <v>150</v>
      </c>
      <c r="AM76" s="291" t="s">
        <v>150</v>
      </c>
      <c r="AN76" s="291" t="s">
        <v>150</v>
      </c>
      <c r="AO76" s="291" t="s">
        <v>150</v>
      </c>
      <c r="AP76" s="291" t="s">
        <v>150</v>
      </c>
      <c r="AQ76" s="291" t="s">
        <v>150</v>
      </c>
      <c r="AR76" s="291" t="s">
        <v>150</v>
      </c>
      <c r="AS76" s="291" t="s">
        <v>150</v>
      </c>
      <c r="AT76" s="560"/>
      <c r="AU76" s="567" t="s">
        <v>809</v>
      </c>
      <c r="AV76" s="561"/>
    </row>
    <row r="77">
      <c r="A77" s="540"/>
      <c r="B77" s="206"/>
      <c r="C77" s="206"/>
      <c r="D77" s="206"/>
      <c r="E77" s="541"/>
      <c r="F77" s="201"/>
      <c r="G77" s="202"/>
      <c r="H77" s="542"/>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543"/>
      <c r="AU77" s="544"/>
      <c r="AV77" s="545"/>
    </row>
    <row r="78">
      <c r="A78" s="540"/>
      <c r="B78" s="206"/>
      <c r="C78" s="126" t="s">
        <v>843</v>
      </c>
      <c r="F78" s="201"/>
      <c r="G78" s="202"/>
      <c r="H78" s="542"/>
      <c r="I78" s="135"/>
      <c r="J78" s="135"/>
      <c r="K78" s="135"/>
      <c r="L78" s="135"/>
      <c r="M78" s="135"/>
      <c r="N78" s="135"/>
      <c r="O78" s="135"/>
      <c r="P78" s="135"/>
      <c r="Q78" s="135"/>
      <c r="R78" s="135"/>
      <c r="S78" s="135"/>
      <c r="T78" s="135"/>
      <c r="U78" s="135"/>
      <c r="V78" s="135"/>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543"/>
      <c r="AU78" s="544"/>
      <c r="AV78" s="545"/>
    </row>
    <row r="79">
      <c r="A79" s="540"/>
      <c r="B79" s="206"/>
      <c r="C79" s="206"/>
      <c r="D79" s="206"/>
      <c r="E79" s="548" t="s">
        <v>674</v>
      </c>
      <c r="F79" s="207" t="s">
        <v>122</v>
      </c>
      <c r="G79" s="208" t="s">
        <v>203</v>
      </c>
      <c r="H79" s="549">
        <v>0.0</v>
      </c>
      <c r="I79" s="271" t="s">
        <v>150</v>
      </c>
      <c r="J79" s="271" t="s">
        <v>150</v>
      </c>
      <c r="K79" s="271" t="s">
        <v>150</v>
      </c>
      <c r="L79" s="271" t="s">
        <v>150</v>
      </c>
      <c r="M79" s="271" t="s">
        <v>150</v>
      </c>
      <c r="N79" s="271" t="s">
        <v>150</v>
      </c>
      <c r="O79" s="271" t="s">
        <v>150</v>
      </c>
      <c r="P79" s="271" t="s">
        <v>150</v>
      </c>
      <c r="Q79" s="271" t="s">
        <v>150</v>
      </c>
      <c r="R79" s="271" t="s">
        <v>150</v>
      </c>
      <c r="S79" s="271" t="s">
        <v>150</v>
      </c>
      <c r="T79" s="271" t="s">
        <v>150</v>
      </c>
      <c r="U79" s="271" t="s">
        <v>150</v>
      </c>
      <c r="V79" s="271" t="s">
        <v>150</v>
      </c>
      <c r="W79" s="271" t="s">
        <v>150</v>
      </c>
      <c r="X79" s="271" t="s">
        <v>150</v>
      </c>
      <c r="Y79" s="271" t="s">
        <v>150</v>
      </c>
      <c r="Z79" s="271" t="s">
        <v>150</v>
      </c>
      <c r="AA79" s="271" t="s">
        <v>150</v>
      </c>
      <c r="AB79" s="271" t="s">
        <v>150</v>
      </c>
      <c r="AC79" s="271" t="s">
        <v>150</v>
      </c>
      <c r="AD79" s="271" t="s">
        <v>150</v>
      </c>
      <c r="AE79" s="271" t="s">
        <v>150</v>
      </c>
      <c r="AF79" s="271" t="s">
        <v>150</v>
      </c>
      <c r="AG79" s="271" t="s">
        <v>150</v>
      </c>
      <c r="AH79" s="271" t="s">
        <v>150</v>
      </c>
      <c r="AI79" s="271" t="s">
        <v>150</v>
      </c>
      <c r="AJ79" s="271" t="s">
        <v>150</v>
      </c>
      <c r="AK79" s="271" t="s">
        <v>150</v>
      </c>
      <c r="AL79" s="271" t="s">
        <v>150</v>
      </c>
      <c r="AM79" s="271" t="s">
        <v>150</v>
      </c>
      <c r="AN79" s="271" t="s">
        <v>150</v>
      </c>
      <c r="AO79" s="271" t="s">
        <v>150</v>
      </c>
      <c r="AP79" s="271" t="s">
        <v>150</v>
      </c>
      <c r="AQ79" s="271" t="s">
        <v>150</v>
      </c>
      <c r="AR79" s="271" t="s">
        <v>150</v>
      </c>
      <c r="AS79" s="271" t="s">
        <v>150</v>
      </c>
      <c r="AT79" s="550"/>
      <c r="AU79" s="562" t="s">
        <v>809</v>
      </c>
      <c r="AV79" s="552"/>
    </row>
    <row r="80">
      <c r="A80" s="540"/>
      <c r="B80" s="206"/>
      <c r="C80" s="206"/>
      <c r="D80" s="206"/>
      <c r="E80" s="558" t="s">
        <v>682</v>
      </c>
      <c r="F80" s="283" t="s">
        <v>122</v>
      </c>
      <c r="G80" s="285" t="s">
        <v>203</v>
      </c>
      <c r="H80" s="559">
        <v>0.0</v>
      </c>
      <c r="I80" s="291" t="s">
        <v>150</v>
      </c>
      <c r="J80" s="291" t="s">
        <v>150</v>
      </c>
      <c r="K80" s="291" t="s">
        <v>150</v>
      </c>
      <c r="L80" s="291" t="s">
        <v>150</v>
      </c>
      <c r="M80" s="291" t="s">
        <v>150</v>
      </c>
      <c r="N80" s="291" t="s">
        <v>150</v>
      </c>
      <c r="O80" s="291" t="s">
        <v>150</v>
      </c>
      <c r="P80" s="291" t="s">
        <v>150</v>
      </c>
      <c r="Q80" s="291" t="s">
        <v>150</v>
      </c>
      <c r="R80" s="291" t="s">
        <v>150</v>
      </c>
      <c r="S80" s="291" t="s">
        <v>150</v>
      </c>
      <c r="T80" s="291" t="s">
        <v>150</v>
      </c>
      <c r="U80" s="291" t="s">
        <v>150</v>
      </c>
      <c r="V80" s="291" t="s">
        <v>150</v>
      </c>
      <c r="W80" s="291" t="s">
        <v>150</v>
      </c>
      <c r="X80" s="291" t="s">
        <v>150</v>
      </c>
      <c r="Y80" s="291" t="s">
        <v>150</v>
      </c>
      <c r="Z80" s="291" t="s">
        <v>150</v>
      </c>
      <c r="AA80" s="291" t="s">
        <v>150</v>
      </c>
      <c r="AB80" s="291" t="s">
        <v>150</v>
      </c>
      <c r="AC80" s="291" t="s">
        <v>150</v>
      </c>
      <c r="AD80" s="291" t="s">
        <v>150</v>
      </c>
      <c r="AE80" s="291" t="s">
        <v>150</v>
      </c>
      <c r="AF80" s="291" t="s">
        <v>150</v>
      </c>
      <c r="AG80" s="291" t="s">
        <v>150</v>
      </c>
      <c r="AH80" s="291" t="s">
        <v>150</v>
      </c>
      <c r="AI80" s="291" t="s">
        <v>150</v>
      </c>
      <c r="AJ80" s="291" t="s">
        <v>150</v>
      </c>
      <c r="AK80" s="291" t="s">
        <v>150</v>
      </c>
      <c r="AL80" s="291" t="s">
        <v>150</v>
      </c>
      <c r="AM80" s="291" t="s">
        <v>150</v>
      </c>
      <c r="AN80" s="291" t="s">
        <v>150</v>
      </c>
      <c r="AO80" s="291" t="s">
        <v>150</v>
      </c>
      <c r="AP80" s="291" t="s">
        <v>150</v>
      </c>
      <c r="AQ80" s="291" t="s">
        <v>150</v>
      </c>
      <c r="AR80" s="291" t="s">
        <v>150</v>
      </c>
      <c r="AS80" s="291" t="s">
        <v>150</v>
      </c>
      <c r="AT80" s="560"/>
      <c r="AU80" s="567" t="s">
        <v>809</v>
      </c>
      <c r="AV80" s="561"/>
    </row>
    <row r="81">
      <c r="A81" s="540"/>
      <c r="B81" s="206"/>
      <c r="C81" s="206"/>
      <c r="D81" s="206"/>
      <c r="E81" s="541"/>
      <c r="F81" s="201"/>
      <c r="G81" s="202"/>
      <c r="H81" s="542"/>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c r="AI81" s="135"/>
      <c r="AJ81" s="135"/>
      <c r="AK81" s="135"/>
      <c r="AL81" s="135"/>
      <c r="AM81" s="135"/>
      <c r="AN81" s="135"/>
      <c r="AO81" s="135"/>
      <c r="AP81" s="135"/>
      <c r="AQ81" s="135"/>
      <c r="AR81" s="135"/>
      <c r="AS81" s="135"/>
      <c r="AT81" s="543"/>
      <c r="AU81" s="544"/>
      <c r="AV81" s="545"/>
    </row>
    <row r="82">
      <c r="A82" s="540"/>
      <c r="B82" s="206"/>
      <c r="C82" s="325" t="s">
        <v>845</v>
      </c>
      <c r="F82" s="201"/>
      <c r="G82" s="202"/>
      <c r="H82" s="542"/>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543"/>
      <c r="AU82" s="544"/>
      <c r="AV82" s="545"/>
    </row>
    <row r="83">
      <c r="A83" s="540"/>
      <c r="B83" s="206"/>
      <c r="C83" s="206"/>
      <c r="D83" s="206"/>
      <c r="E83" s="548" t="s">
        <v>635</v>
      </c>
      <c r="F83" s="207" t="s">
        <v>122</v>
      </c>
      <c r="G83" s="208" t="s">
        <v>203</v>
      </c>
      <c r="H83" s="549">
        <v>0.0</v>
      </c>
      <c r="I83" s="271" t="s">
        <v>150</v>
      </c>
      <c r="J83" s="271" t="s">
        <v>150</v>
      </c>
      <c r="K83" s="271" t="s">
        <v>150</v>
      </c>
      <c r="L83" s="271" t="s">
        <v>150</v>
      </c>
      <c r="M83" s="271" t="s">
        <v>150</v>
      </c>
      <c r="N83" s="271" t="s">
        <v>150</v>
      </c>
      <c r="O83" s="271" t="s">
        <v>150</v>
      </c>
      <c r="P83" s="271" t="s">
        <v>150</v>
      </c>
      <c r="Q83" s="271" t="s">
        <v>150</v>
      </c>
      <c r="R83" s="271" t="s">
        <v>150</v>
      </c>
      <c r="S83" s="271" t="s">
        <v>150</v>
      </c>
      <c r="T83" s="271" t="s">
        <v>150</v>
      </c>
      <c r="U83" s="271" t="s">
        <v>150</v>
      </c>
      <c r="V83" s="271" t="s">
        <v>150</v>
      </c>
      <c r="W83" s="271" t="s">
        <v>150</v>
      </c>
      <c r="X83" s="271" t="s">
        <v>150</v>
      </c>
      <c r="Y83" s="271" t="s">
        <v>150</v>
      </c>
      <c r="Z83" s="271" t="s">
        <v>150</v>
      </c>
      <c r="AA83" s="271" t="s">
        <v>150</v>
      </c>
      <c r="AB83" s="271" t="s">
        <v>150</v>
      </c>
      <c r="AC83" s="271" t="s">
        <v>150</v>
      </c>
      <c r="AD83" s="271" t="s">
        <v>150</v>
      </c>
      <c r="AE83" s="271" t="s">
        <v>150</v>
      </c>
      <c r="AF83" s="271" t="s">
        <v>150</v>
      </c>
      <c r="AG83" s="271" t="s">
        <v>150</v>
      </c>
      <c r="AH83" s="271" t="s">
        <v>150</v>
      </c>
      <c r="AI83" s="271" t="s">
        <v>150</v>
      </c>
      <c r="AJ83" s="271" t="s">
        <v>150</v>
      </c>
      <c r="AK83" s="271" t="s">
        <v>150</v>
      </c>
      <c r="AL83" s="271" t="s">
        <v>150</v>
      </c>
      <c r="AM83" s="271" t="s">
        <v>150</v>
      </c>
      <c r="AN83" s="271" t="s">
        <v>150</v>
      </c>
      <c r="AO83" s="271" t="s">
        <v>150</v>
      </c>
      <c r="AP83" s="271" t="s">
        <v>150</v>
      </c>
      <c r="AQ83" s="271" t="s">
        <v>150</v>
      </c>
      <c r="AR83" s="271" t="s">
        <v>150</v>
      </c>
      <c r="AS83" s="271" t="s">
        <v>150</v>
      </c>
      <c r="AT83" s="550"/>
      <c r="AU83" s="562" t="s">
        <v>809</v>
      </c>
      <c r="AV83" s="552"/>
    </row>
    <row r="84">
      <c r="A84" s="540"/>
      <c r="B84" s="206"/>
      <c r="C84" s="206"/>
      <c r="D84" s="206"/>
      <c r="E84" s="558" t="s">
        <v>640</v>
      </c>
      <c r="F84" s="283" t="s">
        <v>122</v>
      </c>
      <c r="G84" s="285" t="s">
        <v>203</v>
      </c>
      <c r="H84" s="559">
        <v>1.0</v>
      </c>
      <c r="I84" s="291" t="s">
        <v>150</v>
      </c>
      <c r="J84" s="291" t="s">
        <v>150</v>
      </c>
      <c r="K84" s="291" t="s">
        <v>150</v>
      </c>
      <c r="L84" s="291" t="s">
        <v>150</v>
      </c>
      <c r="M84" s="291" t="s">
        <v>150</v>
      </c>
      <c r="N84" s="291" t="s">
        <v>150</v>
      </c>
      <c r="O84" s="291" t="s">
        <v>150</v>
      </c>
      <c r="P84" s="291" t="s">
        <v>150</v>
      </c>
      <c r="Q84" s="291" t="s">
        <v>150</v>
      </c>
      <c r="R84" s="291" t="s">
        <v>150</v>
      </c>
      <c r="S84" s="291" t="s">
        <v>150</v>
      </c>
      <c r="T84" s="291" t="s">
        <v>150</v>
      </c>
      <c r="U84" s="291" t="s">
        <v>150</v>
      </c>
      <c r="V84" s="291" t="s">
        <v>150</v>
      </c>
      <c r="W84" s="291" t="s">
        <v>150</v>
      </c>
      <c r="X84" s="291" t="s">
        <v>150</v>
      </c>
      <c r="Y84" s="291" t="s">
        <v>150</v>
      </c>
      <c r="Z84" s="291" t="s">
        <v>150</v>
      </c>
      <c r="AA84" s="291" t="s">
        <v>150</v>
      </c>
      <c r="AB84" s="291" t="s">
        <v>150</v>
      </c>
      <c r="AC84" s="291" t="s">
        <v>150</v>
      </c>
      <c r="AD84" s="291" t="s">
        <v>150</v>
      </c>
      <c r="AE84" s="291" t="s">
        <v>150</v>
      </c>
      <c r="AF84" s="291" t="s">
        <v>150</v>
      </c>
      <c r="AG84" s="291" t="s">
        <v>150</v>
      </c>
      <c r="AH84" s="291" t="s">
        <v>150</v>
      </c>
      <c r="AI84" s="291" t="s">
        <v>150</v>
      </c>
      <c r="AJ84" s="291" t="s">
        <v>150</v>
      </c>
      <c r="AK84" s="291" t="s">
        <v>150</v>
      </c>
      <c r="AL84" s="291" t="s">
        <v>150</v>
      </c>
      <c r="AM84" s="291" t="s">
        <v>150</v>
      </c>
      <c r="AN84" s="291" t="s">
        <v>150</v>
      </c>
      <c r="AO84" s="291" t="s">
        <v>150</v>
      </c>
      <c r="AP84" s="291" t="s">
        <v>150</v>
      </c>
      <c r="AQ84" s="291" t="s">
        <v>150</v>
      </c>
      <c r="AR84" s="291" t="s">
        <v>150</v>
      </c>
      <c r="AS84" s="291" t="s">
        <v>150</v>
      </c>
      <c r="AT84" s="560"/>
      <c r="AU84" s="567" t="s">
        <v>809</v>
      </c>
      <c r="AV84" s="561"/>
    </row>
    <row r="85">
      <c r="A85" s="540"/>
      <c r="B85" s="206"/>
      <c r="C85" s="206"/>
      <c r="D85" s="206"/>
      <c r="E85" s="541"/>
      <c r="F85" s="201"/>
      <c r="G85" s="202"/>
      <c r="H85" s="542"/>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543"/>
      <c r="AU85" s="544"/>
      <c r="AV85" s="545"/>
    </row>
    <row r="86">
      <c r="A86" s="540"/>
      <c r="B86" s="206"/>
      <c r="C86" s="126" t="s">
        <v>688</v>
      </c>
      <c r="F86" s="201"/>
      <c r="G86" s="202"/>
      <c r="H86" s="614"/>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c r="AH86" s="109"/>
      <c r="AI86" s="109"/>
      <c r="AJ86" s="109"/>
      <c r="AK86" s="109"/>
      <c r="AL86" s="109"/>
      <c r="AM86" s="109"/>
      <c r="AN86" s="109"/>
      <c r="AO86" s="109"/>
      <c r="AP86" s="109"/>
      <c r="AQ86" s="109"/>
      <c r="AR86" s="109"/>
      <c r="AS86" s="109"/>
      <c r="AT86" s="543"/>
      <c r="AU86" s="615"/>
      <c r="AV86" s="545"/>
    </row>
    <row r="87">
      <c r="A87" s="540"/>
      <c r="B87" s="206"/>
      <c r="C87" s="206"/>
      <c r="D87" s="206"/>
      <c r="E87" s="548" t="s">
        <v>689</v>
      </c>
      <c r="F87" s="207" t="s">
        <v>122</v>
      </c>
      <c r="G87" s="208" t="s">
        <v>203</v>
      </c>
      <c r="H87" s="549">
        <v>0.35</v>
      </c>
      <c r="I87" s="271" t="s">
        <v>150</v>
      </c>
      <c r="J87" s="271" t="s">
        <v>150</v>
      </c>
      <c r="K87" s="271" t="s">
        <v>150</v>
      </c>
      <c r="L87" s="271" t="s">
        <v>150</v>
      </c>
      <c r="M87" s="271" t="s">
        <v>150</v>
      </c>
      <c r="N87" s="271" t="s">
        <v>150</v>
      </c>
      <c r="O87" s="271" t="s">
        <v>150</v>
      </c>
      <c r="P87" s="271" t="s">
        <v>150</v>
      </c>
      <c r="Q87" s="271" t="s">
        <v>150</v>
      </c>
      <c r="R87" s="271" t="s">
        <v>150</v>
      </c>
      <c r="S87" s="271" t="s">
        <v>150</v>
      </c>
      <c r="T87" s="271" t="s">
        <v>150</v>
      </c>
      <c r="U87" s="271" t="s">
        <v>150</v>
      </c>
      <c r="V87" s="271" t="s">
        <v>150</v>
      </c>
      <c r="W87" s="271" t="s">
        <v>150</v>
      </c>
      <c r="X87" s="271" t="s">
        <v>150</v>
      </c>
      <c r="Y87" s="271" t="s">
        <v>150</v>
      </c>
      <c r="Z87" s="271" t="s">
        <v>150</v>
      </c>
      <c r="AA87" s="271" t="s">
        <v>150</v>
      </c>
      <c r="AB87" s="271" t="s">
        <v>150</v>
      </c>
      <c r="AC87" s="271" t="s">
        <v>150</v>
      </c>
      <c r="AD87" s="271" t="s">
        <v>150</v>
      </c>
      <c r="AE87" s="271" t="s">
        <v>150</v>
      </c>
      <c r="AF87" s="271" t="s">
        <v>150</v>
      </c>
      <c r="AG87" s="271" t="s">
        <v>150</v>
      </c>
      <c r="AH87" s="271" t="s">
        <v>150</v>
      </c>
      <c r="AI87" s="271" t="s">
        <v>150</v>
      </c>
      <c r="AJ87" s="271" t="s">
        <v>150</v>
      </c>
      <c r="AK87" s="271" t="s">
        <v>150</v>
      </c>
      <c r="AL87" s="271" t="s">
        <v>150</v>
      </c>
      <c r="AM87" s="271" t="s">
        <v>150</v>
      </c>
      <c r="AN87" s="271" t="s">
        <v>150</v>
      </c>
      <c r="AO87" s="271" t="s">
        <v>150</v>
      </c>
      <c r="AP87" s="271" t="s">
        <v>150</v>
      </c>
      <c r="AQ87" s="271" t="s">
        <v>150</v>
      </c>
      <c r="AR87" s="271" t="s">
        <v>150</v>
      </c>
      <c r="AS87" s="271" t="s">
        <v>150</v>
      </c>
      <c r="AT87" s="550"/>
      <c r="AU87" s="562" t="s">
        <v>809</v>
      </c>
      <c r="AV87" s="616"/>
    </row>
    <row r="88">
      <c r="A88" s="540"/>
      <c r="B88" s="206"/>
      <c r="C88" s="206"/>
      <c r="D88" s="206"/>
      <c r="E88" s="553" t="s">
        <v>694</v>
      </c>
      <c r="F88" s="278" t="s">
        <v>122</v>
      </c>
      <c r="G88" s="279" t="s">
        <v>203</v>
      </c>
      <c r="H88" s="554">
        <v>0.55</v>
      </c>
      <c r="I88" s="276" t="s">
        <v>150</v>
      </c>
      <c r="J88" s="276" t="s">
        <v>150</v>
      </c>
      <c r="K88" s="276" t="s">
        <v>150</v>
      </c>
      <c r="L88" s="276" t="s">
        <v>150</v>
      </c>
      <c r="M88" s="276" t="s">
        <v>150</v>
      </c>
      <c r="N88" s="276" t="s">
        <v>150</v>
      </c>
      <c r="O88" s="276" t="s">
        <v>150</v>
      </c>
      <c r="P88" s="276" t="s">
        <v>150</v>
      </c>
      <c r="Q88" s="276" t="s">
        <v>150</v>
      </c>
      <c r="R88" s="276" t="s">
        <v>150</v>
      </c>
      <c r="S88" s="276" t="s">
        <v>150</v>
      </c>
      <c r="T88" s="276" t="s">
        <v>150</v>
      </c>
      <c r="U88" s="276" t="s">
        <v>150</v>
      </c>
      <c r="V88" s="276" t="s">
        <v>150</v>
      </c>
      <c r="W88" s="276" t="s">
        <v>150</v>
      </c>
      <c r="X88" s="276" t="s">
        <v>150</v>
      </c>
      <c r="Y88" s="276" t="s">
        <v>150</v>
      </c>
      <c r="Z88" s="276" t="s">
        <v>150</v>
      </c>
      <c r="AA88" s="276" t="s">
        <v>150</v>
      </c>
      <c r="AB88" s="276" t="s">
        <v>150</v>
      </c>
      <c r="AC88" s="276" t="s">
        <v>150</v>
      </c>
      <c r="AD88" s="276" t="s">
        <v>150</v>
      </c>
      <c r="AE88" s="276" t="s">
        <v>150</v>
      </c>
      <c r="AF88" s="276" t="s">
        <v>150</v>
      </c>
      <c r="AG88" s="276" t="s">
        <v>150</v>
      </c>
      <c r="AH88" s="276" t="s">
        <v>150</v>
      </c>
      <c r="AI88" s="276" t="s">
        <v>150</v>
      </c>
      <c r="AJ88" s="276" t="s">
        <v>150</v>
      </c>
      <c r="AK88" s="276" t="s">
        <v>150</v>
      </c>
      <c r="AL88" s="276" t="s">
        <v>150</v>
      </c>
      <c r="AM88" s="276" t="s">
        <v>150</v>
      </c>
      <c r="AN88" s="276" t="s">
        <v>150</v>
      </c>
      <c r="AO88" s="276" t="s">
        <v>150</v>
      </c>
      <c r="AP88" s="276" t="s">
        <v>150</v>
      </c>
      <c r="AQ88" s="276" t="s">
        <v>150</v>
      </c>
      <c r="AR88" s="276" t="s">
        <v>150</v>
      </c>
      <c r="AS88" s="276" t="s">
        <v>150</v>
      </c>
      <c r="AT88" s="555"/>
      <c r="AU88" s="566" t="s">
        <v>809</v>
      </c>
      <c r="AV88" s="617"/>
    </row>
    <row r="89">
      <c r="A89" s="540"/>
      <c r="B89" s="206"/>
      <c r="C89" s="206"/>
      <c r="D89" s="206"/>
      <c r="E89" s="553" t="s">
        <v>698</v>
      </c>
      <c r="F89" s="278" t="s">
        <v>122</v>
      </c>
      <c r="G89" s="279" t="s">
        <v>203</v>
      </c>
      <c r="H89" s="554">
        <v>0.1</v>
      </c>
      <c r="I89" s="276" t="s">
        <v>150</v>
      </c>
      <c r="J89" s="276" t="s">
        <v>150</v>
      </c>
      <c r="K89" s="276" t="s">
        <v>150</v>
      </c>
      <c r="L89" s="276" t="s">
        <v>150</v>
      </c>
      <c r="M89" s="276" t="s">
        <v>150</v>
      </c>
      <c r="N89" s="276" t="s">
        <v>150</v>
      </c>
      <c r="O89" s="276" t="s">
        <v>150</v>
      </c>
      <c r="P89" s="276" t="s">
        <v>150</v>
      </c>
      <c r="Q89" s="276" t="s">
        <v>150</v>
      </c>
      <c r="R89" s="276" t="s">
        <v>150</v>
      </c>
      <c r="S89" s="276" t="s">
        <v>150</v>
      </c>
      <c r="T89" s="276" t="s">
        <v>150</v>
      </c>
      <c r="U89" s="276" t="s">
        <v>150</v>
      </c>
      <c r="V89" s="276" t="s">
        <v>150</v>
      </c>
      <c r="W89" s="276" t="s">
        <v>150</v>
      </c>
      <c r="X89" s="276" t="s">
        <v>150</v>
      </c>
      <c r="Y89" s="276" t="s">
        <v>150</v>
      </c>
      <c r="Z89" s="276" t="s">
        <v>150</v>
      </c>
      <c r="AA89" s="276" t="s">
        <v>150</v>
      </c>
      <c r="AB89" s="276" t="s">
        <v>150</v>
      </c>
      <c r="AC89" s="276" t="s">
        <v>150</v>
      </c>
      <c r="AD89" s="276" t="s">
        <v>150</v>
      </c>
      <c r="AE89" s="276" t="s">
        <v>150</v>
      </c>
      <c r="AF89" s="276" t="s">
        <v>150</v>
      </c>
      <c r="AG89" s="276" t="s">
        <v>150</v>
      </c>
      <c r="AH89" s="276" t="s">
        <v>150</v>
      </c>
      <c r="AI89" s="276" t="s">
        <v>150</v>
      </c>
      <c r="AJ89" s="276" t="s">
        <v>150</v>
      </c>
      <c r="AK89" s="276" t="s">
        <v>150</v>
      </c>
      <c r="AL89" s="276" t="s">
        <v>150</v>
      </c>
      <c r="AM89" s="276" t="s">
        <v>150</v>
      </c>
      <c r="AN89" s="276" t="s">
        <v>150</v>
      </c>
      <c r="AO89" s="276" t="s">
        <v>150</v>
      </c>
      <c r="AP89" s="276" t="s">
        <v>150</v>
      </c>
      <c r="AQ89" s="276" t="s">
        <v>150</v>
      </c>
      <c r="AR89" s="276" t="s">
        <v>150</v>
      </c>
      <c r="AS89" s="276" t="s">
        <v>150</v>
      </c>
      <c r="AT89" s="555"/>
      <c r="AU89" s="566" t="s">
        <v>809</v>
      </c>
      <c r="AV89" s="617"/>
    </row>
    <row r="90">
      <c r="A90" s="540"/>
      <c r="B90" s="206"/>
      <c r="C90" s="206"/>
      <c r="D90" s="206"/>
      <c r="E90" s="553" t="s">
        <v>703</v>
      </c>
      <c r="F90" s="278" t="s">
        <v>122</v>
      </c>
      <c r="G90" s="279" t="s">
        <v>203</v>
      </c>
      <c r="H90" s="554">
        <v>0.35</v>
      </c>
      <c r="I90" s="276" t="s">
        <v>150</v>
      </c>
      <c r="J90" s="276" t="s">
        <v>150</v>
      </c>
      <c r="K90" s="276" t="s">
        <v>150</v>
      </c>
      <c r="L90" s="276" t="s">
        <v>150</v>
      </c>
      <c r="M90" s="276" t="s">
        <v>150</v>
      </c>
      <c r="N90" s="276" t="s">
        <v>150</v>
      </c>
      <c r="O90" s="276" t="s">
        <v>150</v>
      </c>
      <c r="P90" s="276" t="s">
        <v>150</v>
      </c>
      <c r="Q90" s="276" t="s">
        <v>150</v>
      </c>
      <c r="R90" s="276" t="s">
        <v>150</v>
      </c>
      <c r="S90" s="276" t="s">
        <v>150</v>
      </c>
      <c r="T90" s="276" t="s">
        <v>150</v>
      </c>
      <c r="U90" s="276" t="s">
        <v>150</v>
      </c>
      <c r="V90" s="276" t="s">
        <v>150</v>
      </c>
      <c r="W90" s="276" t="s">
        <v>150</v>
      </c>
      <c r="X90" s="276" t="s">
        <v>150</v>
      </c>
      <c r="Y90" s="276" t="s">
        <v>150</v>
      </c>
      <c r="Z90" s="276" t="s">
        <v>150</v>
      </c>
      <c r="AA90" s="276" t="s">
        <v>150</v>
      </c>
      <c r="AB90" s="276" t="s">
        <v>150</v>
      </c>
      <c r="AC90" s="276" t="s">
        <v>150</v>
      </c>
      <c r="AD90" s="276" t="s">
        <v>150</v>
      </c>
      <c r="AE90" s="276" t="s">
        <v>150</v>
      </c>
      <c r="AF90" s="276" t="s">
        <v>150</v>
      </c>
      <c r="AG90" s="276" t="s">
        <v>150</v>
      </c>
      <c r="AH90" s="276" t="s">
        <v>150</v>
      </c>
      <c r="AI90" s="276" t="s">
        <v>150</v>
      </c>
      <c r="AJ90" s="276" t="s">
        <v>150</v>
      </c>
      <c r="AK90" s="276" t="s">
        <v>150</v>
      </c>
      <c r="AL90" s="276" t="s">
        <v>150</v>
      </c>
      <c r="AM90" s="276" t="s">
        <v>150</v>
      </c>
      <c r="AN90" s="276" t="s">
        <v>150</v>
      </c>
      <c r="AO90" s="276" t="s">
        <v>150</v>
      </c>
      <c r="AP90" s="276" t="s">
        <v>150</v>
      </c>
      <c r="AQ90" s="276" t="s">
        <v>150</v>
      </c>
      <c r="AR90" s="276" t="s">
        <v>150</v>
      </c>
      <c r="AS90" s="276" t="s">
        <v>150</v>
      </c>
      <c r="AT90" s="555"/>
      <c r="AU90" s="566" t="s">
        <v>809</v>
      </c>
      <c r="AV90" s="618"/>
    </row>
    <row r="91">
      <c r="A91" s="540"/>
      <c r="B91" s="206"/>
      <c r="C91" s="206"/>
      <c r="D91" s="206"/>
      <c r="E91" s="553" t="s">
        <v>707</v>
      </c>
      <c r="F91" s="278" t="s">
        <v>122</v>
      </c>
      <c r="G91" s="279" t="s">
        <v>203</v>
      </c>
      <c r="H91" s="554">
        <v>0.55</v>
      </c>
      <c r="I91" s="276" t="s">
        <v>150</v>
      </c>
      <c r="J91" s="276" t="s">
        <v>150</v>
      </c>
      <c r="K91" s="276" t="s">
        <v>150</v>
      </c>
      <c r="L91" s="276" t="s">
        <v>150</v>
      </c>
      <c r="M91" s="276" t="s">
        <v>150</v>
      </c>
      <c r="N91" s="276" t="s">
        <v>150</v>
      </c>
      <c r="O91" s="276" t="s">
        <v>150</v>
      </c>
      <c r="P91" s="276" t="s">
        <v>150</v>
      </c>
      <c r="Q91" s="276" t="s">
        <v>150</v>
      </c>
      <c r="R91" s="276" t="s">
        <v>150</v>
      </c>
      <c r="S91" s="276" t="s">
        <v>150</v>
      </c>
      <c r="T91" s="276" t="s">
        <v>150</v>
      </c>
      <c r="U91" s="276" t="s">
        <v>150</v>
      </c>
      <c r="V91" s="276" t="s">
        <v>150</v>
      </c>
      <c r="W91" s="276" t="s">
        <v>150</v>
      </c>
      <c r="X91" s="276" t="s">
        <v>150</v>
      </c>
      <c r="Y91" s="276" t="s">
        <v>150</v>
      </c>
      <c r="Z91" s="276" t="s">
        <v>150</v>
      </c>
      <c r="AA91" s="276" t="s">
        <v>150</v>
      </c>
      <c r="AB91" s="276" t="s">
        <v>150</v>
      </c>
      <c r="AC91" s="276" t="s">
        <v>150</v>
      </c>
      <c r="AD91" s="276" t="s">
        <v>150</v>
      </c>
      <c r="AE91" s="276" t="s">
        <v>150</v>
      </c>
      <c r="AF91" s="276" t="s">
        <v>150</v>
      </c>
      <c r="AG91" s="276" t="s">
        <v>150</v>
      </c>
      <c r="AH91" s="276" t="s">
        <v>150</v>
      </c>
      <c r="AI91" s="276" t="s">
        <v>150</v>
      </c>
      <c r="AJ91" s="276" t="s">
        <v>150</v>
      </c>
      <c r="AK91" s="276" t="s">
        <v>150</v>
      </c>
      <c r="AL91" s="276" t="s">
        <v>150</v>
      </c>
      <c r="AM91" s="276" t="s">
        <v>150</v>
      </c>
      <c r="AN91" s="276" t="s">
        <v>150</v>
      </c>
      <c r="AO91" s="276" t="s">
        <v>150</v>
      </c>
      <c r="AP91" s="276" t="s">
        <v>150</v>
      </c>
      <c r="AQ91" s="276" t="s">
        <v>150</v>
      </c>
      <c r="AR91" s="276" t="s">
        <v>150</v>
      </c>
      <c r="AS91" s="276" t="s">
        <v>150</v>
      </c>
      <c r="AT91" s="555"/>
      <c r="AU91" s="566" t="s">
        <v>809</v>
      </c>
      <c r="AV91" s="618"/>
    </row>
    <row r="92">
      <c r="A92" s="540"/>
      <c r="B92" s="206"/>
      <c r="C92" s="206"/>
      <c r="D92" s="206"/>
      <c r="E92" s="553" t="s">
        <v>711</v>
      </c>
      <c r="F92" s="278" t="s">
        <v>122</v>
      </c>
      <c r="G92" s="279" t="s">
        <v>203</v>
      </c>
      <c r="H92" s="554">
        <v>0.1</v>
      </c>
      <c r="I92" s="276" t="s">
        <v>150</v>
      </c>
      <c r="J92" s="276" t="s">
        <v>150</v>
      </c>
      <c r="K92" s="276" t="s">
        <v>150</v>
      </c>
      <c r="L92" s="276" t="s">
        <v>150</v>
      </c>
      <c r="M92" s="276" t="s">
        <v>150</v>
      </c>
      <c r="N92" s="276" t="s">
        <v>150</v>
      </c>
      <c r="O92" s="276" t="s">
        <v>150</v>
      </c>
      <c r="P92" s="276" t="s">
        <v>150</v>
      </c>
      <c r="Q92" s="276" t="s">
        <v>150</v>
      </c>
      <c r="R92" s="276" t="s">
        <v>150</v>
      </c>
      <c r="S92" s="276" t="s">
        <v>150</v>
      </c>
      <c r="T92" s="276" t="s">
        <v>150</v>
      </c>
      <c r="U92" s="276" t="s">
        <v>150</v>
      </c>
      <c r="V92" s="276" t="s">
        <v>150</v>
      </c>
      <c r="W92" s="276" t="s">
        <v>150</v>
      </c>
      <c r="X92" s="276" t="s">
        <v>150</v>
      </c>
      <c r="Y92" s="276" t="s">
        <v>150</v>
      </c>
      <c r="Z92" s="276" t="s">
        <v>150</v>
      </c>
      <c r="AA92" s="276" t="s">
        <v>150</v>
      </c>
      <c r="AB92" s="276" t="s">
        <v>150</v>
      </c>
      <c r="AC92" s="276" t="s">
        <v>150</v>
      </c>
      <c r="AD92" s="276" t="s">
        <v>150</v>
      </c>
      <c r="AE92" s="276" t="s">
        <v>150</v>
      </c>
      <c r="AF92" s="276" t="s">
        <v>150</v>
      </c>
      <c r="AG92" s="276" t="s">
        <v>150</v>
      </c>
      <c r="AH92" s="276" t="s">
        <v>150</v>
      </c>
      <c r="AI92" s="276" t="s">
        <v>150</v>
      </c>
      <c r="AJ92" s="276" t="s">
        <v>150</v>
      </c>
      <c r="AK92" s="276" t="s">
        <v>150</v>
      </c>
      <c r="AL92" s="276" t="s">
        <v>150</v>
      </c>
      <c r="AM92" s="276" t="s">
        <v>150</v>
      </c>
      <c r="AN92" s="276" t="s">
        <v>150</v>
      </c>
      <c r="AO92" s="276" t="s">
        <v>150</v>
      </c>
      <c r="AP92" s="276" t="s">
        <v>150</v>
      </c>
      <c r="AQ92" s="276" t="s">
        <v>150</v>
      </c>
      <c r="AR92" s="276" t="s">
        <v>150</v>
      </c>
      <c r="AS92" s="276" t="s">
        <v>150</v>
      </c>
      <c r="AT92" s="555"/>
      <c r="AU92" s="566" t="s">
        <v>809</v>
      </c>
      <c r="AV92" s="622"/>
    </row>
    <row r="93">
      <c r="A93" s="540"/>
      <c r="B93" s="206"/>
      <c r="C93" s="206"/>
      <c r="D93" s="206"/>
      <c r="E93" s="553" t="s">
        <v>716</v>
      </c>
      <c r="F93" s="278" t="s">
        <v>122</v>
      </c>
      <c r="G93" s="279" t="s">
        <v>203</v>
      </c>
      <c r="H93" s="554">
        <v>0.85</v>
      </c>
      <c r="I93" s="276" t="s">
        <v>150</v>
      </c>
      <c r="J93" s="276" t="s">
        <v>150</v>
      </c>
      <c r="K93" s="276" t="s">
        <v>150</v>
      </c>
      <c r="L93" s="276" t="s">
        <v>150</v>
      </c>
      <c r="M93" s="276" t="s">
        <v>150</v>
      </c>
      <c r="N93" s="276" t="s">
        <v>150</v>
      </c>
      <c r="O93" s="276" t="s">
        <v>150</v>
      </c>
      <c r="P93" s="276" t="s">
        <v>150</v>
      </c>
      <c r="Q93" s="276" t="s">
        <v>150</v>
      </c>
      <c r="R93" s="276" t="s">
        <v>150</v>
      </c>
      <c r="S93" s="276" t="s">
        <v>150</v>
      </c>
      <c r="T93" s="276" t="s">
        <v>150</v>
      </c>
      <c r="U93" s="276" t="s">
        <v>150</v>
      </c>
      <c r="V93" s="276" t="s">
        <v>150</v>
      </c>
      <c r="W93" s="276" t="s">
        <v>150</v>
      </c>
      <c r="X93" s="276" t="s">
        <v>150</v>
      </c>
      <c r="Y93" s="276" t="s">
        <v>150</v>
      </c>
      <c r="Z93" s="276" t="s">
        <v>150</v>
      </c>
      <c r="AA93" s="276" t="s">
        <v>150</v>
      </c>
      <c r="AB93" s="276" t="s">
        <v>150</v>
      </c>
      <c r="AC93" s="276" t="s">
        <v>150</v>
      </c>
      <c r="AD93" s="276" t="s">
        <v>150</v>
      </c>
      <c r="AE93" s="276" t="s">
        <v>150</v>
      </c>
      <c r="AF93" s="276" t="s">
        <v>150</v>
      </c>
      <c r="AG93" s="276" t="s">
        <v>150</v>
      </c>
      <c r="AH93" s="276" t="s">
        <v>150</v>
      </c>
      <c r="AI93" s="276" t="s">
        <v>150</v>
      </c>
      <c r="AJ93" s="276" t="s">
        <v>150</v>
      </c>
      <c r="AK93" s="276" t="s">
        <v>150</v>
      </c>
      <c r="AL93" s="276" t="s">
        <v>150</v>
      </c>
      <c r="AM93" s="276" t="s">
        <v>150</v>
      </c>
      <c r="AN93" s="276" t="s">
        <v>150</v>
      </c>
      <c r="AO93" s="276" t="s">
        <v>150</v>
      </c>
      <c r="AP93" s="276" t="s">
        <v>150</v>
      </c>
      <c r="AQ93" s="276" t="s">
        <v>150</v>
      </c>
      <c r="AR93" s="276" t="s">
        <v>150</v>
      </c>
      <c r="AS93" s="276" t="s">
        <v>150</v>
      </c>
      <c r="AT93" s="555"/>
      <c r="AU93" s="566" t="s">
        <v>809</v>
      </c>
      <c r="AV93" s="622"/>
    </row>
    <row r="94">
      <c r="A94" s="540"/>
      <c r="B94" s="206"/>
      <c r="C94" s="206"/>
      <c r="D94" s="206"/>
      <c r="E94" s="553" t="s">
        <v>721</v>
      </c>
      <c r="F94" s="278" t="s">
        <v>122</v>
      </c>
      <c r="G94" s="279" t="s">
        <v>203</v>
      </c>
      <c r="H94" s="554">
        <v>0.15</v>
      </c>
      <c r="I94" s="276" t="s">
        <v>150</v>
      </c>
      <c r="J94" s="276" t="s">
        <v>150</v>
      </c>
      <c r="K94" s="276" t="s">
        <v>150</v>
      </c>
      <c r="L94" s="276" t="s">
        <v>150</v>
      </c>
      <c r="M94" s="276" t="s">
        <v>150</v>
      </c>
      <c r="N94" s="276" t="s">
        <v>150</v>
      </c>
      <c r="O94" s="276" t="s">
        <v>150</v>
      </c>
      <c r="P94" s="276" t="s">
        <v>150</v>
      </c>
      <c r="Q94" s="276" t="s">
        <v>150</v>
      </c>
      <c r="R94" s="276" t="s">
        <v>150</v>
      </c>
      <c r="S94" s="276" t="s">
        <v>150</v>
      </c>
      <c r="T94" s="276" t="s">
        <v>150</v>
      </c>
      <c r="U94" s="276" t="s">
        <v>150</v>
      </c>
      <c r="V94" s="276" t="s">
        <v>150</v>
      </c>
      <c r="W94" s="276" t="s">
        <v>150</v>
      </c>
      <c r="X94" s="276" t="s">
        <v>150</v>
      </c>
      <c r="Y94" s="276" t="s">
        <v>150</v>
      </c>
      <c r="Z94" s="276" t="s">
        <v>150</v>
      </c>
      <c r="AA94" s="276" t="s">
        <v>150</v>
      </c>
      <c r="AB94" s="276" t="s">
        <v>150</v>
      </c>
      <c r="AC94" s="276" t="s">
        <v>150</v>
      </c>
      <c r="AD94" s="276" t="s">
        <v>150</v>
      </c>
      <c r="AE94" s="276" t="s">
        <v>150</v>
      </c>
      <c r="AF94" s="276" t="s">
        <v>150</v>
      </c>
      <c r="AG94" s="276" t="s">
        <v>150</v>
      </c>
      <c r="AH94" s="276" t="s">
        <v>150</v>
      </c>
      <c r="AI94" s="276" t="s">
        <v>150</v>
      </c>
      <c r="AJ94" s="276" t="s">
        <v>150</v>
      </c>
      <c r="AK94" s="276" t="s">
        <v>150</v>
      </c>
      <c r="AL94" s="276" t="s">
        <v>150</v>
      </c>
      <c r="AM94" s="276" t="s">
        <v>150</v>
      </c>
      <c r="AN94" s="276" t="s">
        <v>150</v>
      </c>
      <c r="AO94" s="276" t="s">
        <v>150</v>
      </c>
      <c r="AP94" s="276" t="s">
        <v>150</v>
      </c>
      <c r="AQ94" s="276" t="s">
        <v>150</v>
      </c>
      <c r="AR94" s="276" t="s">
        <v>150</v>
      </c>
      <c r="AS94" s="276" t="s">
        <v>150</v>
      </c>
      <c r="AT94" s="555"/>
      <c r="AU94" s="566" t="s">
        <v>809</v>
      </c>
      <c r="AV94" s="557"/>
    </row>
    <row r="95">
      <c r="A95" s="540"/>
      <c r="B95" s="206"/>
      <c r="C95" s="206"/>
      <c r="D95" s="206"/>
      <c r="E95" s="558" t="s">
        <v>729</v>
      </c>
      <c r="F95" s="283" t="s">
        <v>122</v>
      </c>
      <c r="G95" s="285" t="s">
        <v>203</v>
      </c>
      <c r="H95" s="559">
        <v>1.0</v>
      </c>
      <c r="I95" s="291" t="s">
        <v>150</v>
      </c>
      <c r="J95" s="291" t="s">
        <v>150</v>
      </c>
      <c r="K95" s="291" t="s">
        <v>150</v>
      </c>
      <c r="L95" s="291" t="s">
        <v>150</v>
      </c>
      <c r="M95" s="291" t="s">
        <v>150</v>
      </c>
      <c r="N95" s="291" t="s">
        <v>150</v>
      </c>
      <c r="O95" s="291" t="s">
        <v>150</v>
      </c>
      <c r="P95" s="291" t="s">
        <v>150</v>
      </c>
      <c r="Q95" s="291" t="s">
        <v>150</v>
      </c>
      <c r="R95" s="291" t="s">
        <v>150</v>
      </c>
      <c r="S95" s="291" t="s">
        <v>150</v>
      </c>
      <c r="T95" s="291" t="s">
        <v>150</v>
      </c>
      <c r="U95" s="291" t="s">
        <v>150</v>
      </c>
      <c r="V95" s="291" t="s">
        <v>150</v>
      </c>
      <c r="W95" s="291" t="s">
        <v>150</v>
      </c>
      <c r="X95" s="291" t="s">
        <v>150</v>
      </c>
      <c r="Y95" s="291" t="s">
        <v>150</v>
      </c>
      <c r="Z95" s="291" t="s">
        <v>150</v>
      </c>
      <c r="AA95" s="291" t="s">
        <v>150</v>
      </c>
      <c r="AB95" s="291" t="s">
        <v>150</v>
      </c>
      <c r="AC95" s="291" t="s">
        <v>150</v>
      </c>
      <c r="AD95" s="291" t="s">
        <v>150</v>
      </c>
      <c r="AE95" s="291" t="s">
        <v>150</v>
      </c>
      <c r="AF95" s="291" t="s">
        <v>150</v>
      </c>
      <c r="AG95" s="291" t="s">
        <v>150</v>
      </c>
      <c r="AH95" s="291" t="s">
        <v>150</v>
      </c>
      <c r="AI95" s="291" t="s">
        <v>150</v>
      </c>
      <c r="AJ95" s="291" t="s">
        <v>150</v>
      </c>
      <c r="AK95" s="291" t="s">
        <v>150</v>
      </c>
      <c r="AL95" s="291" t="s">
        <v>150</v>
      </c>
      <c r="AM95" s="291" t="s">
        <v>150</v>
      </c>
      <c r="AN95" s="291" t="s">
        <v>150</v>
      </c>
      <c r="AO95" s="291" t="s">
        <v>150</v>
      </c>
      <c r="AP95" s="291" t="s">
        <v>150</v>
      </c>
      <c r="AQ95" s="291" t="s">
        <v>150</v>
      </c>
      <c r="AR95" s="291" t="s">
        <v>150</v>
      </c>
      <c r="AS95" s="291" t="s">
        <v>150</v>
      </c>
      <c r="AT95" s="560"/>
      <c r="AU95" s="567" t="s">
        <v>809</v>
      </c>
      <c r="AV95" s="561"/>
    </row>
    <row r="96">
      <c r="A96" s="585"/>
      <c r="B96" s="623"/>
      <c r="C96" s="623"/>
      <c r="D96" s="623"/>
      <c r="E96" s="624"/>
      <c r="F96" s="625"/>
      <c r="G96" s="626"/>
      <c r="H96" s="542"/>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543"/>
      <c r="AU96" s="544"/>
      <c r="AV96" s="545"/>
    </row>
    <row r="97">
      <c r="A97" s="72" t="s">
        <v>11</v>
      </c>
      <c r="B97" s="14"/>
      <c r="C97" s="14"/>
      <c r="D97" s="14"/>
      <c r="E97" s="14"/>
      <c r="F97" s="14"/>
      <c r="G97" s="482"/>
      <c r="H97" s="535"/>
      <c r="I97" s="536"/>
      <c r="J97" s="536"/>
      <c r="K97" s="536"/>
      <c r="L97" s="536"/>
      <c r="M97" s="536"/>
      <c r="N97" s="536"/>
      <c r="O97" s="536"/>
      <c r="P97" s="536"/>
      <c r="Q97" s="536"/>
      <c r="R97" s="536"/>
      <c r="S97" s="536"/>
      <c r="T97" s="536"/>
      <c r="U97" s="536"/>
      <c r="V97" s="536"/>
      <c r="W97" s="536"/>
      <c r="X97" s="536"/>
      <c r="Y97" s="536"/>
      <c r="Z97" s="536"/>
      <c r="AA97" s="536"/>
      <c r="AB97" s="536"/>
      <c r="AC97" s="536"/>
      <c r="AD97" s="536"/>
      <c r="AE97" s="536"/>
      <c r="AF97" s="536"/>
      <c r="AG97" s="536"/>
      <c r="AH97" s="536"/>
      <c r="AI97" s="536"/>
      <c r="AJ97" s="536"/>
      <c r="AK97" s="536"/>
      <c r="AL97" s="536"/>
      <c r="AM97" s="536"/>
      <c r="AN97" s="536"/>
      <c r="AO97" s="536"/>
      <c r="AP97" s="536"/>
      <c r="AQ97" s="536"/>
      <c r="AR97" s="536"/>
      <c r="AS97" s="536"/>
      <c r="AT97" s="537"/>
      <c r="AU97" s="538"/>
      <c r="AV97" s="539"/>
    </row>
    <row r="98">
      <c r="A98" s="540"/>
      <c r="B98" s="206"/>
      <c r="C98" s="206"/>
      <c r="D98" s="206"/>
      <c r="E98" s="541"/>
      <c r="F98" s="201"/>
      <c r="G98" s="202"/>
      <c r="H98" s="542"/>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543"/>
      <c r="AU98" s="544"/>
      <c r="AV98" s="545"/>
    </row>
    <row r="99">
      <c r="A99" s="206"/>
      <c r="B99" s="206"/>
      <c r="C99" s="126" t="s">
        <v>179</v>
      </c>
      <c r="F99" s="201"/>
      <c r="G99" s="201"/>
      <c r="H99" s="542"/>
      <c r="I99" s="266"/>
      <c r="J99" s="266"/>
      <c r="K99" s="266"/>
      <c r="L99" s="266"/>
      <c r="M99" s="266"/>
      <c r="N99" s="266"/>
      <c r="O99" s="266"/>
      <c r="P99" s="266"/>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543"/>
      <c r="AU99" s="544"/>
      <c r="AV99" s="545"/>
    </row>
    <row r="100">
      <c r="A100" s="540"/>
      <c r="B100" s="206"/>
      <c r="C100" s="206"/>
      <c r="D100" s="206"/>
      <c r="E100" s="548" t="s">
        <v>182</v>
      </c>
      <c r="F100" s="207" t="s">
        <v>122</v>
      </c>
      <c r="G100" s="208" t="s">
        <v>203</v>
      </c>
      <c r="H100" s="578" t="s">
        <v>150</v>
      </c>
      <c r="I100" s="210">
        <f>IFERROR(__xludf.DUMMYFUNCTION("FILTER('GBD estimates'!$G$3:$G$1371,'GBD estimates'!$B$3:$B$1371=I$3,'GBD estimates'!$E$3:$E$1371=""Tuberculosis"",'GBD estimates'!$D$3:$D$1371=""Under 5"")"),0.003629763)</f>
        <v>0.003629763</v>
      </c>
      <c r="J100" s="210">
        <f>IFERROR(__xludf.DUMMYFUNCTION("FILTER('GBD estimates'!$G$3:$G$1371,'GBD estimates'!$B$3:$B$1371=J$3,'GBD estimates'!$E$3:$E$1371=""Tuberculosis"",'GBD estimates'!$D$3:$D$1371=""Under 5"")"),0.001693533)</f>
        <v>0.001693533</v>
      </c>
      <c r="K100" s="210">
        <f>IFERROR(__xludf.DUMMYFUNCTION("FILTER('GBD estimates'!$G$3:$G$1371,'GBD estimates'!$B$3:$B$1371=K$3,'GBD estimates'!$E$3:$E$1371=""Tuberculosis"",'GBD estimates'!$D$3:$D$1371=""Under 5"")"),0.004321809)</f>
        <v>0.004321809</v>
      </c>
      <c r="L100" s="210">
        <f>IFERROR(__xludf.DUMMYFUNCTION("FILTER('GBD estimates'!$G$3:$G$1371,'GBD estimates'!$B$3:$B$1371=L$3,'GBD estimates'!$E$3:$E$1371=""Tuberculosis"",'GBD estimates'!$D$3:$D$1371=""Under 5"")"),8.76042E-4)</f>
        <v>0.000876042</v>
      </c>
      <c r="M100" s="210">
        <f>IFERROR(__xludf.DUMMYFUNCTION("FILTER('GBD estimates'!$G$3:$G$1371,'GBD estimates'!$B$3:$B$1371=M$3,'GBD estimates'!$E$3:$E$1371=""Tuberculosis"",'GBD estimates'!$D$3:$D$1371=""Under 5"")"),0.001723095)</f>
        <v>0.001723095</v>
      </c>
      <c r="N100" s="210">
        <f>IFERROR(__xludf.DUMMYFUNCTION("FILTER('GBD estimates'!$G$3:$G$1371,'GBD estimates'!$B$3:$B$1371=N$3,'GBD estimates'!$E$3:$E$1371=""Tuberculosis"",'GBD estimates'!$D$3:$D$1371=""Under 5"")"),0.002687563)</f>
        <v>0.002687563</v>
      </c>
      <c r="O100" s="210">
        <f>IFERROR(__xludf.DUMMYFUNCTION("FILTER('GBD estimates'!$G$3:$G$1371,'GBD estimates'!$B$3:$B$1371=O$3,'GBD estimates'!$E$3:$E$1371=""Tuberculosis"",'GBD estimates'!$D$3:$D$1371=""Under 5"")"),0.002755632)</f>
        <v>0.002755632</v>
      </c>
      <c r="P100" s="210">
        <f>IFERROR(__xludf.DUMMYFUNCTION("FILTER('GBD estimates'!$G$3:$G$1371,'GBD estimates'!$B$3:$B$1371=P$3,'GBD estimates'!$E$3:$E$1371=""Tuberculosis"",'GBD estimates'!$D$3:$D$1371=""Under 5"")"),0.004692335)</f>
        <v>0.004692335</v>
      </c>
      <c r="Q100" s="210">
        <f>IFERROR(__xludf.DUMMYFUNCTION("FILTER('GBD estimates'!$G$3:$G$1371,'GBD estimates'!$B$3:$B$1371=Q$3,'GBD estimates'!$E$3:$E$1371=""Tuberculosis"",'GBD estimates'!$D$3:$D$1371=""Under 5"")"),0.005920174)</f>
        <v>0.005920174</v>
      </c>
      <c r="R100" s="210">
        <f>IFERROR(__xludf.DUMMYFUNCTION("FILTER('GBD estimates'!$G$3:$G$1371,'GBD estimates'!$B$3:$B$1371=R$3,'GBD estimates'!$E$3:$E$1371=""Tuberculosis"",'GBD estimates'!$D$3:$D$1371=""Under 5"")"),3.40487E-4)</f>
        <v>0.000340487</v>
      </c>
      <c r="S100" s="210">
        <f>IFERROR(__xludf.DUMMYFUNCTION("FILTER('GBD estimates'!$G$3:$G$1371,'GBD estimates'!$B$3:$B$1371=S$3,'GBD estimates'!$E$3:$E$1371=""Tuberculosis"",'GBD estimates'!$D$3:$D$1371=""Under 5"")"),0.001242071)</f>
        <v>0.001242071</v>
      </c>
      <c r="T100" s="210">
        <f>IFERROR(__xludf.DUMMYFUNCTION("FILTER('GBD estimates'!$G$3:$G$1371,'GBD estimates'!$B$3:$B$1371=T$3,'GBD estimates'!$E$3:$E$1371=""Tuberculosis"",'GBD estimates'!$D$3:$D$1371=""Under 5"")"),2.32857E-4)</f>
        <v>0.000232857</v>
      </c>
      <c r="U100" s="210">
        <f>IFERROR(__xludf.DUMMYFUNCTION("FILTER('GBD estimates'!$G$3:$G$1371,'GBD estimates'!$B$3:$B$1371=U$3,'GBD estimates'!$E$3:$E$1371=""Tuberculosis"",'GBD estimates'!$D$3:$D$1371=""Under 5"")"),2.36873E-4)</f>
        <v>0.000236873</v>
      </c>
      <c r="V100" s="210">
        <f>IFERROR(__xludf.DUMMYFUNCTION("FILTER('GBD estimates'!$G$3:$G$1371,'GBD estimates'!$B$3:$B$1371=V$3,'GBD estimates'!$E$3:$E$1371=""Tuberculosis"",'GBD estimates'!$D$3:$D$1371=""Under 5"")"),3.42083E-4)</f>
        <v>0.000342083</v>
      </c>
      <c r="W100" s="210">
        <f>IFERROR(__xludf.DUMMYFUNCTION("FILTER('GBD estimates'!$G$3:$G$1371,'GBD estimates'!$B$3:$B$1371=W$3,'GBD estimates'!$E$3:$E$1371=""Tuberculosis"",'GBD estimates'!$D$3:$D$1371=""Under 5"")"),5.61141E-4)</f>
        <v>0.000561141</v>
      </c>
      <c r="X100" s="210">
        <f>IFERROR(__xludf.DUMMYFUNCTION("FILTER('GBD estimates'!$G$3:$G$1371,'GBD estimates'!$B$3:$B$1371=X$3,'GBD estimates'!$E$3:$E$1371=""Tuberculosis"",'GBD estimates'!$D$3:$D$1371=""Under 5"")"),5.40748E-4)</f>
        <v>0.000540748</v>
      </c>
      <c r="Y100" s="210">
        <f>IFERROR(__xludf.DUMMYFUNCTION("FILTER('GBD estimates'!$G$3:$G$1371,'GBD estimates'!$B$3:$B$1371=Y$3,'GBD estimates'!$E$3:$E$1371=""Tuberculosis"",'GBD estimates'!$D$3:$D$1371=""Under 5"")"),3.08884E-4)</f>
        <v>0.000308884</v>
      </c>
      <c r="Z100" s="210">
        <f>IFERROR(__xludf.DUMMYFUNCTION("FILTER('GBD estimates'!$G$3:$G$1371,'GBD estimates'!$B$3:$B$1371=Z$3,'GBD estimates'!$E$3:$E$1371=""Tuberculosis"",'GBD estimates'!$D$3:$D$1371=""Under 5"")"),3.4876E-4)</f>
        <v>0.00034876</v>
      </c>
      <c r="AA100" s="210">
        <f>IFERROR(__xludf.DUMMYFUNCTION("FILTER('GBD estimates'!$G$3:$G$1371,'GBD estimates'!$B$3:$B$1371=AA$3,'GBD estimates'!$E$3:$E$1371=""Tuberculosis"",'GBD estimates'!$D$3:$D$1371=""Under 5"")"),4.84387E-4)</f>
        <v>0.000484387</v>
      </c>
      <c r="AB100" s="210">
        <f>IFERROR(__xludf.DUMMYFUNCTION("FILTER('GBD estimates'!$G$3:$G$1371,'GBD estimates'!$B$3:$B$1371=AB$3,'GBD estimates'!$E$3:$E$1371=""Tuberculosis"",'GBD estimates'!$D$3:$D$1371=""Under 5"")"),3.27009E-4)</f>
        <v>0.000327009</v>
      </c>
      <c r="AC100" s="210">
        <f>IFERROR(__xludf.DUMMYFUNCTION("FILTER('GBD estimates'!$G$3:$G$1371,'GBD estimates'!$B$3:$B$1371=AC$3,'GBD estimates'!$E$3:$E$1371=""Tuberculosis"",'GBD estimates'!$D$3:$D$1371=""Under 5"")"),2.93915E-4)</f>
        <v>0.000293915</v>
      </c>
      <c r="AD100" s="210">
        <f>IFERROR(__xludf.DUMMYFUNCTION("FILTER('GBD estimates'!$G$3:$G$1371,'GBD estimates'!$B$3:$B$1371=AD$3,'GBD estimates'!$E$3:$E$1371=""Tuberculosis"",'GBD estimates'!$D$3:$D$1371=""Under 5"")"),1.73117E-4)</f>
        <v>0.000173117</v>
      </c>
      <c r="AE100" s="210">
        <f>IFERROR(__xludf.DUMMYFUNCTION("FILTER('GBD estimates'!$G$3:$G$1371,'GBD estimates'!$B$3:$B$1371=AE$3,'GBD estimates'!$E$3:$E$1371=""Tuberculosis"",'GBD estimates'!$D$3:$D$1371=""Under 5"")"),3.02269E-4)</f>
        <v>0.000302269</v>
      </c>
      <c r="AF100" s="210">
        <f>IFERROR(__xludf.DUMMYFUNCTION("FILTER('GBD estimates'!$G$3:$G$1371,'GBD estimates'!$B$3:$B$1371=AF$3,'GBD estimates'!$E$3:$E$1371=""Tuberculosis"",'GBD estimates'!$D$3:$D$1371=""Under 5"")"),1.86819E-4)</f>
        <v>0.000186819</v>
      </c>
      <c r="AG100" s="210">
        <f>IFERROR(__xludf.DUMMYFUNCTION("FILTER('GBD estimates'!$G$3:$G$1371,'GBD estimates'!$B$3:$B$1371=AG$3,'GBD estimates'!$E$3:$E$1371=""Tuberculosis"",'GBD estimates'!$D$3:$D$1371=""Under 5"")"),2.43976E-4)</f>
        <v>0.000243976</v>
      </c>
      <c r="AH100" s="210">
        <f>IFERROR(__xludf.DUMMYFUNCTION("FILTER('GBD estimates'!$G$3:$G$1371,'GBD estimates'!$B$3:$B$1371=AH$3,'GBD estimates'!$E$3:$E$1371=""Tuberculosis"",'GBD estimates'!$D$3:$D$1371=""Under 5"")"),1.89327E-4)</f>
        <v>0.000189327</v>
      </c>
      <c r="AI100" s="210">
        <f>IFERROR(__xludf.DUMMYFUNCTION("FILTER('GBD estimates'!$G$3:$G$1371,'GBD estimates'!$B$3:$B$1371=AI$3,'GBD estimates'!$E$3:$E$1371=""Tuberculosis"",'GBD estimates'!$D$3:$D$1371=""Under 5"")"),1.25611E-4)</f>
        <v>0.000125611</v>
      </c>
      <c r="AJ100" s="210">
        <f>IFERROR(__xludf.DUMMYFUNCTION("FILTER('GBD estimates'!$G$3:$G$1371,'GBD estimates'!$B$3:$B$1371=AJ$3,'GBD estimates'!$E$3:$E$1371=""Tuberculosis"",'GBD estimates'!$D$3:$D$1371=""Under 5"")"),5.19729E-4)</f>
        <v>0.000519729</v>
      </c>
      <c r="AK100" s="210">
        <f>IFERROR(__xludf.DUMMYFUNCTION("FILTER('GBD estimates'!$G$3:$G$1371,'GBD estimates'!$B$3:$B$1371=AK$3,'GBD estimates'!$E$3:$E$1371=""Tuberculosis"",'GBD estimates'!$D$3:$D$1371=""Under 5"")"),9.03152E-4)</f>
        <v>0.000903152</v>
      </c>
      <c r="AL100" s="210">
        <f>IFERROR(__xludf.DUMMYFUNCTION("FILTER('GBD estimates'!$G$3:$G$1371,'GBD estimates'!$B$3:$B$1371=AL$3,'GBD estimates'!$E$3:$E$1371=""Tuberculosis"",'GBD estimates'!$D$3:$D$1371=""Under 5"")"),2.4853E-4)</f>
        <v>0.00024853</v>
      </c>
      <c r="AM100" s="210">
        <f>IFERROR(__xludf.DUMMYFUNCTION("FILTER('GBD estimates'!$G$3:$G$1371,'GBD estimates'!$B$3:$B$1371=AM$3,'GBD estimates'!$E$3:$E$1371=""Tuberculosis"",'GBD estimates'!$D$3:$D$1371=""Under 5"")"),2.98102E-4)</f>
        <v>0.000298102</v>
      </c>
      <c r="AN100" s="210">
        <f>IFERROR(__xludf.DUMMYFUNCTION("FILTER('GBD estimates'!$G$3:$G$1371,'GBD estimates'!$B$3:$B$1371=AN$3,'GBD estimates'!$E$3:$E$1371=""Tuberculosis"",'GBD estimates'!$D$3:$D$1371=""Under 5"")"),1.32551E-4)</f>
        <v>0.000132551</v>
      </c>
      <c r="AO100" s="210">
        <f>IFERROR(__xludf.DUMMYFUNCTION("FILTER('GBD estimates'!$G$3:$G$1371,'GBD estimates'!$B$3:$B$1371=AO$3,'GBD estimates'!$E$3:$E$1371=""Tuberculosis"",'GBD estimates'!$D$3:$D$1371=""Under 5"")"),1.38701E-4)</f>
        <v>0.000138701</v>
      </c>
      <c r="AP100" s="210">
        <f>IFERROR(__xludf.DUMMYFUNCTION("FILTER('GBD estimates'!$G$3:$G$1371,'GBD estimates'!$B$3:$B$1371=AP$3,'GBD estimates'!$E$3:$E$1371=""Tuberculosis"",'GBD estimates'!$D$3:$D$1371=""Under 5"")"),3.83821E-4)</f>
        <v>0.000383821</v>
      </c>
      <c r="AQ100" s="210">
        <f>IFERROR(__xludf.DUMMYFUNCTION("FILTER('GBD estimates'!$G$3:$G$1371,'GBD estimates'!$B$3:$B$1371=AQ$3,'GBD estimates'!$E$3:$E$1371=""Tuberculosis"",'GBD estimates'!$D$3:$D$1371=""Under 5"")"),3.22044E-4)</f>
        <v>0.000322044</v>
      </c>
      <c r="AR100" s="210">
        <f>IFERROR(__xludf.DUMMYFUNCTION("FILTER('GBD estimates'!$G$3:$G$1371,'GBD estimates'!$B$3:$B$1371=AR$3,'GBD estimates'!$E$3:$E$1371=""Tuberculosis"",'GBD estimates'!$D$3:$D$1371=""Under 5"")"),0.001380717)</f>
        <v>0.001380717</v>
      </c>
      <c r="AS100" s="210">
        <f>IFERROR(__xludf.DUMMYFUNCTION("FILTER('GBD estimates'!$G$3:$G$1371,'GBD estimates'!$B$3:$B$1371=AS$3,'GBD estimates'!$E$3:$E$1371=""Tuberculosis"",'GBD estimates'!$D$3:$D$1371=""Under 5"")"),0.00187352)</f>
        <v>0.00187352</v>
      </c>
      <c r="AT100" s="550"/>
      <c r="AU100" s="562" t="s">
        <v>855</v>
      </c>
      <c r="AV100" s="552"/>
    </row>
    <row r="101">
      <c r="A101" s="540"/>
      <c r="B101" s="206"/>
      <c r="C101" s="206"/>
      <c r="D101" s="206"/>
      <c r="E101" s="548" t="s">
        <v>186</v>
      </c>
      <c r="F101" s="207" t="s">
        <v>122</v>
      </c>
      <c r="G101" s="208" t="s">
        <v>203</v>
      </c>
      <c r="H101" s="578" t="s">
        <v>150</v>
      </c>
      <c r="I101" s="210">
        <f>IFERROR(__xludf.DUMMYFUNCTION("FILTER('GBD estimates'!$G$3:$G$1371,'GBD estimates'!$B$3:$B$1371=I$3,'GBD estimates'!$E$3:$E$1371=""Tuberculosis"",'GBD estimates'!$D$3:$D$1371=""5-14 years"")"),5.31146E-4)</f>
        <v>0.000531146</v>
      </c>
      <c r="J101" s="210">
        <f>IFERROR(__xludf.DUMMYFUNCTION("FILTER('GBD estimates'!$G$3:$G$1371,'GBD estimates'!$B$3:$B$1371=J$3,'GBD estimates'!$E$3:$E$1371=""Tuberculosis"",'GBD estimates'!$D$3:$D$1371=""5-14 years"")"),2.60845E-4)</f>
        <v>0.000260845</v>
      </c>
      <c r="K101" s="210">
        <f>IFERROR(__xludf.DUMMYFUNCTION("FILTER('GBD estimates'!$G$3:$G$1371,'GBD estimates'!$B$3:$B$1371=K$3,'GBD estimates'!$E$3:$E$1371=""Tuberculosis"",'GBD estimates'!$D$3:$D$1371=""5-14 years"")"),5.99109E-4)</f>
        <v>0.000599109</v>
      </c>
      <c r="L101" s="210">
        <f>IFERROR(__xludf.DUMMYFUNCTION("FILTER('GBD estimates'!$G$3:$G$1371,'GBD estimates'!$B$3:$B$1371=L$3,'GBD estimates'!$E$3:$E$1371=""Tuberculosis"",'GBD estimates'!$D$3:$D$1371=""5-14 years"")"),1.39527E-4)</f>
        <v>0.000139527</v>
      </c>
      <c r="M101" s="210">
        <f>IFERROR(__xludf.DUMMYFUNCTION("FILTER('GBD estimates'!$G$3:$G$1371,'GBD estimates'!$B$3:$B$1371=M$3,'GBD estimates'!$E$3:$E$1371=""Tuberculosis"",'GBD estimates'!$D$3:$D$1371=""5-14 years"")"),2.83003E-4)</f>
        <v>0.000283003</v>
      </c>
      <c r="N101" s="210">
        <f>IFERROR(__xludf.DUMMYFUNCTION("FILTER('GBD estimates'!$G$3:$G$1371,'GBD estimates'!$B$3:$B$1371=N$3,'GBD estimates'!$E$3:$E$1371=""Tuberculosis"",'GBD estimates'!$D$3:$D$1371=""5-14 years"")"),4.11465E-4)</f>
        <v>0.000411465</v>
      </c>
      <c r="O101" s="210">
        <f>IFERROR(__xludf.DUMMYFUNCTION("FILTER('GBD estimates'!$G$3:$G$1371,'GBD estimates'!$B$3:$B$1371=O$3,'GBD estimates'!$E$3:$E$1371=""Tuberculosis"",'GBD estimates'!$D$3:$D$1371=""5-14 years"")"),4.46374E-4)</f>
        <v>0.000446374</v>
      </c>
      <c r="P101" s="210">
        <f>IFERROR(__xludf.DUMMYFUNCTION("FILTER('GBD estimates'!$G$3:$G$1371,'GBD estimates'!$B$3:$B$1371=P$3,'GBD estimates'!$E$3:$E$1371=""Tuberculosis"",'GBD estimates'!$D$3:$D$1371=""5-14 years"")"),6.62009E-4)</f>
        <v>0.000662009</v>
      </c>
      <c r="Q101" s="210">
        <f>IFERROR(__xludf.DUMMYFUNCTION("FILTER('GBD estimates'!$G$3:$G$1371,'GBD estimates'!$B$3:$B$1371=Q$3,'GBD estimates'!$E$3:$E$1371=""Tuberculosis"",'GBD estimates'!$D$3:$D$1371=""5-14 years"")"),7.43129E-4)</f>
        <v>0.000743129</v>
      </c>
      <c r="R101" s="210">
        <f>IFERROR(__xludf.DUMMYFUNCTION("FILTER('GBD estimates'!$G$3:$G$1371,'GBD estimates'!$B$3:$B$1371=R$3,'GBD estimates'!$E$3:$E$1371=""Tuberculosis"",'GBD estimates'!$D$3:$D$1371=""5-14 years"")"),6.21E-5)</f>
        <v>0.0000621</v>
      </c>
      <c r="S101" s="210">
        <f>IFERROR(__xludf.DUMMYFUNCTION("FILTER('GBD estimates'!$G$3:$G$1371,'GBD estimates'!$B$3:$B$1371=S$3,'GBD estimates'!$E$3:$E$1371=""Tuberculosis"",'GBD estimates'!$D$3:$D$1371=""5-14 years"")"),2.09726E-4)</f>
        <v>0.000209726</v>
      </c>
      <c r="T101" s="210">
        <f>IFERROR(__xludf.DUMMYFUNCTION("FILTER('GBD estimates'!$G$3:$G$1371,'GBD estimates'!$B$3:$B$1371=T$3,'GBD estimates'!$E$3:$E$1371=""Tuberculosis"",'GBD estimates'!$D$3:$D$1371=""5-14 years"")"),5.57E-5)</f>
        <v>0.0000557</v>
      </c>
      <c r="U101" s="210">
        <f>IFERROR(__xludf.DUMMYFUNCTION("FILTER('GBD estimates'!$G$3:$G$1371,'GBD estimates'!$B$3:$B$1371=U$3,'GBD estimates'!$E$3:$E$1371=""Tuberculosis"",'GBD estimates'!$D$3:$D$1371=""5-14 years"")"),6.09E-5)</f>
        <v>0.0000609</v>
      </c>
      <c r="V101" s="210">
        <f>IFERROR(__xludf.DUMMYFUNCTION("FILTER('GBD estimates'!$G$3:$G$1371,'GBD estimates'!$B$3:$B$1371=V$3,'GBD estimates'!$E$3:$E$1371=""Tuberculosis"",'GBD estimates'!$D$3:$D$1371=""5-14 years"")"),6.31E-5)</f>
        <v>0.0000631</v>
      </c>
      <c r="W101" s="210">
        <f>IFERROR(__xludf.DUMMYFUNCTION("FILTER('GBD estimates'!$G$3:$G$1371,'GBD estimates'!$B$3:$B$1371=W$3,'GBD estimates'!$E$3:$E$1371=""Tuberculosis"",'GBD estimates'!$D$3:$D$1371=""5-14 years"")"),1.51165E-4)</f>
        <v>0.000151165</v>
      </c>
      <c r="X101" s="210">
        <f>IFERROR(__xludf.DUMMYFUNCTION("FILTER('GBD estimates'!$G$3:$G$1371,'GBD estimates'!$B$3:$B$1371=X$3,'GBD estimates'!$E$3:$E$1371=""Tuberculosis"",'GBD estimates'!$D$3:$D$1371=""5-14 years"")"),1.39579E-4)</f>
        <v>0.000139579</v>
      </c>
      <c r="Y101" s="210">
        <f>IFERROR(__xludf.DUMMYFUNCTION("FILTER('GBD estimates'!$G$3:$G$1371,'GBD estimates'!$B$3:$B$1371=Y$3,'GBD estimates'!$E$3:$E$1371=""Tuberculosis"",'GBD estimates'!$D$3:$D$1371=""5-14 years"")"),6.49E-5)</f>
        <v>0.0000649</v>
      </c>
      <c r="Z101" s="210">
        <f>IFERROR(__xludf.DUMMYFUNCTION("FILTER('GBD estimates'!$G$3:$G$1371,'GBD estimates'!$B$3:$B$1371=Z$3,'GBD estimates'!$E$3:$E$1371=""Tuberculosis"",'GBD estimates'!$D$3:$D$1371=""5-14 years"")"),7.6E-5)</f>
        <v>0.000076</v>
      </c>
      <c r="AA101" s="210">
        <f>IFERROR(__xludf.DUMMYFUNCTION("FILTER('GBD estimates'!$G$3:$G$1371,'GBD estimates'!$B$3:$B$1371=AA$3,'GBD estimates'!$E$3:$E$1371=""Tuberculosis"",'GBD estimates'!$D$3:$D$1371=""5-14 years"")"),1.16521E-4)</f>
        <v>0.000116521</v>
      </c>
      <c r="AB101" s="210">
        <f>IFERROR(__xludf.DUMMYFUNCTION("FILTER('GBD estimates'!$G$3:$G$1371,'GBD estimates'!$B$3:$B$1371=AB$3,'GBD estimates'!$E$3:$E$1371=""Tuberculosis"",'GBD estimates'!$D$3:$D$1371=""5-14 years"")"),6.15E-5)</f>
        <v>0.0000615</v>
      </c>
      <c r="AC101" s="210">
        <f>IFERROR(__xludf.DUMMYFUNCTION("FILTER('GBD estimates'!$G$3:$G$1371,'GBD estimates'!$B$3:$B$1371=AC$3,'GBD estimates'!$E$3:$E$1371=""Tuberculosis"",'GBD estimates'!$D$3:$D$1371=""5-14 years"")"),5.64E-5)</f>
        <v>0.0000564</v>
      </c>
      <c r="AD101" s="210">
        <f>IFERROR(__xludf.DUMMYFUNCTION("FILTER('GBD estimates'!$G$3:$G$1371,'GBD estimates'!$B$3:$B$1371=AD$3,'GBD estimates'!$E$3:$E$1371=""Tuberculosis"",'GBD estimates'!$D$3:$D$1371=""5-14 years"")"),5.95E-5)</f>
        <v>0.0000595</v>
      </c>
      <c r="AE101" s="210">
        <f>IFERROR(__xludf.DUMMYFUNCTION("FILTER('GBD estimates'!$G$3:$G$1371,'GBD estimates'!$B$3:$B$1371=AE$3,'GBD estimates'!$E$3:$E$1371=""Tuberculosis"",'GBD estimates'!$D$3:$D$1371=""5-14 years"")"),7.68E-5)</f>
        <v>0.0000768</v>
      </c>
      <c r="AF101" s="210">
        <f>IFERROR(__xludf.DUMMYFUNCTION("FILTER('GBD estimates'!$G$3:$G$1371,'GBD estimates'!$B$3:$B$1371=AF$3,'GBD estimates'!$E$3:$E$1371=""Tuberculosis"",'GBD estimates'!$D$3:$D$1371=""5-14 years"")"),5.32E-5)</f>
        <v>0.0000532</v>
      </c>
      <c r="AG101" s="210">
        <f>IFERROR(__xludf.DUMMYFUNCTION("FILTER('GBD estimates'!$G$3:$G$1371,'GBD estimates'!$B$3:$B$1371=AG$3,'GBD estimates'!$E$3:$E$1371=""Tuberculosis"",'GBD estimates'!$D$3:$D$1371=""5-14 years"")"),5.79E-5)</f>
        <v>0.0000579</v>
      </c>
      <c r="AH101" s="210">
        <f>IFERROR(__xludf.DUMMYFUNCTION("FILTER('GBD estimates'!$G$3:$G$1371,'GBD estimates'!$B$3:$B$1371=AH$3,'GBD estimates'!$E$3:$E$1371=""Tuberculosis"",'GBD estimates'!$D$3:$D$1371=""5-14 years"")"),5.45E-5)</f>
        <v>0.0000545</v>
      </c>
      <c r="AI101" s="210">
        <f>IFERROR(__xludf.DUMMYFUNCTION("FILTER('GBD estimates'!$G$3:$G$1371,'GBD estimates'!$B$3:$B$1371=AI$3,'GBD estimates'!$E$3:$E$1371=""Tuberculosis"",'GBD estimates'!$D$3:$D$1371=""5-14 years"")"),4.73E-5)</f>
        <v>0.0000473</v>
      </c>
      <c r="AJ101" s="210">
        <f>IFERROR(__xludf.DUMMYFUNCTION("FILTER('GBD estimates'!$G$3:$G$1371,'GBD estimates'!$B$3:$B$1371=AJ$3,'GBD estimates'!$E$3:$E$1371=""Tuberculosis"",'GBD estimates'!$D$3:$D$1371=""5-14 years"")"),1.16059E-4)</f>
        <v>0.000116059</v>
      </c>
      <c r="AK101" s="210">
        <f>IFERROR(__xludf.DUMMYFUNCTION("FILTER('GBD estimates'!$G$3:$G$1371,'GBD estimates'!$B$3:$B$1371=AK$3,'GBD estimates'!$E$3:$E$1371=""Tuberculosis"",'GBD estimates'!$D$3:$D$1371=""5-14 years"")"),1.79674E-4)</f>
        <v>0.000179674</v>
      </c>
      <c r="AL101" s="210">
        <f>IFERROR(__xludf.DUMMYFUNCTION("FILTER('GBD estimates'!$G$3:$G$1371,'GBD estimates'!$B$3:$B$1371=AL$3,'GBD estimates'!$E$3:$E$1371=""Tuberculosis"",'GBD estimates'!$D$3:$D$1371=""5-14 years"")"),7.43E-5)</f>
        <v>0.0000743</v>
      </c>
      <c r="AM101" s="210">
        <f>IFERROR(__xludf.DUMMYFUNCTION("FILTER('GBD estimates'!$G$3:$G$1371,'GBD estimates'!$B$3:$B$1371=AM$3,'GBD estimates'!$E$3:$E$1371=""Tuberculosis"",'GBD estimates'!$D$3:$D$1371=""5-14 years"")"),6.96E-5)</f>
        <v>0.0000696</v>
      </c>
      <c r="AN101" s="210">
        <f>IFERROR(__xludf.DUMMYFUNCTION("FILTER('GBD estimates'!$G$3:$G$1371,'GBD estimates'!$B$3:$B$1371=AN$3,'GBD estimates'!$E$3:$E$1371=""Tuberculosis"",'GBD estimates'!$D$3:$D$1371=""5-14 years"")"),3.91E-5)</f>
        <v>0.0000391</v>
      </c>
      <c r="AO101" s="210">
        <f>IFERROR(__xludf.DUMMYFUNCTION("FILTER('GBD estimates'!$G$3:$G$1371,'GBD estimates'!$B$3:$B$1371=AO$3,'GBD estimates'!$E$3:$E$1371=""Tuberculosis"",'GBD estimates'!$D$3:$D$1371=""5-14 years"")"),3.29E-5)</f>
        <v>0.0000329</v>
      </c>
      <c r="AP101" s="210">
        <f>IFERROR(__xludf.DUMMYFUNCTION("FILTER('GBD estimates'!$G$3:$G$1371,'GBD estimates'!$B$3:$B$1371=AP$3,'GBD estimates'!$E$3:$E$1371=""Tuberculosis"",'GBD estimates'!$D$3:$D$1371=""5-14 years"")"),1.14084E-4)</f>
        <v>0.000114084</v>
      </c>
      <c r="AQ101" s="210">
        <f>IFERROR(__xludf.DUMMYFUNCTION("FILTER('GBD estimates'!$G$3:$G$1371,'GBD estimates'!$B$3:$B$1371=AQ$3,'GBD estimates'!$E$3:$E$1371=""Tuberculosis"",'GBD estimates'!$D$3:$D$1371=""5-14 years"")"),6.51E-5)</f>
        <v>0.0000651</v>
      </c>
      <c r="AR101" s="210">
        <f>IFERROR(__xludf.DUMMYFUNCTION("FILTER('GBD estimates'!$G$3:$G$1371,'GBD estimates'!$B$3:$B$1371=AR$3,'GBD estimates'!$E$3:$E$1371=""Tuberculosis"",'GBD estimates'!$D$3:$D$1371=""5-14 years"")"),2.35176E-4)</f>
        <v>0.000235176</v>
      </c>
      <c r="AS101" s="210">
        <f>IFERROR(__xludf.DUMMYFUNCTION("FILTER('GBD estimates'!$G$3:$G$1371,'GBD estimates'!$B$3:$B$1371=AS$3,'GBD estimates'!$E$3:$E$1371=""Tuberculosis"",'GBD estimates'!$D$3:$D$1371=""5-14 years"")"),3.88626E-4)</f>
        <v>0.000388626</v>
      </c>
      <c r="AT101" s="550"/>
      <c r="AU101" s="562" t="s">
        <v>855</v>
      </c>
      <c r="AV101" s="552"/>
    </row>
    <row r="102">
      <c r="A102" s="540"/>
      <c r="B102" s="206"/>
      <c r="C102" s="206"/>
      <c r="D102" s="206"/>
      <c r="E102" s="548" t="s">
        <v>191</v>
      </c>
      <c r="F102" s="207" t="s">
        <v>122</v>
      </c>
      <c r="G102" s="208" t="s">
        <v>203</v>
      </c>
      <c r="H102" s="578" t="s">
        <v>150</v>
      </c>
      <c r="I102" s="210">
        <f>IFERROR(__xludf.DUMMYFUNCTION("FILTER('GBD estimates'!$G$3:$G$1371,'GBD estimates'!$B$3:$B$1371=I$3,'GBD estimates'!$E$3:$E$1371=""Tuberculosis"",'GBD estimates'!$D$3:$D$1371=""15-49 years"")"),0.007150253)</f>
        <v>0.007150253</v>
      </c>
      <c r="J102" s="210">
        <f>IFERROR(__xludf.DUMMYFUNCTION("FILTER('GBD estimates'!$G$3:$G$1371,'GBD estimates'!$B$3:$B$1371=J$3,'GBD estimates'!$E$3:$E$1371=""Tuberculosis"",'GBD estimates'!$D$3:$D$1371=""15-49 years"")"),0.004007767)</f>
        <v>0.004007767</v>
      </c>
      <c r="K102" s="210">
        <f>IFERROR(__xludf.DUMMYFUNCTION("FILTER('GBD estimates'!$G$3:$G$1371,'GBD estimates'!$B$3:$B$1371=K$3,'GBD estimates'!$E$3:$E$1371=""Tuberculosis"",'GBD estimates'!$D$3:$D$1371=""15-49 years"")"),0.008685948)</f>
        <v>0.008685948</v>
      </c>
      <c r="L102" s="210">
        <f>IFERROR(__xludf.DUMMYFUNCTION("FILTER('GBD estimates'!$G$3:$G$1371,'GBD estimates'!$B$3:$B$1371=L$3,'GBD estimates'!$E$3:$E$1371=""Tuberculosis"",'GBD estimates'!$D$3:$D$1371=""15-49 years"")"),0.002843472)</f>
        <v>0.002843472</v>
      </c>
      <c r="M102" s="210">
        <f>IFERROR(__xludf.DUMMYFUNCTION("FILTER('GBD estimates'!$G$3:$G$1371,'GBD estimates'!$B$3:$B$1371=M$3,'GBD estimates'!$E$3:$E$1371=""Tuberculosis"",'GBD estimates'!$D$3:$D$1371=""15-49 years"")"),0.003815045)</f>
        <v>0.003815045</v>
      </c>
      <c r="N102" s="210">
        <f>IFERROR(__xludf.DUMMYFUNCTION("FILTER('GBD estimates'!$G$3:$G$1371,'GBD estimates'!$B$3:$B$1371=N$3,'GBD estimates'!$E$3:$E$1371=""Tuberculosis"",'GBD estimates'!$D$3:$D$1371=""15-49 years"")"),0.006867301)</f>
        <v>0.006867301</v>
      </c>
      <c r="O102" s="210">
        <f>IFERROR(__xludf.DUMMYFUNCTION("FILTER('GBD estimates'!$G$3:$G$1371,'GBD estimates'!$B$3:$B$1371=O$3,'GBD estimates'!$E$3:$E$1371=""Tuberculosis"",'GBD estimates'!$D$3:$D$1371=""15-49 years"")"),0.007345394)</f>
        <v>0.007345394</v>
      </c>
      <c r="P102" s="210">
        <f>IFERROR(__xludf.DUMMYFUNCTION("FILTER('GBD estimates'!$G$3:$G$1371,'GBD estimates'!$B$3:$B$1371=P$3,'GBD estimates'!$E$3:$E$1371=""Tuberculosis"",'GBD estimates'!$D$3:$D$1371=""15-49 years"")"),0.010104002)</f>
        <v>0.010104002</v>
      </c>
      <c r="Q102" s="210">
        <f>IFERROR(__xludf.DUMMYFUNCTION("FILTER('GBD estimates'!$G$3:$G$1371,'GBD estimates'!$B$3:$B$1371=Q$3,'GBD estimates'!$E$3:$E$1371=""Tuberculosis"",'GBD estimates'!$D$3:$D$1371=""15-49 years"")"),0.008822924)</f>
        <v>0.008822924</v>
      </c>
      <c r="R102" s="210">
        <f>IFERROR(__xludf.DUMMYFUNCTION("FILTER('GBD estimates'!$G$3:$G$1371,'GBD estimates'!$B$3:$B$1371=R$3,'GBD estimates'!$E$3:$E$1371=""Tuberculosis"",'GBD estimates'!$D$3:$D$1371=""15-49 years"")"),0.001712444)</f>
        <v>0.001712444</v>
      </c>
      <c r="S102" s="210">
        <f>IFERROR(__xludf.DUMMYFUNCTION("FILTER('GBD estimates'!$G$3:$G$1371,'GBD estimates'!$B$3:$B$1371=S$3,'GBD estimates'!$E$3:$E$1371=""Tuberculosis"",'GBD estimates'!$D$3:$D$1371=""15-49 years"")"),0.003254575)</f>
        <v>0.003254575</v>
      </c>
      <c r="T102" s="210">
        <f>IFERROR(__xludf.DUMMYFUNCTION("FILTER('GBD estimates'!$G$3:$G$1371,'GBD estimates'!$B$3:$B$1371=T$3,'GBD estimates'!$E$3:$E$1371=""Tuberculosis"",'GBD estimates'!$D$3:$D$1371=""15-49 years"")"),0.001947567)</f>
        <v>0.001947567</v>
      </c>
      <c r="U102" s="210">
        <f>IFERROR(__xludf.DUMMYFUNCTION("FILTER('GBD estimates'!$G$3:$G$1371,'GBD estimates'!$B$3:$B$1371=U$3,'GBD estimates'!$E$3:$E$1371=""Tuberculosis"",'GBD estimates'!$D$3:$D$1371=""15-49 years"")"),0.001891574)</f>
        <v>0.001891574</v>
      </c>
      <c r="V102" s="210">
        <f>IFERROR(__xludf.DUMMYFUNCTION("FILTER('GBD estimates'!$G$3:$G$1371,'GBD estimates'!$B$3:$B$1371=V$3,'GBD estimates'!$E$3:$E$1371=""Tuberculosis"",'GBD estimates'!$D$3:$D$1371=""15-49 years"")"),0.002199333)</f>
        <v>0.002199333</v>
      </c>
      <c r="W102" s="210">
        <f>IFERROR(__xludf.DUMMYFUNCTION("FILTER('GBD estimates'!$G$3:$G$1371,'GBD estimates'!$B$3:$B$1371=W$3,'GBD estimates'!$E$3:$E$1371=""Tuberculosis"",'GBD estimates'!$D$3:$D$1371=""15-49 years"")"),0.00325216)</f>
        <v>0.00325216</v>
      </c>
      <c r="X102" s="210">
        <f>IFERROR(__xludf.DUMMYFUNCTION("FILTER('GBD estimates'!$G$3:$G$1371,'GBD estimates'!$B$3:$B$1371=X$3,'GBD estimates'!$E$3:$E$1371=""Tuberculosis"",'GBD estimates'!$D$3:$D$1371=""15-49 years"")"),0.002925094)</f>
        <v>0.002925094</v>
      </c>
      <c r="Y102" s="210">
        <f>IFERROR(__xludf.DUMMYFUNCTION("FILTER('GBD estimates'!$G$3:$G$1371,'GBD estimates'!$B$3:$B$1371=Y$3,'GBD estimates'!$E$3:$E$1371=""Tuberculosis"",'GBD estimates'!$D$3:$D$1371=""15-49 years"")"),0.002153522)</f>
        <v>0.002153522</v>
      </c>
      <c r="Z102" s="210">
        <f>IFERROR(__xludf.DUMMYFUNCTION("FILTER('GBD estimates'!$G$3:$G$1371,'GBD estimates'!$B$3:$B$1371=Z$3,'GBD estimates'!$E$3:$E$1371=""Tuberculosis"",'GBD estimates'!$D$3:$D$1371=""15-49 years"")"),0.002148009)</f>
        <v>0.002148009</v>
      </c>
      <c r="AA102" s="210">
        <f>IFERROR(__xludf.DUMMYFUNCTION("FILTER('GBD estimates'!$G$3:$G$1371,'GBD estimates'!$B$3:$B$1371=AA$3,'GBD estimates'!$E$3:$E$1371=""Tuberculosis"",'GBD estimates'!$D$3:$D$1371=""15-49 years"")"),0.002777193)</f>
        <v>0.002777193</v>
      </c>
      <c r="AB102" s="210">
        <f>IFERROR(__xludf.DUMMYFUNCTION("FILTER('GBD estimates'!$G$3:$G$1371,'GBD estimates'!$B$3:$B$1371=AB$3,'GBD estimates'!$E$3:$E$1371=""Tuberculosis"",'GBD estimates'!$D$3:$D$1371=""15-49 years"")"),0.002017867)</f>
        <v>0.002017867</v>
      </c>
      <c r="AC102" s="210">
        <f>IFERROR(__xludf.DUMMYFUNCTION("FILTER('GBD estimates'!$G$3:$G$1371,'GBD estimates'!$B$3:$B$1371=AC$3,'GBD estimates'!$E$3:$E$1371=""Tuberculosis"",'GBD estimates'!$D$3:$D$1371=""15-49 years"")"),0.001820839)</f>
        <v>0.001820839</v>
      </c>
      <c r="AD102" s="210">
        <f>IFERROR(__xludf.DUMMYFUNCTION("FILTER('GBD estimates'!$G$3:$G$1371,'GBD estimates'!$B$3:$B$1371=AD$3,'GBD estimates'!$E$3:$E$1371=""Tuberculosis"",'GBD estimates'!$D$3:$D$1371=""15-49 years"")"),0.00191537)</f>
        <v>0.00191537</v>
      </c>
      <c r="AE102" s="210">
        <f>IFERROR(__xludf.DUMMYFUNCTION("FILTER('GBD estimates'!$G$3:$G$1371,'GBD estimates'!$B$3:$B$1371=AE$3,'GBD estimates'!$E$3:$E$1371=""Tuberculosis"",'GBD estimates'!$D$3:$D$1371=""15-49 years"")"),0.001753646)</f>
        <v>0.001753646</v>
      </c>
      <c r="AF102" s="210">
        <f>IFERROR(__xludf.DUMMYFUNCTION("FILTER('GBD estimates'!$G$3:$G$1371,'GBD estimates'!$B$3:$B$1371=AF$3,'GBD estimates'!$E$3:$E$1371=""Tuberculosis"",'GBD estimates'!$D$3:$D$1371=""15-49 years"")"),0.00167821)</f>
        <v>0.00167821</v>
      </c>
      <c r="AG102" s="210">
        <f>IFERROR(__xludf.DUMMYFUNCTION("FILTER('GBD estimates'!$G$3:$G$1371,'GBD estimates'!$B$3:$B$1371=AG$3,'GBD estimates'!$E$3:$E$1371=""Tuberculosis"",'GBD estimates'!$D$3:$D$1371=""15-49 years"")"),0.002003066)</f>
        <v>0.002003066</v>
      </c>
      <c r="AH102" s="210">
        <f>IFERROR(__xludf.DUMMYFUNCTION("FILTER('GBD estimates'!$G$3:$G$1371,'GBD estimates'!$B$3:$B$1371=AH$3,'GBD estimates'!$E$3:$E$1371=""Tuberculosis"",'GBD estimates'!$D$3:$D$1371=""15-49 years"")"),0.002403157)</f>
        <v>0.002403157</v>
      </c>
      <c r="AI102" s="210">
        <f>IFERROR(__xludf.DUMMYFUNCTION("FILTER('GBD estimates'!$G$3:$G$1371,'GBD estimates'!$B$3:$B$1371=AI$3,'GBD estimates'!$E$3:$E$1371=""Tuberculosis"",'GBD estimates'!$D$3:$D$1371=""15-49 years"")"),0.001213453)</f>
        <v>0.001213453</v>
      </c>
      <c r="AJ102" s="210">
        <f>IFERROR(__xludf.DUMMYFUNCTION("FILTER('GBD estimates'!$G$3:$G$1371,'GBD estimates'!$B$3:$B$1371=AJ$3,'GBD estimates'!$E$3:$E$1371=""Tuberculosis"",'GBD estimates'!$D$3:$D$1371=""15-49 years"")"),0.003105895)</f>
        <v>0.003105895</v>
      </c>
      <c r="AK102" s="210">
        <f>IFERROR(__xludf.DUMMYFUNCTION("FILTER('GBD estimates'!$G$3:$G$1371,'GBD estimates'!$B$3:$B$1371=AK$3,'GBD estimates'!$E$3:$E$1371=""Tuberculosis"",'GBD estimates'!$D$3:$D$1371=""15-49 years"")"),0.003950397)</f>
        <v>0.003950397</v>
      </c>
      <c r="AL102" s="210">
        <f>IFERROR(__xludf.DUMMYFUNCTION("FILTER('GBD estimates'!$G$3:$G$1371,'GBD estimates'!$B$3:$B$1371=AL$3,'GBD estimates'!$E$3:$E$1371=""Tuberculosis"",'GBD estimates'!$D$3:$D$1371=""15-49 years"")"),0.00235567)</f>
        <v>0.00235567</v>
      </c>
      <c r="AM102" s="210">
        <f>IFERROR(__xludf.DUMMYFUNCTION("FILTER('GBD estimates'!$G$3:$G$1371,'GBD estimates'!$B$3:$B$1371=AM$3,'GBD estimates'!$E$3:$E$1371=""Tuberculosis"",'GBD estimates'!$D$3:$D$1371=""15-49 years"")"),0.002089846)</f>
        <v>0.002089846</v>
      </c>
      <c r="AN102" s="210">
        <f>IFERROR(__xludf.DUMMYFUNCTION("FILTER('GBD estimates'!$G$3:$G$1371,'GBD estimates'!$B$3:$B$1371=AN$3,'GBD estimates'!$E$3:$E$1371=""Tuberculosis"",'GBD estimates'!$D$3:$D$1371=""15-49 years"")"),0.001299033)</f>
        <v>0.001299033</v>
      </c>
      <c r="AO102" s="210">
        <f>IFERROR(__xludf.DUMMYFUNCTION("FILTER('GBD estimates'!$G$3:$G$1371,'GBD estimates'!$B$3:$B$1371=AO$3,'GBD estimates'!$E$3:$E$1371=""Tuberculosis"",'GBD estimates'!$D$3:$D$1371=""15-49 years"")"),0.001446772)</f>
        <v>0.001446772</v>
      </c>
      <c r="AP102" s="210">
        <f>IFERROR(__xludf.DUMMYFUNCTION("FILTER('GBD estimates'!$G$3:$G$1371,'GBD estimates'!$B$3:$B$1371=AP$3,'GBD estimates'!$E$3:$E$1371=""Tuberculosis"",'GBD estimates'!$D$3:$D$1371=""15-49 years"")"),0.00310694)</f>
        <v>0.00310694</v>
      </c>
      <c r="AQ102" s="210">
        <f>IFERROR(__xludf.DUMMYFUNCTION("FILTER('GBD estimates'!$G$3:$G$1371,'GBD estimates'!$B$3:$B$1371=AQ$3,'GBD estimates'!$E$3:$E$1371=""Tuberculosis"",'GBD estimates'!$D$3:$D$1371=""15-49 years"")"),0.001856172)</f>
        <v>0.001856172</v>
      </c>
      <c r="AR102" s="210">
        <f>IFERROR(__xludf.DUMMYFUNCTION("FILTER('GBD estimates'!$G$3:$G$1371,'GBD estimates'!$B$3:$B$1371=AR$3,'GBD estimates'!$E$3:$E$1371=""Tuberculosis"",'GBD estimates'!$D$3:$D$1371=""15-49 years"")"),0.004273474)</f>
        <v>0.004273474</v>
      </c>
      <c r="AS102" s="210">
        <f>IFERROR(__xludf.DUMMYFUNCTION("FILTER('GBD estimates'!$G$3:$G$1371,'GBD estimates'!$B$3:$B$1371=AS$3,'GBD estimates'!$E$3:$E$1371=""Tuberculosis"",'GBD estimates'!$D$3:$D$1371=""15-49 years"")"),0.006708114)</f>
        <v>0.006708114</v>
      </c>
      <c r="AT102" s="550"/>
      <c r="AU102" s="562" t="s">
        <v>855</v>
      </c>
      <c r="AV102" s="552"/>
    </row>
    <row r="103">
      <c r="A103" s="540"/>
      <c r="B103" s="206"/>
      <c r="C103" s="206"/>
      <c r="D103" s="206"/>
      <c r="E103" s="548" t="s">
        <v>195</v>
      </c>
      <c r="F103" s="207" t="s">
        <v>122</v>
      </c>
      <c r="G103" s="208" t="s">
        <v>203</v>
      </c>
      <c r="H103" s="578" t="s">
        <v>150</v>
      </c>
      <c r="I103" s="210">
        <f>IFERROR(__xludf.DUMMYFUNCTION("FILTER('GBD estimates'!$G$3:$G$1371,'GBD estimates'!$B$3:$B$1371=I$3,'GBD estimates'!$E$3:$E$1371=""Tuberculosis"",'GBD estimates'!$D$3:$D$1371=""50 to 74 years"")"),0.049361812)</f>
        <v>0.049361812</v>
      </c>
      <c r="J103" s="210">
        <f>IFERROR(__xludf.DUMMYFUNCTION("FILTER('GBD estimates'!$G$3:$G$1371,'GBD estimates'!$B$3:$B$1371=J$3,'GBD estimates'!$E$3:$E$1371=""Tuberculosis"",'GBD estimates'!$D$3:$D$1371=""50 to 74 years"")"),0.030242318)</f>
        <v>0.030242318</v>
      </c>
      <c r="K103" s="210">
        <f>IFERROR(__xludf.DUMMYFUNCTION("FILTER('GBD estimates'!$G$3:$G$1371,'GBD estimates'!$B$3:$B$1371=K$3,'GBD estimates'!$E$3:$E$1371=""Tuberculosis"",'GBD estimates'!$D$3:$D$1371=""50 to 74 years"")"),0.052337352)</f>
        <v>0.052337352</v>
      </c>
      <c r="L103" s="210">
        <f>IFERROR(__xludf.DUMMYFUNCTION("FILTER('GBD estimates'!$G$3:$G$1371,'GBD estimates'!$B$3:$B$1371=L$3,'GBD estimates'!$E$3:$E$1371=""Tuberculosis"",'GBD estimates'!$D$3:$D$1371=""50 to 74 years"")"),0.017468647)</f>
        <v>0.017468647</v>
      </c>
      <c r="M103" s="210">
        <f>IFERROR(__xludf.DUMMYFUNCTION("FILTER('GBD estimates'!$G$3:$G$1371,'GBD estimates'!$B$3:$B$1371=M$3,'GBD estimates'!$E$3:$E$1371=""Tuberculosis"",'GBD estimates'!$D$3:$D$1371=""50 to 74 years"")"),0.024547523)</f>
        <v>0.024547523</v>
      </c>
      <c r="N103" s="210">
        <f>IFERROR(__xludf.DUMMYFUNCTION("FILTER('GBD estimates'!$G$3:$G$1371,'GBD estimates'!$B$3:$B$1371=N$3,'GBD estimates'!$E$3:$E$1371=""Tuberculosis"",'GBD estimates'!$D$3:$D$1371=""50 to 74 years"")"),0.043092487)</f>
        <v>0.043092487</v>
      </c>
      <c r="O103" s="210">
        <f>IFERROR(__xludf.DUMMYFUNCTION("FILTER('GBD estimates'!$G$3:$G$1371,'GBD estimates'!$B$3:$B$1371=O$3,'GBD estimates'!$E$3:$E$1371=""Tuberculosis"",'GBD estimates'!$D$3:$D$1371=""50 to 74 years"")"),0.052878712)</f>
        <v>0.052878712</v>
      </c>
      <c r="P103" s="210">
        <f>IFERROR(__xludf.DUMMYFUNCTION("FILTER('GBD estimates'!$G$3:$G$1371,'GBD estimates'!$B$3:$B$1371=P$3,'GBD estimates'!$E$3:$E$1371=""Tuberculosis"",'GBD estimates'!$D$3:$D$1371=""50 to 74 years"")"),0.055929714)</f>
        <v>0.055929714</v>
      </c>
      <c r="Q103" s="210">
        <f>IFERROR(__xludf.DUMMYFUNCTION("FILTER('GBD estimates'!$G$3:$G$1371,'GBD estimates'!$B$3:$B$1371=Q$3,'GBD estimates'!$E$3:$E$1371=""Tuberculosis"",'GBD estimates'!$D$3:$D$1371=""50 to 74 years"")"),0.065277222)</f>
        <v>0.065277222</v>
      </c>
      <c r="R103" s="210">
        <f>IFERROR(__xludf.DUMMYFUNCTION("FILTER('GBD estimates'!$G$3:$G$1371,'GBD estimates'!$B$3:$B$1371=R$3,'GBD estimates'!$E$3:$E$1371=""Tuberculosis"",'GBD estimates'!$D$3:$D$1371=""50 to 74 years"")"),0.012599879)</f>
        <v>0.012599879</v>
      </c>
      <c r="S103" s="210">
        <f>IFERROR(__xludf.DUMMYFUNCTION("FILTER('GBD estimates'!$G$3:$G$1371,'GBD estimates'!$B$3:$B$1371=S$3,'GBD estimates'!$E$3:$E$1371=""Tuberculosis"",'GBD estimates'!$D$3:$D$1371=""50 to 74 years"")"),0.023004763)</f>
        <v>0.023004763</v>
      </c>
      <c r="T103" s="210">
        <f>IFERROR(__xludf.DUMMYFUNCTION("FILTER('GBD estimates'!$G$3:$G$1371,'GBD estimates'!$B$3:$B$1371=T$3,'GBD estimates'!$E$3:$E$1371=""Tuberculosis"",'GBD estimates'!$D$3:$D$1371=""50 to 74 years"")"),0.013029136)</f>
        <v>0.013029136</v>
      </c>
      <c r="U103" s="210">
        <f>IFERROR(__xludf.DUMMYFUNCTION("FILTER('GBD estimates'!$G$3:$G$1371,'GBD estimates'!$B$3:$B$1371=U$3,'GBD estimates'!$E$3:$E$1371=""Tuberculosis"",'GBD estimates'!$D$3:$D$1371=""50 to 74 years"")"),0.012334946)</f>
        <v>0.012334946</v>
      </c>
      <c r="V103" s="210">
        <f>IFERROR(__xludf.DUMMYFUNCTION("FILTER('GBD estimates'!$G$3:$G$1371,'GBD estimates'!$B$3:$B$1371=V$3,'GBD estimates'!$E$3:$E$1371=""Tuberculosis"",'GBD estimates'!$D$3:$D$1371=""50 to 74 years"")"),0.014655927)</f>
        <v>0.014655927</v>
      </c>
      <c r="W103" s="210">
        <f>IFERROR(__xludf.DUMMYFUNCTION("FILTER('GBD estimates'!$G$3:$G$1371,'GBD estimates'!$B$3:$B$1371=W$3,'GBD estimates'!$E$3:$E$1371=""Tuberculosis"",'GBD estimates'!$D$3:$D$1371=""50 to 74 years"")"),0.021009252)</f>
        <v>0.021009252</v>
      </c>
      <c r="X103" s="210">
        <f>IFERROR(__xludf.DUMMYFUNCTION("FILTER('GBD estimates'!$G$3:$G$1371,'GBD estimates'!$B$3:$B$1371=X$3,'GBD estimates'!$E$3:$E$1371=""Tuberculosis"",'GBD estimates'!$D$3:$D$1371=""50 to 74 years"")"),0.022167906)</f>
        <v>0.022167906</v>
      </c>
      <c r="Y103" s="210">
        <f>IFERROR(__xludf.DUMMYFUNCTION("FILTER('GBD estimates'!$G$3:$G$1371,'GBD estimates'!$B$3:$B$1371=Y$3,'GBD estimates'!$E$3:$E$1371=""Tuberculosis"",'GBD estimates'!$D$3:$D$1371=""50 to 74 years"")"),0.014441764)</f>
        <v>0.014441764</v>
      </c>
      <c r="Z103" s="210">
        <f>IFERROR(__xludf.DUMMYFUNCTION("FILTER('GBD estimates'!$G$3:$G$1371,'GBD estimates'!$B$3:$B$1371=Z$3,'GBD estimates'!$E$3:$E$1371=""Tuberculosis"",'GBD estimates'!$D$3:$D$1371=""50 to 74 years"")"),0.011944601)</f>
        <v>0.011944601</v>
      </c>
      <c r="AA103" s="210">
        <f>IFERROR(__xludf.DUMMYFUNCTION("FILTER('GBD estimates'!$G$3:$G$1371,'GBD estimates'!$B$3:$B$1371=AA$3,'GBD estimates'!$E$3:$E$1371=""Tuberculosis"",'GBD estimates'!$D$3:$D$1371=""50 to 74 years"")"),0.01787577)</f>
        <v>0.01787577</v>
      </c>
      <c r="AB103" s="210">
        <f>IFERROR(__xludf.DUMMYFUNCTION("FILTER('GBD estimates'!$G$3:$G$1371,'GBD estimates'!$B$3:$B$1371=AB$3,'GBD estimates'!$E$3:$E$1371=""Tuberculosis"",'GBD estimates'!$D$3:$D$1371=""50 to 74 years"")"),0.01091559)</f>
        <v>0.01091559</v>
      </c>
      <c r="AC103" s="210">
        <f>IFERROR(__xludf.DUMMYFUNCTION("FILTER('GBD estimates'!$G$3:$G$1371,'GBD estimates'!$B$3:$B$1371=AC$3,'GBD estimates'!$E$3:$E$1371=""Tuberculosis"",'GBD estimates'!$D$3:$D$1371=""50 to 74 years"")"),0.012048696)</f>
        <v>0.012048696</v>
      </c>
      <c r="AD103" s="210">
        <f>IFERROR(__xludf.DUMMYFUNCTION("FILTER('GBD estimates'!$G$3:$G$1371,'GBD estimates'!$B$3:$B$1371=AD$3,'GBD estimates'!$E$3:$E$1371=""Tuberculosis"",'GBD estimates'!$D$3:$D$1371=""50 to 74 years"")"),0.013674896)</f>
        <v>0.013674896</v>
      </c>
      <c r="AE103" s="210">
        <f>IFERROR(__xludf.DUMMYFUNCTION("FILTER('GBD estimates'!$G$3:$G$1371,'GBD estimates'!$B$3:$B$1371=AE$3,'GBD estimates'!$E$3:$E$1371=""Tuberculosis"",'GBD estimates'!$D$3:$D$1371=""50 to 74 years"")"),0.00979287)</f>
        <v>0.00979287</v>
      </c>
      <c r="AF103" s="210">
        <f>IFERROR(__xludf.DUMMYFUNCTION("FILTER('GBD estimates'!$G$3:$G$1371,'GBD estimates'!$B$3:$B$1371=AF$3,'GBD estimates'!$E$3:$E$1371=""Tuberculosis"",'GBD estimates'!$D$3:$D$1371=""50 to 74 years"")"),0.011610331)</f>
        <v>0.011610331</v>
      </c>
      <c r="AG103" s="210">
        <f>IFERROR(__xludf.DUMMYFUNCTION("FILTER('GBD estimates'!$G$3:$G$1371,'GBD estimates'!$B$3:$B$1371=AG$3,'GBD estimates'!$E$3:$E$1371=""Tuberculosis"",'GBD estimates'!$D$3:$D$1371=""50 to 74 years"")"),0.015085468)</f>
        <v>0.015085468</v>
      </c>
      <c r="AH103" s="210">
        <f>IFERROR(__xludf.DUMMYFUNCTION("FILTER('GBD estimates'!$G$3:$G$1371,'GBD estimates'!$B$3:$B$1371=AH$3,'GBD estimates'!$E$3:$E$1371=""Tuberculosis"",'GBD estimates'!$D$3:$D$1371=""50 to 74 years"")"),0.013966852)</f>
        <v>0.013966852</v>
      </c>
      <c r="AI103" s="210">
        <f>IFERROR(__xludf.DUMMYFUNCTION("FILTER('GBD estimates'!$G$3:$G$1371,'GBD estimates'!$B$3:$B$1371=AI$3,'GBD estimates'!$E$3:$E$1371=""Tuberculosis"",'GBD estimates'!$D$3:$D$1371=""50 to 74 years"")"),0.007392705)</f>
        <v>0.007392705</v>
      </c>
      <c r="AJ103" s="210">
        <f>IFERROR(__xludf.DUMMYFUNCTION("FILTER('GBD estimates'!$G$3:$G$1371,'GBD estimates'!$B$3:$B$1371=AJ$3,'GBD estimates'!$E$3:$E$1371=""Tuberculosis"",'GBD estimates'!$D$3:$D$1371=""50 to 74 years"")"),0.015409974)</f>
        <v>0.015409974</v>
      </c>
      <c r="AK103" s="210">
        <f>IFERROR(__xludf.DUMMYFUNCTION("FILTER('GBD estimates'!$G$3:$G$1371,'GBD estimates'!$B$3:$B$1371=AK$3,'GBD estimates'!$E$3:$E$1371=""Tuberculosis"",'GBD estimates'!$D$3:$D$1371=""50 to 74 years"")"),0.024823515)</f>
        <v>0.024823515</v>
      </c>
      <c r="AL103" s="210">
        <f>IFERROR(__xludf.DUMMYFUNCTION("FILTER('GBD estimates'!$G$3:$G$1371,'GBD estimates'!$B$3:$B$1371=AL$3,'GBD estimates'!$E$3:$E$1371=""Tuberculosis"",'GBD estimates'!$D$3:$D$1371=""50 to 74 years"")"),0.015866669)</f>
        <v>0.015866669</v>
      </c>
      <c r="AM103" s="210">
        <f>IFERROR(__xludf.DUMMYFUNCTION("FILTER('GBD estimates'!$G$3:$G$1371,'GBD estimates'!$B$3:$B$1371=AM$3,'GBD estimates'!$E$3:$E$1371=""Tuberculosis"",'GBD estimates'!$D$3:$D$1371=""50 to 74 years"")"),0.01415755)</f>
        <v>0.01415755</v>
      </c>
      <c r="AN103" s="210">
        <f>IFERROR(__xludf.DUMMYFUNCTION("FILTER('GBD estimates'!$G$3:$G$1371,'GBD estimates'!$B$3:$B$1371=AN$3,'GBD estimates'!$E$3:$E$1371=""Tuberculosis"",'GBD estimates'!$D$3:$D$1371=""50 to 74 years"")"),0.011586001)</f>
        <v>0.011586001</v>
      </c>
      <c r="AO103" s="210">
        <f>IFERROR(__xludf.DUMMYFUNCTION("FILTER('GBD estimates'!$G$3:$G$1371,'GBD estimates'!$B$3:$B$1371=AO$3,'GBD estimates'!$E$3:$E$1371=""Tuberculosis"",'GBD estimates'!$D$3:$D$1371=""50 to 74 years"")"),0.008549682)</f>
        <v>0.008549682</v>
      </c>
      <c r="AP103" s="210">
        <f>IFERROR(__xludf.DUMMYFUNCTION("FILTER('GBD estimates'!$G$3:$G$1371,'GBD estimates'!$B$3:$B$1371=AP$3,'GBD estimates'!$E$3:$E$1371=""Tuberculosis"",'GBD estimates'!$D$3:$D$1371=""50 to 74 years"")"),0.015257187)</f>
        <v>0.015257187</v>
      </c>
      <c r="AQ103" s="210">
        <f>IFERROR(__xludf.DUMMYFUNCTION("FILTER('GBD estimates'!$G$3:$G$1371,'GBD estimates'!$B$3:$B$1371=AQ$3,'GBD estimates'!$E$3:$E$1371=""Tuberculosis"",'GBD estimates'!$D$3:$D$1371=""50 to 74 years"")"),0.011869172)</f>
        <v>0.011869172</v>
      </c>
      <c r="AR103" s="210">
        <f>IFERROR(__xludf.DUMMYFUNCTION("FILTER('GBD estimates'!$G$3:$G$1371,'GBD estimates'!$B$3:$B$1371=AR$3,'GBD estimates'!$E$3:$E$1371=""Tuberculosis"",'GBD estimates'!$D$3:$D$1371=""50 to 74 years"")"),0.020851106)</f>
        <v>0.020851106</v>
      </c>
      <c r="AS103" s="210">
        <f>IFERROR(__xludf.DUMMYFUNCTION("FILTER('GBD estimates'!$G$3:$G$1371,'GBD estimates'!$B$3:$B$1371=AS$3,'GBD estimates'!$E$3:$E$1371=""Tuberculosis"",'GBD estimates'!$D$3:$D$1371=""50 to 74 years"")"),0.043770944)</f>
        <v>0.043770944</v>
      </c>
      <c r="AT103" s="550"/>
      <c r="AU103" s="562" t="s">
        <v>855</v>
      </c>
      <c r="AV103" s="552"/>
    </row>
    <row r="104">
      <c r="A104" s="646"/>
      <c r="B104" s="647"/>
      <c r="C104" s="206"/>
      <c r="D104" s="206"/>
      <c r="E104" s="530" t="s">
        <v>202</v>
      </c>
      <c r="F104" s="225" t="s">
        <v>122</v>
      </c>
      <c r="G104" s="226" t="s">
        <v>203</v>
      </c>
      <c r="H104" s="570">
        <v>0.0</v>
      </c>
      <c r="I104" s="93" t="s">
        <v>150</v>
      </c>
      <c r="J104" s="93" t="s">
        <v>150</v>
      </c>
      <c r="K104" s="93" t="s">
        <v>150</v>
      </c>
      <c r="L104" s="93" t="s">
        <v>150</v>
      </c>
      <c r="M104" s="93" t="s">
        <v>150</v>
      </c>
      <c r="N104" s="93" t="s">
        <v>150</v>
      </c>
      <c r="O104" s="93" t="s">
        <v>150</v>
      </c>
      <c r="P104" s="93" t="s">
        <v>150</v>
      </c>
      <c r="Q104" s="93" t="s">
        <v>150</v>
      </c>
      <c r="R104" s="93" t="s">
        <v>150</v>
      </c>
      <c r="S104" s="93" t="s">
        <v>150</v>
      </c>
      <c r="T104" s="93" t="s">
        <v>150</v>
      </c>
      <c r="U104" s="93" t="s">
        <v>150</v>
      </c>
      <c r="V104" s="93" t="s">
        <v>150</v>
      </c>
      <c r="W104" s="93" t="s">
        <v>150</v>
      </c>
      <c r="X104" s="93" t="s">
        <v>150</v>
      </c>
      <c r="Y104" s="93" t="s">
        <v>150</v>
      </c>
      <c r="Z104" s="93" t="s">
        <v>150</v>
      </c>
      <c r="AA104" s="93" t="s">
        <v>150</v>
      </c>
      <c r="AB104" s="93" t="s">
        <v>150</v>
      </c>
      <c r="AC104" s="93" t="s">
        <v>150</v>
      </c>
      <c r="AD104" s="93" t="s">
        <v>150</v>
      </c>
      <c r="AE104" s="93" t="s">
        <v>150</v>
      </c>
      <c r="AF104" s="93" t="s">
        <v>150</v>
      </c>
      <c r="AG104" s="93" t="s">
        <v>150</v>
      </c>
      <c r="AH104" s="93" t="s">
        <v>150</v>
      </c>
      <c r="AI104" s="93" t="s">
        <v>150</v>
      </c>
      <c r="AJ104" s="93" t="s">
        <v>150</v>
      </c>
      <c r="AK104" s="93" t="s">
        <v>150</v>
      </c>
      <c r="AL104" s="93" t="s">
        <v>150</v>
      </c>
      <c r="AM104" s="93" t="s">
        <v>150</v>
      </c>
      <c r="AN104" s="93" t="s">
        <v>150</v>
      </c>
      <c r="AO104" s="93" t="s">
        <v>150</v>
      </c>
      <c r="AP104" s="93" t="s">
        <v>150</v>
      </c>
      <c r="AQ104" s="93" t="s">
        <v>150</v>
      </c>
      <c r="AR104" s="93" t="s">
        <v>150</v>
      </c>
      <c r="AS104" s="93" t="s">
        <v>150</v>
      </c>
      <c r="AT104" s="648"/>
      <c r="AU104" s="572" t="s">
        <v>809</v>
      </c>
      <c r="AV104" s="573"/>
    </row>
    <row r="105">
      <c r="A105" s="540"/>
      <c r="B105" s="206"/>
      <c r="C105" s="206"/>
      <c r="D105" s="206"/>
      <c r="E105" s="541"/>
      <c r="F105" s="201"/>
      <c r="G105" s="202"/>
      <c r="H105" s="542"/>
      <c r="I105" s="266"/>
      <c r="J105" s="266"/>
      <c r="K105" s="266"/>
      <c r="L105" s="266"/>
      <c r="M105" s="266"/>
      <c r="N105" s="266"/>
      <c r="O105" s="266"/>
      <c r="P105" s="266"/>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543"/>
      <c r="AU105" s="544"/>
      <c r="AV105" s="545"/>
    </row>
    <row r="106">
      <c r="A106" s="206"/>
      <c r="B106" s="206"/>
      <c r="C106" s="126" t="s">
        <v>215</v>
      </c>
      <c r="F106" s="201"/>
      <c r="G106" s="201"/>
      <c r="H106" s="542"/>
      <c r="I106" s="266"/>
      <c r="J106" s="266"/>
      <c r="K106" s="266"/>
      <c r="L106" s="266"/>
      <c r="M106" s="266"/>
      <c r="N106" s="266"/>
      <c r="O106" s="266"/>
      <c r="P106" s="266"/>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543"/>
      <c r="AU106" s="544"/>
      <c r="AV106" s="545"/>
    </row>
    <row r="107">
      <c r="A107" s="540"/>
      <c r="B107" s="206"/>
      <c r="C107" s="206"/>
      <c r="D107" s="206"/>
      <c r="E107" s="548" t="s">
        <v>218</v>
      </c>
      <c r="F107" s="207" t="s">
        <v>122</v>
      </c>
      <c r="G107" s="208" t="s">
        <v>203</v>
      </c>
      <c r="H107" s="578" t="s">
        <v>150</v>
      </c>
      <c r="I107" s="210">
        <f>IFERROR(__xludf.DUMMYFUNCTION("FILTER('GBD estimates'!$G$3:$G$1371,'GBD estimates'!$B$3:$B$1371=I$3,'GBD estimates'!$E$3:$E$1371=""Diphtheria"",'GBD estimates'!$D$3:$D$1371=""Under 5"")"),5.01357E-4)</f>
        <v>0.000501357</v>
      </c>
      <c r="J107" s="210">
        <f>IFERROR(__xludf.DUMMYFUNCTION("FILTER('GBD estimates'!$G$3:$G$1371,'GBD estimates'!$B$3:$B$1371=J$3,'GBD estimates'!$E$3:$E$1371=""Diphtheria"",'GBD estimates'!$D$3:$D$1371=""Under 5"")"),3.47103E-4)</f>
        <v>0.000347103</v>
      </c>
      <c r="K107" s="210">
        <f>IFERROR(__xludf.DUMMYFUNCTION("FILTER('GBD estimates'!$G$3:$G$1371,'GBD estimates'!$B$3:$B$1371=K$3,'GBD estimates'!$E$3:$E$1371=""Diphtheria"",'GBD estimates'!$D$3:$D$1371=""Under 5"")"),5.79052E-4)</f>
        <v>0.000579052</v>
      </c>
      <c r="L107" s="210">
        <f>IFERROR(__xludf.DUMMYFUNCTION("FILTER('GBD estimates'!$G$3:$G$1371,'GBD estimates'!$B$3:$B$1371=L$3,'GBD estimates'!$E$3:$E$1371=""Diphtheria"",'GBD estimates'!$D$3:$D$1371=""Under 5"")"),1.05863E-4)</f>
        <v>0.000105863</v>
      </c>
      <c r="M107" s="210">
        <f>IFERROR(__xludf.DUMMYFUNCTION("FILTER('GBD estimates'!$G$3:$G$1371,'GBD estimates'!$B$3:$B$1371=M$3,'GBD estimates'!$E$3:$E$1371=""Diphtheria"",'GBD estimates'!$D$3:$D$1371=""Under 5"")"),2.47733E-4)</f>
        <v>0.000247733</v>
      </c>
      <c r="N107" s="210">
        <f>IFERROR(__xludf.DUMMYFUNCTION("FILTER('GBD estimates'!$G$3:$G$1371,'GBD estimates'!$B$3:$B$1371=N$3,'GBD estimates'!$E$3:$E$1371=""Diphtheria"",'GBD estimates'!$D$3:$D$1371=""Under 5"")"),3.80731E-4)</f>
        <v>0.000380731</v>
      </c>
      <c r="O107" s="210">
        <f>IFERROR(__xludf.DUMMYFUNCTION("FILTER('GBD estimates'!$G$3:$G$1371,'GBD estimates'!$B$3:$B$1371=O$3,'GBD estimates'!$E$3:$E$1371=""Diphtheria"",'GBD estimates'!$D$3:$D$1371=""Under 5"")"),7.28763E-4)</f>
        <v>0.000728763</v>
      </c>
      <c r="P107" s="210">
        <f>IFERROR(__xludf.DUMMYFUNCTION("FILTER('GBD estimates'!$G$3:$G$1371,'GBD estimates'!$B$3:$B$1371=P$3,'GBD estimates'!$E$3:$E$1371=""Diphtheria"",'GBD estimates'!$D$3:$D$1371=""Under 5"")"),0.001418658)</f>
        <v>0.001418658</v>
      </c>
      <c r="Q107" s="210">
        <f>IFERROR(__xludf.DUMMYFUNCTION("FILTER('GBD estimates'!$G$3:$G$1371,'GBD estimates'!$B$3:$B$1371=Q$3,'GBD estimates'!$E$3:$E$1371=""Diphtheria"",'GBD estimates'!$D$3:$D$1371=""Under 5"")"),0.001618551)</f>
        <v>0.001618551</v>
      </c>
      <c r="R107" s="210">
        <f>IFERROR(__xludf.DUMMYFUNCTION("FILTER('GBD estimates'!$G$3:$G$1371,'GBD estimates'!$B$3:$B$1371=R$3,'GBD estimates'!$E$3:$E$1371=""Diphtheria"",'GBD estimates'!$D$3:$D$1371=""Under 5"")"),8.6E-6)</f>
        <v>0.0000086</v>
      </c>
      <c r="S107" s="210">
        <f>IFERROR(__xludf.DUMMYFUNCTION("FILTER('GBD estimates'!$G$3:$G$1371,'GBD estimates'!$B$3:$B$1371=S$3,'GBD estimates'!$E$3:$E$1371=""Diphtheria"",'GBD estimates'!$D$3:$D$1371=""Under 5"")"),6.78E-5)</f>
        <v>0.0000678</v>
      </c>
      <c r="T107" s="210">
        <f>IFERROR(__xludf.DUMMYFUNCTION("FILTER('GBD estimates'!$G$3:$G$1371,'GBD estimates'!$B$3:$B$1371=T$3,'GBD estimates'!$E$3:$E$1371=""Diphtheria"",'GBD estimates'!$D$3:$D$1371=""Under 5"")"),6.75E-6)</f>
        <v>0.00000675</v>
      </c>
      <c r="U107" s="210">
        <f>IFERROR(__xludf.DUMMYFUNCTION("FILTER('GBD estimates'!$G$3:$G$1371,'GBD estimates'!$B$3:$B$1371=U$3,'GBD estimates'!$E$3:$E$1371=""Diphtheria"",'GBD estimates'!$D$3:$D$1371=""Under 5"")"),3.9E-6)</f>
        <v>0.0000039</v>
      </c>
      <c r="V107" s="210">
        <f>IFERROR(__xludf.DUMMYFUNCTION("FILTER('GBD estimates'!$G$3:$G$1371,'GBD estimates'!$B$3:$B$1371=V$3,'GBD estimates'!$E$3:$E$1371=""Diphtheria"",'GBD estimates'!$D$3:$D$1371=""Under 5"")"),1.97E-5)</f>
        <v>0.0000197</v>
      </c>
      <c r="W107" s="210">
        <f>IFERROR(__xludf.DUMMYFUNCTION("FILTER('GBD estimates'!$G$3:$G$1371,'GBD estimates'!$B$3:$B$1371=W$3,'GBD estimates'!$E$3:$E$1371=""Diphtheria"",'GBD estimates'!$D$3:$D$1371=""Under 5"")"),1.97E-5)</f>
        <v>0.0000197</v>
      </c>
      <c r="X107" s="210">
        <f>IFERROR(__xludf.DUMMYFUNCTION("FILTER('GBD estimates'!$G$3:$G$1371,'GBD estimates'!$B$3:$B$1371=X$3,'GBD estimates'!$E$3:$E$1371=""Diphtheria"",'GBD estimates'!$D$3:$D$1371=""Under 5"")"),4.71E-5)</f>
        <v>0.0000471</v>
      </c>
      <c r="Y107" s="210">
        <f>IFERROR(__xludf.DUMMYFUNCTION("FILTER('GBD estimates'!$G$3:$G$1371,'GBD estimates'!$B$3:$B$1371=Y$3,'GBD estimates'!$E$3:$E$1371=""Diphtheria"",'GBD estimates'!$D$3:$D$1371=""Under 5"")"),6.97E-6)</f>
        <v>0.00000697</v>
      </c>
      <c r="Z107" s="210">
        <f>IFERROR(__xludf.DUMMYFUNCTION("FILTER('GBD estimates'!$G$3:$G$1371,'GBD estimates'!$B$3:$B$1371=Z$3,'GBD estimates'!$E$3:$E$1371=""Diphtheria"",'GBD estimates'!$D$3:$D$1371=""Under 5"")"),9.24E-6)</f>
        <v>0.00000924</v>
      </c>
      <c r="AA107" s="210">
        <f>IFERROR(__xludf.DUMMYFUNCTION("FILTER('GBD estimates'!$G$3:$G$1371,'GBD estimates'!$B$3:$B$1371=AA$3,'GBD estimates'!$E$3:$E$1371=""Diphtheria"",'GBD estimates'!$D$3:$D$1371=""Under 5"")"),1.09E-5)</f>
        <v>0.0000109</v>
      </c>
      <c r="AB107" s="210">
        <f>IFERROR(__xludf.DUMMYFUNCTION("FILTER('GBD estimates'!$G$3:$G$1371,'GBD estimates'!$B$3:$B$1371=AB$3,'GBD estimates'!$E$3:$E$1371=""Diphtheria"",'GBD estimates'!$D$3:$D$1371=""Under 5"")"),7.59E-6)</f>
        <v>0.00000759</v>
      </c>
      <c r="AC107" s="210">
        <f>IFERROR(__xludf.DUMMYFUNCTION("FILTER('GBD estimates'!$G$3:$G$1371,'GBD estimates'!$B$3:$B$1371=AC$3,'GBD estimates'!$E$3:$E$1371=""Diphtheria"",'GBD estimates'!$D$3:$D$1371=""Under 5"")"),4.02E-6)</f>
        <v>0.00000402</v>
      </c>
      <c r="AD107" s="210">
        <f>IFERROR(__xludf.DUMMYFUNCTION("FILTER('GBD estimates'!$G$3:$G$1371,'GBD estimates'!$B$3:$B$1371=AD$3,'GBD estimates'!$E$3:$E$1371=""Diphtheria"",'GBD estimates'!$D$3:$D$1371=""Under 5"")"),3.45E-6)</f>
        <v>0.00000345</v>
      </c>
      <c r="AE107" s="210">
        <f>IFERROR(__xludf.DUMMYFUNCTION("FILTER('GBD estimates'!$G$3:$G$1371,'GBD estimates'!$B$3:$B$1371=AE$3,'GBD estimates'!$E$3:$E$1371=""Diphtheria"",'GBD estimates'!$D$3:$D$1371=""Under 5"")"),7.94E-6)</f>
        <v>0.00000794</v>
      </c>
      <c r="AF107" s="210">
        <f>IFERROR(__xludf.DUMMYFUNCTION("FILTER('GBD estimates'!$G$3:$G$1371,'GBD estimates'!$B$3:$B$1371=AF$3,'GBD estimates'!$E$3:$E$1371=""Diphtheria"",'GBD estimates'!$D$3:$D$1371=""Under 5"")"),3.61E-6)</f>
        <v>0.00000361</v>
      </c>
      <c r="AG107" s="210">
        <f>IFERROR(__xludf.DUMMYFUNCTION("FILTER('GBD estimates'!$G$3:$G$1371,'GBD estimates'!$B$3:$B$1371=AG$3,'GBD estimates'!$E$3:$E$1371=""Diphtheria"",'GBD estimates'!$D$3:$D$1371=""Under 5"")"),1.13E-5)</f>
        <v>0.0000113</v>
      </c>
      <c r="AH107" s="210">
        <f>IFERROR(__xludf.DUMMYFUNCTION("FILTER('GBD estimates'!$G$3:$G$1371,'GBD estimates'!$B$3:$B$1371=AH$3,'GBD estimates'!$E$3:$E$1371=""Diphtheria"",'GBD estimates'!$D$3:$D$1371=""Under 5"")"),6.94E-6)</f>
        <v>0.00000694</v>
      </c>
      <c r="AI107" s="210">
        <f>IFERROR(__xludf.DUMMYFUNCTION("FILTER('GBD estimates'!$G$3:$G$1371,'GBD estimates'!$B$3:$B$1371=AI$3,'GBD estimates'!$E$3:$E$1371=""Diphtheria"",'GBD estimates'!$D$3:$D$1371=""Under 5"")"),1.67E-6)</f>
        <v>0.00000167</v>
      </c>
      <c r="AJ107" s="210">
        <f>IFERROR(__xludf.DUMMYFUNCTION("FILTER('GBD estimates'!$G$3:$G$1371,'GBD estimates'!$B$3:$B$1371=AJ$3,'GBD estimates'!$E$3:$E$1371=""Diphtheria"",'GBD estimates'!$D$3:$D$1371=""Under 5"")"),3.13E-5)</f>
        <v>0.0000313</v>
      </c>
      <c r="AK107" s="210">
        <f>IFERROR(__xludf.DUMMYFUNCTION("FILTER('GBD estimates'!$G$3:$G$1371,'GBD estimates'!$B$3:$B$1371=AK$3,'GBD estimates'!$E$3:$E$1371=""Diphtheria"",'GBD estimates'!$D$3:$D$1371=""Under 5"")"),1.1796E-4)</f>
        <v>0.00011796</v>
      </c>
      <c r="AL107" s="210">
        <f>IFERROR(__xludf.DUMMYFUNCTION("FILTER('GBD estimates'!$G$3:$G$1371,'GBD estimates'!$B$3:$B$1371=AL$3,'GBD estimates'!$E$3:$E$1371=""Diphtheria"",'GBD estimates'!$D$3:$D$1371=""Under 5"")"),1.32E-5)</f>
        <v>0.0000132</v>
      </c>
      <c r="AM107" s="210">
        <f>IFERROR(__xludf.DUMMYFUNCTION("FILTER('GBD estimates'!$G$3:$G$1371,'GBD estimates'!$B$3:$B$1371=AM$3,'GBD estimates'!$E$3:$E$1371=""Diphtheria"",'GBD estimates'!$D$3:$D$1371=""Under 5"")"),7.03E-6)</f>
        <v>0.00000703</v>
      </c>
      <c r="AN107" s="210">
        <f>IFERROR(__xludf.DUMMYFUNCTION("FILTER('GBD estimates'!$G$3:$G$1371,'GBD estimates'!$B$3:$B$1371=AN$3,'GBD estimates'!$E$3:$E$1371=""Diphtheria"",'GBD estimates'!$D$3:$D$1371=""Under 5"")"),2.14E-6)</f>
        <v>0.00000214</v>
      </c>
      <c r="AO107" s="210">
        <f>IFERROR(__xludf.DUMMYFUNCTION("FILTER('GBD estimates'!$G$3:$G$1371,'GBD estimates'!$B$3:$B$1371=AO$3,'GBD estimates'!$E$3:$E$1371=""Diphtheria"",'GBD estimates'!$D$3:$D$1371=""Under 5"")"),9.46E-6)</f>
        <v>0.00000946</v>
      </c>
      <c r="AP107" s="210">
        <f>IFERROR(__xludf.DUMMYFUNCTION("FILTER('GBD estimates'!$G$3:$G$1371,'GBD estimates'!$B$3:$B$1371=AP$3,'GBD estimates'!$E$3:$E$1371=""Diphtheria"",'GBD estimates'!$D$3:$D$1371=""Under 5"")"),1.22E-5)</f>
        <v>0.0000122</v>
      </c>
      <c r="AQ107" s="210">
        <f>IFERROR(__xludf.DUMMYFUNCTION("FILTER('GBD estimates'!$G$3:$G$1371,'GBD estimates'!$B$3:$B$1371=AQ$3,'GBD estimates'!$E$3:$E$1371=""Diphtheria"",'GBD estimates'!$D$3:$D$1371=""Under 5"")"),7.55E-6)</f>
        <v>0.00000755</v>
      </c>
      <c r="AR107" s="210">
        <f>IFERROR(__xludf.DUMMYFUNCTION("FILTER('GBD estimates'!$G$3:$G$1371,'GBD estimates'!$B$3:$B$1371=AR$3,'GBD estimates'!$E$3:$E$1371=""Diphtheria"",'GBD estimates'!$D$3:$D$1371=""Under 5"")"),1.40862E-4)</f>
        <v>0.000140862</v>
      </c>
      <c r="AS107" s="210">
        <f>IFERROR(__xludf.DUMMYFUNCTION("FILTER('GBD estimates'!$G$3:$G$1371,'GBD estimates'!$B$3:$B$1371=AS$3,'GBD estimates'!$E$3:$E$1371=""Diphtheria"",'GBD estimates'!$D$3:$D$1371=""Under 5"")"),2.57334E-4)</f>
        <v>0.000257334</v>
      </c>
      <c r="AT107" s="550"/>
      <c r="AU107" s="562" t="s">
        <v>855</v>
      </c>
      <c r="AV107" s="552"/>
    </row>
    <row r="108">
      <c r="A108" s="540"/>
      <c r="B108" s="206"/>
      <c r="C108" s="206"/>
      <c r="D108" s="206"/>
      <c r="E108" s="553" t="s">
        <v>226</v>
      </c>
      <c r="F108" s="278" t="s">
        <v>122</v>
      </c>
      <c r="G108" s="279" t="s">
        <v>203</v>
      </c>
      <c r="H108" s="581" t="s">
        <v>150</v>
      </c>
      <c r="I108" s="210">
        <f>IFERROR(__xludf.DUMMYFUNCTION("FILTER('GBD estimates'!$G$3:$G$1371,'GBD estimates'!$B$3:$B$1371=I$3,'GBD estimates'!$E$3:$E$1371=""Diphtheria"",'GBD estimates'!$D$3:$D$1371=""5-14 years"")"),5.88E-5)</f>
        <v>0.0000588</v>
      </c>
      <c r="J108" s="210">
        <f>IFERROR(__xludf.DUMMYFUNCTION("FILTER('GBD estimates'!$G$3:$G$1371,'GBD estimates'!$B$3:$B$1371=J$3,'GBD estimates'!$E$3:$E$1371=""Diphtheria"",'GBD estimates'!$D$3:$D$1371=""5-14 years"")"),4.39E-5)</f>
        <v>0.0000439</v>
      </c>
      <c r="K108" s="210">
        <f>IFERROR(__xludf.DUMMYFUNCTION("FILTER('GBD estimates'!$G$3:$G$1371,'GBD estimates'!$B$3:$B$1371=K$3,'GBD estimates'!$E$3:$E$1371=""Diphtheria"",'GBD estimates'!$D$3:$D$1371=""5-14 years"")"),6.71E-5)</f>
        <v>0.0000671</v>
      </c>
      <c r="L108" s="210">
        <f>IFERROR(__xludf.DUMMYFUNCTION("FILTER('GBD estimates'!$G$3:$G$1371,'GBD estimates'!$B$3:$B$1371=L$3,'GBD estimates'!$E$3:$E$1371=""Diphtheria"",'GBD estimates'!$D$3:$D$1371=""5-14 years"")"),1.99E-5)</f>
        <v>0.0000199</v>
      </c>
      <c r="M108" s="210">
        <f>IFERROR(__xludf.DUMMYFUNCTION("FILTER('GBD estimates'!$G$3:$G$1371,'GBD estimates'!$B$3:$B$1371=M$3,'GBD estimates'!$E$3:$E$1371=""Diphtheria"",'GBD estimates'!$D$3:$D$1371=""5-14 years"")"),3.53E-5)</f>
        <v>0.0000353</v>
      </c>
      <c r="N108" s="210">
        <f>IFERROR(__xludf.DUMMYFUNCTION("FILTER('GBD estimates'!$G$3:$G$1371,'GBD estimates'!$B$3:$B$1371=N$3,'GBD estimates'!$E$3:$E$1371=""Diphtheria"",'GBD estimates'!$D$3:$D$1371=""5-14 years"")"),4.59E-5)</f>
        <v>0.0000459</v>
      </c>
      <c r="O108" s="210">
        <f>IFERROR(__xludf.DUMMYFUNCTION("FILTER('GBD estimates'!$G$3:$G$1371,'GBD estimates'!$B$3:$B$1371=O$3,'GBD estimates'!$E$3:$E$1371=""Diphtheria"",'GBD estimates'!$D$3:$D$1371=""5-14 years"")"),1.09744E-4)</f>
        <v>0.000109744</v>
      </c>
      <c r="P108" s="210">
        <f>IFERROR(__xludf.DUMMYFUNCTION("FILTER('GBD estimates'!$G$3:$G$1371,'GBD estimates'!$B$3:$B$1371=P$3,'GBD estimates'!$E$3:$E$1371=""Diphtheria"",'GBD estimates'!$D$3:$D$1371=""5-14 years"")"),1.81069E-4)</f>
        <v>0.000181069</v>
      </c>
      <c r="Q108" s="210">
        <f>IFERROR(__xludf.DUMMYFUNCTION("FILTER('GBD estimates'!$G$3:$G$1371,'GBD estimates'!$B$3:$B$1371=Q$3,'GBD estimates'!$E$3:$E$1371=""Diphtheria"",'GBD estimates'!$D$3:$D$1371=""5-14 years"")"),1.77977E-4)</f>
        <v>0.000177977</v>
      </c>
      <c r="R108" s="210">
        <f>IFERROR(__xludf.DUMMYFUNCTION("FILTER('GBD estimates'!$G$3:$G$1371,'GBD estimates'!$B$3:$B$1371=R$3,'GBD estimates'!$E$3:$E$1371=""Diphtheria"",'GBD estimates'!$D$3:$D$1371=""5-14 years"")"),1.73E-6)</f>
        <v>0.00000173</v>
      </c>
      <c r="S108" s="210">
        <f>IFERROR(__xludf.DUMMYFUNCTION("FILTER('GBD estimates'!$G$3:$G$1371,'GBD estimates'!$B$3:$B$1371=S$3,'GBD estimates'!$E$3:$E$1371=""Diphtheria"",'GBD estimates'!$D$3:$D$1371=""5-14 years"")"),1.08E-5)</f>
        <v>0.0000108</v>
      </c>
      <c r="T108" s="210">
        <f>IFERROR(__xludf.DUMMYFUNCTION("FILTER('GBD estimates'!$G$3:$G$1371,'GBD estimates'!$B$3:$B$1371=T$3,'GBD estimates'!$E$3:$E$1371=""Diphtheria"",'GBD estimates'!$D$3:$D$1371=""5-14 years"")"),1.72E-6)</f>
        <v>0.00000172</v>
      </c>
      <c r="U108" s="210">
        <f>IFERROR(__xludf.DUMMYFUNCTION("FILTER('GBD estimates'!$G$3:$G$1371,'GBD estimates'!$B$3:$B$1371=U$3,'GBD estimates'!$E$3:$E$1371=""Diphtheria"",'GBD estimates'!$D$3:$D$1371=""5-14 years"")"),1.09E-6)</f>
        <v>0.00000109</v>
      </c>
      <c r="V108" s="210">
        <f>IFERROR(__xludf.DUMMYFUNCTION("FILTER('GBD estimates'!$G$3:$G$1371,'GBD estimates'!$B$3:$B$1371=V$3,'GBD estimates'!$E$3:$E$1371=""Diphtheria"",'GBD estimates'!$D$3:$D$1371=""5-14 years"")"),3.69E-6)</f>
        <v>0.00000369</v>
      </c>
      <c r="W108" s="210">
        <f>IFERROR(__xludf.DUMMYFUNCTION("FILTER('GBD estimates'!$G$3:$G$1371,'GBD estimates'!$B$3:$B$1371=W$3,'GBD estimates'!$E$3:$E$1371=""Diphtheria"",'GBD estimates'!$D$3:$D$1371=""5-14 years"")"),5.81E-6)</f>
        <v>0.00000581</v>
      </c>
      <c r="X108" s="210">
        <f>IFERROR(__xludf.DUMMYFUNCTION("FILTER('GBD estimates'!$G$3:$G$1371,'GBD estimates'!$B$3:$B$1371=X$3,'GBD estimates'!$E$3:$E$1371=""Diphtheria"",'GBD estimates'!$D$3:$D$1371=""5-14 years"")"),1.11E-5)</f>
        <v>0.0000111</v>
      </c>
      <c r="Y108" s="210">
        <f>IFERROR(__xludf.DUMMYFUNCTION("FILTER('GBD estimates'!$G$3:$G$1371,'GBD estimates'!$B$3:$B$1371=Y$3,'GBD estimates'!$E$3:$E$1371=""Diphtheria"",'GBD estimates'!$D$3:$D$1371=""5-14 years"")"),1.8E-6)</f>
        <v>0.0000018</v>
      </c>
      <c r="Z108" s="210">
        <f>IFERROR(__xludf.DUMMYFUNCTION("FILTER('GBD estimates'!$G$3:$G$1371,'GBD estimates'!$B$3:$B$1371=Z$3,'GBD estimates'!$E$3:$E$1371=""Diphtheria"",'GBD estimates'!$D$3:$D$1371=""5-14 years"")"),2.39E-6)</f>
        <v>0.00000239</v>
      </c>
      <c r="AA108" s="210">
        <f>IFERROR(__xludf.DUMMYFUNCTION("FILTER('GBD estimates'!$G$3:$G$1371,'GBD estimates'!$B$3:$B$1371=AA$3,'GBD estimates'!$E$3:$E$1371=""Diphtheria"",'GBD estimates'!$D$3:$D$1371=""5-14 years"")"),3.31E-6)</f>
        <v>0.00000331</v>
      </c>
      <c r="AB108" s="210">
        <f>IFERROR(__xludf.DUMMYFUNCTION("FILTER('GBD estimates'!$G$3:$G$1371,'GBD estimates'!$B$3:$B$1371=AB$3,'GBD estimates'!$E$3:$E$1371=""Diphtheria"",'GBD estimates'!$D$3:$D$1371=""5-14 years"")"),1.29E-6)</f>
        <v>0.00000129</v>
      </c>
      <c r="AC108" s="210">
        <f>IFERROR(__xludf.DUMMYFUNCTION("FILTER('GBD estimates'!$G$3:$G$1371,'GBD estimates'!$B$3:$B$1371=AC$3,'GBD estimates'!$E$3:$E$1371=""Diphtheria"",'GBD estimates'!$D$3:$D$1371=""5-14 years"")"),9.22E-7)</f>
        <v>0.000000922</v>
      </c>
      <c r="AD108" s="210">
        <f>IFERROR(__xludf.DUMMYFUNCTION("FILTER('GBD estimates'!$G$3:$G$1371,'GBD estimates'!$B$3:$B$1371=AD$3,'GBD estimates'!$E$3:$E$1371=""Diphtheria"",'GBD estimates'!$D$3:$D$1371=""5-14 years"")"),1.21E-6)</f>
        <v>0.00000121</v>
      </c>
      <c r="AE108" s="210">
        <f>IFERROR(__xludf.DUMMYFUNCTION("FILTER('GBD estimates'!$G$3:$G$1371,'GBD estimates'!$B$3:$B$1371=AE$3,'GBD estimates'!$E$3:$E$1371=""Diphtheria"",'GBD estimates'!$D$3:$D$1371=""5-14 years"")"),2.29E-6)</f>
        <v>0.00000229</v>
      </c>
      <c r="AF108" s="210">
        <f>IFERROR(__xludf.DUMMYFUNCTION("FILTER('GBD estimates'!$G$3:$G$1371,'GBD estimates'!$B$3:$B$1371=AF$3,'GBD estimates'!$E$3:$E$1371=""Diphtheria"",'GBD estimates'!$D$3:$D$1371=""5-14 years"")"),1.1E-6)</f>
        <v>0.0000011</v>
      </c>
      <c r="AG108" s="210">
        <f>IFERROR(__xludf.DUMMYFUNCTION("FILTER('GBD estimates'!$G$3:$G$1371,'GBD estimates'!$B$3:$B$1371=AG$3,'GBD estimates'!$E$3:$E$1371=""Diphtheria"",'GBD estimates'!$D$3:$D$1371=""5-14 years"")"),2.65E-6)</f>
        <v>0.00000265</v>
      </c>
      <c r="AH108" s="210">
        <f>IFERROR(__xludf.DUMMYFUNCTION("FILTER('GBD estimates'!$G$3:$G$1371,'GBD estimates'!$B$3:$B$1371=AH$3,'GBD estimates'!$E$3:$E$1371=""Diphtheria"",'GBD estimates'!$D$3:$D$1371=""5-14 years"")"),2.12E-6)</f>
        <v>0.00000212</v>
      </c>
      <c r="AI108" s="210">
        <f>IFERROR(__xludf.DUMMYFUNCTION("FILTER('GBD estimates'!$G$3:$G$1371,'GBD estimates'!$B$3:$B$1371=AI$3,'GBD estimates'!$E$3:$E$1371=""Diphtheria"",'GBD estimates'!$D$3:$D$1371=""5-14 years"")"),7.23E-7)</f>
        <v>0.000000723</v>
      </c>
      <c r="AJ108" s="210">
        <f>IFERROR(__xludf.DUMMYFUNCTION("FILTER('GBD estimates'!$G$3:$G$1371,'GBD estimates'!$B$3:$B$1371=AJ$3,'GBD estimates'!$E$3:$E$1371=""Diphtheria"",'GBD estimates'!$D$3:$D$1371=""5-14 years"")"),7.4E-6)</f>
        <v>0.0000074</v>
      </c>
      <c r="AK108" s="210">
        <f>IFERROR(__xludf.DUMMYFUNCTION("FILTER('GBD estimates'!$G$3:$G$1371,'GBD estimates'!$B$3:$B$1371=AK$3,'GBD estimates'!$E$3:$E$1371=""Diphtheria"",'GBD estimates'!$D$3:$D$1371=""5-14 years"")"),2.42E-5)</f>
        <v>0.0000242</v>
      </c>
      <c r="AL108" s="210">
        <f>IFERROR(__xludf.DUMMYFUNCTION("FILTER('GBD estimates'!$G$3:$G$1371,'GBD estimates'!$B$3:$B$1371=AL$3,'GBD estimates'!$E$3:$E$1371=""Diphtheria"",'GBD estimates'!$D$3:$D$1371=""5-14 years"")"),3.91E-6)</f>
        <v>0.00000391</v>
      </c>
      <c r="AM108" s="210">
        <f>IFERROR(__xludf.DUMMYFUNCTION("FILTER('GBD estimates'!$G$3:$G$1371,'GBD estimates'!$B$3:$B$1371=AM$3,'GBD estimates'!$E$3:$E$1371=""Diphtheria"",'GBD estimates'!$D$3:$D$1371=""5-14 years"")"),1.75E-6)</f>
        <v>0.00000175</v>
      </c>
      <c r="AN108" s="210">
        <f>IFERROR(__xludf.DUMMYFUNCTION("FILTER('GBD estimates'!$G$3:$G$1371,'GBD estimates'!$B$3:$B$1371=AN$3,'GBD estimates'!$E$3:$E$1371=""Diphtheria"",'GBD estimates'!$D$3:$D$1371=""5-14 years"")"),7.36E-7)</f>
        <v>0.000000736</v>
      </c>
      <c r="AO108" s="210">
        <f>IFERROR(__xludf.DUMMYFUNCTION("FILTER('GBD estimates'!$G$3:$G$1371,'GBD estimates'!$B$3:$B$1371=AO$3,'GBD estimates'!$E$3:$E$1371=""Diphtheria"",'GBD estimates'!$D$3:$D$1371=""5-14 years"")"),2.21E-6)</f>
        <v>0.00000221</v>
      </c>
      <c r="AP108" s="210">
        <f>IFERROR(__xludf.DUMMYFUNCTION("FILTER('GBD estimates'!$G$3:$G$1371,'GBD estimates'!$B$3:$B$1371=AP$3,'GBD estimates'!$E$3:$E$1371=""Diphtheria"",'GBD estimates'!$D$3:$D$1371=""5-14 years"")"),4.13E-6)</f>
        <v>0.00000413</v>
      </c>
      <c r="AQ108" s="210">
        <f>IFERROR(__xludf.DUMMYFUNCTION("FILTER('GBD estimates'!$G$3:$G$1371,'GBD estimates'!$B$3:$B$1371=AQ$3,'GBD estimates'!$E$3:$E$1371=""Diphtheria"",'GBD estimates'!$D$3:$D$1371=""5-14 years"")"),1.64E-6)</f>
        <v>0.00000164</v>
      </c>
      <c r="AR108" s="210">
        <f>IFERROR(__xludf.DUMMYFUNCTION("FILTER('GBD estimates'!$G$3:$G$1371,'GBD estimates'!$B$3:$B$1371=AR$3,'GBD estimates'!$E$3:$E$1371=""Diphtheria"",'GBD estimates'!$D$3:$D$1371=""5-14 years"")"),2.6E-5)</f>
        <v>0.000026</v>
      </c>
      <c r="AS108" s="210">
        <f>IFERROR(__xludf.DUMMYFUNCTION("FILTER('GBD estimates'!$G$3:$G$1371,'GBD estimates'!$B$3:$B$1371=AS$3,'GBD estimates'!$E$3:$E$1371=""Diphtheria"",'GBD estimates'!$D$3:$D$1371=""5-14 years"")"),4.46E-5)</f>
        <v>0.0000446</v>
      </c>
      <c r="AT108" s="555"/>
      <c r="AU108" s="566" t="s">
        <v>855</v>
      </c>
      <c r="AV108" s="557"/>
    </row>
    <row r="109">
      <c r="A109" s="540"/>
      <c r="B109" s="206"/>
      <c r="C109" s="206"/>
      <c r="D109" s="206"/>
      <c r="E109" s="553" t="s">
        <v>229</v>
      </c>
      <c r="F109" s="278" t="s">
        <v>122</v>
      </c>
      <c r="G109" s="279" t="s">
        <v>203</v>
      </c>
      <c r="H109" s="581" t="s">
        <v>150</v>
      </c>
      <c r="I109" s="210">
        <f>IFERROR(__xludf.DUMMYFUNCTION("FILTER('GBD estimates'!$G$3:$G$1371,'GBD estimates'!$B$3:$B$1371=I$3,'GBD estimates'!$E$3:$E$1371=""Diphtheria"",'GBD estimates'!$D$3:$D$1371=""15-49 years"")"),2.77E-5)</f>
        <v>0.0000277</v>
      </c>
      <c r="J109" s="210">
        <f>IFERROR(__xludf.DUMMYFUNCTION("FILTER('GBD estimates'!$G$3:$G$1371,'GBD estimates'!$B$3:$B$1371=J$3,'GBD estimates'!$E$3:$E$1371=""Diphtheria"",'GBD estimates'!$D$3:$D$1371=""15-49 years"")"),2.01E-5)</f>
        <v>0.0000201</v>
      </c>
      <c r="K109" s="210">
        <f>IFERROR(__xludf.DUMMYFUNCTION("FILTER('GBD estimates'!$G$3:$G$1371,'GBD estimates'!$B$3:$B$1371=K$3,'GBD estimates'!$E$3:$E$1371=""Diphtheria"",'GBD estimates'!$D$3:$D$1371=""15-49 years"")"),3.52E-5)</f>
        <v>0.0000352</v>
      </c>
      <c r="L109" s="210">
        <f>IFERROR(__xludf.DUMMYFUNCTION("FILTER('GBD estimates'!$G$3:$G$1371,'GBD estimates'!$B$3:$B$1371=L$3,'GBD estimates'!$E$3:$E$1371=""Diphtheria"",'GBD estimates'!$D$3:$D$1371=""15-49 years"")"),1.12E-5)</f>
        <v>0.0000112</v>
      </c>
      <c r="M109" s="210">
        <f>IFERROR(__xludf.DUMMYFUNCTION("FILTER('GBD estimates'!$G$3:$G$1371,'GBD estimates'!$B$3:$B$1371=M$3,'GBD estimates'!$E$3:$E$1371=""Diphtheria"",'GBD estimates'!$D$3:$D$1371=""15-49 years"")"),1.33E-5)</f>
        <v>0.0000133</v>
      </c>
      <c r="N109" s="210">
        <f>IFERROR(__xludf.DUMMYFUNCTION("FILTER('GBD estimates'!$G$3:$G$1371,'GBD estimates'!$B$3:$B$1371=N$3,'GBD estimates'!$E$3:$E$1371=""Diphtheria"",'GBD estimates'!$D$3:$D$1371=""15-49 years"")"),2.68E-5)</f>
        <v>0.0000268</v>
      </c>
      <c r="O109" s="210">
        <f>IFERROR(__xludf.DUMMYFUNCTION("FILTER('GBD estimates'!$G$3:$G$1371,'GBD estimates'!$B$3:$B$1371=O$3,'GBD estimates'!$E$3:$E$1371=""Diphtheria"",'GBD estimates'!$D$3:$D$1371=""15-49 years"")"),5.9E-5)</f>
        <v>0.000059</v>
      </c>
      <c r="P109" s="210">
        <f>IFERROR(__xludf.DUMMYFUNCTION("FILTER('GBD estimates'!$G$3:$G$1371,'GBD estimates'!$B$3:$B$1371=P$3,'GBD estimates'!$E$3:$E$1371=""Diphtheria"",'GBD estimates'!$D$3:$D$1371=""15-49 years"")"),9.35E-5)</f>
        <v>0.0000935</v>
      </c>
      <c r="Q109" s="210">
        <f>IFERROR(__xludf.DUMMYFUNCTION("FILTER('GBD estimates'!$G$3:$G$1371,'GBD estimates'!$B$3:$B$1371=Q$3,'GBD estimates'!$E$3:$E$1371=""Diphtheria"",'GBD estimates'!$D$3:$D$1371=""15-49 years"")"),8.01E-5)</f>
        <v>0.0000801</v>
      </c>
      <c r="R109" s="210">
        <f>IFERROR(__xludf.DUMMYFUNCTION("FILTER('GBD estimates'!$G$3:$G$1371,'GBD estimates'!$B$3:$B$1371=R$3,'GBD estimates'!$E$3:$E$1371=""Diphtheria"",'GBD estimates'!$D$3:$D$1371=""15-49 years"")"),1.33E-6)</f>
        <v>0.00000133</v>
      </c>
      <c r="S109" s="210">
        <f>IFERROR(__xludf.DUMMYFUNCTION("FILTER('GBD estimates'!$G$3:$G$1371,'GBD estimates'!$B$3:$B$1371=S$3,'GBD estimates'!$E$3:$E$1371=""Diphtheria"",'GBD estimates'!$D$3:$D$1371=""15-49 years"")"),5.37E-6)</f>
        <v>0.00000537</v>
      </c>
      <c r="T109" s="210">
        <f>IFERROR(__xludf.DUMMYFUNCTION("FILTER('GBD estimates'!$G$3:$G$1371,'GBD estimates'!$B$3:$B$1371=T$3,'GBD estimates'!$E$3:$E$1371=""Diphtheria"",'GBD estimates'!$D$3:$D$1371=""15-49 years"")"),1.61E-6)</f>
        <v>0.00000161</v>
      </c>
      <c r="U109" s="210">
        <f>IFERROR(__xludf.DUMMYFUNCTION("FILTER('GBD estimates'!$G$3:$G$1371,'GBD estimates'!$B$3:$B$1371=U$3,'GBD estimates'!$E$3:$E$1371=""Diphtheria"",'GBD estimates'!$D$3:$D$1371=""15-49 years"")"),9.81E-7)</f>
        <v>0.000000981</v>
      </c>
      <c r="V109" s="210">
        <f>IFERROR(__xludf.DUMMYFUNCTION("FILTER('GBD estimates'!$G$3:$G$1371,'GBD estimates'!$B$3:$B$1371=V$3,'GBD estimates'!$E$3:$E$1371=""Diphtheria"",'GBD estimates'!$D$3:$D$1371=""15-49 years"")"),3.66E-6)</f>
        <v>0.00000366</v>
      </c>
      <c r="W109" s="210">
        <f>IFERROR(__xludf.DUMMYFUNCTION("FILTER('GBD estimates'!$G$3:$G$1371,'GBD estimates'!$B$3:$B$1371=W$3,'GBD estimates'!$E$3:$E$1371=""Diphtheria"",'GBD estimates'!$D$3:$D$1371=""15-49 years"")"),3.95E-6)</f>
        <v>0.00000395</v>
      </c>
      <c r="X109" s="210">
        <f>IFERROR(__xludf.DUMMYFUNCTION("FILTER('GBD estimates'!$G$3:$G$1371,'GBD estimates'!$B$3:$B$1371=X$3,'GBD estimates'!$E$3:$E$1371=""Diphtheria"",'GBD estimates'!$D$3:$D$1371=""15-49 years"")"),8.26E-6)</f>
        <v>0.00000826</v>
      </c>
      <c r="Y109" s="210">
        <f>IFERROR(__xludf.DUMMYFUNCTION("FILTER('GBD estimates'!$G$3:$G$1371,'GBD estimates'!$B$3:$B$1371=Y$3,'GBD estimates'!$E$3:$E$1371=""Diphtheria"",'GBD estimates'!$D$3:$D$1371=""15-49 years"")"),1.75E-6)</f>
        <v>0.00000175</v>
      </c>
      <c r="Z109" s="210">
        <f>IFERROR(__xludf.DUMMYFUNCTION("FILTER('GBD estimates'!$G$3:$G$1371,'GBD estimates'!$B$3:$B$1371=Z$3,'GBD estimates'!$E$3:$E$1371=""Diphtheria"",'GBD estimates'!$D$3:$D$1371=""15-49 years"")"),1.85E-6)</f>
        <v>0.00000185</v>
      </c>
      <c r="AA109" s="210">
        <f>IFERROR(__xludf.DUMMYFUNCTION("FILTER('GBD estimates'!$G$3:$G$1371,'GBD estimates'!$B$3:$B$1371=AA$3,'GBD estimates'!$E$3:$E$1371=""Diphtheria"",'GBD estimates'!$D$3:$D$1371=""15-49 years"")"),2.24E-6)</f>
        <v>0.00000224</v>
      </c>
      <c r="AB109" s="210">
        <f>IFERROR(__xludf.DUMMYFUNCTION("FILTER('GBD estimates'!$G$3:$G$1371,'GBD estimates'!$B$3:$B$1371=AB$3,'GBD estimates'!$E$3:$E$1371=""Diphtheria"",'GBD estimates'!$D$3:$D$1371=""15-49 years"")"),1.15E-6)</f>
        <v>0.00000115</v>
      </c>
      <c r="AC109" s="210">
        <f>IFERROR(__xludf.DUMMYFUNCTION("FILTER('GBD estimates'!$G$3:$G$1371,'GBD estimates'!$B$3:$B$1371=AC$3,'GBD estimates'!$E$3:$E$1371=""Diphtheria"",'GBD estimates'!$D$3:$D$1371=""15-49 years"")"),8.56E-7)</f>
        <v>0.000000856</v>
      </c>
      <c r="AD109" s="210">
        <f>IFERROR(__xludf.DUMMYFUNCTION("FILTER('GBD estimates'!$G$3:$G$1371,'GBD estimates'!$B$3:$B$1371=AD$3,'GBD estimates'!$E$3:$E$1371=""Diphtheria"",'GBD estimates'!$D$3:$D$1371=""15-49 years"")"),1.27E-6)</f>
        <v>0.00000127</v>
      </c>
      <c r="AE109" s="210">
        <f>IFERROR(__xludf.DUMMYFUNCTION("FILTER('GBD estimates'!$G$3:$G$1371,'GBD estimates'!$B$3:$B$1371=AE$3,'GBD estimates'!$E$3:$E$1371=""Diphtheria"",'GBD estimates'!$D$3:$D$1371=""15-49 years"")"),1.5E-6)</f>
        <v>0.0000015</v>
      </c>
      <c r="AF109" s="210">
        <f>IFERROR(__xludf.DUMMYFUNCTION("FILTER('GBD estimates'!$G$3:$G$1371,'GBD estimates'!$B$3:$B$1371=AF$3,'GBD estimates'!$E$3:$E$1371=""Diphtheria"",'GBD estimates'!$D$3:$D$1371=""15-49 years"")"),1.01E-6)</f>
        <v>0.00000101</v>
      </c>
      <c r="AG109" s="210">
        <f>IFERROR(__xludf.DUMMYFUNCTION("FILTER('GBD estimates'!$G$3:$G$1371,'GBD estimates'!$B$3:$B$1371=AG$3,'GBD estimates'!$E$3:$E$1371=""Diphtheria"",'GBD estimates'!$D$3:$D$1371=""15-49 years"")"),2.62E-6)</f>
        <v>0.00000262</v>
      </c>
      <c r="AH109" s="210">
        <f>IFERROR(__xludf.DUMMYFUNCTION("FILTER('GBD estimates'!$G$3:$G$1371,'GBD estimates'!$B$3:$B$1371=AH$3,'GBD estimates'!$E$3:$E$1371=""Diphtheria"",'GBD estimates'!$D$3:$D$1371=""15-49 years"")"),2.66E-6)</f>
        <v>0.00000266</v>
      </c>
      <c r="AI109" s="210">
        <f>IFERROR(__xludf.DUMMYFUNCTION("FILTER('GBD estimates'!$G$3:$G$1371,'GBD estimates'!$B$3:$B$1371=AI$3,'GBD estimates'!$E$3:$E$1371=""Diphtheria"",'GBD estimates'!$D$3:$D$1371=""15-49 years"")"),5.6E-7)</f>
        <v>0.00000056</v>
      </c>
      <c r="AJ109" s="210">
        <f>IFERROR(__xludf.DUMMYFUNCTION("FILTER('GBD estimates'!$G$3:$G$1371,'GBD estimates'!$B$3:$B$1371=AJ$3,'GBD estimates'!$E$3:$E$1371=""Diphtheria"",'GBD estimates'!$D$3:$D$1371=""15-49 years"")"),5.77E-6)</f>
        <v>0.00000577</v>
      </c>
      <c r="AK109" s="210">
        <f>IFERROR(__xludf.DUMMYFUNCTION("FILTER('GBD estimates'!$G$3:$G$1371,'GBD estimates'!$B$3:$B$1371=AK$3,'GBD estimates'!$E$3:$E$1371=""Diphtheria"",'GBD estimates'!$D$3:$D$1371=""15-49 years"")"),1.63E-5)</f>
        <v>0.0000163</v>
      </c>
      <c r="AL109" s="210">
        <f>IFERROR(__xludf.DUMMYFUNCTION("FILTER('GBD estimates'!$G$3:$G$1371,'GBD estimates'!$B$3:$B$1371=AL$3,'GBD estimates'!$E$3:$E$1371=""Diphtheria"",'GBD estimates'!$D$3:$D$1371=""15-49 years"")"),3.58E-6)</f>
        <v>0.00000358</v>
      </c>
      <c r="AM109" s="210">
        <f>IFERROR(__xludf.DUMMYFUNCTION("FILTER('GBD estimates'!$G$3:$G$1371,'GBD estimates'!$B$3:$B$1371=AM$3,'GBD estimates'!$E$3:$E$1371=""Diphtheria"",'GBD estimates'!$D$3:$D$1371=""15-49 years"")"),1.37E-6)</f>
        <v>0.00000137</v>
      </c>
      <c r="AN109" s="210">
        <f>IFERROR(__xludf.DUMMYFUNCTION("FILTER('GBD estimates'!$G$3:$G$1371,'GBD estimates'!$B$3:$B$1371=AN$3,'GBD estimates'!$E$3:$E$1371=""Diphtheria"",'GBD estimates'!$D$3:$D$1371=""15-49 years"")"),7.63E-7)</f>
        <v>0.000000763</v>
      </c>
      <c r="AO109" s="210">
        <f>IFERROR(__xludf.DUMMYFUNCTION("FILTER('GBD estimates'!$G$3:$G$1371,'GBD estimates'!$B$3:$B$1371=AO$3,'GBD estimates'!$E$3:$E$1371=""Diphtheria"",'GBD estimates'!$D$3:$D$1371=""15-49 years"")"),2.52E-6)</f>
        <v>0.00000252</v>
      </c>
      <c r="AP109" s="210">
        <f>IFERROR(__xludf.DUMMYFUNCTION("FILTER('GBD estimates'!$G$3:$G$1371,'GBD estimates'!$B$3:$B$1371=AP$3,'GBD estimates'!$E$3:$E$1371=""Diphtheria"",'GBD estimates'!$D$3:$D$1371=""15-49 years"")"),3.35E-6)</f>
        <v>0.00000335</v>
      </c>
      <c r="AQ109" s="210">
        <f>IFERROR(__xludf.DUMMYFUNCTION("FILTER('GBD estimates'!$G$3:$G$1371,'GBD estimates'!$B$3:$B$1371=AQ$3,'GBD estimates'!$E$3:$E$1371=""Diphtheria"",'GBD estimates'!$D$3:$D$1371=""15-49 years"")"),1.33E-6)</f>
        <v>0.00000133</v>
      </c>
      <c r="AR109" s="210">
        <f>IFERROR(__xludf.DUMMYFUNCTION("FILTER('GBD estimates'!$G$3:$G$1371,'GBD estimates'!$B$3:$B$1371=AR$3,'GBD estimates'!$E$3:$E$1371=""Diphtheria"",'GBD estimates'!$D$3:$D$1371=""15-49 years"")"),1.36E-5)</f>
        <v>0.0000136</v>
      </c>
      <c r="AS109" s="210">
        <f>IFERROR(__xludf.DUMMYFUNCTION("FILTER('GBD estimates'!$G$3:$G$1371,'GBD estimates'!$B$3:$B$1371=AS$3,'GBD estimates'!$E$3:$E$1371=""Diphtheria"",'GBD estimates'!$D$3:$D$1371=""15-49 years"")"),3.04E-5)</f>
        <v>0.0000304</v>
      </c>
      <c r="AT109" s="555"/>
      <c r="AU109" s="566" t="s">
        <v>855</v>
      </c>
      <c r="AV109" s="557"/>
    </row>
    <row r="110">
      <c r="A110" s="540"/>
      <c r="B110" s="206"/>
      <c r="C110" s="206"/>
      <c r="D110" s="206"/>
      <c r="E110" s="553" t="s">
        <v>232</v>
      </c>
      <c r="F110" s="278" t="s">
        <v>122</v>
      </c>
      <c r="G110" s="279" t="s">
        <v>203</v>
      </c>
      <c r="H110" s="581" t="s">
        <v>150</v>
      </c>
      <c r="I110" s="210">
        <f>IFERROR(__xludf.DUMMYFUNCTION("FILTER('GBD estimates'!$G$3:$G$1371,'GBD estimates'!$B$3:$B$1371=I$3,'GBD estimates'!$E$3:$E$1371=""Diphtheria"",'GBD estimates'!$D$3:$D$1371=""50 to 74 years"")"),4.12E-5)</f>
        <v>0.0000412</v>
      </c>
      <c r="J110" s="210">
        <f>IFERROR(__xludf.DUMMYFUNCTION("FILTER('GBD estimates'!$G$3:$G$1371,'GBD estimates'!$B$3:$B$1371=J$3,'GBD estimates'!$E$3:$E$1371=""Diphtheria"",'GBD estimates'!$D$3:$D$1371=""50 to 74 years"")"),3.15E-5)</f>
        <v>0.0000315</v>
      </c>
      <c r="K110" s="210">
        <f>IFERROR(__xludf.DUMMYFUNCTION("FILTER('GBD estimates'!$G$3:$G$1371,'GBD estimates'!$B$3:$B$1371=K$3,'GBD estimates'!$E$3:$E$1371=""Diphtheria"",'GBD estimates'!$D$3:$D$1371=""50 to 74 years"")"),4.55E-5)</f>
        <v>0.0000455</v>
      </c>
      <c r="L110" s="210">
        <f>IFERROR(__xludf.DUMMYFUNCTION("FILTER('GBD estimates'!$G$3:$G$1371,'GBD estimates'!$B$3:$B$1371=L$3,'GBD estimates'!$E$3:$E$1371=""Diphtheria"",'GBD estimates'!$D$3:$D$1371=""50 to 74 years"")"),1.6E-5)</f>
        <v>0.000016</v>
      </c>
      <c r="M110" s="210">
        <f>IFERROR(__xludf.DUMMYFUNCTION("FILTER('GBD estimates'!$G$3:$G$1371,'GBD estimates'!$B$3:$B$1371=M$3,'GBD estimates'!$E$3:$E$1371=""Diphtheria"",'GBD estimates'!$D$3:$D$1371=""50 to 74 years"")"),2.15E-5)</f>
        <v>0.0000215</v>
      </c>
      <c r="N110" s="210">
        <f>IFERROR(__xludf.DUMMYFUNCTION("FILTER('GBD estimates'!$G$3:$G$1371,'GBD estimates'!$B$3:$B$1371=N$3,'GBD estimates'!$E$3:$E$1371=""Diphtheria"",'GBD estimates'!$D$3:$D$1371=""50 to 74 years"")"),3.93E-5)</f>
        <v>0.0000393</v>
      </c>
      <c r="O110" s="210">
        <f>IFERROR(__xludf.DUMMYFUNCTION("FILTER('GBD estimates'!$G$3:$G$1371,'GBD estimates'!$B$3:$B$1371=O$3,'GBD estimates'!$E$3:$E$1371=""Diphtheria"",'GBD estimates'!$D$3:$D$1371=""50 to 74 years"")"),8.1E-5)</f>
        <v>0.000081</v>
      </c>
      <c r="P110" s="210">
        <f>IFERROR(__xludf.DUMMYFUNCTION("FILTER('GBD estimates'!$G$3:$G$1371,'GBD estimates'!$B$3:$B$1371=P$3,'GBD estimates'!$E$3:$E$1371=""Diphtheria"",'GBD estimates'!$D$3:$D$1371=""50 to 74 years"")"),1.27981E-4)</f>
        <v>0.000127981</v>
      </c>
      <c r="Q110" s="210">
        <f>IFERROR(__xludf.DUMMYFUNCTION("FILTER('GBD estimates'!$G$3:$G$1371,'GBD estimates'!$B$3:$B$1371=Q$3,'GBD estimates'!$E$3:$E$1371=""Diphtheria"",'GBD estimates'!$D$3:$D$1371=""50 to 74 years"")"),1.12303E-4)</f>
        <v>0.000112303</v>
      </c>
      <c r="R110" s="210">
        <f>IFERROR(__xludf.DUMMYFUNCTION("FILTER('GBD estimates'!$G$3:$G$1371,'GBD estimates'!$B$3:$B$1371=R$3,'GBD estimates'!$E$3:$E$1371=""Diphtheria"",'GBD estimates'!$D$3:$D$1371=""50 to 74 years"")"),1.62E-6)</f>
        <v>0.00000162</v>
      </c>
      <c r="S110" s="210">
        <f>IFERROR(__xludf.DUMMYFUNCTION("FILTER('GBD estimates'!$G$3:$G$1371,'GBD estimates'!$B$3:$B$1371=S$3,'GBD estimates'!$E$3:$E$1371=""Diphtheria"",'GBD estimates'!$D$3:$D$1371=""50 to 74 years"")"),6.74E-6)</f>
        <v>0.00000674</v>
      </c>
      <c r="T110" s="210">
        <f>IFERROR(__xludf.DUMMYFUNCTION("FILTER('GBD estimates'!$G$3:$G$1371,'GBD estimates'!$B$3:$B$1371=T$3,'GBD estimates'!$E$3:$E$1371=""Diphtheria"",'GBD estimates'!$D$3:$D$1371=""50 to 74 years"")"),1.93E-6)</f>
        <v>0.00000193</v>
      </c>
      <c r="U110" s="210">
        <f>IFERROR(__xludf.DUMMYFUNCTION("FILTER('GBD estimates'!$G$3:$G$1371,'GBD estimates'!$B$3:$B$1371=U$3,'GBD estimates'!$E$3:$E$1371=""Diphtheria"",'GBD estimates'!$D$3:$D$1371=""50 to 74 years"")"),1.22E-6)</f>
        <v>0.00000122</v>
      </c>
      <c r="V110" s="210">
        <f>IFERROR(__xludf.DUMMYFUNCTION("FILTER('GBD estimates'!$G$3:$G$1371,'GBD estimates'!$B$3:$B$1371=V$3,'GBD estimates'!$E$3:$E$1371=""Diphtheria"",'GBD estimates'!$D$3:$D$1371=""50 to 74 years"")"),3.89E-6)</f>
        <v>0.00000389</v>
      </c>
      <c r="W110" s="210">
        <f>IFERROR(__xludf.DUMMYFUNCTION("FILTER('GBD estimates'!$G$3:$G$1371,'GBD estimates'!$B$3:$B$1371=W$3,'GBD estimates'!$E$3:$E$1371=""Diphtheria"",'GBD estimates'!$D$3:$D$1371=""50 to 74 years"")"),4.12E-6)</f>
        <v>0.00000412</v>
      </c>
      <c r="X110" s="210">
        <f>IFERROR(__xludf.DUMMYFUNCTION("FILTER('GBD estimates'!$G$3:$G$1371,'GBD estimates'!$B$3:$B$1371=X$3,'GBD estimates'!$E$3:$E$1371=""Diphtheria"",'GBD estimates'!$D$3:$D$1371=""50 to 74 years"")"),1.26E-5)</f>
        <v>0.0000126</v>
      </c>
      <c r="Y110" s="210">
        <f>IFERROR(__xludf.DUMMYFUNCTION("FILTER('GBD estimates'!$G$3:$G$1371,'GBD estimates'!$B$3:$B$1371=Y$3,'GBD estimates'!$E$3:$E$1371=""Diphtheria"",'GBD estimates'!$D$3:$D$1371=""50 to 74 years"")"),1.97E-6)</f>
        <v>0.00000197</v>
      </c>
      <c r="Z110" s="210">
        <f>IFERROR(__xludf.DUMMYFUNCTION("FILTER('GBD estimates'!$G$3:$G$1371,'GBD estimates'!$B$3:$B$1371=Z$3,'GBD estimates'!$E$3:$E$1371=""Diphtheria"",'GBD estimates'!$D$3:$D$1371=""50 to 74 years"")"),2.21E-6)</f>
        <v>0.00000221</v>
      </c>
      <c r="AA110" s="210">
        <f>IFERROR(__xludf.DUMMYFUNCTION("FILTER('GBD estimates'!$G$3:$G$1371,'GBD estimates'!$B$3:$B$1371=AA$3,'GBD estimates'!$E$3:$E$1371=""Diphtheria"",'GBD estimates'!$D$3:$D$1371=""50 to 74 years"")"),2.4E-6)</f>
        <v>0.0000024</v>
      </c>
      <c r="AB110" s="210">
        <f>IFERROR(__xludf.DUMMYFUNCTION("FILTER('GBD estimates'!$G$3:$G$1371,'GBD estimates'!$B$3:$B$1371=AB$3,'GBD estimates'!$E$3:$E$1371=""Diphtheria"",'GBD estimates'!$D$3:$D$1371=""50 to 74 years"")"),1.45E-6)</f>
        <v>0.00000145</v>
      </c>
      <c r="AC110" s="210">
        <f>IFERROR(__xludf.DUMMYFUNCTION("FILTER('GBD estimates'!$G$3:$G$1371,'GBD estimates'!$B$3:$B$1371=AC$3,'GBD estimates'!$E$3:$E$1371=""Diphtheria"",'GBD estimates'!$D$3:$D$1371=""50 to 74 years"")"),9.39E-7)</f>
        <v>0.000000939</v>
      </c>
      <c r="AD110" s="210">
        <f>IFERROR(__xludf.DUMMYFUNCTION("FILTER('GBD estimates'!$G$3:$G$1371,'GBD estimates'!$B$3:$B$1371=AD$3,'GBD estimates'!$E$3:$E$1371=""Diphtheria"",'GBD estimates'!$D$3:$D$1371=""50 to 74 years"")"),1.53E-6)</f>
        <v>0.00000153</v>
      </c>
      <c r="AE110" s="210">
        <f>IFERROR(__xludf.DUMMYFUNCTION("FILTER('GBD estimates'!$G$3:$G$1371,'GBD estimates'!$B$3:$B$1371=AE$3,'GBD estimates'!$E$3:$E$1371=""Diphtheria"",'GBD estimates'!$D$3:$D$1371=""50 to 74 years"")"),2.1E-6)</f>
        <v>0.0000021</v>
      </c>
      <c r="AF110" s="210">
        <f>IFERROR(__xludf.DUMMYFUNCTION("FILTER('GBD estimates'!$G$3:$G$1371,'GBD estimates'!$B$3:$B$1371=AF$3,'GBD estimates'!$E$3:$E$1371=""Diphtheria"",'GBD estimates'!$D$3:$D$1371=""50 to 74 years"")"),1.21E-6)</f>
        <v>0.00000121</v>
      </c>
      <c r="AG110" s="210">
        <f>IFERROR(__xludf.DUMMYFUNCTION("FILTER('GBD estimates'!$G$3:$G$1371,'GBD estimates'!$B$3:$B$1371=AG$3,'GBD estimates'!$E$3:$E$1371=""Diphtheria"",'GBD estimates'!$D$3:$D$1371=""50 to 74 years"")"),2.93E-6)</f>
        <v>0.00000293</v>
      </c>
      <c r="AH110" s="210">
        <f>IFERROR(__xludf.DUMMYFUNCTION("FILTER('GBD estimates'!$G$3:$G$1371,'GBD estimates'!$B$3:$B$1371=AH$3,'GBD estimates'!$E$3:$E$1371=""Diphtheria"",'GBD estimates'!$D$3:$D$1371=""50 to 74 years"")"),3.27E-6)</f>
        <v>0.00000327</v>
      </c>
      <c r="AI110" s="210">
        <f>IFERROR(__xludf.DUMMYFUNCTION("FILTER('GBD estimates'!$G$3:$G$1371,'GBD estimates'!$B$3:$B$1371=AI$3,'GBD estimates'!$E$3:$E$1371=""Diphtheria"",'GBD estimates'!$D$3:$D$1371=""50 to 74 years"")"),8.27E-7)</f>
        <v>0.000000827</v>
      </c>
      <c r="AJ110" s="210">
        <f>IFERROR(__xludf.DUMMYFUNCTION("FILTER('GBD estimates'!$G$3:$G$1371,'GBD estimates'!$B$3:$B$1371=AJ$3,'GBD estimates'!$E$3:$E$1371=""Diphtheria"",'GBD estimates'!$D$3:$D$1371=""50 to 74 years"")"),6.82E-6)</f>
        <v>0.00000682</v>
      </c>
      <c r="AK110" s="210">
        <f>IFERROR(__xludf.DUMMYFUNCTION("FILTER('GBD estimates'!$G$3:$G$1371,'GBD estimates'!$B$3:$B$1371=AK$3,'GBD estimates'!$E$3:$E$1371=""Diphtheria"",'GBD estimates'!$D$3:$D$1371=""50 to 74 years"")"),2.05E-5)</f>
        <v>0.0000205</v>
      </c>
      <c r="AL110" s="210">
        <f>IFERROR(__xludf.DUMMYFUNCTION("FILTER('GBD estimates'!$G$3:$G$1371,'GBD estimates'!$B$3:$B$1371=AL$3,'GBD estimates'!$E$3:$E$1371=""Diphtheria"",'GBD estimates'!$D$3:$D$1371=""50 to 74 years"")"),4.03E-6)</f>
        <v>0.00000403</v>
      </c>
      <c r="AM110" s="210">
        <f>IFERROR(__xludf.DUMMYFUNCTION("FILTER('GBD estimates'!$G$3:$G$1371,'GBD estimates'!$B$3:$B$1371=AM$3,'GBD estimates'!$E$3:$E$1371=""Diphtheria"",'GBD estimates'!$D$3:$D$1371=""50 to 74 years"")"),1.48E-6)</f>
        <v>0.00000148</v>
      </c>
      <c r="AN110" s="210">
        <f>IFERROR(__xludf.DUMMYFUNCTION("FILTER('GBD estimates'!$G$3:$G$1371,'GBD estimates'!$B$3:$B$1371=AN$3,'GBD estimates'!$E$3:$E$1371=""Diphtheria"",'GBD estimates'!$D$3:$D$1371=""50 to 74 years"")"),9.36E-7)</f>
        <v>0.000000936</v>
      </c>
      <c r="AO110" s="210">
        <f>IFERROR(__xludf.DUMMYFUNCTION("FILTER('GBD estimates'!$G$3:$G$1371,'GBD estimates'!$B$3:$B$1371=AO$3,'GBD estimates'!$E$3:$E$1371=""Diphtheria"",'GBD estimates'!$D$3:$D$1371=""50 to 74 years"")"),3.23E-6)</f>
        <v>0.00000323</v>
      </c>
      <c r="AP110" s="210">
        <f>IFERROR(__xludf.DUMMYFUNCTION("FILTER('GBD estimates'!$G$3:$G$1371,'GBD estimates'!$B$3:$B$1371=AP$3,'GBD estimates'!$E$3:$E$1371=""Diphtheria"",'GBD estimates'!$D$3:$D$1371=""50 to 74 years"")"),4.25E-6)</f>
        <v>0.00000425</v>
      </c>
      <c r="AQ110" s="210">
        <f>IFERROR(__xludf.DUMMYFUNCTION("FILTER('GBD estimates'!$G$3:$G$1371,'GBD estimates'!$B$3:$B$1371=AQ$3,'GBD estimates'!$E$3:$E$1371=""Diphtheria"",'GBD estimates'!$D$3:$D$1371=""50 to 74 years"")"),1.58E-6)</f>
        <v>0.00000158</v>
      </c>
      <c r="AR110" s="210">
        <f>IFERROR(__xludf.DUMMYFUNCTION("FILTER('GBD estimates'!$G$3:$G$1371,'GBD estimates'!$B$3:$B$1371=AR$3,'GBD estimates'!$E$3:$E$1371=""Diphtheria"",'GBD estimates'!$D$3:$D$1371=""50 to 74 years"")"),2.03E-5)</f>
        <v>0.0000203</v>
      </c>
      <c r="AS110" s="210">
        <f>IFERROR(__xludf.DUMMYFUNCTION("FILTER('GBD estimates'!$G$3:$G$1371,'GBD estimates'!$B$3:$B$1371=AS$3,'GBD estimates'!$E$3:$E$1371=""Diphtheria"",'GBD estimates'!$D$3:$D$1371=""50 to 74 years"")"),4.25E-5)</f>
        <v>0.0000425</v>
      </c>
      <c r="AT110" s="555"/>
      <c r="AU110" s="566" t="s">
        <v>855</v>
      </c>
      <c r="AV110" s="557"/>
    </row>
    <row r="111">
      <c r="A111" s="540"/>
      <c r="B111" s="206"/>
      <c r="C111" s="206"/>
      <c r="D111" s="206"/>
      <c r="E111" s="548" t="s">
        <v>239</v>
      </c>
      <c r="F111" s="207" t="s">
        <v>111</v>
      </c>
      <c r="G111" s="208" t="s">
        <v>203</v>
      </c>
      <c r="H111" s="578" t="s">
        <v>150</v>
      </c>
      <c r="I111" s="294">
        <f>IFERROR(__xludf.DUMMYFUNCTION("FILTER('GBD estimates'!$R$3:$R$1371,'GBD estimates'!$K$3:$K$1371=I$3,'GBD estimates'!$L$3:$L$1371=""Diphtheria"",'GBD estimates'!$N$3:$N$1371=""Under 5"")"),140.5925717)</f>
        <v>140.5925717</v>
      </c>
      <c r="J111" s="294">
        <f>IFERROR(__xludf.DUMMYFUNCTION("FILTER('GBD estimates'!$R$3:$R$1371,'GBD estimates'!$K$3:$K$1371=J$3,'GBD estimates'!$L$3:$L$1371=""Diphtheria"",'GBD estimates'!$N$3:$N$1371=""Under 5"")"),45.34226006)</f>
        <v>45.34226006</v>
      </c>
      <c r="K111" s="294">
        <f>IFERROR(__xludf.DUMMYFUNCTION("FILTER('GBD estimates'!$R$3:$R$1371,'GBD estimates'!$K$3:$K$1371=K$3,'GBD estimates'!$L$3:$L$1371=""Diphtheria"",'GBD estimates'!$N$3:$N$1371=""Under 5"")"),133.2007348)</f>
        <v>133.2007348</v>
      </c>
      <c r="L111" s="294">
        <f>IFERROR(__xludf.DUMMYFUNCTION("FILTER('GBD estimates'!$R$3:$R$1371,'GBD estimates'!$K$3:$K$1371=L$3,'GBD estimates'!$L$3:$L$1371=""Diphtheria"",'GBD estimates'!$N$3:$N$1371=""Under 5"")"),41.32786631)</f>
        <v>41.32786631</v>
      </c>
      <c r="M111" s="294">
        <f>IFERROR(__xludf.DUMMYFUNCTION("FILTER('GBD estimates'!$R$3:$R$1371,'GBD estimates'!$K$3:$K$1371=M$3,'GBD estimates'!$L$3:$L$1371=""Diphtheria"",'GBD estimates'!$N$3:$N$1371=""Under 5"")"),169.1040064)</f>
        <v>169.1040064</v>
      </c>
      <c r="N111" s="294">
        <f>IFERROR(__xludf.DUMMYFUNCTION("FILTER('GBD estimates'!$R$3:$R$1371,'GBD estimates'!$K$3:$K$1371=N$3,'GBD estimates'!$L$3:$L$1371=""Diphtheria"",'GBD estimates'!$N$3:$N$1371=""Under 5"")"),160.2021903)</f>
        <v>160.2021903</v>
      </c>
      <c r="O111" s="294">
        <f>IFERROR(__xludf.DUMMYFUNCTION("FILTER('GBD estimates'!$R$3:$R$1371,'GBD estimates'!$K$3:$K$1371=O$3,'GBD estimates'!$L$3:$L$1371=""Diphtheria"",'GBD estimates'!$N$3:$N$1371=""Under 5"")"),145.3019295)</f>
        <v>145.3019295</v>
      </c>
      <c r="P111" s="294">
        <f>IFERROR(__xludf.DUMMYFUNCTION("FILTER('GBD estimates'!$R$3:$R$1371,'GBD estimates'!$K$3:$K$1371=P$3,'GBD estimates'!$L$3:$L$1371=""Diphtheria"",'GBD estimates'!$N$3:$N$1371=""Under 5"")"),421.4909505)</f>
        <v>421.4909505</v>
      </c>
      <c r="Q111" s="294">
        <f>IFERROR(__xludf.DUMMYFUNCTION("FILTER('GBD estimates'!$R$3:$R$1371,'GBD estimates'!$K$3:$K$1371=Q$3,'GBD estimates'!$L$3:$L$1371=""Diphtheria"",'GBD estimates'!$N$3:$N$1371=""Under 5"")"),259.6096777)</f>
        <v>259.6096777</v>
      </c>
      <c r="R111" s="294">
        <f>IFERROR(__xludf.DUMMYFUNCTION("FILTER('GBD estimates'!$R$3:$R$1371,'GBD estimates'!$K$3:$K$1371=R$3,'GBD estimates'!$L$3:$L$1371=""Diphtheria"",'GBD estimates'!$N$3:$N$1371=""Under 5"")"),1.190982076)</f>
        <v>1.190982076</v>
      </c>
      <c r="S111" s="294">
        <f>IFERROR(__xludf.DUMMYFUNCTION("FILTER('GBD estimates'!$R$3:$R$1371,'GBD estimates'!$K$3:$K$1371=S$3,'GBD estimates'!$L$3:$L$1371=""Diphtheria"",'GBD estimates'!$N$3:$N$1371=""Under 5"")"),7.614581744)</f>
        <v>7.614581744</v>
      </c>
      <c r="T111" s="294">
        <f>IFERROR(__xludf.DUMMYFUNCTION("FILTER('GBD estimates'!$R$3:$R$1371,'GBD estimates'!$K$3:$K$1371=T$3,'GBD estimates'!$L$3:$L$1371=""Diphtheria"",'GBD estimates'!$N$3:$N$1371=""Under 5"")"),0.404695933)</f>
        <v>0.404695933</v>
      </c>
      <c r="U111" s="294">
        <f>IFERROR(__xludf.DUMMYFUNCTION("FILTER('GBD estimates'!$R$3:$R$1371,'GBD estimates'!$K$3:$K$1371=U$3,'GBD estimates'!$L$3:$L$1371=""Diphtheria"",'GBD estimates'!$N$3:$N$1371=""Under 5"")"),0.736387658)</f>
        <v>0.736387658</v>
      </c>
      <c r="V111" s="294">
        <f>IFERROR(__xludf.DUMMYFUNCTION("FILTER('GBD estimates'!$R$3:$R$1371,'GBD estimates'!$K$3:$K$1371=V$3,'GBD estimates'!$L$3:$L$1371=""Diphtheria"",'GBD estimates'!$N$3:$N$1371=""Under 5"")"),0.427061552)</f>
        <v>0.427061552</v>
      </c>
      <c r="W111" s="294">
        <f>IFERROR(__xludf.DUMMYFUNCTION("FILTER('GBD estimates'!$R$3:$R$1371,'GBD estimates'!$K$3:$K$1371=W$3,'GBD estimates'!$L$3:$L$1371=""Diphtheria"",'GBD estimates'!$N$3:$N$1371=""Under 5"")"),5.977126705)</f>
        <v>5.977126705</v>
      </c>
      <c r="X111" s="294">
        <f>IFERROR(__xludf.DUMMYFUNCTION("FILTER('GBD estimates'!$R$3:$R$1371,'GBD estimates'!$K$3:$K$1371=X$3,'GBD estimates'!$L$3:$L$1371=""Diphtheria"",'GBD estimates'!$N$3:$N$1371=""Under 5"")"),7.83703306)</f>
        <v>7.83703306</v>
      </c>
      <c r="Y111" s="294">
        <f>IFERROR(__xludf.DUMMYFUNCTION("FILTER('GBD estimates'!$R$3:$R$1371,'GBD estimates'!$K$3:$K$1371=Y$3,'GBD estimates'!$L$3:$L$1371=""Diphtheria"",'GBD estimates'!$N$3:$N$1371=""Under 5"")"),0.442144401)</f>
        <v>0.442144401</v>
      </c>
      <c r="Z111" s="294">
        <f>IFERROR(__xludf.DUMMYFUNCTION("FILTER('GBD estimates'!$R$3:$R$1371,'GBD estimates'!$K$3:$K$1371=Z$3,'GBD estimates'!$L$3:$L$1371=""Diphtheria"",'GBD estimates'!$N$3:$N$1371=""Under 5"")"),1.107272456)</f>
        <v>1.107272456</v>
      </c>
      <c r="AA111" s="294">
        <f>IFERROR(__xludf.DUMMYFUNCTION("FILTER('GBD estimates'!$R$3:$R$1371,'GBD estimates'!$K$3:$K$1371=AA$3,'GBD estimates'!$L$3:$L$1371=""Diphtheria"",'GBD estimates'!$N$3:$N$1371=""Under 5"")"),1.131173934)</f>
        <v>1.131173934</v>
      </c>
      <c r="AB111" s="294">
        <f>IFERROR(__xludf.DUMMYFUNCTION("FILTER('GBD estimates'!$R$3:$R$1371,'GBD estimates'!$K$3:$K$1371=AB$3,'GBD estimates'!$L$3:$L$1371=""Diphtheria"",'GBD estimates'!$N$3:$N$1371=""Under 5"")"),0.768267778)</f>
        <v>0.768267778</v>
      </c>
      <c r="AC111" s="294">
        <f>IFERROR(__xludf.DUMMYFUNCTION("FILTER('GBD estimates'!$R$3:$R$1371,'GBD estimates'!$K$3:$K$1371=AC$3,'GBD estimates'!$L$3:$L$1371=""Diphtheria"",'GBD estimates'!$N$3:$N$1371=""Under 5"")"),0.18189512)</f>
        <v>0.18189512</v>
      </c>
      <c r="AD111" s="294">
        <f>IFERROR(__xludf.DUMMYFUNCTION("FILTER('GBD estimates'!$R$3:$R$1371,'GBD estimates'!$K$3:$K$1371=AD$3,'GBD estimates'!$L$3:$L$1371=""Diphtheria"",'GBD estimates'!$N$3:$N$1371=""Under 5"")"),0.435656185)</f>
        <v>0.435656185</v>
      </c>
      <c r="AE111" s="294">
        <f>IFERROR(__xludf.DUMMYFUNCTION("FILTER('GBD estimates'!$R$3:$R$1371,'GBD estimates'!$K$3:$K$1371=AE$3,'GBD estimates'!$L$3:$L$1371=""Diphtheria"",'GBD estimates'!$N$3:$N$1371=""Under 5"")"),1.471213539)</f>
        <v>1.471213539</v>
      </c>
      <c r="AF111" s="294">
        <f>IFERROR(__xludf.DUMMYFUNCTION("FILTER('GBD estimates'!$R$3:$R$1371,'GBD estimates'!$K$3:$K$1371=AF$3,'GBD estimates'!$L$3:$L$1371=""Diphtheria"",'GBD estimates'!$N$3:$N$1371=""Under 5"")"),1.111986737)</f>
        <v>1.111986737</v>
      </c>
      <c r="AG111" s="294">
        <f>IFERROR(__xludf.DUMMYFUNCTION("FILTER('GBD estimates'!$R$3:$R$1371,'GBD estimates'!$K$3:$K$1371=AG$3,'GBD estimates'!$L$3:$L$1371=""Diphtheria"",'GBD estimates'!$N$3:$N$1371=""Under 5"")"),0.946029637)</f>
        <v>0.946029637</v>
      </c>
      <c r="AH111" s="294">
        <f>IFERROR(__xludf.DUMMYFUNCTION("FILTER('GBD estimates'!$R$3:$R$1371,'GBD estimates'!$K$3:$K$1371=AH$3,'GBD estimates'!$L$3:$L$1371=""Diphtheria"",'GBD estimates'!$N$3:$N$1371=""Under 5"")"),0.634968963)</f>
        <v>0.634968963</v>
      </c>
      <c r="AI111" s="294">
        <f>IFERROR(__xludf.DUMMYFUNCTION("FILTER('GBD estimates'!$R$3:$R$1371,'GBD estimates'!$K$3:$K$1371=AI$3,'GBD estimates'!$L$3:$L$1371=""Diphtheria"",'GBD estimates'!$N$3:$N$1371=""Under 5"")"),0.222869375)</f>
        <v>0.222869375</v>
      </c>
      <c r="AJ111" s="294">
        <f>IFERROR(__xludf.DUMMYFUNCTION("FILTER('GBD estimates'!$R$3:$R$1371,'GBD estimates'!$K$3:$K$1371=AJ$3,'GBD estimates'!$L$3:$L$1371=""Diphtheria"",'GBD estimates'!$N$3:$N$1371=""Under 5"")"),6.108897635)</f>
        <v>6.108897635</v>
      </c>
      <c r="AK111" s="294">
        <f>IFERROR(__xludf.DUMMYFUNCTION("FILTER('GBD estimates'!$R$3:$R$1371,'GBD estimates'!$K$3:$K$1371=AK$3,'GBD estimates'!$L$3:$L$1371=""Diphtheria"",'GBD estimates'!$N$3:$N$1371=""Under 5"")"),49.73510111)</f>
        <v>49.73510111</v>
      </c>
      <c r="AL111" s="294">
        <f>IFERROR(__xludf.DUMMYFUNCTION("FILTER('GBD estimates'!$R$3:$R$1371,'GBD estimates'!$K$3:$K$1371=AL$3,'GBD estimates'!$L$3:$L$1371=""Diphtheria"",'GBD estimates'!$N$3:$N$1371=""Under 5"")"),4.554478784)</f>
        <v>4.554478784</v>
      </c>
      <c r="AM111" s="294">
        <f>IFERROR(__xludf.DUMMYFUNCTION("FILTER('GBD estimates'!$R$3:$R$1371,'GBD estimates'!$K$3:$K$1371=AM$3,'GBD estimates'!$L$3:$L$1371=""Diphtheria"",'GBD estimates'!$N$3:$N$1371=""Under 5"")"),0.689545242)</f>
        <v>0.689545242</v>
      </c>
      <c r="AN111" s="294">
        <f>IFERROR(__xludf.DUMMYFUNCTION("FILTER('GBD estimates'!$R$3:$R$1371,'GBD estimates'!$K$3:$K$1371=AN$3,'GBD estimates'!$L$3:$L$1371=""Diphtheria"",'GBD estimates'!$N$3:$N$1371=""Under 5"")"),0.242134115)</f>
        <v>0.242134115</v>
      </c>
      <c r="AO111" s="294">
        <f>IFERROR(__xludf.DUMMYFUNCTION("FILTER('GBD estimates'!$R$3:$R$1371,'GBD estimates'!$K$3:$K$1371=AO$3,'GBD estimates'!$L$3:$L$1371=""Diphtheria"",'GBD estimates'!$N$3:$N$1371=""Under 5"")"),1.497399123)</f>
        <v>1.497399123</v>
      </c>
      <c r="AP111" s="294">
        <f>IFERROR(__xludf.DUMMYFUNCTION("FILTER('GBD estimates'!$R$3:$R$1371,'GBD estimates'!$K$3:$K$1371=AP$3,'GBD estimates'!$L$3:$L$1371=""Diphtheria"",'GBD estimates'!$N$3:$N$1371=""Under 5"")"),4.711166399)</f>
        <v>4.711166399</v>
      </c>
      <c r="AQ111" s="294">
        <f>IFERROR(__xludf.DUMMYFUNCTION("FILTER('GBD estimates'!$R$3:$R$1371,'GBD estimates'!$K$3:$K$1371=AQ$3,'GBD estimates'!$L$3:$L$1371=""Diphtheria"",'GBD estimates'!$N$3:$N$1371=""Under 5"")"),0.727269737)</f>
        <v>0.727269737</v>
      </c>
      <c r="AR111" s="294">
        <f>IFERROR(__xludf.DUMMYFUNCTION("FILTER('GBD estimates'!$R$3:$R$1371,'GBD estimates'!$K$3:$K$1371=AR$3,'GBD estimates'!$L$3:$L$1371=""Diphtheria"",'GBD estimates'!$N$3:$N$1371=""Under 5"")"),41.61988576)</f>
        <v>41.61988576</v>
      </c>
      <c r="AS111" s="294">
        <f>IFERROR(__xludf.DUMMYFUNCTION("FILTER('GBD estimates'!$R$3:$R$1371,'GBD estimates'!$K$3:$K$1371=AS$3,'GBD estimates'!$L$3:$L$1371=""Diphtheria"",'GBD estimates'!$N$3:$N$1371=""Under 5"")"),43.77835685)</f>
        <v>43.77835685</v>
      </c>
      <c r="AT111" s="550"/>
      <c r="AU111" s="562" t="s">
        <v>855</v>
      </c>
      <c r="AV111" s="552"/>
    </row>
    <row r="112">
      <c r="A112" s="540"/>
      <c r="B112" s="206"/>
      <c r="C112" s="206"/>
      <c r="D112" s="206"/>
      <c r="E112" s="553" t="s">
        <v>243</v>
      </c>
      <c r="F112" s="278" t="s">
        <v>111</v>
      </c>
      <c r="G112" s="279" t="s">
        <v>203</v>
      </c>
      <c r="H112" s="581" t="s">
        <v>150</v>
      </c>
      <c r="I112" s="294">
        <f>IFERROR(__xludf.DUMMYFUNCTION("SUM(FILTER('GBD estimates'!$R$3:$R$1371,'GBD estimates'!$K$3:$K$1371=I$3,'GBD estimates'!$L$3:$L$1371=""Diphtheria"",'GBD estimates'!$N$3:$N$1371=""Early Neonatal""),FILTER('GBD estimates'!$R$3:$R$1371,'GBD estimates'!$K$3:$K$1371=I$3,'GBD estimates'!$L$3"&amp;":$L$1371=""Diphtheria"",'GBD estimates'!$N$3:$N$1371=""Late Neonatal""),FILTER('GBD estimates'!$R$3:$R$1371,'GBD estimates'!$K$3:$K$1371=I$3,'GBD estimates'!$L$3:$L$1371=""Diphtheria"",'GBD estimates'!$N$3:$N$1371=""Post Neonatal""))"),17.73593433)</f>
        <v>17.73593433</v>
      </c>
      <c r="J112" s="294">
        <f>IFERROR(__xludf.DUMMYFUNCTION("SUM(FILTER('GBD estimates'!$R$3:$R$1371,'GBD estimates'!$K$3:$K$1371=J$3,'GBD estimates'!$L$3:$L$1371=""Diphtheria"",'GBD estimates'!$N$3:$N$1371=""Early Neonatal""),FILTER('GBD estimates'!$R$3:$R$1371,'GBD estimates'!$K$3:$K$1371=J$3,'GBD estimates'!$L$3"&amp;":$L$1371=""Diphtheria"",'GBD estimates'!$N$3:$N$1371=""Late Neonatal""),FILTER('GBD estimates'!$R$3:$R$1371,'GBD estimates'!$K$3:$K$1371=J$3,'GBD estimates'!$L$3:$L$1371=""Diphtheria"",'GBD estimates'!$N$3:$N$1371=""Post Neonatal""))"),7.34543864)</f>
        <v>7.34543864</v>
      </c>
      <c r="K112" s="294">
        <f>IFERROR(__xludf.DUMMYFUNCTION("SUM(FILTER('GBD estimates'!$R$3:$R$1371,'GBD estimates'!$K$3:$K$1371=K$3,'GBD estimates'!$L$3:$L$1371=""Diphtheria"",'GBD estimates'!$N$3:$N$1371=""Early Neonatal""),FILTER('GBD estimates'!$R$3:$R$1371,'GBD estimates'!$K$3:$K$1371=K$3,'GBD estimates'!$L$3"&amp;":$L$1371=""Diphtheria"",'GBD estimates'!$N$3:$N$1371=""Late Neonatal""),FILTER('GBD estimates'!$R$3:$R$1371,'GBD estimates'!$K$3:$K$1371=K$3,'GBD estimates'!$L$3:$L$1371=""Diphtheria"",'GBD estimates'!$N$3:$N$1371=""Post Neonatal""))"),17.62269744)</f>
        <v>17.62269744</v>
      </c>
      <c r="L112" s="294">
        <f>IFERROR(__xludf.DUMMYFUNCTION("SUM(FILTER('GBD estimates'!$R$3:$R$1371,'GBD estimates'!$K$3:$K$1371=L$3,'GBD estimates'!$L$3:$L$1371=""Diphtheria"",'GBD estimates'!$N$3:$N$1371=""Early Neonatal""),FILTER('GBD estimates'!$R$3:$R$1371,'GBD estimates'!$K$3:$K$1371=L$3,'GBD estimates'!$L$3"&amp;":$L$1371=""Diphtheria"",'GBD estimates'!$N$3:$N$1371=""Late Neonatal""),FILTER('GBD estimates'!$R$3:$R$1371,'GBD estimates'!$K$3:$K$1371=L$3,'GBD estimates'!$L$3:$L$1371=""Diphtheria"",'GBD estimates'!$N$3:$N$1371=""Post Neonatal""))"),10.45679282)</f>
        <v>10.45679282</v>
      </c>
      <c r="M112" s="294">
        <f>IFERROR(__xludf.DUMMYFUNCTION("SUM(FILTER('GBD estimates'!$R$3:$R$1371,'GBD estimates'!$K$3:$K$1371=M$3,'GBD estimates'!$L$3:$L$1371=""Diphtheria"",'GBD estimates'!$N$3:$N$1371=""Early Neonatal""),FILTER('GBD estimates'!$R$3:$R$1371,'GBD estimates'!$K$3:$K$1371=M$3,'GBD estimates'!$L$3"&amp;":$L$1371=""Diphtheria"",'GBD estimates'!$N$3:$N$1371=""Late Neonatal""),FILTER('GBD estimates'!$R$3:$R$1371,'GBD estimates'!$K$3:$K$1371=M$3,'GBD estimates'!$L$3:$L$1371=""Diphtheria"",'GBD estimates'!$N$3:$N$1371=""Post Neonatal""))"),24.367067)</f>
        <v>24.367067</v>
      </c>
      <c r="N112" s="294">
        <f>IFERROR(__xludf.DUMMYFUNCTION("SUM(FILTER('GBD estimates'!$R$3:$R$1371,'GBD estimates'!$K$3:$K$1371=N$3,'GBD estimates'!$L$3:$L$1371=""Diphtheria"",'GBD estimates'!$N$3:$N$1371=""Early Neonatal""),FILTER('GBD estimates'!$R$3:$R$1371,'GBD estimates'!$K$3:$K$1371=N$3,'GBD estimates'!$L$3"&amp;":$L$1371=""Diphtheria"",'GBD estimates'!$N$3:$N$1371=""Late Neonatal""),FILTER('GBD estimates'!$R$3:$R$1371,'GBD estimates'!$K$3:$K$1371=N$3,'GBD estimates'!$L$3:$L$1371=""Diphtheria"",'GBD estimates'!$N$3:$N$1371=""Post Neonatal""))"),29.1714306)</f>
        <v>29.1714306</v>
      </c>
      <c r="O112" s="294">
        <f>IFERROR(__xludf.DUMMYFUNCTION("SUM(FILTER('GBD estimates'!$R$3:$R$1371,'GBD estimates'!$K$3:$K$1371=O$3,'GBD estimates'!$L$3:$L$1371=""Diphtheria"",'GBD estimates'!$N$3:$N$1371=""Early Neonatal""),FILTER('GBD estimates'!$R$3:$R$1371,'GBD estimates'!$K$3:$K$1371=O$3,'GBD estimates'!$L$3"&amp;":$L$1371=""Diphtheria"",'GBD estimates'!$N$3:$N$1371=""Late Neonatal""),FILTER('GBD estimates'!$R$3:$R$1371,'GBD estimates'!$K$3:$K$1371=O$3,'GBD estimates'!$L$3:$L$1371=""Diphtheria"",'GBD estimates'!$N$3:$N$1371=""Post Neonatal""))"),26.00676359)</f>
        <v>26.00676359</v>
      </c>
      <c r="P112" s="294">
        <f>IFERROR(__xludf.DUMMYFUNCTION("SUM(FILTER('GBD estimates'!$R$3:$R$1371,'GBD estimates'!$K$3:$K$1371=P$3,'GBD estimates'!$L$3:$L$1371=""Diphtheria"",'GBD estimates'!$N$3:$N$1371=""Early Neonatal""),FILTER('GBD estimates'!$R$3:$R$1371,'GBD estimates'!$K$3:$K$1371=P$3,'GBD estimates'!$L$3"&amp;":$L$1371=""Diphtheria"",'GBD estimates'!$N$3:$N$1371=""Late Neonatal""),FILTER('GBD estimates'!$R$3:$R$1371,'GBD estimates'!$K$3:$K$1371=P$3,'GBD estimates'!$L$3:$L$1371=""Diphtheria"",'GBD estimates'!$N$3:$N$1371=""Post Neonatal""))"),63.04011149)</f>
        <v>63.04011149</v>
      </c>
      <c r="Q112" s="294">
        <f>IFERROR(__xludf.DUMMYFUNCTION("SUM(FILTER('GBD estimates'!$R$3:$R$1371,'GBD estimates'!$K$3:$K$1371=Q$3,'GBD estimates'!$L$3:$L$1371=""Diphtheria"",'GBD estimates'!$N$3:$N$1371=""Early Neonatal""),FILTER('GBD estimates'!$R$3:$R$1371,'GBD estimates'!$K$3:$K$1371=Q$3,'GBD estimates'!$L$3"&amp;":$L$1371=""Diphtheria"",'GBD estimates'!$N$3:$N$1371=""Late Neonatal""),FILTER('GBD estimates'!$R$3:$R$1371,'GBD estimates'!$K$3:$K$1371=Q$3,'GBD estimates'!$L$3:$L$1371=""Diphtheria"",'GBD estimates'!$N$3:$N$1371=""Post Neonatal""))"),45.4811006)</f>
        <v>45.4811006</v>
      </c>
      <c r="R112" s="294">
        <f>IFERROR(__xludf.DUMMYFUNCTION("SUM(FILTER('GBD estimates'!$R$3:$R$1371,'GBD estimates'!$K$3:$K$1371=R$3,'GBD estimates'!$L$3:$L$1371=""Diphtheria"",'GBD estimates'!$N$3:$N$1371=""Early Neonatal""),FILTER('GBD estimates'!$R$3:$R$1371,'GBD estimates'!$K$3:$K$1371=R$3,'GBD estimates'!$L$3"&amp;":$L$1371=""Diphtheria"",'GBD estimates'!$N$3:$N$1371=""Late Neonatal""),FILTER('GBD estimates'!$R$3:$R$1371,'GBD estimates'!$K$3:$K$1371=R$3,'GBD estimates'!$L$3:$L$1371=""Diphtheria"",'GBD estimates'!$N$3:$N$1371=""Post Neonatal""))"),0.372585776)</f>
        <v>0.372585776</v>
      </c>
      <c r="S112" s="294">
        <f>IFERROR(__xludf.DUMMYFUNCTION("SUM(FILTER('GBD estimates'!$R$3:$R$1371,'GBD estimates'!$K$3:$K$1371=S$3,'GBD estimates'!$L$3:$L$1371=""Diphtheria"",'GBD estimates'!$N$3:$N$1371=""Early Neonatal""),FILTER('GBD estimates'!$R$3:$R$1371,'GBD estimates'!$K$3:$K$1371=S$3,'GBD estimates'!$L$3"&amp;":$L$1371=""Diphtheria"",'GBD estimates'!$N$3:$N$1371=""Late Neonatal""),FILTER('GBD estimates'!$R$3:$R$1371,'GBD estimates'!$K$3:$K$1371=S$3,'GBD estimates'!$L$3:$L$1371=""Diphtheria"",'GBD estimates'!$N$3:$N$1371=""Post Neonatal""))"),1.846267923)</f>
        <v>1.846267923</v>
      </c>
      <c r="T112" s="294">
        <f>IFERROR(__xludf.DUMMYFUNCTION("SUM(FILTER('GBD estimates'!$R$3:$R$1371,'GBD estimates'!$K$3:$K$1371=T$3,'GBD estimates'!$L$3:$L$1371=""Diphtheria"",'GBD estimates'!$N$3:$N$1371=""Early Neonatal""),FILTER('GBD estimates'!$R$3:$R$1371,'GBD estimates'!$K$3:$K$1371=T$3,'GBD estimates'!$L$3"&amp;":$L$1371=""Diphtheria"",'GBD estimates'!$N$3:$N$1371=""Late Neonatal""),FILTER('GBD estimates'!$R$3:$R$1371,'GBD estimates'!$K$3:$K$1371=T$3,'GBD estimates'!$L$3:$L$1371=""Diphtheria"",'GBD estimates'!$N$3:$N$1371=""Post Neonatal""))"),0.09461251)</f>
        <v>0.09461251</v>
      </c>
      <c r="U112" s="294">
        <f>IFERROR(__xludf.DUMMYFUNCTION("SUM(FILTER('GBD estimates'!$R$3:$R$1371,'GBD estimates'!$K$3:$K$1371=U$3,'GBD estimates'!$L$3:$L$1371=""Diphtheria"",'GBD estimates'!$N$3:$N$1371=""Early Neonatal""),FILTER('GBD estimates'!$R$3:$R$1371,'GBD estimates'!$K$3:$K$1371=U$3,'GBD estimates'!$L$3"&amp;":$L$1371=""Diphtheria"",'GBD estimates'!$N$3:$N$1371=""Late Neonatal""),FILTER('GBD estimates'!$R$3:$R$1371,'GBD estimates'!$K$3:$K$1371=U$3,'GBD estimates'!$L$3:$L$1371=""Diphtheria"",'GBD estimates'!$N$3:$N$1371=""Post Neonatal""))"),0.226625696)</f>
        <v>0.226625696</v>
      </c>
      <c r="V112" s="294">
        <f>IFERROR(__xludf.DUMMYFUNCTION("SUM(FILTER('GBD estimates'!$R$3:$R$1371,'GBD estimates'!$K$3:$K$1371=V$3,'GBD estimates'!$L$3:$L$1371=""Diphtheria"",'GBD estimates'!$N$3:$N$1371=""Early Neonatal""),FILTER('GBD estimates'!$R$3:$R$1371,'GBD estimates'!$K$3:$K$1371=V$3,'GBD estimates'!$L$3"&amp;":$L$1371=""Diphtheria"",'GBD estimates'!$N$3:$N$1371=""Late Neonatal""),FILTER('GBD estimates'!$R$3:$R$1371,'GBD estimates'!$K$3:$K$1371=V$3,'GBD estimates'!$L$3:$L$1371=""Diphtheria"",'GBD estimates'!$N$3:$N$1371=""Post Neonatal""))"),0.082234531)</f>
        <v>0.082234531</v>
      </c>
      <c r="W112" s="294">
        <f>IFERROR(__xludf.DUMMYFUNCTION("SUM(FILTER('GBD estimates'!$R$3:$R$1371,'GBD estimates'!$K$3:$K$1371=W$3,'GBD estimates'!$L$3:$L$1371=""Diphtheria"",'GBD estimates'!$N$3:$N$1371=""Early Neonatal""),FILTER('GBD estimates'!$R$3:$R$1371,'GBD estimates'!$K$3:$K$1371=W$3,'GBD estimates'!$L$3"&amp;":$L$1371=""Diphtheria"",'GBD estimates'!$N$3:$N$1371=""Late Neonatal""),FILTER('GBD estimates'!$R$3:$R$1371,'GBD estimates'!$K$3:$K$1371=W$3,'GBD estimates'!$L$3:$L$1371=""Diphtheria"",'GBD estimates'!$N$3:$N$1371=""Post Neonatal""))"),2.270374832)</f>
        <v>2.270374832</v>
      </c>
      <c r="X112" s="294">
        <f>IFERROR(__xludf.DUMMYFUNCTION("SUM(FILTER('GBD estimates'!$R$3:$R$1371,'GBD estimates'!$K$3:$K$1371=X$3,'GBD estimates'!$L$3:$L$1371=""Diphtheria"",'GBD estimates'!$N$3:$N$1371=""Early Neonatal""),FILTER('GBD estimates'!$R$3:$R$1371,'GBD estimates'!$K$3:$K$1371=X$3,'GBD estimates'!$L$3"&amp;":$L$1371=""Diphtheria"",'GBD estimates'!$N$3:$N$1371=""Late Neonatal""),FILTER('GBD estimates'!$R$3:$R$1371,'GBD estimates'!$K$3:$K$1371=X$3,'GBD estimates'!$L$3:$L$1371=""Diphtheria"",'GBD estimates'!$N$3:$N$1371=""Post Neonatal""))"),2.079454236)</f>
        <v>2.079454236</v>
      </c>
      <c r="Y112" s="294">
        <f>IFERROR(__xludf.DUMMYFUNCTION("SUM(FILTER('GBD estimates'!$R$3:$R$1371,'GBD estimates'!$K$3:$K$1371=Y$3,'GBD estimates'!$L$3:$L$1371=""Diphtheria"",'GBD estimates'!$N$3:$N$1371=""Early Neonatal""),FILTER('GBD estimates'!$R$3:$R$1371,'GBD estimates'!$K$3:$K$1371=Y$3,'GBD estimates'!$L$3"&amp;":$L$1371=""Diphtheria"",'GBD estimates'!$N$3:$N$1371=""Late Neonatal""),FILTER('GBD estimates'!$R$3:$R$1371,'GBD estimates'!$K$3:$K$1371=Y$3,'GBD estimates'!$L$3:$L$1371=""Diphtheria"",'GBD estimates'!$N$3:$N$1371=""Post Neonatal""))"),0.108272675)</f>
        <v>0.108272675</v>
      </c>
      <c r="Z112" s="294">
        <f>IFERROR(__xludf.DUMMYFUNCTION("SUM(FILTER('GBD estimates'!$R$3:$R$1371,'GBD estimates'!$K$3:$K$1371=Z$3,'GBD estimates'!$L$3:$L$1371=""Diphtheria"",'GBD estimates'!$N$3:$N$1371=""Early Neonatal""),FILTER('GBD estimates'!$R$3:$R$1371,'GBD estimates'!$K$3:$K$1371=Z$3,'GBD estimates'!$L$3"&amp;":$L$1371=""Diphtheria"",'GBD estimates'!$N$3:$N$1371=""Late Neonatal""),FILTER('GBD estimates'!$R$3:$R$1371,'GBD estimates'!$K$3:$K$1371=Z$3,'GBD estimates'!$L$3:$L$1371=""Diphtheria"",'GBD estimates'!$N$3:$N$1371=""Post Neonatal""))"),0.316802014)</f>
        <v>0.316802014</v>
      </c>
      <c r="AA112" s="294">
        <f>IFERROR(__xludf.DUMMYFUNCTION("SUM(FILTER('GBD estimates'!$R$3:$R$1371,'GBD estimates'!$K$3:$K$1371=AA$3,'GBD estimates'!$L$3:$L$1371=""Diphtheria"",'GBD estimates'!$N$3:$N$1371=""Early Neonatal""),FILTER('GBD estimates'!$R$3:$R$1371,'GBD estimates'!$K$3:$K$1371=AA$3,'GBD estimates'!$L"&amp;"$3:$L$1371=""Diphtheria"",'GBD estimates'!$N$3:$N$1371=""Late Neonatal""),FILTER('GBD estimates'!$R$3:$R$1371,'GBD estimates'!$K$3:$K$1371=AA$3,'GBD estimates'!$L$3:$L$1371=""Diphtheria"",'GBD estimates'!$N$3:$N$1371=""Post Neonatal""))"),0.44419353)</f>
        <v>0.44419353</v>
      </c>
      <c r="AB112" s="294">
        <f>IFERROR(__xludf.DUMMYFUNCTION("SUM(FILTER('GBD estimates'!$R$3:$R$1371,'GBD estimates'!$K$3:$K$1371=AB$3,'GBD estimates'!$L$3:$L$1371=""Diphtheria"",'GBD estimates'!$N$3:$N$1371=""Early Neonatal""),FILTER('GBD estimates'!$R$3:$R$1371,'GBD estimates'!$K$3:$K$1371=AB$3,'GBD estimates'!$L"&amp;"$3:$L$1371=""Diphtheria"",'GBD estimates'!$N$3:$N$1371=""Late Neonatal""),FILTER('GBD estimates'!$R$3:$R$1371,'GBD estimates'!$K$3:$K$1371=AB$3,'GBD estimates'!$L$3:$L$1371=""Diphtheria"",'GBD estimates'!$N$3:$N$1371=""Post Neonatal""))"),0.113344909)</f>
        <v>0.113344909</v>
      </c>
      <c r="AC112" s="294">
        <f>IFERROR(__xludf.DUMMYFUNCTION("SUM(FILTER('GBD estimates'!$R$3:$R$1371,'GBD estimates'!$K$3:$K$1371=AC$3,'GBD estimates'!$L$3:$L$1371=""Diphtheria"",'GBD estimates'!$N$3:$N$1371=""Early Neonatal""),FILTER('GBD estimates'!$R$3:$R$1371,'GBD estimates'!$K$3:$K$1371=AC$3,'GBD estimates'!$L"&amp;"$3:$L$1371=""Diphtheria"",'GBD estimates'!$N$3:$N$1371=""Late Neonatal""),FILTER('GBD estimates'!$R$3:$R$1371,'GBD estimates'!$K$3:$K$1371=AC$3,'GBD estimates'!$L$3:$L$1371=""Diphtheria"",'GBD estimates'!$N$3:$N$1371=""Post Neonatal""))"),0.044328215)</f>
        <v>0.044328215</v>
      </c>
      <c r="AD112" s="294">
        <f>IFERROR(__xludf.DUMMYFUNCTION("SUM(FILTER('GBD estimates'!$R$3:$R$1371,'GBD estimates'!$K$3:$K$1371=AD$3,'GBD estimates'!$L$3:$L$1371=""Diphtheria"",'GBD estimates'!$N$3:$N$1371=""Early Neonatal""),FILTER('GBD estimates'!$R$3:$R$1371,'GBD estimates'!$K$3:$K$1371=AD$3,'GBD estimates'!$L"&amp;"$3:$L$1371=""Diphtheria"",'GBD estimates'!$N$3:$N$1371=""Late Neonatal""),FILTER('GBD estimates'!$R$3:$R$1371,'GBD estimates'!$K$3:$K$1371=AD$3,'GBD estimates'!$L$3:$L$1371=""Diphtheria"",'GBD estimates'!$N$3:$N$1371=""Post Neonatal""))"),0.134094899)</f>
        <v>0.134094899</v>
      </c>
      <c r="AE112" s="294">
        <f>IFERROR(__xludf.DUMMYFUNCTION("SUM(FILTER('GBD estimates'!$R$3:$R$1371,'GBD estimates'!$K$3:$K$1371=AE$3,'GBD estimates'!$L$3:$L$1371=""Diphtheria"",'GBD estimates'!$N$3:$N$1371=""Early Neonatal""),FILTER('GBD estimates'!$R$3:$R$1371,'GBD estimates'!$K$3:$K$1371=AE$3,'GBD estimates'!$L"&amp;"$3:$L$1371=""Diphtheria"",'GBD estimates'!$N$3:$N$1371=""Late Neonatal""),FILTER('GBD estimates'!$R$3:$R$1371,'GBD estimates'!$K$3:$K$1371=AE$3,'GBD estimates'!$L$3:$L$1371=""Diphtheria"",'GBD estimates'!$N$3:$N$1371=""Post Neonatal""))"),0.481958407)</f>
        <v>0.481958407</v>
      </c>
      <c r="AF112" s="294">
        <f>IFERROR(__xludf.DUMMYFUNCTION("SUM(FILTER('GBD estimates'!$R$3:$R$1371,'GBD estimates'!$K$3:$K$1371=AF$3,'GBD estimates'!$L$3:$L$1371=""Diphtheria"",'GBD estimates'!$N$3:$N$1371=""Early Neonatal""),FILTER('GBD estimates'!$R$3:$R$1371,'GBD estimates'!$K$3:$K$1371=AF$3,'GBD estimates'!$L"&amp;"$3:$L$1371=""Diphtheria"",'GBD estimates'!$N$3:$N$1371=""Late Neonatal""),FILTER('GBD estimates'!$R$3:$R$1371,'GBD estimates'!$K$3:$K$1371=AF$3,'GBD estimates'!$L$3:$L$1371=""Diphtheria"",'GBD estimates'!$N$3:$N$1371=""Post Neonatal""))"),0.325161876)</f>
        <v>0.325161876</v>
      </c>
      <c r="AG112" s="294">
        <f>IFERROR(__xludf.DUMMYFUNCTION("SUM(FILTER('GBD estimates'!$R$3:$R$1371,'GBD estimates'!$K$3:$K$1371=AG$3,'GBD estimates'!$L$3:$L$1371=""Diphtheria"",'GBD estimates'!$N$3:$N$1371=""Early Neonatal""),FILTER('GBD estimates'!$R$3:$R$1371,'GBD estimates'!$K$3:$K$1371=AG$3,'GBD estimates'!$L"&amp;"$3:$L$1371=""Diphtheria"",'GBD estimates'!$N$3:$N$1371=""Late Neonatal""),FILTER('GBD estimates'!$R$3:$R$1371,'GBD estimates'!$K$3:$K$1371=AG$3,'GBD estimates'!$L$3:$L$1371=""Diphtheria"",'GBD estimates'!$N$3:$N$1371=""Post Neonatal""))"),0.168110394)</f>
        <v>0.168110394</v>
      </c>
      <c r="AH112" s="294">
        <f>IFERROR(__xludf.DUMMYFUNCTION("SUM(FILTER('GBD estimates'!$R$3:$R$1371,'GBD estimates'!$K$3:$K$1371=AH$3,'GBD estimates'!$L$3:$L$1371=""Diphtheria"",'GBD estimates'!$N$3:$N$1371=""Early Neonatal""),FILTER('GBD estimates'!$R$3:$R$1371,'GBD estimates'!$K$3:$K$1371=AH$3,'GBD estimates'!$L"&amp;"$3:$L$1371=""Diphtheria"",'GBD estimates'!$N$3:$N$1371=""Late Neonatal""),FILTER('GBD estimates'!$R$3:$R$1371,'GBD estimates'!$K$3:$K$1371=AH$3,'GBD estimates'!$L$3:$L$1371=""Diphtheria"",'GBD estimates'!$N$3:$N$1371=""Post Neonatal""))"),0.164143709)</f>
        <v>0.164143709</v>
      </c>
      <c r="AI112" s="294">
        <f>IFERROR(__xludf.DUMMYFUNCTION("SUM(FILTER('GBD estimates'!$R$3:$R$1371,'GBD estimates'!$K$3:$K$1371=AI$3,'GBD estimates'!$L$3:$L$1371=""Diphtheria"",'GBD estimates'!$N$3:$N$1371=""Early Neonatal""),FILTER('GBD estimates'!$R$3:$R$1371,'GBD estimates'!$K$3:$K$1371=AI$3,'GBD estimates'!$L"&amp;"$3:$L$1371=""Diphtheria"",'GBD estimates'!$N$3:$N$1371=""Late Neonatal""),FILTER('GBD estimates'!$R$3:$R$1371,'GBD estimates'!$K$3:$K$1371=AI$3,'GBD estimates'!$L$3:$L$1371=""Diphtheria"",'GBD estimates'!$N$3:$N$1371=""Post Neonatal""))"),0.075080269)</f>
        <v>0.075080269</v>
      </c>
      <c r="AJ112" s="294">
        <f>IFERROR(__xludf.DUMMYFUNCTION("SUM(FILTER('GBD estimates'!$R$3:$R$1371,'GBD estimates'!$K$3:$K$1371=AJ$3,'GBD estimates'!$L$3:$L$1371=""Diphtheria"",'GBD estimates'!$N$3:$N$1371=""Early Neonatal""),FILTER('GBD estimates'!$R$3:$R$1371,'GBD estimates'!$K$3:$K$1371=AJ$3,'GBD estimates'!$L"&amp;"$3:$L$1371=""Diphtheria"",'GBD estimates'!$N$3:$N$1371=""Late Neonatal""),FILTER('GBD estimates'!$R$3:$R$1371,'GBD estimates'!$K$3:$K$1371=AJ$3,'GBD estimates'!$L$3:$L$1371=""Diphtheria"",'GBD estimates'!$N$3:$N$1371=""Post Neonatal""))"),1.656832671)</f>
        <v>1.656832671</v>
      </c>
      <c r="AK112" s="294">
        <f>IFERROR(__xludf.DUMMYFUNCTION("SUM(FILTER('GBD estimates'!$R$3:$R$1371,'GBD estimates'!$K$3:$K$1371=AK$3,'GBD estimates'!$L$3:$L$1371=""Diphtheria"",'GBD estimates'!$N$3:$N$1371=""Early Neonatal""),FILTER('GBD estimates'!$R$3:$R$1371,'GBD estimates'!$K$3:$K$1371=AK$3,'GBD estimates'!$L"&amp;"$3:$L$1371=""Diphtheria"",'GBD estimates'!$N$3:$N$1371=""Late Neonatal""),FILTER('GBD estimates'!$R$3:$R$1371,'GBD estimates'!$K$3:$K$1371=AK$3,'GBD estimates'!$L$3:$L$1371=""Diphtheria"",'GBD estimates'!$N$3:$N$1371=""Post Neonatal""))"),12.71493864)</f>
        <v>12.71493864</v>
      </c>
      <c r="AL112" s="294">
        <f>IFERROR(__xludf.DUMMYFUNCTION("SUM(FILTER('GBD estimates'!$R$3:$R$1371,'GBD estimates'!$K$3:$K$1371=AL$3,'GBD estimates'!$L$3:$L$1371=""Diphtheria"",'GBD estimates'!$N$3:$N$1371=""Early Neonatal""),FILTER('GBD estimates'!$R$3:$R$1371,'GBD estimates'!$K$3:$K$1371=AL$3,'GBD estimates'!$L"&amp;"$3:$L$1371=""Diphtheria"",'GBD estimates'!$N$3:$N$1371=""Late Neonatal""),FILTER('GBD estimates'!$R$3:$R$1371,'GBD estimates'!$K$3:$K$1371=AL$3,'GBD estimates'!$L$3:$L$1371=""Diphtheria"",'GBD estimates'!$N$3:$N$1371=""Post Neonatal""))"),1.144057378)</f>
        <v>1.144057378</v>
      </c>
      <c r="AM112" s="294">
        <f>IFERROR(__xludf.DUMMYFUNCTION("SUM(FILTER('GBD estimates'!$R$3:$R$1371,'GBD estimates'!$K$3:$K$1371=AM$3,'GBD estimates'!$L$3:$L$1371=""Diphtheria"",'GBD estimates'!$N$3:$N$1371=""Early Neonatal""),FILTER('GBD estimates'!$R$3:$R$1371,'GBD estimates'!$K$3:$K$1371=AM$3,'GBD estimates'!$L"&amp;"$3:$L$1371=""Diphtheria"",'GBD estimates'!$N$3:$N$1371=""Late Neonatal""),FILTER('GBD estimates'!$R$3:$R$1371,'GBD estimates'!$K$3:$K$1371=AM$3,'GBD estimates'!$L$3:$L$1371=""Diphtheria"",'GBD estimates'!$N$3:$N$1371=""Post Neonatal""))"),0.084029561)</f>
        <v>0.084029561</v>
      </c>
      <c r="AN112" s="294">
        <f>IFERROR(__xludf.DUMMYFUNCTION("SUM(FILTER('GBD estimates'!$R$3:$R$1371,'GBD estimates'!$K$3:$K$1371=AN$3,'GBD estimates'!$L$3:$L$1371=""Diphtheria"",'GBD estimates'!$N$3:$N$1371=""Early Neonatal""),FILTER('GBD estimates'!$R$3:$R$1371,'GBD estimates'!$K$3:$K$1371=AN$3,'GBD estimates'!$L"&amp;"$3:$L$1371=""Diphtheria"",'GBD estimates'!$N$3:$N$1371=""Late Neonatal""),FILTER('GBD estimates'!$R$3:$R$1371,'GBD estimates'!$K$3:$K$1371=AN$3,'GBD estimates'!$L$3:$L$1371=""Diphtheria"",'GBD estimates'!$N$3:$N$1371=""Post Neonatal""))"),0.066767652)</f>
        <v>0.066767652</v>
      </c>
      <c r="AO112" s="294">
        <f>IFERROR(__xludf.DUMMYFUNCTION("SUM(FILTER('GBD estimates'!$R$3:$R$1371,'GBD estimates'!$K$3:$K$1371=AO$3,'GBD estimates'!$L$3:$L$1371=""Diphtheria"",'GBD estimates'!$N$3:$N$1371=""Early Neonatal""),FILTER('GBD estimates'!$R$3:$R$1371,'GBD estimates'!$K$3:$K$1371=AO$3,'GBD estimates'!$L"&amp;"$3:$L$1371=""Diphtheria"",'GBD estimates'!$N$3:$N$1371=""Late Neonatal""),FILTER('GBD estimates'!$R$3:$R$1371,'GBD estimates'!$K$3:$K$1371=AO$3,'GBD estimates'!$L$3:$L$1371=""Diphtheria"",'GBD estimates'!$N$3:$N$1371=""Post Neonatal""))"),0.288561387)</f>
        <v>0.288561387</v>
      </c>
      <c r="AP112" s="294">
        <f>IFERROR(__xludf.DUMMYFUNCTION("SUM(FILTER('GBD estimates'!$R$3:$R$1371,'GBD estimates'!$K$3:$K$1371=AP$3,'GBD estimates'!$L$3:$L$1371=""Diphtheria"",'GBD estimates'!$N$3:$N$1371=""Early Neonatal""),FILTER('GBD estimates'!$R$3:$R$1371,'GBD estimates'!$K$3:$K$1371=AP$3,'GBD estimates'!$L"&amp;"$3:$L$1371=""Diphtheria"",'GBD estimates'!$N$3:$N$1371=""Late Neonatal""),FILTER('GBD estimates'!$R$3:$R$1371,'GBD estimates'!$K$3:$K$1371=AP$3,'GBD estimates'!$L$3:$L$1371=""Diphtheria"",'GBD estimates'!$N$3:$N$1371=""Post Neonatal""))"),1.722023852)</f>
        <v>1.722023852</v>
      </c>
      <c r="AQ112" s="294">
        <f>IFERROR(__xludf.DUMMYFUNCTION("SUM(FILTER('GBD estimates'!$R$3:$R$1371,'GBD estimates'!$K$3:$K$1371=AQ$3,'GBD estimates'!$L$3:$L$1371=""Diphtheria"",'GBD estimates'!$N$3:$N$1371=""Early Neonatal""),FILTER('GBD estimates'!$R$3:$R$1371,'GBD estimates'!$K$3:$K$1371=AQ$3,'GBD estimates'!$L"&amp;"$3:$L$1371=""Diphtheria"",'GBD estimates'!$N$3:$N$1371=""Late Neonatal""),FILTER('GBD estimates'!$R$3:$R$1371,'GBD estimates'!$K$3:$K$1371=AQ$3,'GBD estimates'!$L$3:$L$1371=""Diphtheria"",'GBD estimates'!$N$3:$N$1371=""Post Neonatal""))"),0.195401276)</f>
        <v>0.195401276</v>
      </c>
      <c r="AR112" s="294">
        <f>IFERROR(__xludf.DUMMYFUNCTION("SUM(FILTER('GBD estimates'!$R$3:$R$1371,'GBD estimates'!$K$3:$K$1371=AR$3,'GBD estimates'!$L$3:$L$1371=""Diphtheria"",'GBD estimates'!$N$3:$N$1371=""Early Neonatal""),FILTER('GBD estimates'!$R$3:$R$1371,'GBD estimates'!$K$3:$K$1371=AR$3,'GBD estimates'!$L"&amp;"$3:$L$1371=""Diphtheria"",'GBD estimates'!$N$3:$N$1371=""Late Neonatal""),FILTER('GBD estimates'!$R$3:$R$1371,'GBD estimates'!$K$3:$K$1371=AR$3,'GBD estimates'!$L$3:$L$1371=""Diphtheria"",'GBD estimates'!$N$3:$N$1371=""Post Neonatal""))"),10.43434373)</f>
        <v>10.43434373</v>
      </c>
      <c r="AS112" s="294">
        <f>IFERROR(__xludf.DUMMYFUNCTION("SUM(FILTER('GBD estimates'!$R$3:$R$1371,'GBD estimates'!$K$3:$K$1371=AS$3,'GBD estimates'!$L$3:$L$1371=""Diphtheria"",'GBD estimates'!$N$3:$N$1371=""Early Neonatal""),FILTER('GBD estimates'!$R$3:$R$1371,'GBD estimates'!$K$3:$K$1371=AS$3,'GBD estimates'!$L"&amp;"$3:$L$1371=""Diphtheria"",'GBD estimates'!$N$3:$N$1371=""Late Neonatal""),FILTER('GBD estimates'!$R$3:$R$1371,'GBD estimates'!$K$3:$K$1371=AS$3,'GBD estimates'!$L$3:$L$1371=""Diphtheria"",'GBD estimates'!$N$3:$N$1371=""Post Neonatal""))"),7.820044894)</f>
        <v>7.820044894</v>
      </c>
      <c r="AT112" s="555"/>
      <c r="AU112" s="566" t="s">
        <v>855</v>
      </c>
      <c r="AV112" s="557"/>
    </row>
    <row r="113">
      <c r="A113" s="540"/>
      <c r="B113" s="206"/>
      <c r="C113" s="206"/>
      <c r="D113" s="206"/>
      <c r="E113" s="558" t="s">
        <v>252</v>
      </c>
      <c r="F113" s="283" t="s">
        <v>122</v>
      </c>
      <c r="G113" s="285" t="s">
        <v>203</v>
      </c>
      <c r="H113" s="559">
        <v>0.15</v>
      </c>
      <c r="I113" s="660" t="s">
        <v>150</v>
      </c>
      <c r="J113" s="660" t="s">
        <v>150</v>
      </c>
      <c r="K113" s="660" t="s">
        <v>150</v>
      </c>
      <c r="L113" s="660" t="s">
        <v>150</v>
      </c>
      <c r="M113" s="660" t="s">
        <v>150</v>
      </c>
      <c r="N113" s="660" t="s">
        <v>150</v>
      </c>
      <c r="O113" s="660" t="s">
        <v>150</v>
      </c>
      <c r="P113" s="660" t="s">
        <v>150</v>
      </c>
      <c r="Q113" s="660" t="s">
        <v>150</v>
      </c>
      <c r="R113" s="660" t="s">
        <v>150</v>
      </c>
      <c r="S113" s="660" t="s">
        <v>150</v>
      </c>
      <c r="T113" s="660" t="s">
        <v>150</v>
      </c>
      <c r="U113" s="660" t="s">
        <v>150</v>
      </c>
      <c r="V113" s="660" t="s">
        <v>150</v>
      </c>
      <c r="W113" s="660" t="s">
        <v>150</v>
      </c>
      <c r="X113" s="660" t="s">
        <v>150</v>
      </c>
      <c r="Y113" s="660" t="s">
        <v>150</v>
      </c>
      <c r="Z113" s="660" t="s">
        <v>150</v>
      </c>
      <c r="AA113" s="660" t="s">
        <v>150</v>
      </c>
      <c r="AB113" s="660" t="s">
        <v>150</v>
      </c>
      <c r="AC113" s="660" t="s">
        <v>150</v>
      </c>
      <c r="AD113" s="660" t="s">
        <v>150</v>
      </c>
      <c r="AE113" s="660" t="s">
        <v>150</v>
      </c>
      <c r="AF113" s="660" t="s">
        <v>150</v>
      </c>
      <c r="AG113" s="660" t="s">
        <v>150</v>
      </c>
      <c r="AH113" s="660" t="s">
        <v>150</v>
      </c>
      <c r="AI113" s="660" t="s">
        <v>150</v>
      </c>
      <c r="AJ113" s="660" t="s">
        <v>150</v>
      </c>
      <c r="AK113" s="660" t="s">
        <v>150</v>
      </c>
      <c r="AL113" s="660" t="s">
        <v>150</v>
      </c>
      <c r="AM113" s="660" t="s">
        <v>150</v>
      </c>
      <c r="AN113" s="660" t="s">
        <v>150</v>
      </c>
      <c r="AO113" s="660" t="s">
        <v>150</v>
      </c>
      <c r="AP113" s="660" t="s">
        <v>150</v>
      </c>
      <c r="AQ113" s="660" t="s">
        <v>150</v>
      </c>
      <c r="AR113" s="660" t="s">
        <v>150</v>
      </c>
      <c r="AS113" s="660" t="s">
        <v>150</v>
      </c>
      <c r="AT113" s="560"/>
      <c r="AU113" s="567" t="s">
        <v>809</v>
      </c>
      <c r="AV113" s="561"/>
    </row>
    <row r="114">
      <c r="A114" s="540"/>
      <c r="B114" s="206"/>
      <c r="C114" s="126"/>
      <c r="D114" s="126"/>
      <c r="E114" s="107"/>
      <c r="F114" s="201"/>
      <c r="G114" s="202"/>
      <c r="H114" s="542"/>
      <c r="I114" s="266"/>
      <c r="J114" s="266"/>
      <c r="K114" s="266"/>
      <c r="L114" s="266"/>
      <c r="M114" s="266"/>
      <c r="N114" s="266"/>
      <c r="O114" s="266"/>
      <c r="P114" s="266"/>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543"/>
      <c r="AU114" s="544"/>
      <c r="AV114" s="545"/>
    </row>
    <row r="115">
      <c r="A115" s="206"/>
      <c r="B115" s="206"/>
      <c r="C115" s="126" t="s">
        <v>258</v>
      </c>
      <c r="F115" s="201"/>
      <c r="G115" s="201"/>
      <c r="H115" s="542"/>
      <c r="I115" s="266"/>
      <c r="J115" s="266"/>
      <c r="K115" s="266"/>
      <c r="L115" s="266"/>
      <c r="M115" s="266"/>
      <c r="N115" s="266"/>
      <c r="O115" s="266"/>
      <c r="P115" s="266"/>
      <c r="Q115" s="266"/>
      <c r="R115" s="266"/>
      <c r="S115" s="266"/>
      <c r="T115" s="266"/>
      <c r="U115" s="266"/>
      <c r="V115" s="266"/>
      <c r="W115" s="266"/>
      <c r="X115" s="266"/>
      <c r="Y115" s="266"/>
      <c r="Z115" s="266"/>
      <c r="AA115" s="266"/>
      <c r="AB115" s="266"/>
      <c r="AC115" s="266"/>
      <c r="AD115" s="266"/>
      <c r="AE115" s="266"/>
      <c r="AF115" s="266"/>
      <c r="AG115" s="266"/>
      <c r="AH115" s="266"/>
      <c r="AI115" s="266"/>
      <c r="AJ115" s="266"/>
      <c r="AK115" s="266"/>
      <c r="AL115" s="266"/>
      <c r="AM115" s="266"/>
      <c r="AN115" s="266"/>
      <c r="AO115" s="266"/>
      <c r="AP115" s="266"/>
      <c r="AQ115" s="266"/>
      <c r="AR115" s="266"/>
      <c r="AS115" s="266"/>
      <c r="AT115" s="543"/>
      <c r="AU115" s="544"/>
      <c r="AV115" s="545"/>
    </row>
    <row r="116">
      <c r="A116" s="540"/>
      <c r="B116" s="206"/>
      <c r="C116" s="206"/>
      <c r="D116" s="206"/>
      <c r="E116" s="548" t="s">
        <v>261</v>
      </c>
      <c r="F116" s="207" t="s">
        <v>122</v>
      </c>
      <c r="G116" s="208" t="s">
        <v>203</v>
      </c>
      <c r="H116" s="578" t="s">
        <v>150</v>
      </c>
      <c r="I116" s="210">
        <f>IFERROR(__xludf.DUMMYFUNCTION("FILTER('GBD estimates'!$G$3:$G$1371,'GBD estimates'!$B$3:$B$1371=I$3,'GBD estimates'!$E$3:$E$1371=""Pertussis"",'GBD estimates'!$D$3:$D$1371=""Under 5"")"),0.001926586)</f>
        <v>0.001926586</v>
      </c>
      <c r="J116" s="210">
        <f>IFERROR(__xludf.DUMMYFUNCTION("FILTER('GBD estimates'!$G$3:$G$1371,'GBD estimates'!$B$3:$B$1371=J$3,'GBD estimates'!$E$3:$E$1371=""Pertussis"",'GBD estimates'!$D$3:$D$1371=""Under 5"")"),0.001715755)</f>
        <v>0.001715755</v>
      </c>
      <c r="K116" s="210">
        <f>IFERROR(__xludf.DUMMYFUNCTION("FILTER('GBD estimates'!$G$3:$G$1371,'GBD estimates'!$B$3:$B$1371=K$3,'GBD estimates'!$E$3:$E$1371=""Pertussis"",'GBD estimates'!$D$3:$D$1371=""Under 5"")"),0.002305103)</f>
        <v>0.002305103</v>
      </c>
      <c r="L116" s="210">
        <f>IFERROR(__xludf.DUMMYFUNCTION("FILTER('GBD estimates'!$G$3:$G$1371,'GBD estimates'!$B$3:$B$1371=L$3,'GBD estimates'!$E$3:$E$1371=""Pertussis"",'GBD estimates'!$D$3:$D$1371=""Under 5"")"),0.001196296)</f>
        <v>0.001196296</v>
      </c>
      <c r="M116" s="210">
        <f>IFERROR(__xludf.DUMMYFUNCTION("FILTER('GBD estimates'!$G$3:$G$1371,'GBD estimates'!$B$3:$B$1371=M$3,'GBD estimates'!$E$3:$E$1371=""Pertussis"",'GBD estimates'!$D$3:$D$1371=""Under 5"")"),0.001434608)</f>
        <v>0.001434608</v>
      </c>
      <c r="N116" s="210">
        <f>IFERROR(__xludf.DUMMYFUNCTION("FILTER('GBD estimates'!$G$3:$G$1371,'GBD estimates'!$B$3:$B$1371=N$3,'GBD estimates'!$E$3:$E$1371=""Pertussis"",'GBD estimates'!$D$3:$D$1371=""Under 5"")"),0.001871217)</f>
        <v>0.001871217</v>
      </c>
      <c r="O116" s="210">
        <f>IFERROR(__xludf.DUMMYFUNCTION("FILTER('GBD estimates'!$G$3:$G$1371,'GBD estimates'!$B$3:$B$1371=O$3,'GBD estimates'!$E$3:$E$1371=""Pertussis"",'GBD estimates'!$D$3:$D$1371=""Under 5"")"),0.002022091)</f>
        <v>0.002022091</v>
      </c>
      <c r="P116" s="210">
        <f>IFERROR(__xludf.DUMMYFUNCTION("FILTER('GBD estimates'!$G$3:$G$1371,'GBD estimates'!$B$3:$B$1371=P$3,'GBD estimates'!$E$3:$E$1371=""Pertussis"",'GBD estimates'!$D$3:$D$1371=""Under 5"")"),0.002327154)</f>
        <v>0.002327154</v>
      </c>
      <c r="Q116" s="210">
        <f>IFERROR(__xludf.DUMMYFUNCTION("FILTER('GBD estimates'!$G$3:$G$1371,'GBD estimates'!$B$3:$B$1371=Q$3,'GBD estimates'!$E$3:$E$1371=""Pertussis"",'GBD estimates'!$D$3:$D$1371=""Under 5"")"),0.002749402)</f>
        <v>0.002749402</v>
      </c>
      <c r="R116" s="210">
        <f>IFERROR(__xludf.DUMMYFUNCTION("FILTER('GBD estimates'!$G$3:$G$1371,'GBD estimates'!$B$3:$B$1371=R$3,'GBD estimates'!$E$3:$E$1371=""Pertussis"",'GBD estimates'!$D$3:$D$1371=""Under 5"")"),3.28459E-4)</f>
        <v>0.000328459</v>
      </c>
      <c r="S116" s="210">
        <f>IFERROR(__xludf.DUMMYFUNCTION("FILTER('GBD estimates'!$G$3:$G$1371,'GBD estimates'!$B$3:$B$1371=S$3,'GBD estimates'!$E$3:$E$1371=""Pertussis"",'GBD estimates'!$D$3:$D$1371=""Under 5"")"),0.001064752)</f>
        <v>0.001064752</v>
      </c>
      <c r="T116" s="210">
        <f>IFERROR(__xludf.DUMMYFUNCTION("FILTER('GBD estimates'!$G$3:$G$1371,'GBD estimates'!$B$3:$B$1371=T$3,'GBD estimates'!$E$3:$E$1371=""Pertussis"",'GBD estimates'!$D$3:$D$1371=""Under 5"")"),3.57013E-4)</f>
        <v>0.000357013</v>
      </c>
      <c r="U116" s="210">
        <f>IFERROR(__xludf.DUMMYFUNCTION("FILTER('GBD estimates'!$G$3:$G$1371,'GBD estimates'!$B$3:$B$1371=U$3,'GBD estimates'!$E$3:$E$1371=""Pertussis"",'GBD estimates'!$D$3:$D$1371=""Under 5"")"),4.76822E-4)</f>
        <v>0.000476822</v>
      </c>
      <c r="V116" s="210">
        <f>IFERROR(__xludf.DUMMYFUNCTION("FILTER('GBD estimates'!$G$3:$G$1371,'GBD estimates'!$B$3:$B$1371=V$3,'GBD estimates'!$E$3:$E$1371=""Pertussis"",'GBD estimates'!$D$3:$D$1371=""Under 5"")"),7.91876E-4)</f>
        <v>0.000791876</v>
      </c>
      <c r="W116" s="210">
        <f>IFERROR(__xludf.DUMMYFUNCTION("FILTER('GBD estimates'!$G$3:$G$1371,'GBD estimates'!$B$3:$B$1371=W$3,'GBD estimates'!$E$3:$E$1371=""Pertussis"",'GBD estimates'!$D$3:$D$1371=""Under 5"")"),6.26519E-4)</f>
        <v>0.000626519</v>
      </c>
      <c r="X116" s="210">
        <f>IFERROR(__xludf.DUMMYFUNCTION("FILTER('GBD estimates'!$G$3:$G$1371,'GBD estimates'!$B$3:$B$1371=X$3,'GBD estimates'!$E$3:$E$1371=""Pertussis"",'GBD estimates'!$D$3:$D$1371=""Under 5"")"),9.96955E-4)</f>
        <v>0.000996955</v>
      </c>
      <c r="Y116" s="210">
        <f>IFERROR(__xludf.DUMMYFUNCTION("FILTER('GBD estimates'!$G$3:$G$1371,'GBD estimates'!$B$3:$B$1371=Y$3,'GBD estimates'!$E$3:$E$1371=""Pertussis"",'GBD estimates'!$D$3:$D$1371=""Under 5"")"),4.32579E-4)</f>
        <v>0.000432579</v>
      </c>
      <c r="Z116" s="210">
        <f>IFERROR(__xludf.DUMMYFUNCTION("FILTER('GBD estimates'!$G$3:$G$1371,'GBD estimates'!$B$3:$B$1371=Z$3,'GBD estimates'!$E$3:$E$1371=""Pertussis"",'GBD estimates'!$D$3:$D$1371=""Under 5"")"),4.63026E-4)</f>
        <v>0.000463026</v>
      </c>
      <c r="AA116" s="210">
        <f>IFERROR(__xludf.DUMMYFUNCTION("FILTER('GBD estimates'!$G$3:$G$1371,'GBD estimates'!$B$3:$B$1371=AA$3,'GBD estimates'!$E$3:$E$1371=""Pertussis"",'GBD estimates'!$D$3:$D$1371=""Under 5"")"),4.63607E-4)</f>
        <v>0.000463607</v>
      </c>
      <c r="AB116" s="210">
        <f>IFERROR(__xludf.DUMMYFUNCTION("FILTER('GBD estimates'!$G$3:$G$1371,'GBD estimates'!$B$3:$B$1371=AB$3,'GBD estimates'!$E$3:$E$1371=""Pertussis"",'GBD estimates'!$D$3:$D$1371=""Under 5"")"),3.29156E-4)</f>
        <v>0.000329156</v>
      </c>
      <c r="AC116" s="210">
        <f>IFERROR(__xludf.DUMMYFUNCTION("FILTER('GBD estimates'!$G$3:$G$1371,'GBD estimates'!$B$3:$B$1371=AC$3,'GBD estimates'!$E$3:$E$1371=""Pertussis"",'GBD estimates'!$D$3:$D$1371=""Under 5"")"),2.15045E-4)</f>
        <v>0.000215045</v>
      </c>
      <c r="AD116" s="210">
        <f>IFERROR(__xludf.DUMMYFUNCTION("FILTER('GBD estimates'!$G$3:$G$1371,'GBD estimates'!$B$3:$B$1371=AD$3,'GBD estimates'!$E$3:$E$1371=""Pertussis"",'GBD estimates'!$D$3:$D$1371=""Under 5"")"),2.6046E-4)</f>
        <v>0.00026046</v>
      </c>
      <c r="AE116" s="210">
        <f>IFERROR(__xludf.DUMMYFUNCTION("FILTER('GBD estimates'!$G$3:$G$1371,'GBD estimates'!$B$3:$B$1371=AE$3,'GBD estimates'!$E$3:$E$1371=""Pertussis"",'GBD estimates'!$D$3:$D$1371=""Under 5"")"),3.33012E-4)</f>
        <v>0.000333012</v>
      </c>
      <c r="AF116" s="210">
        <f>IFERROR(__xludf.DUMMYFUNCTION("FILTER('GBD estimates'!$G$3:$G$1371,'GBD estimates'!$B$3:$B$1371=AF$3,'GBD estimates'!$E$3:$E$1371=""Pertussis"",'GBD estimates'!$D$3:$D$1371=""Under 5"")"),1.86305E-4)</f>
        <v>0.000186305</v>
      </c>
      <c r="AG116" s="210">
        <f>IFERROR(__xludf.DUMMYFUNCTION("FILTER('GBD estimates'!$G$3:$G$1371,'GBD estimates'!$B$3:$B$1371=AG$3,'GBD estimates'!$E$3:$E$1371=""Pertussis"",'GBD estimates'!$D$3:$D$1371=""Under 5"")"),0.001066403)</f>
        <v>0.001066403</v>
      </c>
      <c r="AH116" s="210">
        <f>IFERROR(__xludf.DUMMYFUNCTION("FILTER('GBD estimates'!$G$3:$G$1371,'GBD estimates'!$B$3:$B$1371=AH$3,'GBD estimates'!$E$3:$E$1371=""Pertussis"",'GBD estimates'!$D$3:$D$1371=""Under 5"")"),3.9724E-4)</f>
        <v>0.00039724</v>
      </c>
      <c r="AI116" s="210">
        <f>IFERROR(__xludf.DUMMYFUNCTION("FILTER('GBD estimates'!$G$3:$G$1371,'GBD estimates'!$B$3:$B$1371=AI$3,'GBD estimates'!$E$3:$E$1371=""Pertussis"",'GBD estimates'!$D$3:$D$1371=""Under 5"")"),1.58837E-4)</f>
        <v>0.000158837</v>
      </c>
      <c r="AJ116" s="210">
        <f>IFERROR(__xludf.DUMMYFUNCTION("FILTER('GBD estimates'!$G$3:$G$1371,'GBD estimates'!$B$3:$B$1371=AJ$3,'GBD estimates'!$E$3:$E$1371=""Pertussis"",'GBD estimates'!$D$3:$D$1371=""Under 5"")"),7.53801E-4)</f>
        <v>0.000753801</v>
      </c>
      <c r="AK116" s="210">
        <f>IFERROR(__xludf.DUMMYFUNCTION("FILTER('GBD estimates'!$G$3:$G$1371,'GBD estimates'!$B$3:$B$1371=AK$3,'GBD estimates'!$E$3:$E$1371=""Pertussis"",'GBD estimates'!$D$3:$D$1371=""Under 5"")"),0.001116255)</f>
        <v>0.001116255</v>
      </c>
      <c r="AL116" s="210">
        <f>IFERROR(__xludf.DUMMYFUNCTION("FILTER('GBD estimates'!$G$3:$G$1371,'GBD estimates'!$B$3:$B$1371=AL$3,'GBD estimates'!$E$3:$E$1371=""Pertussis"",'GBD estimates'!$D$3:$D$1371=""Under 5"")"),4.71182E-4)</f>
        <v>0.000471182</v>
      </c>
      <c r="AM116" s="210">
        <f>IFERROR(__xludf.DUMMYFUNCTION("FILTER('GBD estimates'!$G$3:$G$1371,'GBD estimates'!$B$3:$B$1371=AM$3,'GBD estimates'!$E$3:$E$1371=""Pertussis"",'GBD estimates'!$D$3:$D$1371=""Under 5"")"),3.23322E-4)</f>
        <v>0.000323322</v>
      </c>
      <c r="AN116" s="210">
        <f>IFERROR(__xludf.DUMMYFUNCTION("FILTER('GBD estimates'!$G$3:$G$1371,'GBD estimates'!$B$3:$B$1371=AN$3,'GBD estimates'!$E$3:$E$1371=""Pertussis"",'GBD estimates'!$D$3:$D$1371=""Under 5"")"),1.85004E-4)</f>
        <v>0.000185004</v>
      </c>
      <c r="AO116" s="210">
        <f>IFERROR(__xludf.DUMMYFUNCTION("FILTER('GBD estimates'!$G$3:$G$1371,'GBD estimates'!$B$3:$B$1371=AO$3,'GBD estimates'!$E$3:$E$1371=""Pertussis"",'GBD estimates'!$D$3:$D$1371=""Under 5"")"),4.30089E-4)</f>
        <v>0.000430089</v>
      </c>
      <c r="AP116" s="210">
        <f>IFERROR(__xludf.DUMMYFUNCTION("FILTER('GBD estimates'!$G$3:$G$1371,'GBD estimates'!$B$3:$B$1371=AP$3,'GBD estimates'!$E$3:$E$1371=""Pertussis"",'GBD estimates'!$D$3:$D$1371=""Under 5"")"),4.1336E-4)</f>
        <v>0.00041336</v>
      </c>
      <c r="AQ116" s="210">
        <f>IFERROR(__xludf.DUMMYFUNCTION("FILTER('GBD estimates'!$G$3:$G$1371,'GBD estimates'!$B$3:$B$1371=AQ$3,'GBD estimates'!$E$3:$E$1371=""Pertussis"",'GBD estimates'!$D$3:$D$1371=""Under 5"")"),3.57551E-4)</f>
        <v>0.000357551</v>
      </c>
      <c r="AR116" s="210">
        <f>IFERROR(__xludf.DUMMYFUNCTION("FILTER('GBD estimates'!$G$3:$G$1371,'GBD estimates'!$B$3:$B$1371=AR$3,'GBD estimates'!$E$3:$E$1371=""Pertussis"",'GBD estimates'!$D$3:$D$1371=""Under 5"")"),0.001203361)</f>
        <v>0.001203361</v>
      </c>
      <c r="AS116" s="210">
        <f>IFERROR(__xludf.DUMMYFUNCTION("FILTER('GBD estimates'!$G$3:$G$1371,'GBD estimates'!$B$3:$B$1371=AS$3,'GBD estimates'!$E$3:$E$1371=""Pertussis"",'GBD estimates'!$D$3:$D$1371=""Under 5"")"),0.001569238)</f>
        <v>0.001569238</v>
      </c>
      <c r="AT116" s="550"/>
      <c r="AU116" s="562" t="s">
        <v>855</v>
      </c>
      <c r="AV116" s="552"/>
    </row>
    <row r="117">
      <c r="A117" s="540"/>
      <c r="B117" s="206"/>
      <c r="C117" s="206"/>
      <c r="D117" s="206"/>
      <c r="E117" s="553" t="s">
        <v>265</v>
      </c>
      <c r="F117" s="278" t="s">
        <v>122</v>
      </c>
      <c r="G117" s="279" t="s">
        <v>203</v>
      </c>
      <c r="H117" s="581" t="s">
        <v>150</v>
      </c>
      <c r="I117" s="210">
        <f>IFERROR(__xludf.DUMMYFUNCTION("FILTER('GBD estimates'!$G$3:$G$1371,'GBD estimates'!$B$3:$B$1371=I$3,'GBD estimates'!$E$3:$E$1371=""Pertussis"",'GBD estimates'!$D$3:$D$1371=""5-14 years"")"),2.30744E-4)</f>
        <v>0.000230744</v>
      </c>
      <c r="J117" s="210">
        <f>IFERROR(__xludf.DUMMYFUNCTION("FILTER('GBD estimates'!$G$3:$G$1371,'GBD estimates'!$B$3:$B$1371=J$3,'GBD estimates'!$E$3:$E$1371=""Pertussis"",'GBD estimates'!$D$3:$D$1371=""5-14 years"")"),2.06465E-4)</f>
        <v>0.000206465</v>
      </c>
      <c r="K117" s="210">
        <f>IFERROR(__xludf.DUMMYFUNCTION("FILTER('GBD estimates'!$G$3:$G$1371,'GBD estimates'!$B$3:$B$1371=K$3,'GBD estimates'!$E$3:$E$1371=""Pertussis"",'GBD estimates'!$D$3:$D$1371=""5-14 years"")"),2.90793E-4)</f>
        <v>0.000290793</v>
      </c>
      <c r="L117" s="210">
        <f>IFERROR(__xludf.DUMMYFUNCTION("FILTER('GBD estimates'!$G$3:$G$1371,'GBD estimates'!$B$3:$B$1371=L$3,'GBD estimates'!$E$3:$E$1371=""Pertussis"",'GBD estimates'!$D$3:$D$1371=""5-14 years"")"),1.72137E-4)</f>
        <v>0.000172137</v>
      </c>
      <c r="M117" s="210">
        <f>IFERROR(__xludf.DUMMYFUNCTION("FILTER('GBD estimates'!$G$3:$G$1371,'GBD estimates'!$B$3:$B$1371=M$3,'GBD estimates'!$E$3:$E$1371=""Pertussis"",'GBD estimates'!$D$3:$D$1371=""5-14 years"")"),1.77755E-4)</f>
        <v>0.000177755</v>
      </c>
      <c r="N117" s="210">
        <f>IFERROR(__xludf.DUMMYFUNCTION("FILTER('GBD estimates'!$G$3:$G$1371,'GBD estimates'!$B$3:$B$1371=N$3,'GBD estimates'!$E$3:$E$1371=""Pertussis"",'GBD estimates'!$D$3:$D$1371=""5-14 years"")"),2.45196E-4)</f>
        <v>0.000245196</v>
      </c>
      <c r="O117" s="210">
        <f>IFERROR(__xludf.DUMMYFUNCTION("FILTER('GBD estimates'!$G$3:$G$1371,'GBD estimates'!$B$3:$B$1371=O$3,'GBD estimates'!$E$3:$E$1371=""Pertussis"",'GBD estimates'!$D$3:$D$1371=""5-14 years"")"),2.7482E-4)</f>
        <v>0.00027482</v>
      </c>
      <c r="P117" s="210">
        <f>IFERROR(__xludf.DUMMYFUNCTION("FILTER('GBD estimates'!$G$3:$G$1371,'GBD estimates'!$B$3:$B$1371=P$3,'GBD estimates'!$E$3:$E$1371=""Pertussis"",'GBD estimates'!$D$3:$D$1371=""5-14 years"")"),2.97079E-4)</f>
        <v>0.000297079</v>
      </c>
      <c r="Q117" s="210">
        <f>IFERROR(__xludf.DUMMYFUNCTION("FILTER('GBD estimates'!$G$3:$G$1371,'GBD estimates'!$B$3:$B$1371=Q$3,'GBD estimates'!$E$3:$E$1371=""Pertussis"",'GBD estimates'!$D$3:$D$1371=""5-14 years"")"),3.15217E-4)</f>
        <v>0.000315217</v>
      </c>
      <c r="R117" s="210">
        <f>IFERROR(__xludf.DUMMYFUNCTION("FILTER('GBD estimates'!$G$3:$G$1371,'GBD estimates'!$B$3:$B$1371=R$3,'GBD estimates'!$E$3:$E$1371=""Pertussis"",'GBD estimates'!$D$3:$D$1371=""5-14 years"")"),5.06E-5)</f>
        <v>0.0000506</v>
      </c>
      <c r="S117" s="210">
        <f>IFERROR(__xludf.DUMMYFUNCTION("FILTER('GBD estimates'!$G$3:$G$1371,'GBD estimates'!$B$3:$B$1371=S$3,'GBD estimates'!$E$3:$E$1371=""Pertussis"",'GBD estimates'!$D$3:$D$1371=""5-14 years"")"),1.28866E-4)</f>
        <v>0.000128866</v>
      </c>
      <c r="T117" s="210">
        <f>IFERROR(__xludf.DUMMYFUNCTION("FILTER('GBD estimates'!$G$3:$G$1371,'GBD estimates'!$B$3:$B$1371=T$3,'GBD estimates'!$E$3:$E$1371=""Pertussis"",'GBD estimates'!$D$3:$D$1371=""5-14 years"")"),5.64E-5)</f>
        <v>0.0000564</v>
      </c>
      <c r="U117" s="210">
        <f>IFERROR(__xludf.DUMMYFUNCTION("FILTER('GBD estimates'!$G$3:$G$1371,'GBD estimates'!$B$3:$B$1371=U$3,'GBD estimates'!$E$3:$E$1371=""Pertussis"",'GBD estimates'!$D$3:$D$1371=""5-14 years"")"),9.33E-5)</f>
        <v>0.0000933</v>
      </c>
      <c r="V117" s="210">
        <f>IFERROR(__xludf.DUMMYFUNCTION("FILTER('GBD estimates'!$G$3:$G$1371,'GBD estimates'!$B$3:$B$1371=V$3,'GBD estimates'!$E$3:$E$1371=""Pertussis"",'GBD estimates'!$D$3:$D$1371=""5-14 years"")"),1.16541E-4)</f>
        <v>0.000116541</v>
      </c>
      <c r="W117" s="210">
        <f>IFERROR(__xludf.DUMMYFUNCTION("FILTER('GBD estimates'!$G$3:$G$1371,'GBD estimates'!$B$3:$B$1371=W$3,'GBD estimates'!$E$3:$E$1371=""Pertussis"",'GBD estimates'!$D$3:$D$1371=""5-14 years"")"),8.28E-5)</f>
        <v>0.0000828</v>
      </c>
      <c r="X117" s="210">
        <f>IFERROR(__xludf.DUMMYFUNCTION("FILTER('GBD estimates'!$G$3:$G$1371,'GBD estimates'!$B$3:$B$1371=X$3,'GBD estimates'!$E$3:$E$1371=""Pertussis"",'GBD estimates'!$D$3:$D$1371=""5-14 years"")"),1.25805E-4)</f>
        <v>0.000125805</v>
      </c>
      <c r="Y117" s="210">
        <f>IFERROR(__xludf.DUMMYFUNCTION("FILTER('GBD estimates'!$G$3:$G$1371,'GBD estimates'!$B$3:$B$1371=Y$3,'GBD estimates'!$E$3:$E$1371=""Pertussis"",'GBD estimates'!$D$3:$D$1371=""5-14 years"")"),5.94E-5)</f>
        <v>0.0000594</v>
      </c>
      <c r="Z117" s="210">
        <f>IFERROR(__xludf.DUMMYFUNCTION("FILTER('GBD estimates'!$G$3:$G$1371,'GBD estimates'!$B$3:$B$1371=Z$3,'GBD estimates'!$E$3:$E$1371=""Pertussis"",'GBD estimates'!$D$3:$D$1371=""5-14 years"")"),7.84E-5)</f>
        <v>0.0000784</v>
      </c>
      <c r="AA117" s="210">
        <f>IFERROR(__xludf.DUMMYFUNCTION("FILTER('GBD estimates'!$G$3:$G$1371,'GBD estimates'!$B$3:$B$1371=AA$3,'GBD estimates'!$E$3:$E$1371=""Pertussis"",'GBD estimates'!$D$3:$D$1371=""5-14 years"")"),7.19E-5)</f>
        <v>0.0000719</v>
      </c>
      <c r="AB117" s="210">
        <f>IFERROR(__xludf.DUMMYFUNCTION("FILTER('GBD estimates'!$G$3:$G$1371,'GBD estimates'!$B$3:$B$1371=AB$3,'GBD estimates'!$E$3:$E$1371=""Pertussis"",'GBD estimates'!$D$3:$D$1371=""5-14 years"")"),4.67E-5)</f>
        <v>0.0000467</v>
      </c>
      <c r="AC117" s="210">
        <f>IFERROR(__xludf.DUMMYFUNCTION("FILTER('GBD estimates'!$G$3:$G$1371,'GBD estimates'!$B$3:$B$1371=AC$3,'GBD estimates'!$E$3:$E$1371=""Pertussis"",'GBD estimates'!$D$3:$D$1371=""5-14 years"")"),3.46E-5)</f>
        <v>0.0000346</v>
      </c>
      <c r="AD117" s="210">
        <f>IFERROR(__xludf.DUMMYFUNCTION("FILTER('GBD estimates'!$G$3:$G$1371,'GBD estimates'!$B$3:$B$1371=AD$3,'GBD estimates'!$E$3:$E$1371=""Pertussis"",'GBD estimates'!$D$3:$D$1371=""5-14 years"")"),4.08E-5)</f>
        <v>0.0000408</v>
      </c>
      <c r="AE117" s="210">
        <f>IFERROR(__xludf.DUMMYFUNCTION("FILTER('GBD estimates'!$G$3:$G$1371,'GBD estimates'!$B$3:$B$1371=AE$3,'GBD estimates'!$E$3:$E$1371=""Pertussis"",'GBD estimates'!$D$3:$D$1371=""5-14 years"")"),5.01E-5)</f>
        <v>0.0000501</v>
      </c>
      <c r="AF117" s="210">
        <f>IFERROR(__xludf.DUMMYFUNCTION("FILTER('GBD estimates'!$G$3:$G$1371,'GBD estimates'!$B$3:$B$1371=AF$3,'GBD estimates'!$E$3:$E$1371=""Pertussis"",'GBD estimates'!$D$3:$D$1371=""5-14 years"")"),3.0E-5)</f>
        <v>0.00003</v>
      </c>
      <c r="AG117" s="210">
        <f>IFERROR(__xludf.DUMMYFUNCTION("FILTER('GBD estimates'!$G$3:$G$1371,'GBD estimates'!$B$3:$B$1371=AG$3,'GBD estimates'!$E$3:$E$1371=""Pertussis"",'GBD estimates'!$D$3:$D$1371=""5-14 years"")"),2.07429E-4)</f>
        <v>0.000207429</v>
      </c>
      <c r="AH117" s="210">
        <f>IFERROR(__xludf.DUMMYFUNCTION("FILTER('GBD estimates'!$G$3:$G$1371,'GBD estimates'!$B$3:$B$1371=AH$3,'GBD estimates'!$E$3:$E$1371=""Pertussis"",'GBD estimates'!$D$3:$D$1371=""5-14 years"")"),7.59E-5)</f>
        <v>0.0000759</v>
      </c>
      <c r="AI117" s="210">
        <f>IFERROR(__xludf.DUMMYFUNCTION("FILTER('GBD estimates'!$G$3:$G$1371,'GBD estimates'!$B$3:$B$1371=AI$3,'GBD estimates'!$E$3:$E$1371=""Pertussis"",'GBD estimates'!$D$3:$D$1371=""5-14 years"")"),2.91E-5)</f>
        <v>0.0000291</v>
      </c>
      <c r="AJ117" s="210">
        <f>IFERROR(__xludf.DUMMYFUNCTION("FILTER('GBD estimates'!$G$3:$G$1371,'GBD estimates'!$B$3:$B$1371=AJ$3,'GBD estimates'!$E$3:$E$1371=""Pertussis"",'GBD estimates'!$D$3:$D$1371=""5-14 years"")"),1.08955E-4)</f>
        <v>0.000108955</v>
      </c>
      <c r="AK117" s="210">
        <f>IFERROR(__xludf.DUMMYFUNCTION("FILTER('GBD estimates'!$G$3:$G$1371,'GBD estimates'!$B$3:$B$1371=AK$3,'GBD estimates'!$E$3:$E$1371=""Pertussis"",'GBD estimates'!$D$3:$D$1371=""5-14 years"")"),1.39744E-4)</f>
        <v>0.000139744</v>
      </c>
      <c r="AL117" s="210">
        <f>IFERROR(__xludf.DUMMYFUNCTION("FILTER('GBD estimates'!$G$3:$G$1371,'GBD estimates'!$B$3:$B$1371=AL$3,'GBD estimates'!$E$3:$E$1371=""Pertussis"",'GBD estimates'!$D$3:$D$1371=""5-14 years"")"),6.64E-5)</f>
        <v>0.0000664</v>
      </c>
      <c r="AM117" s="210">
        <f>IFERROR(__xludf.DUMMYFUNCTION("FILTER('GBD estimates'!$G$3:$G$1371,'GBD estimates'!$B$3:$B$1371=AM$3,'GBD estimates'!$E$3:$E$1371=""Pertussis"",'GBD estimates'!$D$3:$D$1371=""5-14 years"")"),5.5E-5)</f>
        <v>0.000055</v>
      </c>
      <c r="AN117" s="210">
        <f>IFERROR(__xludf.DUMMYFUNCTION("FILTER('GBD estimates'!$G$3:$G$1371,'GBD estimates'!$B$3:$B$1371=AN$3,'GBD estimates'!$E$3:$E$1371=""Pertussis"",'GBD estimates'!$D$3:$D$1371=""5-14 years"")"),2.99E-5)</f>
        <v>0.0000299</v>
      </c>
      <c r="AO117" s="210">
        <f>IFERROR(__xludf.DUMMYFUNCTION("FILTER('GBD estimates'!$G$3:$G$1371,'GBD estimates'!$B$3:$B$1371=AO$3,'GBD estimates'!$E$3:$E$1371=""Pertussis"",'GBD estimates'!$D$3:$D$1371=""5-14 years"")"),7.09E-5)</f>
        <v>0.0000709</v>
      </c>
      <c r="AP117" s="210">
        <f>IFERROR(__xludf.DUMMYFUNCTION("FILTER('GBD estimates'!$G$3:$G$1371,'GBD estimates'!$B$3:$B$1371=AP$3,'GBD estimates'!$E$3:$E$1371=""Pertussis"",'GBD estimates'!$D$3:$D$1371=""5-14 years"")"),7.02E-5)</f>
        <v>0.0000702</v>
      </c>
      <c r="AQ117" s="210">
        <f>IFERROR(__xludf.DUMMYFUNCTION("FILTER('GBD estimates'!$G$3:$G$1371,'GBD estimates'!$B$3:$B$1371=AQ$3,'GBD estimates'!$E$3:$E$1371=""Pertussis"",'GBD estimates'!$D$3:$D$1371=""5-14 years"")"),5.5E-5)</f>
        <v>0.000055</v>
      </c>
      <c r="AR117" s="210">
        <f>IFERROR(__xludf.DUMMYFUNCTION("FILTER('GBD estimates'!$G$3:$G$1371,'GBD estimates'!$B$3:$B$1371=AR$3,'GBD estimates'!$E$3:$E$1371=""Pertussis"",'GBD estimates'!$D$3:$D$1371=""5-14 years"")"),1.46813E-4)</f>
        <v>0.000146813</v>
      </c>
      <c r="AS117" s="210">
        <f>IFERROR(__xludf.DUMMYFUNCTION("FILTER('GBD estimates'!$G$3:$G$1371,'GBD estimates'!$B$3:$B$1371=AS$3,'GBD estimates'!$E$3:$E$1371=""Pertussis"",'GBD estimates'!$D$3:$D$1371=""5-14 years"")"),1.87811E-4)</f>
        <v>0.000187811</v>
      </c>
      <c r="AT117" s="555"/>
      <c r="AU117" s="566" t="s">
        <v>855</v>
      </c>
      <c r="AV117" s="557"/>
    </row>
    <row r="118">
      <c r="A118" s="540"/>
      <c r="B118" s="206"/>
      <c r="C118" s="206"/>
      <c r="D118" s="206"/>
      <c r="E118" s="553" t="s">
        <v>268</v>
      </c>
      <c r="F118" s="278" t="s">
        <v>122</v>
      </c>
      <c r="G118" s="279" t="s">
        <v>203</v>
      </c>
      <c r="H118" s="581" t="s">
        <v>150</v>
      </c>
      <c r="I118" s="210">
        <f>IFERROR(__xludf.DUMMYFUNCTION("FILTER('GBD estimates'!$G$3:$G$1371,'GBD estimates'!$B$3:$B$1371=I$3,'GBD estimates'!$E$3:$E$1371=""Pertussis"",'GBD estimates'!$D$3:$D$1371=""15-49 years"")"),4.74E-5)</f>
        <v>0.0000474</v>
      </c>
      <c r="J118" s="210">
        <f>IFERROR(__xludf.DUMMYFUNCTION("FILTER('GBD estimates'!$G$3:$G$1371,'GBD estimates'!$B$3:$B$1371=J$3,'GBD estimates'!$E$3:$E$1371=""Pertussis"",'GBD estimates'!$D$3:$D$1371=""15-49 years"")"),3.78E-5)</f>
        <v>0.0000378</v>
      </c>
      <c r="K118" s="210">
        <f>IFERROR(__xludf.DUMMYFUNCTION("FILTER('GBD estimates'!$G$3:$G$1371,'GBD estimates'!$B$3:$B$1371=K$3,'GBD estimates'!$E$3:$E$1371=""Pertussis"",'GBD estimates'!$D$3:$D$1371=""15-49 years"")"),6.91E-5)</f>
        <v>0.0000691</v>
      </c>
      <c r="L118" s="210">
        <f>IFERROR(__xludf.DUMMYFUNCTION("FILTER('GBD estimates'!$G$3:$G$1371,'GBD estimates'!$B$3:$B$1371=L$3,'GBD estimates'!$E$3:$E$1371=""Pertussis"",'GBD estimates'!$D$3:$D$1371=""15-49 years"")"),3.12E-5)</f>
        <v>0.0000312</v>
      </c>
      <c r="M118" s="210">
        <f>IFERROR(__xludf.DUMMYFUNCTION("FILTER('GBD estimates'!$G$3:$G$1371,'GBD estimates'!$B$3:$B$1371=M$3,'GBD estimates'!$E$3:$E$1371=""Pertussis"",'GBD estimates'!$D$3:$D$1371=""15-49 years"")"),3.37E-5)</f>
        <v>0.0000337</v>
      </c>
      <c r="N118" s="210">
        <f>IFERROR(__xludf.DUMMYFUNCTION("FILTER('GBD estimates'!$G$3:$G$1371,'GBD estimates'!$B$3:$B$1371=N$3,'GBD estimates'!$E$3:$E$1371=""Pertussis"",'GBD estimates'!$D$3:$D$1371=""15-49 years"")"),5.12E-5)</f>
        <v>0.0000512</v>
      </c>
      <c r="O118" s="210">
        <f>IFERROR(__xludf.DUMMYFUNCTION("FILTER('GBD estimates'!$G$3:$G$1371,'GBD estimates'!$B$3:$B$1371=O$3,'GBD estimates'!$E$3:$E$1371=""Pertussis"",'GBD estimates'!$D$3:$D$1371=""15-49 years"")"),5.8E-5)</f>
        <v>0.000058</v>
      </c>
      <c r="P118" s="210">
        <f>IFERROR(__xludf.DUMMYFUNCTION("FILTER('GBD estimates'!$G$3:$G$1371,'GBD estimates'!$B$3:$B$1371=P$3,'GBD estimates'!$E$3:$E$1371=""Pertussis"",'GBD estimates'!$D$3:$D$1371=""15-49 years"")"),6.76E-5)</f>
        <v>0.0000676</v>
      </c>
      <c r="Q118" s="210">
        <f>IFERROR(__xludf.DUMMYFUNCTION("FILTER('GBD estimates'!$G$3:$G$1371,'GBD estimates'!$B$3:$B$1371=Q$3,'GBD estimates'!$E$3:$E$1371=""Pertussis"",'GBD estimates'!$D$3:$D$1371=""15-49 years"")"),6.69E-5)</f>
        <v>0.0000669</v>
      </c>
      <c r="R118" s="210">
        <f>IFERROR(__xludf.DUMMYFUNCTION("FILTER('GBD estimates'!$G$3:$G$1371,'GBD estimates'!$B$3:$B$1371=R$3,'GBD estimates'!$E$3:$E$1371=""Pertussis"",'GBD estimates'!$D$3:$D$1371=""15-49 years"")"),1.07E-5)</f>
        <v>0.0000107</v>
      </c>
      <c r="S118" s="210">
        <f>IFERROR(__xludf.DUMMYFUNCTION("FILTER('GBD estimates'!$G$3:$G$1371,'GBD estimates'!$B$3:$B$1371=S$3,'GBD estimates'!$E$3:$E$1371=""Pertussis"",'GBD estimates'!$D$3:$D$1371=""15-49 years"")"),2.92E-5)</f>
        <v>0.0000292</v>
      </c>
      <c r="T118" s="210">
        <f>IFERROR(__xludf.DUMMYFUNCTION("FILTER('GBD estimates'!$G$3:$G$1371,'GBD estimates'!$B$3:$B$1371=T$3,'GBD estimates'!$E$3:$E$1371=""Pertussis"",'GBD estimates'!$D$3:$D$1371=""15-49 years"")"),1.4E-5)</f>
        <v>0.000014</v>
      </c>
      <c r="U118" s="210">
        <f>IFERROR(__xludf.DUMMYFUNCTION("FILTER('GBD estimates'!$G$3:$G$1371,'GBD estimates'!$B$3:$B$1371=U$3,'GBD estimates'!$E$3:$E$1371=""Pertussis"",'GBD estimates'!$D$3:$D$1371=""15-49 years"")"),2.08E-5)</f>
        <v>0.0000208</v>
      </c>
      <c r="V118" s="210">
        <f>IFERROR(__xludf.DUMMYFUNCTION("FILTER('GBD estimates'!$G$3:$G$1371,'GBD estimates'!$B$3:$B$1371=V$3,'GBD estimates'!$E$3:$E$1371=""Pertussis"",'GBD estimates'!$D$3:$D$1371=""15-49 years"")"),3.01E-5)</f>
        <v>0.0000301</v>
      </c>
      <c r="W118" s="210">
        <f>IFERROR(__xludf.DUMMYFUNCTION("FILTER('GBD estimates'!$G$3:$G$1371,'GBD estimates'!$B$3:$B$1371=W$3,'GBD estimates'!$E$3:$E$1371=""Pertussis"",'GBD estimates'!$D$3:$D$1371=""15-49 years"")"),2.31E-5)</f>
        <v>0.0000231</v>
      </c>
      <c r="X118" s="210">
        <f>IFERROR(__xludf.DUMMYFUNCTION("FILTER('GBD estimates'!$G$3:$G$1371,'GBD estimates'!$B$3:$B$1371=X$3,'GBD estimates'!$E$3:$E$1371=""Pertussis"",'GBD estimates'!$D$3:$D$1371=""15-49 years"")"),3.33E-5)</f>
        <v>0.0000333</v>
      </c>
      <c r="Y118" s="210">
        <f>IFERROR(__xludf.DUMMYFUNCTION("FILTER('GBD estimates'!$G$3:$G$1371,'GBD estimates'!$B$3:$B$1371=Y$3,'GBD estimates'!$E$3:$E$1371=""Pertussis"",'GBD estimates'!$D$3:$D$1371=""15-49 years"")"),1.53E-5)</f>
        <v>0.0000153</v>
      </c>
      <c r="Z118" s="210">
        <f>IFERROR(__xludf.DUMMYFUNCTION("FILTER('GBD estimates'!$G$3:$G$1371,'GBD estimates'!$B$3:$B$1371=Z$3,'GBD estimates'!$E$3:$E$1371=""Pertussis"",'GBD estimates'!$D$3:$D$1371=""15-49 years"")"),1.7E-5)</f>
        <v>0.000017</v>
      </c>
      <c r="AA118" s="210">
        <f>IFERROR(__xludf.DUMMYFUNCTION("FILTER('GBD estimates'!$G$3:$G$1371,'GBD estimates'!$B$3:$B$1371=AA$3,'GBD estimates'!$E$3:$E$1371=""Pertussis"",'GBD estimates'!$D$3:$D$1371=""15-49 years"")"),1.64E-5)</f>
        <v>0.0000164</v>
      </c>
      <c r="AB118" s="210">
        <f>IFERROR(__xludf.DUMMYFUNCTION("FILTER('GBD estimates'!$G$3:$G$1371,'GBD estimates'!$B$3:$B$1371=AB$3,'GBD estimates'!$E$3:$E$1371=""Pertussis"",'GBD estimates'!$D$3:$D$1371=""15-49 years"")"),1.04E-5)</f>
        <v>0.0000104</v>
      </c>
      <c r="AC118" s="210">
        <f>IFERROR(__xludf.DUMMYFUNCTION("FILTER('GBD estimates'!$G$3:$G$1371,'GBD estimates'!$B$3:$B$1371=AC$3,'GBD estimates'!$E$3:$E$1371=""Pertussis"",'GBD estimates'!$D$3:$D$1371=""15-49 years"")"),7.72E-6)</f>
        <v>0.00000772</v>
      </c>
      <c r="AD118" s="210">
        <f>IFERROR(__xludf.DUMMYFUNCTION("FILTER('GBD estimates'!$G$3:$G$1371,'GBD estimates'!$B$3:$B$1371=AD$3,'GBD estimates'!$E$3:$E$1371=""Pertussis"",'GBD estimates'!$D$3:$D$1371=""15-49 years"")"),1.11E-5)</f>
        <v>0.0000111</v>
      </c>
      <c r="AE118" s="210">
        <f>IFERROR(__xludf.DUMMYFUNCTION("FILTER('GBD estimates'!$G$3:$G$1371,'GBD estimates'!$B$3:$B$1371=AE$3,'GBD estimates'!$E$3:$E$1371=""Pertussis"",'GBD estimates'!$D$3:$D$1371=""15-49 years"")"),1.12E-5)</f>
        <v>0.0000112</v>
      </c>
      <c r="AF118" s="210">
        <f>IFERROR(__xludf.DUMMYFUNCTION("FILTER('GBD estimates'!$G$3:$G$1371,'GBD estimates'!$B$3:$B$1371=AF$3,'GBD estimates'!$E$3:$E$1371=""Pertussis"",'GBD estimates'!$D$3:$D$1371=""15-49 years"")"),7.78E-6)</f>
        <v>0.00000778</v>
      </c>
      <c r="AG118" s="210">
        <f>IFERROR(__xludf.DUMMYFUNCTION("FILTER('GBD estimates'!$G$3:$G$1371,'GBD estimates'!$B$3:$B$1371=AG$3,'GBD estimates'!$E$3:$E$1371=""Pertussis"",'GBD estimates'!$D$3:$D$1371=""15-49 years"")"),4.61E-5)</f>
        <v>0.0000461</v>
      </c>
      <c r="AH118" s="210">
        <f>IFERROR(__xludf.DUMMYFUNCTION("FILTER('GBD estimates'!$G$3:$G$1371,'GBD estimates'!$B$3:$B$1371=AH$3,'GBD estimates'!$E$3:$E$1371=""Pertussis"",'GBD estimates'!$D$3:$D$1371=""15-49 years"")"),1.74E-5)</f>
        <v>0.0000174</v>
      </c>
      <c r="AI118" s="210">
        <f>IFERROR(__xludf.DUMMYFUNCTION("FILTER('GBD estimates'!$G$3:$G$1371,'GBD estimates'!$B$3:$B$1371=AI$3,'GBD estimates'!$E$3:$E$1371=""Pertussis"",'GBD estimates'!$D$3:$D$1371=""15-49 years"")"),6.99E-6)</f>
        <v>0.00000699</v>
      </c>
      <c r="AJ118" s="210">
        <f>IFERROR(__xludf.DUMMYFUNCTION("FILTER('GBD estimates'!$G$3:$G$1371,'GBD estimates'!$B$3:$B$1371=AJ$3,'GBD estimates'!$E$3:$E$1371=""Pertussis"",'GBD estimates'!$D$3:$D$1371=""15-49 years"")"),2.56E-5)</f>
        <v>0.0000256</v>
      </c>
      <c r="AK118" s="210">
        <f>IFERROR(__xludf.DUMMYFUNCTION("FILTER('GBD estimates'!$G$3:$G$1371,'GBD estimates'!$B$3:$B$1371=AK$3,'GBD estimates'!$E$3:$E$1371=""Pertussis"",'GBD estimates'!$D$3:$D$1371=""15-49 years"")"),3.68E-5)</f>
        <v>0.0000368</v>
      </c>
      <c r="AL118" s="210">
        <f>IFERROR(__xludf.DUMMYFUNCTION("FILTER('GBD estimates'!$G$3:$G$1371,'GBD estimates'!$B$3:$B$1371=AL$3,'GBD estimates'!$E$3:$E$1371=""Pertussis"",'GBD estimates'!$D$3:$D$1371=""15-49 years"")"),1.91E-5)</f>
        <v>0.0000191</v>
      </c>
      <c r="AM118" s="210">
        <f>IFERROR(__xludf.DUMMYFUNCTION("FILTER('GBD estimates'!$G$3:$G$1371,'GBD estimates'!$B$3:$B$1371=AM$3,'GBD estimates'!$E$3:$E$1371=""Pertussis"",'GBD estimates'!$D$3:$D$1371=""15-49 years"")"),1.23E-5)</f>
        <v>0.0000123</v>
      </c>
      <c r="AN118" s="210">
        <f>IFERROR(__xludf.DUMMYFUNCTION("FILTER('GBD estimates'!$G$3:$G$1371,'GBD estimates'!$B$3:$B$1371=AN$3,'GBD estimates'!$E$3:$E$1371=""Pertussis"",'GBD estimates'!$D$3:$D$1371=""15-49 years"")"),7.68E-6)</f>
        <v>0.00000768</v>
      </c>
      <c r="AO118" s="210">
        <f>IFERROR(__xludf.DUMMYFUNCTION("FILTER('GBD estimates'!$G$3:$G$1371,'GBD estimates'!$B$3:$B$1371=AO$3,'GBD estimates'!$E$3:$E$1371=""Pertussis"",'GBD estimates'!$D$3:$D$1371=""15-49 years"")"),1.7E-5)</f>
        <v>0.000017</v>
      </c>
      <c r="AP118" s="210">
        <f>IFERROR(__xludf.DUMMYFUNCTION("FILTER('GBD estimates'!$G$3:$G$1371,'GBD estimates'!$B$3:$B$1371=AP$3,'GBD estimates'!$E$3:$E$1371=""Pertussis"",'GBD estimates'!$D$3:$D$1371=""15-49 years"")"),1.81E-5)</f>
        <v>0.0000181</v>
      </c>
      <c r="AQ118" s="210">
        <f>IFERROR(__xludf.DUMMYFUNCTION("FILTER('GBD estimates'!$G$3:$G$1371,'GBD estimates'!$B$3:$B$1371=AQ$3,'GBD estimates'!$E$3:$E$1371=""Pertussis"",'GBD estimates'!$D$3:$D$1371=""15-49 years"")"),1.23E-5)</f>
        <v>0.0000123</v>
      </c>
      <c r="AR118" s="210">
        <f>IFERROR(__xludf.DUMMYFUNCTION("FILTER('GBD estimates'!$G$3:$G$1371,'GBD estimates'!$B$3:$B$1371=AR$3,'GBD estimates'!$E$3:$E$1371=""Pertussis"",'GBD estimates'!$D$3:$D$1371=""15-49 years"")"),3.29E-5)</f>
        <v>0.0000329</v>
      </c>
      <c r="AS118" s="210">
        <f>IFERROR(__xludf.DUMMYFUNCTION("FILTER('GBD estimates'!$G$3:$G$1371,'GBD estimates'!$B$3:$B$1371=AS$3,'GBD estimates'!$E$3:$E$1371=""Pertussis"",'GBD estimates'!$D$3:$D$1371=""15-49 years"")"),5.25E-5)</f>
        <v>0.0000525</v>
      </c>
      <c r="AT118" s="555"/>
      <c r="AU118" s="566" t="s">
        <v>855</v>
      </c>
      <c r="AV118" s="557"/>
    </row>
    <row r="119">
      <c r="A119" s="540"/>
      <c r="B119" s="206"/>
      <c r="C119" s="206"/>
      <c r="D119" s="206"/>
      <c r="E119" s="553" t="s">
        <v>271</v>
      </c>
      <c r="F119" s="278" t="s">
        <v>122</v>
      </c>
      <c r="G119" s="279" t="s">
        <v>203</v>
      </c>
      <c r="H119" s="581" t="s">
        <v>150</v>
      </c>
      <c r="I119" s="210">
        <f>IFERROR(__xludf.DUMMYFUNCTION("FILTER('GBD estimates'!$G$3:$G$1371,'GBD estimates'!$B$3:$B$1371=I$3,'GBD estimates'!$E$3:$E$1371=""Pertussis"",'GBD estimates'!$D$3:$D$1371=""50 to 74 years"")"),4.66E-5)</f>
        <v>0.0000466</v>
      </c>
      <c r="J119" s="210">
        <f>IFERROR(__xludf.DUMMYFUNCTION("FILTER('GBD estimates'!$G$3:$G$1371,'GBD estimates'!$B$3:$B$1371=J$3,'GBD estimates'!$E$3:$E$1371=""Pertussis"",'GBD estimates'!$D$3:$D$1371=""50 to 74 years"")"),3.85E-5)</f>
        <v>0.0000385</v>
      </c>
      <c r="K119" s="210">
        <f>IFERROR(__xludf.DUMMYFUNCTION("FILTER('GBD estimates'!$G$3:$G$1371,'GBD estimates'!$B$3:$B$1371=K$3,'GBD estimates'!$E$3:$E$1371=""Pertussis"",'GBD estimates'!$D$3:$D$1371=""50 to 74 years"")"),5.41E-5)</f>
        <v>0.0000541</v>
      </c>
      <c r="L119" s="210">
        <f>IFERROR(__xludf.DUMMYFUNCTION("FILTER('GBD estimates'!$G$3:$G$1371,'GBD estimates'!$B$3:$B$1371=L$3,'GBD estimates'!$E$3:$E$1371=""Pertussis"",'GBD estimates'!$D$3:$D$1371=""50 to 74 years"")"),2.93E-5)</f>
        <v>0.0000293</v>
      </c>
      <c r="M119" s="210">
        <f>IFERROR(__xludf.DUMMYFUNCTION("FILTER('GBD estimates'!$G$3:$G$1371,'GBD estimates'!$B$3:$B$1371=M$3,'GBD estimates'!$E$3:$E$1371=""Pertussis"",'GBD estimates'!$D$3:$D$1371=""50 to 74 years"")"),3.67E-5)</f>
        <v>0.0000367</v>
      </c>
      <c r="N119" s="210">
        <f>IFERROR(__xludf.DUMMYFUNCTION("FILTER('GBD estimates'!$G$3:$G$1371,'GBD estimates'!$B$3:$B$1371=N$3,'GBD estimates'!$E$3:$E$1371=""Pertussis"",'GBD estimates'!$D$3:$D$1371=""50 to 74 years"")"),4.68E-5)</f>
        <v>0.0000468</v>
      </c>
      <c r="O119" s="210">
        <f>IFERROR(__xludf.DUMMYFUNCTION("FILTER('GBD estimates'!$G$3:$G$1371,'GBD estimates'!$B$3:$B$1371=O$3,'GBD estimates'!$E$3:$E$1371=""Pertussis"",'GBD estimates'!$D$3:$D$1371=""50 to 74 years"")"),5.17E-5)</f>
        <v>0.0000517</v>
      </c>
      <c r="P119" s="210">
        <f>IFERROR(__xludf.DUMMYFUNCTION("FILTER('GBD estimates'!$G$3:$G$1371,'GBD estimates'!$B$3:$B$1371=P$3,'GBD estimates'!$E$3:$E$1371=""Pertussis"",'GBD estimates'!$D$3:$D$1371=""50 to 74 years"")"),6.07E-5)</f>
        <v>0.0000607</v>
      </c>
      <c r="Q119" s="210">
        <f>IFERROR(__xludf.DUMMYFUNCTION("FILTER('GBD estimates'!$G$3:$G$1371,'GBD estimates'!$B$3:$B$1371=Q$3,'GBD estimates'!$E$3:$E$1371=""Pertussis"",'GBD estimates'!$D$3:$D$1371=""50 to 74 years"")"),5.99E-5)</f>
        <v>0.0000599</v>
      </c>
      <c r="R119" s="210">
        <f>IFERROR(__xludf.DUMMYFUNCTION("FILTER('GBD estimates'!$G$3:$G$1371,'GBD estimates'!$B$3:$B$1371=R$3,'GBD estimates'!$E$3:$E$1371=""Pertussis"",'GBD estimates'!$D$3:$D$1371=""50 to 74 years"")"),7.78E-6)</f>
        <v>0.00000778</v>
      </c>
      <c r="S119" s="210">
        <f>IFERROR(__xludf.DUMMYFUNCTION("FILTER('GBD estimates'!$G$3:$G$1371,'GBD estimates'!$B$3:$B$1371=S$3,'GBD estimates'!$E$3:$E$1371=""Pertussis"",'GBD estimates'!$D$3:$D$1371=""50 to 74 years"")"),2.21E-5)</f>
        <v>0.0000221</v>
      </c>
      <c r="T119" s="210">
        <f>IFERROR(__xludf.DUMMYFUNCTION("FILTER('GBD estimates'!$G$3:$G$1371,'GBD estimates'!$B$3:$B$1371=T$3,'GBD estimates'!$E$3:$E$1371=""Pertussis"",'GBD estimates'!$D$3:$D$1371=""50 to 74 years"")"),9.84E-6)</f>
        <v>0.00000984</v>
      </c>
      <c r="U119" s="210">
        <f>IFERROR(__xludf.DUMMYFUNCTION("FILTER('GBD estimates'!$G$3:$G$1371,'GBD estimates'!$B$3:$B$1371=U$3,'GBD estimates'!$E$3:$E$1371=""Pertussis"",'GBD estimates'!$D$3:$D$1371=""50 to 74 years"")"),1.33E-5)</f>
        <v>0.0000133</v>
      </c>
      <c r="V119" s="210">
        <f>IFERROR(__xludf.DUMMYFUNCTION("FILTER('GBD estimates'!$G$3:$G$1371,'GBD estimates'!$B$3:$B$1371=V$3,'GBD estimates'!$E$3:$E$1371=""Pertussis"",'GBD estimates'!$D$3:$D$1371=""50 to 74 years"")"),1.89E-5)</f>
        <v>0.0000189</v>
      </c>
      <c r="W119" s="210">
        <f>IFERROR(__xludf.DUMMYFUNCTION("FILTER('GBD estimates'!$G$3:$G$1371,'GBD estimates'!$B$3:$B$1371=W$3,'GBD estimates'!$E$3:$E$1371=""Pertussis"",'GBD estimates'!$D$3:$D$1371=""50 to 74 years"")"),1.42E-5)</f>
        <v>0.0000142</v>
      </c>
      <c r="X119" s="210">
        <f>IFERROR(__xludf.DUMMYFUNCTION("FILTER('GBD estimates'!$G$3:$G$1371,'GBD estimates'!$B$3:$B$1371=X$3,'GBD estimates'!$E$3:$E$1371=""Pertussis"",'GBD estimates'!$D$3:$D$1371=""50 to 74 years"")"),2.91E-5)</f>
        <v>0.0000291</v>
      </c>
      <c r="Y119" s="210">
        <f>IFERROR(__xludf.DUMMYFUNCTION("FILTER('GBD estimates'!$G$3:$G$1371,'GBD estimates'!$B$3:$B$1371=Y$3,'GBD estimates'!$E$3:$E$1371=""Pertussis"",'GBD estimates'!$D$3:$D$1371=""50 to 74 years"")"),1.0E-5)</f>
        <v>0.00001</v>
      </c>
      <c r="Z119" s="210">
        <f>IFERROR(__xludf.DUMMYFUNCTION("FILTER('GBD estimates'!$G$3:$G$1371,'GBD estimates'!$B$3:$B$1371=Z$3,'GBD estimates'!$E$3:$E$1371=""Pertussis"",'GBD estimates'!$D$3:$D$1371=""50 to 74 years"")"),1.16E-5)</f>
        <v>0.0000116</v>
      </c>
      <c r="AA119" s="210">
        <f>IFERROR(__xludf.DUMMYFUNCTION("FILTER('GBD estimates'!$G$3:$G$1371,'GBD estimates'!$B$3:$B$1371=AA$3,'GBD estimates'!$E$3:$E$1371=""Pertussis"",'GBD estimates'!$D$3:$D$1371=""50 to 74 years"")"),1.1E-5)</f>
        <v>0.000011</v>
      </c>
      <c r="AB119" s="210">
        <f>IFERROR(__xludf.DUMMYFUNCTION("FILTER('GBD estimates'!$G$3:$G$1371,'GBD estimates'!$B$3:$B$1371=AB$3,'GBD estimates'!$E$3:$E$1371=""Pertussis"",'GBD estimates'!$D$3:$D$1371=""50 to 74 years"")"),8.02E-6)</f>
        <v>0.00000802</v>
      </c>
      <c r="AC119" s="210">
        <f>IFERROR(__xludf.DUMMYFUNCTION("FILTER('GBD estimates'!$G$3:$G$1371,'GBD estimates'!$B$3:$B$1371=AC$3,'GBD estimates'!$E$3:$E$1371=""Pertussis"",'GBD estimates'!$D$3:$D$1371=""50 to 74 years"")"),5.39E-6)</f>
        <v>0.00000539</v>
      </c>
      <c r="AD119" s="210">
        <f>IFERROR(__xludf.DUMMYFUNCTION("FILTER('GBD estimates'!$G$3:$G$1371,'GBD estimates'!$B$3:$B$1371=AD$3,'GBD estimates'!$E$3:$E$1371=""Pertussis"",'GBD estimates'!$D$3:$D$1371=""50 to 74 years"")"),7.3E-6)</f>
        <v>0.0000073</v>
      </c>
      <c r="AE119" s="210">
        <f>IFERROR(__xludf.DUMMYFUNCTION("FILTER('GBD estimates'!$G$3:$G$1371,'GBD estimates'!$B$3:$B$1371=AE$3,'GBD estimates'!$E$3:$E$1371=""Pertussis"",'GBD estimates'!$D$3:$D$1371=""50 to 74 years"")"),8.41E-6)</f>
        <v>0.00000841</v>
      </c>
      <c r="AF119" s="210">
        <f>IFERROR(__xludf.DUMMYFUNCTION("FILTER('GBD estimates'!$G$3:$G$1371,'GBD estimates'!$B$3:$B$1371=AF$3,'GBD estimates'!$E$3:$E$1371=""Pertussis"",'GBD estimates'!$D$3:$D$1371=""50 to 74 years"")"),5.45E-6)</f>
        <v>0.00000545</v>
      </c>
      <c r="AG119" s="210">
        <f>IFERROR(__xludf.DUMMYFUNCTION("FILTER('GBD estimates'!$G$3:$G$1371,'GBD estimates'!$B$3:$B$1371=AG$3,'GBD estimates'!$E$3:$E$1371=""Pertussis"",'GBD estimates'!$D$3:$D$1371=""50 to 74 years"")"),2.71E-5)</f>
        <v>0.0000271</v>
      </c>
      <c r="AH119" s="210">
        <f>IFERROR(__xludf.DUMMYFUNCTION("FILTER('GBD estimates'!$G$3:$G$1371,'GBD estimates'!$B$3:$B$1371=AH$3,'GBD estimates'!$E$3:$E$1371=""Pertussis"",'GBD estimates'!$D$3:$D$1371=""50 to 74 years"")"),1.29E-5)</f>
        <v>0.0000129</v>
      </c>
      <c r="AI119" s="210">
        <f>IFERROR(__xludf.DUMMYFUNCTION("FILTER('GBD estimates'!$G$3:$G$1371,'GBD estimates'!$B$3:$B$1371=AI$3,'GBD estimates'!$E$3:$E$1371=""Pertussis"",'GBD estimates'!$D$3:$D$1371=""50 to 74 years"")"),5.48E-6)</f>
        <v>0.00000548</v>
      </c>
      <c r="AJ119" s="210">
        <f>IFERROR(__xludf.DUMMYFUNCTION("FILTER('GBD estimates'!$G$3:$G$1371,'GBD estimates'!$B$3:$B$1371=AJ$3,'GBD estimates'!$E$3:$E$1371=""Pertussis"",'GBD estimates'!$D$3:$D$1371=""50 to 74 years"")"),1.87E-5)</f>
        <v>0.0000187</v>
      </c>
      <c r="AK119" s="210">
        <f>IFERROR(__xludf.DUMMYFUNCTION("FILTER('GBD estimates'!$G$3:$G$1371,'GBD estimates'!$B$3:$B$1371=AK$3,'GBD estimates'!$E$3:$E$1371=""Pertussis"",'GBD estimates'!$D$3:$D$1371=""50 to 74 years"")"),2.96E-5)</f>
        <v>0.0000296</v>
      </c>
      <c r="AL119" s="210">
        <f>IFERROR(__xludf.DUMMYFUNCTION("FILTER('GBD estimates'!$G$3:$G$1371,'GBD estimates'!$B$3:$B$1371=AL$3,'GBD estimates'!$E$3:$E$1371=""Pertussis"",'GBD estimates'!$D$3:$D$1371=""50 to 74 years"")"),1.28E-5)</f>
        <v>0.0000128</v>
      </c>
      <c r="AM119" s="210">
        <f>IFERROR(__xludf.DUMMYFUNCTION("FILTER('GBD estimates'!$G$3:$G$1371,'GBD estimates'!$B$3:$B$1371=AM$3,'GBD estimates'!$E$3:$E$1371=""Pertussis"",'GBD estimates'!$D$3:$D$1371=""50 to 74 years"")"),7.79E-6)</f>
        <v>0.00000779</v>
      </c>
      <c r="AN119" s="210">
        <f>IFERROR(__xludf.DUMMYFUNCTION("FILTER('GBD estimates'!$G$3:$G$1371,'GBD estimates'!$B$3:$B$1371=AN$3,'GBD estimates'!$E$3:$E$1371=""Pertussis"",'GBD estimates'!$D$3:$D$1371=""50 to 74 years"")"),5.38E-6)</f>
        <v>0.00000538</v>
      </c>
      <c r="AO119" s="210">
        <f>IFERROR(__xludf.DUMMYFUNCTION("FILTER('GBD estimates'!$G$3:$G$1371,'GBD estimates'!$B$3:$B$1371=AO$3,'GBD estimates'!$E$3:$E$1371=""Pertussis"",'GBD estimates'!$D$3:$D$1371=""50 to 74 years"")"),1.23E-5)</f>
        <v>0.0000123</v>
      </c>
      <c r="AP119" s="210">
        <f>IFERROR(__xludf.DUMMYFUNCTION("FILTER('GBD estimates'!$G$3:$G$1371,'GBD estimates'!$B$3:$B$1371=AP$3,'GBD estimates'!$E$3:$E$1371=""Pertussis"",'GBD estimates'!$D$3:$D$1371=""50 to 74 years"")"),1.31E-5)</f>
        <v>0.0000131</v>
      </c>
      <c r="AQ119" s="210">
        <f>IFERROR(__xludf.DUMMYFUNCTION("FILTER('GBD estimates'!$G$3:$G$1371,'GBD estimates'!$B$3:$B$1371=AQ$3,'GBD estimates'!$E$3:$E$1371=""Pertussis"",'GBD estimates'!$D$3:$D$1371=""50 to 74 years"")"),9.29E-6)</f>
        <v>0.00000929</v>
      </c>
      <c r="AR119" s="210">
        <f>IFERROR(__xludf.DUMMYFUNCTION("FILTER('GBD estimates'!$G$3:$G$1371,'GBD estimates'!$B$3:$B$1371=AR$3,'GBD estimates'!$E$3:$E$1371=""Pertussis"",'GBD estimates'!$D$3:$D$1371=""50 to 74 years"")"),3.27E-5)</f>
        <v>0.0000327</v>
      </c>
      <c r="AS119" s="210">
        <f>IFERROR(__xludf.DUMMYFUNCTION("FILTER('GBD estimates'!$G$3:$G$1371,'GBD estimates'!$B$3:$B$1371=AS$3,'GBD estimates'!$E$3:$E$1371=""Pertussis"",'GBD estimates'!$D$3:$D$1371=""50 to 74 years"")"),4.43E-5)</f>
        <v>0.0000443</v>
      </c>
      <c r="AT119" s="555"/>
      <c r="AU119" s="566" t="s">
        <v>855</v>
      </c>
      <c r="AV119" s="557"/>
    </row>
    <row r="120">
      <c r="A120" s="540"/>
      <c r="B120" s="206"/>
      <c r="C120" s="206"/>
      <c r="D120" s="206"/>
      <c r="E120" s="548" t="s">
        <v>277</v>
      </c>
      <c r="F120" s="207" t="s">
        <v>111</v>
      </c>
      <c r="G120" s="208" t="s">
        <v>203</v>
      </c>
      <c r="H120" s="578" t="s">
        <v>150</v>
      </c>
      <c r="I120" s="294">
        <f>IFERROR(__xludf.DUMMYFUNCTION("FILTER('GBD estimates'!$R$3:$R$1713,'GBD estimates'!$K$3:$K$1713=I$3,'GBD estimates'!$L$3:$L$1713=""Pertussis"",'GBD estimates'!$N$3:$N$1713=""Under 5"")"),540.8011157)</f>
        <v>540.8011157</v>
      </c>
      <c r="J120" s="294">
        <f>IFERROR(__xludf.DUMMYFUNCTION("FILTER('GBD estimates'!$R$3:$R$1713,'GBD estimates'!$K$3:$K$1713=J$3,'GBD estimates'!$L$3:$L$1713=""Pertussis"",'GBD estimates'!$N$3:$N$1713=""Under 5"")"),224.345146)</f>
        <v>224.345146</v>
      </c>
      <c r="K120" s="294">
        <f>IFERROR(__xludf.DUMMYFUNCTION("FILTER('GBD estimates'!$R$3:$R$1713,'GBD estimates'!$K$3:$K$1713=K$3,'GBD estimates'!$L$3:$L$1713=""Pertussis"",'GBD estimates'!$N$3:$N$1713=""Under 5"")"),530.8905851)</f>
        <v>530.8905851</v>
      </c>
      <c r="L120" s="294">
        <f>IFERROR(__xludf.DUMMYFUNCTION("FILTER('GBD estimates'!$R$3:$R$1713,'GBD estimates'!$K$3:$K$1713=L$3,'GBD estimates'!$L$3:$L$1713=""Pertussis"",'GBD estimates'!$N$3:$N$1713=""Under 5"")"),467.3780154)</f>
        <v>467.3780154</v>
      </c>
      <c r="M120" s="294">
        <f>IFERROR(__xludf.DUMMYFUNCTION("FILTER('GBD estimates'!$R$3:$R$1713,'GBD estimates'!$K$3:$K$1713=M$3,'GBD estimates'!$L$3:$L$1713=""Pertussis"",'GBD estimates'!$N$3:$N$1713=""Under 5"")"),980.0860812)</f>
        <v>980.0860812</v>
      </c>
      <c r="N120" s="294">
        <f>IFERROR(__xludf.DUMMYFUNCTION("FILTER('GBD estimates'!$R$3:$R$1713,'GBD estimates'!$K$3:$K$1713=N$3,'GBD estimates'!$L$3:$L$1713=""Pertussis"",'GBD estimates'!$N$3:$N$1713=""Under 5"")"),788.1841524)</f>
        <v>788.1841524</v>
      </c>
      <c r="O120" s="294">
        <f>IFERROR(__xludf.DUMMYFUNCTION("FILTER('GBD estimates'!$R$3:$R$1713,'GBD estimates'!$K$3:$K$1713=O$3,'GBD estimates'!$L$3:$L$1713=""Pertussis"",'GBD estimates'!$N$3:$N$1713=""Under 5"")"),403.5331121)</f>
        <v>403.5331121</v>
      </c>
      <c r="P120" s="294">
        <f>IFERROR(__xludf.DUMMYFUNCTION("FILTER('GBD estimates'!$R$3:$R$1713,'GBD estimates'!$K$3:$K$1713=P$3,'GBD estimates'!$L$3:$L$1713=""Pertussis"",'GBD estimates'!$N$3:$N$1713=""Under 5"")"),691.8503844)</f>
        <v>691.8503844</v>
      </c>
      <c r="Q120" s="294">
        <f>IFERROR(__xludf.DUMMYFUNCTION("FILTER('GBD estimates'!$R$3:$R$1713,'GBD estimates'!$K$3:$K$1713=Q$3,'GBD estimates'!$L$3:$L$1713=""Pertussis"",'GBD estimates'!$N$3:$N$1713=""Under 5"")"),441.3439874)</f>
        <v>441.3439874</v>
      </c>
      <c r="R120" s="294">
        <f>IFERROR(__xludf.DUMMYFUNCTION("FILTER('GBD estimates'!$R$3:$R$1713,'GBD estimates'!$K$3:$K$1713=R$3,'GBD estimates'!$L$3:$L$1713=""Pertussis"",'GBD estimates'!$N$3:$N$1713=""Under 5"")"),45.51206907)</f>
        <v>45.51206907</v>
      </c>
      <c r="S120" s="294">
        <f>IFERROR(__xludf.DUMMYFUNCTION("FILTER('GBD estimates'!$R$3:$R$1713,'GBD estimates'!$K$3:$K$1713=S$3,'GBD estimates'!$L$3:$L$1713=""Pertussis"",'GBD estimates'!$N$3:$N$1713=""Under 5"")"),119.6846827)</f>
        <v>119.6846827</v>
      </c>
      <c r="T120" s="294">
        <f>IFERROR(__xludf.DUMMYFUNCTION("FILTER('GBD estimates'!$R$3:$R$1713,'GBD estimates'!$K$3:$K$1713=T$3,'GBD estimates'!$L$3:$L$1713=""Pertussis"",'GBD estimates'!$N$3:$N$1713=""Under 5"")"),21.4097731)</f>
        <v>21.4097731</v>
      </c>
      <c r="U120" s="294">
        <f>IFERROR(__xludf.DUMMYFUNCTION("FILTER('GBD estimates'!$R$3:$R$1713,'GBD estimates'!$K$3:$K$1713=U$3,'GBD estimates'!$L$3:$L$1713=""Pertussis"",'GBD estimates'!$N$3:$N$1713=""Under 5"")"),90.01817195)</f>
        <v>90.01817195</v>
      </c>
      <c r="V120" s="294">
        <f>IFERROR(__xludf.DUMMYFUNCTION("FILTER('GBD estimates'!$R$3:$R$1713,'GBD estimates'!$K$3:$K$1713=V$3,'GBD estimates'!$L$3:$L$1713=""Pertussis"",'GBD estimates'!$N$3:$N$1713=""Under 5"")"),17.17539435)</f>
        <v>17.17539435</v>
      </c>
      <c r="W120" s="294">
        <f>IFERROR(__xludf.DUMMYFUNCTION("FILTER('GBD estimates'!$R$3:$R$1713,'GBD estimates'!$K$3:$K$1713=W$3,'GBD estimates'!$L$3:$L$1713=""Pertussis"",'GBD estimates'!$N$3:$N$1713=""Under 5"")"),189.8240928)</f>
        <v>189.8240928</v>
      </c>
      <c r="X120" s="294">
        <f>IFERROR(__xludf.DUMMYFUNCTION("FILTER('GBD estimates'!$R$3:$R$1713,'GBD estimates'!$K$3:$K$1713=X$3,'GBD estimates'!$L$3:$L$1713=""Pertussis"",'GBD estimates'!$N$3:$N$1713=""Under 5"")"),165.9417811)</f>
        <v>165.9417811</v>
      </c>
      <c r="Y120" s="294">
        <f>IFERROR(__xludf.DUMMYFUNCTION("FILTER('GBD estimates'!$R$3:$R$1713,'GBD estimates'!$K$3:$K$1713=Y$3,'GBD estimates'!$L$3:$L$1713=""Pertussis"",'GBD estimates'!$N$3:$N$1713=""Under 5"")"),27.43035327)</f>
        <v>27.43035327</v>
      </c>
      <c r="Z120" s="294">
        <f>IFERROR(__xludf.DUMMYFUNCTION("FILTER('GBD estimates'!$R$3:$R$1713,'GBD estimates'!$K$3:$K$1713=Z$3,'GBD estimates'!$L$3:$L$1713=""Pertussis"",'GBD estimates'!$N$3:$N$1713=""Under 5"")"),55.49172414)</f>
        <v>55.49172414</v>
      </c>
      <c r="AA120" s="294">
        <f>IFERROR(__xludf.DUMMYFUNCTION("FILTER('GBD estimates'!$R$3:$R$1713,'GBD estimates'!$K$3:$K$1713=AA$3,'GBD estimates'!$L$3:$L$1713=""Pertussis"",'GBD estimates'!$N$3:$N$1713=""Under 5"")"),48.19076233)</f>
        <v>48.19076233</v>
      </c>
      <c r="AB120" s="294">
        <f>IFERROR(__xludf.DUMMYFUNCTION("FILTER('GBD estimates'!$R$3:$R$1713,'GBD estimates'!$K$3:$K$1713=AB$3,'GBD estimates'!$L$3:$L$1713=""Pertussis"",'GBD estimates'!$N$3:$N$1713=""Under 5"")"),33.34002946)</f>
        <v>33.34002946</v>
      </c>
      <c r="AC120" s="294">
        <f>IFERROR(__xludf.DUMMYFUNCTION("FILTER('GBD estimates'!$R$3:$R$1713,'GBD estimates'!$K$3:$K$1713=AC$3,'GBD estimates'!$L$3:$L$1713=""Pertussis"",'GBD estimates'!$N$3:$N$1713=""Under 5"")"),9.735488309)</f>
        <v>9.735488309</v>
      </c>
      <c r="AD120" s="294">
        <f>IFERROR(__xludf.DUMMYFUNCTION("FILTER('GBD estimates'!$R$3:$R$1713,'GBD estimates'!$K$3:$K$1713=AD$3,'GBD estimates'!$L$3:$L$1713=""Pertussis"",'GBD estimates'!$N$3:$N$1713=""Under 5"")"),32.85350986)</f>
        <v>32.85350986</v>
      </c>
      <c r="AE120" s="294">
        <f>IFERROR(__xludf.DUMMYFUNCTION("FILTER('GBD estimates'!$R$3:$R$1713,'GBD estimates'!$K$3:$K$1713=AE$3,'GBD estimates'!$L$3:$L$1713=""Pertussis"",'GBD estimates'!$N$3:$N$1713=""Under 5"")"),61.69118541)</f>
        <v>61.69118541</v>
      </c>
      <c r="AF120" s="294">
        <f>IFERROR(__xludf.DUMMYFUNCTION("FILTER('GBD estimates'!$R$3:$R$1713,'GBD estimates'!$K$3:$K$1713=AF$3,'GBD estimates'!$L$3:$L$1713=""Pertussis"",'GBD estimates'!$N$3:$N$1713=""Under 5"")"),57.44254279)</f>
        <v>57.44254279</v>
      </c>
      <c r="AG120" s="294">
        <f>IFERROR(__xludf.DUMMYFUNCTION("FILTER('GBD estimates'!$R$3:$R$1713,'GBD estimates'!$K$3:$K$1713=AG$3,'GBD estimates'!$L$3:$L$1713=""Pertussis"",'GBD estimates'!$N$3:$N$1713=""Under 5"")"),89.28366102)</f>
        <v>89.28366102</v>
      </c>
      <c r="AH120" s="294">
        <f>IFERROR(__xludf.DUMMYFUNCTION("FILTER('GBD estimates'!$R$3:$R$1713,'GBD estimates'!$K$3:$K$1713=AH$3,'GBD estimates'!$L$3:$L$1713=""Pertussis"",'GBD estimates'!$N$3:$N$1713=""Under 5"")"),36.36779927)</f>
        <v>36.36779927</v>
      </c>
      <c r="AI120" s="294">
        <f>IFERROR(__xludf.DUMMYFUNCTION("FILTER('GBD estimates'!$R$3:$R$1713,'GBD estimates'!$K$3:$K$1713=AI$3,'GBD estimates'!$L$3:$L$1713=""Pertussis"",'GBD estimates'!$N$3:$N$1713=""Under 5"")"),21.25609156)</f>
        <v>21.25609156</v>
      </c>
      <c r="AJ120" s="294">
        <f>IFERROR(__xludf.DUMMYFUNCTION("FILTER('GBD estimates'!$R$3:$R$1713,'GBD estimates'!$K$3:$K$1713=AJ$3,'GBD estimates'!$L$3:$L$1713=""Pertussis"",'GBD estimates'!$N$3:$N$1713=""Under 5"")"),147.1413366)</f>
        <v>147.1413366</v>
      </c>
      <c r="AK120" s="294">
        <f>IFERROR(__xludf.DUMMYFUNCTION("FILTER('GBD estimates'!$R$3:$R$1713,'GBD estimates'!$K$3:$K$1713=AK$3,'GBD estimates'!$L$3:$L$1713=""Pertussis"",'GBD estimates'!$N$3:$N$1713=""Under 5"")"),470.9719226)</f>
        <v>470.9719226</v>
      </c>
      <c r="AL120" s="294">
        <f>IFERROR(__xludf.DUMMYFUNCTION("FILTER('GBD estimates'!$R$3:$R$1713,'GBD estimates'!$K$3:$K$1713=AL$3,'GBD estimates'!$L$3:$L$1713=""Pertussis"",'GBD estimates'!$N$3:$N$1713=""Under 5"")"),162.4752605)</f>
        <v>162.4752605</v>
      </c>
      <c r="AM120" s="294">
        <f>IFERROR(__xludf.DUMMYFUNCTION("FILTER('GBD estimates'!$R$3:$R$1713,'GBD estimates'!$K$3:$K$1713=AM$3,'GBD estimates'!$L$3:$L$1713=""Pertussis"",'GBD estimates'!$N$3:$N$1713=""Under 5"")"),31.70792364)</f>
        <v>31.70792364</v>
      </c>
      <c r="AN120" s="294">
        <f>IFERROR(__xludf.DUMMYFUNCTION("FILTER('GBD estimates'!$R$3:$R$1713,'GBD estimates'!$K$3:$K$1713=AN$3,'GBD estimates'!$L$3:$L$1713=""Pertussis"",'GBD estimates'!$N$3:$N$1713=""Under 5"")"),20.91062685)</f>
        <v>20.91062685</v>
      </c>
      <c r="AO120" s="294">
        <f>IFERROR(__xludf.DUMMYFUNCTION("FILTER('GBD estimates'!$R$3:$R$1713,'GBD estimates'!$K$3:$K$1713=AO$3,'GBD estimates'!$L$3:$L$1713=""Pertussis"",'GBD estimates'!$N$3:$N$1713=""Under 5"")"),68.1150623)</f>
        <v>68.1150623</v>
      </c>
      <c r="AP120" s="294">
        <f>IFERROR(__xludf.DUMMYFUNCTION("FILTER('GBD estimates'!$R$3:$R$1713,'GBD estimates'!$K$3:$K$1713=AP$3,'GBD estimates'!$L$3:$L$1713=""Pertussis"",'GBD estimates'!$N$3:$N$1713=""Under 5"")"),160.2433634)</f>
        <v>160.2433634</v>
      </c>
      <c r="AQ120" s="294">
        <f>IFERROR(__xludf.DUMMYFUNCTION("FILTER('GBD estimates'!$R$3:$R$1713,'GBD estimates'!$K$3:$K$1713=AQ$3,'GBD estimates'!$L$3:$L$1713=""Pertussis"",'GBD estimates'!$N$3:$N$1713=""Under 5"")"),34.47277344)</f>
        <v>34.47277344</v>
      </c>
      <c r="AR120" s="294">
        <f>IFERROR(__xludf.DUMMYFUNCTION("FILTER('GBD estimates'!$R$3:$R$1713,'GBD estimates'!$K$3:$K$1713=AR$3,'GBD estimates'!$L$3:$L$1713=""Pertussis"",'GBD estimates'!$N$3:$N$1713=""Under 5"")"),355.815953)</f>
        <v>355.815953</v>
      </c>
      <c r="AS120" s="294">
        <f>IFERROR(__xludf.DUMMYFUNCTION("FILTER('GBD estimates'!$R$3:$R$1713,'GBD estimates'!$K$3:$K$1713=AS$3,'GBD estimates'!$L$3:$L$1713=""Pertussis"",'GBD estimates'!$N$3:$N$1713=""Under 5"")"),267.2085607)</f>
        <v>267.2085607</v>
      </c>
      <c r="AT120" s="550"/>
      <c r="AU120" s="562" t="s">
        <v>855</v>
      </c>
      <c r="AV120" s="552"/>
    </row>
    <row r="121">
      <c r="A121" s="540"/>
      <c r="B121" s="206"/>
      <c r="C121" s="206"/>
      <c r="D121" s="206"/>
      <c r="E121" s="553" t="s">
        <v>278</v>
      </c>
      <c r="F121" s="278" t="s">
        <v>111</v>
      </c>
      <c r="G121" s="279" t="s">
        <v>203</v>
      </c>
      <c r="H121" s="581" t="s">
        <v>150</v>
      </c>
      <c r="I121" s="294">
        <f>IFERROR(__xludf.DUMMYFUNCTION("SUM(FILTER('GBD estimates'!$R$3:$R$1371,'GBD estimates'!$K$3:$K$1371=I$3,'GBD estimates'!$L$3:$L$1371=""Pertussis"",'GBD estimates'!$N$3:$N$1371=""Early Neonatal""),FILTER('GBD estimates'!$R$3:$R$1371,'GBD estimates'!$K$3:$K$1371=I$3,'GBD estimates'!$L$3:"&amp;"$L$1371=""Pertussis"",'GBD estimates'!$N$3:$N$1371=""Late Neonatal""),FILTER('GBD estimates'!$R$3:$R$1371,'GBD estimates'!$K$3:$K$1371=I$3,'GBD estimates'!$L$3:$L$1371=""Pertussis"",'GBD estimates'!$N$3:$N$1371=""Post Neonatal""))"),189.8339379)</f>
        <v>189.8339379</v>
      </c>
      <c r="J121" s="294">
        <f>IFERROR(__xludf.DUMMYFUNCTION("SUM(FILTER('GBD estimates'!$R$3:$R$1371,'GBD estimates'!$K$3:$K$1371=J$3,'GBD estimates'!$L$3:$L$1371=""Pertussis"",'GBD estimates'!$N$3:$N$1371=""Early Neonatal""),FILTER('GBD estimates'!$R$3:$R$1371,'GBD estimates'!$K$3:$K$1371=J$3,'GBD estimates'!$L$3:"&amp;"$L$1371=""Pertussis"",'GBD estimates'!$N$3:$N$1371=""Late Neonatal""),FILTER('GBD estimates'!$R$3:$R$1371,'GBD estimates'!$K$3:$K$1371=J$3,'GBD estimates'!$L$3:$L$1371=""Pertussis"",'GBD estimates'!$N$3:$N$1371=""Post Neonatal""))"),81.0002238)</f>
        <v>81.0002238</v>
      </c>
      <c r="K121" s="294">
        <f>IFERROR(__xludf.DUMMYFUNCTION("SUM(FILTER('GBD estimates'!$R$3:$R$1371,'GBD estimates'!$K$3:$K$1371=K$3,'GBD estimates'!$L$3:$L$1371=""Pertussis"",'GBD estimates'!$N$3:$N$1371=""Early Neonatal""),FILTER('GBD estimates'!$R$3:$R$1371,'GBD estimates'!$K$3:$K$1371=K$3,'GBD estimates'!$L$3:"&amp;"$L$1371=""Pertussis"",'GBD estimates'!$N$3:$N$1371=""Late Neonatal""),FILTER('GBD estimates'!$R$3:$R$1371,'GBD estimates'!$K$3:$K$1371=K$3,'GBD estimates'!$L$3:$L$1371=""Pertussis"",'GBD estimates'!$N$3:$N$1371=""Post Neonatal""))"),199.569061)</f>
        <v>199.569061</v>
      </c>
      <c r="L121" s="294">
        <f>IFERROR(__xludf.DUMMYFUNCTION("SUM(FILTER('GBD estimates'!$R$3:$R$1371,'GBD estimates'!$K$3:$K$1371=L$3,'GBD estimates'!$L$3:$L$1371=""Pertussis"",'GBD estimates'!$N$3:$N$1371=""Early Neonatal""),FILTER('GBD estimates'!$R$3:$R$1371,'GBD estimates'!$K$3:$K$1371=L$3,'GBD estimates'!$L$3:"&amp;"$L$1371=""Pertussis"",'GBD estimates'!$N$3:$N$1371=""Late Neonatal""),FILTER('GBD estimates'!$R$3:$R$1371,'GBD estimates'!$K$3:$K$1371=L$3,'GBD estimates'!$L$3:$L$1371=""Pertussis"",'GBD estimates'!$N$3:$N$1371=""Post Neonatal""))"),197.5509697)</f>
        <v>197.5509697</v>
      </c>
      <c r="M121" s="294">
        <f>IFERROR(__xludf.DUMMYFUNCTION("SUM(FILTER('GBD estimates'!$R$3:$R$1371,'GBD estimates'!$K$3:$K$1371=M$3,'GBD estimates'!$L$3:$L$1371=""Pertussis"",'GBD estimates'!$N$3:$N$1371=""Early Neonatal""),FILTER('GBD estimates'!$R$3:$R$1371,'GBD estimates'!$K$3:$K$1371=M$3,'GBD estimates'!$L$3:"&amp;"$L$1371=""Pertussis"",'GBD estimates'!$N$3:$N$1371=""Late Neonatal""),FILTER('GBD estimates'!$R$3:$R$1371,'GBD estimates'!$K$3:$K$1371=M$3,'GBD estimates'!$L$3:$L$1371=""Pertussis"",'GBD estimates'!$N$3:$N$1371=""Post Neonatal""))"),363.1260394)</f>
        <v>363.1260394</v>
      </c>
      <c r="N121" s="294">
        <f>IFERROR(__xludf.DUMMYFUNCTION("SUM(FILTER('GBD estimates'!$R$3:$R$1371,'GBD estimates'!$K$3:$K$1371=N$3,'GBD estimates'!$L$3:$L$1371=""Pertussis"",'GBD estimates'!$N$3:$N$1371=""Early Neonatal""),FILTER('GBD estimates'!$R$3:$R$1371,'GBD estimates'!$K$3:$K$1371=N$3,'GBD estimates'!$L$3:"&amp;"$L$1371=""Pertussis"",'GBD estimates'!$N$3:$N$1371=""Late Neonatal""),FILTER('GBD estimates'!$R$3:$R$1371,'GBD estimates'!$K$3:$K$1371=N$3,'GBD estimates'!$L$3:$L$1371=""Pertussis"",'GBD estimates'!$N$3:$N$1371=""Post Neonatal""))"),306.1586707)</f>
        <v>306.1586707</v>
      </c>
      <c r="O121" s="294">
        <f>IFERROR(__xludf.DUMMYFUNCTION("SUM(FILTER('GBD estimates'!$R$3:$R$1371,'GBD estimates'!$K$3:$K$1371=O$3,'GBD estimates'!$L$3:$L$1371=""Pertussis"",'GBD estimates'!$N$3:$N$1371=""Early Neonatal""),FILTER('GBD estimates'!$R$3:$R$1371,'GBD estimates'!$K$3:$K$1371=O$3,'GBD estimates'!$L$3:"&amp;"$L$1371=""Pertussis"",'GBD estimates'!$N$3:$N$1371=""Late Neonatal""),FILTER('GBD estimates'!$R$3:$R$1371,'GBD estimates'!$K$3:$K$1371=O$3,'GBD estimates'!$L$3:$L$1371=""Pertussis"",'GBD estimates'!$N$3:$N$1371=""Post Neonatal""))"),151.4564727)</f>
        <v>151.4564727</v>
      </c>
      <c r="P121" s="294">
        <f>IFERROR(__xludf.DUMMYFUNCTION("SUM(FILTER('GBD estimates'!$R$3:$R$1371,'GBD estimates'!$K$3:$K$1371=P$3,'GBD estimates'!$L$3:$L$1371=""Pertussis"",'GBD estimates'!$N$3:$N$1371=""Early Neonatal""),FILTER('GBD estimates'!$R$3:$R$1371,'GBD estimates'!$K$3:$K$1371=P$3,'GBD estimates'!$L$3:"&amp;"$L$1371=""Pertussis"",'GBD estimates'!$N$3:$N$1371=""Late Neonatal""),FILTER('GBD estimates'!$R$3:$R$1371,'GBD estimates'!$K$3:$K$1371=P$3,'GBD estimates'!$L$3:$L$1371=""Pertussis"",'GBD estimates'!$N$3:$N$1371=""Post Neonatal""))"),250.6856765)</f>
        <v>250.6856765</v>
      </c>
      <c r="Q121" s="294">
        <f>IFERROR(__xludf.DUMMYFUNCTION("SUM(FILTER('GBD estimates'!$R$3:$R$1371,'GBD estimates'!$K$3:$K$1371=Q$3,'GBD estimates'!$L$3:$L$1371=""Pertussis"",'GBD estimates'!$N$3:$N$1371=""Early Neonatal""),FILTER('GBD estimates'!$R$3:$R$1371,'GBD estimates'!$K$3:$K$1371=Q$3,'GBD estimates'!$L$3:"&amp;"$L$1371=""Pertussis"",'GBD estimates'!$N$3:$N$1371=""Late Neonatal""),FILTER('GBD estimates'!$R$3:$R$1371,'GBD estimates'!$K$3:$K$1371=Q$3,'GBD estimates'!$L$3:$L$1371=""Pertussis"",'GBD estimates'!$N$3:$N$1371=""Post Neonatal""))"),155.0955003)</f>
        <v>155.0955003</v>
      </c>
      <c r="R121" s="294">
        <f>IFERROR(__xludf.DUMMYFUNCTION("SUM(FILTER('GBD estimates'!$R$3:$R$1371,'GBD estimates'!$K$3:$K$1371=R$3,'GBD estimates'!$L$3:$L$1371=""Pertussis"",'GBD estimates'!$N$3:$N$1371=""Early Neonatal""),FILTER('GBD estimates'!$R$3:$R$1371,'GBD estimates'!$K$3:$K$1371=R$3,'GBD estimates'!$L$3:"&amp;"$L$1371=""Pertussis"",'GBD estimates'!$N$3:$N$1371=""Late Neonatal""),FILTER('GBD estimates'!$R$3:$R$1371,'GBD estimates'!$K$3:$K$1371=R$3,'GBD estimates'!$L$3:$L$1371=""Pertussis"",'GBD estimates'!$N$3:$N$1371=""Post Neonatal""))"),18.67439503)</f>
        <v>18.67439503</v>
      </c>
      <c r="S121" s="294">
        <f>IFERROR(__xludf.DUMMYFUNCTION("SUM(FILTER('GBD estimates'!$R$3:$R$1371,'GBD estimates'!$K$3:$K$1371=S$3,'GBD estimates'!$L$3:$L$1371=""Pertussis"",'GBD estimates'!$N$3:$N$1371=""Early Neonatal""),FILTER('GBD estimates'!$R$3:$R$1371,'GBD estimates'!$K$3:$K$1371=S$3,'GBD estimates'!$L$3:"&amp;"$L$1371=""Pertussis"",'GBD estimates'!$N$3:$N$1371=""Late Neonatal""),FILTER('GBD estimates'!$R$3:$R$1371,'GBD estimates'!$K$3:$K$1371=S$3,'GBD estimates'!$L$3:$L$1371=""Pertussis"",'GBD estimates'!$N$3:$N$1371=""Post Neonatal""))"),45.45611919)</f>
        <v>45.45611919</v>
      </c>
      <c r="T121" s="294">
        <f>IFERROR(__xludf.DUMMYFUNCTION("SUM(FILTER('GBD estimates'!$R$3:$R$1371,'GBD estimates'!$K$3:$K$1371=T$3,'GBD estimates'!$L$3:$L$1371=""Pertussis"",'GBD estimates'!$N$3:$N$1371=""Early Neonatal""),FILTER('GBD estimates'!$R$3:$R$1371,'GBD estimates'!$K$3:$K$1371=T$3,'GBD estimates'!$L$3:"&amp;"$L$1371=""Pertussis"",'GBD estimates'!$N$3:$N$1371=""Late Neonatal""),FILTER('GBD estimates'!$R$3:$R$1371,'GBD estimates'!$K$3:$K$1371=T$3,'GBD estimates'!$L$3:$L$1371=""Pertussis"",'GBD estimates'!$N$3:$N$1371=""Post Neonatal""))"),8.546008622)</f>
        <v>8.546008622</v>
      </c>
      <c r="U121" s="294">
        <f>IFERROR(__xludf.DUMMYFUNCTION("SUM(FILTER('GBD estimates'!$R$3:$R$1371,'GBD estimates'!$K$3:$K$1371=U$3,'GBD estimates'!$L$3:$L$1371=""Pertussis"",'GBD estimates'!$N$3:$N$1371=""Early Neonatal""),FILTER('GBD estimates'!$R$3:$R$1371,'GBD estimates'!$K$3:$K$1371=U$3,'GBD estimates'!$L$3:"&amp;"$L$1371=""Pertussis"",'GBD estimates'!$N$3:$N$1371=""Late Neonatal""),FILTER('GBD estimates'!$R$3:$R$1371,'GBD estimates'!$K$3:$K$1371=U$3,'GBD estimates'!$L$3:$L$1371=""Pertussis"",'GBD estimates'!$N$3:$N$1371=""Post Neonatal""))"),39.5919197)</f>
        <v>39.5919197</v>
      </c>
      <c r="V121" s="294">
        <f>IFERROR(__xludf.DUMMYFUNCTION("SUM(FILTER('GBD estimates'!$R$3:$R$1371,'GBD estimates'!$K$3:$K$1371=V$3,'GBD estimates'!$L$3:$L$1371=""Pertussis"",'GBD estimates'!$N$3:$N$1371=""Early Neonatal""),FILTER('GBD estimates'!$R$3:$R$1371,'GBD estimates'!$K$3:$K$1371=V$3,'GBD estimates'!$L$3:"&amp;"$L$1371=""Pertussis"",'GBD estimates'!$N$3:$N$1371=""Late Neonatal""),FILTER('GBD estimates'!$R$3:$R$1371,'GBD estimates'!$K$3:$K$1371=V$3,'GBD estimates'!$L$3:$L$1371=""Pertussis"",'GBD estimates'!$N$3:$N$1371=""Post Neonatal""))"),6.177657033)</f>
        <v>6.177657033</v>
      </c>
      <c r="W121" s="294">
        <f>IFERROR(__xludf.DUMMYFUNCTION("SUM(FILTER('GBD estimates'!$R$3:$R$1371,'GBD estimates'!$K$3:$K$1371=W$3,'GBD estimates'!$L$3:$L$1371=""Pertussis"",'GBD estimates'!$N$3:$N$1371=""Early Neonatal""),FILTER('GBD estimates'!$R$3:$R$1371,'GBD estimates'!$K$3:$K$1371=W$3,'GBD estimates'!$L$3:"&amp;"$L$1371=""Pertussis"",'GBD estimates'!$N$3:$N$1371=""Late Neonatal""),FILTER('GBD estimates'!$R$3:$R$1371,'GBD estimates'!$K$3:$K$1371=W$3,'GBD estimates'!$L$3:$L$1371=""Pertussis"",'GBD estimates'!$N$3:$N$1371=""Post Neonatal""))"),83.11093737)</f>
        <v>83.11093737</v>
      </c>
      <c r="X121" s="294">
        <f>IFERROR(__xludf.DUMMYFUNCTION("SUM(FILTER('GBD estimates'!$R$3:$R$1371,'GBD estimates'!$K$3:$K$1371=X$3,'GBD estimates'!$L$3:$L$1371=""Pertussis"",'GBD estimates'!$N$3:$N$1371=""Early Neonatal""),FILTER('GBD estimates'!$R$3:$R$1371,'GBD estimates'!$K$3:$K$1371=X$3,'GBD estimates'!$L$3:"&amp;"$L$1371=""Pertussis"",'GBD estimates'!$N$3:$N$1371=""Late Neonatal""),FILTER('GBD estimates'!$R$3:$R$1371,'GBD estimates'!$K$3:$K$1371=X$3,'GBD estimates'!$L$3:$L$1371=""Pertussis"",'GBD estimates'!$N$3:$N$1371=""Post Neonatal""))"),67.36193672)</f>
        <v>67.36193672</v>
      </c>
      <c r="Y121" s="294">
        <f>IFERROR(__xludf.DUMMYFUNCTION("SUM(FILTER('GBD estimates'!$R$3:$R$1371,'GBD estimates'!$K$3:$K$1371=Y$3,'GBD estimates'!$L$3:$L$1371=""Pertussis"",'GBD estimates'!$N$3:$N$1371=""Early Neonatal""),FILTER('GBD estimates'!$R$3:$R$1371,'GBD estimates'!$K$3:$K$1371=Y$3,'GBD estimates'!$L$3:"&amp;"$L$1371=""Pertussis"",'GBD estimates'!$N$3:$N$1371=""Late Neonatal""),FILTER('GBD estimates'!$R$3:$R$1371,'GBD estimates'!$K$3:$K$1371=Y$3,'GBD estimates'!$L$3:$L$1371=""Pertussis"",'GBD estimates'!$N$3:$N$1371=""Post Neonatal""))"),10.73802738)</f>
        <v>10.73802738</v>
      </c>
      <c r="Z121" s="294">
        <f>IFERROR(__xludf.DUMMYFUNCTION("SUM(FILTER('GBD estimates'!$R$3:$R$1371,'GBD estimates'!$K$3:$K$1371=Z$3,'GBD estimates'!$L$3:$L$1371=""Pertussis"",'GBD estimates'!$N$3:$N$1371=""Early Neonatal""),FILTER('GBD estimates'!$R$3:$R$1371,'GBD estimates'!$K$3:$K$1371=Z$3,'GBD estimates'!$L$3:"&amp;"$L$1371=""Pertussis"",'GBD estimates'!$N$3:$N$1371=""Late Neonatal""),FILTER('GBD estimates'!$R$3:$R$1371,'GBD estimates'!$K$3:$K$1371=Z$3,'GBD estimates'!$L$3:$L$1371=""Pertussis"",'GBD estimates'!$N$3:$N$1371=""Post Neonatal""))"),23.25069983)</f>
        <v>23.25069983</v>
      </c>
      <c r="AA121" s="294">
        <f>IFERROR(__xludf.DUMMYFUNCTION("SUM(FILTER('GBD estimates'!$R$3:$R$1371,'GBD estimates'!$K$3:$K$1371=AA$3,'GBD estimates'!$L$3:$L$1371=""Pertussis"",'GBD estimates'!$N$3:$N$1371=""Early Neonatal""),FILTER('GBD estimates'!$R$3:$R$1371,'GBD estimates'!$K$3:$K$1371=AA$3,'GBD estimates'!$L$"&amp;"3:$L$1371=""Pertussis"",'GBD estimates'!$N$3:$N$1371=""Late Neonatal""),FILTER('GBD estimates'!$R$3:$R$1371,'GBD estimates'!$K$3:$K$1371=AA$3,'GBD estimates'!$L$3:$L$1371=""Pertussis"",'GBD estimates'!$N$3:$N$1371=""Post Neonatal""))"),21.17100073)</f>
        <v>21.17100073</v>
      </c>
      <c r="AB121" s="294">
        <f>IFERROR(__xludf.DUMMYFUNCTION("SUM(FILTER('GBD estimates'!$R$3:$R$1371,'GBD estimates'!$K$3:$K$1371=AB$3,'GBD estimates'!$L$3:$L$1371=""Pertussis"",'GBD estimates'!$N$3:$N$1371=""Early Neonatal""),FILTER('GBD estimates'!$R$3:$R$1371,'GBD estimates'!$K$3:$K$1371=AB$3,'GBD estimates'!$L$"&amp;"3:$L$1371=""Pertussis"",'GBD estimates'!$N$3:$N$1371=""Late Neonatal""),FILTER('GBD estimates'!$R$3:$R$1371,'GBD estimates'!$K$3:$K$1371=AB$3,'GBD estimates'!$L$3:$L$1371=""Pertussis"",'GBD estimates'!$N$3:$N$1371=""Post Neonatal""))"),11.7975463)</f>
        <v>11.7975463</v>
      </c>
      <c r="AC121" s="294">
        <f>IFERROR(__xludf.DUMMYFUNCTION("SUM(FILTER('GBD estimates'!$R$3:$R$1371,'GBD estimates'!$K$3:$K$1371=AC$3,'GBD estimates'!$L$3:$L$1371=""Pertussis"",'GBD estimates'!$N$3:$N$1371=""Early Neonatal""),FILTER('GBD estimates'!$R$3:$R$1371,'GBD estimates'!$K$3:$K$1371=AC$3,'GBD estimates'!$L$"&amp;"3:$L$1371=""Pertussis"",'GBD estimates'!$N$3:$N$1371=""Late Neonatal""),FILTER('GBD estimates'!$R$3:$R$1371,'GBD estimates'!$K$3:$K$1371=AC$3,'GBD estimates'!$L$3:$L$1371=""Pertussis"",'GBD estimates'!$N$3:$N$1371=""Post Neonatal""))"),3.796313255)</f>
        <v>3.796313255</v>
      </c>
      <c r="AD121" s="294">
        <f>IFERROR(__xludf.DUMMYFUNCTION("SUM(FILTER('GBD estimates'!$R$3:$R$1371,'GBD estimates'!$K$3:$K$1371=AD$3,'GBD estimates'!$L$3:$L$1371=""Pertussis"",'GBD estimates'!$N$3:$N$1371=""Early Neonatal""),FILTER('GBD estimates'!$R$3:$R$1371,'GBD estimates'!$K$3:$K$1371=AD$3,'GBD estimates'!$L$"&amp;"3:$L$1371=""Pertussis"",'GBD estimates'!$N$3:$N$1371=""Late Neonatal""),FILTER('GBD estimates'!$R$3:$R$1371,'GBD estimates'!$K$3:$K$1371=AD$3,'GBD estimates'!$L$3:$L$1371=""Pertussis"",'GBD estimates'!$N$3:$N$1371=""Post Neonatal""))"),13.54920366)</f>
        <v>13.54920366</v>
      </c>
      <c r="AE121" s="294">
        <f>IFERROR(__xludf.DUMMYFUNCTION("SUM(FILTER('GBD estimates'!$R$3:$R$1371,'GBD estimates'!$K$3:$K$1371=AE$3,'GBD estimates'!$L$3:$L$1371=""Pertussis"",'GBD estimates'!$N$3:$N$1371=""Early Neonatal""),FILTER('GBD estimates'!$R$3:$R$1371,'GBD estimates'!$K$3:$K$1371=AE$3,'GBD estimates'!$L$"&amp;"3:$L$1371=""Pertussis"",'GBD estimates'!$N$3:$N$1371=""Late Neonatal""),FILTER('GBD estimates'!$R$3:$R$1371,'GBD estimates'!$K$3:$K$1371=AE$3,'GBD estimates'!$L$3:$L$1371=""Pertussis"",'GBD estimates'!$N$3:$N$1371=""Post Neonatal""))"),27.25101399)</f>
        <v>27.25101399</v>
      </c>
      <c r="AF121" s="294">
        <f>IFERROR(__xludf.DUMMYFUNCTION("SUM(FILTER('GBD estimates'!$R$3:$R$1371,'GBD estimates'!$K$3:$K$1371=AF$3,'GBD estimates'!$L$3:$L$1371=""Pertussis"",'GBD estimates'!$N$3:$N$1371=""Early Neonatal""),FILTER('GBD estimates'!$R$3:$R$1371,'GBD estimates'!$K$3:$K$1371=AF$3,'GBD estimates'!$L$"&amp;"3:$L$1371=""Pertussis"",'GBD estimates'!$N$3:$N$1371=""Late Neonatal""),FILTER('GBD estimates'!$R$3:$R$1371,'GBD estimates'!$K$3:$K$1371=AF$3,'GBD estimates'!$L$3:$L$1371=""Pertussis"",'GBD estimates'!$N$3:$N$1371=""Post Neonatal""))"),23.74188118)</f>
        <v>23.74188118</v>
      </c>
      <c r="AG121" s="294">
        <f>IFERROR(__xludf.DUMMYFUNCTION("SUM(FILTER('GBD estimates'!$R$3:$R$1371,'GBD estimates'!$K$3:$K$1371=AG$3,'GBD estimates'!$L$3:$L$1371=""Pertussis"",'GBD estimates'!$N$3:$N$1371=""Early Neonatal""),FILTER('GBD estimates'!$R$3:$R$1371,'GBD estimates'!$K$3:$K$1371=AG$3,'GBD estimates'!$L$"&amp;"3:$L$1371=""Pertussis"",'GBD estimates'!$N$3:$N$1371=""Late Neonatal""),FILTER('GBD estimates'!$R$3:$R$1371,'GBD estimates'!$K$3:$K$1371=AG$3,'GBD estimates'!$L$3:$L$1371=""Pertussis"",'GBD estimates'!$N$3:$N$1371=""Post Neonatal""))"),35.1694165)</f>
        <v>35.1694165</v>
      </c>
      <c r="AH121" s="294">
        <f>IFERROR(__xludf.DUMMYFUNCTION("SUM(FILTER('GBD estimates'!$R$3:$R$1371,'GBD estimates'!$K$3:$K$1371=AH$3,'GBD estimates'!$L$3:$L$1371=""Pertussis"",'GBD estimates'!$N$3:$N$1371=""Early Neonatal""),FILTER('GBD estimates'!$R$3:$R$1371,'GBD estimates'!$K$3:$K$1371=AH$3,'GBD estimates'!$L$"&amp;"3:$L$1371=""Pertussis"",'GBD estimates'!$N$3:$N$1371=""Late Neonatal""),FILTER('GBD estimates'!$R$3:$R$1371,'GBD estimates'!$K$3:$K$1371=AH$3,'GBD estimates'!$L$3:$L$1371=""Pertussis"",'GBD estimates'!$N$3:$N$1371=""Post Neonatal""))"),15.15255535)</f>
        <v>15.15255535</v>
      </c>
      <c r="AI121" s="294">
        <f>IFERROR(__xludf.DUMMYFUNCTION("SUM(FILTER('GBD estimates'!$R$3:$R$1371,'GBD estimates'!$K$3:$K$1371=AI$3,'GBD estimates'!$L$3:$L$1371=""Pertussis"",'GBD estimates'!$N$3:$N$1371=""Early Neonatal""),FILTER('GBD estimates'!$R$3:$R$1371,'GBD estimates'!$K$3:$K$1371=AI$3,'GBD estimates'!$L$"&amp;"3:$L$1371=""Pertussis"",'GBD estimates'!$N$3:$N$1371=""Late Neonatal""),FILTER('GBD estimates'!$R$3:$R$1371,'GBD estimates'!$K$3:$K$1371=AI$3,'GBD estimates'!$L$3:$L$1371=""Pertussis"",'GBD estimates'!$N$3:$N$1371=""Post Neonatal""))"),9.340011027)</f>
        <v>9.340011027</v>
      </c>
      <c r="AJ121" s="294">
        <f>IFERROR(__xludf.DUMMYFUNCTION("SUM(FILTER('GBD estimates'!$R$3:$R$1371,'GBD estimates'!$K$3:$K$1371=AJ$3,'GBD estimates'!$L$3:$L$1371=""Pertussis"",'GBD estimates'!$N$3:$N$1371=""Early Neonatal""),FILTER('GBD estimates'!$R$3:$R$1371,'GBD estimates'!$K$3:$K$1371=AJ$3,'GBD estimates'!$L$"&amp;"3:$L$1371=""Pertussis"",'GBD estimates'!$N$3:$N$1371=""Late Neonatal""),FILTER('GBD estimates'!$R$3:$R$1371,'GBD estimates'!$K$3:$K$1371=AJ$3,'GBD estimates'!$L$3:$L$1371=""Pertussis"",'GBD estimates'!$N$3:$N$1371=""Post Neonatal""))"),59.51532439)</f>
        <v>59.51532439</v>
      </c>
      <c r="AK121" s="294">
        <f>IFERROR(__xludf.DUMMYFUNCTION("SUM(FILTER('GBD estimates'!$R$3:$R$1371,'GBD estimates'!$K$3:$K$1371=AK$3,'GBD estimates'!$L$3:$L$1371=""Pertussis"",'GBD estimates'!$N$3:$N$1371=""Early Neonatal""),FILTER('GBD estimates'!$R$3:$R$1371,'GBD estimates'!$K$3:$K$1371=AK$3,'GBD estimates'!$L$"&amp;"3:$L$1371=""Pertussis"",'GBD estimates'!$N$3:$N$1371=""Late Neonatal""),FILTER('GBD estimates'!$R$3:$R$1371,'GBD estimates'!$K$3:$K$1371=AK$3,'GBD estimates'!$L$3:$L$1371=""Pertussis"",'GBD estimates'!$N$3:$N$1371=""Post Neonatal""))"),192.6364774)</f>
        <v>192.6364774</v>
      </c>
      <c r="AL121" s="294">
        <f>IFERROR(__xludf.DUMMYFUNCTION("SUM(FILTER('GBD estimates'!$R$3:$R$1371,'GBD estimates'!$K$3:$K$1371=AL$3,'GBD estimates'!$L$3:$L$1371=""Pertussis"",'GBD estimates'!$N$3:$N$1371=""Early Neonatal""),FILTER('GBD estimates'!$R$3:$R$1371,'GBD estimates'!$K$3:$K$1371=AL$3,'GBD estimates'!$L$"&amp;"3:$L$1371=""Pertussis"",'GBD estimates'!$N$3:$N$1371=""Late Neonatal""),FILTER('GBD estimates'!$R$3:$R$1371,'GBD estimates'!$K$3:$K$1371=AL$3,'GBD estimates'!$L$3:$L$1371=""Pertussis"",'GBD estimates'!$N$3:$N$1371=""Post Neonatal""))"),68.78692763)</f>
        <v>68.78692763</v>
      </c>
      <c r="AM121" s="294">
        <f>IFERROR(__xludf.DUMMYFUNCTION("SUM(FILTER('GBD estimates'!$R$3:$R$1371,'GBD estimates'!$K$3:$K$1371=AM$3,'GBD estimates'!$L$3:$L$1371=""Pertussis"",'GBD estimates'!$N$3:$N$1371=""Early Neonatal""),FILTER('GBD estimates'!$R$3:$R$1371,'GBD estimates'!$K$3:$K$1371=AM$3,'GBD estimates'!$L$"&amp;"3:$L$1371=""Pertussis"",'GBD estimates'!$N$3:$N$1371=""Late Neonatal""),FILTER('GBD estimates'!$R$3:$R$1371,'GBD estimates'!$K$3:$K$1371=AM$3,'GBD estimates'!$L$3:$L$1371=""Pertussis"",'GBD estimates'!$N$3:$N$1371=""Post Neonatal""))"),10.67714035)</f>
        <v>10.67714035</v>
      </c>
      <c r="AN121" s="294">
        <f>IFERROR(__xludf.DUMMYFUNCTION("SUM(FILTER('GBD estimates'!$R$3:$R$1371,'GBD estimates'!$K$3:$K$1371=AN$3,'GBD estimates'!$L$3:$L$1371=""Pertussis"",'GBD estimates'!$N$3:$N$1371=""Early Neonatal""),FILTER('GBD estimates'!$R$3:$R$1371,'GBD estimates'!$K$3:$K$1371=AN$3,'GBD estimates'!$L$"&amp;"3:$L$1371=""Pertussis"",'GBD estimates'!$N$3:$N$1371=""Late Neonatal""),FILTER('GBD estimates'!$R$3:$R$1371,'GBD estimates'!$K$3:$K$1371=AN$3,'GBD estimates'!$L$3:$L$1371=""Pertussis"",'GBD estimates'!$N$3:$N$1371=""Post Neonatal""))"),8.796109199)</f>
        <v>8.796109199</v>
      </c>
      <c r="AO121" s="294">
        <f>IFERROR(__xludf.DUMMYFUNCTION("SUM(FILTER('GBD estimates'!$R$3:$R$1371,'GBD estimates'!$K$3:$K$1371=AO$3,'GBD estimates'!$L$3:$L$1371=""Pertussis"",'GBD estimates'!$N$3:$N$1371=""Early Neonatal""),FILTER('GBD estimates'!$R$3:$R$1371,'GBD estimates'!$K$3:$K$1371=AO$3,'GBD estimates'!$L$"&amp;"3:$L$1371=""Pertussis"",'GBD estimates'!$N$3:$N$1371=""Late Neonatal""),FILTER('GBD estimates'!$R$3:$R$1371,'GBD estimates'!$K$3:$K$1371=AO$3,'GBD estimates'!$L$3:$L$1371=""Pertussis"",'GBD estimates'!$N$3:$N$1371=""Post Neonatal""))"),25.89045487)</f>
        <v>25.89045487</v>
      </c>
      <c r="AP121" s="294">
        <f>IFERROR(__xludf.DUMMYFUNCTION("SUM(FILTER('GBD estimates'!$R$3:$R$1371,'GBD estimates'!$K$3:$K$1371=AP$3,'GBD estimates'!$L$3:$L$1371=""Pertussis"",'GBD estimates'!$N$3:$N$1371=""Early Neonatal""),FILTER('GBD estimates'!$R$3:$R$1371,'GBD estimates'!$K$3:$K$1371=AP$3,'GBD estimates'!$L$"&amp;"3:$L$1371=""Pertussis"",'GBD estimates'!$N$3:$N$1371=""Late Neonatal""),FILTER('GBD estimates'!$R$3:$R$1371,'GBD estimates'!$K$3:$K$1371=AP$3,'GBD estimates'!$L$3:$L$1371=""Pertussis"",'GBD estimates'!$N$3:$N$1371=""Post Neonatal""))"),69.51014856)</f>
        <v>69.51014856</v>
      </c>
      <c r="AQ121" s="294">
        <f>IFERROR(__xludf.DUMMYFUNCTION("SUM(FILTER('GBD estimates'!$R$3:$R$1371,'GBD estimates'!$K$3:$K$1371=AQ$3,'GBD estimates'!$L$3:$L$1371=""Pertussis"",'GBD estimates'!$N$3:$N$1371=""Early Neonatal""),FILTER('GBD estimates'!$R$3:$R$1371,'GBD estimates'!$K$3:$K$1371=AQ$3,'GBD estimates'!$L$"&amp;"3:$L$1371=""Pertussis"",'GBD estimates'!$N$3:$N$1371=""Late Neonatal""),FILTER('GBD estimates'!$R$3:$R$1371,'GBD estimates'!$K$3:$K$1371=AQ$3,'GBD estimates'!$L$3:$L$1371=""Pertussis"",'GBD estimates'!$N$3:$N$1371=""Post Neonatal""))"),13.6339952)</f>
        <v>13.6339952</v>
      </c>
      <c r="AR121" s="294">
        <f>IFERROR(__xludf.DUMMYFUNCTION("SUM(FILTER('GBD estimates'!$R$3:$R$1371,'GBD estimates'!$K$3:$K$1371=AR$3,'GBD estimates'!$L$3:$L$1371=""Pertussis"",'GBD estimates'!$N$3:$N$1371=""Early Neonatal""),FILTER('GBD estimates'!$R$3:$R$1371,'GBD estimates'!$K$3:$K$1371=AR$3,'GBD estimates'!$L$"&amp;"3:$L$1371=""Pertussis"",'GBD estimates'!$N$3:$N$1371=""Late Neonatal""),FILTER('GBD estimates'!$R$3:$R$1371,'GBD estimates'!$K$3:$K$1371=AR$3,'GBD estimates'!$L$3:$L$1371=""Pertussis"",'GBD estimates'!$N$3:$N$1371=""Post Neonatal""))"),138.0998402)</f>
        <v>138.0998402</v>
      </c>
      <c r="AS121" s="294">
        <f>IFERROR(__xludf.DUMMYFUNCTION("SUM(FILTER('GBD estimates'!$R$3:$R$1371,'GBD estimates'!$K$3:$K$1371=AS$3,'GBD estimates'!$L$3:$L$1371=""Pertussis"",'GBD estimates'!$N$3:$N$1371=""Early Neonatal""),FILTER('GBD estimates'!$R$3:$R$1371,'GBD estimates'!$K$3:$K$1371=AS$3,'GBD estimates'!$L$"&amp;"3:$L$1371=""Pertussis"",'GBD estimates'!$N$3:$N$1371=""Late Neonatal""),FILTER('GBD estimates'!$R$3:$R$1371,'GBD estimates'!$K$3:$K$1371=AS$3,'GBD estimates'!$L$3:$L$1371=""Pertussis"",'GBD estimates'!$N$3:$N$1371=""Post Neonatal""))"),102.6045024)</f>
        <v>102.6045024</v>
      </c>
      <c r="AT121" s="555"/>
      <c r="AU121" s="566" t="s">
        <v>855</v>
      </c>
      <c r="AV121" s="557"/>
    </row>
    <row r="122">
      <c r="A122" s="540"/>
      <c r="B122" s="206"/>
      <c r="C122" s="206"/>
      <c r="D122" s="206"/>
      <c r="E122" s="558" t="s">
        <v>289</v>
      </c>
      <c r="F122" s="283" t="s">
        <v>122</v>
      </c>
      <c r="G122" s="285" t="s">
        <v>203</v>
      </c>
      <c r="H122" s="559">
        <v>0.15</v>
      </c>
      <c r="I122" s="660" t="s">
        <v>150</v>
      </c>
      <c r="J122" s="660" t="s">
        <v>150</v>
      </c>
      <c r="K122" s="660" t="s">
        <v>150</v>
      </c>
      <c r="L122" s="660" t="s">
        <v>150</v>
      </c>
      <c r="M122" s="660" t="s">
        <v>150</v>
      </c>
      <c r="N122" s="660" t="s">
        <v>150</v>
      </c>
      <c r="O122" s="660" t="s">
        <v>150</v>
      </c>
      <c r="P122" s="660" t="s">
        <v>150</v>
      </c>
      <c r="Q122" s="660" t="s">
        <v>150</v>
      </c>
      <c r="R122" s="660" t="s">
        <v>150</v>
      </c>
      <c r="S122" s="660" t="s">
        <v>150</v>
      </c>
      <c r="T122" s="660" t="s">
        <v>150</v>
      </c>
      <c r="U122" s="660" t="s">
        <v>150</v>
      </c>
      <c r="V122" s="660" t="s">
        <v>150</v>
      </c>
      <c r="W122" s="660" t="s">
        <v>150</v>
      </c>
      <c r="X122" s="660" t="s">
        <v>150</v>
      </c>
      <c r="Y122" s="660" t="s">
        <v>150</v>
      </c>
      <c r="Z122" s="660" t="s">
        <v>150</v>
      </c>
      <c r="AA122" s="660" t="s">
        <v>150</v>
      </c>
      <c r="AB122" s="660" t="s">
        <v>150</v>
      </c>
      <c r="AC122" s="660" t="s">
        <v>150</v>
      </c>
      <c r="AD122" s="660" t="s">
        <v>150</v>
      </c>
      <c r="AE122" s="660" t="s">
        <v>150</v>
      </c>
      <c r="AF122" s="660" t="s">
        <v>150</v>
      </c>
      <c r="AG122" s="660" t="s">
        <v>150</v>
      </c>
      <c r="AH122" s="660" t="s">
        <v>150</v>
      </c>
      <c r="AI122" s="660" t="s">
        <v>150</v>
      </c>
      <c r="AJ122" s="660" t="s">
        <v>150</v>
      </c>
      <c r="AK122" s="660" t="s">
        <v>150</v>
      </c>
      <c r="AL122" s="660" t="s">
        <v>150</v>
      </c>
      <c r="AM122" s="660" t="s">
        <v>150</v>
      </c>
      <c r="AN122" s="660" t="s">
        <v>150</v>
      </c>
      <c r="AO122" s="660" t="s">
        <v>150</v>
      </c>
      <c r="AP122" s="660" t="s">
        <v>150</v>
      </c>
      <c r="AQ122" s="660" t="s">
        <v>150</v>
      </c>
      <c r="AR122" s="660" t="s">
        <v>150</v>
      </c>
      <c r="AS122" s="660" t="s">
        <v>150</v>
      </c>
      <c r="AT122" s="560"/>
      <c r="AU122" s="567" t="s">
        <v>809</v>
      </c>
      <c r="AV122" s="561"/>
    </row>
    <row r="123">
      <c r="A123" s="540"/>
      <c r="B123" s="206"/>
      <c r="C123" s="126"/>
      <c r="D123" s="126"/>
      <c r="E123" s="107"/>
      <c r="F123" s="201"/>
      <c r="G123" s="202"/>
      <c r="H123" s="542"/>
      <c r="I123" s="266"/>
      <c r="J123" s="266"/>
      <c r="K123" s="266"/>
      <c r="L123" s="266"/>
      <c r="M123" s="266"/>
      <c r="N123" s="266"/>
      <c r="O123" s="266"/>
      <c r="P123" s="266"/>
      <c r="Q123" s="266"/>
      <c r="R123" s="266"/>
      <c r="S123" s="266"/>
      <c r="T123" s="266"/>
      <c r="U123" s="266"/>
      <c r="V123" s="266"/>
      <c r="W123" s="266"/>
      <c r="X123" s="266"/>
      <c r="Y123" s="266"/>
      <c r="Z123" s="266"/>
      <c r="AA123" s="266"/>
      <c r="AB123" s="266"/>
      <c r="AC123" s="266"/>
      <c r="AD123" s="266"/>
      <c r="AE123" s="266"/>
      <c r="AF123" s="266"/>
      <c r="AG123" s="266"/>
      <c r="AH123" s="266"/>
      <c r="AI123" s="266"/>
      <c r="AJ123" s="266"/>
      <c r="AK123" s="266"/>
      <c r="AL123" s="266"/>
      <c r="AM123" s="266"/>
      <c r="AN123" s="266"/>
      <c r="AO123" s="266"/>
      <c r="AP123" s="266"/>
      <c r="AQ123" s="266"/>
      <c r="AR123" s="266"/>
      <c r="AS123" s="266"/>
      <c r="AT123" s="543"/>
      <c r="AU123" s="544"/>
      <c r="AV123" s="545"/>
    </row>
    <row r="124">
      <c r="A124" s="206"/>
      <c r="B124" s="206"/>
      <c r="C124" s="126" t="s">
        <v>302</v>
      </c>
      <c r="F124" s="201"/>
      <c r="G124" s="201"/>
      <c r="H124" s="542"/>
      <c r="I124" s="266"/>
      <c r="J124" s="266"/>
      <c r="K124" s="266"/>
      <c r="L124" s="266"/>
      <c r="M124" s="266"/>
      <c r="N124" s="266"/>
      <c r="O124" s="266"/>
      <c r="P124" s="266"/>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543"/>
      <c r="AU124" s="544"/>
      <c r="AV124" s="545"/>
    </row>
    <row r="125">
      <c r="A125" s="540"/>
      <c r="B125" s="206"/>
      <c r="C125" s="206"/>
      <c r="D125" s="206"/>
      <c r="E125" s="548" t="s">
        <v>305</v>
      </c>
      <c r="F125" s="207" t="s">
        <v>122</v>
      </c>
      <c r="G125" s="208" t="s">
        <v>203</v>
      </c>
      <c r="H125" s="578" t="s">
        <v>150</v>
      </c>
      <c r="I125" s="210">
        <f>IFERROR(__xludf.DUMMYFUNCTION("FILTER('GBD estimates'!$G$3:$G$1371,'GBD estimates'!$B$3:$B$1371=I$3,'GBD estimates'!$E$3:$E$1371=""Tetanus"",'GBD estimates'!$D$3:$D$1371=""Under 5"")"),1.94494E-4)</f>
        <v>0.000194494</v>
      </c>
      <c r="J125" s="210">
        <f>IFERROR(__xludf.DUMMYFUNCTION("FILTER('GBD estimates'!$G$3:$G$1371,'GBD estimates'!$B$3:$B$1371=J$3,'GBD estimates'!$E$3:$E$1371=""Tetanus"",'GBD estimates'!$D$3:$D$1371=""Under 5"")"),1.65483E-4)</f>
        <v>0.000165483</v>
      </c>
      <c r="K125" s="210">
        <f>IFERROR(__xludf.DUMMYFUNCTION("FILTER('GBD estimates'!$G$3:$G$1371,'GBD estimates'!$B$3:$B$1371=K$3,'GBD estimates'!$E$3:$E$1371=""Tetanus"",'GBD estimates'!$D$3:$D$1371=""Under 5"")"),1.36302E-4)</f>
        <v>0.000136302</v>
      </c>
      <c r="L125" s="210">
        <f>IFERROR(__xludf.DUMMYFUNCTION("FILTER('GBD estimates'!$G$3:$G$1371,'GBD estimates'!$B$3:$B$1371=L$3,'GBD estimates'!$E$3:$E$1371=""Tetanus"",'GBD estimates'!$D$3:$D$1371=""Under 5"")"),1.208E-4)</f>
        <v>0.0001208</v>
      </c>
      <c r="M125" s="210">
        <f>IFERROR(__xludf.DUMMYFUNCTION("FILTER('GBD estimates'!$G$3:$G$1371,'GBD estimates'!$B$3:$B$1371=M$3,'GBD estimates'!$E$3:$E$1371=""Tetanus"",'GBD estimates'!$D$3:$D$1371=""Under 5"")"),1.25013E-4)</f>
        <v>0.000125013</v>
      </c>
      <c r="N125" s="210">
        <f>IFERROR(__xludf.DUMMYFUNCTION("FILTER('GBD estimates'!$G$3:$G$1371,'GBD estimates'!$B$3:$B$1371=N$3,'GBD estimates'!$E$3:$E$1371=""Tetanus"",'GBD estimates'!$D$3:$D$1371=""Under 5"")"),1.44148E-4)</f>
        <v>0.000144148</v>
      </c>
      <c r="O125" s="210">
        <f>IFERROR(__xludf.DUMMYFUNCTION("FILTER('GBD estimates'!$G$3:$G$1371,'GBD estimates'!$B$3:$B$1371=O$3,'GBD estimates'!$E$3:$E$1371=""Tetanus"",'GBD estimates'!$D$3:$D$1371=""Under 5"")"),2.89399E-4)</f>
        <v>0.000289399</v>
      </c>
      <c r="P125" s="210">
        <f>IFERROR(__xludf.DUMMYFUNCTION("FILTER('GBD estimates'!$G$3:$G$1371,'GBD estimates'!$B$3:$B$1371=P$3,'GBD estimates'!$E$3:$E$1371=""Tetanus"",'GBD estimates'!$D$3:$D$1371=""Under 5"")"),3.83113E-4)</f>
        <v>0.000383113</v>
      </c>
      <c r="Q125" s="210">
        <f>IFERROR(__xludf.DUMMYFUNCTION("FILTER('GBD estimates'!$G$3:$G$1371,'GBD estimates'!$B$3:$B$1371=Q$3,'GBD estimates'!$E$3:$E$1371=""Tetanus"",'GBD estimates'!$D$3:$D$1371=""Under 5"")"),3.56266E-4)</f>
        <v>0.000356266</v>
      </c>
      <c r="R125" s="210">
        <f>IFERROR(__xludf.DUMMYFUNCTION("FILTER('GBD estimates'!$G$3:$G$1371,'GBD estimates'!$B$3:$B$1371=R$3,'GBD estimates'!$E$3:$E$1371=""Tetanus"",'GBD estimates'!$D$3:$D$1371=""Under 5"")"),6.91E-5)</f>
        <v>0.0000691</v>
      </c>
      <c r="S125" s="210">
        <f>IFERROR(__xludf.DUMMYFUNCTION("FILTER('GBD estimates'!$G$3:$G$1371,'GBD estimates'!$B$3:$B$1371=S$3,'GBD estimates'!$E$3:$E$1371=""Tetanus"",'GBD estimates'!$D$3:$D$1371=""Under 5"")"),1.07375E-4)</f>
        <v>0.000107375</v>
      </c>
      <c r="T125" s="210">
        <f>IFERROR(__xludf.DUMMYFUNCTION("FILTER('GBD estimates'!$G$3:$G$1371,'GBD estimates'!$B$3:$B$1371=T$3,'GBD estimates'!$E$3:$E$1371=""Tetanus"",'GBD estimates'!$D$3:$D$1371=""Under 5"")"),6.96E-5)</f>
        <v>0.0000696</v>
      </c>
      <c r="U125" s="210">
        <f>IFERROR(__xludf.DUMMYFUNCTION("FILTER('GBD estimates'!$G$3:$G$1371,'GBD estimates'!$B$3:$B$1371=U$3,'GBD estimates'!$E$3:$E$1371=""Tetanus"",'GBD estimates'!$D$3:$D$1371=""Under 5"")"),5.67E-5)</f>
        <v>0.0000567</v>
      </c>
      <c r="V125" s="210">
        <f>IFERROR(__xludf.DUMMYFUNCTION("FILTER('GBD estimates'!$G$3:$G$1371,'GBD estimates'!$B$3:$B$1371=V$3,'GBD estimates'!$E$3:$E$1371=""Tetanus"",'GBD estimates'!$D$3:$D$1371=""Under 5"")"),6.48E-5)</f>
        <v>0.0000648</v>
      </c>
      <c r="W125" s="210">
        <f>IFERROR(__xludf.DUMMYFUNCTION("FILTER('GBD estimates'!$G$3:$G$1371,'GBD estimates'!$B$3:$B$1371=W$3,'GBD estimates'!$E$3:$E$1371=""Tetanus"",'GBD estimates'!$D$3:$D$1371=""Under 5"")"),7.98E-5)</f>
        <v>0.0000798</v>
      </c>
      <c r="X125" s="210">
        <f>IFERROR(__xludf.DUMMYFUNCTION("FILTER('GBD estimates'!$G$3:$G$1371,'GBD estimates'!$B$3:$B$1371=X$3,'GBD estimates'!$E$3:$E$1371=""Tetanus"",'GBD estimates'!$D$3:$D$1371=""Under 5"")"),5.96E-5)</f>
        <v>0.0000596</v>
      </c>
      <c r="Y125" s="210">
        <f>IFERROR(__xludf.DUMMYFUNCTION("FILTER('GBD estimates'!$G$3:$G$1371,'GBD estimates'!$B$3:$B$1371=Y$3,'GBD estimates'!$E$3:$E$1371=""Tetanus"",'GBD estimates'!$D$3:$D$1371=""Under 5"")"),6.6E-5)</f>
        <v>0.000066</v>
      </c>
      <c r="Z125" s="210">
        <f>IFERROR(__xludf.DUMMYFUNCTION("FILTER('GBD estimates'!$G$3:$G$1371,'GBD estimates'!$B$3:$B$1371=Z$3,'GBD estimates'!$E$3:$E$1371=""Tetanus"",'GBD estimates'!$D$3:$D$1371=""Under 5"")"),9.39E-5)</f>
        <v>0.0000939</v>
      </c>
      <c r="AA125" s="210">
        <f>IFERROR(__xludf.DUMMYFUNCTION("FILTER('GBD estimates'!$G$3:$G$1371,'GBD estimates'!$B$3:$B$1371=AA$3,'GBD estimates'!$E$3:$E$1371=""Tetanus"",'GBD estimates'!$D$3:$D$1371=""Under 5"")"),1.27965E-4)</f>
        <v>0.000127965</v>
      </c>
      <c r="AB125" s="210">
        <f>IFERROR(__xludf.DUMMYFUNCTION("FILTER('GBD estimates'!$G$3:$G$1371,'GBD estimates'!$B$3:$B$1371=AB$3,'GBD estimates'!$E$3:$E$1371=""Tetanus"",'GBD estimates'!$D$3:$D$1371=""Under 5"")"),7.68E-5)</f>
        <v>0.0000768</v>
      </c>
      <c r="AC125" s="210">
        <f>IFERROR(__xludf.DUMMYFUNCTION("FILTER('GBD estimates'!$G$3:$G$1371,'GBD estimates'!$B$3:$B$1371=AC$3,'GBD estimates'!$E$3:$E$1371=""Tetanus"",'GBD estimates'!$D$3:$D$1371=""Under 5"")"),8.61E-5)</f>
        <v>0.0000861</v>
      </c>
      <c r="AD125" s="210">
        <f>IFERROR(__xludf.DUMMYFUNCTION("FILTER('GBD estimates'!$G$3:$G$1371,'GBD estimates'!$B$3:$B$1371=AD$3,'GBD estimates'!$E$3:$E$1371=""Tetanus"",'GBD estimates'!$D$3:$D$1371=""Under 5"")"),6.07E-5)</f>
        <v>0.0000607</v>
      </c>
      <c r="AE125" s="210">
        <f>IFERROR(__xludf.DUMMYFUNCTION("FILTER('GBD estimates'!$G$3:$G$1371,'GBD estimates'!$B$3:$B$1371=AE$3,'GBD estimates'!$E$3:$E$1371=""Tetanus"",'GBD estimates'!$D$3:$D$1371=""Under 5"")"),9.34E-5)</f>
        <v>0.0000934</v>
      </c>
      <c r="AF125" s="210">
        <f>IFERROR(__xludf.DUMMYFUNCTION("FILTER('GBD estimates'!$G$3:$G$1371,'GBD estimates'!$B$3:$B$1371=AF$3,'GBD estimates'!$E$3:$E$1371=""Tetanus"",'GBD estimates'!$D$3:$D$1371=""Under 5"")"),5.84E-5)</f>
        <v>0.0000584</v>
      </c>
      <c r="AG125" s="210">
        <f>IFERROR(__xludf.DUMMYFUNCTION("FILTER('GBD estimates'!$G$3:$G$1371,'GBD estimates'!$B$3:$B$1371=AG$3,'GBD estimates'!$E$3:$E$1371=""Tetanus"",'GBD estimates'!$D$3:$D$1371=""Under 5"")"),7.44E-5)</f>
        <v>0.0000744</v>
      </c>
      <c r="AH125" s="210">
        <f>IFERROR(__xludf.DUMMYFUNCTION("FILTER('GBD estimates'!$G$3:$G$1371,'GBD estimates'!$B$3:$B$1371=AH$3,'GBD estimates'!$E$3:$E$1371=""Tetanus"",'GBD estimates'!$D$3:$D$1371=""Under 5"")"),7.84E-5)</f>
        <v>0.0000784</v>
      </c>
      <c r="AI125" s="210">
        <f>IFERROR(__xludf.DUMMYFUNCTION("FILTER('GBD estimates'!$G$3:$G$1371,'GBD estimates'!$B$3:$B$1371=AI$3,'GBD estimates'!$E$3:$E$1371=""Tetanus"",'GBD estimates'!$D$3:$D$1371=""Under 5"")"),6.53E-5)</f>
        <v>0.0000653</v>
      </c>
      <c r="AJ125" s="210">
        <f>IFERROR(__xludf.DUMMYFUNCTION("FILTER('GBD estimates'!$G$3:$G$1371,'GBD estimates'!$B$3:$B$1371=AJ$3,'GBD estimates'!$E$3:$E$1371=""Tetanus"",'GBD estimates'!$D$3:$D$1371=""Under 5"")"),9.15E-5)</f>
        <v>0.0000915</v>
      </c>
      <c r="AK125" s="210">
        <f>IFERROR(__xludf.DUMMYFUNCTION("FILTER('GBD estimates'!$G$3:$G$1371,'GBD estimates'!$B$3:$B$1371=AK$3,'GBD estimates'!$E$3:$E$1371=""Tetanus"",'GBD estimates'!$D$3:$D$1371=""Under 5"")"),1.20712E-4)</f>
        <v>0.000120712</v>
      </c>
      <c r="AL125" s="210">
        <f>IFERROR(__xludf.DUMMYFUNCTION("FILTER('GBD estimates'!$G$3:$G$1371,'GBD estimates'!$B$3:$B$1371=AL$3,'GBD estimates'!$E$3:$E$1371=""Tetanus"",'GBD estimates'!$D$3:$D$1371=""Under 5"")"),9.74E-5)</f>
        <v>0.0000974</v>
      </c>
      <c r="AM125" s="210">
        <f>IFERROR(__xludf.DUMMYFUNCTION("FILTER('GBD estimates'!$G$3:$G$1371,'GBD estimates'!$B$3:$B$1371=AM$3,'GBD estimates'!$E$3:$E$1371=""Tetanus"",'GBD estimates'!$D$3:$D$1371=""Under 5"")"),7.27E-5)</f>
        <v>0.0000727</v>
      </c>
      <c r="AN125" s="210">
        <f>IFERROR(__xludf.DUMMYFUNCTION("FILTER('GBD estimates'!$G$3:$G$1371,'GBD estimates'!$B$3:$B$1371=AN$3,'GBD estimates'!$E$3:$E$1371=""Tetanus"",'GBD estimates'!$D$3:$D$1371=""Under 5"")"),6.5E-5)</f>
        <v>0.000065</v>
      </c>
      <c r="AO125" s="210">
        <f>IFERROR(__xludf.DUMMYFUNCTION("FILTER('GBD estimates'!$G$3:$G$1371,'GBD estimates'!$B$3:$B$1371=AO$3,'GBD estimates'!$E$3:$E$1371=""Tetanus"",'GBD estimates'!$D$3:$D$1371=""Under 5"")"),5.18E-5)</f>
        <v>0.0000518</v>
      </c>
      <c r="AP125" s="210">
        <f>IFERROR(__xludf.DUMMYFUNCTION("FILTER('GBD estimates'!$G$3:$G$1371,'GBD estimates'!$B$3:$B$1371=AP$3,'GBD estimates'!$E$3:$E$1371=""Tetanus"",'GBD estimates'!$D$3:$D$1371=""Under 5"")"),7.79E-5)</f>
        <v>0.0000779</v>
      </c>
      <c r="AQ125" s="210">
        <f>IFERROR(__xludf.DUMMYFUNCTION("FILTER('GBD estimates'!$G$3:$G$1371,'GBD estimates'!$B$3:$B$1371=AQ$3,'GBD estimates'!$E$3:$E$1371=""Tetanus"",'GBD estimates'!$D$3:$D$1371=""Under 5"")"),8.49E-5)</f>
        <v>0.0000849</v>
      </c>
      <c r="AR125" s="210">
        <f>IFERROR(__xludf.DUMMYFUNCTION("FILTER('GBD estimates'!$G$3:$G$1371,'GBD estimates'!$B$3:$B$1371=AR$3,'GBD estimates'!$E$3:$E$1371=""Tetanus"",'GBD estimates'!$D$3:$D$1371=""Under 5"")"),1.01093E-4)</f>
        <v>0.000101093</v>
      </c>
      <c r="AS125" s="210">
        <f>IFERROR(__xludf.DUMMYFUNCTION("FILTER('GBD estimates'!$G$3:$G$1371,'GBD estimates'!$B$3:$B$1371=AS$3,'GBD estimates'!$E$3:$E$1371=""Tetanus"",'GBD estimates'!$D$3:$D$1371=""Under 5"")"),1.33492E-4)</f>
        <v>0.000133492</v>
      </c>
      <c r="AT125" s="550"/>
      <c r="AU125" s="562" t="s">
        <v>855</v>
      </c>
      <c r="AV125" s="552"/>
    </row>
    <row r="126">
      <c r="A126" s="540"/>
      <c r="B126" s="206"/>
      <c r="C126" s="206"/>
      <c r="D126" s="206"/>
      <c r="E126" s="553" t="s">
        <v>309</v>
      </c>
      <c r="F126" s="278" t="s">
        <v>122</v>
      </c>
      <c r="G126" s="279" t="s">
        <v>203</v>
      </c>
      <c r="H126" s="581" t="s">
        <v>150</v>
      </c>
      <c r="I126" s="210">
        <f>IFERROR(__xludf.DUMMYFUNCTION("FILTER('GBD estimates'!$G$3:$G$1371,'GBD estimates'!$B$3:$B$1371=I$3,'GBD estimates'!$E$3:$E$1371=""Tetanus"",'GBD estimates'!$D$3:$D$1371=""5-14 years"")"),4.07E-5)</f>
        <v>0.0000407</v>
      </c>
      <c r="J126" s="210">
        <f>IFERROR(__xludf.DUMMYFUNCTION("FILTER('GBD estimates'!$G$3:$G$1371,'GBD estimates'!$B$3:$B$1371=J$3,'GBD estimates'!$E$3:$E$1371=""Tetanus"",'GBD estimates'!$D$3:$D$1371=""5-14 years"")"),4.22E-5)</f>
        <v>0.0000422</v>
      </c>
      <c r="K126" s="210">
        <f>IFERROR(__xludf.DUMMYFUNCTION("FILTER('GBD estimates'!$G$3:$G$1371,'GBD estimates'!$B$3:$B$1371=K$3,'GBD estimates'!$E$3:$E$1371=""Tetanus"",'GBD estimates'!$D$3:$D$1371=""5-14 years"")"),4.08E-5)</f>
        <v>0.0000408</v>
      </c>
      <c r="L126" s="210">
        <f>IFERROR(__xludf.DUMMYFUNCTION("FILTER('GBD estimates'!$G$3:$G$1371,'GBD estimates'!$B$3:$B$1371=L$3,'GBD estimates'!$E$3:$E$1371=""Tetanus"",'GBD estimates'!$D$3:$D$1371=""5-14 years"")"),2.54E-5)</f>
        <v>0.0000254</v>
      </c>
      <c r="M126" s="210">
        <f>IFERROR(__xludf.DUMMYFUNCTION("FILTER('GBD estimates'!$G$3:$G$1371,'GBD estimates'!$B$3:$B$1371=M$3,'GBD estimates'!$E$3:$E$1371=""Tetanus"",'GBD estimates'!$D$3:$D$1371=""5-14 years"")"),2.96E-5)</f>
        <v>0.0000296</v>
      </c>
      <c r="N126" s="210">
        <f>IFERROR(__xludf.DUMMYFUNCTION("FILTER('GBD estimates'!$G$3:$G$1371,'GBD estimates'!$B$3:$B$1371=N$3,'GBD estimates'!$E$3:$E$1371=""Tetanus"",'GBD estimates'!$D$3:$D$1371=""5-14 years"")"),3.15E-5)</f>
        <v>0.0000315</v>
      </c>
      <c r="O126" s="210">
        <f>IFERROR(__xludf.DUMMYFUNCTION("FILTER('GBD estimates'!$G$3:$G$1371,'GBD estimates'!$B$3:$B$1371=O$3,'GBD estimates'!$E$3:$E$1371=""Tetanus"",'GBD estimates'!$D$3:$D$1371=""5-14 years"")"),5.0E-5)</f>
        <v>0.00005</v>
      </c>
      <c r="P126" s="210">
        <f>IFERROR(__xludf.DUMMYFUNCTION("FILTER('GBD estimates'!$G$3:$G$1371,'GBD estimates'!$B$3:$B$1371=P$3,'GBD estimates'!$E$3:$E$1371=""Tetanus"",'GBD estimates'!$D$3:$D$1371=""5-14 years"")"),7.96E-5)</f>
        <v>0.0000796</v>
      </c>
      <c r="Q126" s="210">
        <f>IFERROR(__xludf.DUMMYFUNCTION("FILTER('GBD estimates'!$G$3:$G$1371,'GBD estimates'!$B$3:$B$1371=Q$3,'GBD estimates'!$E$3:$E$1371=""Tetanus"",'GBD estimates'!$D$3:$D$1371=""5-14 years"")"),7.61E-5)</f>
        <v>0.0000761</v>
      </c>
      <c r="R126" s="210">
        <f>IFERROR(__xludf.DUMMYFUNCTION("FILTER('GBD estimates'!$G$3:$G$1371,'GBD estimates'!$B$3:$B$1371=R$3,'GBD estimates'!$E$3:$E$1371=""Tetanus"",'GBD estimates'!$D$3:$D$1371=""5-14 years"")"),9.49E-6)</f>
        <v>0.00000949</v>
      </c>
      <c r="S126" s="210">
        <f>IFERROR(__xludf.DUMMYFUNCTION("FILTER('GBD estimates'!$G$3:$G$1371,'GBD estimates'!$B$3:$B$1371=S$3,'GBD estimates'!$E$3:$E$1371=""Tetanus"",'GBD estimates'!$D$3:$D$1371=""5-14 years"")"),2.35E-5)</f>
        <v>0.0000235</v>
      </c>
      <c r="T126" s="210">
        <f>IFERROR(__xludf.DUMMYFUNCTION("FILTER('GBD estimates'!$G$3:$G$1371,'GBD estimates'!$B$3:$B$1371=T$3,'GBD estimates'!$E$3:$E$1371=""Tetanus"",'GBD estimates'!$D$3:$D$1371=""5-14 years"")"),7.33E-6)</f>
        <v>0.00000733</v>
      </c>
      <c r="U126" s="210">
        <f>IFERROR(__xludf.DUMMYFUNCTION("FILTER('GBD estimates'!$G$3:$G$1371,'GBD estimates'!$B$3:$B$1371=U$3,'GBD estimates'!$E$3:$E$1371=""Tetanus"",'GBD estimates'!$D$3:$D$1371=""5-14 years"")"),6.22E-6)</f>
        <v>0.00000622</v>
      </c>
      <c r="V126" s="210">
        <f>IFERROR(__xludf.DUMMYFUNCTION("FILTER('GBD estimates'!$G$3:$G$1371,'GBD estimates'!$B$3:$B$1371=V$3,'GBD estimates'!$E$3:$E$1371=""Tetanus"",'GBD estimates'!$D$3:$D$1371=""5-14 years"")"),1.07E-5)</f>
        <v>0.0000107</v>
      </c>
      <c r="W126" s="210">
        <f>IFERROR(__xludf.DUMMYFUNCTION("FILTER('GBD estimates'!$G$3:$G$1371,'GBD estimates'!$B$3:$B$1371=W$3,'GBD estimates'!$E$3:$E$1371=""Tetanus"",'GBD estimates'!$D$3:$D$1371=""5-14 years"")"),1.14E-5)</f>
        <v>0.0000114</v>
      </c>
      <c r="X126" s="210">
        <f>IFERROR(__xludf.DUMMYFUNCTION("FILTER('GBD estimates'!$G$3:$G$1371,'GBD estimates'!$B$3:$B$1371=X$3,'GBD estimates'!$E$3:$E$1371=""Tetanus"",'GBD estimates'!$D$3:$D$1371=""5-14 years"")"),1.16E-5)</f>
        <v>0.0000116</v>
      </c>
      <c r="Y126" s="210">
        <f>IFERROR(__xludf.DUMMYFUNCTION("FILTER('GBD estimates'!$G$3:$G$1371,'GBD estimates'!$B$3:$B$1371=Y$3,'GBD estimates'!$E$3:$E$1371=""Tetanus"",'GBD estimates'!$D$3:$D$1371=""5-14 years"")"),7.74E-6)</f>
        <v>0.00000774</v>
      </c>
      <c r="Z126" s="210">
        <f>IFERROR(__xludf.DUMMYFUNCTION("FILTER('GBD estimates'!$G$3:$G$1371,'GBD estimates'!$B$3:$B$1371=Z$3,'GBD estimates'!$E$3:$E$1371=""Tetanus"",'GBD estimates'!$D$3:$D$1371=""5-14 years"")"),9.08E-6)</f>
        <v>0.00000908</v>
      </c>
      <c r="AA126" s="210">
        <f>IFERROR(__xludf.DUMMYFUNCTION("FILTER('GBD estimates'!$G$3:$G$1371,'GBD estimates'!$B$3:$B$1371=AA$3,'GBD estimates'!$E$3:$E$1371=""Tetanus"",'GBD estimates'!$D$3:$D$1371=""5-14 years"")"),1.38E-5)</f>
        <v>0.0000138</v>
      </c>
      <c r="AB126" s="210">
        <f>IFERROR(__xludf.DUMMYFUNCTION("FILTER('GBD estimates'!$G$3:$G$1371,'GBD estimates'!$B$3:$B$1371=AB$3,'GBD estimates'!$E$3:$E$1371=""Tetanus"",'GBD estimates'!$D$3:$D$1371=""5-14 years"")"),8.51E-6)</f>
        <v>0.00000851</v>
      </c>
      <c r="AC126" s="210">
        <f>IFERROR(__xludf.DUMMYFUNCTION("FILTER('GBD estimates'!$G$3:$G$1371,'GBD estimates'!$B$3:$B$1371=AC$3,'GBD estimates'!$E$3:$E$1371=""Tetanus"",'GBD estimates'!$D$3:$D$1371=""5-14 years"")"),7.81E-6)</f>
        <v>0.00000781</v>
      </c>
      <c r="AD126" s="210">
        <f>IFERROR(__xludf.DUMMYFUNCTION("FILTER('GBD estimates'!$G$3:$G$1371,'GBD estimates'!$B$3:$B$1371=AD$3,'GBD estimates'!$E$3:$E$1371=""Tetanus"",'GBD estimates'!$D$3:$D$1371=""5-14 years"")"),6.88E-6)</f>
        <v>0.00000688</v>
      </c>
      <c r="AE126" s="210">
        <f>IFERROR(__xludf.DUMMYFUNCTION("FILTER('GBD estimates'!$G$3:$G$1371,'GBD estimates'!$B$3:$B$1371=AE$3,'GBD estimates'!$E$3:$E$1371=""Tetanus"",'GBD estimates'!$D$3:$D$1371=""5-14 years"")"),1.0E-5)</f>
        <v>0.00001</v>
      </c>
      <c r="AF126" s="210">
        <f>IFERROR(__xludf.DUMMYFUNCTION("FILTER('GBD estimates'!$G$3:$G$1371,'GBD estimates'!$B$3:$B$1371=AF$3,'GBD estimates'!$E$3:$E$1371=""Tetanus"",'GBD estimates'!$D$3:$D$1371=""5-14 years"")"),7.27E-6)</f>
        <v>0.00000727</v>
      </c>
      <c r="AG126" s="210">
        <f>IFERROR(__xludf.DUMMYFUNCTION("FILTER('GBD estimates'!$G$3:$G$1371,'GBD estimates'!$B$3:$B$1371=AG$3,'GBD estimates'!$E$3:$E$1371=""Tetanus"",'GBD estimates'!$D$3:$D$1371=""5-14 years"")"),1.02E-5)</f>
        <v>0.0000102</v>
      </c>
      <c r="AH126" s="210">
        <f>IFERROR(__xludf.DUMMYFUNCTION("FILTER('GBD estimates'!$G$3:$G$1371,'GBD estimates'!$B$3:$B$1371=AH$3,'GBD estimates'!$E$3:$E$1371=""Tetanus"",'GBD estimates'!$D$3:$D$1371=""5-14 years"")"),8.73E-6)</f>
        <v>0.00000873</v>
      </c>
      <c r="AI126" s="210">
        <f>IFERROR(__xludf.DUMMYFUNCTION("FILTER('GBD estimates'!$G$3:$G$1371,'GBD estimates'!$B$3:$B$1371=AI$3,'GBD estimates'!$E$3:$E$1371=""Tetanus"",'GBD estimates'!$D$3:$D$1371=""5-14 years"")"),5.24E-6)</f>
        <v>0.00000524</v>
      </c>
      <c r="AJ126" s="210">
        <f>IFERROR(__xludf.DUMMYFUNCTION("FILTER('GBD estimates'!$G$3:$G$1371,'GBD estimates'!$B$3:$B$1371=AJ$3,'GBD estimates'!$E$3:$E$1371=""Tetanus"",'GBD estimates'!$D$3:$D$1371=""5-14 years"")"),1.32E-5)</f>
        <v>0.0000132</v>
      </c>
      <c r="AK126" s="210">
        <f>IFERROR(__xludf.DUMMYFUNCTION("FILTER('GBD estimates'!$G$3:$G$1371,'GBD estimates'!$B$3:$B$1371=AK$3,'GBD estimates'!$E$3:$E$1371=""Tetanus"",'GBD estimates'!$D$3:$D$1371=""5-14 years"")"),2.49E-5)</f>
        <v>0.0000249</v>
      </c>
      <c r="AL126" s="210">
        <f>IFERROR(__xludf.DUMMYFUNCTION("FILTER('GBD estimates'!$G$3:$G$1371,'GBD estimates'!$B$3:$B$1371=AL$3,'GBD estimates'!$E$3:$E$1371=""Tetanus"",'GBD estimates'!$D$3:$D$1371=""5-14 years"")"),1.05E-5)</f>
        <v>0.0000105</v>
      </c>
      <c r="AM126" s="210">
        <f>IFERROR(__xludf.DUMMYFUNCTION("FILTER('GBD estimates'!$G$3:$G$1371,'GBD estimates'!$B$3:$B$1371=AM$3,'GBD estimates'!$E$3:$E$1371=""Tetanus"",'GBD estimates'!$D$3:$D$1371=""5-14 years"")"),9.4E-6)</f>
        <v>0.0000094</v>
      </c>
      <c r="AN126" s="210">
        <f>IFERROR(__xludf.DUMMYFUNCTION("FILTER('GBD estimates'!$G$3:$G$1371,'GBD estimates'!$B$3:$B$1371=AN$3,'GBD estimates'!$E$3:$E$1371=""Tetanus"",'GBD estimates'!$D$3:$D$1371=""5-14 years"")"),5.24E-6)</f>
        <v>0.00000524</v>
      </c>
      <c r="AO126" s="210">
        <f>IFERROR(__xludf.DUMMYFUNCTION("FILTER('GBD estimates'!$G$3:$G$1371,'GBD estimates'!$B$3:$B$1371=AO$3,'GBD estimates'!$E$3:$E$1371=""Tetanus"",'GBD estimates'!$D$3:$D$1371=""5-14 years"")"),7.28E-6)</f>
        <v>0.00000728</v>
      </c>
      <c r="AP126" s="210">
        <f>IFERROR(__xludf.DUMMYFUNCTION("FILTER('GBD estimates'!$G$3:$G$1371,'GBD estimates'!$B$3:$B$1371=AP$3,'GBD estimates'!$E$3:$E$1371=""Tetanus"",'GBD estimates'!$D$3:$D$1371=""5-14 years"")"),1.07E-5)</f>
        <v>0.0000107</v>
      </c>
      <c r="AQ126" s="210">
        <f>IFERROR(__xludf.DUMMYFUNCTION("FILTER('GBD estimates'!$G$3:$G$1371,'GBD estimates'!$B$3:$B$1371=AQ$3,'GBD estimates'!$E$3:$E$1371=""Tetanus"",'GBD estimates'!$D$3:$D$1371=""5-14 years"")"),8.63E-6)</f>
        <v>0.00000863</v>
      </c>
      <c r="AR126" s="210">
        <f>IFERROR(__xludf.DUMMYFUNCTION("FILTER('GBD estimates'!$G$3:$G$1371,'GBD estimates'!$B$3:$B$1371=AR$3,'GBD estimates'!$E$3:$E$1371=""Tetanus"",'GBD estimates'!$D$3:$D$1371=""5-14 years"")"),2.69E-5)</f>
        <v>0.0000269</v>
      </c>
      <c r="AS126" s="210">
        <f>IFERROR(__xludf.DUMMYFUNCTION("FILTER('GBD estimates'!$G$3:$G$1371,'GBD estimates'!$B$3:$B$1371=AS$3,'GBD estimates'!$E$3:$E$1371=""Tetanus"",'GBD estimates'!$D$3:$D$1371=""5-14 years"")"),2.88E-5)</f>
        <v>0.0000288</v>
      </c>
      <c r="AT126" s="555"/>
      <c r="AU126" s="566" t="s">
        <v>855</v>
      </c>
      <c r="AV126" s="557"/>
    </row>
    <row r="127">
      <c r="A127" s="540"/>
      <c r="B127" s="206"/>
      <c r="C127" s="206"/>
      <c r="D127" s="206"/>
      <c r="E127" s="553" t="s">
        <v>312</v>
      </c>
      <c r="F127" s="278" t="s">
        <v>122</v>
      </c>
      <c r="G127" s="279" t="s">
        <v>203</v>
      </c>
      <c r="H127" s="581" t="s">
        <v>150</v>
      </c>
      <c r="I127" s="210">
        <f>IFERROR(__xludf.DUMMYFUNCTION("FILTER('GBD estimates'!$G$3:$G$1371,'GBD estimates'!$B$3:$B$1371=I$3,'GBD estimates'!$E$3:$E$1371=""Tetanus"",'GBD estimates'!$D$3:$D$1371=""15-49 years"")"),7.96E-5)</f>
        <v>0.0000796</v>
      </c>
      <c r="J127" s="210">
        <f>IFERROR(__xludf.DUMMYFUNCTION("FILTER('GBD estimates'!$G$3:$G$1371,'GBD estimates'!$B$3:$B$1371=J$3,'GBD estimates'!$E$3:$E$1371=""Tetanus"",'GBD estimates'!$D$3:$D$1371=""15-49 years"")"),7.32E-5)</f>
        <v>0.0000732</v>
      </c>
      <c r="K127" s="210">
        <f>IFERROR(__xludf.DUMMYFUNCTION("FILTER('GBD estimates'!$G$3:$G$1371,'GBD estimates'!$B$3:$B$1371=K$3,'GBD estimates'!$E$3:$E$1371=""Tetanus"",'GBD estimates'!$D$3:$D$1371=""15-49 years"")"),9.69E-5)</f>
        <v>0.0000969</v>
      </c>
      <c r="L127" s="210">
        <f>IFERROR(__xludf.DUMMYFUNCTION("FILTER('GBD estimates'!$G$3:$G$1371,'GBD estimates'!$B$3:$B$1371=L$3,'GBD estimates'!$E$3:$E$1371=""Tetanus"",'GBD estimates'!$D$3:$D$1371=""15-49 years"")"),5.84E-5)</f>
        <v>0.0000584</v>
      </c>
      <c r="M127" s="210">
        <f>IFERROR(__xludf.DUMMYFUNCTION("FILTER('GBD estimates'!$G$3:$G$1371,'GBD estimates'!$B$3:$B$1371=M$3,'GBD estimates'!$E$3:$E$1371=""Tetanus"",'GBD estimates'!$D$3:$D$1371=""15-49 years"")"),4.9E-5)</f>
        <v>0.000049</v>
      </c>
      <c r="N127" s="210">
        <f>IFERROR(__xludf.DUMMYFUNCTION("FILTER('GBD estimates'!$G$3:$G$1371,'GBD estimates'!$B$3:$B$1371=N$3,'GBD estimates'!$E$3:$E$1371=""Tetanus"",'GBD estimates'!$D$3:$D$1371=""15-49 years"")"),7.43E-5)</f>
        <v>0.0000743</v>
      </c>
      <c r="O127" s="210">
        <f>IFERROR(__xludf.DUMMYFUNCTION("FILTER('GBD estimates'!$G$3:$G$1371,'GBD estimates'!$B$3:$B$1371=O$3,'GBD estimates'!$E$3:$E$1371=""Tetanus"",'GBD estimates'!$D$3:$D$1371=""15-49 years"")"),1.10427E-4)</f>
        <v>0.000110427</v>
      </c>
      <c r="P127" s="210">
        <f>IFERROR(__xludf.DUMMYFUNCTION("FILTER('GBD estimates'!$G$3:$G$1371,'GBD estimates'!$B$3:$B$1371=P$3,'GBD estimates'!$E$3:$E$1371=""Tetanus"",'GBD estimates'!$D$3:$D$1371=""15-49 years"")"),1.83691E-4)</f>
        <v>0.000183691</v>
      </c>
      <c r="Q127" s="210">
        <f>IFERROR(__xludf.DUMMYFUNCTION("FILTER('GBD estimates'!$G$3:$G$1371,'GBD estimates'!$B$3:$B$1371=Q$3,'GBD estimates'!$E$3:$E$1371=""Tetanus"",'GBD estimates'!$D$3:$D$1371=""15-49 years"")"),1.44104E-4)</f>
        <v>0.000144104</v>
      </c>
      <c r="R127" s="210">
        <f>IFERROR(__xludf.DUMMYFUNCTION("FILTER('GBD estimates'!$G$3:$G$1371,'GBD estimates'!$B$3:$B$1371=R$3,'GBD estimates'!$E$3:$E$1371=""Tetanus"",'GBD estimates'!$D$3:$D$1371=""15-49 years"")"),2.93E-5)</f>
        <v>0.0000293</v>
      </c>
      <c r="S127" s="210">
        <f>IFERROR(__xludf.DUMMYFUNCTION("FILTER('GBD estimates'!$G$3:$G$1371,'GBD estimates'!$B$3:$B$1371=S$3,'GBD estimates'!$E$3:$E$1371=""Tetanus"",'GBD estimates'!$D$3:$D$1371=""15-49 years"")"),5.09E-5)</f>
        <v>0.0000509</v>
      </c>
      <c r="T127" s="210">
        <f>IFERROR(__xludf.DUMMYFUNCTION("FILTER('GBD estimates'!$G$3:$G$1371,'GBD estimates'!$B$3:$B$1371=T$3,'GBD estimates'!$E$3:$E$1371=""Tetanus"",'GBD estimates'!$D$3:$D$1371=""15-49 years"")"),2.8E-5)</f>
        <v>0.000028</v>
      </c>
      <c r="U127" s="210">
        <f>IFERROR(__xludf.DUMMYFUNCTION("FILTER('GBD estimates'!$G$3:$G$1371,'GBD estimates'!$B$3:$B$1371=U$3,'GBD estimates'!$E$3:$E$1371=""Tetanus"",'GBD estimates'!$D$3:$D$1371=""15-49 years"")"),2.31E-5)</f>
        <v>0.0000231</v>
      </c>
      <c r="V127" s="210">
        <f>IFERROR(__xludf.DUMMYFUNCTION("FILTER('GBD estimates'!$G$3:$G$1371,'GBD estimates'!$B$3:$B$1371=V$3,'GBD estimates'!$E$3:$E$1371=""Tetanus"",'GBD estimates'!$D$3:$D$1371=""15-49 years"")"),3.97E-5)</f>
        <v>0.0000397</v>
      </c>
      <c r="W127" s="210">
        <f>IFERROR(__xludf.DUMMYFUNCTION("FILTER('GBD estimates'!$G$3:$G$1371,'GBD estimates'!$B$3:$B$1371=W$3,'GBD estimates'!$E$3:$E$1371=""Tetanus"",'GBD estimates'!$D$3:$D$1371=""15-49 years"")"),3.32E-5)</f>
        <v>0.0000332</v>
      </c>
      <c r="X127" s="210">
        <f>IFERROR(__xludf.DUMMYFUNCTION("FILTER('GBD estimates'!$G$3:$G$1371,'GBD estimates'!$B$3:$B$1371=X$3,'GBD estimates'!$E$3:$E$1371=""Tetanus"",'GBD estimates'!$D$3:$D$1371=""15-49 years"")"),3.02E-5)</f>
        <v>0.0000302</v>
      </c>
      <c r="Y127" s="210">
        <f>IFERROR(__xludf.DUMMYFUNCTION("FILTER('GBD estimates'!$G$3:$G$1371,'GBD estimates'!$B$3:$B$1371=Y$3,'GBD estimates'!$E$3:$E$1371=""Tetanus"",'GBD estimates'!$D$3:$D$1371=""15-49 years"")"),2.75E-5)</f>
        <v>0.0000275</v>
      </c>
      <c r="Z127" s="210">
        <f>IFERROR(__xludf.DUMMYFUNCTION("FILTER('GBD estimates'!$G$3:$G$1371,'GBD estimates'!$B$3:$B$1371=Z$3,'GBD estimates'!$E$3:$E$1371=""Tetanus"",'GBD estimates'!$D$3:$D$1371=""15-49 years"")"),2.88E-5)</f>
        <v>0.0000288</v>
      </c>
      <c r="AA127" s="210">
        <f>IFERROR(__xludf.DUMMYFUNCTION("FILTER('GBD estimates'!$G$3:$G$1371,'GBD estimates'!$B$3:$B$1371=AA$3,'GBD estimates'!$E$3:$E$1371=""Tetanus"",'GBD estimates'!$D$3:$D$1371=""15-49 years"")"),3.84E-5)</f>
        <v>0.0000384</v>
      </c>
      <c r="AB127" s="210">
        <f>IFERROR(__xludf.DUMMYFUNCTION("FILTER('GBD estimates'!$G$3:$G$1371,'GBD estimates'!$B$3:$B$1371=AB$3,'GBD estimates'!$E$3:$E$1371=""Tetanus"",'GBD estimates'!$D$3:$D$1371=""15-49 years"")"),3.04E-5)</f>
        <v>0.0000304</v>
      </c>
      <c r="AC127" s="210">
        <f>IFERROR(__xludf.DUMMYFUNCTION("FILTER('GBD estimates'!$G$3:$G$1371,'GBD estimates'!$B$3:$B$1371=AC$3,'GBD estimates'!$E$3:$E$1371=""Tetanus"",'GBD estimates'!$D$3:$D$1371=""15-49 years"")"),2.61E-5)</f>
        <v>0.0000261</v>
      </c>
      <c r="AD127" s="210">
        <f>IFERROR(__xludf.DUMMYFUNCTION("FILTER('GBD estimates'!$G$3:$G$1371,'GBD estimates'!$B$3:$B$1371=AD$3,'GBD estimates'!$E$3:$E$1371=""Tetanus"",'GBD estimates'!$D$3:$D$1371=""15-49 years"")"),2.74E-5)</f>
        <v>0.0000274</v>
      </c>
      <c r="AE127" s="210">
        <f>IFERROR(__xludf.DUMMYFUNCTION("FILTER('GBD estimates'!$G$3:$G$1371,'GBD estimates'!$B$3:$B$1371=AE$3,'GBD estimates'!$E$3:$E$1371=""Tetanus"",'GBD estimates'!$D$3:$D$1371=""15-49 years"")"),2.85E-5)</f>
        <v>0.0000285</v>
      </c>
      <c r="AF127" s="210">
        <f>IFERROR(__xludf.DUMMYFUNCTION("FILTER('GBD estimates'!$G$3:$G$1371,'GBD estimates'!$B$3:$B$1371=AF$3,'GBD estimates'!$E$3:$E$1371=""Tetanus"",'GBD estimates'!$D$3:$D$1371=""15-49 years"")"),2.63E-5)</f>
        <v>0.0000263</v>
      </c>
      <c r="AG127" s="210">
        <f>IFERROR(__xludf.DUMMYFUNCTION("FILTER('GBD estimates'!$G$3:$G$1371,'GBD estimates'!$B$3:$B$1371=AG$3,'GBD estimates'!$E$3:$E$1371=""Tetanus"",'GBD estimates'!$D$3:$D$1371=""15-49 years"")"),3.78E-5)</f>
        <v>0.0000378</v>
      </c>
      <c r="AH127" s="210">
        <f>IFERROR(__xludf.DUMMYFUNCTION("FILTER('GBD estimates'!$G$3:$G$1371,'GBD estimates'!$B$3:$B$1371=AH$3,'GBD estimates'!$E$3:$E$1371=""Tetanus"",'GBD estimates'!$D$3:$D$1371=""15-49 years"")"),3.87E-5)</f>
        <v>0.0000387</v>
      </c>
      <c r="AI127" s="210">
        <f>IFERROR(__xludf.DUMMYFUNCTION("FILTER('GBD estimates'!$G$3:$G$1371,'GBD estimates'!$B$3:$B$1371=AI$3,'GBD estimates'!$E$3:$E$1371=""Tetanus"",'GBD estimates'!$D$3:$D$1371=""15-49 years"")"),1.7E-5)</f>
        <v>0.000017</v>
      </c>
      <c r="AJ127" s="210">
        <f>IFERROR(__xludf.DUMMYFUNCTION("FILTER('GBD estimates'!$G$3:$G$1371,'GBD estimates'!$B$3:$B$1371=AJ$3,'GBD estimates'!$E$3:$E$1371=""Tetanus"",'GBD estimates'!$D$3:$D$1371=""15-49 years"")"),4.11E-5)</f>
        <v>0.0000411</v>
      </c>
      <c r="AK127" s="210">
        <f>IFERROR(__xludf.DUMMYFUNCTION("FILTER('GBD estimates'!$G$3:$G$1371,'GBD estimates'!$B$3:$B$1371=AK$3,'GBD estimates'!$E$3:$E$1371=""Tetanus"",'GBD estimates'!$D$3:$D$1371=""15-49 years"")"),7.03E-5)</f>
        <v>0.0000703</v>
      </c>
      <c r="AL127" s="210">
        <f>IFERROR(__xludf.DUMMYFUNCTION("FILTER('GBD estimates'!$G$3:$G$1371,'GBD estimates'!$B$3:$B$1371=AL$3,'GBD estimates'!$E$3:$E$1371=""Tetanus"",'GBD estimates'!$D$3:$D$1371=""15-49 years"")"),3.94E-5)</f>
        <v>0.0000394</v>
      </c>
      <c r="AM127" s="210">
        <f>IFERROR(__xludf.DUMMYFUNCTION("FILTER('GBD estimates'!$G$3:$G$1371,'GBD estimates'!$B$3:$B$1371=AM$3,'GBD estimates'!$E$3:$E$1371=""Tetanus"",'GBD estimates'!$D$3:$D$1371=""15-49 years"")"),2.99E-5)</f>
        <v>0.0000299</v>
      </c>
      <c r="AN127" s="210">
        <f>IFERROR(__xludf.DUMMYFUNCTION("FILTER('GBD estimates'!$G$3:$G$1371,'GBD estimates'!$B$3:$B$1371=AN$3,'GBD estimates'!$E$3:$E$1371=""Tetanus"",'GBD estimates'!$D$3:$D$1371=""15-49 years"")"),1.99E-5)</f>
        <v>0.0000199</v>
      </c>
      <c r="AO127" s="210">
        <f>IFERROR(__xludf.DUMMYFUNCTION("FILTER('GBD estimates'!$G$3:$G$1371,'GBD estimates'!$B$3:$B$1371=AO$3,'GBD estimates'!$E$3:$E$1371=""Tetanus"",'GBD estimates'!$D$3:$D$1371=""15-49 years"")"),3.24E-5)</f>
        <v>0.0000324</v>
      </c>
      <c r="AP127" s="210">
        <f>IFERROR(__xludf.DUMMYFUNCTION("FILTER('GBD estimates'!$G$3:$G$1371,'GBD estimates'!$B$3:$B$1371=AP$3,'GBD estimates'!$E$3:$E$1371=""Tetanus"",'GBD estimates'!$D$3:$D$1371=""15-49 years"")"),3.64E-5)</f>
        <v>0.0000364</v>
      </c>
      <c r="AQ127" s="210">
        <f>IFERROR(__xludf.DUMMYFUNCTION("FILTER('GBD estimates'!$G$3:$G$1371,'GBD estimates'!$B$3:$B$1371=AQ$3,'GBD estimates'!$E$3:$E$1371=""Tetanus"",'GBD estimates'!$D$3:$D$1371=""15-49 years"")"),2.83E-5)</f>
        <v>0.0000283</v>
      </c>
      <c r="AR127" s="210">
        <f>IFERROR(__xludf.DUMMYFUNCTION("FILTER('GBD estimates'!$G$3:$G$1371,'GBD estimates'!$B$3:$B$1371=AR$3,'GBD estimates'!$E$3:$E$1371=""Tetanus"",'GBD estimates'!$D$3:$D$1371=""15-49 years"")"),6.25E-5)</f>
        <v>0.0000625</v>
      </c>
      <c r="AS127" s="210">
        <f>IFERROR(__xludf.DUMMYFUNCTION("FILTER('GBD estimates'!$G$3:$G$1371,'GBD estimates'!$B$3:$B$1371=AS$3,'GBD estimates'!$E$3:$E$1371=""Tetanus"",'GBD estimates'!$D$3:$D$1371=""15-49 years"")"),7.93E-5)</f>
        <v>0.0000793</v>
      </c>
      <c r="AT127" s="555"/>
      <c r="AU127" s="566" t="s">
        <v>855</v>
      </c>
      <c r="AV127" s="557"/>
    </row>
    <row r="128">
      <c r="A128" s="540"/>
      <c r="B128" s="206"/>
      <c r="C128" s="206"/>
      <c r="D128" s="206"/>
      <c r="E128" s="553" t="s">
        <v>315</v>
      </c>
      <c r="F128" s="278" t="s">
        <v>122</v>
      </c>
      <c r="G128" s="279" t="s">
        <v>203</v>
      </c>
      <c r="H128" s="581" t="s">
        <v>150</v>
      </c>
      <c r="I128" s="210">
        <f>IFERROR(__xludf.DUMMYFUNCTION("FILTER('GBD estimates'!$G$3:$G$1371,'GBD estimates'!$B$3:$B$1371=I$3,'GBD estimates'!$E$3:$E$1371=""Tetanus"",'GBD estimates'!$D$3:$D$1371=""50 to 74 years"")"),2.85466E-4)</f>
        <v>0.000285466</v>
      </c>
      <c r="J128" s="210">
        <f>IFERROR(__xludf.DUMMYFUNCTION("FILTER('GBD estimates'!$G$3:$G$1371,'GBD estimates'!$B$3:$B$1371=J$3,'GBD estimates'!$E$3:$E$1371=""Tetanus"",'GBD estimates'!$D$3:$D$1371=""50 to 74 years"")"),3.40228E-4)</f>
        <v>0.000340228</v>
      </c>
      <c r="K128" s="210">
        <f>IFERROR(__xludf.DUMMYFUNCTION("FILTER('GBD estimates'!$G$3:$G$1371,'GBD estimates'!$B$3:$B$1371=K$3,'GBD estimates'!$E$3:$E$1371=""Tetanus"",'GBD estimates'!$D$3:$D$1371=""50 to 74 years"")"),2.69698E-4)</f>
        <v>0.000269698</v>
      </c>
      <c r="L128" s="210">
        <f>IFERROR(__xludf.DUMMYFUNCTION("FILTER('GBD estimates'!$G$3:$G$1371,'GBD estimates'!$B$3:$B$1371=L$3,'GBD estimates'!$E$3:$E$1371=""Tetanus"",'GBD estimates'!$D$3:$D$1371=""50 to 74 years"")"),1.9924E-4)</f>
        <v>0.00019924</v>
      </c>
      <c r="M128" s="210">
        <f>IFERROR(__xludf.DUMMYFUNCTION("FILTER('GBD estimates'!$G$3:$G$1371,'GBD estimates'!$B$3:$B$1371=M$3,'GBD estimates'!$E$3:$E$1371=""Tetanus"",'GBD estimates'!$D$3:$D$1371=""50 to 74 years"")"),1.75487E-4)</f>
        <v>0.000175487</v>
      </c>
      <c r="N128" s="210">
        <f>IFERROR(__xludf.DUMMYFUNCTION("FILTER('GBD estimates'!$G$3:$G$1371,'GBD estimates'!$B$3:$B$1371=N$3,'GBD estimates'!$E$3:$E$1371=""Tetanus"",'GBD estimates'!$D$3:$D$1371=""50 to 74 years"")"),2.34563E-4)</f>
        <v>0.000234563</v>
      </c>
      <c r="O128" s="210">
        <f>IFERROR(__xludf.DUMMYFUNCTION("FILTER('GBD estimates'!$G$3:$G$1371,'GBD estimates'!$B$3:$B$1371=O$3,'GBD estimates'!$E$3:$E$1371=""Tetanus"",'GBD estimates'!$D$3:$D$1371=""50 to 74 years"")"),4.14794E-4)</f>
        <v>0.000414794</v>
      </c>
      <c r="P128" s="210">
        <f>IFERROR(__xludf.DUMMYFUNCTION("FILTER('GBD estimates'!$G$3:$G$1371,'GBD estimates'!$B$3:$B$1371=P$3,'GBD estimates'!$E$3:$E$1371=""Tetanus"",'GBD estimates'!$D$3:$D$1371=""50 to 74 years"")"),4.79564E-4)</f>
        <v>0.000479564</v>
      </c>
      <c r="Q128" s="210">
        <f>IFERROR(__xludf.DUMMYFUNCTION("FILTER('GBD estimates'!$G$3:$G$1371,'GBD estimates'!$B$3:$B$1371=Q$3,'GBD estimates'!$E$3:$E$1371=""Tetanus"",'GBD estimates'!$D$3:$D$1371=""50 to 74 years"")"),5.03219E-4)</f>
        <v>0.000503219</v>
      </c>
      <c r="R128" s="210">
        <f>IFERROR(__xludf.DUMMYFUNCTION("FILTER('GBD estimates'!$G$3:$G$1371,'GBD estimates'!$B$3:$B$1371=R$3,'GBD estimates'!$E$3:$E$1371=""Tetanus"",'GBD estimates'!$D$3:$D$1371=""50 to 74 years"")"),1.00875E-4)</f>
        <v>0.000100875</v>
      </c>
      <c r="S128" s="210">
        <f>IFERROR(__xludf.DUMMYFUNCTION("FILTER('GBD estimates'!$G$3:$G$1371,'GBD estimates'!$B$3:$B$1371=S$3,'GBD estimates'!$E$3:$E$1371=""Tetanus"",'GBD estimates'!$D$3:$D$1371=""50 to 74 years"")"),1.74205E-4)</f>
        <v>0.000174205</v>
      </c>
      <c r="T128" s="210">
        <f>IFERROR(__xludf.DUMMYFUNCTION("FILTER('GBD estimates'!$G$3:$G$1371,'GBD estimates'!$B$3:$B$1371=T$3,'GBD estimates'!$E$3:$E$1371=""Tetanus"",'GBD estimates'!$D$3:$D$1371=""50 to 74 years"")"),9.71E-5)</f>
        <v>0.0000971</v>
      </c>
      <c r="U128" s="210">
        <f>IFERROR(__xludf.DUMMYFUNCTION("FILTER('GBD estimates'!$G$3:$G$1371,'GBD estimates'!$B$3:$B$1371=U$3,'GBD estimates'!$E$3:$E$1371=""Tetanus"",'GBD estimates'!$D$3:$D$1371=""50 to 74 years"")"),7.32E-5)</f>
        <v>0.0000732</v>
      </c>
      <c r="V128" s="210">
        <f>IFERROR(__xludf.DUMMYFUNCTION("FILTER('GBD estimates'!$G$3:$G$1371,'GBD estimates'!$B$3:$B$1371=V$3,'GBD estimates'!$E$3:$E$1371=""Tetanus"",'GBD estimates'!$D$3:$D$1371=""50 to 74 years"")"),1.38815E-4)</f>
        <v>0.000138815</v>
      </c>
      <c r="W128" s="210">
        <f>IFERROR(__xludf.DUMMYFUNCTION("FILTER('GBD estimates'!$G$3:$G$1371,'GBD estimates'!$B$3:$B$1371=W$3,'GBD estimates'!$E$3:$E$1371=""Tetanus"",'GBD estimates'!$D$3:$D$1371=""50 to 74 years"")"),1.13005E-4)</f>
        <v>0.000113005</v>
      </c>
      <c r="X128" s="210">
        <f>IFERROR(__xludf.DUMMYFUNCTION("FILTER('GBD estimates'!$G$3:$G$1371,'GBD estimates'!$B$3:$B$1371=X$3,'GBD estimates'!$E$3:$E$1371=""Tetanus"",'GBD estimates'!$D$3:$D$1371=""50 to 74 years"")"),1.20993E-4)</f>
        <v>0.000120993</v>
      </c>
      <c r="Y128" s="210">
        <f>IFERROR(__xludf.DUMMYFUNCTION("FILTER('GBD estimates'!$G$3:$G$1371,'GBD estimates'!$B$3:$B$1371=Y$3,'GBD estimates'!$E$3:$E$1371=""Tetanus"",'GBD estimates'!$D$3:$D$1371=""50 to 74 years"")"),1.00775E-4)</f>
        <v>0.000100775</v>
      </c>
      <c r="Z128" s="210">
        <f>IFERROR(__xludf.DUMMYFUNCTION("FILTER('GBD estimates'!$G$3:$G$1371,'GBD estimates'!$B$3:$B$1371=Z$3,'GBD estimates'!$E$3:$E$1371=""Tetanus"",'GBD estimates'!$D$3:$D$1371=""50 to 74 years"")"),8.46E-5)</f>
        <v>0.0000846</v>
      </c>
      <c r="AA128" s="210">
        <f>IFERROR(__xludf.DUMMYFUNCTION("FILTER('GBD estimates'!$G$3:$G$1371,'GBD estimates'!$B$3:$B$1371=AA$3,'GBD estimates'!$E$3:$E$1371=""Tetanus"",'GBD estimates'!$D$3:$D$1371=""50 to 74 years"")"),1.37671E-4)</f>
        <v>0.000137671</v>
      </c>
      <c r="AB128" s="210">
        <f>IFERROR(__xludf.DUMMYFUNCTION("FILTER('GBD estimates'!$G$3:$G$1371,'GBD estimates'!$B$3:$B$1371=AB$3,'GBD estimates'!$E$3:$E$1371=""Tetanus"",'GBD estimates'!$D$3:$D$1371=""50 to 74 years"")"),8.71E-5)</f>
        <v>0.0000871</v>
      </c>
      <c r="AC128" s="210">
        <f>IFERROR(__xludf.DUMMYFUNCTION("FILTER('GBD estimates'!$G$3:$G$1371,'GBD estimates'!$B$3:$B$1371=AC$3,'GBD estimates'!$E$3:$E$1371=""Tetanus"",'GBD estimates'!$D$3:$D$1371=""50 to 74 years"")"),9.21E-5)</f>
        <v>0.0000921</v>
      </c>
      <c r="AD128" s="210">
        <f>IFERROR(__xludf.DUMMYFUNCTION("FILTER('GBD estimates'!$G$3:$G$1371,'GBD estimates'!$B$3:$B$1371=AD$3,'GBD estimates'!$E$3:$E$1371=""Tetanus"",'GBD estimates'!$D$3:$D$1371=""50 to 74 years"")"),1.01209E-4)</f>
        <v>0.000101209</v>
      </c>
      <c r="AE128" s="210">
        <f>IFERROR(__xludf.DUMMYFUNCTION("FILTER('GBD estimates'!$G$3:$G$1371,'GBD estimates'!$B$3:$B$1371=AE$3,'GBD estimates'!$E$3:$E$1371=""Tetanus"",'GBD estimates'!$D$3:$D$1371=""50 to 74 years"")"),6.95E-5)</f>
        <v>0.0000695</v>
      </c>
      <c r="AF128" s="210">
        <f>IFERROR(__xludf.DUMMYFUNCTION("FILTER('GBD estimates'!$G$3:$G$1371,'GBD estimates'!$B$3:$B$1371=AF$3,'GBD estimates'!$E$3:$E$1371=""Tetanus"",'GBD estimates'!$D$3:$D$1371=""50 to 74 years"")"),8.62E-5)</f>
        <v>0.0000862</v>
      </c>
      <c r="AG128" s="210">
        <f>IFERROR(__xludf.DUMMYFUNCTION("FILTER('GBD estimates'!$G$3:$G$1371,'GBD estimates'!$B$3:$B$1371=AG$3,'GBD estimates'!$E$3:$E$1371=""Tetanus"",'GBD estimates'!$D$3:$D$1371=""50 to 74 years"")"),1.47611E-4)</f>
        <v>0.000147611</v>
      </c>
      <c r="AH128" s="210">
        <f>IFERROR(__xludf.DUMMYFUNCTION("FILTER('GBD estimates'!$G$3:$G$1371,'GBD estimates'!$B$3:$B$1371=AH$3,'GBD estimates'!$E$3:$E$1371=""Tetanus"",'GBD estimates'!$D$3:$D$1371=""50 to 74 years"")"),1.17909E-4)</f>
        <v>0.000117909</v>
      </c>
      <c r="AI128" s="210">
        <f>IFERROR(__xludf.DUMMYFUNCTION("FILTER('GBD estimates'!$G$3:$G$1371,'GBD estimates'!$B$3:$B$1371=AI$3,'GBD estimates'!$E$3:$E$1371=""Tetanus"",'GBD estimates'!$D$3:$D$1371=""50 to 74 years"")"),4.66E-5)</f>
        <v>0.0000466</v>
      </c>
      <c r="AJ128" s="210">
        <f>IFERROR(__xludf.DUMMYFUNCTION("FILTER('GBD estimates'!$G$3:$G$1371,'GBD estimates'!$B$3:$B$1371=AJ$3,'GBD estimates'!$E$3:$E$1371=""Tetanus"",'GBD estimates'!$D$3:$D$1371=""50 to 74 years"")"),1.11902E-4)</f>
        <v>0.000111902</v>
      </c>
      <c r="AK128" s="210">
        <f>IFERROR(__xludf.DUMMYFUNCTION("FILTER('GBD estimates'!$G$3:$G$1371,'GBD estimates'!$B$3:$B$1371=AK$3,'GBD estimates'!$E$3:$E$1371=""Tetanus"",'GBD estimates'!$D$3:$D$1371=""50 to 74 years"")"),2.13765E-4)</f>
        <v>0.000213765</v>
      </c>
      <c r="AL128" s="210">
        <f>IFERROR(__xludf.DUMMYFUNCTION("FILTER('GBD estimates'!$G$3:$G$1371,'GBD estimates'!$B$3:$B$1371=AL$3,'GBD estimates'!$E$3:$E$1371=""Tetanus"",'GBD estimates'!$D$3:$D$1371=""50 to 74 years"")"),1.30887E-4)</f>
        <v>0.000130887</v>
      </c>
      <c r="AM128" s="210">
        <f>IFERROR(__xludf.DUMMYFUNCTION("FILTER('GBD estimates'!$G$3:$G$1371,'GBD estimates'!$B$3:$B$1371=AM$3,'GBD estimates'!$E$3:$E$1371=""Tetanus"",'GBD estimates'!$D$3:$D$1371=""50 to 74 years"")"),1.03803E-4)</f>
        <v>0.000103803</v>
      </c>
      <c r="AN128" s="210">
        <f>IFERROR(__xludf.DUMMYFUNCTION("FILTER('GBD estimates'!$G$3:$G$1371,'GBD estimates'!$B$3:$B$1371=AN$3,'GBD estimates'!$E$3:$E$1371=""Tetanus"",'GBD estimates'!$D$3:$D$1371=""50 to 74 years"")"),7.95E-5)</f>
        <v>0.0000795</v>
      </c>
      <c r="AO128" s="210">
        <f>IFERROR(__xludf.DUMMYFUNCTION("FILTER('GBD estimates'!$G$3:$G$1371,'GBD estimates'!$B$3:$B$1371=AO$3,'GBD estimates'!$E$3:$E$1371=""Tetanus"",'GBD estimates'!$D$3:$D$1371=""50 to 74 years"")"),1.03973E-4)</f>
        <v>0.000103973</v>
      </c>
      <c r="AP128" s="210">
        <f>IFERROR(__xludf.DUMMYFUNCTION("FILTER('GBD estimates'!$G$3:$G$1371,'GBD estimates'!$B$3:$B$1371=AP$3,'GBD estimates'!$E$3:$E$1371=""Tetanus"",'GBD estimates'!$D$3:$D$1371=""50 to 74 years"")"),9.3E-5)</f>
        <v>0.000093</v>
      </c>
      <c r="AQ128" s="210">
        <f>IFERROR(__xludf.DUMMYFUNCTION("FILTER('GBD estimates'!$G$3:$G$1371,'GBD estimates'!$B$3:$B$1371=AQ$3,'GBD estimates'!$E$3:$E$1371=""Tetanus"",'GBD estimates'!$D$3:$D$1371=""50 to 74 years"")"),9.41E-5)</f>
        <v>0.0000941</v>
      </c>
      <c r="AR128" s="210">
        <f>IFERROR(__xludf.DUMMYFUNCTION("FILTER('GBD estimates'!$G$3:$G$1371,'GBD estimates'!$B$3:$B$1371=AR$3,'GBD estimates'!$E$3:$E$1371=""Tetanus"",'GBD estimates'!$D$3:$D$1371=""50 to 74 years"")"),1.75697E-4)</f>
        <v>0.000175697</v>
      </c>
      <c r="AS128" s="210">
        <f>IFERROR(__xludf.DUMMYFUNCTION("FILTER('GBD estimates'!$G$3:$G$1371,'GBD estimates'!$B$3:$B$1371=AS$3,'GBD estimates'!$E$3:$E$1371=""Tetanus"",'GBD estimates'!$D$3:$D$1371=""50 to 74 years"")"),2.43663E-4)</f>
        <v>0.000243663</v>
      </c>
      <c r="AT128" s="555"/>
      <c r="AU128" s="566" t="s">
        <v>855</v>
      </c>
      <c r="AV128" s="557"/>
    </row>
    <row r="129">
      <c r="A129" s="540"/>
      <c r="B129" s="206"/>
      <c r="C129" s="206"/>
      <c r="D129" s="206"/>
      <c r="E129" s="548" t="s">
        <v>319</v>
      </c>
      <c r="F129" s="207" t="s">
        <v>111</v>
      </c>
      <c r="G129" s="208" t="s">
        <v>203</v>
      </c>
      <c r="H129" s="578" t="s">
        <v>150</v>
      </c>
      <c r="I129" s="294">
        <f>IFERROR(__xludf.DUMMYFUNCTION("FILTER('GBD estimates'!$R$3:$R$1713,'GBD estimates'!$K$3:$K$1713=I$3,'GBD estimates'!$L$3:$L$1713=""Tetanus"",'GBD estimates'!$N$3:$N$1713=""Under 5"")"),54.52905687)</f>
        <v>54.52905687</v>
      </c>
      <c r="J129" s="294">
        <f>IFERROR(__xludf.DUMMYFUNCTION("FILTER('GBD estimates'!$R$3:$R$1713,'GBD estimates'!$K$3:$K$1713=J$3,'GBD estimates'!$L$3:$L$1713=""Tetanus"",'GBD estimates'!$N$3:$N$1713=""Under 5"")"),21.61435705)</f>
        <v>21.61435705</v>
      </c>
      <c r="K129" s="294">
        <f>IFERROR(__xludf.DUMMYFUNCTION("FILTER('GBD estimates'!$R$3:$R$1713,'GBD estimates'!$K$3:$K$1713=K$3,'GBD estimates'!$L$3:$L$1713=""Tetanus"",'GBD estimates'!$N$3:$N$1713=""Under 5"")"),31.34407661)</f>
        <v>31.34407661</v>
      </c>
      <c r="L129" s="294">
        <f>IFERROR(__xludf.DUMMYFUNCTION("FILTER('GBD estimates'!$R$3:$R$1713,'GBD estimates'!$K$3:$K$1713=L$3,'GBD estimates'!$L$3:$L$1713=""Tetanus"",'GBD estimates'!$N$3:$N$1713=""Under 5"")"),47.15968207)</f>
        <v>47.15968207</v>
      </c>
      <c r="M129" s="294">
        <f>IFERROR(__xludf.DUMMYFUNCTION("FILTER('GBD estimates'!$R$3:$R$1713,'GBD estimates'!$K$3:$K$1713=M$3,'GBD estimates'!$L$3:$L$1713=""Tetanus"",'GBD estimates'!$N$3:$N$1713=""Under 5"")"),85.3270538)</f>
        <v>85.3270538</v>
      </c>
      <c r="N129" s="294">
        <f>IFERROR(__xludf.DUMMYFUNCTION("FILTER('GBD estimates'!$R$3:$R$1713,'GBD estimates'!$K$3:$K$1713=N$3,'GBD estimates'!$L$3:$L$1713=""Tetanus"",'GBD estimates'!$N$3:$N$1713=""Under 5"")"),60.64375318)</f>
        <v>60.64375318</v>
      </c>
      <c r="O129" s="294">
        <f>IFERROR(__xludf.DUMMYFUNCTION("FILTER('GBD estimates'!$R$3:$R$1713,'GBD estimates'!$K$3:$K$1713=O$3,'GBD estimates'!$L$3:$L$1713=""Tetanus"",'GBD estimates'!$N$3:$N$1713=""Under 5"")"),57.68311257)</f>
        <v>57.68311257</v>
      </c>
      <c r="P129" s="294">
        <f>IFERROR(__xludf.DUMMYFUNCTION("FILTER('GBD estimates'!$R$3:$R$1713,'GBD estimates'!$K$3:$K$1713=P$3,'GBD estimates'!$L$3:$L$1713=""Tetanus"",'GBD estimates'!$N$3:$N$1713=""Under 5"")"),113.7423618)</f>
        <v>113.7423618</v>
      </c>
      <c r="Q129" s="294">
        <f>IFERROR(__xludf.DUMMYFUNCTION("FILTER('GBD estimates'!$R$3:$R$1713,'GBD estimates'!$K$3:$K$1713=Q$3,'GBD estimates'!$L$3:$L$1713=""Tetanus"",'GBD estimates'!$N$3:$N$1713=""Under 5"")"),57.09325468)</f>
        <v>57.09325468</v>
      </c>
      <c r="R129" s="294">
        <f>IFERROR(__xludf.DUMMYFUNCTION("FILTER('GBD estimates'!$R$3:$R$1713,'GBD estimates'!$K$3:$K$1713=R$3,'GBD estimates'!$L$3:$L$1713=""Tetanus"",'GBD estimates'!$N$3:$N$1713=""Under 5"")"),9.574368913)</f>
        <v>9.574368913</v>
      </c>
      <c r="S129" s="294">
        <f>IFERROR(__xludf.DUMMYFUNCTION("FILTER('GBD estimates'!$R$3:$R$1713,'GBD estimates'!$K$3:$K$1713=S$3,'GBD estimates'!$L$3:$L$1713=""Tetanus"",'GBD estimates'!$N$3:$N$1713=""Under 5"")"),12.06153137)</f>
        <v>12.06153137</v>
      </c>
      <c r="T129" s="294">
        <f>IFERROR(__xludf.DUMMYFUNCTION("FILTER('GBD estimates'!$R$3:$R$1713,'GBD estimates'!$K$3:$K$1713=T$3,'GBD estimates'!$L$3:$L$1713=""Tetanus"",'GBD estimates'!$N$3:$N$1713=""Under 5"")"),4.170890145)</f>
        <v>4.170890145</v>
      </c>
      <c r="U129" s="294">
        <f>IFERROR(__xludf.DUMMYFUNCTION("FILTER('GBD estimates'!$R$3:$R$1713,'GBD estimates'!$K$3:$K$1713=U$3,'GBD estimates'!$L$3:$L$1713=""Tetanus"",'GBD estimates'!$N$3:$N$1713=""Under 5"")"),10.71030585)</f>
        <v>10.71030585</v>
      </c>
      <c r="V129" s="294">
        <f>IFERROR(__xludf.DUMMYFUNCTION("FILTER('GBD estimates'!$R$3:$R$1713,'GBD estimates'!$K$3:$K$1713=V$3,'GBD estimates'!$L$3:$L$1713=""Tetanus"",'GBD estimates'!$N$3:$N$1713=""Under 5"")"),1.405803468)</f>
        <v>1.405803468</v>
      </c>
      <c r="W129" s="294">
        <f>IFERROR(__xludf.DUMMYFUNCTION("FILTER('GBD estimates'!$R$3:$R$1713,'GBD estimates'!$K$3:$K$1713=W$3,'GBD estimates'!$L$3:$L$1713=""Tetanus"",'GBD estimates'!$N$3:$N$1713=""Under 5"")"),24.16772067)</f>
        <v>24.16772067</v>
      </c>
      <c r="X129" s="294">
        <f>IFERROR(__xludf.DUMMYFUNCTION("FILTER('GBD estimates'!$R$3:$R$1713,'GBD estimates'!$K$3:$K$1713=X$3,'GBD estimates'!$L$3:$L$1713=""Tetanus"",'GBD estimates'!$N$3:$N$1713=""Under 5"")"),9.913937734)</f>
        <v>9.913937734</v>
      </c>
      <c r="Y129" s="294">
        <f>IFERROR(__xludf.DUMMYFUNCTION("FILTER('GBD estimates'!$R$3:$R$1713,'GBD estimates'!$K$3:$K$1713=Y$3,'GBD estimates'!$L$3:$L$1713=""Tetanus"",'GBD estimates'!$N$3:$N$1713=""Under 5"")"),4.182139598)</f>
        <v>4.182139598</v>
      </c>
      <c r="Z129" s="294">
        <f>IFERROR(__xludf.DUMMYFUNCTION("FILTER('GBD estimates'!$R$3:$R$1713,'GBD estimates'!$K$3:$K$1713=Z$3,'GBD estimates'!$L$3:$L$1713=""Tetanus"",'GBD estimates'!$N$3:$N$1713=""Under 5"")"),11.25158975)</f>
        <v>11.25158975</v>
      </c>
      <c r="AA129" s="294">
        <f>IFERROR(__xludf.DUMMYFUNCTION("FILTER('GBD estimates'!$R$3:$R$1713,'GBD estimates'!$K$3:$K$1713=AA$3,'GBD estimates'!$L$3:$L$1713=""Tetanus"",'GBD estimates'!$N$3:$N$1713=""Under 5"")"),13.29848504)</f>
        <v>13.29848504</v>
      </c>
      <c r="AB129" s="294">
        <f>IFERROR(__xludf.DUMMYFUNCTION("FILTER('GBD estimates'!$R$3:$R$1713,'GBD estimates'!$K$3:$K$1713=AB$3,'GBD estimates'!$L$3:$L$1713=""Tetanus"",'GBD estimates'!$N$3:$N$1713=""Under 5"")"),7.777809942)</f>
        <v>7.777809942</v>
      </c>
      <c r="AC129" s="294">
        <f>IFERROR(__xludf.DUMMYFUNCTION("FILTER('GBD estimates'!$R$3:$R$1713,'GBD estimates'!$K$3:$K$1713=AC$3,'GBD estimates'!$L$3:$L$1713=""Tetanus"",'GBD estimates'!$N$3:$N$1713=""Under 5"")"),3.896342869)</f>
        <v>3.896342869</v>
      </c>
      <c r="AD129" s="294">
        <f>IFERROR(__xludf.DUMMYFUNCTION("FILTER('GBD estimates'!$R$3:$R$1713,'GBD estimates'!$K$3:$K$1713=AD$3,'GBD estimates'!$L$3:$L$1713=""Tetanus"",'GBD estimates'!$N$3:$N$1713=""Under 5"")"),7.6557406)</f>
        <v>7.6557406</v>
      </c>
      <c r="AE129" s="294">
        <f>IFERROR(__xludf.DUMMYFUNCTION("FILTER('GBD estimates'!$R$3:$R$1713,'GBD estimates'!$K$3:$K$1713=AE$3,'GBD estimates'!$L$3:$L$1713=""Tetanus"",'GBD estimates'!$N$3:$N$1713=""Under 5"")"),17.29689736)</f>
        <v>17.29689736</v>
      </c>
      <c r="AF129" s="294">
        <f>IFERROR(__xludf.DUMMYFUNCTION("FILTER('GBD estimates'!$R$3:$R$1713,'GBD estimates'!$K$3:$K$1713=AF$3,'GBD estimates'!$L$3:$L$1713=""Tetanus"",'GBD estimates'!$N$3:$N$1713=""Under 5"")"),18.01740353)</f>
        <v>18.01740353</v>
      </c>
      <c r="AG129" s="294">
        <f>IFERROR(__xludf.DUMMYFUNCTION("FILTER('GBD estimates'!$R$3:$R$1713,'GBD estimates'!$K$3:$K$1713=AG$3,'GBD estimates'!$L$3:$L$1713=""Tetanus"",'GBD estimates'!$N$3:$N$1713=""Under 5"")"),6.221320837)</f>
        <v>6.221320837</v>
      </c>
      <c r="AH129" s="294">
        <f>IFERROR(__xludf.DUMMYFUNCTION("FILTER('GBD estimates'!$R$3:$R$1713,'GBD estimates'!$K$3:$K$1713=AH$3,'GBD estimates'!$L$3:$L$1713=""Tetanus"",'GBD estimates'!$N$3:$N$1713=""Under 5"")"),7.172326789)</f>
        <v>7.172326789</v>
      </c>
      <c r="AI129" s="294">
        <f>IFERROR(__xludf.DUMMYFUNCTION("FILTER('GBD estimates'!$R$3:$R$1713,'GBD estimates'!$K$3:$K$1713=AI$3,'GBD estimates'!$L$3:$L$1713=""Tetanus"",'GBD estimates'!$N$3:$N$1713=""Under 5"")"),8.736607085)</f>
        <v>8.736607085</v>
      </c>
      <c r="AJ129" s="294">
        <f>IFERROR(__xludf.DUMMYFUNCTION("FILTER('GBD estimates'!$R$3:$R$1713,'GBD estimates'!$K$3:$K$1713=AJ$3,'GBD estimates'!$L$3:$L$1713=""Tetanus"",'GBD estimates'!$N$3:$N$1713=""Under 5"")"),17.84794665)</f>
        <v>17.84794665</v>
      </c>
      <c r="AK129" s="294">
        <f>IFERROR(__xludf.DUMMYFUNCTION("FILTER('GBD estimates'!$R$3:$R$1713,'GBD estimates'!$K$3:$K$1713=AK$3,'GBD estimates'!$L$3:$L$1713=""Tetanus"",'GBD estimates'!$N$3:$N$1713=""Under 5"")"),50.89545208)</f>
        <v>50.89545208</v>
      </c>
      <c r="AL129" s="294">
        <f>IFERROR(__xludf.DUMMYFUNCTION("FILTER('GBD estimates'!$R$3:$R$1713,'GBD estimates'!$K$3:$K$1713=AL$3,'GBD estimates'!$L$3:$L$1713=""Tetanus"",'GBD estimates'!$N$3:$N$1713=""Under 5"")"),33.58925374)</f>
        <v>33.58925374</v>
      </c>
      <c r="AM129" s="294">
        <f>IFERROR(__xludf.DUMMYFUNCTION("FILTER('GBD estimates'!$R$3:$R$1713,'GBD estimates'!$K$3:$K$1713=AM$3,'GBD estimates'!$L$3:$L$1713=""Tetanus"",'GBD estimates'!$N$3:$N$1713=""Under 5"")"),7.131687658)</f>
        <v>7.131687658</v>
      </c>
      <c r="AN129" s="294">
        <f>IFERROR(__xludf.DUMMYFUNCTION("FILTER('GBD estimates'!$R$3:$R$1713,'GBD estimates'!$K$3:$K$1713=AN$3,'GBD estimates'!$L$3:$L$1713=""Tetanus"",'GBD estimates'!$N$3:$N$1713=""Under 5"")"),7.341984829)</f>
        <v>7.341984829</v>
      </c>
      <c r="AO129" s="294">
        <f>IFERROR(__xludf.DUMMYFUNCTION("FILTER('GBD estimates'!$R$3:$R$1713,'GBD estimates'!$K$3:$K$1713=AO$3,'GBD estimates'!$L$3:$L$1713=""Tetanus"",'GBD estimates'!$N$3:$N$1713=""Under 5"")"),8.199715917)</f>
        <v>8.199715917</v>
      </c>
      <c r="AP129" s="294">
        <f>IFERROR(__xludf.DUMMYFUNCTION("FILTER('GBD estimates'!$R$3:$R$1713,'GBD estimates'!$K$3:$K$1713=AP$3,'GBD estimates'!$L$3:$L$1713=""Tetanus"",'GBD estimates'!$N$3:$N$1713=""Under 5"")"),30.21033403)</f>
        <v>30.21033403</v>
      </c>
      <c r="AQ129" s="294">
        <f>IFERROR(__xludf.DUMMYFUNCTION("FILTER('GBD estimates'!$R$3:$R$1713,'GBD estimates'!$K$3:$K$1713=AQ$3,'GBD estimates'!$L$3:$L$1713=""Tetanus"",'GBD estimates'!$N$3:$N$1713=""Under 5"")"),8.185850082)</f>
        <v>8.185850082</v>
      </c>
      <c r="AR129" s="294">
        <f>IFERROR(__xludf.DUMMYFUNCTION("FILTER('GBD estimates'!$R$3:$R$1713,'GBD estimates'!$K$3:$K$1713=AR$3,'GBD estimates'!$L$3:$L$1713=""Tetanus"",'GBD estimates'!$N$3:$N$1713=""Under 5"")"),29.86877151)</f>
        <v>29.86877151</v>
      </c>
      <c r="AS129" s="294">
        <f>IFERROR(__xludf.DUMMYFUNCTION("FILTER('GBD estimates'!$R$3:$R$1713,'GBD estimates'!$K$3:$K$1713=AS$3,'GBD estimates'!$L$3:$L$1713=""Tetanus"",'GBD estimates'!$N$3:$N$1713=""Under 5"")"),22.7080095)</f>
        <v>22.7080095</v>
      </c>
      <c r="AT129" s="550"/>
      <c r="AU129" s="562" t="s">
        <v>855</v>
      </c>
      <c r="AV129" s="552"/>
    </row>
    <row r="130">
      <c r="A130" s="540"/>
      <c r="B130" s="206"/>
      <c r="C130" s="206"/>
      <c r="D130" s="206"/>
      <c r="E130" s="553" t="s">
        <v>322</v>
      </c>
      <c r="F130" s="278" t="s">
        <v>111</v>
      </c>
      <c r="G130" s="279" t="s">
        <v>203</v>
      </c>
      <c r="H130" s="581" t="s">
        <v>150</v>
      </c>
      <c r="I130" s="294">
        <f>IFERROR(__xludf.DUMMYFUNCTION("FILTER('GBD estimates'!$R$3:$R$1713,'GBD estimates'!$K$3:$K$1713=I$3,'GBD estimates'!$L$3:$L$1713=""Tetanus"",'GBD estimates'!$N$3:$N$1713=""Early Neonatal"")"),30.47888663)</f>
        <v>30.47888663</v>
      </c>
      <c r="J130" s="294">
        <f>IFERROR(__xludf.DUMMYFUNCTION("FILTER('GBD estimates'!$R$3:$R$1713,'GBD estimates'!$K$3:$K$1713=J$3,'GBD estimates'!$L$3:$L$1713=""Tetanus"",'GBD estimates'!$N$3:$N$1713=""Early Neonatal"")"),10.96428607)</f>
        <v>10.96428607</v>
      </c>
      <c r="K130" s="294">
        <f>IFERROR(__xludf.DUMMYFUNCTION("FILTER('GBD estimates'!$R$3:$R$1713,'GBD estimates'!$K$3:$K$1713=K$3,'GBD estimates'!$L$3:$L$1713=""Tetanus"",'GBD estimates'!$N$3:$N$1713=""Early Neonatal"")"),15.56390594)</f>
        <v>15.56390594</v>
      </c>
      <c r="L130" s="294">
        <f>IFERROR(__xludf.DUMMYFUNCTION("FILTER('GBD estimates'!$R$3:$R$1713,'GBD estimates'!$K$3:$K$1713=L$3,'GBD estimates'!$L$3:$L$1713=""Tetanus"",'GBD estimates'!$N$3:$N$1713=""Early Neonatal"")"),23.68307774)</f>
        <v>23.68307774</v>
      </c>
      <c r="M130" s="294">
        <f>IFERROR(__xludf.DUMMYFUNCTION("FILTER('GBD estimates'!$R$3:$R$1713,'GBD estimates'!$K$3:$K$1713=M$3,'GBD estimates'!$L$3:$L$1713=""Tetanus"",'GBD estimates'!$N$3:$N$1713=""Early Neonatal"")"),43.1227603)</f>
        <v>43.1227603</v>
      </c>
      <c r="N130" s="294">
        <f>IFERROR(__xludf.DUMMYFUNCTION("FILTER('GBD estimates'!$R$3:$R$1713,'GBD estimates'!$K$3:$K$1713=N$3,'GBD estimates'!$L$3:$L$1713=""Tetanus"",'GBD estimates'!$N$3:$N$1713=""Early Neonatal"")"),28.61757985)</f>
        <v>28.61757985</v>
      </c>
      <c r="O130" s="294">
        <f>IFERROR(__xludf.DUMMYFUNCTION("FILTER('GBD estimates'!$R$3:$R$1713,'GBD estimates'!$K$3:$K$1713=O$3,'GBD estimates'!$L$3:$L$1713=""Tetanus"",'GBD estimates'!$N$3:$N$1713=""Early Neonatal"")"),31.95701187)</f>
        <v>31.95701187</v>
      </c>
      <c r="P130" s="294">
        <f>IFERROR(__xludf.DUMMYFUNCTION("FILTER('GBD estimates'!$R$3:$R$1713,'GBD estimates'!$K$3:$K$1713=P$3,'GBD estimates'!$L$3:$L$1713=""Tetanus"",'GBD estimates'!$N$3:$N$1713=""Early Neonatal"")"),54.16983297)</f>
        <v>54.16983297</v>
      </c>
      <c r="Q130" s="294">
        <f>IFERROR(__xludf.DUMMYFUNCTION("FILTER('GBD estimates'!$R$3:$R$1713,'GBD estimates'!$K$3:$K$1713=Q$3,'GBD estimates'!$L$3:$L$1713=""Tetanus"",'GBD estimates'!$N$3:$N$1713=""Early Neonatal"")"),23.68680904)</f>
        <v>23.68680904</v>
      </c>
      <c r="R130" s="294">
        <f>IFERROR(__xludf.DUMMYFUNCTION("FILTER('GBD estimates'!$R$3:$R$1713,'GBD estimates'!$K$3:$K$1713=R$3,'GBD estimates'!$L$3:$L$1713=""Tetanus"",'GBD estimates'!$N$3:$N$1713=""Early Neonatal"")"),5.79282685)</f>
        <v>5.79282685</v>
      </c>
      <c r="S130" s="294">
        <f>IFERROR(__xludf.DUMMYFUNCTION("FILTER('GBD estimates'!$R$3:$R$1713,'GBD estimates'!$K$3:$K$1713=S$3,'GBD estimates'!$L$3:$L$1713=""Tetanus"",'GBD estimates'!$N$3:$N$1713=""Early Neonatal"")"),6.176313845)</f>
        <v>6.176313845</v>
      </c>
      <c r="T130" s="294">
        <f>IFERROR(__xludf.DUMMYFUNCTION("FILTER('GBD estimates'!$R$3:$R$1713,'GBD estimates'!$K$3:$K$1713=T$3,'GBD estimates'!$L$3:$L$1713=""Tetanus"",'GBD estimates'!$N$3:$N$1713=""Early Neonatal"")"),2.448145769)</f>
        <v>2.448145769</v>
      </c>
      <c r="U130" s="294">
        <f>IFERROR(__xludf.DUMMYFUNCTION("FILTER('GBD estimates'!$R$3:$R$1713,'GBD estimates'!$K$3:$K$1713=U$3,'GBD estimates'!$L$3:$L$1713=""Tetanus"",'GBD estimates'!$N$3:$N$1713=""Early Neonatal"")"),6.455351306)</f>
        <v>6.455351306</v>
      </c>
      <c r="V130" s="294">
        <f>IFERROR(__xludf.DUMMYFUNCTION("FILTER('GBD estimates'!$R$3:$R$1713,'GBD estimates'!$K$3:$K$1713=V$3,'GBD estimates'!$L$3:$L$1713=""Tetanus"",'GBD estimates'!$N$3:$N$1713=""Early Neonatal"")"),0.783819609)</f>
        <v>0.783819609</v>
      </c>
      <c r="W130" s="294">
        <f>IFERROR(__xludf.DUMMYFUNCTION("FILTER('GBD estimates'!$R$3:$R$1713,'GBD estimates'!$K$3:$K$1713=W$3,'GBD estimates'!$L$3:$L$1713=""Tetanus"",'GBD estimates'!$N$3:$N$1713=""Early Neonatal"")"),14.18173748)</f>
        <v>14.18173748</v>
      </c>
      <c r="X130" s="294">
        <f>IFERROR(__xludf.DUMMYFUNCTION("FILTER('GBD estimates'!$R$3:$R$1713,'GBD estimates'!$K$3:$K$1713=X$3,'GBD estimates'!$L$3:$L$1713=""Tetanus"",'GBD estimates'!$N$3:$N$1713=""Early Neonatal"")"),5.691886711)</f>
        <v>5.691886711</v>
      </c>
      <c r="Y130" s="294">
        <f>IFERROR(__xludf.DUMMYFUNCTION("FILTER('GBD estimates'!$R$3:$R$1713,'GBD estimates'!$K$3:$K$1713=Y$3,'GBD estimates'!$L$3:$L$1713=""Tetanus"",'GBD estimates'!$N$3:$N$1713=""Early Neonatal"")"),2.364898348)</f>
        <v>2.364898348</v>
      </c>
      <c r="Z130" s="294">
        <f>IFERROR(__xludf.DUMMYFUNCTION("FILTER('GBD estimates'!$R$3:$R$1713,'GBD estimates'!$K$3:$K$1713=Z$3,'GBD estimates'!$L$3:$L$1713=""Tetanus"",'GBD estimates'!$N$3:$N$1713=""Early Neonatal"")"),6.378451158)</f>
        <v>6.378451158</v>
      </c>
      <c r="AA130" s="294">
        <f>IFERROR(__xludf.DUMMYFUNCTION("FILTER('GBD estimates'!$R$3:$R$1713,'GBD estimates'!$K$3:$K$1713=AA$3,'GBD estimates'!$L$3:$L$1713=""Tetanus"",'GBD estimates'!$N$3:$N$1713=""Early Neonatal"")"),8.035664095)</f>
        <v>8.035664095</v>
      </c>
      <c r="AB130" s="294">
        <f>IFERROR(__xludf.DUMMYFUNCTION("FILTER('GBD estimates'!$R$3:$R$1713,'GBD estimates'!$K$3:$K$1713=AB$3,'GBD estimates'!$L$3:$L$1713=""Tetanus"",'GBD estimates'!$N$3:$N$1713=""Early Neonatal"")"),4.553855496)</f>
        <v>4.553855496</v>
      </c>
      <c r="AC130" s="294">
        <f>IFERROR(__xludf.DUMMYFUNCTION("FILTER('GBD estimates'!$R$3:$R$1713,'GBD estimates'!$K$3:$K$1713=AC$3,'GBD estimates'!$L$3:$L$1713=""Tetanus"",'GBD estimates'!$N$3:$N$1713=""Early Neonatal"")"),2.490712103)</f>
        <v>2.490712103</v>
      </c>
      <c r="AD130" s="294">
        <f>IFERROR(__xludf.DUMMYFUNCTION("FILTER('GBD estimates'!$R$3:$R$1713,'GBD estimates'!$K$3:$K$1713=AD$3,'GBD estimates'!$L$3:$L$1713=""Tetanus"",'GBD estimates'!$N$3:$N$1713=""Early Neonatal"")"),4.105372745)</f>
        <v>4.105372745</v>
      </c>
      <c r="AE130" s="294">
        <f>IFERROR(__xludf.DUMMYFUNCTION("FILTER('GBD estimates'!$R$3:$R$1713,'GBD estimates'!$K$3:$K$1713=AE$3,'GBD estimates'!$L$3:$L$1713=""Tetanus"",'GBD estimates'!$N$3:$N$1713=""Early Neonatal"")"),10.69612408)</f>
        <v>10.69612408</v>
      </c>
      <c r="AF130" s="294">
        <f>IFERROR(__xludf.DUMMYFUNCTION("FILTER('GBD estimates'!$R$3:$R$1713,'GBD estimates'!$K$3:$K$1713=AF$3,'GBD estimates'!$L$3:$L$1713=""Tetanus"",'GBD estimates'!$N$3:$N$1713=""Early Neonatal"")"),12.47815421)</f>
        <v>12.47815421</v>
      </c>
      <c r="AG130" s="294">
        <f>IFERROR(__xludf.DUMMYFUNCTION("FILTER('GBD estimates'!$R$3:$R$1713,'GBD estimates'!$K$3:$K$1713=AG$3,'GBD estimates'!$L$3:$L$1713=""Tetanus"",'GBD estimates'!$N$3:$N$1713=""Early Neonatal"")"),3.585001826)</f>
        <v>3.585001826</v>
      </c>
      <c r="AH130" s="294">
        <f>IFERROR(__xludf.DUMMYFUNCTION("FILTER('GBD estimates'!$R$3:$R$1713,'GBD estimates'!$K$3:$K$1713=AH$3,'GBD estimates'!$L$3:$L$1713=""Tetanus"",'GBD estimates'!$N$3:$N$1713=""Early Neonatal"")"),4.086182425)</f>
        <v>4.086182425</v>
      </c>
      <c r="AI130" s="294">
        <f>IFERROR(__xludf.DUMMYFUNCTION("FILTER('GBD estimates'!$R$3:$R$1713,'GBD estimates'!$K$3:$K$1713=AI$3,'GBD estimates'!$L$3:$L$1713=""Tetanus"",'GBD estimates'!$N$3:$N$1713=""Early Neonatal"")"),5.425082302)</f>
        <v>5.425082302</v>
      </c>
      <c r="AJ130" s="294">
        <f>IFERROR(__xludf.DUMMYFUNCTION("FILTER('GBD estimates'!$R$3:$R$1713,'GBD estimates'!$K$3:$K$1713=AJ$3,'GBD estimates'!$L$3:$L$1713=""Tetanus"",'GBD estimates'!$N$3:$N$1713=""Early Neonatal"")"),10.13230532)</f>
        <v>10.13230532</v>
      </c>
      <c r="AK130" s="294">
        <f>IFERROR(__xludf.DUMMYFUNCTION("FILTER('GBD estimates'!$R$3:$R$1713,'GBD estimates'!$K$3:$K$1713=AK$3,'GBD estimates'!$L$3:$L$1713=""Tetanus"",'GBD estimates'!$N$3:$N$1713=""Early Neonatal"")"),24.81793769)</f>
        <v>24.81793769</v>
      </c>
      <c r="AL130" s="294">
        <f>IFERROR(__xludf.DUMMYFUNCTION("FILTER('GBD estimates'!$R$3:$R$1713,'GBD estimates'!$K$3:$K$1713=AL$3,'GBD estimates'!$L$3:$L$1713=""Tetanus"",'GBD estimates'!$N$3:$N$1713=""Early Neonatal"")"),18.67628757)</f>
        <v>18.67628757</v>
      </c>
      <c r="AM130" s="294">
        <f>IFERROR(__xludf.DUMMYFUNCTION("FILTER('GBD estimates'!$R$3:$R$1713,'GBD estimates'!$K$3:$K$1713=AM$3,'GBD estimates'!$L$3:$L$1713=""Tetanus"",'GBD estimates'!$N$3:$N$1713=""Early Neonatal"")"),4.360320599)</f>
        <v>4.360320599</v>
      </c>
      <c r="AN130" s="294">
        <f>IFERROR(__xludf.DUMMYFUNCTION("FILTER('GBD estimates'!$R$3:$R$1713,'GBD estimates'!$K$3:$K$1713=AN$3,'GBD estimates'!$L$3:$L$1713=""Tetanus"",'GBD estimates'!$N$3:$N$1713=""Early Neonatal"")"),4.308711985)</f>
        <v>4.308711985</v>
      </c>
      <c r="AO130" s="294">
        <f>IFERROR(__xludf.DUMMYFUNCTION("FILTER('GBD estimates'!$R$3:$R$1713,'GBD estimates'!$K$3:$K$1713=AO$3,'GBD estimates'!$L$3:$L$1713=""Tetanus"",'GBD estimates'!$N$3:$N$1713=""Early Neonatal"")"),5.979455422)</f>
        <v>5.979455422</v>
      </c>
      <c r="AP130" s="294">
        <f>IFERROR(__xludf.DUMMYFUNCTION("FILTER('GBD estimates'!$R$3:$R$1713,'GBD estimates'!$K$3:$K$1713=AP$3,'GBD estimates'!$L$3:$L$1713=""Tetanus"",'GBD estimates'!$N$3:$N$1713=""Early Neonatal"")"),17.15657445)</f>
        <v>17.15657445</v>
      </c>
      <c r="AQ130" s="294">
        <f>IFERROR(__xludf.DUMMYFUNCTION("FILTER('GBD estimates'!$R$3:$R$1713,'GBD estimates'!$K$3:$K$1713=AQ$3,'GBD estimates'!$L$3:$L$1713=""Tetanus"",'GBD estimates'!$N$3:$N$1713=""Early Neonatal"")"),4.962703781)</f>
        <v>4.962703781</v>
      </c>
      <c r="AR130" s="294">
        <f>IFERROR(__xludf.DUMMYFUNCTION("FILTER('GBD estimates'!$R$3:$R$1713,'GBD estimates'!$K$3:$K$1713=AR$3,'GBD estimates'!$L$3:$L$1713=""Tetanus"",'GBD estimates'!$N$3:$N$1713=""Early Neonatal"")"),15.13290745)</f>
        <v>15.13290745</v>
      </c>
      <c r="AS130" s="294">
        <f>IFERROR(__xludf.DUMMYFUNCTION("FILTER('GBD estimates'!$R$3:$R$1713,'GBD estimates'!$K$3:$K$1713=AS$3,'GBD estimates'!$L$3:$L$1713=""Tetanus"",'GBD estimates'!$N$3:$N$1713=""Early Neonatal"")"),13.35720932)</f>
        <v>13.35720932</v>
      </c>
      <c r="AT130" s="555"/>
      <c r="AU130" s="566" t="s">
        <v>855</v>
      </c>
      <c r="AV130" s="557"/>
    </row>
    <row r="131">
      <c r="A131" s="540"/>
      <c r="B131" s="206"/>
      <c r="C131" s="206"/>
      <c r="D131" s="206"/>
      <c r="E131" s="553" t="s">
        <v>327</v>
      </c>
      <c r="F131" s="278" t="s">
        <v>111</v>
      </c>
      <c r="G131" s="279" t="s">
        <v>203</v>
      </c>
      <c r="H131" s="581" t="s">
        <v>150</v>
      </c>
      <c r="I131" s="294">
        <f>IFERROR(__xludf.DUMMYFUNCTION("FILTER('GBD estimates'!$R$3:$R$1713,'GBD estimates'!$K$3:$K$1713=I$3,'GBD estimates'!$L$3:$L$1713=""Tetanus"",'GBD estimates'!$N$3:$N$1713=""Late Neonatal"")"),13.78822446)</f>
        <v>13.78822446</v>
      </c>
      <c r="J131" s="294">
        <f>IFERROR(__xludf.DUMMYFUNCTION("FILTER('GBD estimates'!$R$3:$R$1713,'GBD estimates'!$K$3:$K$1713=J$3,'GBD estimates'!$L$3:$L$1713=""Tetanus"",'GBD estimates'!$N$3:$N$1713=""Late Neonatal"")"),5.840665)</f>
        <v>5.840665</v>
      </c>
      <c r="K131" s="294">
        <f>IFERROR(__xludf.DUMMYFUNCTION("FILTER('GBD estimates'!$R$3:$R$1713,'GBD estimates'!$K$3:$K$1713=K$3,'GBD estimates'!$L$3:$L$1713=""Tetanus"",'GBD estimates'!$N$3:$N$1713=""Late Neonatal"")"),7.862766221)</f>
        <v>7.862766221</v>
      </c>
      <c r="L131" s="294">
        <f>IFERROR(__xludf.DUMMYFUNCTION("FILTER('GBD estimates'!$R$3:$R$1713,'GBD estimates'!$K$3:$K$1713=L$3,'GBD estimates'!$L$3:$L$1713=""Tetanus"",'GBD estimates'!$N$3:$N$1713=""Late Neonatal"")"),14.89126409)</f>
        <v>14.89126409</v>
      </c>
      <c r="M131" s="294">
        <f>IFERROR(__xludf.DUMMYFUNCTION("FILTER('GBD estimates'!$R$3:$R$1713,'GBD estimates'!$K$3:$K$1713=M$3,'GBD estimates'!$L$3:$L$1713=""Tetanus"",'GBD estimates'!$N$3:$N$1713=""Late Neonatal"")"),25.74459587)</f>
        <v>25.74459587</v>
      </c>
      <c r="N131" s="294">
        <f>IFERROR(__xludf.DUMMYFUNCTION("FILTER('GBD estimates'!$R$3:$R$1713,'GBD estimates'!$K$3:$K$1713=N$3,'GBD estimates'!$L$3:$L$1713=""Tetanus"",'GBD estimates'!$N$3:$N$1713=""Late Neonatal"")"),21.06859248)</f>
        <v>21.06859248</v>
      </c>
      <c r="O131" s="294">
        <f>IFERROR(__xludf.DUMMYFUNCTION("FILTER('GBD estimates'!$R$3:$R$1713,'GBD estimates'!$K$3:$K$1713=O$3,'GBD estimates'!$L$3:$L$1713=""Tetanus"",'GBD estimates'!$N$3:$N$1713=""Late Neonatal"")"),16.16964646)</f>
        <v>16.16964646</v>
      </c>
      <c r="P131" s="294">
        <f>IFERROR(__xludf.DUMMYFUNCTION("FILTER('GBD estimates'!$R$3:$R$1713,'GBD estimates'!$K$3:$K$1713=P$3,'GBD estimates'!$L$3:$L$1713=""Tetanus"",'GBD estimates'!$N$3:$N$1713=""Late Neonatal"")"),36.70287667)</f>
        <v>36.70287667</v>
      </c>
      <c r="Q131" s="294">
        <f>IFERROR(__xludf.DUMMYFUNCTION("FILTER('GBD estimates'!$R$3:$R$1713,'GBD estimates'!$K$3:$K$1713=Q$3,'GBD estimates'!$L$3:$L$1713=""Tetanus"",'GBD estimates'!$N$3:$N$1713=""Late Neonatal"")"),20.01437074)</f>
        <v>20.01437074</v>
      </c>
      <c r="R131" s="294">
        <f>IFERROR(__xludf.DUMMYFUNCTION("FILTER('GBD estimates'!$R$3:$R$1713,'GBD estimates'!$K$3:$K$1713=R$3,'GBD estimates'!$L$3:$L$1713=""Tetanus"",'GBD estimates'!$N$3:$N$1713=""Late Neonatal"")"),2.612578044)</f>
        <v>2.612578044</v>
      </c>
      <c r="S131" s="294">
        <f>IFERROR(__xludf.DUMMYFUNCTION("FILTER('GBD estimates'!$R$3:$R$1713,'GBD estimates'!$K$3:$K$1713=S$3,'GBD estimates'!$L$3:$L$1713=""Tetanus"",'GBD estimates'!$N$3:$N$1713=""Late Neonatal"")"),3.601899175)</f>
        <v>3.601899175</v>
      </c>
      <c r="T131" s="294">
        <f>IFERROR(__xludf.DUMMYFUNCTION("FILTER('GBD estimates'!$R$3:$R$1713,'GBD estimates'!$K$3:$K$1713=T$3,'GBD estimates'!$L$3:$L$1713=""Tetanus"",'GBD estimates'!$N$3:$N$1713=""Late Neonatal"")"),1.359625785)</f>
        <v>1.359625785</v>
      </c>
      <c r="U131" s="294">
        <f>IFERROR(__xludf.DUMMYFUNCTION("FILTER('GBD estimates'!$R$3:$R$1713,'GBD estimates'!$K$3:$K$1713=U$3,'GBD estimates'!$L$3:$L$1713=""Tetanus"",'GBD estimates'!$N$3:$N$1713=""Late Neonatal"")"),3.257913338)</f>
        <v>3.257913338</v>
      </c>
      <c r="V131" s="294">
        <f>IFERROR(__xludf.DUMMYFUNCTION("FILTER('GBD estimates'!$R$3:$R$1713,'GBD estimates'!$K$3:$K$1713=V$3,'GBD estimates'!$L$3:$L$1713=""Tetanus"",'GBD estimates'!$N$3:$N$1713=""Late Neonatal"")"),0.417991705)</f>
        <v>0.417991705</v>
      </c>
      <c r="W131" s="294">
        <f>IFERROR(__xludf.DUMMYFUNCTION("FILTER('GBD estimates'!$R$3:$R$1713,'GBD estimates'!$K$3:$K$1713=W$3,'GBD estimates'!$L$3:$L$1713=""Tetanus"",'GBD estimates'!$N$3:$N$1713=""Late Neonatal"")"),7.373690901)</f>
        <v>7.373690901</v>
      </c>
      <c r="X131" s="294">
        <f>IFERROR(__xludf.DUMMYFUNCTION("FILTER('GBD estimates'!$R$3:$R$1713,'GBD estimates'!$K$3:$K$1713=X$3,'GBD estimates'!$L$3:$L$1713=""Tetanus"",'GBD estimates'!$N$3:$N$1713=""Late Neonatal"")"),3.112678576)</f>
        <v>3.112678576</v>
      </c>
      <c r="Y131" s="294">
        <f>IFERROR(__xludf.DUMMYFUNCTION("FILTER('GBD estimates'!$R$3:$R$1713,'GBD estimates'!$K$3:$K$1713=Y$3,'GBD estimates'!$L$3:$L$1713=""Tetanus"",'GBD estimates'!$N$3:$N$1713=""Late Neonatal"")"),1.319127884)</f>
        <v>1.319127884</v>
      </c>
      <c r="Z131" s="294">
        <f>IFERROR(__xludf.DUMMYFUNCTION("FILTER('GBD estimates'!$R$3:$R$1713,'GBD estimates'!$K$3:$K$1713=Z$3,'GBD estimates'!$L$3:$L$1713=""Tetanus"",'GBD estimates'!$N$3:$N$1713=""Late Neonatal"")"),3.834320554)</f>
        <v>3.834320554</v>
      </c>
      <c r="AA131" s="294">
        <f>IFERROR(__xludf.DUMMYFUNCTION("FILTER('GBD estimates'!$R$3:$R$1713,'GBD estimates'!$K$3:$K$1713=AA$3,'GBD estimates'!$L$3:$L$1713=""Tetanus"",'GBD estimates'!$N$3:$N$1713=""Late Neonatal"")"),4.02433628)</f>
        <v>4.02433628</v>
      </c>
      <c r="AB131" s="294">
        <f>IFERROR(__xludf.DUMMYFUNCTION("FILTER('GBD estimates'!$R$3:$R$1713,'GBD estimates'!$K$3:$K$1713=AB$3,'GBD estimates'!$L$3:$L$1713=""Tetanus"",'GBD estimates'!$N$3:$N$1713=""Late Neonatal"")"),2.453681959)</f>
        <v>2.453681959</v>
      </c>
      <c r="AC131" s="294">
        <f>IFERROR(__xludf.DUMMYFUNCTION("FILTER('GBD estimates'!$R$3:$R$1713,'GBD estimates'!$K$3:$K$1713=AC$3,'GBD estimates'!$L$3:$L$1713=""Tetanus"",'GBD estimates'!$N$3:$N$1713=""Late Neonatal"")"),1.071696054)</f>
        <v>1.071696054</v>
      </c>
      <c r="AD131" s="294">
        <f>IFERROR(__xludf.DUMMYFUNCTION("FILTER('GBD estimates'!$R$3:$R$1713,'GBD estimates'!$K$3:$K$1713=AD$3,'GBD estimates'!$L$3:$L$1713=""Tetanus"",'GBD estimates'!$N$3:$N$1713=""Late Neonatal"")"),2.942227922)</f>
        <v>2.942227922</v>
      </c>
      <c r="AE131" s="294">
        <f>IFERROR(__xludf.DUMMYFUNCTION("FILTER('GBD estimates'!$R$3:$R$1713,'GBD estimates'!$K$3:$K$1713=AE$3,'GBD estimates'!$L$3:$L$1713=""Tetanus"",'GBD estimates'!$N$3:$N$1713=""Late Neonatal"")"),5.088316432)</f>
        <v>5.088316432</v>
      </c>
      <c r="AF131" s="294">
        <f>IFERROR(__xludf.DUMMYFUNCTION("FILTER('GBD estimates'!$R$3:$R$1713,'GBD estimates'!$K$3:$K$1713=AF$3,'GBD estimates'!$L$3:$L$1713=""Tetanus"",'GBD estimates'!$N$3:$N$1713=""Late Neonatal"")"),3.924052851)</f>
        <v>3.924052851</v>
      </c>
      <c r="AG131" s="294">
        <f>IFERROR(__xludf.DUMMYFUNCTION("FILTER('GBD estimates'!$R$3:$R$1713,'GBD estimates'!$K$3:$K$1713=AG$3,'GBD estimates'!$L$3:$L$1713=""Tetanus"",'GBD estimates'!$N$3:$N$1713=""Late Neonatal"")"),1.948413438)</f>
        <v>1.948413438</v>
      </c>
      <c r="AH131" s="294">
        <f>IFERROR(__xludf.DUMMYFUNCTION("FILTER('GBD estimates'!$R$3:$R$1713,'GBD estimates'!$K$3:$K$1713=AH$3,'GBD estimates'!$L$3:$L$1713=""Tetanus"",'GBD estimates'!$N$3:$N$1713=""Late Neonatal"")"),2.546767408)</f>
        <v>2.546767408</v>
      </c>
      <c r="AI131" s="294">
        <f>IFERROR(__xludf.DUMMYFUNCTION("FILTER('GBD estimates'!$R$3:$R$1713,'GBD estimates'!$K$3:$K$1713=AI$3,'GBD estimates'!$L$3:$L$1713=""Tetanus"",'GBD estimates'!$N$3:$N$1713=""Late Neonatal"")"),2.84886257)</f>
        <v>2.84886257</v>
      </c>
      <c r="AJ131" s="294">
        <f>IFERROR(__xludf.DUMMYFUNCTION("FILTER('GBD estimates'!$R$3:$R$1713,'GBD estimates'!$K$3:$K$1713=AJ$3,'GBD estimates'!$L$3:$L$1713=""Tetanus"",'GBD estimates'!$N$3:$N$1713=""Late Neonatal"")"),5.807692329)</f>
        <v>5.807692329</v>
      </c>
      <c r="AK131" s="294">
        <f>IFERROR(__xludf.DUMMYFUNCTION("FILTER('GBD estimates'!$R$3:$R$1713,'GBD estimates'!$K$3:$K$1713=AK$3,'GBD estimates'!$L$3:$L$1713=""Tetanus"",'GBD estimates'!$N$3:$N$1713=""Late Neonatal"")"),18.32742634)</f>
        <v>18.32742634</v>
      </c>
      <c r="AL131" s="294">
        <f>IFERROR(__xludf.DUMMYFUNCTION("FILTER('GBD estimates'!$R$3:$R$1713,'GBD estimates'!$K$3:$K$1713=AL$3,'GBD estimates'!$L$3:$L$1713=""Tetanus"",'GBD estimates'!$N$3:$N$1713=""Late Neonatal"")"),12.56677019)</f>
        <v>12.56677019</v>
      </c>
      <c r="AM131" s="294">
        <f>IFERROR(__xludf.DUMMYFUNCTION("FILTER('GBD estimates'!$R$3:$R$1713,'GBD estimates'!$K$3:$K$1713=AM$3,'GBD estimates'!$L$3:$L$1713=""Tetanus"",'GBD estimates'!$N$3:$N$1713=""Late Neonatal"")"),2.098506261)</f>
        <v>2.098506261</v>
      </c>
      <c r="AN131" s="294">
        <f>IFERROR(__xludf.DUMMYFUNCTION("FILTER('GBD estimates'!$R$3:$R$1713,'GBD estimates'!$K$3:$K$1713=AN$3,'GBD estimates'!$L$3:$L$1713=""Tetanus"",'GBD estimates'!$N$3:$N$1713=""Late Neonatal"")"),2.606632921)</f>
        <v>2.606632921</v>
      </c>
      <c r="AO131" s="294">
        <f>IFERROR(__xludf.DUMMYFUNCTION("FILTER('GBD estimates'!$R$3:$R$1713,'GBD estimates'!$K$3:$K$1713=AO$3,'GBD estimates'!$L$3:$L$1713=""Tetanus"",'GBD estimates'!$N$3:$N$1713=""Late Neonatal"")"),1.351413197)</f>
        <v>1.351413197</v>
      </c>
      <c r="AP131" s="294">
        <f>IFERROR(__xludf.DUMMYFUNCTION("FILTER('GBD estimates'!$R$3:$R$1713,'GBD estimates'!$K$3:$K$1713=AP$3,'GBD estimates'!$L$3:$L$1713=""Tetanus"",'GBD estimates'!$N$3:$N$1713=""Late Neonatal"")"),10.34257607)</f>
        <v>10.34257607</v>
      </c>
      <c r="AQ131" s="294">
        <f>IFERROR(__xludf.DUMMYFUNCTION("FILTER('GBD estimates'!$R$3:$R$1713,'GBD estimates'!$K$3:$K$1713=AQ$3,'GBD estimates'!$L$3:$L$1713=""Tetanus"",'GBD estimates'!$N$3:$N$1713=""Late Neonatal"")"),2.425935606)</f>
        <v>2.425935606</v>
      </c>
      <c r="AR131" s="294">
        <f>IFERROR(__xludf.DUMMYFUNCTION("FILTER('GBD estimates'!$R$3:$R$1713,'GBD estimates'!$K$3:$K$1713=AR$3,'GBD estimates'!$L$3:$L$1713=""Tetanus"",'GBD estimates'!$N$3:$N$1713=""Late Neonatal"")"),8.190185532)</f>
        <v>8.190185532</v>
      </c>
      <c r="AS131" s="294">
        <f>IFERROR(__xludf.DUMMYFUNCTION("FILTER('GBD estimates'!$R$3:$R$1713,'GBD estimates'!$K$3:$K$1713=AS$3,'GBD estimates'!$L$3:$L$1713=""Tetanus"",'GBD estimates'!$N$3:$N$1713=""Late Neonatal"")"),5.70125199)</f>
        <v>5.70125199</v>
      </c>
      <c r="AT131" s="555"/>
      <c r="AU131" s="566" t="s">
        <v>855</v>
      </c>
      <c r="AV131" s="557"/>
    </row>
    <row r="132">
      <c r="A132" s="540"/>
      <c r="B132" s="206"/>
      <c r="C132" s="206"/>
      <c r="D132" s="206"/>
      <c r="E132" s="553" t="s">
        <v>335</v>
      </c>
      <c r="F132" s="278" t="s">
        <v>111</v>
      </c>
      <c r="G132" s="279" t="s">
        <v>203</v>
      </c>
      <c r="H132" s="581" t="s">
        <v>150</v>
      </c>
      <c r="I132" s="294">
        <f>IFERROR(__xludf.DUMMYFUNCTION("SUM(FILTER('GBD estimates'!$R$3:$R$1713,'GBD estimates'!$K$3:$K$1713=I$3,'GBD estimates'!$L$3:$L$1713=""Tetanus"",'GBD estimates'!$N$3:$N$1713=""Early Neonatal""),FILTER('GBD estimates'!$R$3:$R$1713,'GBD estimates'!$K$3:$K$1713=I$3,'GBD estimates'!$L$3:$L"&amp;"$1713=""Tetanus"",'GBD estimates'!$N$3:$N$1713=""Late Neonatal""),FILTER('GBD estimates'!$R$3:$R$1713,'GBD estimates'!$K$3:$K$1713=I$3,'GBD estimates'!$L$3:$L$1713=""Tetanus"",'GBD estimates'!$N$3:$N$1713=""Post Neonatal""))"),47.002053697)</f>
        <v>47.0020537</v>
      </c>
      <c r="J132" s="294">
        <f>IFERROR(__xludf.DUMMYFUNCTION("SUM(FILTER('GBD estimates'!$R$3:$R$1713,'GBD estimates'!$K$3:$K$1713=J$3,'GBD estimates'!$L$3:$L$1713=""Tetanus"",'GBD estimates'!$N$3:$N$1713=""Early Neonatal""),FILTER('GBD estimates'!$R$3:$R$1713,'GBD estimates'!$K$3:$K$1713=J$3,'GBD estimates'!$L$3:$L"&amp;"$1713=""Tetanus"",'GBD estimates'!$N$3:$N$1713=""Late Neonatal""),FILTER('GBD estimates'!$R$3:$R$1713,'GBD estimates'!$K$3:$K$1713=J$3,'GBD estimates'!$L$3:$L$1713=""Tetanus"",'GBD estimates'!$N$3:$N$1713=""Post Neonatal""))"),17.979236939)</f>
        <v>17.97923694</v>
      </c>
      <c r="K132" s="294">
        <f>IFERROR(__xludf.DUMMYFUNCTION("SUM(FILTER('GBD estimates'!$R$3:$R$1713,'GBD estimates'!$K$3:$K$1713=K$3,'GBD estimates'!$L$3:$L$1713=""Tetanus"",'GBD estimates'!$N$3:$N$1713=""Early Neonatal""),FILTER('GBD estimates'!$R$3:$R$1713,'GBD estimates'!$K$3:$K$1713=K$3,'GBD estimates'!$L$3:$L"&amp;"$1713=""Tetanus"",'GBD estimates'!$N$3:$N$1713=""Late Neonatal""),FILTER('GBD estimates'!$R$3:$R$1713,'GBD estimates'!$K$3:$K$1713=K$3,'GBD estimates'!$L$3:$L$1713=""Tetanus"",'GBD estimates'!$N$3:$N$1713=""Post Neonatal""))"),25.214423060999998)</f>
        <v>25.21442306</v>
      </c>
      <c r="L132" s="294">
        <f>IFERROR(__xludf.DUMMYFUNCTION("SUM(FILTER('GBD estimates'!$R$3:$R$1713,'GBD estimates'!$K$3:$K$1713=L$3,'GBD estimates'!$L$3:$L$1713=""Tetanus"",'GBD estimates'!$N$3:$N$1713=""Early Neonatal""),FILTER('GBD estimates'!$R$3:$R$1713,'GBD estimates'!$K$3:$K$1713=L$3,'GBD estimates'!$L$3:$L"&amp;"$1713=""Tetanus"",'GBD estimates'!$N$3:$N$1713=""Late Neonatal""),FILTER('GBD estimates'!$R$3:$R$1713,'GBD estimates'!$K$3:$K$1713=L$3,'GBD estimates'!$L$3:$L$1713=""Tetanus"",'GBD estimates'!$N$3:$N$1713=""Post Neonatal""))"),41.855000087)</f>
        <v>41.85500009</v>
      </c>
      <c r="M132" s="294">
        <f>IFERROR(__xludf.DUMMYFUNCTION("SUM(FILTER('GBD estimates'!$R$3:$R$1713,'GBD estimates'!$K$3:$K$1713=M$3,'GBD estimates'!$L$3:$L$1713=""Tetanus"",'GBD estimates'!$N$3:$N$1713=""Early Neonatal""),FILTER('GBD estimates'!$R$3:$R$1713,'GBD estimates'!$K$3:$K$1713=M$3,'GBD estimates'!$L$3:$L"&amp;"$1713=""Tetanus"",'GBD estimates'!$N$3:$N$1713=""Late Neonatal""),FILTER('GBD estimates'!$R$3:$R$1713,'GBD estimates'!$K$3:$K$1713=M$3,'GBD estimates'!$L$3:$L$1713=""Tetanus"",'GBD estimates'!$N$3:$N$1713=""Post Neonatal""))"),72.75465859900001)</f>
        <v>72.7546586</v>
      </c>
      <c r="N132" s="294">
        <f>IFERROR(__xludf.DUMMYFUNCTION("SUM(FILTER('GBD estimates'!$R$3:$R$1713,'GBD estimates'!$K$3:$K$1713=N$3,'GBD estimates'!$L$3:$L$1713=""Tetanus"",'GBD estimates'!$N$3:$N$1713=""Early Neonatal""),FILTER('GBD estimates'!$R$3:$R$1713,'GBD estimates'!$K$3:$K$1713=N$3,'GBD estimates'!$L$3:$L"&amp;"$1713=""Tetanus"",'GBD estimates'!$N$3:$N$1713=""Late Neonatal""),FILTER('GBD estimates'!$R$3:$R$1713,'GBD estimates'!$K$3:$K$1713=N$3,'GBD estimates'!$L$3:$L$1713=""Tetanus"",'GBD estimates'!$N$3:$N$1713=""Post Neonatal""))"),52.662730785)</f>
        <v>52.66273079</v>
      </c>
      <c r="O132" s="294">
        <f>IFERROR(__xludf.DUMMYFUNCTION("SUM(FILTER('GBD estimates'!$R$3:$R$1713,'GBD estimates'!$K$3:$K$1713=O$3,'GBD estimates'!$L$3:$L$1713=""Tetanus"",'GBD estimates'!$N$3:$N$1713=""Early Neonatal""),FILTER('GBD estimates'!$R$3:$R$1713,'GBD estimates'!$K$3:$K$1713=O$3,'GBD estimates'!$L$3:$L"&amp;"$1713=""Tetanus"",'GBD estimates'!$N$3:$N$1713=""Late Neonatal""),FILTER('GBD estimates'!$R$3:$R$1713,'GBD estimates'!$K$3:$K$1713=O$3,'GBD estimates'!$L$3:$L$1713=""Tetanus"",'GBD estimates'!$N$3:$N$1713=""Post Neonatal""))"),51.536258262)</f>
        <v>51.53625826</v>
      </c>
      <c r="P132" s="294">
        <f>IFERROR(__xludf.DUMMYFUNCTION("SUM(FILTER('GBD estimates'!$R$3:$R$1713,'GBD estimates'!$K$3:$K$1713=P$3,'GBD estimates'!$L$3:$L$1713=""Tetanus"",'GBD estimates'!$N$3:$N$1713=""Early Neonatal""),FILTER('GBD estimates'!$R$3:$R$1713,'GBD estimates'!$K$3:$K$1713=P$3,'GBD estimates'!$L$3:$L"&amp;"$1713=""Tetanus"",'GBD estimates'!$N$3:$N$1713=""Late Neonatal""),FILTER('GBD estimates'!$R$3:$R$1713,'GBD estimates'!$K$3:$K$1713=P$3,'GBD estimates'!$L$3:$L$1713=""Tetanus"",'GBD estimates'!$N$3:$N$1713=""Post Neonatal""))"),97.516050637)</f>
        <v>97.51605064</v>
      </c>
      <c r="Q132" s="294">
        <f>IFERROR(__xludf.DUMMYFUNCTION("SUM(FILTER('GBD estimates'!$R$3:$R$1713,'GBD estimates'!$K$3:$K$1713=Q$3,'GBD estimates'!$L$3:$L$1713=""Tetanus"",'GBD estimates'!$N$3:$N$1713=""Early Neonatal""),FILTER('GBD estimates'!$R$3:$R$1713,'GBD estimates'!$K$3:$K$1713=Q$3,'GBD estimates'!$L$3:$L"&amp;"$1713=""Tetanus"",'GBD estimates'!$N$3:$N$1713=""Late Neonatal""),FILTER('GBD estimates'!$R$3:$R$1713,'GBD estimates'!$K$3:$K$1713=Q$3,'GBD estimates'!$L$3:$L$1713=""Tetanus"",'GBD estimates'!$N$3:$N$1713=""Post Neonatal""))"),47.904780022000004)</f>
        <v>47.90478002</v>
      </c>
      <c r="R132" s="294">
        <f>IFERROR(__xludf.DUMMYFUNCTION("SUM(FILTER('GBD estimates'!$R$3:$R$1713,'GBD estimates'!$K$3:$K$1713=R$3,'GBD estimates'!$L$3:$L$1713=""Tetanus"",'GBD estimates'!$N$3:$N$1713=""Early Neonatal""),FILTER('GBD estimates'!$R$3:$R$1713,'GBD estimates'!$K$3:$K$1713=R$3,'GBD estimates'!$L$3:$L"&amp;"$1713=""Tetanus"",'GBD estimates'!$N$3:$N$1713=""Late Neonatal""),FILTER('GBD estimates'!$R$3:$R$1713,'GBD estimates'!$K$3:$K$1713=R$3,'GBD estimates'!$L$3:$L$1713=""Tetanus"",'GBD estimates'!$N$3:$N$1713=""Post Neonatal""))"),8.996741352)</f>
        <v>8.996741352</v>
      </c>
      <c r="S132" s="294">
        <f>IFERROR(__xludf.DUMMYFUNCTION("SUM(FILTER('GBD estimates'!$R$3:$R$1713,'GBD estimates'!$K$3:$K$1713=S$3,'GBD estimates'!$L$3:$L$1713=""Tetanus"",'GBD estimates'!$N$3:$N$1713=""Early Neonatal""),FILTER('GBD estimates'!$R$3:$R$1713,'GBD estimates'!$K$3:$K$1713=S$3,'GBD estimates'!$L$3:$L"&amp;"$1713=""Tetanus"",'GBD estimates'!$N$3:$N$1713=""Late Neonatal""),FILTER('GBD estimates'!$R$3:$R$1713,'GBD estimates'!$K$3:$K$1713=S$3,'GBD estimates'!$L$3:$L$1713=""Tetanus"",'GBD estimates'!$N$3:$N$1713=""Post Neonatal""))"),10.598272216999998)</f>
        <v>10.59827222</v>
      </c>
      <c r="T132" s="294">
        <f>IFERROR(__xludf.DUMMYFUNCTION("SUM(FILTER('GBD estimates'!$R$3:$R$1713,'GBD estimates'!$K$3:$K$1713=T$3,'GBD estimates'!$L$3:$L$1713=""Tetanus"",'GBD estimates'!$N$3:$N$1713=""Early Neonatal""),FILTER('GBD estimates'!$R$3:$R$1713,'GBD estimates'!$K$3:$K$1713=T$3,'GBD estimates'!$L$3:$L"&amp;"$1713=""Tetanus"",'GBD estimates'!$N$3:$N$1713=""Late Neonatal""),FILTER('GBD estimates'!$R$3:$R$1713,'GBD estimates'!$K$3:$K$1713=T$3,'GBD estimates'!$L$3:$L$1713=""Tetanus"",'GBD estimates'!$N$3:$N$1713=""Post Neonatal""))"),4.015253149)</f>
        <v>4.015253149</v>
      </c>
      <c r="U132" s="294">
        <f>IFERROR(__xludf.DUMMYFUNCTION("SUM(FILTER('GBD estimates'!$R$3:$R$1713,'GBD estimates'!$K$3:$K$1713=U$3,'GBD estimates'!$L$3:$L$1713=""Tetanus"",'GBD estimates'!$N$3:$N$1713=""Early Neonatal""),FILTER('GBD estimates'!$R$3:$R$1713,'GBD estimates'!$K$3:$K$1713=U$3,'GBD estimates'!$L$3:$L"&amp;"$1713=""Tetanus"",'GBD estimates'!$N$3:$N$1713=""Late Neonatal""),FILTER('GBD estimates'!$R$3:$R$1713,'GBD estimates'!$K$3:$K$1713=U$3,'GBD estimates'!$L$3:$L$1713=""Tetanus"",'GBD estimates'!$N$3:$N$1713=""Post Neonatal""))"),10.295210313999998)</f>
        <v>10.29521031</v>
      </c>
      <c r="V132" s="294">
        <f>IFERROR(__xludf.DUMMYFUNCTION("SUM(FILTER('GBD estimates'!$R$3:$R$1713,'GBD estimates'!$K$3:$K$1713=V$3,'GBD estimates'!$L$3:$L$1713=""Tetanus"",'GBD estimates'!$N$3:$N$1713=""Early Neonatal""),FILTER('GBD estimates'!$R$3:$R$1713,'GBD estimates'!$K$3:$K$1713=V$3,'GBD estimates'!$L$3:$L"&amp;"$1713=""Tetanus"",'GBD estimates'!$N$3:$N$1713=""Late Neonatal""),FILTER('GBD estimates'!$R$3:$R$1713,'GBD estimates'!$K$3:$K$1713=V$3,'GBD estimates'!$L$3:$L$1713=""Tetanus"",'GBD estimates'!$N$3:$N$1713=""Post Neonatal""))"),1.275822268)</f>
        <v>1.275822268</v>
      </c>
      <c r="W132" s="294">
        <f>IFERROR(__xludf.DUMMYFUNCTION("SUM(FILTER('GBD estimates'!$R$3:$R$1713,'GBD estimates'!$K$3:$K$1713=W$3,'GBD estimates'!$L$3:$L$1713=""Tetanus"",'GBD estimates'!$N$3:$N$1713=""Early Neonatal""),FILTER('GBD estimates'!$R$3:$R$1713,'GBD estimates'!$K$3:$K$1713=W$3,'GBD estimates'!$L$3:$L"&amp;"$1713=""Tetanus"",'GBD estimates'!$N$3:$N$1713=""Late Neonatal""),FILTER('GBD estimates'!$R$3:$R$1713,'GBD estimates'!$K$3:$K$1713=W$3,'GBD estimates'!$L$3:$L$1713=""Tetanus"",'GBD estimates'!$N$3:$N$1713=""Post Neonatal""))"),23.033070074999998)</f>
        <v>23.03307008</v>
      </c>
      <c r="X132" s="294">
        <f>IFERROR(__xludf.DUMMYFUNCTION("SUM(FILTER('GBD estimates'!$R$3:$R$1713,'GBD estimates'!$K$3:$K$1713=X$3,'GBD estimates'!$L$3:$L$1713=""Tetanus"",'GBD estimates'!$N$3:$N$1713=""Early Neonatal""),FILTER('GBD estimates'!$R$3:$R$1713,'GBD estimates'!$K$3:$K$1713=X$3,'GBD estimates'!$L$3:$L"&amp;"$1713=""Tetanus"",'GBD estimates'!$N$3:$N$1713=""Late Neonatal""),FILTER('GBD estimates'!$R$3:$R$1713,'GBD estimates'!$K$3:$K$1713=X$3,'GBD estimates'!$L$3:$L$1713=""Tetanus"",'GBD estimates'!$N$3:$N$1713=""Post Neonatal""))"),9.245846069)</f>
        <v>9.245846069</v>
      </c>
      <c r="Y132" s="294">
        <f>IFERROR(__xludf.DUMMYFUNCTION("SUM(FILTER('GBD estimates'!$R$3:$R$1713,'GBD estimates'!$K$3:$K$1713=Y$3,'GBD estimates'!$L$3:$L$1713=""Tetanus"",'GBD estimates'!$N$3:$N$1713=""Early Neonatal""),FILTER('GBD estimates'!$R$3:$R$1713,'GBD estimates'!$K$3:$K$1713=Y$3,'GBD estimates'!$L$3:$L"&amp;"$1713=""Tetanus"",'GBD estimates'!$N$3:$N$1713=""Late Neonatal""),FILTER('GBD estimates'!$R$3:$R$1713,'GBD estimates'!$K$3:$K$1713=Y$3,'GBD estimates'!$L$3:$L$1713=""Tetanus"",'GBD estimates'!$N$3:$N$1713=""Post Neonatal""))"),3.940436997)</f>
        <v>3.940436997</v>
      </c>
      <c r="Z132" s="294">
        <f>IFERROR(__xludf.DUMMYFUNCTION("SUM(FILTER('GBD estimates'!$R$3:$R$1713,'GBD estimates'!$K$3:$K$1713=Z$3,'GBD estimates'!$L$3:$L$1713=""Tetanus"",'GBD estimates'!$N$3:$N$1713=""Early Neonatal""),FILTER('GBD estimates'!$R$3:$R$1713,'GBD estimates'!$K$3:$K$1713=Z$3,'GBD estimates'!$L$3:$L"&amp;"$1713=""Tetanus"",'GBD estimates'!$N$3:$N$1713=""Late Neonatal""),FILTER('GBD estimates'!$R$3:$R$1713,'GBD estimates'!$K$3:$K$1713=Z$3,'GBD estimates'!$L$3:$L$1713=""Tetanus"",'GBD estimates'!$N$3:$N$1713=""Post Neonatal""))"),10.819271958)</f>
        <v>10.81927196</v>
      </c>
      <c r="AA132" s="294">
        <f>IFERROR(__xludf.DUMMYFUNCTION("SUM(FILTER('GBD estimates'!$R$3:$R$1713,'GBD estimates'!$K$3:$K$1713=AA$3,'GBD estimates'!$L$3:$L$1713=""Tetanus"",'GBD estimates'!$N$3:$N$1713=""Early Neonatal""),FILTER('GBD estimates'!$R$3:$R$1713,'GBD estimates'!$K$3:$K$1713=AA$3,'GBD estimates'!$L$3:"&amp;"$L$1713=""Tetanus"",'GBD estimates'!$N$3:$N$1713=""Late Neonatal""),FILTER('GBD estimates'!$R$3:$R$1713,'GBD estimates'!$K$3:$K$1713=AA$3,'GBD estimates'!$L$3:$L$1713=""Tetanus"",'GBD estimates'!$N$3:$N$1713=""Post Neonatal""))"),12.813581619999999)</f>
        <v>12.81358162</v>
      </c>
      <c r="AB132" s="294">
        <f>IFERROR(__xludf.DUMMYFUNCTION("SUM(FILTER('GBD estimates'!$R$3:$R$1713,'GBD estimates'!$K$3:$K$1713=AB$3,'GBD estimates'!$L$3:$L$1713=""Tetanus"",'GBD estimates'!$N$3:$N$1713=""Early Neonatal""),FILTER('GBD estimates'!$R$3:$R$1713,'GBD estimates'!$K$3:$K$1713=AB$3,'GBD estimates'!$L$3:"&amp;"$L$1713=""Tetanus"",'GBD estimates'!$N$3:$N$1713=""Late Neonatal""),FILTER('GBD estimates'!$R$3:$R$1713,'GBD estimates'!$K$3:$K$1713=AB$3,'GBD estimates'!$L$3:$L$1713=""Tetanus"",'GBD estimates'!$N$3:$N$1713=""Post Neonatal""))"),7.301345554999999)</f>
        <v>7.301345555</v>
      </c>
      <c r="AC132" s="294">
        <f>IFERROR(__xludf.DUMMYFUNCTION("SUM(FILTER('GBD estimates'!$R$3:$R$1713,'GBD estimates'!$K$3:$K$1713=AC$3,'GBD estimates'!$L$3:$L$1713=""Tetanus"",'GBD estimates'!$N$3:$N$1713=""Early Neonatal""),FILTER('GBD estimates'!$R$3:$R$1713,'GBD estimates'!$K$3:$K$1713=AC$3,'GBD estimates'!$L$3:"&amp;"$L$1713=""Tetanus"",'GBD estimates'!$N$3:$N$1713=""Late Neonatal""),FILTER('GBD estimates'!$R$3:$R$1713,'GBD estimates'!$K$3:$K$1713=AC$3,'GBD estimates'!$L$3:$L$1713=""Tetanus"",'GBD estimates'!$N$3:$N$1713=""Post Neonatal""))"),3.730227381)</f>
        <v>3.730227381</v>
      </c>
      <c r="AD132" s="294">
        <f>IFERROR(__xludf.DUMMYFUNCTION("SUM(FILTER('GBD estimates'!$R$3:$R$1713,'GBD estimates'!$K$3:$K$1713=AD$3,'GBD estimates'!$L$3:$L$1713=""Tetanus"",'GBD estimates'!$N$3:$N$1713=""Early Neonatal""),FILTER('GBD estimates'!$R$3:$R$1713,'GBD estimates'!$K$3:$K$1713=AD$3,'GBD estimates'!$L$3:"&amp;"$L$1713=""Tetanus"",'GBD estimates'!$N$3:$N$1713=""Late Neonatal""),FILTER('GBD estimates'!$R$3:$R$1713,'GBD estimates'!$K$3:$K$1713=AD$3,'GBD estimates'!$L$3:$L$1713=""Tetanus"",'GBD estimates'!$N$3:$N$1713=""Post Neonatal""))"),7.379462363)</f>
        <v>7.379462363</v>
      </c>
      <c r="AE132" s="294">
        <f>IFERROR(__xludf.DUMMYFUNCTION("SUM(FILTER('GBD estimates'!$R$3:$R$1713,'GBD estimates'!$K$3:$K$1713=AE$3,'GBD estimates'!$L$3:$L$1713=""Tetanus"",'GBD estimates'!$N$3:$N$1713=""Early Neonatal""),FILTER('GBD estimates'!$R$3:$R$1713,'GBD estimates'!$K$3:$K$1713=AE$3,'GBD estimates'!$L$3:"&amp;"$L$1713=""Tetanus"",'GBD estimates'!$N$3:$N$1713=""Late Neonatal""),FILTER('GBD estimates'!$R$3:$R$1713,'GBD estimates'!$K$3:$K$1713=AE$3,'GBD estimates'!$L$3:$L$1713=""Tetanus"",'GBD estimates'!$N$3:$N$1713=""Post Neonatal""))"),16.680427333)</f>
        <v>16.68042733</v>
      </c>
      <c r="AF132" s="294">
        <f>IFERROR(__xludf.DUMMYFUNCTION("SUM(FILTER('GBD estimates'!$R$3:$R$1713,'GBD estimates'!$K$3:$K$1713=AF$3,'GBD estimates'!$L$3:$L$1713=""Tetanus"",'GBD estimates'!$N$3:$N$1713=""Early Neonatal""),FILTER('GBD estimates'!$R$3:$R$1713,'GBD estimates'!$K$3:$K$1713=AF$3,'GBD estimates'!$L$3:"&amp;"$L$1713=""Tetanus"",'GBD estimates'!$N$3:$N$1713=""Late Neonatal""),FILTER('GBD estimates'!$R$3:$R$1713,'GBD estimates'!$K$3:$K$1713=AF$3,'GBD estimates'!$L$3:$L$1713=""Tetanus"",'GBD estimates'!$N$3:$N$1713=""Post Neonatal""))"),17.248902519999998)</f>
        <v>17.24890252</v>
      </c>
      <c r="AG132" s="294">
        <f>IFERROR(__xludf.DUMMYFUNCTION("SUM(FILTER('GBD estimates'!$R$3:$R$1713,'GBD estimates'!$K$3:$K$1713=AG$3,'GBD estimates'!$L$3:$L$1713=""Tetanus"",'GBD estimates'!$N$3:$N$1713=""Early Neonatal""),FILTER('GBD estimates'!$R$3:$R$1713,'GBD estimates'!$K$3:$K$1713=AG$3,'GBD estimates'!$L$3:"&amp;"$L$1713=""Tetanus"",'GBD estimates'!$N$3:$N$1713=""Late Neonatal""),FILTER('GBD estimates'!$R$3:$R$1713,'GBD estimates'!$K$3:$K$1713=AG$3,'GBD estimates'!$L$3:$L$1713=""Tetanus"",'GBD estimates'!$N$3:$N$1713=""Post Neonatal""))"),5.7854302330000005)</f>
        <v>5.785430233</v>
      </c>
      <c r="AH132" s="294">
        <f>IFERROR(__xludf.DUMMYFUNCTION("SUM(FILTER('GBD estimates'!$R$3:$R$1713,'GBD estimates'!$K$3:$K$1713=AH$3,'GBD estimates'!$L$3:$L$1713=""Tetanus"",'GBD estimates'!$N$3:$N$1713=""Early Neonatal""),FILTER('GBD estimates'!$R$3:$R$1713,'GBD estimates'!$K$3:$K$1713=AH$3,'GBD estimates'!$L$3:"&amp;"$L$1713=""Tetanus"",'GBD estimates'!$N$3:$N$1713=""Late Neonatal""),FILTER('GBD estimates'!$R$3:$R$1713,'GBD estimates'!$K$3:$K$1713=AH$3,'GBD estimates'!$L$3:$L$1713=""Tetanus"",'GBD estimates'!$N$3:$N$1713=""Post Neonatal""))"),6.902652744999999)</f>
        <v>6.902652745</v>
      </c>
      <c r="AI132" s="294">
        <f>IFERROR(__xludf.DUMMYFUNCTION("SUM(FILTER('GBD estimates'!$R$3:$R$1713,'GBD estimates'!$K$3:$K$1713=AI$3,'GBD estimates'!$L$3:$L$1713=""Tetanus"",'GBD estimates'!$N$3:$N$1713=""Early Neonatal""),FILTER('GBD estimates'!$R$3:$R$1713,'GBD estimates'!$K$3:$K$1713=AI$3,'GBD estimates'!$L$3:"&amp;"$L$1713=""Tetanus"",'GBD estimates'!$N$3:$N$1713=""Late Neonatal""),FILTER('GBD estimates'!$R$3:$R$1713,'GBD estimates'!$K$3:$K$1713=AI$3,'GBD estimates'!$L$3:$L$1713=""Tetanus"",'GBD estimates'!$N$3:$N$1713=""Post Neonatal""))"),8.567912871999999)</f>
        <v>8.567912872</v>
      </c>
      <c r="AJ132" s="294">
        <f>IFERROR(__xludf.DUMMYFUNCTION("SUM(FILTER('GBD estimates'!$R$3:$R$1713,'GBD estimates'!$K$3:$K$1713=AJ$3,'GBD estimates'!$L$3:$L$1713=""Tetanus"",'GBD estimates'!$N$3:$N$1713=""Early Neonatal""),FILTER('GBD estimates'!$R$3:$R$1713,'GBD estimates'!$K$3:$K$1713=AJ$3,'GBD estimates'!$L$3:"&amp;"$L$1713=""Tetanus"",'GBD estimates'!$N$3:$N$1713=""Late Neonatal""),FILTER('GBD estimates'!$R$3:$R$1713,'GBD estimates'!$K$3:$K$1713=AJ$3,'GBD estimates'!$L$3:$L$1713=""Tetanus"",'GBD estimates'!$N$3:$N$1713=""Post Neonatal""))"),16.806402723)</f>
        <v>16.80640272</v>
      </c>
      <c r="AK132" s="294">
        <f>IFERROR(__xludf.DUMMYFUNCTION("SUM(FILTER('GBD estimates'!$R$3:$R$1713,'GBD estimates'!$K$3:$K$1713=AK$3,'GBD estimates'!$L$3:$L$1713=""Tetanus"",'GBD estimates'!$N$3:$N$1713=""Early Neonatal""),FILTER('GBD estimates'!$R$3:$R$1713,'GBD estimates'!$K$3:$K$1713=AK$3,'GBD estimates'!$L$3:"&amp;"$L$1713=""Tetanus"",'GBD estimates'!$N$3:$N$1713=""Late Neonatal""),FILTER('GBD estimates'!$R$3:$R$1713,'GBD estimates'!$K$3:$K$1713=AK$3,'GBD estimates'!$L$3:$L$1713=""Tetanus"",'GBD estimates'!$N$3:$N$1713=""Post Neonatal""))"),46.130682969999995)</f>
        <v>46.13068297</v>
      </c>
      <c r="AL132" s="294">
        <f>IFERROR(__xludf.DUMMYFUNCTION("SUM(FILTER('GBD estimates'!$R$3:$R$1713,'GBD estimates'!$K$3:$K$1713=AL$3,'GBD estimates'!$L$3:$L$1713=""Tetanus"",'GBD estimates'!$N$3:$N$1713=""Early Neonatal""),FILTER('GBD estimates'!$R$3:$R$1713,'GBD estimates'!$K$3:$K$1713=AL$3,'GBD estimates'!$L$3:"&amp;"$L$1713=""Tetanus"",'GBD estimates'!$N$3:$N$1713=""Late Neonatal""),FILTER('GBD estimates'!$R$3:$R$1713,'GBD estimates'!$K$3:$K$1713=AL$3,'GBD estimates'!$L$3:$L$1713=""Tetanus"",'GBD estimates'!$N$3:$N$1713=""Post Neonatal""))"),32.482703955)</f>
        <v>32.48270396</v>
      </c>
      <c r="AM132" s="294">
        <f>IFERROR(__xludf.DUMMYFUNCTION("SUM(FILTER('GBD estimates'!$R$3:$R$1713,'GBD estimates'!$K$3:$K$1713=AM$3,'GBD estimates'!$L$3:$L$1713=""Tetanus"",'GBD estimates'!$N$3:$N$1713=""Early Neonatal""),FILTER('GBD estimates'!$R$3:$R$1713,'GBD estimates'!$K$3:$K$1713=AM$3,'GBD estimates'!$L$3:"&amp;"$L$1713=""Tetanus"",'GBD estimates'!$N$3:$N$1713=""Late Neonatal""),FILTER('GBD estimates'!$R$3:$R$1713,'GBD estimates'!$K$3:$K$1713=AM$3,'GBD estimates'!$L$3:$L$1713=""Tetanus"",'GBD estimates'!$N$3:$N$1713=""Post Neonatal""))"),6.704346197)</f>
        <v>6.704346197</v>
      </c>
      <c r="AN132" s="294">
        <f>IFERROR(__xludf.DUMMYFUNCTION("SUM(FILTER('GBD estimates'!$R$3:$R$1713,'GBD estimates'!$K$3:$K$1713=AN$3,'GBD estimates'!$L$3:$L$1713=""Tetanus"",'GBD estimates'!$N$3:$N$1713=""Early Neonatal""),FILTER('GBD estimates'!$R$3:$R$1713,'GBD estimates'!$K$3:$K$1713=AN$3,'GBD estimates'!$L$3:"&amp;"$L$1713=""Tetanus"",'GBD estimates'!$N$3:$N$1713=""Late Neonatal""),FILTER('GBD estimates'!$R$3:$R$1713,'GBD estimates'!$K$3:$K$1713=AN$3,'GBD estimates'!$L$3:$L$1713=""Tetanus"",'GBD estimates'!$N$3:$N$1713=""Post Neonatal""))"),7.148989524)</f>
        <v>7.148989524</v>
      </c>
      <c r="AO132" s="294">
        <f>IFERROR(__xludf.DUMMYFUNCTION("SUM(FILTER('GBD estimates'!$R$3:$R$1713,'GBD estimates'!$K$3:$K$1713=AO$3,'GBD estimates'!$L$3:$L$1713=""Tetanus"",'GBD estimates'!$N$3:$N$1713=""Early Neonatal""),FILTER('GBD estimates'!$R$3:$R$1713,'GBD estimates'!$K$3:$K$1713=AO$3,'GBD estimates'!$L$3:"&amp;"$L$1713=""Tetanus"",'GBD estimates'!$N$3:$N$1713=""Late Neonatal""),FILTER('GBD estimates'!$R$3:$R$1713,'GBD estimates'!$K$3:$K$1713=AO$3,'GBD estimates'!$L$3:$L$1713=""Tetanus"",'GBD estimates'!$N$3:$N$1713=""Post Neonatal""))"),7.661387766000001)</f>
        <v>7.661387766</v>
      </c>
      <c r="AP132" s="294">
        <f>IFERROR(__xludf.DUMMYFUNCTION("SUM(FILTER('GBD estimates'!$R$3:$R$1713,'GBD estimates'!$K$3:$K$1713=AP$3,'GBD estimates'!$L$3:$L$1713=""Tetanus"",'GBD estimates'!$N$3:$N$1713=""Early Neonatal""),FILTER('GBD estimates'!$R$3:$R$1713,'GBD estimates'!$K$3:$K$1713=AP$3,'GBD estimates'!$L$3:"&amp;"$L$1713=""Tetanus"",'GBD estimates'!$N$3:$N$1713=""Late Neonatal""),FILTER('GBD estimates'!$R$3:$R$1713,'GBD estimates'!$K$3:$K$1713=AP$3,'GBD estimates'!$L$3:$L$1713=""Tetanus"",'GBD estimates'!$N$3:$N$1713=""Post Neonatal""))"),29.164604889)</f>
        <v>29.16460489</v>
      </c>
      <c r="AQ132" s="294">
        <f>IFERROR(__xludf.DUMMYFUNCTION("SUM(FILTER('GBD estimates'!$R$3:$R$1713,'GBD estimates'!$K$3:$K$1713=AQ$3,'GBD estimates'!$L$3:$L$1713=""Tetanus"",'GBD estimates'!$N$3:$N$1713=""Early Neonatal""),FILTER('GBD estimates'!$R$3:$R$1713,'GBD estimates'!$K$3:$K$1713=AQ$3,'GBD estimates'!$L$3:"&amp;"$L$1713=""Tetanus"",'GBD estimates'!$N$3:$N$1713=""Late Neonatal""),FILTER('GBD estimates'!$R$3:$R$1713,'GBD estimates'!$K$3:$K$1713=AQ$3,'GBD estimates'!$L$3:$L$1713=""Tetanus"",'GBD estimates'!$N$3:$N$1713=""Post Neonatal""))"),7.796745360999999)</f>
        <v>7.796745361</v>
      </c>
      <c r="AR132" s="294">
        <f>IFERROR(__xludf.DUMMYFUNCTION("SUM(FILTER('GBD estimates'!$R$3:$R$1713,'GBD estimates'!$K$3:$K$1713=AR$3,'GBD estimates'!$L$3:$L$1713=""Tetanus"",'GBD estimates'!$N$3:$N$1713=""Early Neonatal""),FILTER('GBD estimates'!$R$3:$R$1713,'GBD estimates'!$K$3:$K$1713=AR$3,'GBD estimates'!$L$3:"&amp;"$L$1713=""Tetanus"",'GBD estimates'!$N$3:$N$1713=""Late Neonatal""),FILTER('GBD estimates'!$R$3:$R$1713,'GBD estimates'!$K$3:$K$1713=AR$3,'GBD estimates'!$L$3:$L$1713=""Tetanus"",'GBD estimates'!$N$3:$N$1713=""Post Neonatal""))"),25.704261192999997)</f>
        <v>25.70426119</v>
      </c>
      <c r="AS132" s="294">
        <f>IFERROR(__xludf.DUMMYFUNCTION("SUM(FILTER('GBD estimates'!$R$3:$R$1713,'GBD estimates'!$K$3:$K$1713=AS$3,'GBD estimates'!$L$3:$L$1713=""Tetanus"",'GBD estimates'!$N$3:$N$1713=""Early Neonatal""),FILTER('GBD estimates'!$R$3:$R$1713,'GBD estimates'!$K$3:$K$1713=AS$3,'GBD estimates'!$L$3:"&amp;"$L$1713=""Tetanus"",'GBD estimates'!$N$3:$N$1713=""Late Neonatal""),FILTER('GBD estimates'!$R$3:$R$1713,'GBD estimates'!$K$3:$K$1713=AS$3,'GBD estimates'!$L$3:$L$1713=""Tetanus"",'GBD estimates'!$N$3:$N$1713=""Post Neonatal""))"),20.066783342)</f>
        <v>20.06678334</v>
      </c>
      <c r="AT132" s="555"/>
      <c r="AU132" s="566" t="s">
        <v>855</v>
      </c>
      <c r="AV132" s="557"/>
    </row>
    <row r="133">
      <c r="A133" s="540"/>
      <c r="B133" s="206"/>
      <c r="C133" s="206"/>
      <c r="D133" s="206"/>
      <c r="E133" s="558" t="s">
        <v>344</v>
      </c>
      <c r="F133" s="283" t="s">
        <v>122</v>
      </c>
      <c r="G133" s="285" t="s">
        <v>203</v>
      </c>
      <c r="H133" s="559">
        <v>0.1</v>
      </c>
      <c r="I133" s="660" t="s">
        <v>150</v>
      </c>
      <c r="J133" s="660" t="s">
        <v>150</v>
      </c>
      <c r="K133" s="660" t="s">
        <v>150</v>
      </c>
      <c r="L133" s="660" t="s">
        <v>150</v>
      </c>
      <c r="M133" s="660" t="s">
        <v>150</v>
      </c>
      <c r="N133" s="660" t="s">
        <v>150</v>
      </c>
      <c r="O133" s="660" t="s">
        <v>150</v>
      </c>
      <c r="P133" s="660" t="s">
        <v>150</v>
      </c>
      <c r="Q133" s="660" t="s">
        <v>150</v>
      </c>
      <c r="R133" s="660" t="s">
        <v>150</v>
      </c>
      <c r="S133" s="660" t="s">
        <v>150</v>
      </c>
      <c r="T133" s="660" t="s">
        <v>150</v>
      </c>
      <c r="U133" s="660" t="s">
        <v>150</v>
      </c>
      <c r="V133" s="660" t="s">
        <v>150</v>
      </c>
      <c r="W133" s="660" t="s">
        <v>150</v>
      </c>
      <c r="X133" s="660" t="s">
        <v>150</v>
      </c>
      <c r="Y133" s="660" t="s">
        <v>150</v>
      </c>
      <c r="Z133" s="660" t="s">
        <v>150</v>
      </c>
      <c r="AA133" s="660" t="s">
        <v>150</v>
      </c>
      <c r="AB133" s="660" t="s">
        <v>150</v>
      </c>
      <c r="AC133" s="660" t="s">
        <v>150</v>
      </c>
      <c r="AD133" s="660" t="s">
        <v>150</v>
      </c>
      <c r="AE133" s="660" t="s">
        <v>150</v>
      </c>
      <c r="AF133" s="660" t="s">
        <v>150</v>
      </c>
      <c r="AG133" s="660" t="s">
        <v>150</v>
      </c>
      <c r="AH133" s="660" t="s">
        <v>150</v>
      </c>
      <c r="AI133" s="660" t="s">
        <v>150</v>
      </c>
      <c r="AJ133" s="660" t="s">
        <v>150</v>
      </c>
      <c r="AK133" s="660" t="s">
        <v>150</v>
      </c>
      <c r="AL133" s="660" t="s">
        <v>150</v>
      </c>
      <c r="AM133" s="660" t="s">
        <v>150</v>
      </c>
      <c r="AN133" s="660" t="s">
        <v>150</v>
      </c>
      <c r="AO133" s="660" t="s">
        <v>150</v>
      </c>
      <c r="AP133" s="660" t="s">
        <v>150</v>
      </c>
      <c r="AQ133" s="660" t="s">
        <v>150</v>
      </c>
      <c r="AR133" s="660" t="s">
        <v>150</v>
      </c>
      <c r="AS133" s="660" t="s">
        <v>150</v>
      </c>
      <c r="AT133" s="560"/>
      <c r="AU133" s="567" t="s">
        <v>809</v>
      </c>
      <c r="AV133" s="561"/>
    </row>
    <row r="134">
      <c r="A134" s="540"/>
      <c r="B134" s="206"/>
      <c r="C134" s="126"/>
      <c r="D134" s="126"/>
      <c r="E134" s="107"/>
      <c r="F134" s="201"/>
      <c r="G134" s="202"/>
      <c r="H134" s="542"/>
      <c r="I134" s="266"/>
      <c r="J134" s="266"/>
      <c r="K134" s="266"/>
      <c r="L134" s="266"/>
      <c r="M134" s="266"/>
      <c r="N134" s="266"/>
      <c r="O134" s="266"/>
      <c r="P134" s="266"/>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543"/>
      <c r="AU134" s="544"/>
      <c r="AV134" s="545"/>
    </row>
    <row r="135">
      <c r="A135" s="540"/>
      <c r="B135" s="206"/>
      <c r="C135" s="126" t="s">
        <v>352</v>
      </c>
      <c r="F135" s="201"/>
      <c r="G135" s="202"/>
      <c r="H135" s="542"/>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543"/>
      <c r="AU135" s="544"/>
      <c r="AV135" s="545"/>
    </row>
    <row r="136">
      <c r="A136" s="540"/>
      <c r="B136" s="206"/>
      <c r="C136" s="206"/>
      <c r="D136" s="206"/>
      <c r="E136" s="548" t="s">
        <v>354</v>
      </c>
      <c r="F136" s="207" t="s">
        <v>122</v>
      </c>
      <c r="G136" s="208" t="s">
        <v>203</v>
      </c>
      <c r="H136" s="578" t="s">
        <v>150</v>
      </c>
      <c r="I136" s="210">
        <f>IFERROR(__xludf.DUMMYFUNCTION("FILTER('GBD estimates'!$G$3:$G$1371,'GBD estimates'!$B$3:$B$1371=I$3,'GBD estimates'!$E$3:$E$1371=""Lower respiratory infections"",'GBD estimates'!$D$3:$D$1371=""Under 5"")"),0.023390685)</f>
        <v>0.023390685</v>
      </c>
      <c r="J136" s="210">
        <f>IFERROR(__xludf.DUMMYFUNCTION("FILTER('GBD estimates'!$G$3:$G$1371,'GBD estimates'!$B$3:$B$1371=J$3,'GBD estimates'!$E$3:$E$1371=""Lower respiratory infections"",'GBD estimates'!$D$3:$D$1371=""Under 5"")"),0.018787823)</f>
        <v>0.018787823</v>
      </c>
      <c r="K136" s="210">
        <f>IFERROR(__xludf.DUMMYFUNCTION("FILTER('GBD estimates'!$G$3:$G$1371,'GBD estimates'!$B$3:$B$1371=K$3,'GBD estimates'!$E$3:$E$1371=""Lower respiratory infections"",'GBD estimates'!$D$3:$D$1371=""Under 5"")"),0.023068706)</f>
        <v>0.023068706</v>
      </c>
      <c r="L136" s="210">
        <f>IFERROR(__xludf.DUMMYFUNCTION("FILTER('GBD estimates'!$G$3:$G$1371,'GBD estimates'!$B$3:$B$1371=L$3,'GBD estimates'!$E$3:$E$1371=""Lower respiratory infections"",'GBD estimates'!$D$3:$D$1371=""Under 5"")"),0.01387223)</f>
        <v>0.01387223</v>
      </c>
      <c r="M136" s="210">
        <f>IFERROR(__xludf.DUMMYFUNCTION("FILTER('GBD estimates'!$G$3:$G$1371,'GBD estimates'!$B$3:$B$1371=M$3,'GBD estimates'!$E$3:$E$1371=""Lower respiratory infections"",'GBD estimates'!$D$3:$D$1371=""Under 5"")"),0.021079399)</f>
        <v>0.021079399</v>
      </c>
      <c r="N136" s="210">
        <f>IFERROR(__xludf.DUMMYFUNCTION("FILTER('GBD estimates'!$G$3:$G$1371,'GBD estimates'!$B$3:$B$1371=N$3,'GBD estimates'!$E$3:$E$1371=""Lower respiratory infections"",'GBD estimates'!$D$3:$D$1371=""Under 5"")"),0.01695616)</f>
        <v>0.01695616</v>
      </c>
      <c r="O136" s="210">
        <f>IFERROR(__xludf.DUMMYFUNCTION("FILTER('GBD estimates'!$G$3:$G$1371,'GBD estimates'!$B$3:$B$1371=O$3,'GBD estimates'!$E$3:$E$1371=""Lower respiratory infections"",'GBD estimates'!$D$3:$D$1371=""Under 5"")"),0.018438313)</f>
        <v>0.018438313</v>
      </c>
      <c r="P136" s="210">
        <f>IFERROR(__xludf.DUMMYFUNCTION("FILTER('GBD estimates'!$G$3:$G$1371,'GBD estimates'!$B$3:$B$1371=P$3,'GBD estimates'!$E$3:$E$1371=""Lower respiratory infections"",'GBD estimates'!$D$3:$D$1371=""Under 5"")"),0.026957948)</f>
        <v>0.026957948</v>
      </c>
      <c r="Q136" s="210">
        <f>IFERROR(__xludf.DUMMYFUNCTION("FILTER('GBD estimates'!$G$3:$G$1371,'GBD estimates'!$B$3:$B$1371=Q$3,'GBD estimates'!$E$3:$E$1371=""Lower respiratory infections"",'GBD estimates'!$D$3:$D$1371=""Under 5"")"),0.021586078)</f>
        <v>0.021586078</v>
      </c>
      <c r="R136" s="210">
        <f>IFERROR(__xludf.DUMMYFUNCTION("FILTER('GBD estimates'!$G$3:$G$1371,'GBD estimates'!$B$3:$B$1371=R$3,'GBD estimates'!$E$3:$E$1371=""Lower respiratory infections"",'GBD estimates'!$D$3:$D$1371=""Under 5"")"),0.008631043)</f>
        <v>0.008631043</v>
      </c>
      <c r="S136" s="210">
        <f>IFERROR(__xludf.DUMMYFUNCTION("FILTER('GBD estimates'!$G$3:$G$1371,'GBD estimates'!$B$3:$B$1371=S$3,'GBD estimates'!$E$3:$E$1371=""Lower respiratory infections"",'GBD estimates'!$D$3:$D$1371=""Under 5"")"),0.017692972)</f>
        <v>0.017692972</v>
      </c>
      <c r="T136" s="210">
        <f>IFERROR(__xludf.DUMMYFUNCTION("FILTER('GBD estimates'!$G$3:$G$1371,'GBD estimates'!$B$3:$B$1371=T$3,'GBD estimates'!$E$3:$E$1371=""Lower respiratory infections"",'GBD estimates'!$D$3:$D$1371=""Under 5"")"),0.006290583)</f>
        <v>0.006290583</v>
      </c>
      <c r="U136" s="210">
        <f>IFERROR(__xludf.DUMMYFUNCTION("FILTER('GBD estimates'!$G$3:$G$1371,'GBD estimates'!$B$3:$B$1371=U$3,'GBD estimates'!$E$3:$E$1371=""Lower respiratory infections"",'GBD estimates'!$D$3:$D$1371=""Under 5"")"),0.007369406)</f>
        <v>0.007369406</v>
      </c>
      <c r="V136" s="210">
        <f>IFERROR(__xludf.DUMMYFUNCTION("FILTER('GBD estimates'!$G$3:$G$1371,'GBD estimates'!$B$3:$B$1371=V$3,'GBD estimates'!$E$3:$E$1371=""Lower respiratory infections"",'GBD estimates'!$D$3:$D$1371=""Under 5"")"),0.00733338)</f>
        <v>0.00733338</v>
      </c>
      <c r="W136" s="210">
        <f>IFERROR(__xludf.DUMMYFUNCTION("FILTER('GBD estimates'!$G$3:$G$1371,'GBD estimates'!$B$3:$B$1371=W$3,'GBD estimates'!$E$3:$E$1371=""Lower respiratory infections"",'GBD estimates'!$D$3:$D$1371=""Under 5"")"),0.010914292)</f>
        <v>0.010914292</v>
      </c>
      <c r="X136" s="210">
        <f>IFERROR(__xludf.DUMMYFUNCTION("FILTER('GBD estimates'!$G$3:$G$1371,'GBD estimates'!$B$3:$B$1371=X$3,'GBD estimates'!$E$3:$E$1371=""Lower respiratory infections"",'GBD estimates'!$D$3:$D$1371=""Under 5"")"),0.007233136)</f>
        <v>0.007233136</v>
      </c>
      <c r="Y136" s="210">
        <f>IFERROR(__xludf.DUMMYFUNCTION("FILTER('GBD estimates'!$G$3:$G$1371,'GBD estimates'!$B$3:$B$1371=Y$3,'GBD estimates'!$E$3:$E$1371=""Lower respiratory infections"",'GBD estimates'!$D$3:$D$1371=""Under 5"")"),0.00653061)</f>
        <v>0.00653061</v>
      </c>
      <c r="Z136" s="210">
        <f>IFERROR(__xludf.DUMMYFUNCTION("FILTER('GBD estimates'!$G$3:$G$1371,'GBD estimates'!$B$3:$B$1371=Z$3,'GBD estimates'!$E$3:$E$1371=""Lower respiratory infections"",'GBD estimates'!$D$3:$D$1371=""Under 5"")"),0.008807684)</f>
        <v>0.008807684</v>
      </c>
      <c r="AA136" s="210">
        <f>IFERROR(__xludf.DUMMYFUNCTION("FILTER('GBD estimates'!$G$3:$G$1371,'GBD estimates'!$B$3:$B$1371=AA$3,'GBD estimates'!$E$3:$E$1371=""Lower respiratory infections"",'GBD estimates'!$D$3:$D$1371=""Under 5"")"),0.011309457)</f>
        <v>0.011309457</v>
      </c>
      <c r="AB136" s="210">
        <f>IFERROR(__xludf.DUMMYFUNCTION("FILTER('GBD estimates'!$G$3:$G$1371,'GBD estimates'!$B$3:$B$1371=AB$3,'GBD estimates'!$E$3:$E$1371=""Lower respiratory infections"",'GBD estimates'!$D$3:$D$1371=""Under 5"")"),0.008648343)</f>
        <v>0.008648343</v>
      </c>
      <c r="AC136" s="210">
        <f>IFERROR(__xludf.DUMMYFUNCTION("FILTER('GBD estimates'!$G$3:$G$1371,'GBD estimates'!$B$3:$B$1371=AC$3,'GBD estimates'!$E$3:$E$1371=""Lower respiratory infections"",'GBD estimates'!$D$3:$D$1371=""Under 5"")"),0.007752461)</f>
        <v>0.007752461</v>
      </c>
      <c r="AD136" s="210">
        <f>IFERROR(__xludf.DUMMYFUNCTION("FILTER('GBD estimates'!$G$3:$G$1371,'GBD estimates'!$B$3:$B$1371=AD$3,'GBD estimates'!$E$3:$E$1371=""Lower respiratory infections"",'GBD estimates'!$D$3:$D$1371=""Under 5"")"),0.004975645)</f>
        <v>0.004975645</v>
      </c>
      <c r="AE136" s="210">
        <f>IFERROR(__xludf.DUMMYFUNCTION("FILTER('GBD estimates'!$G$3:$G$1371,'GBD estimates'!$B$3:$B$1371=AE$3,'GBD estimates'!$E$3:$E$1371=""Lower respiratory infections"",'GBD estimates'!$D$3:$D$1371=""Under 5"")"),0.008219573)</f>
        <v>0.008219573</v>
      </c>
      <c r="AF136" s="210">
        <f>IFERROR(__xludf.DUMMYFUNCTION("FILTER('GBD estimates'!$G$3:$G$1371,'GBD estimates'!$B$3:$B$1371=AF$3,'GBD estimates'!$E$3:$E$1371=""Lower respiratory infections"",'GBD estimates'!$D$3:$D$1371=""Under 5"")"),0.005635233)</f>
        <v>0.005635233</v>
      </c>
      <c r="AG136" s="210">
        <f>IFERROR(__xludf.DUMMYFUNCTION("FILTER('GBD estimates'!$G$3:$G$1371,'GBD estimates'!$B$3:$B$1371=AG$3,'GBD estimates'!$E$3:$E$1371=""Lower respiratory infections"",'GBD estimates'!$D$3:$D$1371=""Under 5"")"),0.006925311)</f>
        <v>0.006925311</v>
      </c>
      <c r="AH136" s="210">
        <f>IFERROR(__xludf.DUMMYFUNCTION("FILTER('GBD estimates'!$G$3:$G$1371,'GBD estimates'!$B$3:$B$1371=AH$3,'GBD estimates'!$E$3:$E$1371=""Lower respiratory infections"",'GBD estimates'!$D$3:$D$1371=""Under 5"")"),0.005374371)</f>
        <v>0.005374371</v>
      </c>
      <c r="AI136" s="210">
        <f>IFERROR(__xludf.DUMMYFUNCTION("FILTER('GBD estimates'!$G$3:$G$1371,'GBD estimates'!$B$3:$B$1371=AI$3,'GBD estimates'!$E$3:$E$1371=""Lower respiratory infections"",'GBD estimates'!$D$3:$D$1371=""Under 5"")"),0.005648216)</f>
        <v>0.005648216</v>
      </c>
      <c r="AJ136" s="210">
        <f>IFERROR(__xludf.DUMMYFUNCTION("FILTER('GBD estimates'!$G$3:$G$1371,'GBD estimates'!$B$3:$B$1371=AJ$3,'GBD estimates'!$E$3:$E$1371=""Lower respiratory infections"",'GBD estimates'!$D$3:$D$1371=""Under 5"")"),0.009993866)</f>
        <v>0.009993866</v>
      </c>
      <c r="AK136" s="210">
        <f>IFERROR(__xludf.DUMMYFUNCTION("FILTER('GBD estimates'!$G$3:$G$1371,'GBD estimates'!$B$3:$B$1371=AK$3,'GBD estimates'!$E$3:$E$1371=""Lower respiratory infections"",'GBD estimates'!$D$3:$D$1371=""Under 5"")"),0.012652618)</f>
        <v>0.012652618</v>
      </c>
      <c r="AL136" s="210">
        <f>IFERROR(__xludf.DUMMYFUNCTION("FILTER('GBD estimates'!$G$3:$G$1371,'GBD estimates'!$B$3:$B$1371=AL$3,'GBD estimates'!$E$3:$E$1371=""Lower respiratory infections"",'GBD estimates'!$D$3:$D$1371=""Under 5"")"),0.007272124)</f>
        <v>0.007272124</v>
      </c>
      <c r="AM136" s="210">
        <f>IFERROR(__xludf.DUMMYFUNCTION("FILTER('GBD estimates'!$G$3:$G$1371,'GBD estimates'!$B$3:$B$1371=AM$3,'GBD estimates'!$E$3:$E$1371=""Lower respiratory infections"",'GBD estimates'!$D$3:$D$1371=""Under 5"")"),0.00799731)</f>
        <v>0.00799731</v>
      </c>
      <c r="AN136" s="210">
        <f>IFERROR(__xludf.DUMMYFUNCTION("FILTER('GBD estimates'!$G$3:$G$1371,'GBD estimates'!$B$3:$B$1371=AN$3,'GBD estimates'!$E$3:$E$1371=""Lower respiratory infections"",'GBD estimates'!$D$3:$D$1371=""Under 5"")"),0.004606194)</f>
        <v>0.004606194</v>
      </c>
      <c r="AO136" s="210">
        <f>IFERROR(__xludf.DUMMYFUNCTION("FILTER('GBD estimates'!$G$3:$G$1371,'GBD estimates'!$B$3:$B$1371=AO$3,'GBD estimates'!$E$3:$E$1371=""Lower respiratory infections"",'GBD estimates'!$D$3:$D$1371=""Under 5"")"),0.004597797)</f>
        <v>0.004597797</v>
      </c>
      <c r="AP136" s="210">
        <f>IFERROR(__xludf.DUMMYFUNCTION("FILTER('GBD estimates'!$G$3:$G$1371,'GBD estimates'!$B$3:$B$1371=AP$3,'GBD estimates'!$E$3:$E$1371=""Lower respiratory infections"",'GBD estimates'!$D$3:$D$1371=""Under 5"")"),0.008021461)</f>
        <v>0.008021461</v>
      </c>
      <c r="AQ136" s="210">
        <f>IFERROR(__xludf.DUMMYFUNCTION("FILTER('GBD estimates'!$G$3:$G$1371,'GBD estimates'!$B$3:$B$1371=AQ$3,'GBD estimates'!$E$3:$E$1371=""Lower respiratory infections"",'GBD estimates'!$D$3:$D$1371=""Under 5"")"),0.00814551)</f>
        <v>0.00814551</v>
      </c>
      <c r="AR136" s="210">
        <f>IFERROR(__xludf.DUMMYFUNCTION("FILTER('GBD estimates'!$G$3:$G$1371,'GBD estimates'!$B$3:$B$1371=AR$3,'GBD estimates'!$E$3:$E$1371=""Lower respiratory infections"",'GBD estimates'!$D$3:$D$1371=""Under 5"")"),0.018515733)</f>
        <v>0.018515733</v>
      </c>
      <c r="AS136" s="210">
        <f>IFERROR(__xludf.DUMMYFUNCTION("FILTER('GBD estimates'!$G$3:$G$1371,'GBD estimates'!$B$3:$B$1371=AS$3,'GBD estimates'!$E$3:$E$1371=""Lower respiratory infections"",'GBD estimates'!$D$3:$D$1371=""Under 5"")"),0.013456401)</f>
        <v>0.013456401</v>
      </c>
      <c r="AT136" s="550"/>
      <c r="AU136" s="562" t="s">
        <v>855</v>
      </c>
      <c r="AV136" s="552"/>
    </row>
    <row r="137">
      <c r="A137" s="540"/>
      <c r="B137" s="206"/>
      <c r="C137" s="206"/>
      <c r="D137" s="206"/>
      <c r="E137" s="548" t="s">
        <v>358</v>
      </c>
      <c r="F137" s="207" t="s">
        <v>122</v>
      </c>
      <c r="G137" s="208" t="s">
        <v>203</v>
      </c>
      <c r="H137" s="578" t="s">
        <v>150</v>
      </c>
      <c r="I137" s="210">
        <f>IFERROR(__xludf.DUMMYFUNCTION("FILTER('GBD estimates'!$G$3:$G$1371,'GBD estimates'!$B$3:$B$1371=I$3,'GBD estimates'!$E$3:$E$1371=""Lower respiratory infections"",'GBD estimates'!$D$3:$D$1371=""5-14 years"")"),0.001298445)</f>
        <v>0.001298445</v>
      </c>
      <c r="J137" s="210">
        <f>IFERROR(__xludf.DUMMYFUNCTION("FILTER('GBD estimates'!$G$3:$G$1371,'GBD estimates'!$B$3:$B$1371=J$3,'GBD estimates'!$E$3:$E$1371=""Lower respiratory infections"",'GBD estimates'!$D$3:$D$1371=""5-14 years"")"),0.001136902)</f>
        <v>0.001136902</v>
      </c>
      <c r="K137" s="210">
        <f>IFERROR(__xludf.DUMMYFUNCTION("FILTER('GBD estimates'!$G$3:$G$1371,'GBD estimates'!$B$3:$B$1371=K$3,'GBD estimates'!$E$3:$E$1371=""Lower respiratory infections"",'GBD estimates'!$D$3:$D$1371=""5-14 years"")"),0.001358999)</f>
        <v>0.001358999</v>
      </c>
      <c r="L137" s="210">
        <f>IFERROR(__xludf.DUMMYFUNCTION("FILTER('GBD estimates'!$G$3:$G$1371,'GBD estimates'!$B$3:$B$1371=L$3,'GBD estimates'!$E$3:$E$1371=""Lower respiratory infections"",'GBD estimates'!$D$3:$D$1371=""5-14 years"")"),8.48418E-4)</f>
        <v>0.000848418</v>
      </c>
      <c r="M137" s="210">
        <f>IFERROR(__xludf.DUMMYFUNCTION("FILTER('GBD estimates'!$G$3:$G$1371,'GBD estimates'!$B$3:$B$1371=M$3,'GBD estimates'!$E$3:$E$1371=""Lower respiratory infections"",'GBD estimates'!$D$3:$D$1371=""5-14 years"")"),0.001325756)</f>
        <v>0.001325756</v>
      </c>
      <c r="N137" s="210">
        <f>IFERROR(__xludf.DUMMYFUNCTION("FILTER('GBD estimates'!$G$3:$G$1371,'GBD estimates'!$B$3:$B$1371=N$3,'GBD estimates'!$E$3:$E$1371=""Lower respiratory infections"",'GBD estimates'!$D$3:$D$1371=""5-14 years"")"),0.001052452)</f>
        <v>0.001052452</v>
      </c>
      <c r="O137" s="210">
        <f>IFERROR(__xludf.DUMMYFUNCTION("FILTER('GBD estimates'!$G$3:$G$1371,'GBD estimates'!$B$3:$B$1371=O$3,'GBD estimates'!$E$3:$E$1371=""Lower respiratory infections"",'GBD estimates'!$D$3:$D$1371=""5-14 years"")"),0.001083798)</f>
        <v>0.001083798</v>
      </c>
      <c r="P137" s="210">
        <f>IFERROR(__xludf.DUMMYFUNCTION("FILTER('GBD estimates'!$G$3:$G$1371,'GBD estimates'!$B$3:$B$1371=P$3,'GBD estimates'!$E$3:$E$1371=""Lower respiratory infections"",'GBD estimates'!$D$3:$D$1371=""5-14 years"")"),0.001487164)</f>
        <v>0.001487164</v>
      </c>
      <c r="Q137" s="210">
        <f>IFERROR(__xludf.DUMMYFUNCTION("FILTER('GBD estimates'!$G$3:$G$1371,'GBD estimates'!$B$3:$B$1371=Q$3,'GBD estimates'!$E$3:$E$1371=""Lower respiratory infections"",'GBD estimates'!$D$3:$D$1371=""5-14 years"")"),0.001579396)</f>
        <v>0.001579396</v>
      </c>
      <c r="R137" s="210">
        <f>IFERROR(__xludf.DUMMYFUNCTION("FILTER('GBD estimates'!$G$3:$G$1371,'GBD estimates'!$B$3:$B$1371=R$3,'GBD estimates'!$E$3:$E$1371=""Lower respiratory infections"",'GBD estimates'!$D$3:$D$1371=""5-14 years"")"),5.4279E-4)</f>
        <v>0.00054279</v>
      </c>
      <c r="S137" s="210">
        <f>IFERROR(__xludf.DUMMYFUNCTION("FILTER('GBD estimates'!$G$3:$G$1371,'GBD estimates'!$B$3:$B$1371=S$3,'GBD estimates'!$E$3:$E$1371=""Lower respiratory infections"",'GBD estimates'!$D$3:$D$1371=""5-14 years"")"),0.001159606)</f>
        <v>0.001159606</v>
      </c>
      <c r="T137" s="210">
        <f>IFERROR(__xludf.DUMMYFUNCTION("FILTER('GBD estimates'!$G$3:$G$1371,'GBD estimates'!$B$3:$B$1371=T$3,'GBD estimates'!$E$3:$E$1371=""Lower respiratory infections"",'GBD estimates'!$D$3:$D$1371=""5-14 years"")"),4.38313E-4)</f>
        <v>0.000438313</v>
      </c>
      <c r="U137" s="210">
        <f>IFERROR(__xludf.DUMMYFUNCTION("FILTER('GBD estimates'!$G$3:$G$1371,'GBD estimates'!$B$3:$B$1371=U$3,'GBD estimates'!$E$3:$E$1371=""Lower respiratory infections"",'GBD estimates'!$D$3:$D$1371=""5-14 years"")"),4.77036E-4)</f>
        <v>0.000477036</v>
      </c>
      <c r="V137" s="210">
        <f>IFERROR(__xludf.DUMMYFUNCTION("FILTER('GBD estimates'!$G$3:$G$1371,'GBD estimates'!$B$3:$B$1371=V$3,'GBD estimates'!$E$3:$E$1371=""Lower respiratory infections"",'GBD estimates'!$D$3:$D$1371=""5-14 years"")"),4.61053E-4)</f>
        <v>0.000461053</v>
      </c>
      <c r="W137" s="210">
        <f>IFERROR(__xludf.DUMMYFUNCTION("FILTER('GBD estimates'!$G$3:$G$1371,'GBD estimates'!$B$3:$B$1371=W$3,'GBD estimates'!$E$3:$E$1371=""Lower respiratory infections"",'GBD estimates'!$D$3:$D$1371=""5-14 years"")"),8.39495E-4)</f>
        <v>0.000839495</v>
      </c>
      <c r="X137" s="210">
        <f>IFERROR(__xludf.DUMMYFUNCTION("FILTER('GBD estimates'!$G$3:$G$1371,'GBD estimates'!$B$3:$B$1371=X$3,'GBD estimates'!$E$3:$E$1371=""Lower respiratory infections"",'GBD estimates'!$D$3:$D$1371=""5-14 years"")"),6.04129E-4)</f>
        <v>0.000604129</v>
      </c>
      <c r="Y137" s="210">
        <f>IFERROR(__xludf.DUMMYFUNCTION("FILTER('GBD estimates'!$G$3:$G$1371,'GBD estimates'!$B$3:$B$1371=Y$3,'GBD estimates'!$E$3:$E$1371=""Lower respiratory infections"",'GBD estimates'!$D$3:$D$1371=""5-14 years"")"),7.21752E-4)</f>
        <v>0.000721752</v>
      </c>
      <c r="Z137" s="210">
        <f>IFERROR(__xludf.DUMMYFUNCTION("FILTER('GBD estimates'!$G$3:$G$1371,'GBD estimates'!$B$3:$B$1371=Z$3,'GBD estimates'!$E$3:$E$1371=""Lower respiratory infections"",'GBD estimates'!$D$3:$D$1371=""5-14 years"")"),6.01201E-4)</f>
        <v>0.000601201</v>
      </c>
      <c r="AA137" s="210">
        <f>IFERROR(__xludf.DUMMYFUNCTION("FILTER('GBD estimates'!$G$3:$G$1371,'GBD estimates'!$B$3:$B$1371=AA$3,'GBD estimates'!$E$3:$E$1371=""Lower respiratory infections"",'GBD estimates'!$D$3:$D$1371=""5-14 years"")"),8.18631E-4)</f>
        <v>0.000818631</v>
      </c>
      <c r="AB137" s="210">
        <f>IFERROR(__xludf.DUMMYFUNCTION("FILTER('GBD estimates'!$G$3:$G$1371,'GBD estimates'!$B$3:$B$1371=AB$3,'GBD estimates'!$E$3:$E$1371=""Lower respiratory infections"",'GBD estimates'!$D$3:$D$1371=""5-14 years"")"),4.92514E-4)</f>
        <v>0.000492514</v>
      </c>
      <c r="AC137" s="210">
        <f>IFERROR(__xludf.DUMMYFUNCTION("FILTER('GBD estimates'!$G$3:$G$1371,'GBD estimates'!$B$3:$B$1371=AC$3,'GBD estimates'!$E$3:$E$1371=""Lower respiratory infections"",'GBD estimates'!$D$3:$D$1371=""5-14 years"")"),4.65323E-4)</f>
        <v>0.000465323</v>
      </c>
      <c r="AD137" s="210">
        <f>IFERROR(__xludf.DUMMYFUNCTION("FILTER('GBD estimates'!$G$3:$G$1371,'GBD estimates'!$B$3:$B$1371=AD$3,'GBD estimates'!$E$3:$E$1371=""Lower respiratory infections"",'GBD estimates'!$D$3:$D$1371=""5-14 years"")"),3.94427E-4)</f>
        <v>0.000394427</v>
      </c>
      <c r="AE137" s="210">
        <f>IFERROR(__xludf.DUMMYFUNCTION("FILTER('GBD estimates'!$G$3:$G$1371,'GBD estimates'!$B$3:$B$1371=AE$3,'GBD estimates'!$E$3:$E$1371=""Lower respiratory infections"",'GBD estimates'!$D$3:$D$1371=""5-14 years"")"),6.0762E-4)</f>
        <v>0.00060762</v>
      </c>
      <c r="AF137" s="210">
        <f>IFERROR(__xludf.DUMMYFUNCTION("FILTER('GBD estimates'!$G$3:$G$1371,'GBD estimates'!$B$3:$B$1371=AF$3,'GBD estimates'!$E$3:$E$1371=""Lower respiratory infections"",'GBD estimates'!$D$3:$D$1371=""5-14 years"")"),4.2438E-4)</f>
        <v>0.00042438</v>
      </c>
      <c r="AG137" s="210">
        <f>IFERROR(__xludf.DUMMYFUNCTION("FILTER('GBD estimates'!$G$3:$G$1371,'GBD estimates'!$B$3:$B$1371=AG$3,'GBD estimates'!$E$3:$E$1371=""Lower respiratory infections"",'GBD estimates'!$D$3:$D$1371=""5-14 years"")"),4.43956E-4)</f>
        <v>0.000443956</v>
      </c>
      <c r="AH137" s="210">
        <f>IFERROR(__xludf.DUMMYFUNCTION("FILTER('GBD estimates'!$G$3:$G$1371,'GBD estimates'!$B$3:$B$1371=AH$3,'GBD estimates'!$E$3:$E$1371=""Lower respiratory infections"",'GBD estimates'!$D$3:$D$1371=""5-14 years"")"),3.88867E-4)</f>
        <v>0.000388867</v>
      </c>
      <c r="AI137" s="210">
        <f>IFERROR(__xludf.DUMMYFUNCTION("FILTER('GBD estimates'!$G$3:$G$1371,'GBD estimates'!$B$3:$B$1371=AI$3,'GBD estimates'!$E$3:$E$1371=""Lower respiratory infections"",'GBD estimates'!$D$3:$D$1371=""5-14 years"")"),4.20064E-4)</f>
        <v>0.000420064</v>
      </c>
      <c r="AJ137" s="210">
        <f>IFERROR(__xludf.DUMMYFUNCTION("FILTER('GBD estimates'!$G$3:$G$1371,'GBD estimates'!$B$3:$B$1371=AJ$3,'GBD estimates'!$E$3:$E$1371=""Lower respiratory infections"",'GBD estimates'!$D$3:$D$1371=""5-14 years"")"),7.53327E-4)</f>
        <v>0.000753327</v>
      </c>
      <c r="AK137" s="210">
        <f>IFERROR(__xludf.DUMMYFUNCTION("FILTER('GBD estimates'!$G$3:$G$1371,'GBD estimates'!$B$3:$B$1371=AK$3,'GBD estimates'!$E$3:$E$1371=""Lower respiratory infections"",'GBD estimates'!$D$3:$D$1371=""5-14 years"")"),8.57672E-4)</f>
        <v>0.000857672</v>
      </c>
      <c r="AL137" s="210">
        <f>IFERROR(__xludf.DUMMYFUNCTION("FILTER('GBD estimates'!$G$3:$G$1371,'GBD estimates'!$B$3:$B$1371=AL$3,'GBD estimates'!$E$3:$E$1371=""Lower respiratory infections"",'GBD estimates'!$D$3:$D$1371=""5-14 years"")"),5.02423E-4)</f>
        <v>0.000502423</v>
      </c>
      <c r="AM137" s="210">
        <f>IFERROR(__xludf.DUMMYFUNCTION("FILTER('GBD estimates'!$G$3:$G$1371,'GBD estimates'!$B$3:$B$1371=AM$3,'GBD estimates'!$E$3:$E$1371=""Lower respiratory infections"",'GBD estimates'!$D$3:$D$1371=""5-14 years"")"),5.80734E-4)</f>
        <v>0.000580734</v>
      </c>
      <c r="AN137" s="210">
        <f>IFERROR(__xludf.DUMMYFUNCTION("FILTER('GBD estimates'!$G$3:$G$1371,'GBD estimates'!$B$3:$B$1371=AN$3,'GBD estimates'!$E$3:$E$1371=""Lower respiratory infections"",'GBD estimates'!$D$3:$D$1371=""5-14 years"")"),3.03436E-4)</f>
        <v>0.000303436</v>
      </c>
      <c r="AO137" s="210">
        <f>IFERROR(__xludf.DUMMYFUNCTION("FILTER('GBD estimates'!$G$3:$G$1371,'GBD estimates'!$B$3:$B$1371=AO$3,'GBD estimates'!$E$3:$E$1371=""Lower respiratory infections"",'GBD estimates'!$D$3:$D$1371=""5-14 years"")"),2.94241E-4)</f>
        <v>0.000294241</v>
      </c>
      <c r="AP137" s="210">
        <f>IFERROR(__xludf.DUMMYFUNCTION("FILTER('GBD estimates'!$G$3:$G$1371,'GBD estimates'!$B$3:$B$1371=AP$3,'GBD estimates'!$E$3:$E$1371=""Lower respiratory infections"",'GBD estimates'!$D$3:$D$1371=""5-14 years"")"),6.8802E-4)</f>
        <v>0.00068802</v>
      </c>
      <c r="AQ137" s="210">
        <f>IFERROR(__xludf.DUMMYFUNCTION("FILTER('GBD estimates'!$G$3:$G$1371,'GBD estimates'!$B$3:$B$1371=AQ$3,'GBD estimates'!$E$3:$E$1371=""Lower respiratory infections"",'GBD estimates'!$D$3:$D$1371=""5-14 years"")"),5.23182E-4)</f>
        <v>0.000523182</v>
      </c>
      <c r="AR137" s="210">
        <f>IFERROR(__xludf.DUMMYFUNCTION("FILTER('GBD estimates'!$G$3:$G$1371,'GBD estimates'!$B$3:$B$1371=AR$3,'GBD estimates'!$E$3:$E$1371=""Lower respiratory infections"",'GBD estimates'!$D$3:$D$1371=""5-14 years"")"),0.001213507)</f>
        <v>0.001213507</v>
      </c>
      <c r="AS137" s="210">
        <f>IFERROR(__xludf.DUMMYFUNCTION("FILTER('GBD estimates'!$G$3:$G$1371,'GBD estimates'!$B$3:$B$1371=AS$3,'GBD estimates'!$E$3:$E$1371=""Lower respiratory infections"",'GBD estimates'!$D$3:$D$1371=""5-14 years"")"),9.21898E-4)</f>
        <v>0.000921898</v>
      </c>
      <c r="AT137" s="550"/>
      <c r="AU137" s="562" t="s">
        <v>855</v>
      </c>
      <c r="AV137" s="552"/>
    </row>
    <row r="138">
      <c r="A138" s="540"/>
      <c r="B138" s="206"/>
      <c r="C138" s="206"/>
      <c r="D138" s="206"/>
      <c r="E138" s="548" t="s">
        <v>362</v>
      </c>
      <c r="F138" s="207" t="s">
        <v>122</v>
      </c>
      <c r="G138" s="208" t="s">
        <v>203</v>
      </c>
      <c r="H138" s="578" t="s">
        <v>150</v>
      </c>
      <c r="I138" s="210">
        <f>IFERROR(__xludf.DUMMYFUNCTION("FILTER('GBD estimates'!$G$3:$G$1371,'GBD estimates'!$B$3:$B$1371=I$3,'GBD estimates'!$E$3:$E$1371=""Lower respiratory infections"",'GBD estimates'!$D$3:$D$1371=""15-49 years"")"),0.002586005)</f>
        <v>0.002586005</v>
      </c>
      <c r="J138" s="210">
        <f>IFERROR(__xludf.DUMMYFUNCTION("FILTER('GBD estimates'!$G$3:$G$1371,'GBD estimates'!$B$3:$B$1371=J$3,'GBD estimates'!$E$3:$E$1371=""Lower respiratory infections"",'GBD estimates'!$D$3:$D$1371=""15-49 years"")"),0.00203186)</f>
        <v>0.00203186</v>
      </c>
      <c r="K138" s="210">
        <f>IFERROR(__xludf.DUMMYFUNCTION("FILTER('GBD estimates'!$G$3:$G$1371,'GBD estimates'!$B$3:$B$1371=K$3,'GBD estimates'!$E$3:$E$1371=""Lower respiratory infections"",'GBD estimates'!$D$3:$D$1371=""15-49 years"")"),0.003081885)</f>
        <v>0.003081885</v>
      </c>
      <c r="L138" s="210">
        <f>IFERROR(__xludf.DUMMYFUNCTION("FILTER('GBD estimates'!$G$3:$G$1371,'GBD estimates'!$B$3:$B$1371=L$3,'GBD estimates'!$E$3:$E$1371=""Lower respiratory infections"",'GBD estimates'!$D$3:$D$1371=""15-49 years"")"),0.002004393)</f>
        <v>0.002004393</v>
      </c>
      <c r="M138" s="210">
        <f>IFERROR(__xludf.DUMMYFUNCTION("FILTER('GBD estimates'!$G$3:$G$1371,'GBD estimates'!$B$3:$B$1371=M$3,'GBD estimates'!$E$3:$E$1371=""Lower respiratory infections"",'GBD estimates'!$D$3:$D$1371=""15-49 years"")"),0.002148469)</f>
        <v>0.002148469</v>
      </c>
      <c r="N138" s="210">
        <f>IFERROR(__xludf.DUMMYFUNCTION("FILTER('GBD estimates'!$G$3:$G$1371,'GBD estimates'!$B$3:$B$1371=N$3,'GBD estimates'!$E$3:$E$1371=""Lower respiratory infections"",'GBD estimates'!$D$3:$D$1371=""15-49 years"")"),0.002520287)</f>
        <v>0.002520287</v>
      </c>
      <c r="O138" s="210">
        <f>IFERROR(__xludf.DUMMYFUNCTION("FILTER('GBD estimates'!$G$3:$G$1371,'GBD estimates'!$B$3:$B$1371=O$3,'GBD estimates'!$E$3:$E$1371=""Lower respiratory infections"",'GBD estimates'!$D$3:$D$1371=""15-49 years"")"),0.002528167)</f>
        <v>0.002528167</v>
      </c>
      <c r="P138" s="210">
        <f>IFERROR(__xludf.DUMMYFUNCTION("FILTER('GBD estimates'!$G$3:$G$1371,'GBD estimates'!$B$3:$B$1371=P$3,'GBD estimates'!$E$3:$E$1371=""Lower respiratory infections"",'GBD estimates'!$D$3:$D$1371=""15-49 years"")"),0.003306589)</f>
        <v>0.003306589</v>
      </c>
      <c r="Q138" s="210">
        <f>IFERROR(__xludf.DUMMYFUNCTION("FILTER('GBD estimates'!$G$3:$G$1371,'GBD estimates'!$B$3:$B$1371=Q$3,'GBD estimates'!$E$3:$E$1371=""Lower respiratory infections"",'GBD estimates'!$D$3:$D$1371=""15-49 years"")"),0.002961165)</f>
        <v>0.002961165</v>
      </c>
      <c r="R138" s="210">
        <f>IFERROR(__xludf.DUMMYFUNCTION("FILTER('GBD estimates'!$G$3:$G$1371,'GBD estimates'!$B$3:$B$1371=R$3,'GBD estimates'!$E$3:$E$1371=""Lower respiratory infections"",'GBD estimates'!$D$3:$D$1371=""15-49 years"")"),0.001764135)</f>
        <v>0.001764135</v>
      </c>
      <c r="S138" s="210">
        <f>IFERROR(__xludf.DUMMYFUNCTION("FILTER('GBD estimates'!$G$3:$G$1371,'GBD estimates'!$B$3:$B$1371=S$3,'GBD estimates'!$E$3:$E$1371=""Lower respiratory infections"",'GBD estimates'!$D$3:$D$1371=""15-49 years"")"),0.002444501)</f>
        <v>0.002444501</v>
      </c>
      <c r="T138" s="210">
        <f>IFERROR(__xludf.DUMMYFUNCTION("FILTER('GBD estimates'!$G$3:$G$1371,'GBD estimates'!$B$3:$B$1371=T$3,'GBD estimates'!$E$3:$E$1371=""Lower respiratory infections"",'GBD estimates'!$D$3:$D$1371=""15-49 years"")"),0.001880042)</f>
        <v>0.001880042</v>
      </c>
      <c r="U138" s="210">
        <f>IFERROR(__xludf.DUMMYFUNCTION("FILTER('GBD estimates'!$G$3:$G$1371,'GBD estimates'!$B$3:$B$1371=U$3,'GBD estimates'!$E$3:$E$1371=""Lower respiratory infections"",'GBD estimates'!$D$3:$D$1371=""15-49 years"")"),0.001957972)</f>
        <v>0.001957972</v>
      </c>
      <c r="V138" s="210">
        <f>IFERROR(__xludf.DUMMYFUNCTION("FILTER('GBD estimates'!$G$3:$G$1371,'GBD estimates'!$B$3:$B$1371=V$3,'GBD estimates'!$E$3:$E$1371=""Lower respiratory infections"",'GBD estimates'!$D$3:$D$1371=""15-49 years"")"),0.002082136)</f>
        <v>0.002082136</v>
      </c>
      <c r="W138" s="210">
        <f>IFERROR(__xludf.DUMMYFUNCTION("FILTER('GBD estimates'!$G$3:$G$1371,'GBD estimates'!$B$3:$B$1371=W$3,'GBD estimates'!$E$3:$E$1371=""Lower respiratory infections"",'GBD estimates'!$D$3:$D$1371=""15-49 years"")"),0.002509839)</f>
        <v>0.002509839</v>
      </c>
      <c r="X138" s="210">
        <f>IFERROR(__xludf.DUMMYFUNCTION("FILTER('GBD estimates'!$G$3:$G$1371,'GBD estimates'!$B$3:$B$1371=X$3,'GBD estimates'!$E$3:$E$1371=""Lower respiratory infections"",'GBD estimates'!$D$3:$D$1371=""15-49 years"")"),0.00181658)</f>
        <v>0.00181658</v>
      </c>
      <c r="Y138" s="210">
        <f>IFERROR(__xludf.DUMMYFUNCTION("FILTER('GBD estimates'!$G$3:$G$1371,'GBD estimates'!$B$3:$B$1371=Y$3,'GBD estimates'!$E$3:$E$1371=""Lower respiratory infections"",'GBD estimates'!$D$3:$D$1371=""15-49 years"")"),0.003680809)</f>
        <v>0.003680809</v>
      </c>
      <c r="Z138" s="210">
        <f>IFERROR(__xludf.DUMMYFUNCTION("FILTER('GBD estimates'!$G$3:$G$1371,'GBD estimates'!$B$3:$B$1371=Z$3,'GBD estimates'!$E$3:$E$1371=""Lower respiratory infections"",'GBD estimates'!$D$3:$D$1371=""15-49 years"")"),0.00207159)</f>
        <v>0.00207159</v>
      </c>
      <c r="AA138" s="210">
        <f>IFERROR(__xludf.DUMMYFUNCTION("FILTER('GBD estimates'!$G$3:$G$1371,'GBD estimates'!$B$3:$B$1371=AA$3,'GBD estimates'!$E$3:$E$1371=""Lower respiratory infections"",'GBD estimates'!$D$3:$D$1371=""15-49 years"")"),0.002309895)</f>
        <v>0.002309895</v>
      </c>
      <c r="AB138" s="210">
        <f>IFERROR(__xludf.DUMMYFUNCTION("FILTER('GBD estimates'!$G$3:$G$1371,'GBD estimates'!$B$3:$B$1371=AB$3,'GBD estimates'!$E$3:$E$1371=""Lower respiratory infections"",'GBD estimates'!$D$3:$D$1371=""15-49 years"")"),0.002007432)</f>
        <v>0.002007432</v>
      </c>
      <c r="AC138" s="210">
        <f>IFERROR(__xludf.DUMMYFUNCTION("FILTER('GBD estimates'!$G$3:$G$1371,'GBD estimates'!$B$3:$B$1371=AC$3,'GBD estimates'!$E$3:$E$1371=""Lower respiratory infections"",'GBD estimates'!$D$3:$D$1371=""15-49 years"")"),0.001824262)</f>
        <v>0.001824262</v>
      </c>
      <c r="AD138" s="210">
        <f>IFERROR(__xludf.DUMMYFUNCTION("FILTER('GBD estimates'!$G$3:$G$1371,'GBD estimates'!$B$3:$B$1371=AD$3,'GBD estimates'!$E$3:$E$1371=""Lower respiratory infections"",'GBD estimates'!$D$3:$D$1371=""15-49 years"")"),0.00182818)</f>
        <v>0.00182818</v>
      </c>
      <c r="AE138" s="210">
        <f>IFERROR(__xludf.DUMMYFUNCTION("FILTER('GBD estimates'!$G$3:$G$1371,'GBD estimates'!$B$3:$B$1371=AE$3,'GBD estimates'!$E$3:$E$1371=""Lower respiratory infections"",'GBD estimates'!$D$3:$D$1371=""15-49 years"")"),0.001742828)</f>
        <v>0.001742828</v>
      </c>
      <c r="AF138" s="210">
        <f>IFERROR(__xludf.DUMMYFUNCTION("FILTER('GBD estimates'!$G$3:$G$1371,'GBD estimates'!$B$3:$B$1371=AF$3,'GBD estimates'!$E$3:$E$1371=""Lower respiratory infections"",'GBD estimates'!$D$3:$D$1371=""15-49 years"")"),0.001739745)</f>
        <v>0.001739745</v>
      </c>
      <c r="AG138" s="210">
        <f>IFERROR(__xludf.DUMMYFUNCTION("FILTER('GBD estimates'!$G$3:$G$1371,'GBD estimates'!$B$3:$B$1371=AG$3,'GBD estimates'!$E$3:$E$1371=""Lower respiratory infections"",'GBD estimates'!$D$3:$D$1371=""15-49 years"")"),0.001960957)</f>
        <v>0.001960957</v>
      </c>
      <c r="AH138" s="210">
        <f>IFERROR(__xludf.DUMMYFUNCTION("FILTER('GBD estimates'!$G$3:$G$1371,'GBD estimates'!$B$3:$B$1371=AH$3,'GBD estimates'!$E$3:$E$1371=""Lower respiratory infections"",'GBD estimates'!$D$3:$D$1371=""15-49 years"")"),0.002123181)</f>
        <v>0.002123181</v>
      </c>
      <c r="AI138" s="210">
        <f>IFERROR(__xludf.DUMMYFUNCTION("FILTER('GBD estimates'!$G$3:$G$1371,'GBD estimates'!$B$3:$B$1371=AI$3,'GBD estimates'!$E$3:$E$1371=""Lower respiratory infections"",'GBD estimates'!$D$3:$D$1371=""15-49 years"")"),0.001496856)</f>
        <v>0.001496856</v>
      </c>
      <c r="AJ138" s="210">
        <f>IFERROR(__xludf.DUMMYFUNCTION("FILTER('GBD estimates'!$G$3:$G$1371,'GBD estimates'!$B$3:$B$1371=AJ$3,'GBD estimates'!$E$3:$E$1371=""Lower respiratory infections"",'GBD estimates'!$D$3:$D$1371=""15-49 years"")"),0.002433635)</f>
        <v>0.002433635</v>
      </c>
      <c r="AK138" s="210">
        <f>IFERROR(__xludf.DUMMYFUNCTION("FILTER('GBD estimates'!$G$3:$G$1371,'GBD estimates'!$B$3:$B$1371=AK$3,'GBD estimates'!$E$3:$E$1371=""Lower respiratory infections"",'GBD estimates'!$D$3:$D$1371=""15-49 years"")"),0.002520823)</f>
        <v>0.002520823</v>
      </c>
      <c r="AL138" s="210">
        <f>IFERROR(__xludf.DUMMYFUNCTION("FILTER('GBD estimates'!$G$3:$G$1371,'GBD estimates'!$B$3:$B$1371=AL$3,'GBD estimates'!$E$3:$E$1371=""Lower respiratory infections"",'GBD estimates'!$D$3:$D$1371=""15-49 years"")"),0.002077252)</f>
        <v>0.002077252</v>
      </c>
      <c r="AM138" s="210">
        <f>IFERROR(__xludf.DUMMYFUNCTION("FILTER('GBD estimates'!$G$3:$G$1371,'GBD estimates'!$B$3:$B$1371=AM$3,'GBD estimates'!$E$3:$E$1371=""Lower respiratory infections"",'GBD estimates'!$D$3:$D$1371=""15-49 years"")"),0.001965618)</f>
        <v>0.001965618</v>
      </c>
      <c r="AN138" s="210">
        <f>IFERROR(__xludf.DUMMYFUNCTION("FILTER('GBD estimates'!$G$3:$G$1371,'GBD estimates'!$B$3:$B$1371=AN$3,'GBD estimates'!$E$3:$E$1371=""Lower respiratory infections"",'GBD estimates'!$D$3:$D$1371=""15-49 years"")"),0.001386363)</f>
        <v>0.001386363</v>
      </c>
      <c r="AO138" s="210">
        <f>IFERROR(__xludf.DUMMYFUNCTION("FILTER('GBD estimates'!$G$3:$G$1371,'GBD estimates'!$B$3:$B$1371=AO$3,'GBD estimates'!$E$3:$E$1371=""Lower respiratory infections"",'GBD estimates'!$D$3:$D$1371=""15-49 years"")"),0.001585732)</f>
        <v>0.001585732</v>
      </c>
      <c r="AP138" s="210">
        <f>IFERROR(__xludf.DUMMYFUNCTION("FILTER('GBD estimates'!$G$3:$G$1371,'GBD estimates'!$B$3:$B$1371=AP$3,'GBD estimates'!$E$3:$E$1371=""Lower respiratory infections"",'GBD estimates'!$D$3:$D$1371=""15-49 years"")"),0.002490513)</f>
        <v>0.002490513</v>
      </c>
      <c r="AQ138" s="210">
        <f>IFERROR(__xludf.DUMMYFUNCTION("FILTER('GBD estimates'!$G$3:$G$1371,'GBD estimates'!$B$3:$B$1371=AQ$3,'GBD estimates'!$E$3:$E$1371=""Lower respiratory infections"",'GBD estimates'!$D$3:$D$1371=""15-49 years"")"),0.00194264)</f>
        <v>0.00194264</v>
      </c>
      <c r="AR138" s="210">
        <f>IFERROR(__xludf.DUMMYFUNCTION("FILTER('GBD estimates'!$G$3:$G$1371,'GBD estimates'!$B$3:$B$1371=AR$3,'GBD estimates'!$E$3:$E$1371=""Lower respiratory infections"",'GBD estimates'!$D$3:$D$1371=""15-49 years"")"),0.002746134)</f>
        <v>0.002746134</v>
      </c>
      <c r="AS138" s="210">
        <f>IFERROR(__xludf.DUMMYFUNCTION("FILTER('GBD estimates'!$G$3:$G$1371,'GBD estimates'!$B$3:$B$1371=AS$3,'GBD estimates'!$E$3:$E$1371=""Lower respiratory infections"",'GBD estimates'!$D$3:$D$1371=""15-49 years"")"),0.002595537)</f>
        <v>0.002595537</v>
      </c>
      <c r="AT138" s="550"/>
      <c r="AU138" s="562" t="s">
        <v>855</v>
      </c>
      <c r="AV138" s="552"/>
    </row>
    <row r="139">
      <c r="A139" s="540"/>
      <c r="B139" s="206"/>
      <c r="C139" s="206"/>
      <c r="D139" s="206"/>
      <c r="E139" s="548" t="s">
        <v>366</v>
      </c>
      <c r="F139" s="207" t="s">
        <v>122</v>
      </c>
      <c r="G139" s="208" t="s">
        <v>203</v>
      </c>
      <c r="H139" s="578" t="s">
        <v>150</v>
      </c>
      <c r="I139" s="210">
        <f>IFERROR(__xludf.DUMMYFUNCTION("FILTER('GBD estimates'!$G$3:$G$1371,'GBD estimates'!$B$3:$B$1371=I$3,'GBD estimates'!$E$3:$E$1371=""Lower respiratory infections"",'GBD estimates'!$D$3:$D$1371=""50 to 74 years"")"),0.023849512)</f>
        <v>0.023849512</v>
      </c>
      <c r="J139" s="210">
        <f>IFERROR(__xludf.DUMMYFUNCTION("FILTER('GBD estimates'!$G$3:$G$1371,'GBD estimates'!$B$3:$B$1371=J$3,'GBD estimates'!$E$3:$E$1371=""Lower respiratory infections"",'GBD estimates'!$D$3:$D$1371=""50 to 74 years"")"),0.02352892)</f>
        <v>0.02352892</v>
      </c>
      <c r="K139" s="210">
        <f>IFERROR(__xludf.DUMMYFUNCTION("FILTER('GBD estimates'!$G$3:$G$1371,'GBD estimates'!$B$3:$B$1371=K$3,'GBD estimates'!$E$3:$E$1371=""Lower respiratory infections"",'GBD estimates'!$D$3:$D$1371=""50 to 74 years"")"),0.024494371)</f>
        <v>0.024494371</v>
      </c>
      <c r="L139" s="210">
        <f>IFERROR(__xludf.DUMMYFUNCTION("FILTER('GBD estimates'!$G$3:$G$1371,'GBD estimates'!$B$3:$B$1371=L$3,'GBD estimates'!$E$3:$E$1371=""Lower respiratory infections"",'GBD estimates'!$D$3:$D$1371=""50 to 74 years"")"),0.016803436)</f>
        <v>0.016803436</v>
      </c>
      <c r="M139" s="210">
        <f>IFERROR(__xludf.DUMMYFUNCTION("FILTER('GBD estimates'!$G$3:$G$1371,'GBD estimates'!$B$3:$B$1371=M$3,'GBD estimates'!$E$3:$E$1371=""Lower respiratory infections"",'GBD estimates'!$D$3:$D$1371=""50 to 74 years"")"),0.018501934)</f>
        <v>0.018501934</v>
      </c>
      <c r="N139" s="210">
        <f>IFERROR(__xludf.DUMMYFUNCTION("FILTER('GBD estimates'!$G$3:$G$1371,'GBD estimates'!$B$3:$B$1371=N$3,'GBD estimates'!$E$3:$E$1371=""Lower respiratory infections"",'GBD estimates'!$D$3:$D$1371=""50 to 74 years"")"),0.02109105)</f>
        <v>0.02109105</v>
      </c>
      <c r="O139" s="210">
        <f>IFERROR(__xludf.DUMMYFUNCTION("FILTER('GBD estimates'!$G$3:$G$1371,'GBD estimates'!$B$3:$B$1371=O$3,'GBD estimates'!$E$3:$E$1371=""Lower respiratory infections"",'GBD estimates'!$D$3:$D$1371=""50 to 74 years"")"),0.025109776)</f>
        <v>0.025109776</v>
      </c>
      <c r="P139" s="210">
        <f>IFERROR(__xludf.DUMMYFUNCTION("FILTER('GBD estimates'!$G$3:$G$1371,'GBD estimates'!$B$3:$B$1371=P$3,'GBD estimates'!$E$3:$E$1371=""Lower respiratory infections"",'GBD estimates'!$D$3:$D$1371=""50 to 74 years"")"),0.024150318)</f>
        <v>0.024150318</v>
      </c>
      <c r="Q139" s="210">
        <f>IFERROR(__xludf.DUMMYFUNCTION("FILTER('GBD estimates'!$G$3:$G$1371,'GBD estimates'!$B$3:$B$1371=Q$3,'GBD estimates'!$E$3:$E$1371=""Lower respiratory infections"",'GBD estimates'!$D$3:$D$1371=""50 to 74 years"")"),0.029711508)</f>
        <v>0.029711508</v>
      </c>
      <c r="R139" s="210">
        <f>IFERROR(__xludf.DUMMYFUNCTION("FILTER('GBD estimates'!$G$3:$G$1371,'GBD estimates'!$B$3:$B$1371=R$3,'GBD estimates'!$E$3:$E$1371=""Lower respiratory infections"",'GBD estimates'!$D$3:$D$1371=""50 to 74 years"")"),0.015782545)</f>
        <v>0.015782545</v>
      </c>
      <c r="S139" s="210">
        <f>IFERROR(__xludf.DUMMYFUNCTION("FILTER('GBD estimates'!$G$3:$G$1371,'GBD estimates'!$B$3:$B$1371=S$3,'GBD estimates'!$E$3:$E$1371=""Lower respiratory infections"",'GBD estimates'!$D$3:$D$1371=""50 to 74 years"")"),0.023351116)</f>
        <v>0.023351116</v>
      </c>
      <c r="T139" s="210">
        <f>IFERROR(__xludf.DUMMYFUNCTION("FILTER('GBD estimates'!$G$3:$G$1371,'GBD estimates'!$B$3:$B$1371=T$3,'GBD estimates'!$E$3:$E$1371=""Lower respiratory infections"",'GBD estimates'!$D$3:$D$1371=""50 to 74 years"")"),0.017447023)</f>
        <v>0.017447023</v>
      </c>
      <c r="U139" s="210">
        <f>IFERROR(__xludf.DUMMYFUNCTION("FILTER('GBD estimates'!$G$3:$G$1371,'GBD estimates'!$B$3:$B$1371=U$3,'GBD estimates'!$E$3:$E$1371=""Lower respiratory infections"",'GBD estimates'!$D$3:$D$1371=""50 to 74 years"")"),0.016405116)</f>
        <v>0.016405116</v>
      </c>
      <c r="V139" s="210">
        <f>IFERROR(__xludf.DUMMYFUNCTION("FILTER('GBD estimates'!$G$3:$G$1371,'GBD estimates'!$B$3:$B$1371=V$3,'GBD estimates'!$E$3:$E$1371=""Lower respiratory infections"",'GBD estimates'!$D$3:$D$1371=""50 to 74 years"")"),0.019350304)</f>
        <v>0.019350304</v>
      </c>
      <c r="W139" s="210">
        <f>IFERROR(__xludf.DUMMYFUNCTION("FILTER('GBD estimates'!$G$3:$G$1371,'GBD estimates'!$B$3:$B$1371=W$3,'GBD estimates'!$E$3:$E$1371=""Lower respiratory infections"",'GBD estimates'!$D$3:$D$1371=""50 to 74 years"")"),0.021737143)</f>
        <v>0.021737143</v>
      </c>
      <c r="X139" s="210">
        <f>IFERROR(__xludf.DUMMYFUNCTION("FILTER('GBD estimates'!$G$3:$G$1371,'GBD estimates'!$B$3:$B$1371=X$3,'GBD estimates'!$E$3:$E$1371=""Lower respiratory infections"",'GBD estimates'!$D$3:$D$1371=""50 to 74 years"")"),0.019471301)</f>
        <v>0.019471301</v>
      </c>
      <c r="Y139" s="210">
        <f>IFERROR(__xludf.DUMMYFUNCTION("FILTER('GBD estimates'!$G$3:$G$1371,'GBD estimates'!$B$3:$B$1371=Y$3,'GBD estimates'!$E$3:$E$1371=""Lower respiratory infections"",'GBD estimates'!$D$3:$D$1371=""50 to 74 years"")"),0.032955525)</f>
        <v>0.032955525</v>
      </c>
      <c r="Z139" s="210">
        <f>IFERROR(__xludf.DUMMYFUNCTION("FILTER('GBD estimates'!$G$3:$G$1371,'GBD estimates'!$B$3:$B$1371=Z$3,'GBD estimates'!$E$3:$E$1371=""Lower respiratory infections"",'GBD estimates'!$D$3:$D$1371=""50 to 74 years"")"),0.015790436)</f>
        <v>0.015790436</v>
      </c>
      <c r="AA139" s="210">
        <f>IFERROR(__xludf.DUMMYFUNCTION("FILTER('GBD estimates'!$G$3:$G$1371,'GBD estimates'!$B$3:$B$1371=AA$3,'GBD estimates'!$E$3:$E$1371=""Lower respiratory infections"",'GBD estimates'!$D$3:$D$1371=""50 to 74 years"")"),0.019875108)</f>
        <v>0.019875108</v>
      </c>
      <c r="AB139" s="210">
        <f>IFERROR(__xludf.DUMMYFUNCTION("FILTER('GBD estimates'!$G$3:$G$1371,'GBD estimates'!$B$3:$B$1371=AB$3,'GBD estimates'!$E$3:$E$1371=""Lower respiratory infections"",'GBD estimates'!$D$3:$D$1371=""50 to 74 years"")"),0.014327169)</f>
        <v>0.014327169</v>
      </c>
      <c r="AC139" s="210">
        <f>IFERROR(__xludf.DUMMYFUNCTION("FILTER('GBD estimates'!$G$3:$G$1371,'GBD estimates'!$B$3:$B$1371=AC$3,'GBD estimates'!$E$3:$E$1371=""Lower respiratory infections"",'GBD estimates'!$D$3:$D$1371=""50 to 74 years"")"),0.015967831)</f>
        <v>0.015967831</v>
      </c>
      <c r="AD139" s="210">
        <f>IFERROR(__xludf.DUMMYFUNCTION("FILTER('GBD estimates'!$G$3:$G$1371,'GBD estimates'!$B$3:$B$1371=AD$3,'GBD estimates'!$E$3:$E$1371=""Lower respiratory infections"",'GBD estimates'!$D$3:$D$1371=""50 to 74 years"")"),0.017175346)</f>
        <v>0.017175346</v>
      </c>
      <c r="AE139" s="210">
        <f>IFERROR(__xludf.DUMMYFUNCTION("FILTER('GBD estimates'!$G$3:$G$1371,'GBD estimates'!$B$3:$B$1371=AE$3,'GBD estimates'!$E$3:$E$1371=""Lower respiratory infections"",'GBD estimates'!$D$3:$D$1371=""50 to 74 years"")"),0.011371433)</f>
        <v>0.011371433</v>
      </c>
      <c r="AF139" s="210">
        <f>IFERROR(__xludf.DUMMYFUNCTION("FILTER('GBD estimates'!$G$3:$G$1371,'GBD estimates'!$B$3:$B$1371=AF$3,'GBD estimates'!$E$3:$E$1371=""Lower respiratory infections"",'GBD estimates'!$D$3:$D$1371=""50 to 74 years"")"),0.014655234)</f>
        <v>0.014655234</v>
      </c>
      <c r="AG139" s="210">
        <f>IFERROR(__xludf.DUMMYFUNCTION("FILTER('GBD estimates'!$G$3:$G$1371,'GBD estimates'!$B$3:$B$1371=AG$3,'GBD estimates'!$E$3:$E$1371=""Lower respiratory infections"",'GBD estimates'!$D$3:$D$1371=""50 to 74 years"")"),0.019361124)</f>
        <v>0.019361124</v>
      </c>
      <c r="AH139" s="210">
        <f>IFERROR(__xludf.DUMMYFUNCTION("FILTER('GBD estimates'!$G$3:$G$1371,'GBD estimates'!$B$3:$B$1371=AH$3,'GBD estimates'!$E$3:$E$1371=""Lower respiratory infections"",'GBD estimates'!$D$3:$D$1371=""50 to 74 years"")"),0.016970364)</f>
        <v>0.016970364</v>
      </c>
      <c r="AI139" s="210">
        <f>IFERROR(__xludf.DUMMYFUNCTION("FILTER('GBD estimates'!$G$3:$G$1371,'GBD estimates'!$B$3:$B$1371=AI$3,'GBD estimates'!$E$3:$E$1371=""Lower respiratory infections"",'GBD estimates'!$D$3:$D$1371=""50 to 74 years"")"),0.011549145)</f>
        <v>0.011549145</v>
      </c>
      <c r="AJ139" s="210">
        <f>IFERROR(__xludf.DUMMYFUNCTION("FILTER('GBD estimates'!$G$3:$G$1371,'GBD estimates'!$B$3:$B$1371=AJ$3,'GBD estimates'!$E$3:$E$1371=""Lower respiratory infections"",'GBD estimates'!$D$3:$D$1371=""50 to 74 years"")"),0.015653005)</f>
        <v>0.015653005</v>
      </c>
      <c r="AK139" s="210">
        <f>IFERROR(__xludf.DUMMYFUNCTION("FILTER('GBD estimates'!$G$3:$G$1371,'GBD estimates'!$B$3:$B$1371=AK$3,'GBD estimates'!$E$3:$E$1371=""Lower respiratory infections"",'GBD estimates'!$D$3:$D$1371=""50 to 74 years"")"),0.020421233)</f>
        <v>0.020421233</v>
      </c>
      <c r="AL139" s="210">
        <f>IFERROR(__xludf.DUMMYFUNCTION("FILTER('GBD estimates'!$G$3:$G$1371,'GBD estimates'!$B$3:$B$1371=AL$3,'GBD estimates'!$E$3:$E$1371=""Lower respiratory infections"",'GBD estimates'!$D$3:$D$1371=""50 to 74 years"")"),0.018129064)</f>
        <v>0.018129064</v>
      </c>
      <c r="AM139" s="210">
        <f>IFERROR(__xludf.DUMMYFUNCTION("FILTER('GBD estimates'!$G$3:$G$1371,'GBD estimates'!$B$3:$B$1371=AM$3,'GBD estimates'!$E$3:$E$1371=""Lower respiratory infections"",'GBD estimates'!$D$3:$D$1371=""50 to 74 years"")"),0.018137271)</f>
        <v>0.018137271</v>
      </c>
      <c r="AN139" s="210">
        <f>IFERROR(__xludf.DUMMYFUNCTION("FILTER('GBD estimates'!$G$3:$G$1371,'GBD estimates'!$B$3:$B$1371=AN$3,'GBD estimates'!$E$3:$E$1371=""Lower respiratory infections"",'GBD estimates'!$D$3:$D$1371=""50 to 74 years"")"),0.014733298)</f>
        <v>0.014733298</v>
      </c>
      <c r="AO139" s="210">
        <f>IFERROR(__xludf.DUMMYFUNCTION("FILTER('GBD estimates'!$G$3:$G$1371,'GBD estimates'!$B$3:$B$1371=AO$3,'GBD estimates'!$E$3:$E$1371=""Lower respiratory infections"",'GBD estimates'!$D$3:$D$1371=""50 to 74 years"")"),0.014182152)</f>
        <v>0.014182152</v>
      </c>
      <c r="AP139" s="210">
        <f>IFERROR(__xludf.DUMMYFUNCTION("FILTER('GBD estimates'!$G$3:$G$1371,'GBD estimates'!$B$3:$B$1371=AP$3,'GBD estimates'!$E$3:$E$1371=""Lower respiratory infections"",'GBD estimates'!$D$3:$D$1371=""50 to 74 years"")"),0.015807042)</f>
        <v>0.015807042</v>
      </c>
      <c r="AQ139" s="210">
        <f>IFERROR(__xludf.DUMMYFUNCTION("FILTER('GBD estimates'!$G$3:$G$1371,'GBD estimates'!$B$3:$B$1371=AQ$3,'GBD estimates'!$E$3:$E$1371=""Lower respiratory infections"",'GBD estimates'!$D$3:$D$1371=""50 to 74 years"")"),0.015695869)</f>
        <v>0.015695869</v>
      </c>
      <c r="AR139" s="210">
        <f>IFERROR(__xludf.DUMMYFUNCTION("FILTER('GBD estimates'!$G$3:$G$1371,'GBD estimates'!$B$3:$B$1371=AR$3,'GBD estimates'!$E$3:$E$1371=""Lower respiratory infections"",'GBD estimates'!$D$3:$D$1371=""50 to 74 years"")"),0.017242094)</f>
        <v>0.017242094</v>
      </c>
      <c r="AS139" s="210">
        <f>IFERROR(__xludf.DUMMYFUNCTION("FILTER('GBD estimates'!$G$3:$G$1371,'GBD estimates'!$B$3:$B$1371=AS$3,'GBD estimates'!$E$3:$E$1371=""Lower respiratory infections"",'GBD estimates'!$D$3:$D$1371=""50 to 74 years"")"),0.022438887)</f>
        <v>0.022438887</v>
      </c>
      <c r="AT139" s="550"/>
      <c r="AU139" s="562" t="s">
        <v>855</v>
      </c>
      <c r="AV139" s="552"/>
    </row>
    <row r="140">
      <c r="A140" s="540"/>
      <c r="B140" s="206"/>
      <c r="C140" s="206"/>
      <c r="D140" s="206"/>
      <c r="E140" s="548" t="s">
        <v>371</v>
      </c>
      <c r="F140" s="207" t="s">
        <v>111</v>
      </c>
      <c r="G140" s="208" t="s">
        <v>203</v>
      </c>
      <c r="H140" s="578" t="s">
        <v>150</v>
      </c>
      <c r="I140" s="294">
        <f>IFERROR(__xludf.DUMMYFUNCTION("FILTER('GBD estimates'!$R$3:$R$1713,'GBD estimates'!$K$3:$K$1713=I$3,'GBD estimates'!$L$3:$L$1713=""Lower respiratory infections"",'GBD estimates'!$N$3:$N$1713=""Under 5"")"),6666.160437)</f>
        <v>6666.160437</v>
      </c>
      <c r="J140" s="294">
        <f>IFERROR(__xludf.DUMMYFUNCTION("FILTER('GBD estimates'!$R$3:$R$1713,'GBD estimates'!$K$3:$K$1713=J$3,'GBD estimates'!$L$3:$L$1713=""Lower respiratory infections"",'GBD estimates'!$N$3:$N$1713=""Under 5"")"),2486.36786)</f>
        <v>2486.36786</v>
      </c>
      <c r="K140" s="294">
        <f>IFERROR(__xludf.DUMMYFUNCTION("FILTER('GBD estimates'!$R$3:$R$1713,'GBD estimates'!$K$3:$K$1713=K$3,'GBD estimates'!$L$3:$L$1713=""Lower respiratory infections"",'GBD estimates'!$N$3:$N$1713=""Under 5"")"),5391.465326)</f>
        <v>5391.465326</v>
      </c>
      <c r="L140" s="294">
        <f>IFERROR(__xludf.DUMMYFUNCTION("FILTER('GBD estimates'!$R$3:$R$1713,'GBD estimates'!$K$3:$K$1713=L$3,'GBD estimates'!$L$3:$L$1713=""Lower respiratory infections"",'GBD estimates'!$N$3:$N$1713=""Under 5"")"),5468.270934)</f>
        <v>5468.270934</v>
      </c>
      <c r="M140" s="294">
        <f>IFERROR(__xludf.DUMMYFUNCTION("FILTER('GBD estimates'!$R$3:$R$1713,'GBD estimates'!$K$3:$K$1713=M$3,'GBD estimates'!$L$3:$L$1713=""Lower respiratory infections"",'GBD estimates'!$N$3:$N$1713=""Under 5"")"),14601.87847)</f>
        <v>14601.87847</v>
      </c>
      <c r="N140" s="294">
        <f>IFERROR(__xludf.DUMMYFUNCTION("FILTER('GBD estimates'!$R$3:$R$1713,'GBD estimates'!$K$3:$K$1713=N$3,'GBD estimates'!$L$3:$L$1713=""Lower respiratory infections"",'GBD estimates'!$N$3:$N$1713=""Under 5"")"),7218.508224)</f>
        <v>7218.508224</v>
      </c>
      <c r="O140" s="294">
        <f>IFERROR(__xludf.DUMMYFUNCTION("FILTER('GBD estimates'!$R$3:$R$1713,'GBD estimates'!$K$3:$K$1713=O$3,'GBD estimates'!$L$3:$L$1713=""Lower respiratory infections"",'GBD estimates'!$N$3:$N$1713=""Under 5"")"),3722.428607)</f>
        <v>3722.428607</v>
      </c>
      <c r="P140" s="294">
        <f>IFERROR(__xludf.DUMMYFUNCTION("FILTER('GBD estimates'!$R$3:$R$1713,'GBD estimates'!$K$3:$K$1713=P$3,'GBD estimates'!$L$3:$L$1713=""Lower respiratory infections"",'GBD estimates'!$N$3:$N$1713=""Under 5"")"),8155.291135)</f>
        <v>8155.291135</v>
      </c>
      <c r="Q140" s="294">
        <f>IFERROR(__xludf.DUMMYFUNCTION("FILTER('GBD estimates'!$R$3:$R$1713,'GBD estimates'!$K$3:$K$1713=Q$3,'GBD estimates'!$L$3:$L$1713=""Lower respiratory infections"",'GBD estimates'!$N$3:$N$1713=""Under 5"")"),3511.465494)</f>
        <v>3511.465494</v>
      </c>
      <c r="R140" s="294">
        <f>IFERROR(__xludf.DUMMYFUNCTION("FILTER('GBD estimates'!$R$3:$R$1713,'GBD estimates'!$K$3:$K$1713=R$3,'GBD estimates'!$L$3:$L$1713=""Lower respiratory infections"",'GBD estimates'!$N$3:$N$1713=""Under 5"")"),1202.92937)</f>
        <v>1202.92937</v>
      </c>
      <c r="S140" s="294">
        <f>IFERROR(__xludf.DUMMYFUNCTION("FILTER('GBD estimates'!$R$3:$R$1713,'GBD estimates'!$K$3:$K$1713=S$3,'GBD estimates'!$L$3:$L$1713=""Lower respiratory infections"",'GBD estimates'!$N$3:$N$1713=""Under 5"")"),2012.237586)</f>
        <v>2012.237586</v>
      </c>
      <c r="T140" s="294">
        <f>IFERROR(__xludf.DUMMYFUNCTION("FILTER('GBD estimates'!$R$3:$R$1713,'GBD estimates'!$K$3:$K$1713=T$3,'GBD estimates'!$L$3:$L$1713=""Lower respiratory infections"",'GBD estimates'!$N$3:$N$1713=""Under 5"")"),378.814408)</f>
        <v>378.814408</v>
      </c>
      <c r="U140" s="294">
        <f>IFERROR(__xludf.DUMMYFUNCTION("FILTER('GBD estimates'!$R$3:$R$1713,'GBD estimates'!$K$3:$K$1713=U$3,'GBD estimates'!$L$3:$L$1713=""Lower respiratory infections"",'GBD estimates'!$N$3:$N$1713=""Under 5"")"),1398.002058)</f>
        <v>1398.002058</v>
      </c>
      <c r="V140" s="294">
        <f>IFERROR(__xludf.DUMMYFUNCTION("FILTER('GBD estimates'!$R$3:$R$1713,'GBD estimates'!$K$3:$K$1713=V$3,'GBD estimates'!$L$3:$L$1713=""Lower respiratory infections"",'GBD estimates'!$N$3:$N$1713=""Under 5"")"),159.7895022)</f>
        <v>159.7895022</v>
      </c>
      <c r="W140" s="294">
        <f>IFERROR(__xludf.DUMMYFUNCTION("FILTER('GBD estimates'!$R$3:$R$1713,'GBD estimates'!$K$3:$K$1713=W$3,'GBD estimates'!$L$3:$L$1713=""Lower respiratory infections"",'GBD estimates'!$N$3:$N$1713=""Under 5"")"),3330.832438)</f>
        <v>3330.832438</v>
      </c>
      <c r="X140" s="294">
        <f>IFERROR(__xludf.DUMMYFUNCTION("FILTER('GBD estimates'!$R$3:$R$1713,'GBD estimates'!$K$3:$K$1713=X$3,'GBD estimates'!$L$3:$L$1713=""Lower respiratory infections"",'GBD estimates'!$N$3:$N$1713=""Under 5"")"),1209.228038)</f>
        <v>1209.228038</v>
      </c>
      <c r="Y140" s="294">
        <f>IFERROR(__xludf.DUMMYFUNCTION("FILTER('GBD estimates'!$R$3:$R$1713,'GBD estimates'!$K$3:$K$1713=Y$3,'GBD estimates'!$L$3:$L$1713=""Lower respiratory infections"",'GBD estimates'!$N$3:$N$1713=""Under 5"")"),415.8901035)</f>
        <v>415.8901035</v>
      </c>
      <c r="Z140" s="294">
        <f>IFERROR(__xludf.DUMMYFUNCTION("FILTER('GBD estimates'!$R$3:$R$1713,'GBD estimates'!$K$3:$K$1713=Z$3,'GBD estimates'!$L$3:$L$1713=""Lower respiratory infections"",'GBD estimates'!$N$3:$N$1713=""Under 5"")"),1061.768764)</f>
        <v>1061.768764</v>
      </c>
      <c r="AA140" s="294">
        <f>IFERROR(__xludf.DUMMYFUNCTION("FILTER('GBD estimates'!$R$3:$R$1713,'GBD estimates'!$K$3:$K$1713=AA$3,'GBD estimates'!$L$3:$L$1713=""Lower respiratory infections"",'GBD estimates'!$N$3:$N$1713=""Under 5"")"),1184.586367)</f>
        <v>1184.586367</v>
      </c>
      <c r="AB140" s="294">
        <f>IFERROR(__xludf.DUMMYFUNCTION("FILTER('GBD estimates'!$R$3:$R$1713,'GBD estimates'!$K$3:$K$1713=AB$3,'GBD estimates'!$L$3:$L$1713=""Lower respiratory infections"",'GBD estimates'!$N$3:$N$1713=""Under 5"")"),881.118419)</f>
        <v>881.118419</v>
      </c>
      <c r="AC140" s="294">
        <f>IFERROR(__xludf.DUMMYFUNCTION("FILTER('GBD estimates'!$R$3:$R$1713,'GBD estimates'!$K$3:$K$1713=AC$3,'GBD estimates'!$L$3:$L$1713=""Lower respiratory infections"",'GBD estimates'!$N$3:$N$1713=""Under 5"")"),352.8307972)</f>
        <v>352.8307972</v>
      </c>
      <c r="AD140" s="294">
        <f>IFERROR(__xludf.DUMMYFUNCTION("FILTER('GBD estimates'!$R$3:$R$1713,'GBD estimates'!$K$3:$K$1713=AD$3,'GBD estimates'!$L$3:$L$1713=""Lower respiratory infections"",'GBD estimates'!$N$3:$N$1713=""Under 5"")"),629.688544)</f>
        <v>629.688544</v>
      </c>
      <c r="AE140" s="294">
        <f>IFERROR(__xludf.DUMMYFUNCTION("FILTER('GBD estimates'!$R$3:$R$1713,'GBD estimates'!$K$3:$K$1713=AE$3,'GBD estimates'!$L$3:$L$1713=""Lower respiratory infections"",'GBD estimates'!$N$3:$N$1713=""Under 5"")"),1531.147811)</f>
        <v>1531.147811</v>
      </c>
      <c r="AF140" s="294">
        <f>IFERROR(__xludf.DUMMYFUNCTION("FILTER('GBD estimates'!$R$3:$R$1713,'GBD estimates'!$K$3:$K$1713=AF$3,'GBD estimates'!$L$3:$L$1713=""Lower respiratory infections"",'GBD estimates'!$N$3:$N$1713=""Under 5"")"),1744.136024)</f>
        <v>1744.136024</v>
      </c>
      <c r="AG140" s="294">
        <f>IFERROR(__xludf.DUMMYFUNCTION("FILTER('GBD estimates'!$R$3:$R$1713,'GBD estimates'!$K$3:$K$1713=AG$3,'GBD estimates'!$L$3:$L$1713=""Lower respiratory infections"",'GBD estimates'!$N$3:$N$1713=""Under 5"")"),582.2050582)</f>
        <v>582.2050582</v>
      </c>
      <c r="AH140" s="294">
        <f>IFERROR(__xludf.DUMMYFUNCTION("FILTER('GBD estimates'!$R$3:$R$1713,'GBD estimates'!$K$3:$K$1713=AH$3,'GBD estimates'!$L$3:$L$1713=""Lower respiratory infections"",'GBD estimates'!$N$3:$N$1713=""Under 5"")"),493.7507516)</f>
        <v>493.7507516</v>
      </c>
      <c r="AI140" s="294">
        <f>IFERROR(__xludf.DUMMYFUNCTION("FILTER('GBD estimates'!$R$3:$R$1713,'GBD estimates'!$K$3:$K$1713=AI$3,'GBD estimates'!$L$3:$L$1713=""Lower respiratory infections"",'GBD estimates'!$N$3:$N$1713=""Under 5"")"),758.7766907)</f>
        <v>758.7766907</v>
      </c>
      <c r="AJ140" s="294">
        <f>IFERROR(__xludf.DUMMYFUNCTION("FILTER('GBD estimates'!$R$3:$R$1713,'GBD estimates'!$K$3:$K$1713=AJ$3,'GBD estimates'!$L$3:$L$1713=""Lower respiratory infections"",'GBD estimates'!$N$3:$N$1713=""Under 5"")"),1963.50028)</f>
        <v>1963.50028</v>
      </c>
      <c r="AK140" s="294">
        <f>IFERROR(__xludf.DUMMYFUNCTION("FILTER('GBD estimates'!$R$3:$R$1713,'GBD estimates'!$K$3:$K$1713=AK$3,'GBD estimates'!$L$3:$L$1713=""Lower respiratory infections"",'GBD estimates'!$N$3:$N$1713=""Under 5"")"),5381.905875)</f>
        <v>5381.905875</v>
      </c>
      <c r="AL140" s="294">
        <f>IFERROR(__xludf.DUMMYFUNCTION("FILTER('GBD estimates'!$R$3:$R$1713,'GBD estimates'!$K$3:$K$1713=AL$3,'GBD estimates'!$L$3:$L$1713=""Lower respiratory infections"",'GBD estimates'!$N$3:$N$1713=""Under 5"")"),2519.607052)</f>
        <v>2519.607052</v>
      </c>
      <c r="AM140" s="294">
        <f>IFERROR(__xludf.DUMMYFUNCTION("FILTER('GBD estimates'!$R$3:$R$1713,'GBD estimates'!$K$3:$K$1713=AM$3,'GBD estimates'!$L$3:$L$1713=""Lower respiratory infections"",'GBD estimates'!$N$3:$N$1713=""Under 5"")"),788.5256111)</f>
        <v>788.5256111</v>
      </c>
      <c r="AN140" s="294">
        <f>IFERROR(__xludf.DUMMYFUNCTION("FILTER('GBD estimates'!$R$3:$R$1713,'GBD estimates'!$K$3:$K$1713=AN$3,'GBD estimates'!$L$3:$L$1713=""Lower respiratory infections"",'GBD estimates'!$N$3:$N$1713=""Under 5"")"),522.2441219)</f>
        <v>522.2441219</v>
      </c>
      <c r="AO140" s="294">
        <f>IFERROR(__xludf.DUMMYFUNCTION("FILTER('GBD estimates'!$R$3:$R$1713,'GBD estimates'!$K$3:$K$1713=AO$3,'GBD estimates'!$L$3:$L$1713=""Lower respiratory infections"",'GBD estimates'!$N$3:$N$1713=""Under 5"")"),730.3035654)</f>
        <v>730.3035654</v>
      </c>
      <c r="AP140" s="294">
        <f>IFERROR(__xludf.DUMMYFUNCTION("FILTER('GBD estimates'!$R$3:$R$1713,'GBD estimates'!$K$3:$K$1713=AP$3,'GBD estimates'!$L$3:$L$1713=""Lower respiratory infections"",'GBD estimates'!$N$3:$N$1713=""Under 5"")"),3126.259236)</f>
        <v>3126.259236</v>
      </c>
      <c r="AQ140" s="294">
        <f>IFERROR(__xludf.DUMMYFUNCTION("FILTER('GBD estimates'!$R$3:$R$1713,'GBD estimates'!$K$3:$K$1713=AQ$3,'GBD estimates'!$L$3:$L$1713=""Lower respiratory infections"",'GBD estimates'!$N$3:$N$1713=""Under 5"")"),789.6435423)</f>
        <v>789.6435423</v>
      </c>
      <c r="AR140" s="294">
        <f>IFERROR(__xludf.DUMMYFUNCTION("FILTER('GBD estimates'!$R$3:$R$1713,'GBD estimates'!$K$3:$K$1713=AR$3,'GBD estimates'!$L$3:$L$1713=""Lower respiratory infections"",'GBD estimates'!$N$3:$N$1713=""Under 5"")"),5542.047624)</f>
        <v>5542.047624</v>
      </c>
      <c r="AS140" s="294">
        <f>IFERROR(__xludf.DUMMYFUNCTION("FILTER('GBD estimates'!$R$3:$R$1713,'GBD estimates'!$K$3:$K$1713=AS$3,'GBD estimates'!$L$3:$L$1713=""Lower respiratory infections"",'GBD estimates'!$N$3:$N$1713=""Under 5"")"),2310.592523)</f>
        <v>2310.592523</v>
      </c>
      <c r="AT140" s="550"/>
      <c r="AU140" s="562" t="s">
        <v>855</v>
      </c>
      <c r="AV140" s="552"/>
    </row>
    <row r="141">
      <c r="A141" s="540"/>
      <c r="B141" s="206"/>
      <c r="C141" s="206"/>
      <c r="D141" s="206"/>
      <c r="E141" s="553" t="s">
        <v>377</v>
      </c>
      <c r="F141" s="278" t="s">
        <v>111</v>
      </c>
      <c r="G141" s="279" t="s">
        <v>203</v>
      </c>
      <c r="H141" s="581" t="s">
        <v>150</v>
      </c>
      <c r="I141" s="294">
        <f>IFERROR(__xludf.DUMMYFUNCTION("FILTER('GBD estimates'!$R$3:$R$1713,'GBD estimates'!$K$3:$K$1713=I$3,'GBD estimates'!$L$3:$L$1713=""Lower respiratory infections"",'GBD estimates'!$N$3:$N$1713=""Early Neonatal"")"),1061.467461)</f>
        <v>1061.467461</v>
      </c>
      <c r="J141" s="294">
        <f>IFERROR(__xludf.DUMMYFUNCTION("FILTER('GBD estimates'!$R$3:$R$1713,'GBD estimates'!$K$3:$K$1713=J$3,'GBD estimates'!$L$3:$L$1713=""Lower respiratory infections"",'GBD estimates'!$N$3:$N$1713=""Early Neonatal"")"),381.0681328)</f>
        <v>381.0681328</v>
      </c>
      <c r="K141" s="294">
        <f>IFERROR(__xludf.DUMMYFUNCTION("FILTER('GBD estimates'!$R$3:$R$1713,'GBD estimates'!$K$3:$K$1713=K$3,'GBD estimates'!$L$3:$L$1713=""Lower respiratory infections"",'GBD estimates'!$N$3:$N$1713=""Early Neonatal"")"),750.413681)</f>
        <v>750.413681</v>
      </c>
      <c r="L141" s="294">
        <f>IFERROR(__xludf.DUMMYFUNCTION("FILTER('GBD estimates'!$R$3:$R$1713,'GBD estimates'!$K$3:$K$1713=L$3,'GBD estimates'!$L$3:$L$1713=""Lower respiratory infections"",'GBD estimates'!$N$3:$N$1713=""Early Neonatal"")"),981.2133565)</f>
        <v>981.2133565</v>
      </c>
      <c r="M141" s="294">
        <f>IFERROR(__xludf.DUMMYFUNCTION("FILTER('GBD estimates'!$R$3:$R$1713,'GBD estimates'!$K$3:$K$1713=M$3,'GBD estimates'!$L$3:$L$1713=""Lower respiratory infections"",'GBD estimates'!$N$3:$N$1713=""Early Neonatal"")"),2779.112992)</f>
        <v>2779.112992</v>
      </c>
      <c r="N141" s="294">
        <f>IFERROR(__xludf.DUMMYFUNCTION("FILTER('GBD estimates'!$R$3:$R$1713,'GBD estimates'!$K$3:$K$1713=N$3,'GBD estimates'!$L$3:$L$1713=""Lower respiratory infections"",'GBD estimates'!$N$3:$N$1713=""Early Neonatal"")"),1075.561854)</f>
        <v>1075.561854</v>
      </c>
      <c r="O141" s="294">
        <f>IFERROR(__xludf.DUMMYFUNCTION("FILTER('GBD estimates'!$R$3:$R$1713,'GBD estimates'!$K$3:$K$1713=O$3,'GBD estimates'!$L$3:$L$1713=""Lower respiratory infections"",'GBD estimates'!$N$3:$N$1713=""Early Neonatal"")"),697.047277)</f>
        <v>697.047277</v>
      </c>
      <c r="P141" s="294">
        <f>IFERROR(__xludf.DUMMYFUNCTION("FILTER('GBD estimates'!$R$3:$R$1713,'GBD estimates'!$K$3:$K$1713=P$3,'GBD estimates'!$L$3:$L$1713=""Lower respiratory infections"",'GBD estimates'!$N$3:$N$1713=""Early Neonatal"")"),1055.148578)</f>
        <v>1055.148578</v>
      </c>
      <c r="Q141" s="294">
        <f>IFERROR(__xludf.DUMMYFUNCTION("FILTER('GBD estimates'!$R$3:$R$1713,'GBD estimates'!$K$3:$K$1713=Q$3,'GBD estimates'!$L$3:$L$1713=""Lower respiratory infections"",'GBD estimates'!$N$3:$N$1713=""Early Neonatal"")"),335.622534)</f>
        <v>335.622534</v>
      </c>
      <c r="R141" s="294">
        <f>IFERROR(__xludf.DUMMYFUNCTION("FILTER('GBD estimates'!$R$3:$R$1713,'GBD estimates'!$K$3:$K$1713=R$3,'GBD estimates'!$L$3:$L$1713=""Lower respiratory infections"",'GBD estimates'!$N$3:$N$1713=""Early Neonatal"")"),273.658547)</f>
        <v>273.658547</v>
      </c>
      <c r="S141" s="294">
        <f>IFERROR(__xludf.DUMMYFUNCTION("FILTER('GBD estimates'!$R$3:$R$1713,'GBD estimates'!$K$3:$K$1713=S$3,'GBD estimates'!$L$3:$L$1713=""Lower respiratory infections"",'GBD estimates'!$N$3:$N$1713=""Early Neonatal"")"),319.0969645)</f>
        <v>319.0969645</v>
      </c>
      <c r="T141" s="294">
        <f>IFERROR(__xludf.DUMMYFUNCTION("FILTER('GBD estimates'!$R$3:$R$1713,'GBD estimates'!$K$3:$K$1713=T$3,'GBD estimates'!$L$3:$L$1713=""Lower respiratory infections"",'GBD estimates'!$N$3:$N$1713=""Early Neonatal"")"),99.18373242)</f>
        <v>99.18373242</v>
      </c>
      <c r="U141" s="294">
        <f>IFERROR(__xludf.DUMMYFUNCTION("FILTER('GBD estimates'!$R$3:$R$1713,'GBD estimates'!$K$3:$K$1713=U$3,'GBD estimates'!$L$3:$L$1713=""Lower respiratory infections"",'GBD estimates'!$N$3:$N$1713=""Early Neonatal"")"),357.6860169)</f>
        <v>357.6860169</v>
      </c>
      <c r="V141" s="294">
        <f>IFERROR(__xludf.DUMMYFUNCTION("FILTER('GBD estimates'!$R$3:$R$1713,'GBD estimates'!$K$3:$K$1713=V$3,'GBD estimates'!$L$3:$L$1713=""Lower respiratory infections"",'GBD estimates'!$N$3:$N$1713=""Early Neonatal"")"),33.50491455)</f>
        <v>33.50491455</v>
      </c>
      <c r="W141" s="294">
        <f>IFERROR(__xludf.DUMMYFUNCTION("FILTER('GBD estimates'!$R$3:$R$1713,'GBD estimates'!$K$3:$K$1713=W$3,'GBD estimates'!$L$3:$L$1713=""Lower respiratory infections"",'GBD estimates'!$N$3:$N$1713=""Early Neonatal"")"),886.0005902)</f>
        <v>886.0005902</v>
      </c>
      <c r="X141" s="294">
        <f>IFERROR(__xludf.DUMMYFUNCTION("FILTER('GBD estimates'!$R$3:$R$1713,'GBD estimates'!$K$3:$K$1713=X$3,'GBD estimates'!$L$3:$L$1713=""Lower respiratory infections"",'GBD estimates'!$N$3:$N$1713=""Early Neonatal"")"),300.3458283)</f>
        <v>300.3458283</v>
      </c>
      <c r="Y141" s="294">
        <f>IFERROR(__xludf.DUMMYFUNCTION("FILTER('GBD estimates'!$R$3:$R$1713,'GBD estimates'!$K$3:$K$1713=Y$3,'GBD estimates'!$L$3:$L$1713=""Lower respiratory infections"",'GBD estimates'!$N$3:$N$1713=""Early Neonatal"")"),89.35648229)</f>
        <v>89.35648229</v>
      </c>
      <c r="Z141" s="294">
        <f>IFERROR(__xludf.DUMMYFUNCTION("FILTER('GBD estimates'!$R$3:$R$1713,'GBD estimates'!$K$3:$K$1713=Z$3,'GBD estimates'!$L$3:$L$1713=""Lower respiratory infections"",'GBD estimates'!$N$3:$N$1713=""Early Neonatal"")"),272.6754375)</f>
        <v>272.6754375</v>
      </c>
      <c r="AA141" s="294">
        <f>IFERROR(__xludf.DUMMYFUNCTION("FILTER('GBD estimates'!$R$3:$R$1713,'GBD estimates'!$K$3:$K$1713=AA$3,'GBD estimates'!$L$3:$L$1713=""Lower respiratory infections"",'GBD estimates'!$N$3:$N$1713=""Early Neonatal"")"),318.3975475)</f>
        <v>318.3975475</v>
      </c>
      <c r="AB141" s="294">
        <f>IFERROR(__xludf.DUMMYFUNCTION("FILTER('GBD estimates'!$R$3:$R$1713,'GBD estimates'!$K$3:$K$1713=AB$3,'GBD estimates'!$L$3:$L$1713=""Lower respiratory infections"",'GBD estimates'!$N$3:$N$1713=""Early Neonatal"")"),195.6446153)</f>
        <v>195.6446153</v>
      </c>
      <c r="AC141" s="294">
        <f>IFERROR(__xludf.DUMMYFUNCTION("FILTER('GBD estimates'!$R$3:$R$1713,'GBD estimates'!$K$3:$K$1713=AC$3,'GBD estimates'!$L$3:$L$1713=""Lower respiratory infections"",'GBD estimates'!$N$3:$N$1713=""Early Neonatal"")"),113.2588923)</f>
        <v>113.2588923</v>
      </c>
      <c r="AD141" s="294">
        <f>IFERROR(__xludf.DUMMYFUNCTION("FILTER('GBD estimates'!$R$3:$R$1713,'GBD estimates'!$K$3:$K$1713=AD$3,'GBD estimates'!$L$3:$L$1713=""Lower respiratory infections"",'GBD estimates'!$N$3:$N$1713=""Early Neonatal"")"),160.875714)</f>
        <v>160.875714</v>
      </c>
      <c r="AE141" s="294">
        <f>IFERROR(__xludf.DUMMYFUNCTION("FILTER('GBD estimates'!$R$3:$R$1713,'GBD estimates'!$K$3:$K$1713=AE$3,'GBD estimates'!$L$3:$L$1713=""Lower respiratory infections"",'GBD estimates'!$N$3:$N$1713=""Early Neonatal"")"),465.8300061)</f>
        <v>465.8300061</v>
      </c>
      <c r="AF141" s="294">
        <f>IFERROR(__xludf.DUMMYFUNCTION("FILTER('GBD estimates'!$R$3:$R$1713,'GBD estimates'!$K$3:$K$1713=AF$3,'GBD estimates'!$L$3:$L$1713=""Lower respiratory infections"",'GBD estimates'!$N$3:$N$1713=""Early Neonatal"")"),588.8475439)</f>
        <v>588.8475439</v>
      </c>
      <c r="AG141" s="294">
        <f>IFERROR(__xludf.DUMMYFUNCTION("FILTER('GBD estimates'!$R$3:$R$1713,'GBD estimates'!$K$3:$K$1713=AG$3,'GBD estimates'!$L$3:$L$1713=""Lower respiratory infections"",'GBD estimates'!$N$3:$N$1713=""Early Neonatal"")"),162.1212496)</f>
        <v>162.1212496</v>
      </c>
      <c r="AH141" s="294">
        <f>IFERROR(__xludf.DUMMYFUNCTION("FILTER('GBD estimates'!$R$3:$R$1713,'GBD estimates'!$K$3:$K$1713=AH$3,'GBD estimates'!$L$3:$L$1713=""Lower respiratory infections"",'GBD estimates'!$N$3:$N$1713=""Early Neonatal"")"),143.4555733)</f>
        <v>143.4555733</v>
      </c>
      <c r="AI141" s="294">
        <f>IFERROR(__xludf.DUMMYFUNCTION("FILTER('GBD estimates'!$R$3:$R$1713,'GBD estimates'!$K$3:$K$1713=AI$3,'GBD estimates'!$L$3:$L$1713=""Lower respiratory infections"",'GBD estimates'!$N$3:$N$1713=""Early Neonatal"")"),307.9391204)</f>
        <v>307.9391204</v>
      </c>
      <c r="AJ141" s="294">
        <f>IFERROR(__xludf.DUMMYFUNCTION("FILTER('GBD estimates'!$R$3:$R$1713,'GBD estimates'!$K$3:$K$1713=AJ$3,'GBD estimates'!$L$3:$L$1713=""Lower respiratory infections"",'GBD estimates'!$N$3:$N$1713=""Early Neonatal"")"),498.6291859)</f>
        <v>498.6291859</v>
      </c>
      <c r="AK141" s="294">
        <f>IFERROR(__xludf.DUMMYFUNCTION("FILTER('GBD estimates'!$R$3:$R$1713,'GBD estimates'!$K$3:$K$1713=AK$3,'GBD estimates'!$L$3:$L$1713=""Lower respiratory infections"",'GBD estimates'!$N$3:$N$1713=""Early Neonatal"")"),960.6172552)</f>
        <v>960.6172552</v>
      </c>
      <c r="AL141" s="294">
        <f>IFERROR(__xludf.DUMMYFUNCTION("FILTER('GBD estimates'!$R$3:$R$1713,'GBD estimates'!$K$3:$K$1713=AL$3,'GBD estimates'!$L$3:$L$1713=""Lower respiratory infections"",'GBD estimates'!$N$3:$N$1713=""Early Neonatal"")"),703.5287218)</f>
        <v>703.5287218</v>
      </c>
      <c r="AM141" s="294">
        <f>IFERROR(__xludf.DUMMYFUNCTION("FILTER('GBD estimates'!$R$3:$R$1713,'GBD estimates'!$K$3:$K$1713=AM$3,'GBD estimates'!$L$3:$L$1713=""Lower respiratory infections"",'GBD estimates'!$N$3:$N$1713=""Early Neonatal"")"),215.1188228)</f>
        <v>215.1188228</v>
      </c>
      <c r="AN141" s="294">
        <f>IFERROR(__xludf.DUMMYFUNCTION("FILTER('GBD estimates'!$R$3:$R$1713,'GBD estimates'!$K$3:$K$1713=AN$3,'GBD estimates'!$L$3:$L$1713=""Lower respiratory infections"",'GBD estimates'!$N$3:$N$1713=""Early Neonatal"")"),185.6929629)</f>
        <v>185.6929629</v>
      </c>
      <c r="AO141" s="294">
        <f>IFERROR(__xludf.DUMMYFUNCTION("FILTER('GBD estimates'!$R$3:$R$1713,'GBD estimates'!$K$3:$K$1713=AO$3,'GBD estimates'!$L$3:$L$1713=""Lower respiratory infections"",'GBD estimates'!$N$3:$N$1713=""Early Neonatal"")"),254.4659791)</f>
        <v>254.4659791</v>
      </c>
      <c r="AP141" s="294">
        <f>IFERROR(__xludf.DUMMYFUNCTION("FILTER('GBD estimates'!$R$3:$R$1713,'GBD estimates'!$K$3:$K$1713=AP$3,'GBD estimates'!$L$3:$L$1713=""Lower respiratory infections"",'GBD estimates'!$N$3:$N$1713=""Early Neonatal"")"),803.0921082)</f>
        <v>803.0921082</v>
      </c>
      <c r="AQ141" s="294">
        <f>IFERROR(__xludf.DUMMYFUNCTION("FILTER('GBD estimates'!$R$3:$R$1713,'GBD estimates'!$K$3:$K$1713=AQ$3,'GBD estimates'!$L$3:$L$1713=""Lower respiratory infections"",'GBD estimates'!$N$3:$N$1713=""Early Neonatal"")"),215.7573264)</f>
        <v>215.7573264</v>
      </c>
      <c r="AR141" s="294">
        <f>IFERROR(__xludf.DUMMYFUNCTION("FILTER('GBD estimates'!$R$3:$R$1713,'GBD estimates'!$K$3:$K$1713=AR$3,'GBD estimates'!$L$3:$L$1713=""Lower respiratory infections"",'GBD estimates'!$N$3:$N$1713=""Early Neonatal"")"),833.7026331)</f>
        <v>833.7026331</v>
      </c>
      <c r="AS141" s="294">
        <f>IFERROR(__xludf.DUMMYFUNCTION("FILTER('GBD estimates'!$R$3:$R$1713,'GBD estimates'!$K$3:$K$1713=AS$3,'GBD estimates'!$L$3:$L$1713=""Lower respiratory infections"",'GBD estimates'!$N$3:$N$1713=""Early Neonatal"")"),517.0937589)</f>
        <v>517.0937589</v>
      </c>
      <c r="AT141" s="555"/>
      <c r="AU141" s="566" t="s">
        <v>855</v>
      </c>
      <c r="AV141" s="557"/>
    </row>
    <row r="142">
      <c r="A142" s="540"/>
      <c r="B142" s="206"/>
      <c r="C142" s="206"/>
      <c r="D142" s="206"/>
      <c r="E142" s="553" t="s">
        <v>381</v>
      </c>
      <c r="F142" s="278" t="s">
        <v>111</v>
      </c>
      <c r="G142" s="279" t="s">
        <v>203</v>
      </c>
      <c r="H142" s="581" t="s">
        <v>150</v>
      </c>
      <c r="I142" s="294">
        <f>IFERROR(__xludf.DUMMYFUNCTION("FILTER('GBD estimates'!$R$3:$R$1713,'GBD estimates'!$K$3:$K$1713=I$3,'GBD estimates'!$L$3:$L$1713=""Lower respiratory infections"",'GBD estimates'!$N$3:$N$1713=""Late Neonatal"")"),404.6041757)</f>
        <v>404.6041757</v>
      </c>
      <c r="J142" s="294">
        <f>IFERROR(__xludf.DUMMYFUNCTION("FILTER('GBD estimates'!$R$3:$R$1713,'GBD estimates'!$K$3:$K$1713=J$3,'GBD estimates'!$L$3:$L$1713=""Lower respiratory infections"",'GBD estimates'!$N$3:$N$1713=""Late Neonatal"")"),172.4965171)</f>
        <v>172.4965171</v>
      </c>
      <c r="K142" s="294">
        <f>IFERROR(__xludf.DUMMYFUNCTION("FILTER('GBD estimates'!$R$3:$R$1713,'GBD estimates'!$K$3:$K$1713=K$3,'GBD estimates'!$L$3:$L$1713=""Lower respiratory infections"",'GBD estimates'!$N$3:$N$1713=""Late Neonatal"")"),322.7686116)</f>
        <v>322.7686116</v>
      </c>
      <c r="L142" s="294">
        <f>IFERROR(__xludf.DUMMYFUNCTION("FILTER('GBD estimates'!$R$3:$R$1713,'GBD estimates'!$K$3:$K$1713=L$3,'GBD estimates'!$L$3:$L$1713=""Lower respiratory infections"",'GBD estimates'!$N$3:$N$1713=""Late Neonatal"")"),560.4574101)</f>
        <v>560.4574101</v>
      </c>
      <c r="M142" s="294">
        <f>IFERROR(__xludf.DUMMYFUNCTION("FILTER('GBD estimates'!$R$3:$R$1713,'GBD estimates'!$K$3:$K$1713=M$3,'GBD estimates'!$L$3:$L$1713=""Lower respiratory infections"",'GBD estimates'!$N$3:$N$1713=""Late Neonatal"")"),1432.33014)</f>
        <v>1432.33014</v>
      </c>
      <c r="N142" s="294">
        <f>IFERROR(__xludf.DUMMYFUNCTION("FILTER('GBD estimates'!$R$3:$R$1713,'GBD estimates'!$K$3:$K$1713=N$3,'GBD estimates'!$L$3:$L$1713=""Lower respiratory infections"",'GBD estimates'!$N$3:$N$1713=""Late Neonatal"")"),842.4771043)</f>
        <v>842.4771043</v>
      </c>
      <c r="O142" s="294">
        <f>IFERROR(__xludf.DUMMYFUNCTION("FILTER('GBD estimates'!$R$3:$R$1713,'GBD estimates'!$K$3:$K$1713=O$3,'GBD estimates'!$L$3:$L$1713=""Lower respiratory infections"",'GBD estimates'!$N$3:$N$1713=""Late Neonatal"")"),317.3714496)</f>
        <v>317.3714496</v>
      </c>
      <c r="P142" s="294">
        <f>IFERROR(__xludf.DUMMYFUNCTION("FILTER('GBD estimates'!$R$3:$R$1713,'GBD estimates'!$K$3:$K$1713=P$3,'GBD estimates'!$L$3:$L$1713=""Lower respiratory infections"",'GBD estimates'!$N$3:$N$1713=""Late Neonatal"")"),756.141429)</f>
        <v>756.141429</v>
      </c>
      <c r="Q142" s="294">
        <f>IFERROR(__xludf.DUMMYFUNCTION("FILTER('GBD estimates'!$R$3:$R$1713,'GBD estimates'!$K$3:$K$1713=Q$3,'GBD estimates'!$L$3:$L$1713=""Lower respiratory infections"",'GBD estimates'!$N$3:$N$1713=""Late Neonatal"")"),290.4911702)</f>
        <v>290.4911702</v>
      </c>
      <c r="R142" s="294">
        <f>IFERROR(__xludf.DUMMYFUNCTION("FILTER('GBD estimates'!$R$3:$R$1713,'GBD estimates'!$K$3:$K$1713=R$3,'GBD estimates'!$L$3:$L$1713=""Lower respiratory infections"",'GBD estimates'!$N$3:$N$1713=""Late Neonatal"")"),95.28330604)</f>
        <v>95.28330604</v>
      </c>
      <c r="S142" s="294">
        <f>IFERROR(__xludf.DUMMYFUNCTION("FILTER('GBD estimates'!$R$3:$R$1713,'GBD estimates'!$K$3:$K$1713=S$3,'GBD estimates'!$L$3:$L$1713=""Lower respiratory infections"",'GBD estimates'!$N$3:$N$1713=""Late Neonatal"")"),157.2835257)</f>
        <v>157.2835257</v>
      </c>
      <c r="T142" s="294">
        <f>IFERROR(__xludf.DUMMYFUNCTION("FILTER('GBD estimates'!$R$3:$R$1713,'GBD estimates'!$K$3:$K$1713=T$3,'GBD estimates'!$L$3:$L$1713=""Lower respiratory infections"",'GBD estimates'!$N$3:$N$1713=""Late Neonatal"")"),45.35458905)</f>
        <v>45.35458905</v>
      </c>
      <c r="U142" s="294">
        <f>IFERROR(__xludf.DUMMYFUNCTION("FILTER('GBD estimates'!$R$3:$R$1713,'GBD estimates'!$K$3:$K$1713=U$3,'GBD estimates'!$L$3:$L$1713=""Lower respiratory infections"",'GBD estimates'!$N$3:$N$1713=""Late Neonatal"")"),150.8925561)</f>
        <v>150.8925561</v>
      </c>
      <c r="V142" s="294">
        <f>IFERROR(__xludf.DUMMYFUNCTION("FILTER('GBD estimates'!$R$3:$R$1713,'GBD estimates'!$K$3:$K$1713=V$3,'GBD estimates'!$L$3:$L$1713=""Lower respiratory infections"",'GBD estimates'!$N$3:$N$1713=""Late Neonatal"")"),14.62465335)</f>
        <v>14.62465335</v>
      </c>
      <c r="W142" s="294">
        <f>IFERROR(__xludf.DUMMYFUNCTION("FILTER('GBD estimates'!$R$3:$R$1713,'GBD estimates'!$K$3:$K$1713=W$3,'GBD estimates'!$L$3:$L$1713=""Lower respiratory infections"",'GBD estimates'!$N$3:$N$1713=""Late Neonatal"")"),380.1906619)</f>
        <v>380.1906619</v>
      </c>
      <c r="X142" s="294">
        <f>IFERROR(__xludf.DUMMYFUNCTION("FILTER('GBD estimates'!$R$3:$R$1713,'GBD estimates'!$K$3:$K$1713=X$3,'GBD estimates'!$L$3:$L$1713=""Lower respiratory infections"",'GBD estimates'!$N$3:$N$1713=""Late Neonatal"")"),147.7294825)</f>
        <v>147.7294825</v>
      </c>
      <c r="Y142" s="294">
        <f>IFERROR(__xludf.DUMMYFUNCTION("FILTER('GBD estimates'!$R$3:$R$1713,'GBD estimates'!$K$3:$K$1713=Y$3,'GBD estimates'!$L$3:$L$1713=""Lower respiratory infections"",'GBD estimates'!$N$3:$N$1713=""Late Neonatal"")"),42.64310619)</f>
        <v>42.64310619</v>
      </c>
      <c r="Z142" s="294">
        <f>IFERROR(__xludf.DUMMYFUNCTION("FILTER('GBD estimates'!$R$3:$R$1713,'GBD estimates'!$K$3:$K$1713=Z$3,'GBD estimates'!$L$3:$L$1713=""Lower respiratory infections"",'GBD estimates'!$N$3:$N$1713=""Late Neonatal"")"),144.0685462)</f>
        <v>144.0685462</v>
      </c>
      <c r="AA142" s="294">
        <f>IFERROR(__xludf.DUMMYFUNCTION("FILTER('GBD estimates'!$R$3:$R$1713,'GBD estimates'!$K$3:$K$1713=AA$3,'GBD estimates'!$L$3:$L$1713=""Lower respiratory infections"",'GBD estimates'!$N$3:$N$1713=""Late Neonatal"")"),132.6954545)</f>
        <v>132.6954545</v>
      </c>
      <c r="AB142" s="294">
        <f>IFERROR(__xludf.DUMMYFUNCTION("FILTER('GBD estimates'!$R$3:$R$1713,'GBD estimates'!$K$3:$K$1713=AB$3,'GBD estimates'!$L$3:$L$1713=""Lower respiratory infections"",'GBD estimates'!$N$3:$N$1713=""Late Neonatal"")"),90.30950381)</f>
        <v>90.30950381</v>
      </c>
      <c r="AC142" s="294">
        <f>IFERROR(__xludf.DUMMYFUNCTION("FILTER('GBD estimates'!$R$3:$R$1713,'GBD estimates'!$K$3:$K$1713=AC$3,'GBD estimates'!$L$3:$L$1713=""Lower respiratory infections"",'GBD estimates'!$N$3:$N$1713=""Late Neonatal"")"),36.88682191)</f>
        <v>36.88682191</v>
      </c>
      <c r="AD142" s="294">
        <f>IFERROR(__xludf.DUMMYFUNCTION("FILTER('GBD estimates'!$R$3:$R$1713,'GBD estimates'!$K$3:$K$1713=AD$3,'GBD estimates'!$L$3:$L$1713=""Lower respiratory infections"",'GBD estimates'!$N$3:$N$1713=""Late Neonatal"")"),110.7200888)</f>
        <v>110.7200888</v>
      </c>
      <c r="AE142" s="294">
        <f>IFERROR(__xludf.DUMMYFUNCTION("FILTER('GBD estimates'!$R$3:$R$1713,'GBD estimates'!$K$3:$K$1713=AE$3,'GBD estimates'!$L$3:$L$1713=""Lower respiratory infections"",'GBD estimates'!$N$3:$N$1713=""Late Neonatal"")"),160.3809941)</f>
        <v>160.3809941</v>
      </c>
      <c r="AF142" s="294">
        <f>IFERROR(__xludf.DUMMYFUNCTION("FILTER('GBD estimates'!$R$3:$R$1713,'GBD estimates'!$K$3:$K$1713=AF$3,'GBD estimates'!$L$3:$L$1713=""Lower respiratory infections"",'GBD estimates'!$N$3:$N$1713=""Late Neonatal"")"),133.3791064)</f>
        <v>133.3791064</v>
      </c>
      <c r="AG142" s="294">
        <f>IFERROR(__xludf.DUMMYFUNCTION("FILTER('GBD estimates'!$R$3:$R$1713,'GBD estimates'!$K$3:$K$1713=AG$3,'GBD estimates'!$L$3:$L$1713=""Lower respiratory infections"",'GBD estimates'!$N$3:$N$1713=""Late Neonatal"")"),67.57942849)</f>
        <v>67.57942849</v>
      </c>
      <c r="AH142" s="294">
        <f>IFERROR(__xludf.DUMMYFUNCTION("FILTER('GBD estimates'!$R$3:$R$1713,'GBD estimates'!$K$3:$K$1713=AH$3,'GBD estimates'!$L$3:$L$1713=""Lower respiratory infections"",'GBD estimates'!$N$3:$N$1713=""Late Neonatal"")"),85.92015055)</f>
        <v>85.92015055</v>
      </c>
      <c r="AI142" s="294">
        <f>IFERROR(__xludf.DUMMYFUNCTION("FILTER('GBD estimates'!$R$3:$R$1713,'GBD estimates'!$K$3:$K$1713=AI$3,'GBD estimates'!$L$3:$L$1713=""Lower respiratory infections"",'GBD estimates'!$N$3:$N$1713=""Late Neonatal"")"),119.6056327)</f>
        <v>119.6056327</v>
      </c>
      <c r="AJ142" s="294">
        <f>IFERROR(__xludf.DUMMYFUNCTION("FILTER('GBD estimates'!$R$3:$R$1713,'GBD estimates'!$K$3:$K$1713=AJ$3,'GBD estimates'!$L$3:$L$1713=""Lower respiratory infections"",'GBD estimates'!$N$3:$N$1713=""Late Neonatal"")"),245.6423763)</f>
        <v>245.6423763</v>
      </c>
      <c r="AK142" s="294">
        <f>IFERROR(__xludf.DUMMYFUNCTION("FILTER('GBD estimates'!$R$3:$R$1713,'GBD estimates'!$K$3:$K$1713=AK$3,'GBD estimates'!$L$3:$L$1713=""Lower respiratory infections"",'GBD estimates'!$N$3:$N$1713=""Late Neonatal"")"),692.8217128)</f>
        <v>692.8217128</v>
      </c>
      <c r="AL142" s="294">
        <f>IFERROR(__xludf.DUMMYFUNCTION("FILTER('GBD estimates'!$R$3:$R$1713,'GBD estimates'!$K$3:$K$1713=AL$3,'GBD estimates'!$L$3:$L$1713=""Lower respiratory infections"",'GBD estimates'!$N$3:$N$1713=""Late Neonatal"")"),453.9959429)</f>
        <v>453.9959429</v>
      </c>
      <c r="AM142" s="294">
        <f>IFERROR(__xludf.DUMMYFUNCTION("FILTER('GBD estimates'!$R$3:$R$1713,'GBD estimates'!$K$3:$K$1713=AM$3,'GBD estimates'!$L$3:$L$1713=""Lower respiratory infections"",'GBD estimates'!$N$3:$N$1713=""Late Neonatal"")"),84.24543346)</f>
        <v>84.24543346</v>
      </c>
      <c r="AN142" s="294">
        <f>IFERROR(__xludf.DUMMYFUNCTION("FILTER('GBD estimates'!$R$3:$R$1713,'GBD estimates'!$K$3:$K$1713=AN$3,'GBD estimates'!$L$3:$L$1713=""Lower respiratory infections"",'GBD estimates'!$N$3:$N$1713=""Late Neonatal"")"),98.76779349)</f>
        <v>98.76779349</v>
      </c>
      <c r="AO142" s="294">
        <f>IFERROR(__xludf.DUMMYFUNCTION("FILTER('GBD estimates'!$R$3:$R$1713,'GBD estimates'!$K$3:$K$1713=AO$3,'GBD estimates'!$L$3:$L$1713=""Lower respiratory infections"",'GBD estimates'!$N$3:$N$1713=""Late Neonatal"")"),35.58003873)</f>
        <v>35.58003873</v>
      </c>
      <c r="AP142" s="294">
        <f>IFERROR(__xludf.DUMMYFUNCTION("FILTER('GBD estimates'!$R$3:$R$1713,'GBD estimates'!$K$3:$K$1713=AP$3,'GBD estimates'!$L$3:$L$1713=""Lower respiratory infections"",'GBD estimates'!$N$3:$N$1713=""Late Neonatal"")"),449.0839803)</f>
        <v>449.0839803</v>
      </c>
      <c r="AQ142" s="294">
        <f>IFERROR(__xludf.DUMMYFUNCTION("FILTER('GBD estimates'!$R$3:$R$1713,'GBD estimates'!$K$3:$K$1713=AQ$3,'GBD estimates'!$L$3:$L$1713=""Lower respiratory infections"",'GBD estimates'!$N$3:$N$1713=""Late Neonatal"")"),77.82999324)</f>
        <v>77.82999324</v>
      </c>
      <c r="AR142" s="294">
        <f>IFERROR(__xludf.DUMMYFUNCTION("FILTER('GBD estimates'!$R$3:$R$1713,'GBD estimates'!$K$3:$K$1713=AR$3,'GBD estimates'!$L$3:$L$1713=""Lower respiratory infections"",'GBD estimates'!$N$3:$N$1713=""Late Neonatal"")"),372.0457279)</f>
        <v>372.0457279</v>
      </c>
      <c r="AS142" s="294">
        <f>IFERROR(__xludf.DUMMYFUNCTION("FILTER('GBD estimates'!$R$3:$R$1713,'GBD estimates'!$K$3:$K$1713=AS$3,'GBD estimates'!$L$3:$L$1713=""Lower respiratory infections"",'GBD estimates'!$N$3:$N$1713=""Late Neonatal"")"),188.4149133)</f>
        <v>188.4149133</v>
      </c>
      <c r="AT142" s="555"/>
      <c r="AU142" s="566" t="s">
        <v>855</v>
      </c>
      <c r="AV142" s="557"/>
    </row>
    <row r="143">
      <c r="A143" s="540"/>
      <c r="B143" s="206"/>
      <c r="C143" s="206"/>
      <c r="D143" s="206"/>
      <c r="E143" s="553" t="s">
        <v>388</v>
      </c>
      <c r="F143" s="278" t="s">
        <v>122</v>
      </c>
      <c r="G143" s="279" t="s">
        <v>203</v>
      </c>
      <c r="H143" s="554">
        <v>0.1</v>
      </c>
      <c r="I143" s="299" t="s">
        <v>150</v>
      </c>
      <c r="J143" s="299" t="s">
        <v>150</v>
      </c>
      <c r="K143" s="299" t="s">
        <v>150</v>
      </c>
      <c r="L143" s="299" t="s">
        <v>150</v>
      </c>
      <c r="M143" s="299" t="s">
        <v>150</v>
      </c>
      <c r="N143" s="299" t="s">
        <v>150</v>
      </c>
      <c r="O143" s="299" t="s">
        <v>150</v>
      </c>
      <c r="P143" s="299" t="s">
        <v>150</v>
      </c>
      <c r="Q143" s="299" t="s">
        <v>150</v>
      </c>
      <c r="R143" s="299" t="s">
        <v>150</v>
      </c>
      <c r="S143" s="299" t="s">
        <v>150</v>
      </c>
      <c r="T143" s="299" t="s">
        <v>150</v>
      </c>
      <c r="U143" s="299" t="s">
        <v>150</v>
      </c>
      <c r="V143" s="299" t="s">
        <v>150</v>
      </c>
      <c r="W143" s="299" t="s">
        <v>150</v>
      </c>
      <c r="X143" s="299" t="s">
        <v>150</v>
      </c>
      <c r="Y143" s="299" t="s">
        <v>150</v>
      </c>
      <c r="Z143" s="299" t="s">
        <v>150</v>
      </c>
      <c r="AA143" s="299" t="s">
        <v>150</v>
      </c>
      <c r="AB143" s="299" t="s">
        <v>150</v>
      </c>
      <c r="AC143" s="299" t="s">
        <v>150</v>
      </c>
      <c r="AD143" s="299" t="s">
        <v>150</v>
      </c>
      <c r="AE143" s="299" t="s">
        <v>150</v>
      </c>
      <c r="AF143" s="299" t="s">
        <v>150</v>
      </c>
      <c r="AG143" s="299" t="s">
        <v>150</v>
      </c>
      <c r="AH143" s="299" t="s">
        <v>150</v>
      </c>
      <c r="AI143" s="299" t="s">
        <v>150</v>
      </c>
      <c r="AJ143" s="299" t="s">
        <v>150</v>
      </c>
      <c r="AK143" s="299" t="s">
        <v>150</v>
      </c>
      <c r="AL143" s="299" t="s">
        <v>150</v>
      </c>
      <c r="AM143" s="299" t="s">
        <v>150</v>
      </c>
      <c r="AN143" s="299" t="s">
        <v>150</v>
      </c>
      <c r="AO143" s="299" t="s">
        <v>150</v>
      </c>
      <c r="AP143" s="299" t="s">
        <v>150</v>
      </c>
      <c r="AQ143" s="299" t="s">
        <v>150</v>
      </c>
      <c r="AR143" s="299" t="s">
        <v>150</v>
      </c>
      <c r="AS143" s="299" t="s">
        <v>150</v>
      </c>
      <c r="AT143" s="555"/>
      <c r="AU143" s="566" t="s">
        <v>809</v>
      </c>
      <c r="AV143" s="557"/>
    </row>
    <row r="144">
      <c r="A144" s="540"/>
      <c r="B144" s="206"/>
      <c r="C144" s="206"/>
      <c r="D144" s="206"/>
      <c r="E144" s="553" t="s">
        <v>983</v>
      </c>
      <c r="F144" s="278" t="s">
        <v>122</v>
      </c>
      <c r="G144" s="279" t="s">
        <v>203</v>
      </c>
      <c r="H144" s="554">
        <v>0.0281715</v>
      </c>
      <c r="I144" s="299" t="s">
        <v>150</v>
      </c>
      <c r="J144" s="299" t="s">
        <v>150</v>
      </c>
      <c r="K144" s="299" t="s">
        <v>150</v>
      </c>
      <c r="L144" s="299" t="s">
        <v>150</v>
      </c>
      <c r="M144" s="299" t="s">
        <v>150</v>
      </c>
      <c r="N144" s="299" t="s">
        <v>150</v>
      </c>
      <c r="O144" s="299" t="s">
        <v>150</v>
      </c>
      <c r="P144" s="299" t="s">
        <v>150</v>
      </c>
      <c r="Q144" s="299" t="s">
        <v>150</v>
      </c>
      <c r="R144" s="299" t="s">
        <v>150</v>
      </c>
      <c r="S144" s="299" t="s">
        <v>150</v>
      </c>
      <c r="T144" s="299" t="s">
        <v>150</v>
      </c>
      <c r="U144" s="299" t="s">
        <v>150</v>
      </c>
      <c r="V144" s="299" t="s">
        <v>150</v>
      </c>
      <c r="W144" s="299" t="s">
        <v>150</v>
      </c>
      <c r="X144" s="299" t="s">
        <v>150</v>
      </c>
      <c r="Y144" s="299" t="s">
        <v>150</v>
      </c>
      <c r="Z144" s="299" t="s">
        <v>150</v>
      </c>
      <c r="AA144" s="299" t="s">
        <v>150</v>
      </c>
      <c r="AB144" s="299" t="s">
        <v>150</v>
      </c>
      <c r="AC144" s="299" t="s">
        <v>150</v>
      </c>
      <c r="AD144" s="299" t="s">
        <v>150</v>
      </c>
      <c r="AE144" s="299" t="s">
        <v>150</v>
      </c>
      <c r="AF144" s="299" t="s">
        <v>150</v>
      </c>
      <c r="AG144" s="299" t="s">
        <v>150</v>
      </c>
      <c r="AH144" s="299" t="s">
        <v>150</v>
      </c>
      <c r="AI144" s="299" t="s">
        <v>150</v>
      </c>
      <c r="AJ144" s="299" t="s">
        <v>150</v>
      </c>
      <c r="AK144" s="299" t="s">
        <v>150</v>
      </c>
      <c r="AL144" s="299" t="s">
        <v>150</v>
      </c>
      <c r="AM144" s="299" t="s">
        <v>150</v>
      </c>
      <c r="AN144" s="299" t="s">
        <v>150</v>
      </c>
      <c r="AO144" s="299" t="s">
        <v>150</v>
      </c>
      <c r="AP144" s="299" t="s">
        <v>150</v>
      </c>
      <c r="AQ144" s="299" t="s">
        <v>150</v>
      </c>
      <c r="AR144" s="299" t="s">
        <v>150</v>
      </c>
      <c r="AS144" s="299" t="s">
        <v>150</v>
      </c>
      <c r="AT144" s="555"/>
      <c r="AU144" s="590" t="s">
        <v>795</v>
      </c>
      <c r="AV144" s="582" t="s">
        <v>153</v>
      </c>
    </row>
    <row r="145">
      <c r="A145" s="540"/>
      <c r="B145" s="206"/>
      <c r="C145" s="206"/>
      <c r="D145" s="206"/>
      <c r="E145" s="530" t="s">
        <v>985</v>
      </c>
      <c r="F145" s="225" t="s">
        <v>122</v>
      </c>
      <c r="G145" s="226" t="s">
        <v>203</v>
      </c>
      <c r="H145" s="570">
        <v>0.5041559</v>
      </c>
      <c r="I145" s="734" t="s">
        <v>150</v>
      </c>
      <c r="J145" s="734" t="s">
        <v>150</v>
      </c>
      <c r="K145" s="734" t="s">
        <v>150</v>
      </c>
      <c r="L145" s="734" t="s">
        <v>150</v>
      </c>
      <c r="M145" s="734" t="s">
        <v>150</v>
      </c>
      <c r="N145" s="734" t="s">
        <v>150</v>
      </c>
      <c r="O145" s="734" t="s">
        <v>150</v>
      </c>
      <c r="P145" s="734" t="s">
        <v>150</v>
      </c>
      <c r="Q145" s="734" t="s">
        <v>150</v>
      </c>
      <c r="R145" s="734" t="s">
        <v>150</v>
      </c>
      <c r="S145" s="734" t="s">
        <v>150</v>
      </c>
      <c r="T145" s="734" t="s">
        <v>150</v>
      </c>
      <c r="U145" s="734" t="s">
        <v>150</v>
      </c>
      <c r="V145" s="734" t="s">
        <v>150</v>
      </c>
      <c r="W145" s="734" t="s">
        <v>150</v>
      </c>
      <c r="X145" s="734" t="s">
        <v>150</v>
      </c>
      <c r="Y145" s="734" t="s">
        <v>150</v>
      </c>
      <c r="Z145" s="734" t="s">
        <v>150</v>
      </c>
      <c r="AA145" s="734" t="s">
        <v>150</v>
      </c>
      <c r="AB145" s="734" t="s">
        <v>150</v>
      </c>
      <c r="AC145" s="734" t="s">
        <v>150</v>
      </c>
      <c r="AD145" s="734" t="s">
        <v>150</v>
      </c>
      <c r="AE145" s="734" t="s">
        <v>150</v>
      </c>
      <c r="AF145" s="734" t="s">
        <v>150</v>
      </c>
      <c r="AG145" s="734" t="s">
        <v>150</v>
      </c>
      <c r="AH145" s="734" t="s">
        <v>150</v>
      </c>
      <c r="AI145" s="734" t="s">
        <v>150</v>
      </c>
      <c r="AJ145" s="734" t="s">
        <v>150</v>
      </c>
      <c r="AK145" s="734" t="s">
        <v>150</v>
      </c>
      <c r="AL145" s="734" t="s">
        <v>150</v>
      </c>
      <c r="AM145" s="734" t="s">
        <v>150</v>
      </c>
      <c r="AN145" s="734" t="s">
        <v>150</v>
      </c>
      <c r="AO145" s="734" t="s">
        <v>150</v>
      </c>
      <c r="AP145" s="734" t="s">
        <v>150</v>
      </c>
      <c r="AQ145" s="734" t="s">
        <v>150</v>
      </c>
      <c r="AR145" s="734" t="s">
        <v>150</v>
      </c>
      <c r="AS145" s="734" t="s">
        <v>150</v>
      </c>
      <c r="AT145" s="571"/>
      <c r="AU145" s="735" t="s">
        <v>795</v>
      </c>
      <c r="AV145" s="534" t="s">
        <v>153</v>
      </c>
    </row>
    <row r="146">
      <c r="A146" s="540"/>
      <c r="B146" s="206"/>
      <c r="C146" s="206"/>
      <c r="D146" s="206"/>
      <c r="E146" s="541"/>
      <c r="F146" s="201"/>
      <c r="G146" s="202"/>
      <c r="H146" s="736"/>
      <c r="I146" s="266"/>
      <c r="J146" s="266"/>
      <c r="K146" s="266"/>
      <c r="L146" s="266"/>
      <c r="M146" s="266"/>
      <c r="N146" s="266"/>
      <c r="O146" s="266"/>
      <c r="P146" s="266"/>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543"/>
      <c r="AU146" s="544"/>
      <c r="AV146" s="545"/>
    </row>
    <row r="147">
      <c r="A147" s="206"/>
      <c r="B147" s="206"/>
      <c r="C147" s="126" t="s">
        <v>449</v>
      </c>
      <c r="F147" s="201"/>
      <c r="G147" s="201"/>
      <c r="H147" s="542"/>
      <c r="I147" s="266"/>
      <c r="J147" s="266"/>
      <c r="K147" s="266"/>
      <c r="L147" s="266"/>
      <c r="M147" s="266"/>
      <c r="N147" s="266"/>
      <c r="O147" s="266"/>
      <c r="P147" s="266"/>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543"/>
      <c r="AU147" s="544"/>
      <c r="AV147" s="545"/>
    </row>
    <row r="148">
      <c r="A148" s="540"/>
      <c r="B148" s="206"/>
      <c r="C148" s="206"/>
      <c r="D148" s="206"/>
      <c r="E148" s="548" t="s">
        <v>451</v>
      </c>
      <c r="F148" s="207" t="s">
        <v>122</v>
      </c>
      <c r="G148" s="208" t="s">
        <v>203</v>
      </c>
      <c r="H148" s="578" t="s">
        <v>150</v>
      </c>
      <c r="I148" s="210">
        <f>IFERROR(__xludf.DUMMYFUNCTION("FILTER('GBD estimates'!$G$3:$G$1371,'GBD estimates'!$B$3:$B$1371=I$3,'GBD estimates'!$E$3:$E$1371=""Meningitis"",'GBD estimates'!$D$3:$D$1371=""Under 5"")"),0.006177361)</f>
        <v>0.006177361</v>
      </c>
      <c r="J148" s="210">
        <f>IFERROR(__xludf.DUMMYFUNCTION("FILTER('GBD estimates'!$G$3:$G$1371,'GBD estimates'!$B$3:$B$1371=J$3,'GBD estimates'!$E$3:$E$1371=""Meningitis"",'GBD estimates'!$D$3:$D$1371=""Under 5"")"),0.005211418)</f>
        <v>0.005211418</v>
      </c>
      <c r="K148" s="210">
        <f>IFERROR(__xludf.DUMMYFUNCTION("FILTER('GBD estimates'!$G$3:$G$1371,'GBD estimates'!$B$3:$B$1371=K$3,'GBD estimates'!$E$3:$E$1371=""Meningitis"",'GBD estimates'!$D$3:$D$1371=""Under 5"")"),0.006472392)</f>
        <v>0.006472392</v>
      </c>
      <c r="L148" s="210">
        <f>IFERROR(__xludf.DUMMYFUNCTION("FILTER('GBD estimates'!$G$3:$G$1371,'GBD estimates'!$B$3:$B$1371=L$3,'GBD estimates'!$E$3:$E$1371=""Meningitis"",'GBD estimates'!$D$3:$D$1371=""Under 5"")"),0.003542222)</f>
        <v>0.003542222</v>
      </c>
      <c r="M148" s="210">
        <f>IFERROR(__xludf.DUMMYFUNCTION("FILTER('GBD estimates'!$G$3:$G$1371,'GBD estimates'!$B$3:$B$1371=M$3,'GBD estimates'!$E$3:$E$1371=""Meningitis"",'GBD estimates'!$D$3:$D$1371=""Under 5"")"),0.005411087)</f>
        <v>0.005411087</v>
      </c>
      <c r="N148" s="210">
        <f>IFERROR(__xludf.DUMMYFUNCTION("FILTER('GBD estimates'!$G$3:$G$1371,'GBD estimates'!$B$3:$B$1371=N$3,'GBD estimates'!$E$3:$E$1371=""Meningitis"",'GBD estimates'!$D$3:$D$1371=""Under 5"")"),0.004841311)</f>
        <v>0.004841311</v>
      </c>
      <c r="O148" s="210">
        <f>IFERROR(__xludf.DUMMYFUNCTION("FILTER('GBD estimates'!$G$3:$G$1371,'GBD estimates'!$B$3:$B$1371=O$3,'GBD estimates'!$E$3:$E$1371=""Meningitis"",'GBD estimates'!$D$3:$D$1371=""Under 5"")"),0.005304934)</f>
        <v>0.005304934</v>
      </c>
      <c r="P148" s="210">
        <f>IFERROR(__xludf.DUMMYFUNCTION("FILTER('GBD estimates'!$G$3:$G$1371,'GBD estimates'!$B$3:$B$1371=P$3,'GBD estimates'!$E$3:$E$1371=""Meningitis"",'GBD estimates'!$D$3:$D$1371=""Under 5"")"),0.008024852)</f>
        <v>0.008024852</v>
      </c>
      <c r="Q148" s="210">
        <f>IFERROR(__xludf.DUMMYFUNCTION("FILTER('GBD estimates'!$G$3:$G$1371,'GBD estimates'!$B$3:$B$1371=Q$3,'GBD estimates'!$E$3:$E$1371=""Meningitis"",'GBD estimates'!$D$3:$D$1371=""Under 5"")"),0.009255404)</f>
        <v>0.009255404</v>
      </c>
      <c r="R148" s="210">
        <f>IFERROR(__xludf.DUMMYFUNCTION("FILTER('GBD estimates'!$G$3:$G$1371,'GBD estimates'!$B$3:$B$1371=R$3,'GBD estimates'!$E$3:$E$1371=""Meningitis"",'GBD estimates'!$D$3:$D$1371=""Under 5"")"),0.001617762)</f>
        <v>0.001617762</v>
      </c>
      <c r="S148" s="210">
        <f>IFERROR(__xludf.DUMMYFUNCTION("FILTER('GBD estimates'!$G$3:$G$1371,'GBD estimates'!$B$3:$B$1371=S$3,'GBD estimates'!$E$3:$E$1371=""Meningitis"",'GBD estimates'!$D$3:$D$1371=""Under 5"")"),0.004193349)</f>
        <v>0.004193349</v>
      </c>
      <c r="T148" s="210">
        <f>IFERROR(__xludf.DUMMYFUNCTION("FILTER('GBD estimates'!$G$3:$G$1371,'GBD estimates'!$B$3:$B$1371=T$3,'GBD estimates'!$E$3:$E$1371=""Meningitis"",'GBD estimates'!$D$3:$D$1371=""Under 5"")"),0.001212024)</f>
        <v>0.001212024</v>
      </c>
      <c r="U148" s="210">
        <f>IFERROR(__xludf.DUMMYFUNCTION("FILTER('GBD estimates'!$G$3:$G$1371,'GBD estimates'!$B$3:$B$1371=U$3,'GBD estimates'!$E$3:$E$1371=""Meningitis"",'GBD estimates'!$D$3:$D$1371=""Under 5"")"),0.00107499)</f>
        <v>0.00107499</v>
      </c>
      <c r="V148" s="210">
        <f>IFERROR(__xludf.DUMMYFUNCTION("FILTER('GBD estimates'!$G$3:$G$1371,'GBD estimates'!$B$3:$B$1371=V$3,'GBD estimates'!$E$3:$E$1371=""Meningitis"",'GBD estimates'!$D$3:$D$1371=""Under 5"")"),0.00161615)</f>
        <v>0.00161615</v>
      </c>
      <c r="W148" s="210">
        <f>IFERROR(__xludf.DUMMYFUNCTION("FILTER('GBD estimates'!$G$3:$G$1371,'GBD estimates'!$B$3:$B$1371=W$3,'GBD estimates'!$E$3:$E$1371=""Meningitis"",'GBD estimates'!$D$3:$D$1371=""Under 5"")"),0.002073541)</f>
        <v>0.002073541</v>
      </c>
      <c r="X148" s="210">
        <f>IFERROR(__xludf.DUMMYFUNCTION("FILTER('GBD estimates'!$G$3:$G$1371,'GBD estimates'!$B$3:$B$1371=X$3,'GBD estimates'!$E$3:$E$1371=""Meningitis"",'GBD estimates'!$D$3:$D$1371=""Under 5"")"),0.001666184)</f>
        <v>0.001666184</v>
      </c>
      <c r="Y148" s="210">
        <f>IFERROR(__xludf.DUMMYFUNCTION("FILTER('GBD estimates'!$G$3:$G$1371,'GBD estimates'!$B$3:$B$1371=Y$3,'GBD estimates'!$E$3:$E$1371=""Meningitis"",'GBD estimates'!$D$3:$D$1371=""Under 5"")"),0.001242412)</f>
        <v>0.001242412</v>
      </c>
      <c r="Z148" s="210">
        <f>IFERROR(__xludf.DUMMYFUNCTION("FILTER('GBD estimates'!$G$3:$G$1371,'GBD estimates'!$B$3:$B$1371=Z$3,'GBD estimates'!$E$3:$E$1371=""Meningitis"",'GBD estimates'!$D$3:$D$1371=""Under 5"")"),0.001657807)</f>
        <v>0.001657807</v>
      </c>
      <c r="AA148" s="210">
        <f>IFERROR(__xludf.DUMMYFUNCTION("FILTER('GBD estimates'!$G$3:$G$1371,'GBD estimates'!$B$3:$B$1371=AA$3,'GBD estimates'!$E$3:$E$1371=""Meningitis"",'GBD estimates'!$D$3:$D$1371=""Under 5"")"),0.002014104)</f>
        <v>0.002014104</v>
      </c>
      <c r="AB148" s="210">
        <f>IFERROR(__xludf.DUMMYFUNCTION("FILTER('GBD estimates'!$G$3:$G$1371,'GBD estimates'!$B$3:$B$1371=AB$3,'GBD estimates'!$E$3:$E$1371=""Meningitis"",'GBD estimates'!$D$3:$D$1371=""Under 5"")"),0.0015937)</f>
        <v>0.0015937</v>
      </c>
      <c r="AC148" s="210">
        <f>IFERROR(__xludf.DUMMYFUNCTION("FILTER('GBD estimates'!$G$3:$G$1371,'GBD estimates'!$B$3:$B$1371=AC$3,'GBD estimates'!$E$3:$E$1371=""Meningitis"",'GBD estimates'!$D$3:$D$1371=""Under 5"")"),0.001259148)</f>
        <v>0.001259148</v>
      </c>
      <c r="AD148" s="210">
        <f>IFERROR(__xludf.DUMMYFUNCTION("FILTER('GBD estimates'!$G$3:$G$1371,'GBD estimates'!$B$3:$B$1371=AD$3,'GBD estimates'!$E$3:$E$1371=""Meningitis"",'GBD estimates'!$D$3:$D$1371=""Under 5"")"),8.55174E-4)</f>
        <v>0.000855174</v>
      </c>
      <c r="AE148" s="210">
        <f>IFERROR(__xludf.DUMMYFUNCTION("FILTER('GBD estimates'!$G$3:$G$1371,'GBD estimates'!$B$3:$B$1371=AE$3,'GBD estimates'!$E$3:$E$1371=""Meningitis"",'GBD estimates'!$D$3:$D$1371=""Under 5"")"),0.001555766)</f>
        <v>0.001555766</v>
      </c>
      <c r="AF148" s="210">
        <f>IFERROR(__xludf.DUMMYFUNCTION("FILTER('GBD estimates'!$G$3:$G$1371,'GBD estimates'!$B$3:$B$1371=AF$3,'GBD estimates'!$E$3:$E$1371=""Meningitis"",'GBD estimates'!$D$3:$D$1371=""Under 5"")"),9.41128E-4)</f>
        <v>0.000941128</v>
      </c>
      <c r="AG148" s="210">
        <f>IFERROR(__xludf.DUMMYFUNCTION("FILTER('GBD estimates'!$G$3:$G$1371,'GBD estimates'!$B$3:$B$1371=AG$3,'GBD estimates'!$E$3:$E$1371=""Meningitis"",'GBD estimates'!$D$3:$D$1371=""Under 5"")"),0.001190984)</f>
        <v>0.001190984</v>
      </c>
      <c r="AH148" s="210">
        <f>IFERROR(__xludf.DUMMYFUNCTION("FILTER('GBD estimates'!$G$3:$G$1371,'GBD estimates'!$B$3:$B$1371=AH$3,'GBD estimates'!$E$3:$E$1371=""Meningitis"",'GBD estimates'!$D$3:$D$1371=""Under 5"")"),9.5864E-4)</f>
        <v>0.00095864</v>
      </c>
      <c r="AI148" s="210">
        <f>IFERROR(__xludf.DUMMYFUNCTION("FILTER('GBD estimates'!$G$3:$G$1371,'GBD estimates'!$B$3:$B$1371=AI$3,'GBD estimates'!$E$3:$E$1371=""Meningitis"",'GBD estimates'!$D$3:$D$1371=""Under 5"")"),8.18202E-4)</f>
        <v>0.000818202</v>
      </c>
      <c r="AJ148" s="210">
        <f>IFERROR(__xludf.DUMMYFUNCTION("FILTER('GBD estimates'!$G$3:$G$1371,'GBD estimates'!$B$3:$B$1371=AJ$3,'GBD estimates'!$E$3:$E$1371=""Meningitis"",'GBD estimates'!$D$3:$D$1371=""Under 5"")"),0.002113785)</f>
        <v>0.002113785</v>
      </c>
      <c r="AK148" s="210">
        <f>IFERROR(__xludf.DUMMYFUNCTION("FILTER('GBD estimates'!$G$3:$G$1371,'GBD estimates'!$B$3:$B$1371=AK$3,'GBD estimates'!$E$3:$E$1371=""Meningitis"",'GBD estimates'!$D$3:$D$1371=""Under 5"")"),0.003041217)</f>
        <v>0.003041217</v>
      </c>
      <c r="AL148" s="210">
        <f>IFERROR(__xludf.DUMMYFUNCTION("FILTER('GBD estimates'!$G$3:$G$1371,'GBD estimates'!$B$3:$B$1371=AL$3,'GBD estimates'!$E$3:$E$1371=""Meningitis"",'GBD estimates'!$D$3:$D$1371=""Under 5"")"),0.001363403)</f>
        <v>0.001363403</v>
      </c>
      <c r="AM148" s="210">
        <f>IFERROR(__xludf.DUMMYFUNCTION("FILTER('GBD estimates'!$G$3:$G$1371,'GBD estimates'!$B$3:$B$1371=AM$3,'GBD estimates'!$E$3:$E$1371=""Meningitis"",'GBD estimates'!$D$3:$D$1371=""Under 5"")"),0.00133794)</f>
        <v>0.00133794</v>
      </c>
      <c r="AN148" s="210">
        <f>IFERROR(__xludf.DUMMYFUNCTION("FILTER('GBD estimates'!$G$3:$G$1371,'GBD estimates'!$B$3:$B$1371=AN$3,'GBD estimates'!$E$3:$E$1371=""Meningitis"",'GBD estimates'!$D$3:$D$1371=""Under 5"")"),6.78927E-4)</f>
        <v>0.000678927</v>
      </c>
      <c r="AO148" s="210">
        <f>IFERROR(__xludf.DUMMYFUNCTION("FILTER('GBD estimates'!$G$3:$G$1371,'GBD estimates'!$B$3:$B$1371=AO$3,'GBD estimates'!$E$3:$E$1371=""Meningitis"",'GBD estimates'!$D$3:$D$1371=""Under 5"")"),8.86172E-4)</f>
        <v>0.000886172</v>
      </c>
      <c r="AP148" s="210">
        <f>IFERROR(__xludf.DUMMYFUNCTION("FILTER('GBD estimates'!$G$3:$G$1371,'GBD estimates'!$B$3:$B$1371=AP$3,'GBD estimates'!$E$3:$E$1371=""Meningitis"",'GBD estimates'!$D$3:$D$1371=""Under 5"")"),0.001575413)</f>
        <v>0.001575413</v>
      </c>
      <c r="AQ148" s="210">
        <f>IFERROR(__xludf.DUMMYFUNCTION("FILTER('GBD estimates'!$G$3:$G$1371,'GBD estimates'!$B$3:$B$1371=AQ$3,'GBD estimates'!$E$3:$E$1371=""Meningitis"",'GBD estimates'!$D$3:$D$1371=""Under 5"")"),0.001552693)</f>
        <v>0.001552693</v>
      </c>
      <c r="AR148" s="210">
        <f>IFERROR(__xludf.DUMMYFUNCTION("FILTER('GBD estimates'!$G$3:$G$1371,'GBD estimates'!$B$3:$B$1371=AR$3,'GBD estimates'!$E$3:$E$1371=""Meningitis"",'GBD estimates'!$D$3:$D$1371=""Under 5"")"),0.004512629)</f>
        <v>0.004512629</v>
      </c>
      <c r="AS148" s="210">
        <f>IFERROR(__xludf.DUMMYFUNCTION("FILTER('GBD estimates'!$G$3:$G$1371,'GBD estimates'!$B$3:$B$1371=AS$3,'GBD estimates'!$E$3:$E$1371=""Meningitis"",'GBD estimates'!$D$3:$D$1371=""Under 5"")"),0.003392061)</f>
        <v>0.003392061</v>
      </c>
      <c r="AT148" s="550"/>
      <c r="AU148" s="562" t="s">
        <v>855</v>
      </c>
      <c r="AV148" s="552"/>
    </row>
    <row r="149">
      <c r="A149" s="540"/>
      <c r="B149" s="206"/>
      <c r="C149" s="206"/>
      <c r="D149" s="206"/>
      <c r="E149" s="553" t="s">
        <v>459</v>
      </c>
      <c r="F149" s="278" t="s">
        <v>122</v>
      </c>
      <c r="G149" s="279" t="s">
        <v>203</v>
      </c>
      <c r="H149" s="581" t="s">
        <v>150</v>
      </c>
      <c r="I149" s="210">
        <f>IFERROR(__xludf.DUMMYFUNCTION("FILTER('GBD estimates'!$G$3:$G$1371,'GBD estimates'!$B$3:$B$1371=I$3,'GBD estimates'!$E$3:$E$1371=""Meningitis"",'GBD estimates'!$D$3:$D$1371=""5-14 years"")"),9.20251E-4)</f>
        <v>0.000920251</v>
      </c>
      <c r="J149" s="210">
        <f>IFERROR(__xludf.DUMMYFUNCTION("FILTER('GBD estimates'!$G$3:$G$1371,'GBD estimates'!$B$3:$B$1371=J$3,'GBD estimates'!$E$3:$E$1371=""Meningitis"",'GBD estimates'!$D$3:$D$1371=""5-14 years"")"),7.8274E-4)</f>
        <v>0.00078274</v>
      </c>
      <c r="K149" s="210">
        <f>IFERROR(__xludf.DUMMYFUNCTION("FILTER('GBD estimates'!$G$3:$G$1371,'GBD estimates'!$B$3:$B$1371=K$3,'GBD estimates'!$E$3:$E$1371=""Meningitis"",'GBD estimates'!$D$3:$D$1371=""5-14 years"")"),9.75938E-4)</f>
        <v>0.000975938</v>
      </c>
      <c r="L149" s="210">
        <f>IFERROR(__xludf.DUMMYFUNCTION("FILTER('GBD estimates'!$G$3:$G$1371,'GBD estimates'!$B$3:$B$1371=L$3,'GBD estimates'!$E$3:$E$1371=""Meningitis"",'GBD estimates'!$D$3:$D$1371=""5-14 years"")"),5.43254E-4)</f>
        <v>0.000543254</v>
      </c>
      <c r="M149" s="210">
        <f>IFERROR(__xludf.DUMMYFUNCTION("FILTER('GBD estimates'!$G$3:$G$1371,'GBD estimates'!$B$3:$B$1371=M$3,'GBD estimates'!$E$3:$E$1371=""Meningitis"",'GBD estimates'!$D$3:$D$1371=""5-14 years"")"),8.5293E-4)</f>
        <v>0.00085293</v>
      </c>
      <c r="N149" s="210">
        <f>IFERROR(__xludf.DUMMYFUNCTION("FILTER('GBD estimates'!$G$3:$G$1371,'GBD estimates'!$B$3:$B$1371=N$3,'GBD estimates'!$E$3:$E$1371=""Meningitis"",'GBD estimates'!$D$3:$D$1371=""5-14 years"")"),7.44263E-4)</f>
        <v>0.000744263</v>
      </c>
      <c r="O149" s="210">
        <f>IFERROR(__xludf.DUMMYFUNCTION("FILTER('GBD estimates'!$G$3:$G$1371,'GBD estimates'!$B$3:$B$1371=O$3,'GBD estimates'!$E$3:$E$1371=""Meningitis"",'GBD estimates'!$D$3:$D$1371=""5-14 years"")"),8.48212E-4)</f>
        <v>0.000848212</v>
      </c>
      <c r="P149" s="210">
        <f>IFERROR(__xludf.DUMMYFUNCTION("FILTER('GBD estimates'!$G$3:$G$1371,'GBD estimates'!$B$3:$B$1371=P$3,'GBD estimates'!$E$3:$E$1371=""Meningitis"",'GBD estimates'!$D$3:$D$1371=""5-14 years"")"),0.001182199)</f>
        <v>0.001182199</v>
      </c>
      <c r="Q149" s="210">
        <f>IFERROR(__xludf.DUMMYFUNCTION("FILTER('GBD estimates'!$G$3:$G$1371,'GBD estimates'!$B$3:$B$1371=Q$3,'GBD estimates'!$E$3:$E$1371=""Meningitis"",'GBD estimates'!$D$3:$D$1371=""5-14 years"")"),0.001216374)</f>
        <v>0.001216374</v>
      </c>
      <c r="R149" s="210">
        <f>IFERROR(__xludf.DUMMYFUNCTION("FILTER('GBD estimates'!$G$3:$G$1371,'GBD estimates'!$B$3:$B$1371=R$3,'GBD estimates'!$E$3:$E$1371=""Meningitis"",'GBD estimates'!$D$3:$D$1371=""5-14 years"")"),2.83224E-4)</f>
        <v>0.000283224</v>
      </c>
      <c r="S149" s="210">
        <f>IFERROR(__xludf.DUMMYFUNCTION("FILTER('GBD estimates'!$G$3:$G$1371,'GBD estimates'!$B$3:$B$1371=S$3,'GBD estimates'!$E$3:$E$1371=""Meningitis"",'GBD estimates'!$D$3:$D$1371=""5-14 years"")"),6.9414E-4)</f>
        <v>0.00069414</v>
      </c>
      <c r="T149" s="210">
        <f>IFERROR(__xludf.DUMMYFUNCTION("FILTER('GBD estimates'!$G$3:$G$1371,'GBD estimates'!$B$3:$B$1371=T$3,'GBD estimates'!$E$3:$E$1371=""Meningitis"",'GBD estimates'!$D$3:$D$1371=""5-14 years"")"),2.40103E-4)</f>
        <v>0.000240103</v>
      </c>
      <c r="U149" s="210">
        <f>IFERROR(__xludf.DUMMYFUNCTION("FILTER('GBD estimates'!$G$3:$G$1371,'GBD estimates'!$B$3:$B$1371=U$3,'GBD estimates'!$E$3:$E$1371=""Meningitis"",'GBD estimates'!$D$3:$D$1371=""5-14 years"")"),2.43766E-4)</f>
        <v>0.000243766</v>
      </c>
      <c r="V149" s="210">
        <f>IFERROR(__xludf.DUMMYFUNCTION("FILTER('GBD estimates'!$G$3:$G$1371,'GBD estimates'!$B$3:$B$1371=V$3,'GBD estimates'!$E$3:$E$1371=""Meningitis"",'GBD estimates'!$D$3:$D$1371=""5-14 years"")"),2.70451E-4)</f>
        <v>0.000270451</v>
      </c>
      <c r="W149" s="210">
        <f>IFERROR(__xludf.DUMMYFUNCTION("FILTER('GBD estimates'!$G$3:$G$1371,'GBD estimates'!$B$3:$B$1371=W$3,'GBD estimates'!$E$3:$E$1371=""Meningitis"",'GBD estimates'!$D$3:$D$1371=""5-14 years"")"),4.73177E-4)</f>
        <v>0.000473177</v>
      </c>
      <c r="X149" s="210">
        <f>IFERROR(__xludf.DUMMYFUNCTION("FILTER('GBD estimates'!$G$3:$G$1371,'GBD estimates'!$B$3:$B$1371=X$3,'GBD estimates'!$E$3:$E$1371=""Meningitis"",'GBD estimates'!$D$3:$D$1371=""5-14 years"")"),4.0184E-4)</f>
        <v>0.00040184</v>
      </c>
      <c r="Y149" s="210">
        <f>IFERROR(__xludf.DUMMYFUNCTION("FILTER('GBD estimates'!$G$3:$G$1371,'GBD estimates'!$B$3:$B$1371=Y$3,'GBD estimates'!$E$3:$E$1371=""Meningitis"",'GBD estimates'!$D$3:$D$1371=""5-14 years"")"),2.49085E-4)</f>
        <v>0.000249085</v>
      </c>
      <c r="Z149" s="210">
        <f>IFERROR(__xludf.DUMMYFUNCTION("FILTER('GBD estimates'!$G$3:$G$1371,'GBD estimates'!$B$3:$B$1371=Z$3,'GBD estimates'!$E$3:$E$1371=""Meningitis"",'GBD estimates'!$D$3:$D$1371=""5-14 years"")"),3.25336E-4)</f>
        <v>0.000325336</v>
      </c>
      <c r="AA149" s="210">
        <f>IFERROR(__xludf.DUMMYFUNCTION("FILTER('GBD estimates'!$G$3:$G$1371,'GBD estimates'!$B$3:$B$1371=AA$3,'GBD estimates'!$E$3:$E$1371=""Meningitis"",'GBD estimates'!$D$3:$D$1371=""5-14 years"")"),4.45482E-4)</f>
        <v>0.000445482</v>
      </c>
      <c r="AB149" s="210">
        <f>IFERROR(__xludf.DUMMYFUNCTION("FILTER('GBD estimates'!$G$3:$G$1371,'GBD estimates'!$B$3:$B$1371=AB$3,'GBD estimates'!$E$3:$E$1371=""Meningitis"",'GBD estimates'!$D$3:$D$1371=""5-14 years"")"),2.59059E-4)</f>
        <v>0.000259059</v>
      </c>
      <c r="AC149" s="210">
        <f>IFERROR(__xludf.DUMMYFUNCTION("FILTER('GBD estimates'!$G$3:$G$1371,'GBD estimates'!$B$3:$B$1371=AC$3,'GBD estimates'!$E$3:$E$1371=""Meningitis"",'GBD estimates'!$D$3:$D$1371=""5-14 years"")"),2.37977E-4)</f>
        <v>0.000237977</v>
      </c>
      <c r="AD149" s="210">
        <f>IFERROR(__xludf.DUMMYFUNCTION("FILTER('GBD estimates'!$G$3:$G$1371,'GBD estimates'!$B$3:$B$1371=AD$3,'GBD estimates'!$E$3:$E$1371=""Meningitis"",'GBD estimates'!$D$3:$D$1371=""5-14 years"")"),2.24853E-4)</f>
        <v>0.000224853</v>
      </c>
      <c r="AE149" s="210">
        <f>IFERROR(__xludf.DUMMYFUNCTION("FILTER('GBD estimates'!$G$3:$G$1371,'GBD estimates'!$B$3:$B$1371=AE$3,'GBD estimates'!$E$3:$E$1371=""Meningitis"",'GBD estimates'!$D$3:$D$1371=""5-14 years"")"),3.22448E-4)</f>
        <v>0.000322448</v>
      </c>
      <c r="AF149" s="210">
        <f>IFERROR(__xludf.DUMMYFUNCTION("FILTER('GBD estimates'!$G$3:$G$1371,'GBD estimates'!$B$3:$B$1371=AF$3,'GBD estimates'!$E$3:$E$1371=""Meningitis"",'GBD estimates'!$D$3:$D$1371=""5-14 years"")"),2.24958E-4)</f>
        <v>0.000224958</v>
      </c>
      <c r="AG149" s="210">
        <f>IFERROR(__xludf.DUMMYFUNCTION("FILTER('GBD estimates'!$G$3:$G$1371,'GBD estimates'!$B$3:$B$1371=AG$3,'GBD estimates'!$E$3:$E$1371=""Meningitis"",'GBD estimates'!$D$3:$D$1371=""5-14 years"")"),2.38644E-4)</f>
        <v>0.000238644</v>
      </c>
      <c r="AH149" s="210">
        <f>IFERROR(__xludf.DUMMYFUNCTION("FILTER('GBD estimates'!$G$3:$G$1371,'GBD estimates'!$B$3:$B$1371=AH$3,'GBD estimates'!$E$3:$E$1371=""Meningitis"",'GBD estimates'!$D$3:$D$1371=""5-14 years"")"),2.27058E-4)</f>
        <v>0.000227058</v>
      </c>
      <c r="AI149" s="210">
        <f>IFERROR(__xludf.DUMMYFUNCTION("FILTER('GBD estimates'!$G$3:$G$1371,'GBD estimates'!$B$3:$B$1371=AI$3,'GBD estimates'!$E$3:$E$1371=""Meningitis"",'GBD estimates'!$D$3:$D$1371=""5-14 years"")"),2.25853E-4)</f>
        <v>0.000225853</v>
      </c>
      <c r="AJ149" s="210">
        <f>IFERROR(__xludf.DUMMYFUNCTION("FILTER('GBD estimates'!$G$3:$G$1371,'GBD estimates'!$B$3:$B$1371=AJ$3,'GBD estimates'!$E$3:$E$1371=""Meningitis"",'GBD estimates'!$D$3:$D$1371=""5-14 years"")"),4.28339E-4)</f>
        <v>0.000428339</v>
      </c>
      <c r="AK149" s="210">
        <f>IFERROR(__xludf.DUMMYFUNCTION("FILTER('GBD estimates'!$G$3:$G$1371,'GBD estimates'!$B$3:$B$1371=AK$3,'GBD estimates'!$E$3:$E$1371=""Meningitis"",'GBD estimates'!$D$3:$D$1371=""5-14 years"")"),5.69156E-4)</f>
        <v>0.000569156</v>
      </c>
      <c r="AL149" s="210">
        <f>IFERROR(__xludf.DUMMYFUNCTION("FILTER('GBD estimates'!$G$3:$G$1371,'GBD estimates'!$B$3:$B$1371=AL$3,'GBD estimates'!$E$3:$E$1371=""Meningitis"",'GBD estimates'!$D$3:$D$1371=""5-14 years"")"),3.09691E-4)</f>
        <v>0.000309691</v>
      </c>
      <c r="AM149" s="210">
        <f>IFERROR(__xludf.DUMMYFUNCTION("FILTER('GBD estimates'!$G$3:$G$1371,'GBD estimates'!$B$3:$B$1371=AM$3,'GBD estimates'!$E$3:$E$1371=""Meningitis"",'GBD estimates'!$D$3:$D$1371=""5-14 years"")"),3.05717E-4)</f>
        <v>0.000305717</v>
      </c>
      <c r="AN149" s="210">
        <f>IFERROR(__xludf.DUMMYFUNCTION("FILTER('GBD estimates'!$G$3:$G$1371,'GBD estimates'!$B$3:$B$1371=AN$3,'GBD estimates'!$E$3:$E$1371=""Meningitis"",'GBD estimates'!$D$3:$D$1371=""5-14 years"")"),1.65232E-4)</f>
        <v>0.000165232</v>
      </c>
      <c r="AO149" s="210">
        <f>IFERROR(__xludf.DUMMYFUNCTION("FILTER('GBD estimates'!$G$3:$G$1371,'GBD estimates'!$B$3:$B$1371=AO$3,'GBD estimates'!$E$3:$E$1371=""Meningitis"",'GBD estimates'!$D$3:$D$1371=""5-14 years"")"),1.78382E-4)</f>
        <v>0.000178382</v>
      </c>
      <c r="AP149" s="210">
        <f>IFERROR(__xludf.DUMMYFUNCTION("FILTER('GBD estimates'!$G$3:$G$1371,'GBD estimates'!$B$3:$B$1371=AP$3,'GBD estimates'!$E$3:$E$1371=""Meningitis"",'GBD estimates'!$D$3:$D$1371=""5-14 years"")"),3.98961E-4)</f>
        <v>0.000398961</v>
      </c>
      <c r="AQ149" s="210">
        <f>IFERROR(__xludf.DUMMYFUNCTION("FILTER('GBD estimates'!$G$3:$G$1371,'GBD estimates'!$B$3:$B$1371=AQ$3,'GBD estimates'!$E$3:$E$1371=""Meningitis"",'GBD estimates'!$D$3:$D$1371=""5-14 years"")"),2.79489E-4)</f>
        <v>0.000279489</v>
      </c>
      <c r="AR149" s="210">
        <f>IFERROR(__xludf.DUMMYFUNCTION("FILTER('GBD estimates'!$G$3:$G$1371,'GBD estimates'!$B$3:$B$1371=AR$3,'GBD estimates'!$E$3:$E$1371=""Meningitis"",'GBD estimates'!$D$3:$D$1371=""5-14 years"")"),7.44871E-4)</f>
        <v>0.000744871</v>
      </c>
      <c r="AS149" s="210">
        <f>IFERROR(__xludf.DUMMYFUNCTION("FILTER('GBD estimates'!$G$3:$G$1371,'GBD estimates'!$B$3:$B$1371=AS$3,'GBD estimates'!$E$3:$E$1371=""Meningitis"",'GBD estimates'!$D$3:$D$1371=""5-14 years"")"),6.78181E-4)</f>
        <v>0.000678181</v>
      </c>
      <c r="AT149" s="555"/>
      <c r="AU149" s="566" t="s">
        <v>855</v>
      </c>
      <c r="AV149" s="557"/>
    </row>
    <row r="150">
      <c r="A150" s="540"/>
      <c r="B150" s="206"/>
      <c r="C150" s="206"/>
      <c r="D150" s="206"/>
      <c r="E150" s="553" t="s">
        <v>470</v>
      </c>
      <c r="F150" s="278" t="s">
        <v>122</v>
      </c>
      <c r="G150" s="279" t="s">
        <v>203</v>
      </c>
      <c r="H150" s="581" t="s">
        <v>150</v>
      </c>
      <c r="I150" s="210">
        <f>IFERROR(__xludf.DUMMYFUNCTION("FILTER('GBD estimates'!$G$3:$G$1371,'GBD estimates'!$B$3:$B$1371=I$3,'GBD estimates'!$E$3:$E$1371=""Meningitis"",'GBD estimates'!$D$3:$D$1371=""15-49 years"")"),0.001870641)</f>
        <v>0.001870641</v>
      </c>
      <c r="J150" s="210">
        <f>IFERROR(__xludf.DUMMYFUNCTION("FILTER('GBD estimates'!$G$3:$G$1371,'GBD estimates'!$B$3:$B$1371=J$3,'GBD estimates'!$E$3:$E$1371=""Meningitis"",'GBD estimates'!$D$3:$D$1371=""15-49 years"")"),0.001396704)</f>
        <v>0.001396704</v>
      </c>
      <c r="K150" s="210">
        <f>IFERROR(__xludf.DUMMYFUNCTION("FILTER('GBD estimates'!$G$3:$G$1371,'GBD estimates'!$B$3:$B$1371=K$3,'GBD estimates'!$E$3:$E$1371=""Meningitis"",'GBD estimates'!$D$3:$D$1371=""15-49 years"")"),0.002364602)</f>
        <v>0.002364602</v>
      </c>
      <c r="L150" s="210">
        <f>IFERROR(__xludf.DUMMYFUNCTION("FILTER('GBD estimates'!$G$3:$G$1371,'GBD estimates'!$B$3:$B$1371=L$3,'GBD estimates'!$E$3:$E$1371=""Meningitis"",'GBD estimates'!$D$3:$D$1371=""15-49 years"")"),0.001256075)</f>
        <v>0.001256075</v>
      </c>
      <c r="M150" s="210">
        <f>IFERROR(__xludf.DUMMYFUNCTION("FILTER('GBD estimates'!$G$3:$G$1371,'GBD estimates'!$B$3:$B$1371=M$3,'GBD estimates'!$E$3:$E$1371=""Meningitis"",'GBD estimates'!$D$3:$D$1371=""15-49 years"")"),0.001435015)</f>
        <v>0.001435015</v>
      </c>
      <c r="N150" s="210">
        <f>IFERROR(__xludf.DUMMYFUNCTION("FILTER('GBD estimates'!$G$3:$G$1371,'GBD estimates'!$B$3:$B$1371=N$3,'GBD estimates'!$E$3:$E$1371=""Meningitis"",'GBD estimates'!$D$3:$D$1371=""15-49 years"")"),0.001813177)</f>
        <v>0.001813177</v>
      </c>
      <c r="O150" s="210">
        <f>IFERROR(__xludf.DUMMYFUNCTION("FILTER('GBD estimates'!$G$3:$G$1371,'GBD estimates'!$B$3:$B$1371=O$3,'GBD estimates'!$E$3:$E$1371=""Meningitis"",'GBD estimates'!$D$3:$D$1371=""15-49 years"")"),0.001952634)</f>
        <v>0.001952634</v>
      </c>
      <c r="P150" s="210">
        <f>IFERROR(__xludf.DUMMYFUNCTION("FILTER('GBD estimates'!$G$3:$G$1371,'GBD estimates'!$B$3:$B$1371=P$3,'GBD estimates'!$E$3:$E$1371=""Meningitis"",'GBD estimates'!$D$3:$D$1371=""15-49 years"")"),0.002694076)</f>
        <v>0.002694076</v>
      </c>
      <c r="Q150" s="210">
        <f>IFERROR(__xludf.DUMMYFUNCTION("FILTER('GBD estimates'!$G$3:$G$1371,'GBD estimates'!$B$3:$B$1371=Q$3,'GBD estimates'!$E$3:$E$1371=""Meningitis"",'GBD estimates'!$D$3:$D$1371=""15-49 years"")"),0.002407406)</f>
        <v>0.002407406</v>
      </c>
      <c r="R150" s="210">
        <f>IFERROR(__xludf.DUMMYFUNCTION("FILTER('GBD estimates'!$G$3:$G$1371,'GBD estimates'!$B$3:$B$1371=R$3,'GBD estimates'!$E$3:$E$1371=""Meningitis"",'GBD estimates'!$D$3:$D$1371=""15-49 years"")"),8.14486E-4)</f>
        <v>0.000814486</v>
      </c>
      <c r="S150" s="210">
        <f>IFERROR(__xludf.DUMMYFUNCTION("FILTER('GBD estimates'!$G$3:$G$1371,'GBD estimates'!$B$3:$B$1371=S$3,'GBD estimates'!$E$3:$E$1371=""Meningitis"",'GBD estimates'!$D$3:$D$1371=""15-49 years"")"),0.001486466)</f>
        <v>0.001486466</v>
      </c>
      <c r="T150" s="210">
        <f>IFERROR(__xludf.DUMMYFUNCTION("FILTER('GBD estimates'!$G$3:$G$1371,'GBD estimates'!$B$3:$B$1371=T$3,'GBD estimates'!$E$3:$E$1371=""Meningitis"",'GBD estimates'!$D$3:$D$1371=""15-49 years"")"),8.58825E-4)</f>
        <v>0.000858825</v>
      </c>
      <c r="U150" s="210">
        <f>IFERROR(__xludf.DUMMYFUNCTION("FILTER('GBD estimates'!$G$3:$G$1371,'GBD estimates'!$B$3:$B$1371=U$3,'GBD estimates'!$E$3:$E$1371=""Meningitis"",'GBD estimates'!$D$3:$D$1371=""15-49 years"")"),8.52011E-4)</f>
        <v>0.000852011</v>
      </c>
      <c r="V150" s="210">
        <f>IFERROR(__xludf.DUMMYFUNCTION("FILTER('GBD estimates'!$G$3:$G$1371,'GBD estimates'!$B$3:$B$1371=V$3,'GBD estimates'!$E$3:$E$1371=""Meningitis"",'GBD estimates'!$D$3:$D$1371=""15-49 years"")"),0.001031929)</f>
        <v>0.001031929</v>
      </c>
      <c r="W150" s="210">
        <f>IFERROR(__xludf.DUMMYFUNCTION("FILTER('GBD estimates'!$G$3:$G$1371,'GBD estimates'!$B$3:$B$1371=W$3,'GBD estimates'!$E$3:$E$1371=""Meningitis"",'GBD estimates'!$D$3:$D$1371=""15-49 years"")"),0.001314864)</f>
        <v>0.001314864</v>
      </c>
      <c r="X150" s="210">
        <f>IFERROR(__xludf.DUMMYFUNCTION("FILTER('GBD estimates'!$G$3:$G$1371,'GBD estimates'!$B$3:$B$1371=X$3,'GBD estimates'!$E$3:$E$1371=""Meningitis"",'GBD estimates'!$D$3:$D$1371=""15-49 years"")"),0.001184471)</f>
        <v>0.001184471</v>
      </c>
      <c r="Y150" s="210">
        <f>IFERROR(__xludf.DUMMYFUNCTION("FILTER('GBD estimates'!$G$3:$G$1371,'GBD estimates'!$B$3:$B$1371=Y$3,'GBD estimates'!$E$3:$E$1371=""Meningitis"",'GBD estimates'!$D$3:$D$1371=""15-49 years"")"),8.96409E-4)</f>
        <v>0.000896409</v>
      </c>
      <c r="Z150" s="210">
        <f>IFERROR(__xludf.DUMMYFUNCTION("FILTER('GBD estimates'!$G$3:$G$1371,'GBD estimates'!$B$3:$B$1371=Z$3,'GBD estimates'!$E$3:$E$1371=""Meningitis"",'GBD estimates'!$D$3:$D$1371=""15-49 years"")"),9.84157E-4)</f>
        <v>0.000984157</v>
      </c>
      <c r="AA150" s="210">
        <f>IFERROR(__xludf.DUMMYFUNCTION("FILTER('GBD estimates'!$G$3:$G$1371,'GBD estimates'!$B$3:$B$1371=AA$3,'GBD estimates'!$E$3:$E$1371=""Meningitis"",'GBD estimates'!$D$3:$D$1371=""15-49 years"")"),0.001159156)</f>
        <v>0.001159156</v>
      </c>
      <c r="AB150" s="210">
        <f>IFERROR(__xludf.DUMMYFUNCTION("FILTER('GBD estimates'!$G$3:$G$1371,'GBD estimates'!$B$3:$B$1371=AB$3,'GBD estimates'!$E$3:$E$1371=""Meningitis"",'GBD estimates'!$D$3:$D$1371=""15-49 years"")"),8.78335E-4)</f>
        <v>0.000878335</v>
      </c>
      <c r="AC150" s="210">
        <f>IFERROR(__xludf.DUMMYFUNCTION("FILTER('GBD estimates'!$G$3:$G$1371,'GBD estimates'!$B$3:$B$1371=AC$3,'GBD estimates'!$E$3:$E$1371=""Meningitis"",'GBD estimates'!$D$3:$D$1371=""15-49 years"")"),7.71143E-4)</f>
        <v>0.000771143</v>
      </c>
      <c r="AD150" s="210">
        <f>IFERROR(__xludf.DUMMYFUNCTION("FILTER('GBD estimates'!$G$3:$G$1371,'GBD estimates'!$B$3:$B$1371=AD$3,'GBD estimates'!$E$3:$E$1371=""Meningitis"",'GBD estimates'!$D$3:$D$1371=""15-49 years"")"),8.67108E-4)</f>
        <v>0.000867108</v>
      </c>
      <c r="AE150" s="210">
        <f>IFERROR(__xludf.DUMMYFUNCTION("FILTER('GBD estimates'!$G$3:$G$1371,'GBD estimates'!$B$3:$B$1371=AE$3,'GBD estimates'!$E$3:$E$1371=""Meningitis"",'GBD estimates'!$D$3:$D$1371=""15-49 years"")"),8.86405E-4)</f>
        <v>0.000886405</v>
      </c>
      <c r="AF150" s="210">
        <f>IFERROR(__xludf.DUMMYFUNCTION("FILTER('GBD estimates'!$G$3:$G$1371,'GBD estimates'!$B$3:$B$1371=AF$3,'GBD estimates'!$E$3:$E$1371=""Meningitis"",'GBD estimates'!$D$3:$D$1371=""15-49 years"")"),7.65457E-4)</f>
        <v>0.000765457</v>
      </c>
      <c r="AG150" s="210">
        <f>IFERROR(__xludf.DUMMYFUNCTION("FILTER('GBD estimates'!$G$3:$G$1371,'GBD estimates'!$B$3:$B$1371=AG$3,'GBD estimates'!$E$3:$E$1371=""Meningitis"",'GBD estimates'!$D$3:$D$1371=""15-49 years"")"),9.00864E-4)</f>
        <v>0.000900864</v>
      </c>
      <c r="AH150" s="210">
        <f>IFERROR(__xludf.DUMMYFUNCTION("FILTER('GBD estimates'!$G$3:$G$1371,'GBD estimates'!$B$3:$B$1371=AH$3,'GBD estimates'!$E$3:$E$1371=""Meningitis"",'GBD estimates'!$D$3:$D$1371=""15-49 years"")"),9.97862E-4)</f>
        <v>0.000997862</v>
      </c>
      <c r="AI150" s="210">
        <f>IFERROR(__xludf.DUMMYFUNCTION("FILTER('GBD estimates'!$G$3:$G$1371,'GBD estimates'!$B$3:$B$1371=AI$3,'GBD estimates'!$E$3:$E$1371=""Meningitis"",'GBD estimates'!$D$3:$D$1371=""15-49 years"")"),6.90807E-4)</f>
        <v>0.000690807</v>
      </c>
      <c r="AJ150" s="210">
        <f>IFERROR(__xludf.DUMMYFUNCTION("FILTER('GBD estimates'!$G$3:$G$1371,'GBD estimates'!$B$3:$B$1371=AJ$3,'GBD estimates'!$E$3:$E$1371=""Meningitis"",'GBD estimates'!$D$3:$D$1371=""15-49 years"")"),0.001291432)</f>
        <v>0.001291432</v>
      </c>
      <c r="AK150" s="210">
        <f>IFERROR(__xludf.DUMMYFUNCTION("FILTER('GBD estimates'!$G$3:$G$1371,'GBD estimates'!$B$3:$B$1371=AK$3,'GBD estimates'!$E$3:$E$1371=""Meningitis"",'GBD estimates'!$D$3:$D$1371=""15-49 years"")"),0.001618747)</f>
        <v>0.001618747</v>
      </c>
      <c r="AL150" s="210">
        <f>IFERROR(__xludf.DUMMYFUNCTION("FILTER('GBD estimates'!$G$3:$G$1371,'GBD estimates'!$B$3:$B$1371=AL$3,'GBD estimates'!$E$3:$E$1371=""Meningitis"",'GBD estimates'!$D$3:$D$1371=""15-49 years"")"),0.001119381)</f>
        <v>0.001119381</v>
      </c>
      <c r="AM150" s="210">
        <f>IFERROR(__xludf.DUMMYFUNCTION("FILTER('GBD estimates'!$G$3:$G$1371,'GBD estimates'!$B$3:$B$1371=AM$3,'GBD estimates'!$E$3:$E$1371=""Meningitis"",'GBD estimates'!$D$3:$D$1371=""15-49 years"")"),9.15458E-4)</f>
        <v>0.000915458</v>
      </c>
      <c r="AN150" s="210">
        <f>IFERROR(__xludf.DUMMYFUNCTION("FILTER('GBD estimates'!$G$3:$G$1371,'GBD estimates'!$B$3:$B$1371=AN$3,'GBD estimates'!$E$3:$E$1371=""Meningitis"",'GBD estimates'!$D$3:$D$1371=""15-49 years"")"),6.10898E-4)</f>
        <v>0.000610898</v>
      </c>
      <c r="AO150" s="210">
        <f>IFERROR(__xludf.DUMMYFUNCTION("FILTER('GBD estimates'!$G$3:$G$1371,'GBD estimates'!$B$3:$B$1371=AO$3,'GBD estimates'!$E$3:$E$1371=""Meningitis"",'GBD estimates'!$D$3:$D$1371=""15-49 years"")"),7.76371E-4)</f>
        <v>0.000776371</v>
      </c>
      <c r="AP150" s="210">
        <f>IFERROR(__xludf.DUMMYFUNCTION("FILTER('GBD estimates'!$G$3:$G$1371,'GBD estimates'!$B$3:$B$1371=AP$3,'GBD estimates'!$E$3:$E$1371=""Meningitis"",'GBD estimates'!$D$3:$D$1371=""15-49 years"")"),0.001314524)</f>
        <v>0.001314524</v>
      </c>
      <c r="AQ150" s="210">
        <f>IFERROR(__xludf.DUMMYFUNCTION("FILTER('GBD estimates'!$G$3:$G$1371,'GBD estimates'!$B$3:$B$1371=AQ$3,'GBD estimates'!$E$3:$E$1371=""Meningitis"",'GBD estimates'!$D$3:$D$1371=""15-49 years"")"),8.77491E-4)</f>
        <v>0.000877491</v>
      </c>
      <c r="AR150" s="210">
        <f>IFERROR(__xludf.DUMMYFUNCTION("FILTER('GBD estimates'!$G$3:$G$1371,'GBD estimates'!$B$3:$B$1371=AR$3,'GBD estimates'!$E$3:$E$1371=""Meningitis"",'GBD estimates'!$D$3:$D$1371=""15-49 years"")"),0.001651731)</f>
        <v>0.001651731</v>
      </c>
      <c r="AS150" s="210">
        <f>IFERROR(__xludf.DUMMYFUNCTION("FILTER('GBD estimates'!$G$3:$G$1371,'GBD estimates'!$B$3:$B$1371=AS$3,'GBD estimates'!$E$3:$E$1371=""Meningitis"",'GBD estimates'!$D$3:$D$1371=""15-49 years"")"),0.001933221)</f>
        <v>0.001933221</v>
      </c>
      <c r="AT150" s="555"/>
      <c r="AU150" s="566" t="s">
        <v>855</v>
      </c>
      <c r="AV150" s="557"/>
    </row>
    <row r="151">
      <c r="A151" s="540"/>
      <c r="B151" s="206"/>
      <c r="C151" s="206"/>
      <c r="D151" s="206"/>
      <c r="E151" s="553" t="s">
        <v>479</v>
      </c>
      <c r="F151" s="278" t="s">
        <v>122</v>
      </c>
      <c r="G151" s="279" t="s">
        <v>203</v>
      </c>
      <c r="H151" s="581" t="s">
        <v>150</v>
      </c>
      <c r="I151" s="210">
        <f>IFERROR(__xludf.DUMMYFUNCTION("FILTER('GBD estimates'!$G$3:$G$1371,'GBD estimates'!$B$3:$B$1371=I$3,'GBD estimates'!$E$3:$E$1371=""Meningitis"",'GBD estimates'!$D$3:$D$1371=""50 to 74 years"")"),0.004939422)</f>
        <v>0.004939422</v>
      </c>
      <c r="J151" s="210">
        <f>IFERROR(__xludf.DUMMYFUNCTION("FILTER('GBD estimates'!$G$3:$G$1371,'GBD estimates'!$B$3:$B$1371=J$3,'GBD estimates'!$E$3:$E$1371=""Meningitis"",'GBD estimates'!$D$3:$D$1371=""50 to 74 years"")"),0.00469284)</f>
        <v>0.00469284</v>
      </c>
      <c r="K151" s="210">
        <f>IFERROR(__xludf.DUMMYFUNCTION("FILTER('GBD estimates'!$G$3:$G$1371,'GBD estimates'!$B$3:$B$1371=K$3,'GBD estimates'!$E$3:$E$1371=""Meningitis"",'GBD estimates'!$D$3:$D$1371=""50 to 74 years"")"),0.005174821)</f>
        <v>0.005174821</v>
      </c>
      <c r="L151" s="210">
        <f>IFERROR(__xludf.DUMMYFUNCTION("FILTER('GBD estimates'!$G$3:$G$1371,'GBD estimates'!$B$3:$B$1371=L$3,'GBD estimates'!$E$3:$E$1371=""Meningitis"",'GBD estimates'!$D$3:$D$1371=""50 to 74 years"")"),0.003177413)</f>
        <v>0.003177413</v>
      </c>
      <c r="M151" s="210">
        <f>IFERROR(__xludf.DUMMYFUNCTION("FILTER('GBD estimates'!$G$3:$G$1371,'GBD estimates'!$B$3:$B$1371=M$3,'GBD estimates'!$E$3:$E$1371=""Meningitis"",'GBD estimates'!$D$3:$D$1371=""50 to 74 years"")"),0.003663199)</f>
        <v>0.003663199</v>
      </c>
      <c r="N151" s="210">
        <f>IFERROR(__xludf.DUMMYFUNCTION("FILTER('GBD estimates'!$G$3:$G$1371,'GBD estimates'!$B$3:$B$1371=N$3,'GBD estimates'!$E$3:$E$1371=""Meningitis"",'GBD estimates'!$D$3:$D$1371=""50 to 74 years"")"),0.004443934)</f>
        <v>0.004443934</v>
      </c>
      <c r="O151" s="210">
        <f>IFERROR(__xludf.DUMMYFUNCTION("FILTER('GBD estimates'!$G$3:$G$1371,'GBD estimates'!$B$3:$B$1371=O$3,'GBD estimates'!$E$3:$E$1371=""Meningitis"",'GBD estimates'!$D$3:$D$1371=""50 to 74 years"")"),0.005659515)</f>
        <v>0.005659515</v>
      </c>
      <c r="P151" s="210">
        <f>IFERROR(__xludf.DUMMYFUNCTION("FILTER('GBD estimates'!$G$3:$G$1371,'GBD estimates'!$B$3:$B$1371=P$3,'GBD estimates'!$E$3:$E$1371=""Meningitis"",'GBD estimates'!$D$3:$D$1371=""50 to 74 years"")"),0.005851887)</f>
        <v>0.005851887</v>
      </c>
      <c r="Q151" s="210">
        <f>IFERROR(__xludf.DUMMYFUNCTION("FILTER('GBD estimates'!$G$3:$G$1371,'GBD estimates'!$B$3:$B$1371=Q$3,'GBD estimates'!$E$3:$E$1371=""Meningitis"",'GBD estimates'!$D$3:$D$1371=""50 to 74 years"")"),0.006685653)</f>
        <v>0.006685653</v>
      </c>
      <c r="R151" s="210">
        <f>IFERROR(__xludf.DUMMYFUNCTION("FILTER('GBD estimates'!$G$3:$G$1371,'GBD estimates'!$B$3:$B$1371=R$3,'GBD estimates'!$E$3:$E$1371=""Meningitis"",'GBD estimates'!$D$3:$D$1371=""50 to 74 years"")"),0.002308496)</f>
        <v>0.002308496</v>
      </c>
      <c r="S151" s="210">
        <f>IFERROR(__xludf.DUMMYFUNCTION("FILTER('GBD estimates'!$G$3:$G$1371,'GBD estimates'!$B$3:$B$1371=S$3,'GBD estimates'!$E$3:$E$1371=""Meningitis"",'GBD estimates'!$D$3:$D$1371=""50 to 74 years"")"),0.00386879)</f>
        <v>0.00386879</v>
      </c>
      <c r="T151" s="210">
        <f>IFERROR(__xludf.DUMMYFUNCTION("FILTER('GBD estimates'!$G$3:$G$1371,'GBD estimates'!$B$3:$B$1371=T$3,'GBD estimates'!$E$3:$E$1371=""Meningitis"",'GBD estimates'!$D$3:$D$1371=""50 to 74 years"")"),0.002610774)</f>
        <v>0.002610774</v>
      </c>
      <c r="U151" s="210">
        <f>IFERROR(__xludf.DUMMYFUNCTION("FILTER('GBD estimates'!$G$3:$G$1371,'GBD estimates'!$B$3:$B$1371=U$3,'GBD estimates'!$E$3:$E$1371=""Meningitis"",'GBD estimates'!$D$3:$D$1371=""50 to 74 years"")"),0.002211325)</f>
        <v>0.002211325</v>
      </c>
      <c r="V151" s="210">
        <f>IFERROR(__xludf.DUMMYFUNCTION("FILTER('GBD estimates'!$G$3:$G$1371,'GBD estimates'!$B$3:$B$1371=V$3,'GBD estimates'!$E$3:$E$1371=""Meningitis"",'GBD estimates'!$D$3:$D$1371=""50 to 74 years"")"),0.003107491)</f>
        <v>0.003107491</v>
      </c>
      <c r="W151" s="210">
        <f>IFERROR(__xludf.DUMMYFUNCTION("FILTER('GBD estimates'!$G$3:$G$1371,'GBD estimates'!$B$3:$B$1371=W$3,'GBD estimates'!$E$3:$E$1371=""Meningitis"",'GBD estimates'!$D$3:$D$1371=""50 to 74 years"")"),0.003376875)</f>
        <v>0.003376875</v>
      </c>
      <c r="X151" s="210">
        <f>IFERROR(__xludf.DUMMYFUNCTION("FILTER('GBD estimates'!$G$3:$G$1371,'GBD estimates'!$B$3:$B$1371=X$3,'GBD estimates'!$E$3:$E$1371=""Meningitis"",'GBD estimates'!$D$3:$D$1371=""50 to 74 years"")"),0.003468907)</f>
        <v>0.003468907</v>
      </c>
      <c r="Y151" s="210">
        <f>IFERROR(__xludf.DUMMYFUNCTION("FILTER('GBD estimates'!$G$3:$G$1371,'GBD estimates'!$B$3:$B$1371=Y$3,'GBD estimates'!$E$3:$E$1371=""Meningitis"",'GBD estimates'!$D$3:$D$1371=""50 to 74 years"")"),0.002667023)</f>
        <v>0.002667023</v>
      </c>
      <c r="Z151" s="210">
        <f>IFERROR(__xludf.DUMMYFUNCTION("FILTER('GBD estimates'!$G$3:$G$1371,'GBD estimates'!$B$3:$B$1371=Z$3,'GBD estimates'!$E$3:$E$1371=""Meningitis"",'GBD estimates'!$D$3:$D$1371=""50 to 74 years"")"),0.002366756)</f>
        <v>0.002366756</v>
      </c>
      <c r="AA151" s="210">
        <f>IFERROR(__xludf.DUMMYFUNCTION("FILTER('GBD estimates'!$G$3:$G$1371,'GBD estimates'!$B$3:$B$1371=AA$3,'GBD estimates'!$E$3:$E$1371=""Meningitis"",'GBD estimates'!$D$3:$D$1371=""50 to 74 years"")"),0.002996523)</f>
        <v>0.002996523</v>
      </c>
      <c r="AB151" s="210">
        <f>IFERROR(__xludf.DUMMYFUNCTION("FILTER('GBD estimates'!$G$3:$G$1371,'GBD estimates'!$B$3:$B$1371=AB$3,'GBD estimates'!$E$3:$E$1371=""Meningitis"",'GBD estimates'!$D$3:$D$1371=""50 to 74 years"")"),0.002092001)</f>
        <v>0.002092001</v>
      </c>
      <c r="AC151" s="210">
        <f>IFERROR(__xludf.DUMMYFUNCTION("FILTER('GBD estimates'!$G$3:$G$1371,'GBD estimates'!$B$3:$B$1371=AC$3,'GBD estimates'!$E$3:$E$1371=""Meningitis"",'GBD estimates'!$D$3:$D$1371=""50 to 74 years"")"),0.002224215)</f>
        <v>0.002224215</v>
      </c>
      <c r="AD151" s="210">
        <f>IFERROR(__xludf.DUMMYFUNCTION("FILTER('GBD estimates'!$G$3:$G$1371,'GBD estimates'!$B$3:$B$1371=AD$3,'GBD estimates'!$E$3:$E$1371=""Meningitis"",'GBD estimates'!$D$3:$D$1371=""50 to 74 years"")"),0.002484024)</f>
        <v>0.002484024</v>
      </c>
      <c r="AE151" s="210">
        <f>IFERROR(__xludf.DUMMYFUNCTION("FILTER('GBD estimates'!$G$3:$G$1371,'GBD estimates'!$B$3:$B$1371=AE$3,'GBD estimates'!$E$3:$E$1371=""Meningitis"",'GBD estimates'!$D$3:$D$1371=""50 to 74 years"")"),0.00176615)</f>
        <v>0.00176615</v>
      </c>
      <c r="AF151" s="210">
        <f>IFERROR(__xludf.DUMMYFUNCTION("FILTER('GBD estimates'!$G$3:$G$1371,'GBD estimates'!$B$3:$B$1371=AF$3,'GBD estimates'!$E$3:$E$1371=""Meningitis"",'GBD estimates'!$D$3:$D$1371=""50 to 74 years"")"),0.002058023)</f>
        <v>0.002058023</v>
      </c>
      <c r="AG151" s="210">
        <f>IFERROR(__xludf.DUMMYFUNCTION("FILTER('GBD estimates'!$G$3:$G$1371,'GBD estimates'!$B$3:$B$1371=AG$3,'GBD estimates'!$E$3:$E$1371=""Meningitis"",'GBD estimates'!$D$3:$D$1371=""50 to 74 years"")"),0.002707385)</f>
        <v>0.002707385</v>
      </c>
      <c r="AH151" s="210">
        <f>IFERROR(__xludf.DUMMYFUNCTION("FILTER('GBD estimates'!$G$3:$G$1371,'GBD estimates'!$B$3:$B$1371=AH$3,'GBD estimates'!$E$3:$E$1371=""Meningitis"",'GBD estimates'!$D$3:$D$1371=""50 to 74 years"")"),0.00262762)</f>
        <v>0.00262762</v>
      </c>
      <c r="AI151" s="210">
        <f>IFERROR(__xludf.DUMMYFUNCTION("FILTER('GBD estimates'!$G$3:$G$1371,'GBD estimates'!$B$3:$B$1371=AI$3,'GBD estimates'!$E$3:$E$1371=""Meningitis"",'GBD estimates'!$D$3:$D$1371=""50 to 74 years"")"),0.001698962)</f>
        <v>0.001698962</v>
      </c>
      <c r="AJ151" s="210">
        <f>IFERROR(__xludf.DUMMYFUNCTION("FILTER('GBD estimates'!$G$3:$G$1371,'GBD estimates'!$B$3:$B$1371=AJ$3,'GBD estimates'!$E$3:$E$1371=""Meningitis"",'GBD estimates'!$D$3:$D$1371=""50 to 74 years"")"),0.002590713)</f>
        <v>0.002590713</v>
      </c>
      <c r="AK151" s="210">
        <f>IFERROR(__xludf.DUMMYFUNCTION("FILTER('GBD estimates'!$G$3:$G$1371,'GBD estimates'!$B$3:$B$1371=AK$3,'GBD estimates'!$E$3:$E$1371=""Meningitis"",'GBD estimates'!$D$3:$D$1371=""50 to 74 years"")"),0.003865714)</f>
        <v>0.003865714</v>
      </c>
      <c r="AL151" s="210">
        <f>IFERROR(__xludf.DUMMYFUNCTION("FILTER('GBD estimates'!$G$3:$G$1371,'GBD estimates'!$B$3:$B$1371=AL$3,'GBD estimates'!$E$3:$E$1371=""Meningitis"",'GBD estimates'!$D$3:$D$1371=""50 to 74 years"")"),0.002996476)</f>
        <v>0.002996476</v>
      </c>
      <c r="AM151" s="210">
        <f>IFERROR(__xludf.DUMMYFUNCTION("FILTER('GBD estimates'!$G$3:$G$1371,'GBD estimates'!$B$3:$B$1371=AM$3,'GBD estimates'!$E$3:$E$1371=""Meningitis"",'GBD estimates'!$D$3:$D$1371=""50 to 74 years"")"),0.00260227)</f>
        <v>0.00260227</v>
      </c>
      <c r="AN151" s="210">
        <f>IFERROR(__xludf.DUMMYFUNCTION("FILTER('GBD estimates'!$G$3:$G$1371,'GBD estimates'!$B$3:$B$1371=AN$3,'GBD estimates'!$E$3:$E$1371=""Meningitis"",'GBD estimates'!$D$3:$D$1371=""50 to 74 years"")"),0.002077918)</f>
        <v>0.002077918</v>
      </c>
      <c r="AO151" s="210">
        <f>IFERROR(__xludf.DUMMYFUNCTION("FILTER('GBD estimates'!$G$3:$G$1371,'GBD estimates'!$B$3:$B$1371=AO$3,'GBD estimates'!$E$3:$E$1371=""Meningitis"",'GBD estimates'!$D$3:$D$1371=""50 to 74 years"")"),0.002241338)</f>
        <v>0.002241338</v>
      </c>
      <c r="AP151" s="210">
        <f>IFERROR(__xludf.DUMMYFUNCTION("FILTER('GBD estimates'!$G$3:$G$1371,'GBD estimates'!$B$3:$B$1371=AP$3,'GBD estimates'!$E$3:$E$1371=""Meningitis"",'GBD estimates'!$D$3:$D$1371=""50 to 74 years"")"),0.002582749)</f>
        <v>0.002582749</v>
      </c>
      <c r="AQ151" s="210">
        <f>IFERROR(__xludf.DUMMYFUNCTION("FILTER('GBD estimates'!$G$3:$G$1371,'GBD estimates'!$B$3:$B$1371=AQ$3,'GBD estimates'!$E$3:$E$1371=""Meningitis"",'GBD estimates'!$D$3:$D$1371=""50 to 74 years"")"),0.002348981)</f>
        <v>0.002348981</v>
      </c>
      <c r="AR151" s="210">
        <f>IFERROR(__xludf.DUMMYFUNCTION("FILTER('GBD estimates'!$G$3:$G$1371,'GBD estimates'!$B$3:$B$1371=AR$3,'GBD estimates'!$E$3:$E$1371=""Meningitis"",'GBD estimates'!$D$3:$D$1371=""50 to 74 years"")"),0.003337364)</f>
        <v>0.003337364</v>
      </c>
      <c r="AS151" s="210">
        <f>IFERROR(__xludf.DUMMYFUNCTION("FILTER('GBD estimates'!$G$3:$G$1371,'GBD estimates'!$B$3:$B$1371=AS$3,'GBD estimates'!$E$3:$E$1371=""Meningitis"",'GBD estimates'!$D$3:$D$1371=""50 to 74 years"")"),0.004682851)</f>
        <v>0.004682851</v>
      </c>
      <c r="AT151" s="555"/>
      <c r="AU151" s="566" t="s">
        <v>855</v>
      </c>
      <c r="AV151" s="557"/>
    </row>
    <row r="152">
      <c r="A152" s="540"/>
      <c r="B152" s="206"/>
      <c r="C152" s="206"/>
      <c r="D152" s="206"/>
      <c r="E152" s="548" t="s">
        <v>491</v>
      </c>
      <c r="F152" s="207" t="s">
        <v>111</v>
      </c>
      <c r="G152" s="208" t="s">
        <v>203</v>
      </c>
      <c r="H152" s="578" t="s">
        <v>150</v>
      </c>
      <c r="I152" s="294">
        <f>IFERROR(__xludf.DUMMYFUNCTION("FILTER('GBD estimates'!$R$3:$R$1713,'GBD estimates'!$K$3:$K$1713=I$3,'GBD estimates'!$L$3:$L$1713=""Meningitis"",'GBD estimates'!$N$3:$N$1713=""Under 5"")"),1739.194164)</f>
        <v>1739.194164</v>
      </c>
      <c r="J152" s="294">
        <f>IFERROR(__xludf.DUMMYFUNCTION("FILTER('GBD estimates'!$R$3:$R$1713,'GBD estimates'!$K$3:$K$1713=J$3,'GBD estimates'!$L$3:$L$1713=""Meningitis"",'GBD estimates'!$N$3:$N$1713=""Under 5"")"),683.0972966)</f>
        <v>683.0972966</v>
      </c>
      <c r="K152" s="294">
        <f>IFERROR(__xludf.DUMMYFUNCTION("FILTER('GBD estimates'!$R$3:$R$1713,'GBD estimates'!$K$3:$K$1713=K$3,'GBD estimates'!$L$3:$L$1713=""Meningitis"",'GBD estimates'!$N$3:$N$1713=""Under 5"")"),1495.031252)</f>
        <v>1495.031252</v>
      </c>
      <c r="L152" s="294">
        <f>IFERROR(__xludf.DUMMYFUNCTION("FILTER('GBD estimates'!$R$3:$R$1713,'GBD estimates'!$K$3:$K$1713=L$3,'GBD estimates'!$L$3:$L$1713=""Meningitis"",'GBD estimates'!$N$3:$N$1713=""Under 5"")"),1386.180635)</f>
        <v>1386.180635</v>
      </c>
      <c r="M152" s="294">
        <f>IFERROR(__xludf.DUMMYFUNCTION("FILTER('GBD estimates'!$R$3:$R$1713,'GBD estimates'!$K$3:$K$1713=M$3,'GBD estimates'!$L$3:$L$1713=""Meningitis"",'GBD estimates'!$N$3:$N$1713=""Under 5"")"),3707.038833)</f>
        <v>3707.038833</v>
      </c>
      <c r="N152" s="294">
        <f>IFERROR(__xludf.DUMMYFUNCTION("FILTER('GBD estimates'!$R$3:$R$1713,'GBD estimates'!$K$3:$K$1713=N$3,'GBD estimates'!$L$3:$L$1713=""Meningitis"",'GBD estimates'!$N$3:$N$1713=""Under 5"")"),2043.485593)</f>
        <v>2043.485593</v>
      </c>
      <c r="O152" s="294">
        <f>IFERROR(__xludf.DUMMYFUNCTION("FILTER('GBD estimates'!$R$3:$R$1713,'GBD estimates'!$K$3:$K$1713=O$3,'GBD estimates'!$L$3:$L$1713=""Meningitis"",'GBD estimates'!$N$3:$N$1713=""Under 5"")"),1061.10668)</f>
        <v>1061.10668</v>
      </c>
      <c r="P152" s="294">
        <f>IFERROR(__xludf.DUMMYFUNCTION("FILTER('GBD estimates'!$R$3:$R$1713,'GBD estimates'!$K$3:$K$1713=P$3,'GBD estimates'!$L$3:$L$1713=""Meningitis"",'GBD estimates'!$N$3:$N$1713=""Under 5"")"),2395.314093)</f>
        <v>2395.314093</v>
      </c>
      <c r="Q152" s="294">
        <f>IFERROR(__xludf.DUMMYFUNCTION("FILTER('GBD estimates'!$R$3:$R$1713,'GBD estimates'!$K$3:$K$1713=Q$3,'GBD estimates'!$L$3:$L$1713=""Meningitis"",'GBD estimates'!$N$3:$N$1713=""Under 5"")"),1492.521201)</f>
        <v>1492.521201</v>
      </c>
      <c r="R152" s="294">
        <f>IFERROR(__xludf.DUMMYFUNCTION("FILTER('GBD estimates'!$R$3:$R$1713,'GBD estimates'!$K$3:$K$1713=R$3,'GBD estimates'!$L$3:$L$1713=""Meningitis"",'GBD estimates'!$N$3:$N$1713=""Under 5"")"),224.3632432)</f>
        <v>224.3632432</v>
      </c>
      <c r="S152" s="294">
        <f>IFERROR(__xludf.DUMMYFUNCTION("FILTER('GBD estimates'!$R$3:$R$1713,'GBD estimates'!$K$3:$K$1713=S$3,'GBD estimates'!$L$3:$L$1713=""Meningitis"",'GBD estimates'!$N$3:$N$1713=""Under 5"")"),472.3934152)</f>
        <v>472.3934152</v>
      </c>
      <c r="T152" s="294">
        <f>IFERROR(__xludf.DUMMYFUNCTION("FILTER('GBD estimates'!$R$3:$R$1713,'GBD estimates'!$K$3:$K$1713=T$3,'GBD estimates'!$L$3:$L$1713=""Meningitis"",'GBD estimates'!$N$3:$N$1713=""Under 5"")"),72.72755246)</f>
        <v>72.72755246</v>
      </c>
      <c r="U152" s="294">
        <f>IFERROR(__xludf.DUMMYFUNCTION("FILTER('GBD estimates'!$R$3:$R$1713,'GBD estimates'!$K$3:$K$1713=U$3,'GBD estimates'!$L$3:$L$1713=""Meningitis"",'GBD estimates'!$N$3:$N$1713=""Under 5"")"),203.0302095)</f>
        <v>203.0302095</v>
      </c>
      <c r="V152" s="294">
        <f>IFERROR(__xludf.DUMMYFUNCTION("FILTER('GBD estimates'!$R$3:$R$1713,'GBD estimates'!$K$3:$K$1713=V$3,'GBD estimates'!$L$3:$L$1713=""Meningitis"",'GBD estimates'!$N$3:$N$1713=""Under 5"")"),35.07375564)</f>
        <v>35.07375564</v>
      </c>
      <c r="W152" s="294">
        <f>IFERROR(__xludf.DUMMYFUNCTION("FILTER('GBD estimates'!$R$3:$R$1713,'GBD estimates'!$K$3:$K$1713=W$3,'GBD estimates'!$L$3:$L$1713=""Meningitis"",'GBD estimates'!$N$3:$N$1713=""Under 5"")"),628.8831324)</f>
        <v>628.8831324</v>
      </c>
      <c r="X152" s="294">
        <f>IFERROR(__xludf.DUMMYFUNCTION("FILTER('GBD estimates'!$R$3:$R$1713,'GBD estimates'!$K$3:$K$1713=X$3,'GBD estimates'!$L$3:$L$1713=""Meningitis"",'GBD estimates'!$N$3:$N$1713=""Under 5"")"),277.464135)</f>
        <v>277.464135</v>
      </c>
      <c r="Y152" s="294">
        <f>IFERROR(__xludf.DUMMYFUNCTION("FILTER('GBD estimates'!$R$3:$R$1713,'GBD estimates'!$K$3:$K$1713=Y$3,'GBD estimates'!$L$3:$L$1713=""Meningitis"",'GBD estimates'!$N$3:$N$1713=""Under 5"")"),78.8276494)</f>
        <v>78.8276494</v>
      </c>
      <c r="Z152" s="294">
        <f>IFERROR(__xludf.DUMMYFUNCTION("FILTER('GBD estimates'!$R$3:$R$1713,'GBD estimates'!$K$3:$K$1713=Z$3,'GBD estimates'!$L$3:$L$1713=""Meningitis"",'GBD estimates'!$N$3:$N$1713=""Under 5"")"),198.8477264)</f>
        <v>198.8477264</v>
      </c>
      <c r="AA152" s="294">
        <f>IFERROR(__xludf.DUMMYFUNCTION("FILTER('GBD estimates'!$R$3:$R$1713,'GBD estimates'!$K$3:$K$1713=AA$3,'GBD estimates'!$L$3:$L$1713=""Meningitis"",'GBD estimates'!$N$3:$N$1713=""Under 5"")"),209.588632)</f>
        <v>209.588632</v>
      </c>
      <c r="AB152" s="294">
        <f>IFERROR(__xludf.DUMMYFUNCTION("FILTER('GBD estimates'!$R$3:$R$1713,'GBD estimates'!$K$3:$K$1713=AB$3,'GBD estimates'!$L$3:$L$1713=""Meningitis"",'GBD estimates'!$N$3:$N$1713=""Under 5"")"),161.5680607)</f>
        <v>161.5680607</v>
      </c>
      <c r="AC152" s="294">
        <f>IFERROR(__xludf.DUMMYFUNCTION("FILTER('GBD estimates'!$R$3:$R$1713,'GBD estimates'!$K$3:$K$1713=AC$3,'GBD estimates'!$L$3:$L$1713=""Meningitis"",'GBD estimates'!$N$3:$N$1713=""Under 5"")"),57.04577686)</f>
        <v>57.04577686</v>
      </c>
      <c r="AD152" s="294">
        <f>IFERROR(__xludf.DUMMYFUNCTION("FILTER('GBD estimates'!$R$3:$R$1713,'GBD estimates'!$K$3:$K$1713=AD$3,'GBD estimates'!$L$3:$L$1713=""Meningitis"",'GBD estimates'!$N$3:$N$1713=""Under 5"")"),107.9134404)</f>
        <v>107.9134404</v>
      </c>
      <c r="AE152" s="294">
        <f>IFERROR(__xludf.DUMMYFUNCTION("FILTER('GBD estimates'!$R$3:$R$1713,'GBD estimates'!$K$3:$K$1713=AE$3,'GBD estimates'!$L$3:$L$1713=""Meningitis"",'GBD estimates'!$N$3:$N$1713=""Under 5"")"),288.455805)</f>
        <v>288.455805</v>
      </c>
      <c r="AF152" s="294">
        <f>IFERROR(__xludf.DUMMYFUNCTION("FILTER('GBD estimates'!$R$3:$R$1713,'GBD estimates'!$K$3:$K$1713=AF$3,'GBD estimates'!$L$3:$L$1713=""Meningitis"",'GBD estimates'!$N$3:$N$1713=""Under 5"")"),290.3267632)</f>
        <v>290.3267632</v>
      </c>
      <c r="AG152" s="294">
        <f>IFERROR(__xludf.DUMMYFUNCTION("FILTER('GBD estimates'!$R$3:$R$1713,'GBD estimates'!$K$3:$K$1713=AG$3,'GBD estimates'!$L$3:$L$1713=""Meningitis"",'GBD estimates'!$N$3:$N$1713=""Under 5"")"),99.72279218)</f>
        <v>99.72279218</v>
      </c>
      <c r="AH152" s="294">
        <f>IFERROR(__xludf.DUMMYFUNCTION("FILTER('GBD estimates'!$R$3:$R$1713,'GBD estimates'!$K$3:$K$1713=AH$3,'GBD estimates'!$L$3:$L$1713=""Meningitis"",'GBD estimates'!$N$3:$N$1713=""Under 5"")"),87.79916158)</f>
        <v>87.79916158</v>
      </c>
      <c r="AI152" s="294">
        <f>IFERROR(__xludf.DUMMYFUNCTION("FILTER('GBD estimates'!$R$3:$R$1713,'GBD estimates'!$K$3:$K$1713=AI$3,'GBD estimates'!$L$3:$L$1713=""Meningitis"",'GBD estimates'!$N$3:$N$1713=""Under 5"")"),109.5447213)</f>
        <v>109.5447213</v>
      </c>
      <c r="AJ152" s="294">
        <f>IFERROR(__xludf.DUMMYFUNCTION("FILTER('GBD estimates'!$R$3:$R$1713,'GBD estimates'!$K$3:$K$1713=AJ$3,'GBD estimates'!$L$3:$L$1713=""Meningitis"",'GBD estimates'!$N$3:$N$1713=""Under 5"")"),413.0022819)</f>
        <v>413.0022819</v>
      </c>
      <c r="AK152" s="294">
        <f>IFERROR(__xludf.DUMMYFUNCTION("FILTER('GBD estimates'!$R$3:$R$1713,'GBD estimates'!$K$3:$K$1713=AK$3,'GBD estimates'!$L$3:$L$1713=""Meningitis"",'GBD estimates'!$N$3:$N$1713=""Under 5"")"),1284.887491)</f>
        <v>1284.887491</v>
      </c>
      <c r="AL152" s="294">
        <f>IFERROR(__xludf.DUMMYFUNCTION("FILTER('GBD estimates'!$R$3:$R$1713,'GBD estimates'!$K$3:$K$1713=AL$3,'GBD estimates'!$L$3:$L$1713=""Meningitis"",'GBD estimates'!$N$3:$N$1713=""Under 5"")"),470.4288251)</f>
        <v>470.4288251</v>
      </c>
      <c r="AM152" s="294">
        <f>IFERROR(__xludf.DUMMYFUNCTION("FILTER('GBD estimates'!$R$3:$R$1713,'GBD estimates'!$K$3:$K$1713=AM$3,'GBD estimates'!$L$3:$L$1713=""Meningitis"",'GBD estimates'!$N$3:$N$1713=""Under 5"")"),131.3038019)</f>
        <v>131.3038019</v>
      </c>
      <c r="AN152" s="294">
        <f>IFERROR(__xludf.DUMMYFUNCTION("FILTER('GBD estimates'!$R$3:$R$1713,'GBD estimates'!$K$3:$K$1713=AN$3,'GBD estimates'!$L$3:$L$1713=""Meningitis"",'GBD estimates'!$N$3:$N$1713=""Under 5"")"),76.7641569)</f>
        <v>76.7641569</v>
      </c>
      <c r="AO152" s="294">
        <f>IFERROR(__xludf.DUMMYFUNCTION("FILTER('GBD estimates'!$R$3:$R$1713,'GBD estimates'!$K$3:$K$1713=AO$3,'GBD estimates'!$L$3:$L$1713=""Meningitis"",'GBD estimates'!$N$3:$N$1713=""Under 5"")"),140.3916862)</f>
        <v>140.3916862</v>
      </c>
      <c r="AP152" s="294">
        <f>IFERROR(__xludf.DUMMYFUNCTION("FILTER('GBD estimates'!$R$3:$R$1713,'GBD estimates'!$K$3:$K$1713=AP$3,'GBD estimates'!$L$3:$L$1713=""Meningitis"",'GBD estimates'!$N$3:$N$1713=""Under 5"")"),611.2231841)</f>
        <v>611.2231841</v>
      </c>
      <c r="AQ152" s="294">
        <f>IFERROR(__xludf.DUMMYFUNCTION("FILTER('GBD estimates'!$R$3:$R$1713,'GBD estimates'!$K$3:$K$1713=AQ$3,'GBD estimates'!$L$3:$L$1713=""Meningitis"",'GBD estimates'!$N$3:$N$1713=""Under 5"")"),149.8260721)</f>
        <v>149.8260721</v>
      </c>
      <c r="AR152" s="294">
        <f>IFERROR(__xludf.DUMMYFUNCTION("FILTER('GBD estimates'!$R$3:$R$1713,'GBD estimates'!$K$3:$K$1713=AR$3,'GBD estimates'!$L$3:$L$1713=""Meningitis"",'GBD estimates'!$N$3:$N$1713=""Under 5"")"),1337.418391)</f>
        <v>1337.418391</v>
      </c>
      <c r="AS152" s="294">
        <f>IFERROR(__xludf.DUMMYFUNCTION("FILTER('GBD estimates'!$R$3:$R$1713,'GBD estimates'!$K$3:$K$1713=AS$3,'GBD estimates'!$L$3:$L$1713=""Meningitis"",'GBD estimates'!$N$3:$N$1713=""Under 5"")"),578.3361405)</f>
        <v>578.3361405</v>
      </c>
      <c r="AT152" s="550"/>
      <c r="AU152" s="562" t="s">
        <v>855</v>
      </c>
      <c r="AV152" s="552"/>
    </row>
    <row r="153">
      <c r="A153" s="540"/>
      <c r="B153" s="206"/>
      <c r="C153" s="206"/>
      <c r="D153" s="206"/>
      <c r="E153" s="553" t="s">
        <v>497</v>
      </c>
      <c r="F153" s="278" t="s">
        <v>111</v>
      </c>
      <c r="G153" s="279" t="s">
        <v>203</v>
      </c>
      <c r="H153" s="581" t="s">
        <v>150</v>
      </c>
      <c r="I153" s="294">
        <f>IFERROR(__xludf.DUMMYFUNCTION("FILTER('GBD estimates'!$R$3:$R$1713,'GBD estimates'!$K$3:$K$1713=I$3,'GBD estimates'!$L$3:$L$1713=""Meningitis"",'GBD estimates'!$N$3:$N$1713=""Early Neonatal"")"),106.4141194)</f>
        <v>106.4141194</v>
      </c>
      <c r="J153" s="294">
        <f>IFERROR(__xludf.DUMMYFUNCTION("FILTER('GBD estimates'!$R$3:$R$1713,'GBD estimates'!$K$3:$K$1713=J$3,'GBD estimates'!$L$3:$L$1713=""Meningitis"",'GBD estimates'!$N$3:$N$1713=""Early Neonatal"")"),39.26907751)</f>
        <v>39.26907751</v>
      </c>
      <c r="K153" s="294">
        <f>IFERROR(__xludf.DUMMYFUNCTION("FILTER('GBD estimates'!$R$3:$R$1713,'GBD estimates'!$K$3:$K$1713=K$3,'GBD estimates'!$L$3:$L$1713=""Meningitis"",'GBD estimates'!$N$3:$N$1713=""Early Neonatal"")"),72.15888587)</f>
        <v>72.15888587</v>
      </c>
      <c r="L153" s="294">
        <f>IFERROR(__xludf.DUMMYFUNCTION("FILTER('GBD estimates'!$R$3:$R$1713,'GBD estimates'!$K$3:$K$1713=L$3,'GBD estimates'!$L$3:$L$1713=""Meningitis"",'GBD estimates'!$N$3:$N$1713=""Early Neonatal"")"),94.85391153)</f>
        <v>94.85391153</v>
      </c>
      <c r="M153" s="294">
        <f>IFERROR(__xludf.DUMMYFUNCTION("FILTER('GBD estimates'!$R$3:$R$1713,'GBD estimates'!$K$3:$K$1713=M$3,'GBD estimates'!$L$3:$L$1713=""Meningitis"",'GBD estimates'!$N$3:$N$1713=""Early Neonatal"")"),232.5389148)</f>
        <v>232.5389148</v>
      </c>
      <c r="N153" s="294">
        <f>IFERROR(__xludf.DUMMYFUNCTION("FILTER('GBD estimates'!$R$3:$R$1713,'GBD estimates'!$K$3:$K$1713=N$3,'GBD estimates'!$L$3:$L$1713=""Meningitis"",'GBD estimates'!$N$3:$N$1713=""Early Neonatal"")"),108.2306589)</f>
        <v>108.2306589</v>
      </c>
      <c r="O153" s="294">
        <f>IFERROR(__xludf.DUMMYFUNCTION("FILTER('GBD estimates'!$R$3:$R$1713,'GBD estimates'!$K$3:$K$1713=O$3,'GBD estimates'!$L$3:$L$1713=""Meningitis"",'GBD estimates'!$N$3:$N$1713=""Early Neonatal"")"),74.78046252)</f>
        <v>74.78046252</v>
      </c>
      <c r="P153" s="294">
        <f>IFERROR(__xludf.DUMMYFUNCTION("FILTER('GBD estimates'!$R$3:$R$1713,'GBD estimates'!$K$3:$K$1713=P$3,'GBD estimates'!$L$3:$L$1713=""Meningitis"",'GBD estimates'!$N$3:$N$1713=""Early Neonatal"")"),112.9247982)</f>
        <v>112.9247982</v>
      </c>
      <c r="Q153" s="294">
        <f>IFERROR(__xludf.DUMMYFUNCTION("FILTER('GBD estimates'!$R$3:$R$1713,'GBD estimates'!$K$3:$K$1713=Q$3,'GBD estimates'!$L$3:$L$1713=""Meningitis"",'GBD estimates'!$N$3:$N$1713=""Early Neonatal"")"),52.77654376)</f>
        <v>52.77654376</v>
      </c>
      <c r="R153" s="294">
        <f>IFERROR(__xludf.DUMMYFUNCTION("FILTER('GBD estimates'!$R$3:$R$1713,'GBD estimates'!$K$3:$K$1713=R$3,'GBD estimates'!$L$3:$L$1713=""Meningitis"",'GBD estimates'!$N$3:$N$1713=""Early Neonatal"")"),20.82072545)</f>
        <v>20.82072545</v>
      </c>
      <c r="S153" s="294">
        <f>IFERROR(__xludf.DUMMYFUNCTION("FILTER('GBD estimates'!$R$3:$R$1713,'GBD estimates'!$K$3:$K$1713=S$3,'GBD estimates'!$L$3:$L$1713=""Meningitis"",'GBD estimates'!$N$3:$N$1713=""Early Neonatal"")"),28.76934075)</f>
        <v>28.76934075</v>
      </c>
      <c r="T153" s="294">
        <f>IFERROR(__xludf.DUMMYFUNCTION("FILTER('GBD estimates'!$R$3:$R$1713,'GBD estimates'!$K$3:$K$1713=T$3,'GBD estimates'!$L$3:$L$1713=""Meningitis"",'GBD estimates'!$N$3:$N$1713=""Early Neonatal"")"),8.364610002)</f>
        <v>8.364610002</v>
      </c>
      <c r="U153" s="294">
        <f>IFERROR(__xludf.DUMMYFUNCTION("FILTER('GBD estimates'!$R$3:$R$1713,'GBD estimates'!$K$3:$K$1713=U$3,'GBD estimates'!$L$3:$L$1713=""Meningitis"",'GBD estimates'!$N$3:$N$1713=""Early Neonatal"")"),22.41188221)</f>
        <v>22.41188221</v>
      </c>
      <c r="V153" s="294">
        <f>IFERROR(__xludf.DUMMYFUNCTION("FILTER('GBD estimates'!$R$3:$R$1713,'GBD estimates'!$K$3:$K$1713=V$3,'GBD estimates'!$L$3:$L$1713=""Meningitis"",'GBD estimates'!$N$3:$N$1713=""Early Neonatal"")"),2.930334988)</f>
        <v>2.930334988</v>
      </c>
      <c r="W153" s="294">
        <f>IFERROR(__xludf.DUMMYFUNCTION("FILTER('GBD estimates'!$R$3:$R$1713,'GBD estimates'!$K$3:$K$1713=W$3,'GBD estimates'!$L$3:$L$1713=""Meningitis"",'GBD estimates'!$N$3:$N$1713=""Early Neonatal"")"),68.72042112)</f>
        <v>68.72042112</v>
      </c>
      <c r="X153" s="294">
        <f>IFERROR(__xludf.DUMMYFUNCTION("FILTER('GBD estimates'!$R$3:$R$1713,'GBD estimates'!$K$3:$K$1713=X$3,'GBD estimates'!$L$3:$L$1713=""Meningitis"",'GBD estimates'!$N$3:$N$1713=""Early Neonatal"")"),29.149782)</f>
        <v>29.149782</v>
      </c>
      <c r="Y153" s="294">
        <f>IFERROR(__xludf.DUMMYFUNCTION("FILTER('GBD estimates'!$R$3:$R$1713,'GBD estimates'!$K$3:$K$1713=Y$3,'GBD estimates'!$L$3:$L$1713=""Meningitis"",'GBD estimates'!$N$3:$N$1713=""Early Neonatal"")"),7.597028806)</f>
        <v>7.597028806</v>
      </c>
      <c r="Z153" s="294">
        <f>IFERROR(__xludf.DUMMYFUNCTION("FILTER('GBD estimates'!$R$3:$R$1713,'GBD estimates'!$K$3:$K$1713=Z$3,'GBD estimates'!$L$3:$L$1713=""Meningitis"",'GBD estimates'!$N$3:$N$1713=""Early Neonatal"")"),22.0691039)</f>
        <v>22.0691039</v>
      </c>
      <c r="AA153" s="294">
        <f>IFERROR(__xludf.DUMMYFUNCTION("FILTER('GBD estimates'!$R$3:$R$1713,'GBD estimates'!$K$3:$K$1713=AA$3,'GBD estimates'!$L$3:$L$1713=""Meningitis"",'GBD estimates'!$N$3:$N$1713=""Early Neonatal"")"),26.03058789)</f>
        <v>26.03058789</v>
      </c>
      <c r="AB153" s="294">
        <f>IFERROR(__xludf.DUMMYFUNCTION("FILTER('GBD estimates'!$R$3:$R$1713,'GBD estimates'!$K$3:$K$1713=AB$3,'GBD estimates'!$L$3:$L$1713=""Meningitis"",'GBD estimates'!$N$3:$N$1713=""Early Neonatal"")"),15.21239842)</f>
        <v>15.21239842</v>
      </c>
      <c r="AC153" s="294">
        <f>IFERROR(__xludf.DUMMYFUNCTION("FILTER('GBD estimates'!$R$3:$R$1713,'GBD estimates'!$K$3:$K$1713=AC$3,'GBD estimates'!$L$3:$L$1713=""Meningitis"",'GBD estimates'!$N$3:$N$1713=""Early Neonatal"")"),8.398213867)</f>
        <v>8.398213867</v>
      </c>
      <c r="AD153" s="294">
        <f>IFERROR(__xludf.DUMMYFUNCTION("FILTER('GBD estimates'!$R$3:$R$1713,'GBD estimates'!$K$3:$K$1713=AD$3,'GBD estimates'!$L$3:$L$1713=""Meningitis"",'GBD estimates'!$N$3:$N$1713=""Early Neonatal"")"),12.76307736)</f>
        <v>12.76307736</v>
      </c>
      <c r="AE153" s="294">
        <f>IFERROR(__xludf.DUMMYFUNCTION("FILTER('GBD estimates'!$R$3:$R$1713,'GBD estimates'!$K$3:$K$1713=AE$3,'GBD estimates'!$L$3:$L$1713=""Meningitis"",'GBD estimates'!$N$3:$N$1713=""Early Neonatal"")"),36.68629771)</f>
        <v>36.68629771</v>
      </c>
      <c r="AF153" s="294">
        <f>IFERROR(__xludf.DUMMYFUNCTION("FILTER('GBD estimates'!$R$3:$R$1713,'GBD estimates'!$K$3:$K$1713=AF$3,'GBD estimates'!$L$3:$L$1713=""Meningitis"",'GBD estimates'!$N$3:$N$1713=""Early Neonatal"")"),43.57592011)</f>
        <v>43.57592011</v>
      </c>
      <c r="AG153" s="294">
        <f>IFERROR(__xludf.DUMMYFUNCTION("FILTER('GBD estimates'!$R$3:$R$1713,'GBD estimates'!$K$3:$K$1713=AG$3,'GBD estimates'!$L$3:$L$1713=""Meningitis"",'GBD estimates'!$N$3:$N$1713=""Early Neonatal"")"),11.45004907)</f>
        <v>11.45004907</v>
      </c>
      <c r="AH153" s="294">
        <f>IFERROR(__xludf.DUMMYFUNCTION("FILTER('GBD estimates'!$R$3:$R$1713,'GBD estimates'!$K$3:$K$1713=AH$3,'GBD estimates'!$L$3:$L$1713=""Meningitis"",'GBD estimates'!$N$3:$N$1713=""Early Neonatal"")"),11.61158209)</f>
        <v>11.61158209</v>
      </c>
      <c r="AI153" s="294">
        <f>IFERROR(__xludf.DUMMYFUNCTION("FILTER('GBD estimates'!$R$3:$R$1713,'GBD estimates'!$K$3:$K$1713=AI$3,'GBD estimates'!$L$3:$L$1713=""Meningitis"",'GBD estimates'!$N$3:$N$1713=""Early Neonatal"")"),21.65063764)</f>
        <v>21.65063764</v>
      </c>
      <c r="AJ153" s="294">
        <f>IFERROR(__xludf.DUMMYFUNCTION("FILTER('GBD estimates'!$R$3:$R$1713,'GBD estimates'!$K$3:$K$1713=AJ$3,'GBD estimates'!$L$3:$L$1713=""Meningitis"",'GBD estimates'!$N$3:$N$1713=""Early Neonatal"")"),43.50322354)</f>
        <v>43.50322354</v>
      </c>
      <c r="AK153" s="294">
        <f>IFERROR(__xludf.DUMMYFUNCTION("FILTER('GBD estimates'!$R$3:$R$1713,'GBD estimates'!$K$3:$K$1713=AK$3,'GBD estimates'!$L$3:$L$1713=""Meningitis"",'GBD estimates'!$N$3:$N$1713=""Early Neonatal"")"),92.28288516)</f>
        <v>92.28288516</v>
      </c>
      <c r="AL153" s="294">
        <f>IFERROR(__xludf.DUMMYFUNCTION("FILTER('GBD estimates'!$R$3:$R$1713,'GBD estimates'!$K$3:$K$1713=AL$3,'GBD estimates'!$L$3:$L$1713=""Meningitis"",'GBD estimates'!$N$3:$N$1713=""Early Neonatal"")"),61.83767961)</f>
        <v>61.83767961</v>
      </c>
      <c r="AM153" s="294">
        <f>IFERROR(__xludf.DUMMYFUNCTION("FILTER('GBD estimates'!$R$3:$R$1713,'GBD estimates'!$K$3:$K$1713=AM$3,'GBD estimates'!$L$3:$L$1713=""Meningitis"",'GBD estimates'!$N$3:$N$1713=""Early Neonatal"")"),16.32538475)</f>
        <v>16.32538475</v>
      </c>
      <c r="AN153" s="294">
        <f>IFERROR(__xludf.DUMMYFUNCTION("FILTER('GBD estimates'!$R$3:$R$1713,'GBD estimates'!$K$3:$K$1713=AN$3,'GBD estimates'!$L$3:$L$1713=""Meningitis"",'GBD estimates'!$N$3:$N$1713=""Early Neonatal"")"),13.57805059)</f>
        <v>13.57805059</v>
      </c>
      <c r="AO153" s="294">
        <f>IFERROR(__xludf.DUMMYFUNCTION("FILTER('GBD estimates'!$R$3:$R$1713,'GBD estimates'!$K$3:$K$1713=AO$3,'GBD estimates'!$L$3:$L$1713=""Meningitis"",'GBD estimates'!$N$3:$N$1713=""Early Neonatal"")"),20.95907005)</f>
        <v>20.95907005</v>
      </c>
      <c r="AP153" s="294">
        <f>IFERROR(__xludf.DUMMYFUNCTION("FILTER('GBD estimates'!$R$3:$R$1713,'GBD estimates'!$K$3:$K$1713=AP$3,'GBD estimates'!$L$3:$L$1713=""Meningitis"",'GBD estimates'!$N$3:$N$1713=""Early Neonatal"")"),66.10390092)</f>
        <v>66.10390092</v>
      </c>
      <c r="AQ153" s="294">
        <f>IFERROR(__xludf.DUMMYFUNCTION("FILTER('GBD estimates'!$R$3:$R$1713,'GBD estimates'!$K$3:$K$1713=AQ$3,'GBD estimates'!$L$3:$L$1713=""Meningitis"",'GBD estimates'!$N$3:$N$1713=""Early Neonatal"")"),17.25377488)</f>
        <v>17.25377488</v>
      </c>
      <c r="AR153" s="294">
        <f>IFERROR(__xludf.DUMMYFUNCTION("FILTER('GBD estimates'!$R$3:$R$1713,'GBD estimates'!$K$3:$K$1713=AR$3,'GBD estimates'!$L$3:$L$1713=""Meningitis"",'GBD estimates'!$N$3:$N$1713=""Early Neonatal"")"),79.06687657)</f>
        <v>79.06687657</v>
      </c>
      <c r="AS153" s="294">
        <f>IFERROR(__xludf.DUMMYFUNCTION("FILTER('GBD estimates'!$R$3:$R$1713,'GBD estimates'!$K$3:$K$1713=AS$3,'GBD estimates'!$L$3:$L$1713=""Meningitis"",'GBD estimates'!$N$3:$N$1713=""Early Neonatal"")"),53.62660007)</f>
        <v>53.62660007</v>
      </c>
      <c r="AT153" s="555"/>
      <c r="AU153" s="566" t="s">
        <v>855</v>
      </c>
      <c r="AV153" s="557"/>
    </row>
    <row r="154">
      <c r="A154" s="540"/>
      <c r="B154" s="206"/>
      <c r="C154" s="206"/>
      <c r="D154" s="206"/>
      <c r="E154" s="553" t="s">
        <v>504</v>
      </c>
      <c r="F154" s="278" t="s">
        <v>111</v>
      </c>
      <c r="G154" s="279" t="s">
        <v>203</v>
      </c>
      <c r="H154" s="581" t="s">
        <v>150</v>
      </c>
      <c r="I154" s="294">
        <f>IFERROR(__xludf.DUMMYFUNCTION("FILTER('GBD estimates'!$R$3:$R$1713,'GBD estimates'!$K$3:$K$1713=I$3,'GBD estimates'!$L$3:$L$1713=""Meningitis"",'GBD estimates'!$N$3:$N$1713=""Late Neonatal"")"),52.03234816)</f>
        <v>52.03234816</v>
      </c>
      <c r="J154" s="294">
        <f>IFERROR(__xludf.DUMMYFUNCTION("FILTER('GBD estimates'!$R$3:$R$1713,'GBD estimates'!$K$3:$K$1713=J$3,'GBD estimates'!$L$3:$L$1713=""Meningitis"",'GBD estimates'!$N$3:$N$1713=""Late Neonatal"")"),22.47834852)</f>
        <v>22.47834852</v>
      </c>
      <c r="K154" s="294">
        <f>IFERROR(__xludf.DUMMYFUNCTION("FILTER('GBD estimates'!$R$3:$R$1713,'GBD estimates'!$K$3:$K$1713=K$3,'GBD estimates'!$L$3:$L$1713=""Meningitis"",'GBD estimates'!$N$3:$N$1713=""Late Neonatal"")"),40.57253079)</f>
        <v>40.57253079</v>
      </c>
      <c r="L154" s="294">
        <f>IFERROR(__xludf.DUMMYFUNCTION("FILTER('GBD estimates'!$R$3:$R$1713,'GBD estimates'!$K$3:$K$1713=L$3,'GBD estimates'!$L$3:$L$1713=""Meningitis"",'GBD estimates'!$N$3:$N$1713=""Late Neonatal"")"),68.29007617)</f>
        <v>68.29007617</v>
      </c>
      <c r="M154" s="294">
        <f>IFERROR(__xludf.DUMMYFUNCTION("FILTER('GBD estimates'!$R$3:$R$1713,'GBD estimates'!$K$3:$K$1713=M$3,'GBD estimates'!$L$3:$L$1713=""Meningitis"",'GBD estimates'!$N$3:$N$1713=""Late Neonatal"")"),157.4103247)</f>
        <v>157.4103247</v>
      </c>
      <c r="N154" s="294">
        <f>IFERROR(__xludf.DUMMYFUNCTION("FILTER('GBD estimates'!$R$3:$R$1713,'GBD estimates'!$K$3:$K$1713=N$3,'GBD estimates'!$L$3:$L$1713=""Meningitis"",'GBD estimates'!$N$3:$N$1713=""Late Neonatal"")"),105.1597916)</f>
        <v>105.1597916</v>
      </c>
      <c r="O154" s="294">
        <f>IFERROR(__xludf.DUMMYFUNCTION("FILTER('GBD estimates'!$R$3:$R$1713,'GBD estimates'!$K$3:$K$1713=O$3,'GBD estimates'!$L$3:$L$1713=""Meningitis"",'GBD estimates'!$N$3:$N$1713=""Late Neonatal"")"),44.52235959)</f>
        <v>44.52235959</v>
      </c>
      <c r="P154" s="294">
        <f>IFERROR(__xludf.DUMMYFUNCTION("FILTER('GBD estimates'!$R$3:$R$1713,'GBD estimates'!$K$3:$K$1713=P$3,'GBD estimates'!$L$3:$L$1713=""Meningitis"",'GBD estimates'!$N$3:$N$1713=""Late Neonatal"")"),105.0810759)</f>
        <v>105.0810759</v>
      </c>
      <c r="Q154" s="294">
        <f>IFERROR(__xludf.DUMMYFUNCTION("FILTER('GBD estimates'!$R$3:$R$1713,'GBD estimates'!$K$3:$K$1713=Q$3,'GBD estimates'!$L$3:$L$1713=""Meningitis"",'GBD estimates'!$N$3:$N$1713=""Late Neonatal"")"),58.31154912)</f>
        <v>58.31154912</v>
      </c>
      <c r="R154" s="294">
        <f>IFERROR(__xludf.DUMMYFUNCTION("FILTER('GBD estimates'!$R$3:$R$1713,'GBD estimates'!$K$3:$K$1713=R$3,'GBD estimates'!$L$3:$L$1713=""Meningitis"",'GBD estimates'!$N$3:$N$1713=""Late Neonatal"")"),9.239309279)</f>
        <v>9.239309279</v>
      </c>
      <c r="S154" s="294">
        <f>IFERROR(__xludf.DUMMYFUNCTION("FILTER('GBD estimates'!$R$3:$R$1713,'GBD estimates'!$K$3:$K$1713=S$3,'GBD estimates'!$L$3:$L$1713=""Meningitis"",'GBD estimates'!$N$3:$N$1713=""Late Neonatal"")"),17.47134003)</f>
        <v>17.47134003</v>
      </c>
      <c r="T154" s="294">
        <f>IFERROR(__xludf.DUMMYFUNCTION("FILTER('GBD estimates'!$R$3:$R$1713,'GBD estimates'!$K$3:$K$1713=T$3,'GBD estimates'!$L$3:$L$1713=""Meningitis"",'GBD estimates'!$N$3:$N$1713=""Late Neonatal"")"),4.712088948)</f>
        <v>4.712088948</v>
      </c>
      <c r="U154" s="294">
        <f>IFERROR(__xludf.DUMMYFUNCTION("FILTER('GBD estimates'!$R$3:$R$1713,'GBD estimates'!$K$3:$K$1713=U$3,'GBD estimates'!$L$3:$L$1713=""Meningitis"",'GBD estimates'!$N$3:$N$1713=""Late Neonatal"")"),11.73715441)</f>
        <v>11.73715441</v>
      </c>
      <c r="V154" s="294">
        <f>IFERROR(__xludf.DUMMYFUNCTION("FILTER('GBD estimates'!$R$3:$R$1713,'GBD estimates'!$K$3:$K$1713=V$3,'GBD estimates'!$L$3:$L$1713=""Meningitis"",'GBD estimates'!$N$3:$N$1713=""Late Neonatal"")"),1.616658064)</f>
        <v>1.616658064</v>
      </c>
      <c r="W154" s="294">
        <f>IFERROR(__xludf.DUMMYFUNCTION("FILTER('GBD estimates'!$R$3:$R$1713,'GBD estimates'!$K$3:$K$1713=W$3,'GBD estimates'!$L$3:$L$1713=""Meningitis"",'GBD estimates'!$N$3:$N$1713=""Late Neonatal"")"),37.0440206)</f>
        <v>37.0440206</v>
      </c>
      <c r="X154" s="294">
        <f>IFERROR(__xludf.DUMMYFUNCTION("FILTER('GBD estimates'!$R$3:$R$1713,'GBD estimates'!$K$3:$K$1713=X$3,'GBD estimates'!$L$3:$L$1713=""Meningitis"",'GBD estimates'!$N$3:$N$1713=""Late Neonatal"")"),17.84102987)</f>
        <v>17.84102987</v>
      </c>
      <c r="Y154" s="294">
        <f>IFERROR(__xludf.DUMMYFUNCTION("FILTER('GBD estimates'!$R$3:$R$1713,'GBD estimates'!$K$3:$K$1713=Y$3,'GBD estimates'!$L$3:$L$1713=""Meningitis"",'GBD estimates'!$N$3:$N$1713=""Late Neonatal"")"),4.592414057)</f>
        <v>4.592414057</v>
      </c>
      <c r="Z154" s="294">
        <f>IFERROR(__xludf.DUMMYFUNCTION("FILTER('GBD estimates'!$R$3:$R$1713,'GBD estimates'!$K$3:$K$1713=Z$3,'GBD estimates'!$L$3:$L$1713=""Meningitis"",'GBD estimates'!$N$3:$N$1713=""Late Neonatal"")"),14.38200631)</f>
        <v>14.38200631</v>
      </c>
      <c r="AA154" s="294">
        <f>IFERROR(__xludf.DUMMYFUNCTION("FILTER('GBD estimates'!$R$3:$R$1713,'GBD estimates'!$K$3:$K$1713=AA$3,'GBD estimates'!$L$3:$L$1713=""Meningitis"",'GBD estimates'!$N$3:$N$1713=""Late Neonatal"")"),13.62012144)</f>
        <v>13.62012144</v>
      </c>
      <c r="AB154" s="294">
        <f>IFERROR(__xludf.DUMMYFUNCTION("FILTER('GBD estimates'!$R$3:$R$1713,'GBD estimates'!$K$3:$K$1713=AB$3,'GBD estimates'!$L$3:$L$1713=""Meningitis"",'GBD estimates'!$N$3:$N$1713=""Late Neonatal"")"),8.540034917)</f>
        <v>8.540034917</v>
      </c>
      <c r="AC154" s="294">
        <f>IFERROR(__xludf.DUMMYFUNCTION("FILTER('GBD estimates'!$R$3:$R$1713,'GBD estimates'!$K$3:$K$1713=AC$3,'GBD estimates'!$L$3:$L$1713=""Meningitis"",'GBD estimates'!$N$3:$N$1713=""Late Neonatal"")"),3.405789601)</f>
        <v>3.405789601</v>
      </c>
      <c r="AD154" s="294">
        <f>IFERROR(__xludf.DUMMYFUNCTION("FILTER('GBD estimates'!$R$3:$R$1713,'GBD estimates'!$K$3:$K$1713=AD$3,'GBD estimates'!$L$3:$L$1713=""Meningitis"",'GBD estimates'!$N$3:$N$1713=""Late Neonatal"")"),10.89327711)</f>
        <v>10.89327711</v>
      </c>
      <c r="AE154" s="294">
        <f>IFERROR(__xludf.DUMMYFUNCTION("FILTER('GBD estimates'!$R$3:$R$1713,'GBD estimates'!$K$3:$K$1713=AE$3,'GBD estimates'!$L$3:$L$1713=""Meningitis"",'GBD estimates'!$N$3:$N$1713=""Late Neonatal"")"),16.43220052)</f>
        <v>16.43220052</v>
      </c>
      <c r="AF154" s="294">
        <f>IFERROR(__xludf.DUMMYFUNCTION("FILTER('GBD estimates'!$R$3:$R$1713,'GBD estimates'!$K$3:$K$1713=AF$3,'GBD estimates'!$L$3:$L$1713=""Meningitis"",'GBD estimates'!$N$3:$N$1713=""Late Neonatal"")"),13.26588654)</f>
        <v>13.26588654</v>
      </c>
      <c r="AG154" s="294">
        <f>IFERROR(__xludf.DUMMYFUNCTION("FILTER('GBD estimates'!$R$3:$R$1713,'GBD estimates'!$K$3:$K$1713=AG$3,'GBD estimates'!$L$3:$L$1713=""Meningitis"",'GBD estimates'!$N$3:$N$1713=""Late Neonatal"")"),6.007446286)</f>
        <v>6.007446286</v>
      </c>
      <c r="AH154" s="294">
        <f>IFERROR(__xludf.DUMMYFUNCTION("FILTER('GBD estimates'!$R$3:$R$1713,'GBD estimates'!$K$3:$K$1713=AH$3,'GBD estimates'!$L$3:$L$1713=""Meningitis"",'GBD estimates'!$N$3:$N$1713=""Late Neonatal"")"),8.6705455)</f>
        <v>8.6705455</v>
      </c>
      <c r="AI154" s="294">
        <f>IFERROR(__xludf.DUMMYFUNCTION("FILTER('GBD estimates'!$R$3:$R$1713,'GBD estimates'!$K$3:$K$1713=AI$3,'GBD estimates'!$L$3:$L$1713=""Meningitis"",'GBD estimates'!$N$3:$N$1713=""Late Neonatal"")"),10.25538763)</f>
        <v>10.25538763</v>
      </c>
      <c r="AJ154" s="294">
        <f>IFERROR(__xludf.DUMMYFUNCTION("FILTER('GBD estimates'!$R$3:$R$1713,'GBD estimates'!$K$3:$K$1713=AJ$3,'GBD estimates'!$L$3:$L$1713=""Meningitis"",'GBD estimates'!$N$3:$N$1713=""Late Neonatal"")"),27.30440462)</f>
        <v>27.30440462</v>
      </c>
      <c r="AK154" s="294">
        <f>IFERROR(__xludf.DUMMYFUNCTION("FILTER('GBD estimates'!$R$3:$R$1713,'GBD estimates'!$K$3:$K$1713=AK$3,'GBD estimates'!$L$3:$L$1713=""Meningitis"",'GBD estimates'!$N$3:$N$1713=""Late Neonatal"")"),84.11014099)</f>
        <v>84.11014099</v>
      </c>
      <c r="AL154" s="294">
        <f>IFERROR(__xludf.DUMMYFUNCTION("FILTER('GBD estimates'!$R$3:$R$1713,'GBD estimates'!$K$3:$K$1713=AL$3,'GBD estimates'!$L$3:$L$1713=""Meningitis"",'GBD estimates'!$N$3:$N$1713=""Late Neonatal"")"),47.05543466)</f>
        <v>47.05543466</v>
      </c>
      <c r="AM154" s="294">
        <f>IFERROR(__xludf.DUMMYFUNCTION("FILTER('GBD estimates'!$R$3:$R$1713,'GBD estimates'!$K$3:$K$1713=AM$3,'GBD estimates'!$L$3:$L$1713=""Meningitis"",'GBD estimates'!$N$3:$N$1713=""Late Neonatal"")"),8.11726436)</f>
        <v>8.11726436</v>
      </c>
      <c r="AN154" s="294">
        <f>IFERROR(__xludf.DUMMYFUNCTION("FILTER('GBD estimates'!$R$3:$R$1713,'GBD estimates'!$K$3:$K$1713=AN$3,'GBD estimates'!$L$3:$L$1713=""Meningitis"",'GBD estimates'!$N$3:$N$1713=""Late Neonatal"")"),9.057157988)</f>
        <v>9.057157988</v>
      </c>
      <c r="AO154" s="294">
        <f>IFERROR(__xludf.DUMMYFUNCTION("FILTER('GBD estimates'!$R$3:$R$1713,'GBD estimates'!$K$3:$K$1713=AO$3,'GBD estimates'!$L$3:$L$1713=""Meningitis"",'GBD estimates'!$N$3:$N$1713=""Late Neonatal"")"),3.908863392)</f>
        <v>3.908863392</v>
      </c>
      <c r="AP154" s="294">
        <f>IFERROR(__xludf.DUMMYFUNCTION("FILTER('GBD estimates'!$R$3:$R$1713,'GBD estimates'!$K$3:$K$1713=AP$3,'GBD estimates'!$L$3:$L$1713=""Meningitis"",'GBD estimates'!$N$3:$N$1713=""Late Neonatal"")"),47.21916433)</f>
        <v>47.21916433</v>
      </c>
      <c r="AQ154" s="294">
        <f>IFERROR(__xludf.DUMMYFUNCTION("FILTER('GBD estimates'!$R$3:$R$1713,'GBD estimates'!$K$3:$K$1713=AQ$3,'GBD estimates'!$L$3:$L$1713=""Meningitis"",'GBD estimates'!$N$3:$N$1713=""Late Neonatal"")"),7.757917506)</f>
        <v>7.757917506</v>
      </c>
      <c r="AR154" s="294">
        <f>IFERROR(__xludf.DUMMYFUNCTION("FILTER('GBD estimates'!$R$3:$R$1713,'GBD estimates'!$K$3:$K$1713=AR$3,'GBD estimates'!$L$3:$L$1713=""Meningitis"",'GBD estimates'!$N$3:$N$1713=""Late Neonatal"")"),44.60534573)</f>
        <v>44.60534573</v>
      </c>
      <c r="AS154" s="294">
        <f>IFERROR(__xludf.DUMMYFUNCTION("FILTER('GBD estimates'!$R$3:$R$1713,'GBD estimates'!$K$3:$K$1713=AS$3,'GBD estimates'!$L$3:$L$1713=""Meningitis"",'GBD estimates'!$N$3:$N$1713=""Late Neonatal"")"),24.43461597)</f>
        <v>24.43461597</v>
      </c>
      <c r="AT154" s="555"/>
      <c r="AU154" s="566" t="s">
        <v>855</v>
      </c>
      <c r="AV154" s="557"/>
    </row>
    <row r="155">
      <c r="A155" s="540"/>
      <c r="B155" s="206"/>
      <c r="C155" s="206"/>
      <c r="D155" s="206"/>
      <c r="E155" s="553" t="s">
        <v>512</v>
      </c>
      <c r="F155" s="278" t="s">
        <v>122</v>
      </c>
      <c r="G155" s="279" t="s">
        <v>203</v>
      </c>
      <c r="H155" s="554">
        <v>0.1</v>
      </c>
      <c r="I155" s="299" t="s">
        <v>150</v>
      </c>
      <c r="J155" s="299" t="s">
        <v>150</v>
      </c>
      <c r="K155" s="299" t="s">
        <v>150</v>
      </c>
      <c r="L155" s="299" t="s">
        <v>150</v>
      </c>
      <c r="M155" s="299" t="s">
        <v>150</v>
      </c>
      <c r="N155" s="299" t="s">
        <v>150</v>
      </c>
      <c r="O155" s="299" t="s">
        <v>150</v>
      </c>
      <c r="P155" s="299" t="s">
        <v>150</v>
      </c>
      <c r="Q155" s="299" t="s">
        <v>150</v>
      </c>
      <c r="R155" s="299" t="s">
        <v>150</v>
      </c>
      <c r="S155" s="299" t="s">
        <v>150</v>
      </c>
      <c r="T155" s="299" t="s">
        <v>150</v>
      </c>
      <c r="U155" s="299" t="s">
        <v>150</v>
      </c>
      <c r="V155" s="299" t="s">
        <v>150</v>
      </c>
      <c r="W155" s="299" t="s">
        <v>150</v>
      </c>
      <c r="X155" s="299" t="s">
        <v>150</v>
      </c>
      <c r="Y155" s="299" t="s">
        <v>150</v>
      </c>
      <c r="Z155" s="299" t="s">
        <v>150</v>
      </c>
      <c r="AA155" s="299" t="s">
        <v>150</v>
      </c>
      <c r="AB155" s="299" t="s">
        <v>150</v>
      </c>
      <c r="AC155" s="299" t="s">
        <v>150</v>
      </c>
      <c r="AD155" s="299" t="s">
        <v>150</v>
      </c>
      <c r="AE155" s="299" t="s">
        <v>150</v>
      </c>
      <c r="AF155" s="299" t="s">
        <v>150</v>
      </c>
      <c r="AG155" s="299" t="s">
        <v>150</v>
      </c>
      <c r="AH155" s="299" t="s">
        <v>150</v>
      </c>
      <c r="AI155" s="299" t="s">
        <v>150</v>
      </c>
      <c r="AJ155" s="299" t="s">
        <v>150</v>
      </c>
      <c r="AK155" s="299" t="s">
        <v>150</v>
      </c>
      <c r="AL155" s="299" t="s">
        <v>150</v>
      </c>
      <c r="AM155" s="299" t="s">
        <v>150</v>
      </c>
      <c r="AN155" s="299" t="s">
        <v>150</v>
      </c>
      <c r="AO155" s="299" t="s">
        <v>150</v>
      </c>
      <c r="AP155" s="299" t="s">
        <v>150</v>
      </c>
      <c r="AQ155" s="299" t="s">
        <v>150</v>
      </c>
      <c r="AR155" s="299" t="s">
        <v>150</v>
      </c>
      <c r="AS155" s="299" t="s">
        <v>150</v>
      </c>
      <c r="AT155" s="555"/>
      <c r="AU155" s="566" t="s">
        <v>809</v>
      </c>
      <c r="AV155" s="557"/>
    </row>
    <row r="156">
      <c r="A156" s="540"/>
      <c r="B156" s="206"/>
      <c r="C156" s="206"/>
      <c r="D156" s="206"/>
      <c r="E156" s="553" t="s">
        <v>997</v>
      </c>
      <c r="F156" s="278" t="s">
        <v>122</v>
      </c>
      <c r="G156" s="279" t="s">
        <v>203</v>
      </c>
      <c r="H156" s="554">
        <v>0.2189</v>
      </c>
      <c r="I156" s="299" t="s">
        <v>150</v>
      </c>
      <c r="J156" s="299" t="s">
        <v>150</v>
      </c>
      <c r="K156" s="299" t="s">
        <v>150</v>
      </c>
      <c r="L156" s="299" t="s">
        <v>150</v>
      </c>
      <c r="M156" s="299" t="s">
        <v>150</v>
      </c>
      <c r="N156" s="299" t="s">
        <v>150</v>
      </c>
      <c r="O156" s="299" t="s">
        <v>150</v>
      </c>
      <c r="P156" s="299" t="s">
        <v>150</v>
      </c>
      <c r="Q156" s="299" t="s">
        <v>150</v>
      </c>
      <c r="R156" s="299" t="s">
        <v>150</v>
      </c>
      <c r="S156" s="299" t="s">
        <v>150</v>
      </c>
      <c r="T156" s="299" t="s">
        <v>150</v>
      </c>
      <c r="U156" s="299" t="s">
        <v>150</v>
      </c>
      <c r="V156" s="299" t="s">
        <v>150</v>
      </c>
      <c r="W156" s="299" t="s">
        <v>150</v>
      </c>
      <c r="X156" s="299" t="s">
        <v>150</v>
      </c>
      <c r="Y156" s="299" t="s">
        <v>150</v>
      </c>
      <c r="Z156" s="299" t="s">
        <v>150</v>
      </c>
      <c r="AA156" s="299" t="s">
        <v>150</v>
      </c>
      <c r="AB156" s="299" t="s">
        <v>150</v>
      </c>
      <c r="AC156" s="299" t="s">
        <v>150</v>
      </c>
      <c r="AD156" s="299" t="s">
        <v>150</v>
      </c>
      <c r="AE156" s="299" t="s">
        <v>150</v>
      </c>
      <c r="AF156" s="299" t="s">
        <v>150</v>
      </c>
      <c r="AG156" s="299" t="s">
        <v>150</v>
      </c>
      <c r="AH156" s="299" t="s">
        <v>150</v>
      </c>
      <c r="AI156" s="299" t="s">
        <v>150</v>
      </c>
      <c r="AJ156" s="299" t="s">
        <v>150</v>
      </c>
      <c r="AK156" s="299" t="s">
        <v>150</v>
      </c>
      <c r="AL156" s="299" t="s">
        <v>150</v>
      </c>
      <c r="AM156" s="299" t="s">
        <v>150</v>
      </c>
      <c r="AN156" s="299" t="s">
        <v>150</v>
      </c>
      <c r="AO156" s="299" t="s">
        <v>150</v>
      </c>
      <c r="AP156" s="299" t="s">
        <v>150</v>
      </c>
      <c r="AQ156" s="299" t="s">
        <v>150</v>
      </c>
      <c r="AR156" s="299" t="s">
        <v>150</v>
      </c>
      <c r="AS156" s="299" t="s">
        <v>150</v>
      </c>
      <c r="AT156" s="555"/>
      <c r="AU156" s="566" t="s">
        <v>998</v>
      </c>
      <c r="AV156" s="557"/>
    </row>
    <row r="157">
      <c r="A157" s="540"/>
      <c r="B157" s="206"/>
      <c r="C157" s="206"/>
      <c r="D157" s="206"/>
      <c r="E157" s="548" t="s">
        <v>536</v>
      </c>
      <c r="F157" s="207" t="s">
        <v>122</v>
      </c>
      <c r="G157" s="208" t="s">
        <v>203</v>
      </c>
      <c r="H157" s="549">
        <v>0.11261</v>
      </c>
      <c r="I157" s="294" t="s">
        <v>150</v>
      </c>
      <c r="J157" s="294" t="s">
        <v>150</v>
      </c>
      <c r="K157" s="294" t="s">
        <v>150</v>
      </c>
      <c r="L157" s="294" t="s">
        <v>150</v>
      </c>
      <c r="M157" s="294" t="s">
        <v>150</v>
      </c>
      <c r="N157" s="294" t="s">
        <v>150</v>
      </c>
      <c r="O157" s="294" t="s">
        <v>150</v>
      </c>
      <c r="P157" s="294" t="s">
        <v>150</v>
      </c>
      <c r="Q157" s="294" t="s">
        <v>150</v>
      </c>
      <c r="R157" s="294" t="s">
        <v>150</v>
      </c>
      <c r="S157" s="294" t="s">
        <v>150</v>
      </c>
      <c r="T157" s="294" t="s">
        <v>150</v>
      </c>
      <c r="U157" s="294" t="s">
        <v>150</v>
      </c>
      <c r="V157" s="294" t="s">
        <v>150</v>
      </c>
      <c r="W157" s="294" t="s">
        <v>150</v>
      </c>
      <c r="X157" s="294" t="s">
        <v>150</v>
      </c>
      <c r="Y157" s="294" t="s">
        <v>150</v>
      </c>
      <c r="Z157" s="294" t="s">
        <v>150</v>
      </c>
      <c r="AA157" s="294" t="s">
        <v>150</v>
      </c>
      <c r="AB157" s="294" t="s">
        <v>150</v>
      </c>
      <c r="AC157" s="294" t="s">
        <v>150</v>
      </c>
      <c r="AD157" s="294" t="s">
        <v>150</v>
      </c>
      <c r="AE157" s="294" t="s">
        <v>150</v>
      </c>
      <c r="AF157" s="294" t="s">
        <v>150</v>
      </c>
      <c r="AG157" s="294" t="s">
        <v>150</v>
      </c>
      <c r="AH157" s="294" t="s">
        <v>150</v>
      </c>
      <c r="AI157" s="294" t="s">
        <v>150</v>
      </c>
      <c r="AJ157" s="294" t="s">
        <v>150</v>
      </c>
      <c r="AK157" s="294" t="s">
        <v>150</v>
      </c>
      <c r="AL157" s="294" t="s">
        <v>150</v>
      </c>
      <c r="AM157" s="294" t="s">
        <v>150</v>
      </c>
      <c r="AN157" s="294" t="s">
        <v>150</v>
      </c>
      <c r="AO157" s="294" t="s">
        <v>150</v>
      </c>
      <c r="AP157" s="294" t="s">
        <v>150</v>
      </c>
      <c r="AQ157" s="294" t="s">
        <v>150</v>
      </c>
      <c r="AR157" s="294" t="s">
        <v>150</v>
      </c>
      <c r="AS157" s="294" t="s">
        <v>150</v>
      </c>
      <c r="AT157" s="550"/>
      <c r="AU157" s="742" t="s">
        <v>795</v>
      </c>
      <c r="AV157" s="582" t="s">
        <v>153</v>
      </c>
    </row>
    <row r="158">
      <c r="A158" s="540"/>
      <c r="B158" s="206"/>
      <c r="C158" s="206"/>
      <c r="D158" s="206"/>
      <c r="E158" s="553" t="s">
        <v>999</v>
      </c>
      <c r="F158" s="278" t="s">
        <v>122</v>
      </c>
      <c r="G158" s="279" t="s">
        <v>203</v>
      </c>
      <c r="H158" s="554">
        <v>0.2672</v>
      </c>
      <c r="I158" s="299" t="s">
        <v>150</v>
      </c>
      <c r="J158" s="299" t="s">
        <v>150</v>
      </c>
      <c r="K158" s="299" t="s">
        <v>150</v>
      </c>
      <c r="L158" s="299" t="s">
        <v>150</v>
      </c>
      <c r="M158" s="299" t="s">
        <v>150</v>
      </c>
      <c r="N158" s="299" t="s">
        <v>150</v>
      </c>
      <c r="O158" s="299" t="s">
        <v>150</v>
      </c>
      <c r="P158" s="299" t="s">
        <v>150</v>
      </c>
      <c r="Q158" s="299" t="s">
        <v>150</v>
      </c>
      <c r="R158" s="299" t="s">
        <v>150</v>
      </c>
      <c r="S158" s="299" t="s">
        <v>150</v>
      </c>
      <c r="T158" s="299" t="s">
        <v>150</v>
      </c>
      <c r="U158" s="299" t="s">
        <v>150</v>
      </c>
      <c r="V158" s="299" t="s">
        <v>150</v>
      </c>
      <c r="W158" s="299" t="s">
        <v>150</v>
      </c>
      <c r="X158" s="299" t="s">
        <v>150</v>
      </c>
      <c r="Y158" s="299" t="s">
        <v>150</v>
      </c>
      <c r="Z158" s="299" t="s">
        <v>150</v>
      </c>
      <c r="AA158" s="299" t="s">
        <v>150</v>
      </c>
      <c r="AB158" s="299" t="s">
        <v>150</v>
      </c>
      <c r="AC158" s="299" t="s">
        <v>150</v>
      </c>
      <c r="AD158" s="299" t="s">
        <v>150</v>
      </c>
      <c r="AE158" s="299" t="s">
        <v>150</v>
      </c>
      <c r="AF158" s="299" t="s">
        <v>150</v>
      </c>
      <c r="AG158" s="299" t="s">
        <v>150</v>
      </c>
      <c r="AH158" s="299" t="s">
        <v>150</v>
      </c>
      <c r="AI158" s="299" t="s">
        <v>150</v>
      </c>
      <c r="AJ158" s="299" t="s">
        <v>150</v>
      </c>
      <c r="AK158" s="299" t="s">
        <v>150</v>
      </c>
      <c r="AL158" s="299" t="s">
        <v>150</v>
      </c>
      <c r="AM158" s="299" t="s">
        <v>150</v>
      </c>
      <c r="AN158" s="299" t="s">
        <v>150</v>
      </c>
      <c r="AO158" s="299" t="s">
        <v>150</v>
      </c>
      <c r="AP158" s="299" t="s">
        <v>150</v>
      </c>
      <c r="AQ158" s="299" t="s">
        <v>150</v>
      </c>
      <c r="AR158" s="299" t="s">
        <v>150</v>
      </c>
      <c r="AS158" s="299" t="s">
        <v>150</v>
      </c>
      <c r="AT158" s="555"/>
      <c r="AU158" s="566" t="s">
        <v>998</v>
      </c>
      <c r="AV158" s="557"/>
    </row>
    <row r="159">
      <c r="A159" s="540"/>
      <c r="B159" s="206"/>
      <c r="C159" s="206"/>
      <c r="D159" s="206"/>
      <c r="E159" s="558" t="s">
        <v>567</v>
      </c>
      <c r="F159" s="283" t="s">
        <v>122</v>
      </c>
      <c r="G159" s="285" t="s">
        <v>203</v>
      </c>
      <c r="H159" s="559">
        <v>1.00085</v>
      </c>
      <c r="I159" s="660" t="s">
        <v>150</v>
      </c>
      <c r="J159" s="660" t="s">
        <v>150</v>
      </c>
      <c r="K159" s="660" t="s">
        <v>150</v>
      </c>
      <c r="L159" s="660" t="s">
        <v>150</v>
      </c>
      <c r="M159" s="660" t="s">
        <v>150</v>
      </c>
      <c r="N159" s="660" t="s">
        <v>150</v>
      </c>
      <c r="O159" s="660" t="s">
        <v>150</v>
      </c>
      <c r="P159" s="660" t="s">
        <v>150</v>
      </c>
      <c r="Q159" s="660" t="s">
        <v>150</v>
      </c>
      <c r="R159" s="660" t="s">
        <v>150</v>
      </c>
      <c r="S159" s="660" t="s">
        <v>150</v>
      </c>
      <c r="T159" s="660" t="s">
        <v>150</v>
      </c>
      <c r="U159" s="660" t="s">
        <v>150</v>
      </c>
      <c r="V159" s="660" t="s">
        <v>150</v>
      </c>
      <c r="W159" s="660" t="s">
        <v>150</v>
      </c>
      <c r="X159" s="660" t="s">
        <v>150</v>
      </c>
      <c r="Y159" s="660" t="s">
        <v>150</v>
      </c>
      <c r="Z159" s="660" t="s">
        <v>150</v>
      </c>
      <c r="AA159" s="660" t="s">
        <v>150</v>
      </c>
      <c r="AB159" s="660" t="s">
        <v>150</v>
      </c>
      <c r="AC159" s="660" t="s">
        <v>150</v>
      </c>
      <c r="AD159" s="660" t="s">
        <v>150</v>
      </c>
      <c r="AE159" s="660" t="s">
        <v>150</v>
      </c>
      <c r="AF159" s="660" t="s">
        <v>150</v>
      </c>
      <c r="AG159" s="660" t="s">
        <v>150</v>
      </c>
      <c r="AH159" s="660" t="s">
        <v>150</v>
      </c>
      <c r="AI159" s="660" t="s">
        <v>150</v>
      </c>
      <c r="AJ159" s="660" t="s">
        <v>150</v>
      </c>
      <c r="AK159" s="660" t="s">
        <v>150</v>
      </c>
      <c r="AL159" s="660" t="s">
        <v>150</v>
      </c>
      <c r="AM159" s="660" t="s">
        <v>150</v>
      </c>
      <c r="AN159" s="660" t="s">
        <v>150</v>
      </c>
      <c r="AO159" s="660" t="s">
        <v>150</v>
      </c>
      <c r="AP159" s="660" t="s">
        <v>150</v>
      </c>
      <c r="AQ159" s="660" t="s">
        <v>150</v>
      </c>
      <c r="AR159" s="660" t="s">
        <v>150</v>
      </c>
      <c r="AS159" s="660" t="s">
        <v>150</v>
      </c>
      <c r="AT159" s="560"/>
      <c r="AU159" s="743" t="s">
        <v>795</v>
      </c>
      <c r="AV159" s="596" t="s">
        <v>153</v>
      </c>
    </row>
    <row r="160">
      <c r="A160" s="540"/>
      <c r="B160" s="206"/>
      <c r="C160" s="126"/>
      <c r="D160" s="126"/>
      <c r="E160" s="107"/>
      <c r="F160" s="201"/>
      <c r="G160" s="202"/>
      <c r="H160" s="542"/>
      <c r="I160" s="266"/>
      <c r="J160" s="266"/>
      <c r="K160" s="266"/>
      <c r="L160" s="266"/>
      <c r="M160" s="266"/>
      <c r="N160" s="266"/>
      <c r="O160" s="266"/>
      <c r="P160" s="266"/>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543"/>
      <c r="AU160" s="544"/>
      <c r="AV160" s="545"/>
    </row>
    <row r="161">
      <c r="A161" s="206"/>
      <c r="B161" s="206"/>
      <c r="C161" s="126" t="s">
        <v>588</v>
      </c>
      <c r="F161" s="201"/>
      <c r="G161" s="201"/>
      <c r="H161" s="542"/>
      <c r="I161" s="266"/>
      <c r="J161" s="266"/>
      <c r="K161" s="266"/>
      <c r="L161" s="266"/>
      <c r="M161" s="266"/>
      <c r="N161" s="266"/>
      <c r="O161" s="266"/>
      <c r="P161" s="266"/>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AN161" s="266"/>
      <c r="AO161" s="266"/>
      <c r="AP161" s="266"/>
      <c r="AQ161" s="266"/>
      <c r="AR161" s="266"/>
      <c r="AS161" s="266"/>
      <c r="AT161" s="543"/>
      <c r="AU161" s="544"/>
      <c r="AV161" s="545"/>
    </row>
    <row r="162">
      <c r="A162" s="540"/>
      <c r="B162" s="206"/>
      <c r="C162" s="206"/>
      <c r="D162" s="206"/>
      <c r="E162" s="548" t="s">
        <v>591</v>
      </c>
      <c r="F162" s="207" t="s">
        <v>122</v>
      </c>
      <c r="G162" s="208" t="s">
        <v>203</v>
      </c>
      <c r="H162" s="578" t="s">
        <v>150</v>
      </c>
      <c r="I162" s="210">
        <f>IFERROR(__xludf.DUMMYFUNCTION("FILTER('GBD estimates'!$G$3:$G$1371,'GBD estimates'!$B$3:$B$1371=I$3,'GBD estimates'!$E$3:$E$1371=""Diarrheal diseases"",'GBD estimates'!$D$3:$D$1371=""Under 5"")"),0.028953826)</f>
        <v>0.028953826</v>
      </c>
      <c r="J162" s="210">
        <f>IFERROR(__xludf.DUMMYFUNCTION("FILTER('GBD estimates'!$G$3:$G$1371,'GBD estimates'!$B$3:$B$1371=J$3,'GBD estimates'!$E$3:$E$1371=""Diarrheal diseases"",'GBD estimates'!$D$3:$D$1371=""Under 5"")"),0.019935049)</f>
        <v>0.019935049</v>
      </c>
      <c r="K162" s="210">
        <f>IFERROR(__xludf.DUMMYFUNCTION("FILTER('GBD estimates'!$G$3:$G$1371,'GBD estimates'!$B$3:$B$1371=K$3,'GBD estimates'!$E$3:$E$1371=""Diarrheal diseases"",'GBD estimates'!$D$3:$D$1371=""Under 5"")"),0.023778119)</f>
        <v>0.023778119</v>
      </c>
      <c r="L162" s="210">
        <f>IFERROR(__xludf.DUMMYFUNCTION("FILTER('GBD estimates'!$G$3:$G$1371,'GBD estimates'!$B$3:$B$1371=L$3,'GBD estimates'!$E$3:$E$1371=""Diarrheal diseases"",'GBD estimates'!$D$3:$D$1371=""Under 5"")"),0.01066086)</f>
        <v>0.01066086</v>
      </c>
      <c r="M162" s="210">
        <f>IFERROR(__xludf.DUMMYFUNCTION("FILTER('GBD estimates'!$G$3:$G$1371,'GBD estimates'!$B$3:$B$1371=M$3,'GBD estimates'!$E$3:$E$1371=""Diarrheal diseases"",'GBD estimates'!$D$3:$D$1371=""Under 5"")"),0.019142781)</f>
        <v>0.019142781</v>
      </c>
      <c r="N162" s="210">
        <f>IFERROR(__xludf.DUMMYFUNCTION("FILTER('GBD estimates'!$G$3:$G$1371,'GBD estimates'!$B$3:$B$1371=N$3,'GBD estimates'!$E$3:$E$1371=""Diarrheal diseases"",'GBD estimates'!$D$3:$D$1371=""Under 5"")"),0.020195653)</f>
        <v>0.020195653</v>
      </c>
      <c r="O162" s="210">
        <f>IFERROR(__xludf.DUMMYFUNCTION("FILTER('GBD estimates'!$G$3:$G$1371,'GBD estimates'!$B$3:$B$1371=O$3,'GBD estimates'!$E$3:$E$1371=""Diarrheal diseases"",'GBD estimates'!$D$3:$D$1371=""Under 5"")"),0.022145719)</f>
        <v>0.022145719</v>
      </c>
      <c r="P162" s="210">
        <f>IFERROR(__xludf.DUMMYFUNCTION("FILTER('GBD estimates'!$G$3:$G$1371,'GBD estimates'!$B$3:$B$1371=P$3,'GBD estimates'!$E$3:$E$1371=""Diarrheal diseases"",'GBD estimates'!$D$3:$D$1371=""Under 5"")"),0.03220683)</f>
        <v>0.03220683</v>
      </c>
      <c r="Q162" s="210">
        <f>IFERROR(__xludf.DUMMYFUNCTION("FILTER('GBD estimates'!$G$3:$G$1371,'GBD estimates'!$B$3:$B$1371=Q$3,'GBD estimates'!$E$3:$E$1371=""Diarrheal diseases"",'GBD estimates'!$D$3:$D$1371=""Under 5"")"),0.038689546)</f>
        <v>0.038689546</v>
      </c>
      <c r="R162" s="210">
        <f>IFERROR(__xludf.DUMMYFUNCTION("FILTER('GBD estimates'!$G$3:$G$1371,'GBD estimates'!$B$3:$B$1371=R$3,'GBD estimates'!$E$3:$E$1371=""Diarrheal diseases"",'GBD estimates'!$D$3:$D$1371=""Under 5"")"),0.008317334)</f>
        <v>0.008317334</v>
      </c>
      <c r="S162" s="210">
        <f>IFERROR(__xludf.DUMMYFUNCTION("FILTER('GBD estimates'!$G$3:$G$1371,'GBD estimates'!$B$3:$B$1371=S$3,'GBD estimates'!$E$3:$E$1371=""Diarrheal diseases"",'GBD estimates'!$D$3:$D$1371=""Under 5"")"),0.017929219)</f>
        <v>0.017929219</v>
      </c>
      <c r="T162" s="210">
        <f>IFERROR(__xludf.DUMMYFUNCTION("FILTER('GBD estimates'!$G$3:$G$1371,'GBD estimates'!$B$3:$B$1371=T$3,'GBD estimates'!$E$3:$E$1371=""Diarrheal diseases"",'GBD estimates'!$D$3:$D$1371=""Under 5"")"),0.003771386)</f>
        <v>0.003771386</v>
      </c>
      <c r="U162" s="210">
        <f>IFERROR(__xludf.DUMMYFUNCTION("FILTER('GBD estimates'!$G$3:$G$1371,'GBD estimates'!$B$3:$B$1371=U$3,'GBD estimates'!$E$3:$E$1371=""Diarrheal diseases"",'GBD estimates'!$D$3:$D$1371=""Under 5"")"),0.003005545)</f>
        <v>0.003005545</v>
      </c>
      <c r="V162" s="210">
        <f>IFERROR(__xludf.DUMMYFUNCTION("FILTER('GBD estimates'!$G$3:$G$1371,'GBD estimates'!$B$3:$B$1371=V$3,'GBD estimates'!$E$3:$E$1371=""Diarrheal diseases"",'GBD estimates'!$D$3:$D$1371=""Under 5"")"),0.008466792)</f>
        <v>0.008466792</v>
      </c>
      <c r="W162" s="210">
        <f>IFERROR(__xludf.DUMMYFUNCTION("FILTER('GBD estimates'!$G$3:$G$1371,'GBD estimates'!$B$3:$B$1371=W$3,'GBD estimates'!$E$3:$E$1371=""Diarrheal diseases"",'GBD estimates'!$D$3:$D$1371=""Under 5"")"),0.011690826)</f>
        <v>0.011690826</v>
      </c>
      <c r="X162" s="210">
        <f>IFERROR(__xludf.DUMMYFUNCTION("FILTER('GBD estimates'!$G$3:$G$1371,'GBD estimates'!$B$3:$B$1371=X$3,'GBD estimates'!$E$3:$E$1371=""Diarrheal diseases"",'GBD estimates'!$D$3:$D$1371=""Under 5"")"),0.009844375)</f>
        <v>0.009844375</v>
      </c>
      <c r="Y162" s="210">
        <f>IFERROR(__xludf.DUMMYFUNCTION("FILTER('GBD estimates'!$G$3:$G$1371,'GBD estimates'!$B$3:$B$1371=Y$3,'GBD estimates'!$E$3:$E$1371=""Diarrheal diseases"",'GBD estimates'!$D$3:$D$1371=""Under 5"")"),0.004539302)</f>
        <v>0.004539302</v>
      </c>
      <c r="Z162" s="210">
        <f>IFERROR(__xludf.DUMMYFUNCTION("FILTER('GBD estimates'!$G$3:$G$1371,'GBD estimates'!$B$3:$B$1371=Z$3,'GBD estimates'!$E$3:$E$1371=""Diarrheal diseases"",'GBD estimates'!$D$3:$D$1371=""Under 5"")"),0.00495511)</f>
        <v>0.00495511</v>
      </c>
      <c r="AA162" s="210">
        <f>IFERROR(__xludf.DUMMYFUNCTION("FILTER('GBD estimates'!$G$3:$G$1371,'GBD estimates'!$B$3:$B$1371=AA$3,'GBD estimates'!$E$3:$E$1371=""Diarrheal diseases"",'GBD estimates'!$D$3:$D$1371=""Under 5"")"),0.007927072)</f>
        <v>0.007927072</v>
      </c>
      <c r="AB162" s="210">
        <f>IFERROR(__xludf.DUMMYFUNCTION("FILTER('GBD estimates'!$G$3:$G$1371,'GBD estimates'!$B$3:$B$1371=AB$3,'GBD estimates'!$E$3:$E$1371=""Diarrheal diseases"",'GBD estimates'!$D$3:$D$1371=""Under 5"")"),0.004365989)</f>
        <v>0.004365989</v>
      </c>
      <c r="AC162" s="210">
        <f>IFERROR(__xludf.DUMMYFUNCTION("FILTER('GBD estimates'!$G$3:$G$1371,'GBD estimates'!$B$3:$B$1371=AC$3,'GBD estimates'!$E$3:$E$1371=""Diarrheal diseases"",'GBD estimates'!$D$3:$D$1371=""Under 5"")"),0.004120486)</f>
        <v>0.004120486</v>
      </c>
      <c r="AD162" s="210">
        <f>IFERROR(__xludf.DUMMYFUNCTION("FILTER('GBD estimates'!$G$3:$G$1371,'GBD estimates'!$B$3:$B$1371=AD$3,'GBD estimates'!$E$3:$E$1371=""Diarrheal diseases"",'GBD estimates'!$D$3:$D$1371=""Under 5"")"),0.00271251)</f>
        <v>0.00271251</v>
      </c>
      <c r="AE162" s="210">
        <f>IFERROR(__xludf.DUMMYFUNCTION("FILTER('GBD estimates'!$G$3:$G$1371,'GBD estimates'!$B$3:$B$1371=AE$3,'GBD estimates'!$E$3:$E$1371=""Diarrheal diseases"",'GBD estimates'!$D$3:$D$1371=""Under 5"")"),0.004333639)</f>
        <v>0.004333639</v>
      </c>
      <c r="AF162" s="210">
        <f>IFERROR(__xludf.DUMMYFUNCTION("FILTER('GBD estimates'!$G$3:$G$1371,'GBD estimates'!$B$3:$B$1371=AF$3,'GBD estimates'!$E$3:$E$1371=""Diarrheal diseases"",'GBD estimates'!$D$3:$D$1371=""Under 5"")"),0.002607964)</f>
        <v>0.002607964</v>
      </c>
      <c r="AG162" s="210">
        <f>IFERROR(__xludf.DUMMYFUNCTION("FILTER('GBD estimates'!$G$3:$G$1371,'GBD estimates'!$B$3:$B$1371=AG$3,'GBD estimates'!$E$3:$E$1371=""Diarrheal diseases"",'GBD estimates'!$D$3:$D$1371=""Under 5"")"),0.003592045)</f>
        <v>0.003592045</v>
      </c>
      <c r="AH162" s="210">
        <f>IFERROR(__xludf.DUMMYFUNCTION("FILTER('GBD estimates'!$G$3:$G$1371,'GBD estimates'!$B$3:$B$1371=AH$3,'GBD estimates'!$E$3:$E$1371=""Diarrheal diseases"",'GBD estimates'!$D$3:$D$1371=""Under 5"")"),0.002748778)</f>
        <v>0.002748778</v>
      </c>
      <c r="AI162" s="210">
        <f>IFERROR(__xludf.DUMMYFUNCTION("FILTER('GBD estimates'!$G$3:$G$1371,'GBD estimates'!$B$3:$B$1371=AI$3,'GBD estimates'!$E$3:$E$1371=""Diarrheal diseases"",'GBD estimates'!$D$3:$D$1371=""Under 5"")"),0.002528933)</f>
        <v>0.002528933</v>
      </c>
      <c r="AJ162" s="210">
        <f>IFERROR(__xludf.DUMMYFUNCTION("FILTER('GBD estimates'!$G$3:$G$1371,'GBD estimates'!$B$3:$B$1371=AJ$3,'GBD estimates'!$E$3:$E$1371=""Diarrheal diseases"",'GBD estimates'!$D$3:$D$1371=""Under 5"")"),0.006564346)</f>
        <v>0.006564346</v>
      </c>
      <c r="AK162" s="210">
        <f>IFERROR(__xludf.DUMMYFUNCTION("FILTER('GBD estimates'!$G$3:$G$1371,'GBD estimates'!$B$3:$B$1371=AK$3,'GBD estimates'!$E$3:$E$1371=""Diarrheal diseases"",'GBD estimates'!$D$3:$D$1371=""Under 5"")"),0.011935639)</f>
        <v>0.011935639</v>
      </c>
      <c r="AL162" s="210">
        <f>IFERROR(__xludf.DUMMYFUNCTION("FILTER('GBD estimates'!$G$3:$G$1371,'GBD estimates'!$B$3:$B$1371=AL$3,'GBD estimates'!$E$3:$E$1371=""Diarrheal diseases"",'GBD estimates'!$D$3:$D$1371=""Under 5"")"),0.00391545)</f>
        <v>0.00391545</v>
      </c>
      <c r="AM162" s="210">
        <f>IFERROR(__xludf.DUMMYFUNCTION("FILTER('GBD estimates'!$G$3:$G$1371,'GBD estimates'!$B$3:$B$1371=AM$3,'GBD estimates'!$E$3:$E$1371=""Diarrheal diseases"",'GBD estimates'!$D$3:$D$1371=""Under 5"")"),0.004007555)</f>
        <v>0.004007555</v>
      </c>
      <c r="AN162" s="210">
        <f>IFERROR(__xludf.DUMMYFUNCTION("FILTER('GBD estimates'!$G$3:$G$1371,'GBD estimates'!$B$3:$B$1371=AN$3,'GBD estimates'!$E$3:$E$1371=""Diarrheal diseases"",'GBD estimates'!$D$3:$D$1371=""Under 5"")"),0.002237864)</f>
        <v>0.002237864</v>
      </c>
      <c r="AO162" s="210">
        <f>IFERROR(__xludf.DUMMYFUNCTION("FILTER('GBD estimates'!$G$3:$G$1371,'GBD estimates'!$B$3:$B$1371=AO$3,'GBD estimates'!$E$3:$E$1371=""Diarrheal diseases"",'GBD estimates'!$D$3:$D$1371=""Under 5"")"),0.002368033)</f>
        <v>0.002368033</v>
      </c>
      <c r="AP162" s="210">
        <f>IFERROR(__xludf.DUMMYFUNCTION("FILTER('GBD estimates'!$G$3:$G$1371,'GBD estimates'!$B$3:$B$1371=AP$3,'GBD estimates'!$E$3:$E$1371=""Diarrheal diseases"",'GBD estimates'!$D$3:$D$1371=""Under 5"")"),0.005945687)</f>
        <v>0.005945687</v>
      </c>
      <c r="AQ162" s="210">
        <f>IFERROR(__xludf.DUMMYFUNCTION("FILTER('GBD estimates'!$G$3:$G$1371,'GBD estimates'!$B$3:$B$1371=AQ$3,'GBD estimates'!$E$3:$E$1371=""Diarrheal diseases"",'GBD estimates'!$D$3:$D$1371=""Under 5"")"),0.004619085)</f>
        <v>0.004619085</v>
      </c>
      <c r="AR162" s="210">
        <f>IFERROR(__xludf.DUMMYFUNCTION("FILTER('GBD estimates'!$G$3:$G$1371,'GBD estimates'!$B$3:$B$1371=AR$3,'GBD estimates'!$E$3:$E$1371=""Diarrheal diseases"",'GBD estimates'!$D$3:$D$1371=""Under 5"")"),0.019506681)</f>
        <v>0.019506681</v>
      </c>
      <c r="AS162" s="210">
        <f>IFERROR(__xludf.DUMMYFUNCTION("FILTER('GBD estimates'!$G$3:$G$1371,'GBD estimates'!$B$3:$B$1371=AS$3,'GBD estimates'!$E$3:$E$1371=""Diarrheal diseases"",'GBD estimates'!$D$3:$D$1371=""Under 5"")"),0.014523595)</f>
        <v>0.014523595</v>
      </c>
      <c r="AT162" s="550"/>
      <c r="AU162" s="562" t="s">
        <v>855</v>
      </c>
      <c r="AV162" s="552"/>
    </row>
    <row r="163">
      <c r="A163" s="540"/>
      <c r="B163" s="206"/>
      <c r="C163" s="206"/>
      <c r="D163" s="206"/>
      <c r="E163" s="553" t="s">
        <v>599</v>
      </c>
      <c r="F163" s="278" t="s">
        <v>122</v>
      </c>
      <c r="G163" s="279" t="s">
        <v>203</v>
      </c>
      <c r="H163" s="581" t="s">
        <v>150</v>
      </c>
      <c r="I163" s="210">
        <f>IFERROR(__xludf.DUMMYFUNCTION("FILTER('GBD estimates'!$G$3:$G$1371,'GBD estimates'!$B$3:$B$1371=I$3,'GBD estimates'!$E$3:$E$1371=""Diarrheal diseases"",'GBD estimates'!$D$3:$D$1371=""5-14 years"")"),0.001404528)</f>
        <v>0.001404528</v>
      </c>
      <c r="J163" s="210">
        <f>IFERROR(__xludf.DUMMYFUNCTION("FILTER('GBD estimates'!$G$3:$G$1371,'GBD estimates'!$B$3:$B$1371=J$3,'GBD estimates'!$E$3:$E$1371=""Diarrheal diseases"",'GBD estimates'!$D$3:$D$1371=""5-14 years"")"),8.53859E-4)</f>
        <v>0.000853859</v>
      </c>
      <c r="K163" s="210">
        <f>IFERROR(__xludf.DUMMYFUNCTION("FILTER('GBD estimates'!$G$3:$G$1371,'GBD estimates'!$B$3:$B$1371=K$3,'GBD estimates'!$E$3:$E$1371=""Diarrheal diseases"",'GBD estimates'!$D$3:$D$1371=""5-14 years"")"),8.97047E-4)</f>
        <v>0.000897047</v>
      </c>
      <c r="L163" s="210">
        <f>IFERROR(__xludf.DUMMYFUNCTION("FILTER('GBD estimates'!$G$3:$G$1371,'GBD estimates'!$B$3:$B$1371=L$3,'GBD estimates'!$E$3:$E$1371=""Diarrheal diseases"",'GBD estimates'!$D$3:$D$1371=""5-14 years"")"),3.36525E-4)</f>
        <v>0.000336525</v>
      </c>
      <c r="M163" s="210">
        <f>IFERROR(__xludf.DUMMYFUNCTION("FILTER('GBD estimates'!$G$3:$G$1371,'GBD estimates'!$B$3:$B$1371=M$3,'GBD estimates'!$E$3:$E$1371=""Diarrheal diseases"",'GBD estimates'!$D$3:$D$1371=""5-14 years"")"),6.38931E-4)</f>
        <v>0.000638931</v>
      </c>
      <c r="N163" s="210">
        <f>IFERROR(__xludf.DUMMYFUNCTION("FILTER('GBD estimates'!$G$3:$G$1371,'GBD estimates'!$B$3:$B$1371=N$3,'GBD estimates'!$E$3:$E$1371=""Diarrheal diseases"",'GBD estimates'!$D$3:$D$1371=""5-14 years"")"),9.30212E-4)</f>
        <v>0.000930212</v>
      </c>
      <c r="O163" s="210">
        <f>IFERROR(__xludf.DUMMYFUNCTION("FILTER('GBD estimates'!$G$3:$G$1371,'GBD estimates'!$B$3:$B$1371=O$3,'GBD estimates'!$E$3:$E$1371=""Diarrheal diseases"",'GBD estimates'!$D$3:$D$1371=""5-14 years"")"),0.001073511)</f>
        <v>0.001073511</v>
      </c>
      <c r="P163" s="210">
        <f>IFERROR(__xludf.DUMMYFUNCTION("FILTER('GBD estimates'!$G$3:$G$1371,'GBD estimates'!$B$3:$B$1371=P$3,'GBD estimates'!$E$3:$E$1371=""Diarrheal diseases"",'GBD estimates'!$D$3:$D$1371=""5-14 years"")"),0.001322957)</f>
        <v>0.001322957</v>
      </c>
      <c r="Q163" s="210">
        <f>IFERROR(__xludf.DUMMYFUNCTION("FILTER('GBD estimates'!$G$3:$G$1371,'GBD estimates'!$B$3:$B$1371=Q$3,'GBD estimates'!$E$3:$E$1371=""Diarrheal diseases"",'GBD estimates'!$D$3:$D$1371=""5-14 years"")"),0.001353697)</f>
        <v>0.001353697</v>
      </c>
      <c r="R163" s="210">
        <f>IFERROR(__xludf.DUMMYFUNCTION("FILTER('GBD estimates'!$G$3:$G$1371,'GBD estimates'!$B$3:$B$1371=R$3,'GBD estimates'!$E$3:$E$1371=""Diarrheal diseases"",'GBD estimates'!$D$3:$D$1371=""5-14 years"")"),3.23519E-4)</f>
        <v>0.000323519</v>
      </c>
      <c r="S163" s="210">
        <f>IFERROR(__xludf.DUMMYFUNCTION("FILTER('GBD estimates'!$G$3:$G$1371,'GBD estimates'!$B$3:$B$1371=S$3,'GBD estimates'!$E$3:$E$1371=""Diarrheal diseases"",'GBD estimates'!$D$3:$D$1371=""5-14 years"")"),7.24649E-4)</f>
        <v>0.000724649</v>
      </c>
      <c r="T163" s="210">
        <f>IFERROR(__xludf.DUMMYFUNCTION("FILTER('GBD estimates'!$G$3:$G$1371,'GBD estimates'!$B$3:$B$1371=T$3,'GBD estimates'!$E$3:$E$1371=""Diarrheal diseases"",'GBD estimates'!$D$3:$D$1371=""5-14 years"")"),1.54387E-4)</f>
        <v>0.000154387</v>
      </c>
      <c r="U163" s="210">
        <f>IFERROR(__xludf.DUMMYFUNCTION("FILTER('GBD estimates'!$G$3:$G$1371,'GBD estimates'!$B$3:$B$1371=U$3,'GBD estimates'!$E$3:$E$1371=""Diarrheal diseases"",'GBD estimates'!$D$3:$D$1371=""5-14 years"")"),1.31084E-4)</f>
        <v>0.000131084</v>
      </c>
      <c r="V163" s="210">
        <f>IFERROR(__xludf.DUMMYFUNCTION("FILTER('GBD estimates'!$G$3:$G$1371,'GBD estimates'!$B$3:$B$1371=V$3,'GBD estimates'!$E$3:$E$1371=""Diarrheal diseases"",'GBD estimates'!$D$3:$D$1371=""5-14 years"")"),4.89032E-4)</f>
        <v>0.000489032</v>
      </c>
      <c r="W163" s="210">
        <f>IFERROR(__xludf.DUMMYFUNCTION("FILTER('GBD estimates'!$G$3:$G$1371,'GBD estimates'!$B$3:$B$1371=W$3,'GBD estimates'!$E$3:$E$1371=""Diarrheal diseases"",'GBD estimates'!$D$3:$D$1371=""5-14 years"")"),7.11628E-4)</f>
        <v>0.000711628</v>
      </c>
      <c r="X163" s="210">
        <f>IFERROR(__xludf.DUMMYFUNCTION("FILTER('GBD estimates'!$G$3:$G$1371,'GBD estimates'!$B$3:$B$1371=X$3,'GBD estimates'!$E$3:$E$1371=""Diarrheal diseases"",'GBD estimates'!$D$3:$D$1371=""5-14 years"")"),6.4437E-4)</f>
        <v>0.00064437</v>
      </c>
      <c r="Y163" s="210">
        <f>IFERROR(__xludf.DUMMYFUNCTION("FILTER('GBD estimates'!$G$3:$G$1371,'GBD estimates'!$B$3:$B$1371=Y$3,'GBD estimates'!$E$3:$E$1371=""Diarrheal diseases"",'GBD estimates'!$D$3:$D$1371=""5-14 years"")"),3.05489E-4)</f>
        <v>0.000305489</v>
      </c>
      <c r="Z163" s="210">
        <f>IFERROR(__xludf.DUMMYFUNCTION("FILTER('GBD estimates'!$G$3:$G$1371,'GBD estimates'!$B$3:$B$1371=Z$3,'GBD estimates'!$E$3:$E$1371=""Diarrheal diseases"",'GBD estimates'!$D$3:$D$1371=""5-14 years"")"),1.76048E-4)</f>
        <v>0.000176048</v>
      </c>
      <c r="AA163" s="210">
        <f>IFERROR(__xludf.DUMMYFUNCTION("FILTER('GBD estimates'!$G$3:$G$1371,'GBD estimates'!$B$3:$B$1371=AA$3,'GBD estimates'!$E$3:$E$1371=""Diarrheal diseases"",'GBD estimates'!$D$3:$D$1371=""5-14 years"")"),3.81868E-4)</f>
        <v>0.000381868</v>
      </c>
      <c r="AB163" s="210">
        <f>IFERROR(__xludf.DUMMYFUNCTION("FILTER('GBD estimates'!$G$3:$G$1371,'GBD estimates'!$B$3:$B$1371=AB$3,'GBD estimates'!$E$3:$E$1371=""Diarrheal diseases"",'GBD estimates'!$D$3:$D$1371=""5-14 years"")"),1.47834E-4)</f>
        <v>0.000147834</v>
      </c>
      <c r="AC163" s="210">
        <f>IFERROR(__xludf.DUMMYFUNCTION("FILTER('GBD estimates'!$G$3:$G$1371,'GBD estimates'!$B$3:$B$1371=AC$3,'GBD estimates'!$E$3:$E$1371=""Diarrheal diseases"",'GBD estimates'!$D$3:$D$1371=""5-14 years"")"),1.48033E-4)</f>
        <v>0.000148033</v>
      </c>
      <c r="AD163" s="210">
        <f>IFERROR(__xludf.DUMMYFUNCTION("FILTER('GBD estimates'!$G$3:$G$1371,'GBD estimates'!$B$3:$B$1371=AD$3,'GBD estimates'!$E$3:$E$1371=""Diarrheal diseases"",'GBD estimates'!$D$3:$D$1371=""5-14 years"")"),1.81021E-4)</f>
        <v>0.000181021</v>
      </c>
      <c r="AE163" s="210">
        <f>IFERROR(__xludf.DUMMYFUNCTION("FILTER('GBD estimates'!$G$3:$G$1371,'GBD estimates'!$B$3:$B$1371=AE$3,'GBD estimates'!$E$3:$E$1371=""Diarrheal diseases"",'GBD estimates'!$D$3:$D$1371=""5-14 years"")"),1.43824E-4)</f>
        <v>0.000143824</v>
      </c>
      <c r="AF163" s="210">
        <f>IFERROR(__xludf.DUMMYFUNCTION("FILTER('GBD estimates'!$G$3:$G$1371,'GBD estimates'!$B$3:$B$1371=AF$3,'GBD estimates'!$E$3:$E$1371=""Diarrheal diseases"",'GBD estimates'!$D$3:$D$1371=""5-14 years"")"),1.19542E-4)</f>
        <v>0.000119542</v>
      </c>
      <c r="AG163" s="210">
        <f>IFERROR(__xludf.DUMMYFUNCTION("FILTER('GBD estimates'!$G$3:$G$1371,'GBD estimates'!$B$3:$B$1371=AG$3,'GBD estimates'!$E$3:$E$1371=""Diarrheal diseases"",'GBD estimates'!$D$3:$D$1371=""5-14 years"")"),2.20572E-4)</f>
        <v>0.000220572</v>
      </c>
      <c r="AH163" s="210">
        <f>IFERROR(__xludf.DUMMYFUNCTION("FILTER('GBD estimates'!$G$3:$G$1371,'GBD estimates'!$B$3:$B$1371=AH$3,'GBD estimates'!$E$3:$E$1371=""Diarrheal diseases"",'GBD estimates'!$D$3:$D$1371=""5-14 years"")"),1.88882E-4)</f>
        <v>0.000188882</v>
      </c>
      <c r="AI163" s="210">
        <f>IFERROR(__xludf.DUMMYFUNCTION("FILTER('GBD estimates'!$G$3:$G$1371,'GBD estimates'!$B$3:$B$1371=AI$3,'GBD estimates'!$E$3:$E$1371=""Diarrheal diseases"",'GBD estimates'!$D$3:$D$1371=""5-14 years"")"),7.57E-5)</f>
        <v>0.0000757</v>
      </c>
      <c r="AJ163" s="210">
        <f>IFERROR(__xludf.DUMMYFUNCTION("FILTER('GBD estimates'!$G$3:$G$1371,'GBD estimates'!$B$3:$B$1371=AJ$3,'GBD estimates'!$E$3:$E$1371=""Diarrheal diseases"",'GBD estimates'!$D$3:$D$1371=""5-14 years"")"),3.65466E-4)</f>
        <v>0.000365466</v>
      </c>
      <c r="AK163" s="210">
        <f>IFERROR(__xludf.DUMMYFUNCTION("FILTER('GBD estimates'!$G$3:$G$1371,'GBD estimates'!$B$3:$B$1371=AK$3,'GBD estimates'!$E$3:$E$1371=""Diarrheal diseases"",'GBD estimates'!$D$3:$D$1371=""5-14 years"")"),5.88147E-4)</f>
        <v>0.000588147</v>
      </c>
      <c r="AL163" s="210">
        <f>IFERROR(__xludf.DUMMYFUNCTION("FILTER('GBD estimates'!$G$3:$G$1371,'GBD estimates'!$B$3:$B$1371=AL$3,'GBD estimates'!$E$3:$E$1371=""Diarrheal diseases"",'GBD estimates'!$D$3:$D$1371=""5-14 years"")"),1.72906E-4)</f>
        <v>0.000172906</v>
      </c>
      <c r="AM163" s="210">
        <f>IFERROR(__xludf.DUMMYFUNCTION("FILTER('GBD estimates'!$G$3:$G$1371,'GBD estimates'!$B$3:$B$1371=AM$3,'GBD estimates'!$E$3:$E$1371=""Diarrheal diseases"",'GBD estimates'!$D$3:$D$1371=""5-14 years"")"),2.21703E-4)</f>
        <v>0.000221703</v>
      </c>
      <c r="AN163" s="210">
        <f>IFERROR(__xludf.DUMMYFUNCTION("FILTER('GBD estimates'!$G$3:$G$1371,'GBD estimates'!$B$3:$B$1371=AN$3,'GBD estimates'!$E$3:$E$1371=""Diarrheal diseases"",'GBD estimates'!$D$3:$D$1371=""5-14 years"")"),1.05538E-4)</f>
        <v>0.000105538</v>
      </c>
      <c r="AO163" s="210">
        <f>IFERROR(__xludf.DUMMYFUNCTION("FILTER('GBD estimates'!$G$3:$G$1371,'GBD estimates'!$B$3:$B$1371=AO$3,'GBD estimates'!$E$3:$E$1371=""Diarrheal diseases"",'GBD estimates'!$D$3:$D$1371=""5-14 years"")"),1.68951E-4)</f>
        <v>0.000168951</v>
      </c>
      <c r="AP163" s="210">
        <f>IFERROR(__xludf.DUMMYFUNCTION("FILTER('GBD estimates'!$G$3:$G$1371,'GBD estimates'!$B$3:$B$1371=AP$3,'GBD estimates'!$E$3:$E$1371=""Diarrheal diseases"",'GBD estimates'!$D$3:$D$1371=""5-14 years"")"),4.18418E-4)</f>
        <v>0.000418418</v>
      </c>
      <c r="AQ163" s="210">
        <f>IFERROR(__xludf.DUMMYFUNCTION("FILTER('GBD estimates'!$G$3:$G$1371,'GBD estimates'!$B$3:$B$1371=AQ$3,'GBD estimates'!$E$3:$E$1371=""Diarrheal diseases"",'GBD estimates'!$D$3:$D$1371=""5-14 years"")"),1.42167E-4)</f>
        <v>0.000142167</v>
      </c>
      <c r="AR163" s="210">
        <f>IFERROR(__xludf.DUMMYFUNCTION("FILTER('GBD estimates'!$G$3:$G$1371,'GBD estimates'!$B$3:$B$1371=AR$3,'GBD estimates'!$E$3:$E$1371=""Diarrheal diseases"",'GBD estimates'!$D$3:$D$1371=""5-14 years"")"),8.45421E-4)</f>
        <v>0.000845421</v>
      </c>
      <c r="AS163" s="210">
        <f>IFERROR(__xludf.DUMMYFUNCTION("FILTER('GBD estimates'!$G$3:$G$1371,'GBD estimates'!$B$3:$B$1371=AS$3,'GBD estimates'!$E$3:$E$1371=""Diarrheal diseases"",'GBD estimates'!$D$3:$D$1371=""5-14 years"")"),9.59022E-4)</f>
        <v>0.000959022</v>
      </c>
      <c r="AT163" s="555"/>
      <c r="AU163" s="566" t="s">
        <v>855</v>
      </c>
      <c r="AV163" s="557"/>
    </row>
    <row r="164">
      <c r="A164" s="540"/>
      <c r="B164" s="206"/>
      <c r="C164" s="206"/>
      <c r="D164" s="206"/>
      <c r="E164" s="553" t="s">
        <v>605</v>
      </c>
      <c r="F164" s="278" t="s">
        <v>122</v>
      </c>
      <c r="G164" s="279" t="s">
        <v>203</v>
      </c>
      <c r="H164" s="581" t="s">
        <v>150</v>
      </c>
      <c r="I164" s="210">
        <f>IFERROR(__xludf.DUMMYFUNCTION("FILTER('GBD estimates'!$G$3:$G$1371,'GBD estimates'!$B$3:$B$1371=I$3,'GBD estimates'!$E$3:$E$1371=""Diarrheal diseases"",'GBD estimates'!$D$3:$D$1371=""15-49 years"")"),0.004800212)</f>
        <v>0.004800212</v>
      </c>
      <c r="J164" s="210">
        <f>IFERROR(__xludf.DUMMYFUNCTION("FILTER('GBD estimates'!$G$3:$G$1371,'GBD estimates'!$B$3:$B$1371=J$3,'GBD estimates'!$E$3:$E$1371=""Diarrheal diseases"",'GBD estimates'!$D$3:$D$1371=""15-49 years"")"),0.002629884)</f>
        <v>0.002629884</v>
      </c>
      <c r="K164" s="210">
        <f>IFERROR(__xludf.DUMMYFUNCTION("FILTER('GBD estimates'!$G$3:$G$1371,'GBD estimates'!$B$3:$B$1371=K$3,'GBD estimates'!$E$3:$E$1371=""Diarrheal diseases"",'GBD estimates'!$D$3:$D$1371=""15-49 years"")"),0.003693331)</f>
        <v>0.003693331</v>
      </c>
      <c r="L164" s="210">
        <f>IFERROR(__xludf.DUMMYFUNCTION("FILTER('GBD estimates'!$G$3:$G$1371,'GBD estimates'!$B$3:$B$1371=L$3,'GBD estimates'!$E$3:$E$1371=""Diarrheal diseases"",'GBD estimates'!$D$3:$D$1371=""15-49 years"")"),0.001387744)</f>
        <v>0.001387744</v>
      </c>
      <c r="M164" s="210">
        <f>IFERROR(__xludf.DUMMYFUNCTION("FILTER('GBD estimates'!$G$3:$G$1371,'GBD estimates'!$B$3:$B$1371=M$3,'GBD estimates'!$E$3:$E$1371=""Diarrheal diseases"",'GBD estimates'!$D$3:$D$1371=""15-49 years"")"),0.002059414)</f>
        <v>0.002059414</v>
      </c>
      <c r="N164" s="210">
        <f>IFERROR(__xludf.DUMMYFUNCTION("FILTER('GBD estimates'!$G$3:$G$1371,'GBD estimates'!$B$3:$B$1371=N$3,'GBD estimates'!$E$3:$E$1371=""Diarrheal diseases"",'GBD estimates'!$D$3:$D$1371=""15-49 years"")"),0.003840535)</f>
        <v>0.003840535</v>
      </c>
      <c r="O164" s="210">
        <f>IFERROR(__xludf.DUMMYFUNCTION("FILTER('GBD estimates'!$G$3:$G$1371,'GBD estimates'!$B$3:$B$1371=O$3,'GBD estimates'!$E$3:$E$1371=""Diarrheal diseases"",'GBD estimates'!$D$3:$D$1371=""15-49 years"")"),0.004186265)</f>
        <v>0.004186265</v>
      </c>
      <c r="P164" s="210">
        <f>IFERROR(__xludf.DUMMYFUNCTION("FILTER('GBD estimates'!$G$3:$G$1371,'GBD estimates'!$B$3:$B$1371=P$3,'GBD estimates'!$E$3:$E$1371=""Diarrheal diseases"",'GBD estimates'!$D$3:$D$1371=""15-49 years"")"),0.005418147)</f>
        <v>0.005418147</v>
      </c>
      <c r="Q164" s="210">
        <f>IFERROR(__xludf.DUMMYFUNCTION("FILTER('GBD estimates'!$G$3:$G$1371,'GBD estimates'!$B$3:$B$1371=Q$3,'GBD estimates'!$E$3:$E$1371=""Diarrheal diseases"",'GBD estimates'!$D$3:$D$1371=""15-49 years"")"),0.004713418)</f>
        <v>0.004713418</v>
      </c>
      <c r="R164" s="210">
        <f>IFERROR(__xludf.DUMMYFUNCTION("FILTER('GBD estimates'!$G$3:$G$1371,'GBD estimates'!$B$3:$B$1371=R$3,'GBD estimates'!$E$3:$E$1371=""Diarrheal diseases"",'GBD estimates'!$D$3:$D$1371=""15-49 years"")"),9.358E-4)</f>
        <v>0.0009358</v>
      </c>
      <c r="S164" s="210">
        <f>IFERROR(__xludf.DUMMYFUNCTION("FILTER('GBD estimates'!$G$3:$G$1371,'GBD estimates'!$B$3:$B$1371=S$3,'GBD estimates'!$E$3:$E$1371=""Diarrheal diseases"",'GBD estimates'!$D$3:$D$1371=""15-49 years"")"),0.002464247)</f>
        <v>0.002464247</v>
      </c>
      <c r="T164" s="210">
        <f>IFERROR(__xludf.DUMMYFUNCTION("FILTER('GBD estimates'!$G$3:$G$1371,'GBD estimates'!$B$3:$B$1371=T$3,'GBD estimates'!$E$3:$E$1371=""Diarrheal diseases"",'GBD estimates'!$D$3:$D$1371=""15-49 years"")"),9.56354E-4)</f>
        <v>0.000956354</v>
      </c>
      <c r="U164" s="210">
        <f>IFERROR(__xludf.DUMMYFUNCTION("FILTER('GBD estimates'!$G$3:$G$1371,'GBD estimates'!$B$3:$B$1371=U$3,'GBD estimates'!$E$3:$E$1371=""Diarrheal diseases"",'GBD estimates'!$D$3:$D$1371=""15-49 years"")"),7.62501E-4)</f>
        <v>0.000762501</v>
      </c>
      <c r="V164" s="210">
        <f>IFERROR(__xludf.DUMMYFUNCTION("FILTER('GBD estimates'!$G$3:$G$1371,'GBD estimates'!$B$3:$B$1371=V$3,'GBD estimates'!$E$3:$E$1371=""Diarrheal diseases"",'GBD estimates'!$D$3:$D$1371=""15-49 years"")"),0.002117225)</f>
        <v>0.002117225</v>
      </c>
      <c r="W164" s="210">
        <f>IFERROR(__xludf.DUMMYFUNCTION("FILTER('GBD estimates'!$G$3:$G$1371,'GBD estimates'!$B$3:$B$1371=W$3,'GBD estimates'!$E$3:$E$1371=""Diarrheal diseases"",'GBD estimates'!$D$3:$D$1371=""15-49 years"")"),0.002781602)</f>
        <v>0.002781602</v>
      </c>
      <c r="X164" s="210">
        <f>IFERROR(__xludf.DUMMYFUNCTION("FILTER('GBD estimates'!$G$3:$G$1371,'GBD estimates'!$B$3:$B$1371=X$3,'GBD estimates'!$E$3:$E$1371=""Diarrheal diseases"",'GBD estimates'!$D$3:$D$1371=""15-49 years"")"),0.002375827)</f>
        <v>0.002375827</v>
      </c>
      <c r="Y164" s="210">
        <f>IFERROR(__xludf.DUMMYFUNCTION("FILTER('GBD estimates'!$G$3:$G$1371,'GBD estimates'!$B$3:$B$1371=Y$3,'GBD estimates'!$E$3:$E$1371=""Diarrheal diseases"",'GBD estimates'!$D$3:$D$1371=""15-49 years"")"),0.001715319)</f>
        <v>0.001715319</v>
      </c>
      <c r="Z164" s="210">
        <f>IFERROR(__xludf.DUMMYFUNCTION("FILTER('GBD estimates'!$G$3:$G$1371,'GBD estimates'!$B$3:$B$1371=Z$3,'GBD estimates'!$E$3:$E$1371=""Diarrheal diseases"",'GBD estimates'!$D$3:$D$1371=""15-49 years"")"),9.67394E-4)</f>
        <v>0.000967394</v>
      </c>
      <c r="AA164" s="210">
        <f>IFERROR(__xludf.DUMMYFUNCTION("FILTER('GBD estimates'!$G$3:$G$1371,'GBD estimates'!$B$3:$B$1371=AA$3,'GBD estimates'!$E$3:$E$1371=""Diarrheal diseases"",'GBD estimates'!$D$3:$D$1371=""15-49 years"")"),0.001784197)</f>
        <v>0.001784197</v>
      </c>
      <c r="AB164" s="210">
        <f>IFERROR(__xludf.DUMMYFUNCTION("FILTER('GBD estimates'!$G$3:$G$1371,'GBD estimates'!$B$3:$B$1371=AB$3,'GBD estimates'!$E$3:$E$1371=""Diarrheal diseases"",'GBD estimates'!$D$3:$D$1371=""15-49 years"")"),8.91718E-4)</f>
        <v>0.000891718</v>
      </c>
      <c r="AC164" s="210">
        <f>IFERROR(__xludf.DUMMYFUNCTION("FILTER('GBD estimates'!$G$3:$G$1371,'GBD estimates'!$B$3:$B$1371=AC$3,'GBD estimates'!$E$3:$E$1371=""Diarrheal diseases"",'GBD estimates'!$D$3:$D$1371=""15-49 years"")"),9.05281E-4)</f>
        <v>0.000905281</v>
      </c>
      <c r="AD164" s="210">
        <f>IFERROR(__xludf.DUMMYFUNCTION("FILTER('GBD estimates'!$G$3:$G$1371,'GBD estimates'!$B$3:$B$1371=AD$3,'GBD estimates'!$E$3:$E$1371=""Diarrheal diseases"",'GBD estimates'!$D$3:$D$1371=""15-49 years"")"),0.001086224)</f>
        <v>0.001086224</v>
      </c>
      <c r="AE164" s="210">
        <f>IFERROR(__xludf.DUMMYFUNCTION("FILTER('GBD estimates'!$G$3:$G$1371,'GBD estimates'!$B$3:$B$1371=AE$3,'GBD estimates'!$E$3:$E$1371=""Diarrheal diseases"",'GBD estimates'!$D$3:$D$1371=""15-49 years"")"),7.10434E-4)</f>
        <v>0.000710434</v>
      </c>
      <c r="AF164" s="210">
        <f>IFERROR(__xludf.DUMMYFUNCTION("FILTER('GBD estimates'!$G$3:$G$1371,'GBD estimates'!$B$3:$B$1371=AF$3,'GBD estimates'!$E$3:$E$1371=""Diarrheal diseases"",'GBD estimates'!$D$3:$D$1371=""15-49 years"")"),6.83345E-4)</f>
        <v>0.000683345</v>
      </c>
      <c r="AG164" s="210">
        <f>IFERROR(__xludf.DUMMYFUNCTION("FILTER('GBD estimates'!$G$3:$G$1371,'GBD estimates'!$B$3:$B$1371=AG$3,'GBD estimates'!$E$3:$E$1371=""Diarrheal diseases"",'GBD estimates'!$D$3:$D$1371=""15-49 years"")"),0.001335379)</f>
        <v>0.001335379</v>
      </c>
      <c r="AH164" s="210">
        <f>IFERROR(__xludf.DUMMYFUNCTION("FILTER('GBD estimates'!$G$3:$G$1371,'GBD estimates'!$B$3:$B$1371=AH$3,'GBD estimates'!$E$3:$E$1371=""Diarrheal diseases"",'GBD estimates'!$D$3:$D$1371=""15-49 years"")"),0.001365595)</f>
        <v>0.001365595</v>
      </c>
      <c r="AI164" s="210">
        <f>IFERROR(__xludf.DUMMYFUNCTION("FILTER('GBD estimates'!$G$3:$G$1371,'GBD estimates'!$B$3:$B$1371=AI$3,'GBD estimates'!$E$3:$E$1371=""Diarrheal diseases"",'GBD estimates'!$D$3:$D$1371=""15-49 years"")"),4.35125E-4)</f>
        <v>0.000435125</v>
      </c>
      <c r="AJ164" s="210">
        <f>IFERROR(__xludf.DUMMYFUNCTION("FILTER('GBD estimates'!$G$3:$G$1371,'GBD estimates'!$B$3:$B$1371=AJ$3,'GBD estimates'!$E$3:$E$1371=""Diarrheal diseases"",'GBD estimates'!$D$3:$D$1371=""15-49 years"")"),0.00190647)</f>
        <v>0.00190647</v>
      </c>
      <c r="AK164" s="210">
        <f>IFERROR(__xludf.DUMMYFUNCTION("FILTER('GBD estimates'!$G$3:$G$1371,'GBD estimates'!$B$3:$B$1371=AK$3,'GBD estimates'!$E$3:$E$1371=""Diarrheal diseases"",'GBD estimates'!$D$3:$D$1371=""15-49 years"")"),0.002810532)</f>
        <v>0.002810532</v>
      </c>
      <c r="AL164" s="210">
        <f>IFERROR(__xludf.DUMMYFUNCTION("FILTER('GBD estimates'!$G$3:$G$1371,'GBD estimates'!$B$3:$B$1371=AL$3,'GBD estimates'!$E$3:$E$1371=""Diarrheal diseases"",'GBD estimates'!$D$3:$D$1371=""15-49 years"")"),0.001056943)</f>
        <v>0.001056943</v>
      </c>
      <c r="AM164" s="210">
        <f>IFERROR(__xludf.DUMMYFUNCTION("FILTER('GBD estimates'!$G$3:$G$1371,'GBD estimates'!$B$3:$B$1371=AM$3,'GBD estimates'!$E$3:$E$1371=""Diarrheal diseases"",'GBD estimates'!$D$3:$D$1371=""15-49 years"")"),0.001194849)</f>
        <v>0.001194849</v>
      </c>
      <c r="AN164" s="210">
        <f>IFERROR(__xludf.DUMMYFUNCTION("FILTER('GBD estimates'!$G$3:$G$1371,'GBD estimates'!$B$3:$B$1371=AN$3,'GBD estimates'!$E$3:$E$1371=""Diarrheal diseases"",'GBD estimates'!$D$3:$D$1371=""15-49 years"")"),6.74307E-4)</f>
        <v>0.000674307</v>
      </c>
      <c r="AO164" s="210">
        <f>IFERROR(__xludf.DUMMYFUNCTION("FILTER('GBD estimates'!$G$3:$G$1371,'GBD estimates'!$B$3:$B$1371=AO$3,'GBD estimates'!$E$3:$E$1371=""Diarrheal diseases"",'GBD estimates'!$D$3:$D$1371=""15-49 years"")"),0.001094594)</f>
        <v>0.001094594</v>
      </c>
      <c r="AP164" s="210">
        <f>IFERROR(__xludf.DUMMYFUNCTION("FILTER('GBD estimates'!$G$3:$G$1371,'GBD estimates'!$B$3:$B$1371=AP$3,'GBD estimates'!$E$3:$E$1371=""Diarrheal diseases"",'GBD estimates'!$D$3:$D$1371=""15-49 years"")"),0.002257257)</f>
        <v>0.002257257</v>
      </c>
      <c r="AQ164" s="210">
        <f>IFERROR(__xludf.DUMMYFUNCTION("FILTER('GBD estimates'!$G$3:$G$1371,'GBD estimates'!$B$3:$B$1371=AQ$3,'GBD estimates'!$E$3:$E$1371=""Diarrheal diseases"",'GBD estimates'!$D$3:$D$1371=""15-49 years"")"),8.24424E-4)</f>
        <v>0.000824424</v>
      </c>
      <c r="AR164" s="210">
        <f>IFERROR(__xludf.DUMMYFUNCTION("FILTER('GBD estimates'!$G$3:$G$1371,'GBD estimates'!$B$3:$B$1371=AR$3,'GBD estimates'!$E$3:$E$1371=""Diarrheal diseases"",'GBD estimates'!$D$3:$D$1371=""15-49 years"")"),0.003444727)</f>
        <v>0.003444727</v>
      </c>
      <c r="AS164" s="210">
        <f>IFERROR(__xludf.DUMMYFUNCTION("FILTER('GBD estimates'!$G$3:$G$1371,'GBD estimates'!$B$3:$B$1371=AS$3,'GBD estimates'!$E$3:$E$1371=""Diarrheal diseases"",'GBD estimates'!$D$3:$D$1371=""15-49 years"")"),0.004175441)</f>
        <v>0.004175441</v>
      </c>
      <c r="AT164" s="555"/>
      <c r="AU164" s="566" t="s">
        <v>855</v>
      </c>
      <c r="AV164" s="557"/>
    </row>
    <row r="165">
      <c r="A165" s="540"/>
      <c r="B165" s="206"/>
      <c r="C165" s="206"/>
      <c r="D165" s="206"/>
      <c r="E165" s="553" t="s">
        <v>609</v>
      </c>
      <c r="F165" s="278" t="s">
        <v>122</v>
      </c>
      <c r="G165" s="279" t="s">
        <v>203</v>
      </c>
      <c r="H165" s="581" t="s">
        <v>150</v>
      </c>
      <c r="I165" s="210">
        <f>IFERROR(__xludf.DUMMYFUNCTION("FILTER('GBD estimates'!$G$3:$G$1371,'GBD estimates'!$B$3:$B$1371=I$3,'GBD estimates'!$E$3:$E$1371=""Diarrheal diseases"",'GBD estimates'!$D$3:$D$1371=""50 to 74 years"")"),0.036211497)</f>
        <v>0.036211497</v>
      </c>
      <c r="J165" s="210">
        <f>IFERROR(__xludf.DUMMYFUNCTION("FILTER('GBD estimates'!$G$3:$G$1371,'GBD estimates'!$B$3:$B$1371=J$3,'GBD estimates'!$E$3:$E$1371=""Diarrheal diseases"",'GBD estimates'!$D$3:$D$1371=""50 to 74 years"")"),0.026063001)</f>
        <v>0.026063001</v>
      </c>
      <c r="K165" s="210">
        <f>IFERROR(__xludf.DUMMYFUNCTION("FILTER('GBD estimates'!$G$3:$G$1371,'GBD estimates'!$B$3:$B$1371=K$3,'GBD estimates'!$E$3:$E$1371=""Diarrheal diseases"",'GBD estimates'!$D$3:$D$1371=""50 to 74 years"")"),0.025191224)</f>
        <v>0.025191224</v>
      </c>
      <c r="L165" s="210">
        <f>IFERROR(__xludf.DUMMYFUNCTION("FILTER('GBD estimates'!$G$3:$G$1371,'GBD estimates'!$B$3:$B$1371=L$3,'GBD estimates'!$E$3:$E$1371=""Diarrheal diseases"",'GBD estimates'!$D$3:$D$1371=""50 to 74 years"")"),0.009476781)</f>
        <v>0.009476781</v>
      </c>
      <c r="M165" s="210">
        <f>IFERROR(__xludf.DUMMYFUNCTION("FILTER('GBD estimates'!$G$3:$G$1371,'GBD estimates'!$B$3:$B$1371=M$3,'GBD estimates'!$E$3:$E$1371=""Diarrheal diseases"",'GBD estimates'!$D$3:$D$1371=""50 to 74 years"")"),0.01495977)</f>
        <v>0.01495977</v>
      </c>
      <c r="N165" s="210">
        <f>IFERROR(__xludf.DUMMYFUNCTION("FILTER('GBD estimates'!$G$3:$G$1371,'GBD estimates'!$B$3:$B$1371=N$3,'GBD estimates'!$E$3:$E$1371=""Diarrheal diseases"",'GBD estimates'!$D$3:$D$1371=""50 to 74 years"")"),0.026991937)</f>
        <v>0.026991937</v>
      </c>
      <c r="O165" s="210">
        <f>IFERROR(__xludf.DUMMYFUNCTION("FILTER('GBD estimates'!$G$3:$G$1371,'GBD estimates'!$B$3:$B$1371=O$3,'GBD estimates'!$E$3:$E$1371=""Diarrheal diseases"",'GBD estimates'!$D$3:$D$1371=""50 to 74 years"")"),0.035335125)</f>
        <v>0.035335125</v>
      </c>
      <c r="P165" s="210">
        <f>IFERROR(__xludf.DUMMYFUNCTION("FILTER('GBD estimates'!$G$3:$G$1371,'GBD estimates'!$B$3:$B$1371=P$3,'GBD estimates'!$E$3:$E$1371=""Diarrheal diseases"",'GBD estimates'!$D$3:$D$1371=""50 to 74 years"")"),0.033801047)</f>
        <v>0.033801047</v>
      </c>
      <c r="Q165" s="210">
        <f>IFERROR(__xludf.DUMMYFUNCTION("FILTER('GBD estimates'!$G$3:$G$1371,'GBD estimates'!$B$3:$B$1371=Q$3,'GBD estimates'!$E$3:$E$1371=""Diarrheal diseases"",'GBD estimates'!$D$3:$D$1371=""50 to 74 years"")"),0.040274929)</f>
        <v>0.040274929</v>
      </c>
      <c r="R165" s="210">
        <f>IFERROR(__xludf.DUMMYFUNCTION("FILTER('GBD estimates'!$G$3:$G$1371,'GBD estimates'!$B$3:$B$1371=R$3,'GBD estimates'!$E$3:$E$1371=""Diarrheal diseases"",'GBD estimates'!$D$3:$D$1371=""50 to 74 years"")"),0.005661203)</f>
        <v>0.005661203</v>
      </c>
      <c r="S165" s="210">
        <f>IFERROR(__xludf.DUMMYFUNCTION("FILTER('GBD estimates'!$G$3:$G$1371,'GBD estimates'!$B$3:$B$1371=S$3,'GBD estimates'!$E$3:$E$1371=""Diarrheal diseases"",'GBD estimates'!$D$3:$D$1371=""50 to 74 years"")"),0.018103953)</f>
        <v>0.018103953</v>
      </c>
      <c r="T165" s="210">
        <f>IFERROR(__xludf.DUMMYFUNCTION("FILTER('GBD estimates'!$G$3:$G$1371,'GBD estimates'!$B$3:$B$1371=T$3,'GBD estimates'!$E$3:$E$1371=""Diarrheal diseases"",'GBD estimates'!$D$3:$D$1371=""50 to 74 years"")"),0.006871675)</f>
        <v>0.006871675</v>
      </c>
      <c r="U165" s="210">
        <f>IFERROR(__xludf.DUMMYFUNCTION("FILTER('GBD estimates'!$G$3:$G$1371,'GBD estimates'!$B$3:$B$1371=U$3,'GBD estimates'!$E$3:$E$1371=""Diarrheal diseases"",'GBD estimates'!$D$3:$D$1371=""50 to 74 years"")"),0.004802819)</f>
        <v>0.004802819</v>
      </c>
      <c r="V165" s="210">
        <f>IFERROR(__xludf.DUMMYFUNCTION("FILTER('GBD estimates'!$G$3:$G$1371,'GBD estimates'!$B$3:$B$1371=V$3,'GBD estimates'!$E$3:$E$1371=""Diarrheal diseases"",'GBD estimates'!$D$3:$D$1371=""50 to 74 years"")"),0.013675997)</f>
        <v>0.013675997</v>
      </c>
      <c r="W165" s="210">
        <f>IFERROR(__xludf.DUMMYFUNCTION("FILTER('GBD estimates'!$G$3:$G$1371,'GBD estimates'!$B$3:$B$1371=W$3,'GBD estimates'!$E$3:$E$1371=""Diarrheal diseases"",'GBD estimates'!$D$3:$D$1371=""50 to 74 years"")"),0.018155837)</f>
        <v>0.018155837</v>
      </c>
      <c r="X165" s="210">
        <f>IFERROR(__xludf.DUMMYFUNCTION("FILTER('GBD estimates'!$G$3:$G$1371,'GBD estimates'!$B$3:$B$1371=X$3,'GBD estimates'!$E$3:$E$1371=""Diarrheal diseases"",'GBD estimates'!$D$3:$D$1371=""50 to 74 years"")"),0.019158209)</f>
        <v>0.019158209</v>
      </c>
      <c r="Y165" s="210">
        <f>IFERROR(__xludf.DUMMYFUNCTION("FILTER('GBD estimates'!$G$3:$G$1371,'GBD estimates'!$B$3:$B$1371=Y$3,'GBD estimates'!$E$3:$E$1371=""Diarrheal diseases"",'GBD estimates'!$D$3:$D$1371=""50 to 74 years"")"),0.011142639)</f>
        <v>0.011142639</v>
      </c>
      <c r="Z165" s="210">
        <f>IFERROR(__xludf.DUMMYFUNCTION("FILTER('GBD estimates'!$G$3:$G$1371,'GBD estimates'!$B$3:$B$1371=Z$3,'GBD estimates'!$E$3:$E$1371=""Diarrheal diseases"",'GBD estimates'!$D$3:$D$1371=""50 to 74 years"")"),0.005654098)</f>
        <v>0.005654098</v>
      </c>
      <c r="AA165" s="210">
        <f>IFERROR(__xludf.DUMMYFUNCTION("FILTER('GBD estimates'!$G$3:$G$1371,'GBD estimates'!$B$3:$B$1371=AA$3,'GBD estimates'!$E$3:$E$1371=""Diarrheal diseases"",'GBD estimates'!$D$3:$D$1371=""50 to 74 years"")"),0.012145436)</f>
        <v>0.012145436</v>
      </c>
      <c r="AB165" s="210">
        <f>IFERROR(__xludf.DUMMYFUNCTION("FILTER('GBD estimates'!$G$3:$G$1371,'GBD estimates'!$B$3:$B$1371=AB$3,'GBD estimates'!$E$3:$E$1371=""Diarrheal diseases"",'GBD estimates'!$D$3:$D$1371=""50 to 74 years"")"),0.004878092)</f>
        <v>0.004878092</v>
      </c>
      <c r="AC165" s="210">
        <f>IFERROR(__xludf.DUMMYFUNCTION("FILTER('GBD estimates'!$G$3:$G$1371,'GBD estimates'!$B$3:$B$1371=AC$3,'GBD estimates'!$E$3:$E$1371=""Diarrheal diseases"",'GBD estimates'!$D$3:$D$1371=""50 to 74 years"")"),0.005995222)</f>
        <v>0.005995222</v>
      </c>
      <c r="AD165" s="210">
        <f>IFERROR(__xludf.DUMMYFUNCTION("FILTER('GBD estimates'!$G$3:$G$1371,'GBD estimates'!$B$3:$B$1371=AD$3,'GBD estimates'!$E$3:$E$1371=""Diarrheal diseases"",'GBD estimates'!$D$3:$D$1371=""50 to 74 years"")"),0.007440561)</f>
        <v>0.007440561</v>
      </c>
      <c r="AE165" s="210">
        <f>IFERROR(__xludf.DUMMYFUNCTION("FILTER('GBD estimates'!$G$3:$G$1371,'GBD estimates'!$B$3:$B$1371=AE$3,'GBD estimates'!$E$3:$E$1371=""Diarrheal diseases"",'GBD estimates'!$D$3:$D$1371=""50 to 74 years"")"),0.003652784)</f>
        <v>0.003652784</v>
      </c>
      <c r="AF165" s="210">
        <f>IFERROR(__xludf.DUMMYFUNCTION("FILTER('GBD estimates'!$G$3:$G$1371,'GBD estimates'!$B$3:$B$1371=AF$3,'GBD estimates'!$E$3:$E$1371=""Diarrheal diseases"",'GBD estimates'!$D$3:$D$1371=""50 to 74 years"")"),0.004392525)</f>
        <v>0.004392525</v>
      </c>
      <c r="AG165" s="210">
        <f>IFERROR(__xludf.DUMMYFUNCTION("FILTER('GBD estimates'!$G$3:$G$1371,'GBD estimates'!$B$3:$B$1371=AG$3,'GBD estimates'!$E$3:$E$1371=""Diarrheal diseases"",'GBD estimates'!$D$3:$D$1371=""50 to 74 years"")"),0.009759322)</f>
        <v>0.009759322</v>
      </c>
      <c r="AH165" s="210">
        <f>IFERROR(__xludf.DUMMYFUNCTION("FILTER('GBD estimates'!$G$3:$G$1371,'GBD estimates'!$B$3:$B$1371=AH$3,'GBD estimates'!$E$3:$E$1371=""Diarrheal diseases"",'GBD estimates'!$D$3:$D$1371=""50 to 74 years"")"),0.008120277)</f>
        <v>0.008120277</v>
      </c>
      <c r="AI165" s="210">
        <f>IFERROR(__xludf.DUMMYFUNCTION("FILTER('GBD estimates'!$G$3:$G$1371,'GBD estimates'!$B$3:$B$1371=AI$3,'GBD estimates'!$E$3:$E$1371=""Diarrheal diseases"",'GBD estimates'!$D$3:$D$1371=""50 to 74 years"")"),0.002439656)</f>
        <v>0.002439656</v>
      </c>
      <c r="AJ165" s="210">
        <f>IFERROR(__xludf.DUMMYFUNCTION("FILTER('GBD estimates'!$G$3:$G$1371,'GBD estimates'!$B$3:$B$1371=AJ$3,'GBD estimates'!$E$3:$E$1371=""Diarrheal diseases"",'GBD estimates'!$D$3:$D$1371=""50 to 74 years"")"),0.00992103)</f>
        <v>0.00992103</v>
      </c>
      <c r="AK165" s="210">
        <f>IFERROR(__xludf.DUMMYFUNCTION("FILTER('GBD estimates'!$G$3:$G$1371,'GBD estimates'!$B$3:$B$1371=AK$3,'GBD estimates'!$E$3:$E$1371=""Diarrheal diseases"",'GBD estimates'!$D$3:$D$1371=""50 to 74 years"")"),0.019015231)</f>
        <v>0.019015231</v>
      </c>
      <c r="AL165" s="210">
        <f>IFERROR(__xludf.DUMMYFUNCTION("FILTER('GBD estimates'!$G$3:$G$1371,'GBD estimates'!$B$3:$B$1371=AL$3,'GBD estimates'!$E$3:$E$1371=""Diarrheal diseases"",'GBD estimates'!$D$3:$D$1371=""50 to 74 years"")"),0.007177345)</f>
        <v>0.007177345</v>
      </c>
      <c r="AM165" s="210">
        <f>IFERROR(__xludf.DUMMYFUNCTION("FILTER('GBD estimates'!$G$3:$G$1371,'GBD estimates'!$B$3:$B$1371=AM$3,'GBD estimates'!$E$3:$E$1371=""Diarrheal diseases"",'GBD estimates'!$D$3:$D$1371=""50 to 74 years"")"),0.008441165)</f>
        <v>0.008441165</v>
      </c>
      <c r="AN165" s="210">
        <f>IFERROR(__xludf.DUMMYFUNCTION("FILTER('GBD estimates'!$G$3:$G$1371,'GBD estimates'!$B$3:$B$1371=AN$3,'GBD estimates'!$E$3:$E$1371=""Diarrheal diseases"",'GBD estimates'!$D$3:$D$1371=""50 to 74 years"")"),0.0051643)</f>
        <v>0.0051643</v>
      </c>
      <c r="AO165" s="210">
        <f>IFERROR(__xludf.DUMMYFUNCTION("FILTER('GBD estimates'!$G$3:$G$1371,'GBD estimates'!$B$3:$B$1371=AO$3,'GBD estimates'!$E$3:$E$1371=""Diarrheal diseases"",'GBD estimates'!$D$3:$D$1371=""50 to 74 years"")"),0.007085762)</f>
        <v>0.007085762</v>
      </c>
      <c r="AP165" s="210">
        <f>IFERROR(__xludf.DUMMYFUNCTION("FILTER('GBD estimates'!$G$3:$G$1371,'GBD estimates'!$B$3:$B$1371=AP$3,'GBD estimates'!$E$3:$E$1371=""Diarrheal diseases"",'GBD estimates'!$D$3:$D$1371=""50 to 74 years"")"),0.011590778)</f>
        <v>0.011590778</v>
      </c>
      <c r="AQ165" s="210">
        <f>IFERROR(__xludf.DUMMYFUNCTION("FILTER('GBD estimates'!$G$3:$G$1371,'GBD estimates'!$B$3:$B$1371=AQ$3,'GBD estimates'!$E$3:$E$1371=""Diarrheal diseases"",'GBD estimates'!$D$3:$D$1371=""50 to 74 years"")"),0.005148075)</f>
        <v>0.005148075</v>
      </c>
      <c r="AR165" s="210">
        <f>IFERROR(__xludf.DUMMYFUNCTION("FILTER('GBD estimates'!$G$3:$G$1371,'GBD estimates'!$B$3:$B$1371=AR$3,'GBD estimates'!$E$3:$E$1371=""Diarrheal diseases"",'GBD estimates'!$D$3:$D$1371=""50 to 74 years"")"),0.018454295)</f>
        <v>0.018454295</v>
      </c>
      <c r="AS165" s="210">
        <f>IFERROR(__xludf.DUMMYFUNCTION("FILTER('GBD estimates'!$G$3:$G$1371,'GBD estimates'!$B$3:$B$1371=AS$3,'GBD estimates'!$E$3:$E$1371=""Diarrheal diseases"",'GBD estimates'!$D$3:$D$1371=""50 to 74 years"")"),0.030197009)</f>
        <v>0.030197009</v>
      </c>
      <c r="AT165" s="555"/>
      <c r="AU165" s="566" t="s">
        <v>855</v>
      </c>
      <c r="AV165" s="557"/>
    </row>
    <row r="166">
      <c r="A166" s="540"/>
      <c r="B166" s="206"/>
      <c r="C166" s="206"/>
      <c r="D166" s="206"/>
      <c r="E166" s="548" t="s">
        <v>617</v>
      </c>
      <c r="F166" s="207" t="s">
        <v>111</v>
      </c>
      <c r="G166" s="208" t="s">
        <v>203</v>
      </c>
      <c r="H166" s="578" t="s">
        <v>150</v>
      </c>
      <c r="I166" s="294">
        <f>IFERROR(__xludf.DUMMYFUNCTION("FILTER('GBD estimates'!$R$3:$R$1713,'GBD estimates'!$K$3:$K$1713=I$3,'GBD estimates'!$L$3:$L$1713=""Diarrheal diseases"",'GBD estimates'!$N$3:$N$1713=""Under 5"")"),8284.409952)</f>
        <v>8284.409952</v>
      </c>
      <c r="J166" s="294">
        <f>IFERROR(__xludf.DUMMYFUNCTION("FILTER('GBD estimates'!$R$3:$R$1713,'GBD estimates'!$K$3:$K$1713=J$3,'GBD estimates'!$L$3:$L$1713=""Diarrheal diseases"",'GBD estimates'!$N$3:$N$1713=""Under 5"")"),2640.339554)</f>
        <v>2640.339554</v>
      </c>
      <c r="K166" s="294">
        <f>IFERROR(__xludf.DUMMYFUNCTION("FILTER('GBD estimates'!$R$3:$R$1713,'GBD estimates'!$K$3:$K$1713=K$3,'GBD estimates'!$L$3:$L$1713=""Diarrheal diseases"",'GBD estimates'!$N$3:$N$1713=""Under 5"")"),5560.070956)</f>
        <v>5560.070956</v>
      </c>
      <c r="L166" s="294">
        <f>IFERROR(__xludf.DUMMYFUNCTION("FILTER('GBD estimates'!$R$3:$R$1713,'GBD estimates'!$K$3:$K$1713=L$3,'GBD estimates'!$L$3:$L$1713=""Diarrheal diseases"",'GBD estimates'!$N$3:$N$1713=""Under 5"")"),4192.868343)</f>
        <v>4192.868343</v>
      </c>
      <c r="M166" s="294">
        <f>IFERROR(__xludf.DUMMYFUNCTION("FILTER('GBD estimates'!$R$3:$R$1713,'GBD estimates'!$K$3:$K$1713=M$3,'GBD estimates'!$L$3:$L$1713=""Diarrheal diseases"",'GBD estimates'!$N$3:$N$1713=""Under 5"")"),13242.14664)</f>
        <v>13242.14664</v>
      </c>
      <c r="N166" s="294">
        <f>IFERROR(__xludf.DUMMYFUNCTION("FILTER('GBD estimates'!$R$3:$R$1713,'GBD estimates'!$K$3:$K$1713=N$3,'GBD estimates'!$L$3:$L$1713=""Diarrheal diseases"",'GBD estimates'!$N$3:$N$1713=""Under 5"")"),8617.388016)</f>
        <v>8617.388016</v>
      </c>
      <c r="O166" s="294">
        <f>IFERROR(__xludf.DUMMYFUNCTION("FILTER('GBD estimates'!$R$3:$R$1713,'GBD estimates'!$K$3:$K$1713=O$3,'GBD estimates'!$L$3:$L$1713=""Diarrheal diseases"",'GBD estimates'!$N$3:$N$1713=""Under 5"")"),4482.685739)</f>
        <v>4482.685739</v>
      </c>
      <c r="P166" s="294">
        <f>IFERROR(__xludf.DUMMYFUNCTION("FILTER('GBD estimates'!$R$3:$R$1713,'GBD estimates'!$K$3:$K$1713=P$3,'GBD estimates'!$L$3:$L$1713=""Diarrheal diseases"",'GBD estimates'!$N$3:$N$1713=""Under 5"")"),9779.802062)</f>
        <v>9779.802062</v>
      </c>
      <c r="Q166" s="294">
        <f>IFERROR(__xludf.DUMMYFUNCTION("FILTER('GBD estimates'!$R$3:$R$1713,'GBD estimates'!$K$3:$K$1713=Q$3,'GBD estimates'!$L$3:$L$1713=""Diarrheal diseases"",'GBD estimates'!$N$3:$N$1713=""Under 5"")"),6371.181551)</f>
        <v>6371.181551</v>
      </c>
      <c r="R166" s="294">
        <f>IFERROR(__xludf.DUMMYFUNCTION("FILTER('GBD estimates'!$R$3:$R$1713,'GBD estimates'!$K$3:$K$1713=R$3,'GBD estimates'!$L$3:$L$1713=""Diarrheal diseases"",'GBD estimates'!$N$3:$N$1713=""Under 5"")"),1158.951025)</f>
        <v>1158.951025</v>
      </c>
      <c r="S166" s="294">
        <f>IFERROR(__xludf.DUMMYFUNCTION("FILTER('GBD estimates'!$R$3:$R$1713,'GBD estimates'!$K$3:$K$1713=S$3,'GBD estimates'!$L$3:$L$1713=""Diarrheal diseases"",'GBD estimates'!$N$3:$N$1713=""Under 5"")"),2039.447727)</f>
        <v>2039.447727</v>
      </c>
      <c r="T166" s="294">
        <f>IFERROR(__xludf.DUMMYFUNCTION("FILTER('GBD estimates'!$R$3:$R$1713,'GBD estimates'!$K$3:$K$1713=T$3,'GBD estimates'!$L$3:$L$1713=""Diarrheal diseases"",'GBD estimates'!$N$3:$N$1713=""Under 5"")"),226.7086025)</f>
        <v>226.7086025</v>
      </c>
      <c r="U166" s="294">
        <f>IFERROR(__xludf.DUMMYFUNCTION("FILTER('GBD estimates'!$R$3:$R$1713,'GBD estimates'!$K$3:$K$1713=U$3,'GBD estimates'!$L$3:$L$1713=""Diarrheal diseases"",'GBD estimates'!$N$3:$N$1713=""Under 5"")"),568.4169959)</f>
        <v>568.4169959</v>
      </c>
      <c r="V166" s="294">
        <f>IFERROR(__xludf.DUMMYFUNCTION("FILTER('GBD estimates'!$R$3:$R$1713,'GBD estimates'!$K$3:$K$1713=V$3,'GBD estimates'!$L$3:$L$1713=""Diarrheal diseases"",'GBD estimates'!$N$3:$N$1713=""Under 5"")"),184.6330508)</f>
        <v>184.6330508</v>
      </c>
      <c r="W166" s="294">
        <f>IFERROR(__xludf.DUMMYFUNCTION("FILTER('GBD estimates'!$R$3:$R$1713,'GBD estimates'!$K$3:$K$1713=W$3,'GBD estimates'!$L$3:$L$1713=""Diarrheal diseases"",'GBD estimates'!$N$3:$N$1713=""Under 5"")"),3569.77128)</f>
        <v>3569.77128</v>
      </c>
      <c r="X166" s="294">
        <f>IFERROR(__xludf.DUMMYFUNCTION("FILTER('GBD estimates'!$R$3:$R$1713,'GBD estimates'!$K$3:$K$1713=X$3,'GBD estimates'!$L$3:$L$1713=""Diarrheal diseases"",'GBD estimates'!$N$3:$N$1713=""Under 5"")"),1648.8014)</f>
        <v>1648.8014</v>
      </c>
      <c r="Y166" s="294">
        <f>IFERROR(__xludf.DUMMYFUNCTION("FILTER('GBD estimates'!$R$3:$R$1713,'GBD estimates'!$K$3:$K$1713=Y$3,'GBD estimates'!$L$3:$L$1713=""Diarrheal diseases"",'GBD estimates'!$N$3:$N$1713=""Under 5"")"),288.6730333)</f>
        <v>288.6730333</v>
      </c>
      <c r="Z166" s="294">
        <f>IFERROR(__xludf.DUMMYFUNCTION("FILTER('GBD estimates'!$R$3:$R$1713,'GBD estimates'!$K$3:$K$1713=Z$3,'GBD estimates'!$L$3:$L$1713=""Diarrheal diseases"",'GBD estimates'!$N$3:$N$1713=""Under 5"")"),595.7234079)</f>
        <v>595.7234079</v>
      </c>
      <c r="AA166" s="294">
        <f>IFERROR(__xludf.DUMMYFUNCTION("FILTER('GBD estimates'!$R$3:$R$1713,'GBD estimates'!$K$3:$K$1713=AA$3,'GBD estimates'!$L$3:$L$1713=""Diarrheal diseases"",'GBD estimates'!$N$3:$N$1713=""Under 5"")"),828.3284596)</f>
        <v>828.3284596</v>
      </c>
      <c r="AB166" s="294">
        <f>IFERROR(__xludf.DUMMYFUNCTION("FILTER('GBD estimates'!$R$3:$R$1713,'GBD estimates'!$K$3:$K$1713=AB$3,'GBD estimates'!$L$3:$L$1713=""Diarrheal diseases"",'GBD estimates'!$N$3:$N$1713=""Under 5"")"),443.4822393)</f>
        <v>443.4822393</v>
      </c>
      <c r="AC166" s="294">
        <f>IFERROR(__xludf.DUMMYFUNCTION("FILTER('GBD estimates'!$R$3:$R$1713,'GBD estimates'!$K$3:$K$1713=AC$3,'GBD estimates'!$L$3:$L$1713=""Diarrheal diseases"",'GBD estimates'!$N$3:$N$1713=""Under 5"")"),187.053837)</f>
        <v>187.053837</v>
      </c>
      <c r="AD166" s="294">
        <f>IFERROR(__xludf.DUMMYFUNCTION("FILTER('GBD estimates'!$R$3:$R$1713,'GBD estimates'!$K$3:$K$1713=AD$3,'GBD estimates'!$L$3:$L$1713=""Diarrheal diseases"",'GBD estimates'!$N$3:$N$1713=""Under 5"")"),342.7345588)</f>
        <v>342.7345588</v>
      </c>
      <c r="AE166" s="294">
        <f>IFERROR(__xludf.DUMMYFUNCTION("FILTER('GBD estimates'!$R$3:$R$1713,'GBD estimates'!$K$3:$K$1713=AE$3,'GBD estimates'!$L$3:$L$1713=""Diarrheal diseases"",'GBD estimates'!$N$3:$N$1713=""Under 5"")"),805.0707054)</f>
        <v>805.0707054</v>
      </c>
      <c r="AF166" s="294">
        <f>IFERROR(__xludf.DUMMYFUNCTION("FILTER('GBD estimates'!$R$3:$R$1713,'GBD estimates'!$K$3:$K$1713=AF$3,'GBD estimates'!$L$3:$L$1713=""Diarrheal diseases"",'GBD estimates'!$N$3:$N$1713=""Under 5"")"),805.4659353)</f>
        <v>805.4659353</v>
      </c>
      <c r="AG166" s="294">
        <f>IFERROR(__xludf.DUMMYFUNCTION("FILTER('GBD estimates'!$R$3:$R$1713,'GBD estimates'!$K$3:$K$1713=AG$3,'GBD estimates'!$L$3:$L$1713=""Diarrheal diseases"",'GBD estimates'!$N$3:$N$1713=""Under 5"")"),301.2737867)</f>
        <v>301.2737867</v>
      </c>
      <c r="AH166" s="294">
        <f>IFERROR(__xludf.DUMMYFUNCTION("FILTER('GBD estimates'!$R$3:$R$1713,'GBD estimates'!$K$3:$K$1713=AH$3,'GBD estimates'!$L$3:$L$1713=""Diarrheal diseases"",'GBD estimates'!$N$3:$N$1713=""Under 5"")"),252.0689133)</f>
        <v>252.0689133</v>
      </c>
      <c r="AI166" s="294">
        <f>IFERROR(__xludf.DUMMYFUNCTION("FILTER('GBD estimates'!$R$3:$R$1713,'GBD estimates'!$K$3:$K$1713=AI$3,'GBD estimates'!$L$3:$L$1713=""Diarrheal diseases"",'GBD estimates'!$N$3:$N$1713=""Under 5"")"),338.9915872)</f>
        <v>338.9915872</v>
      </c>
      <c r="AJ166" s="294">
        <f>IFERROR(__xludf.DUMMYFUNCTION("FILTER('GBD estimates'!$R$3:$R$1713,'GBD estimates'!$K$3:$K$1713=AJ$3,'GBD estimates'!$L$3:$L$1713=""Diarrheal diseases"",'GBD estimates'!$N$3:$N$1713=""Under 5"")"),1286.590325)</f>
        <v>1286.590325</v>
      </c>
      <c r="AK166" s="294">
        <f>IFERROR(__xludf.DUMMYFUNCTION("FILTER('GBD estimates'!$R$3:$R$1713,'GBD estimates'!$K$3:$K$1713=AK$3,'GBD estimates'!$L$3:$L$1713=""Diarrheal diseases"",'GBD estimates'!$N$3:$N$1713=""Under 5"")"),5074.362776)</f>
        <v>5074.362776</v>
      </c>
      <c r="AL166" s="294">
        <f>IFERROR(__xludf.DUMMYFUNCTION("FILTER('GBD estimates'!$R$3:$R$1713,'GBD estimates'!$K$3:$K$1713=AL$3,'GBD estimates'!$L$3:$L$1713=""Diarrheal diseases"",'GBD estimates'!$N$3:$N$1713=""Under 5"")"),1353.408118)</f>
        <v>1353.408118</v>
      </c>
      <c r="AM166" s="294">
        <f>IFERROR(__xludf.DUMMYFUNCTION("FILTER('GBD estimates'!$R$3:$R$1713,'GBD estimates'!$K$3:$K$1713=AM$3,'GBD estimates'!$L$3:$L$1713=""Diarrheal diseases"",'GBD estimates'!$N$3:$N$1713=""Under 5"")"),394.033726)</f>
        <v>394.033726</v>
      </c>
      <c r="AN166" s="294">
        <f>IFERROR(__xludf.DUMMYFUNCTION("FILTER('GBD estimates'!$R$3:$R$1713,'GBD estimates'!$K$3:$K$1713=AN$3,'GBD estimates'!$L$3:$L$1713=""Diarrheal diseases"",'GBD estimates'!$N$3:$N$1713=""Under 5"")"),253.304712)</f>
        <v>253.304712</v>
      </c>
      <c r="AO166" s="294">
        <f>IFERROR(__xludf.DUMMYFUNCTION("FILTER('GBD estimates'!$R$3:$R$1713,'GBD estimates'!$K$3:$K$1713=AO$3,'GBD estimates'!$L$3:$L$1713=""Diarrheal diseases"",'GBD estimates'!$N$3:$N$1713=""Under 5"")"),375.5448951)</f>
        <v>375.5448951</v>
      </c>
      <c r="AP166" s="294">
        <f>IFERROR(__xludf.DUMMYFUNCTION("FILTER('GBD estimates'!$R$3:$R$1713,'GBD estimates'!$K$3:$K$1713=AP$3,'GBD estimates'!$L$3:$L$1713=""Diarrheal diseases"",'GBD estimates'!$N$3:$N$1713=""Under 5"")"),2313.872491)</f>
        <v>2313.872491</v>
      </c>
      <c r="AQ166" s="294">
        <f>IFERROR(__xludf.DUMMYFUNCTION("FILTER('GBD estimates'!$R$3:$R$1713,'GBD estimates'!$K$3:$K$1713=AQ$3,'GBD estimates'!$L$3:$L$1713=""Diarrheal diseases"",'GBD estimates'!$N$3:$N$1713=""Under 5"")"),446.675248)</f>
        <v>446.675248</v>
      </c>
      <c r="AR166" s="294">
        <f>IFERROR(__xludf.DUMMYFUNCTION("FILTER('GBD estimates'!$R$3:$R$1713,'GBD estimates'!$K$3:$K$1713=AR$3,'GBD estimates'!$L$3:$L$1713=""Diarrheal diseases"",'GBD estimates'!$N$3:$N$1713=""Under 5"")"),5842.760068)</f>
        <v>5842.760068</v>
      </c>
      <c r="AS166" s="294">
        <f>IFERROR(__xludf.DUMMYFUNCTION("FILTER('GBD estimates'!$R$3:$R$1713,'GBD estimates'!$K$3:$K$1713=AS$3,'GBD estimates'!$L$3:$L$1713=""Diarrheal diseases"",'GBD estimates'!$N$3:$N$1713=""Under 5"")"),2495.721895)</f>
        <v>2495.721895</v>
      </c>
      <c r="AT166" s="550"/>
      <c r="AU166" s="562" t="s">
        <v>855</v>
      </c>
      <c r="AV166" s="552"/>
    </row>
    <row r="167">
      <c r="A167" s="540"/>
      <c r="B167" s="206"/>
      <c r="C167" s="206"/>
      <c r="D167" s="206"/>
      <c r="E167" s="553" t="s">
        <v>626</v>
      </c>
      <c r="F167" s="278" t="s">
        <v>111</v>
      </c>
      <c r="G167" s="279" t="s">
        <v>203</v>
      </c>
      <c r="H167" s="581" t="s">
        <v>150</v>
      </c>
      <c r="I167" s="294">
        <f>IFERROR(__xludf.DUMMYFUNCTION("FILTER('GBD estimates'!$AC$3:$AC$193,'GBD estimates'!$V$3:$V$193=I$3,'GBD estimates'!$Y$3:$Y$193=""Under 5"")"),3625.84195)</f>
        <v>3625.84195</v>
      </c>
      <c r="J167" s="294">
        <f>IFERROR(__xludf.DUMMYFUNCTION("FILTER('GBD estimates'!$AC$3:$AC$193,'GBD estimates'!$V$3:$V$193=J$3,'GBD estimates'!$Y$3:$Y$193=""Under 5"")"),1137.834685)</f>
        <v>1137.834685</v>
      </c>
      <c r="K167" s="294">
        <f>IFERROR(__xludf.DUMMYFUNCTION("FILTER('GBD estimates'!$AC$3:$AC$193,'GBD estimates'!$V$3:$V$193=K$3,'GBD estimates'!$Y$3:$Y$193=""Under 5"")"),2410.60305)</f>
        <v>2410.60305</v>
      </c>
      <c r="L167" s="294">
        <f>IFERROR(__xludf.DUMMYFUNCTION("FILTER('GBD estimates'!$AC$3:$AC$193,'GBD estimates'!$V$3:$V$193=L$3,'GBD estimates'!$Y$3:$Y$193=""Under 5"")"),1273.448484)</f>
        <v>1273.448484</v>
      </c>
      <c r="M167" s="294">
        <f>IFERROR(__xludf.DUMMYFUNCTION("FILTER('GBD estimates'!$AC$3:$AC$193,'GBD estimates'!$V$3:$V$193=M$3,'GBD estimates'!$Y$3:$Y$193=""Under 5"")"),5377.093494)</f>
        <v>5377.093494</v>
      </c>
      <c r="N167" s="294">
        <f>IFERROR(__xludf.DUMMYFUNCTION("FILTER('GBD estimates'!$AC$3:$AC$193,'GBD estimates'!$V$3:$V$193=N$3,'GBD estimates'!$Y$3:$Y$193=""Under 5"")"),3786.844637)</f>
        <v>3786.844637</v>
      </c>
      <c r="O167" s="294">
        <f>IFERROR(__xludf.DUMMYFUNCTION("FILTER('GBD estimates'!$AC$3:$AC$193,'GBD estimates'!$V$3:$V$193=O$3,'GBD estimates'!$Y$3:$Y$193=""Under 5"")"),2091.245025)</f>
        <v>2091.245025</v>
      </c>
      <c r="P167" s="294">
        <f>IFERROR(__xludf.DUMMYFUNCTION("FILTER('GBD estimates'!$AC$3:$AC$193,'GBD estimates'!$V$3:$V$193=P$3,'GBD estimates'!$Y$3:$Y$193=""Under 5"")"),4572.028262)</f>
        <v>4572.028262</v>
      </c>
      <c r="Q167" s="294">
        <f>IFERROR(__xludf.DUMMYFUNCTION("FILTER('GBD estimates'!$AC$3:$AC$193,'GBD estimates'!$V$3:$V$193=Q$3,'GBD estimates'!$Y$3:$Y$193=""Under 5"")"),2970.120621)</f>
        <v>2970.120621</v>
      </c>
      <c r="R167" s="294">
        <f>IFERROR(__xludf.DUMMYFUNCTION("FILTER('GBD estimates'!$AC$3:$AC$193,'GBD estimates'!$V$3:$V$193=R$3,'GBD estimates'!$Y$3:$Y$193=""Under 5"")"),345.3519197)</f>
        <v>345.3519197</v>
      </c>
      <c r="S167" s="294">
        <f>IFERROR(__xludf.DUMMYFUNCTION("FILTER('GBD estimates'!$AC$3:$AC$193,'GBD estimates'!$V$3:$V$193=S$3,'GBD estimates'!$Y$3:$Y$193=""Under 5"")"),739.4865851)</f>
        <v>739.4865851</v>
      </c>
      <c r="T167" s="294">
        <f>IFERROR(__xludf.DUMMYFUNCTION("FILTER('GBD estimates'!$AC$3:$AC$193,'GBD estimates'!$V$3:$V$193=T$3,'GBD estimates'!$Y$3:$Y$193=""Under 5"")"),71.41582122)</f>
        <v>71.41582122</v>
      </c>
      <c r="U167" s="294">
        <f>IFERROR(__xludf.DUMMYFUNCTION("FILTER('GBD estimates'!$AC$3:$AC$193,'GBD estimates'!$V$3:$V$193=U$3,'GBD estimates'!$Y$3:$Y$193=""Under 5"")"),150.2886761)</f>
        <v>150.2886761</v>
      </c>
      <c r="V167" s="294">
        <f>IFERROR(__xludf.DUMMYFUNCTION("FILTER('GBD estimates'!$AC$3:$AC$193,'GBD estimates'!$V$3:$V$193=V$3,'GBD estimates'!$Y$3:$Y$193=""Under 5"")"),66.14280564)</f>
        <v>66.14280564</v>
      </c>
      <c r="W167" s="294">
        <f>IFERROR(__xludf.DUMMYFUNCTION("FILTER('GBD estimates'!$AC$3:$AC$193,'GBD estimates'!$V$3:$V$193=W$3,'GBD estimates'!$Y$3:$Y$193=""Under 5"")"),1294.586663)</f>
        <v>1294.586663</v>
      </c>
      <c r="X167" s="294">
        <f>IFERROR(__xludf.DUMMYFUNCTION("FILTER('GBD estimates'!$AC$3:$AC$193,'GBD estimates'!$V$3:$V$193=X$3,'GBD estimates'!$Y$3:$Y$193=""Under 5"")"),690.0244535)</f>
        <v>690.0244535</v>
      </c>
      <c r="Y167" s="294">
        <f>IFERROR(__xludf.DUMMYFUNCTION("FILTER('GBD estimates'!$AC$3:$AC$193,'GBD estimates'!$V$3:$V$193=Y$3,'GBD estimates'!$Y$3:$Y$193=""Under 5"")"),93.3782931)</f>
        <v>93.3782931</v>
      </c>
      <c r="Z167" s="294">
        <f>IFERROR(__xludf.DUMMYFUNCTION("FILTER('GBD estimates'!$AC$3:$AC$193,'GBD estimates'!$V$3:$V$193=Z$3,'GBD estimates'!$Y$3:$Y$193=""Under 5"")"),177.9011811)</f>
        <v>177.9011811</v>
      </c>
      <c r="AA167" s="294">
        <f>IFERROR(__xludf.DUMMYFUNCTION("FILTER('GBD estimates'!$AC$3:$AC$193,'GBD estimates'!$V$3:$V$193=AA$3,'GBD estimates'!$Y$3:$Y$193=""Under 5"")"),263.2212521)</f>
        <v>263.2212521</v>
      </c>
      <c r="AB167" s="294">
        <f>IFERROR(__xludf.DUMMYFUNCTION("FILTER('GBD estimates'!$AC$3:$AC$193,'GBD estimates'!$V$3:$V$193=AB$3,'GBD estimates'!$Y$3:$Y$193=""Under 5"")"),74.54850696)</f>
        <v>74.54850696</v>
      </c>
      <c r="AC167" s="294">
        <f>IFERROR(__xludf.DUMMYFUNCTION("FILTER('GBD estimates'!$AC$3:$AC$193,'GBD estimates'!$V$3:$V$193=AC$3,'GBD estimates'!$Y$3:$Y$193=""Under 5"")"),48.08834941)</f>
        <v>48.08834941</v>
      </c>
      <c r="AD167" s="294">
        <f>IFERROR(__xludf.DUMMYFUNCTION("FILTER('GBD estimates'!$AC$3:$AC$193,'GBD estimates'!$V$3:$V$193=AD$3,'GBD estimates'!$Y$3:$Y$193=""Under 5"")"),99.83601953)</f>
        <v>99.83601953</v>
      </c>
      <c r="AE167" s="294">
        <f>IFERROR(__xludf.DUMMYFUNCTION("FILTER('GBD estimates'!$AC$3:$AC$193,'GBD estimates'!$V$3:$V$193=AE$3,'GBD estimates'!$Y$3:$Y$193=""Under 5"")"),239.3896887)</f>
        <v>239.3896887</v>
      </c>
      <c r="AF167" s="294">
        <f>IFERROR(__xludf.DUMMYFUNCTION("FILTER('GBD estimates'!$AC$3:$AC$193,'GBD estimates'!$V$3:$V$193=AF$3,'GBD estimates'!$Y$3:$Y$193=""Under 5"")"),223.1192041)</f>
        <v>223.1192041</v>
      </c>
      <c r="AG167" s="294">
        <f>IFERROR(__xludf.DUMMYFUNCTION("FILTER('GBD estimates'!$AC$3:$AC$193,'GBD estimates'!$V$3:$V$193=AG$3,'GBD estimates'!$Y$3:$Y$193=""Under 5"")"),102.1907455)</f>
        <v>102.1907455</v>
      </c>
      <c r="AH167" s="294">
        <f>IFERROR(__xludf.DUMMYFUNCTION("FILTER('GBD estimates'!$AC$3:$AC$193,'GBD estimates'!$V$3:$V$193=AH$3,'GBD estimates'!$Y$3:$Y$193=""Under 5"")"),107.931083)</f>
        <v>107.931083</v>
      </c>
      <c r="AI167" s="294">
        <f>IFERROR(__xludf.DUMMYFUNCTION("FILTER('GBD estimates'!$AC$3:$AC$193,'GBD estimates'!$V$3:$V$193=AI$3,'GBD estimates'!$Y$3:$Y$193=""Under 5"")"),85.10946315)</f>
        <v>85.10946315</v>
      </c>
      <c r="AJ167" s="294">
        <f>IFERROR(__xludf.DUMMYFUNCTION("FILTER('GBD estimates'!$AC$3:$AC$193,'GBD estimates'!$V$3:$V$193=AJ$3,'GBD estimates'!$Y$3:$Y$193=""Under 5"")"),476.5676973)</f>
        <v>476.5676973</v>
      </c>
      <c r="AK167" s="294">
        <f>IFERROR(__xludf.DUMMYFUNCTION("FILTER('GBD estimates'!$AC$3:$AC$193,'GBD estimates'!$V$3:$V$193=AK$3,'GBD estimates'!$Y$3:$Y$193=""Under 5"")"),2177.328018)</f>
        <v>2177.328018</v>
      </c>
      <c r="AL167" s="294">
        <f>IFERROR(__xludf.DUMMYFUNCTION("FILTER('GBD estimates'!$AC$3:$AC$193,'GBD estimates'!$V$3:$V$193=AL$3,'GBD estimates'!$Y$3:$Y$193=""Under 5"")"),488.6068849)</f>
        <v>488.6068849</v>
      </c>
      <c r="AM167" s="294">
        <f>IFERROR(__xludf.DUMMYFUNCTION("FILTER('GBD estimates'!$AC$3:$AC$193,'GBD estimates'!$V$3:$V$193=AM$3,'GBD estimates'!$Y$3:$Y$193=""Under 5"")"),115.2410781)</f>
        <v>115.2410781</v>
      </c>
      <c r="AN167" s="294">
        <f>IFERROR(__xludf.DUMMYFUNCTION("FILTER('GBD estimates'!$AC$3:$AC$193,'GBD estimates'!$V$3:$V$193=AN$3,'GBD estimates'!$Y$3:$Y$193=""Under 5"")"),74.45673938)</f>
        <v>74.45673938</v>
      </c>
      <c r="AO167" s="294">
        <f>IFERROR(__xludf.DUMMYFUNCTION("FILTER('GBD estimates'!$AC$3:$AC$193,'GBD estimates'!$V$3:$V$193=AO$3,'GBD estimates'!$Y$3:$Y$193=""Under 5"")"),134.9534832)</f>
        <v>134.9534832</v>
      </c>
      <c r="AP167" s="294">
        <f>IFERROR(__xludf.DUMMYFUNCTION("FILTER('GBD estimates'!$AC$3:$AC$193,'GBD estimates'!$V$3:$V$193=AP$3,'GBD estimates'!$Y$3:$Y$193=""Under 5"")"),807.2348061)</f>
        <v>807.2348061</v>
      </c>
      <c r="AQ167" s="294">
        <f>IFERROR(__xludf.DUMMYFUNCTION("FILTER('GBD estimates'!$AC$3:$AC$193,'GBD estimates'!$V$3:$V$193=AQ$3,'GBD estimates'!$Y$3:$Y$193=""Under 5"")"),123.9583812)</f>
        <v>123.9583812</v>
      </c>
      <c r="AR167" s="294">
        <f>IFERROR(__xludf.DUMMYFUNCTION("FILTER('GBD estimates'!$AC$3:$AC$193,'GBD estimates'!$V$3:$V$193=AR$3,'GBD estimates'!$Y$3:$Y$193=""Under 5"")"),2380.243036)</f>
        <v>2380.243036</v>
      </c>
      <c r="AS167" s="294">
        <f>IFERROR(__xludf.DUMMYFUNCTION("FILTER('GBD estimates'!$AC$3:$AC$193,'GBD estimates'!$V$3:$V$193=AS$3,'GBD estimates'!$Y$3:$Y$193=""Under 5"")"),1117.05)</f>
        <v>1117.05</v>
      </c>
      <c r="AT167" s="555"/>
      <c r="AU167" s="566" t="s">
        <v>855</v>
      </c>
      <c r="AV167" s="557"/>
    </row>
    <row r="168">
      <c r="A168" s="540"/>
      <c r="B168" s="206"/>
      <c r="C168" s="206"/>
      <c r="D168" s="206"/>
      <c r="E168" s="553" t="s">
        <v>631</v>
      </c>
      <c r="F168" s="278" t="s">
        <v>111</v>
      </c>
      <c r="G168" s="279" t="s">
        <v>203</v>
      </c>
      <c r="H168" s="581" t="s">
        <v>150</v>
      </c>
      <c r="I168" s="294">
        <f>IFERROR(__xludf.DUMMYFUNCTION("FILTER('GBD estimates'!$AC$3:$AC$193,'GBD estimates'!$V$3:$V$193=I$3,'GBD estimates'!$Y$3:$Y$193=""Early Neonatal"")"),96.03063654)</f>
        <v>96.03063654</v>
      </c>
      <c r="J168" s="294">
        <f>IFERROR(__xludf.DUMMYFUNCTION("FILTER('GBD estimates'!$AC$3:$AC$193,'GBD estimates'!$V$3:$V$193=J$3,'GBD estimates'!$Y$3:$Y$193=""Early Neonatal"")"),28.65677424)</f>
        <v>28.65677424</v>
      </c>
      <c r="K168" s="294">
        <f>IFERROR(__xludf.DUMMYFUNCTION("FILTER('GBD estimates'!$AC$3:$AC$193,'GBD estimates'!$V$3:$V$193=K$3,'GBD estimates'!$Y$3:$Y$193=""Early Neonatal"")"),50.36035612)</f>
        <v>50.36035612</v>
      </c>
      <c r="L168" s="294">
        <f>IFERROR(__xludf.DUMMYFUNCTION("FILTER('GBD estimates'!$AC$3:$AC$193,'GBD estimates'!$V$3:$V$193=L$3,'GBD estimates'!$Y$3:$Y$193=""Early Neonatal"")"),30.22220588)</f>
        <v>30.22220588</v>
      </c>
      <c r="M168" s="294">
        <f>IFERROR(__xludf.DUMMYFUNCTION("FILTER('GBD estimates'!$AC$3:$AC$193,'GBD estimates'!$V$3:$V$193=M$3,'GBD estimates'!$Y$3:$Y$193=""Early Neonatal"")"),144.822164)</f>
        <v>144.822164</v>
      </c>
      <c r="N168" s="294">
        <f>IFERROR(__xludf.DUMMYFUNCTION("FILTER('GBD estimates'!$AC$3:$AC$193,'GBD estimates'!$V$3:$V$193=N$3,'GBD estimates'!$Y$3:$Y$193=""Early Neonatal"")"),88.0938199)</f>
        <v>88.0938199</v>
      </c>
      <c r="O168" s="294">
        <f>IFERROR(__xludf.DUMMYFUNCTION("FILTER('GBD estimates'!$AC$3:$AC$193,'GBD estimates'!$V$3:$V$193=O$3,'GBD estimates'!$Y$3:$Y$193=""Early Neonatal"")"),62.04717829)</f>
        <v>62.04717829</v>
      </c>
      <c r="P168" s="294">
        <f>IFERROR(__xludf.DUMMYFUNCTION("FILTER('GBD estimates'!$AC$3:$AC$193,'GBD estimates'!$V$3:$V$193=P$3,'GBD estimates'!$Y$3:$Y$193=""Early Neonatal"")"),100.3682836)</f>
        <v>100.3682836</v>
      </c>
      <c r="Q168" s="294">
        <f>IFERROR(__xludf.DUMMYFUNCTION("FILTER('GBD estimates'!$AC$3:$AC$193,'GBD estimates'!$V$3:$V$193=Q$3,'GBD estimates'!$Y$3:$Y$193=""Early Neonatal"")"),45.55628334)</f>
        <v>45.55628334</v>
      </c>
      <c r="R168" s="294">
        <f>IFERROR(__xludf.DUMMYFUNCTION("FILTER('GBD estimates'!$AC$3:$AC$193,'GBD estimates'!$V$3:$V$193=R$3,'GBD estimates'!$Y$3:$Y$193=""Early Neonatal"")"),13.63670803)</f>
        <v>13.63670803</v>
      </c>
      <c r="S168" s="294">
        <f>IFERROR(__xludf.DUMMYFUNCTION("FILTER('GBD estimates'!$AC$3:$AC$193,'GBD estimates'!$V$3:$V$193=S$3,'GBD estimates'!$Y$3:$Y$193=""Early Neonatal"")"),19.9199481)</f>
        <v>19.9199481</v>
      </c>
      <c r="T168" s="294">
        <f>IFERROR(__xludf.DUMMYFUNCTION("FILTER('GBD estimates'!$AC$3:$AC$193,'GBD estimates'!$V$3:$V$193=T$3,'GBD estimates'!$Y$3:$Y$193=""Early Neonatal"")"),4.026044539)</f>
        <v>4.026044539</v>
      </c>
      <c r="U168" s="294">
        <f>IFERROR(__xludf.DUMMYFUNCTION("FILTER('GBD estimates'!$AC$3:$AC$193,'GBD estimates'!$V$3:$V$193=U$3,'GBD estimates'!$Y$3:$Y$193=""Early Neonatal"")"),9.323578194)</f>
        <v>9.323578194</v>
      </c>
      <c r="V168" s="294">
        <f>IFERROR(__xludf.DUMMYFUNCTION("FILTER('GBD estimates'!$AC$3:$AC$193,'GBD estimates'!$V$3:$V$193=V$3,'GBD estimates'!$Y$3:$Y$193=""Early Neonatal"")"),2.258670114)</f>
        <v>2.258670114</v>
      </c>
      <c r="W168" s="294">
        <f>IFERROR(__xludf.DUMMYFUNCTION("FILTER('GBD estimates'!$AC$3:$AC$193,'GBD estimates'!$V$3:$V$193=W$3,'GBD estimates'!$Y$3:$Y$193=""Early Neonatal"")"),54.1284809)</f>
        <v>54.1284809</v>
      </c>
      <c r="X168" s="294">
        <f>IFERROR(__xludf.DUMMYFUNCTION("FILTER('GBD estimates'!$AC$3:$AC$193,'GBD estimates'!$V$3:$V$193=X$3,'GBD estimates'!$Y$3:$Y$193=""Early Neonatal"")"),23.56598928)</f>
        <v>23.56598928</v>
      </c>
      <c r="Y168" s="294">
        <f>IFERROR(__xludf.DUMMYFUNCTION("FILTER('GBD estimates'!$AC$3:$AC$193,'GBD estimates'!$V$3:$V$193=Y$3,'GBD estimates'!$Y$3:$Y$193=""Early Neonatal"")"),4.107578218)</f>
        <v>4.107578218</v>
      </c>
      <c r="Z168" s="294">
        <f>IFERROR(__xludf.DUMMYFUNCTION("FILTER('GBD estimates'!$AC$3:$AC$193,'GBD estimates'!$V$3:$V$193=Z$3,'GBD estimates'!$Y$3:$Y$193=""Early Neonatal"")"),9.718463401)</f>
        <v>9.718463401</v>
      </c>
      <c r="AA168" s="294">
        <f>IFERROR(__xludf.DUMMYFUNCTION("FILTER('GBD estimates'!$AC$3:$AC$193,'GBD estimates'!$V$3:$V$193=AA$3,'GBD estimates'!$Y$3:$Y$193=""Early Neonatal"")"),14.37802528)</f>
        <v>14.37802528</v>
      </c>
      <c r="AB168" s="294">
        <f>IFERROR(__xludf.DUMMYFUNCTION("FILTER('GBD estimates'!$AC$3:$AC$193,'GBD estimates'!$V$3:$V$193=AB$3,'GBD estimates'!$Y$3:$Y$193=""Early Neonatal"")"),4.227489024)</f>
        <v>4.227489024</v>
      </c>
      <c r="AC168" s="294">
        <f>IFERROR(__xludf.DUMMYFUNCTION("FILTER('GBD estimates'!$AC$3:$AC$193,'GBD estimates'!$V$3:$V$193=AC$3,'GBD estimates'!$Y$3:$Y$193=""Early Neonatal"")"),3.622453428)</f>
        <v>3.622453428</v>
      </c>
      <c r="AD168" s="294">
        <f>IFERROR(__xludf.DUMMYFUNCTION("FILTER('GBD estimates'!$AC$3:$AC$193,'GBD estimates'!$V$3:$V$193=AD$3,'GBD estimates'!$Y$3:$Y$193=""Early Neonatal"")"),6.25564421)</f>
        <v>6.25564421</v>
      </c>
      <c r="AE168" s="294">
        <f>IFERROR(__xludf.DUMMYFUNCTION("FILTER('GBD estimates'!$AC$3:$AC$193,'GBD estimates'!$V$3:$V$193=AE$3,'GBD estimates'!$Y$3:$Y$193=""Early Neonatal"")"),14.38416767)</f>
        <v>14.38416767</v>
      </c>
      <c r="AF168" s="294">
        <f>IFERROR(__xludf.DUMMYFUNCTION("FILTER('GBD estimates'!$AC$3:$AC$193,'GBD estimates'!$V$3:$V$193=AF$3,'GBD estimates'!$Y$3:$Y$193=""Early Neonatal"")"),16.91253031)</f>
        <v>16.91253031</v>
      </c>
      <c r="AG168" s="294">
        <f>IFERROR(__xludf.DUMMYFUNCTION("FILTER('GBD estimates'!$AC$3:$AC$193,'GBD estimates'!$V$3:$V$193=AG$3,'GBD estimates'!$Y$3:$Y$193=""Early Neonatal"")"),5.643334207)</f>
        <v>5.643334207</v>
      </c>
      <c r="AH168" s="294">
        <f>IFERROR(__xludf.DUMMYFUNCTION("FILTER('GBD estimates'!$AC$3:$AC$193,'GBD estimates'!$V$3:$V$193=AH$3,'GBD estimates'!$Y$3:$Y$193=""Early Neonatal"")"),6.095884171)</f>
        <v>6.095884171</v>
      </c>
      <c r="AI168" s="294">
        <f>IFERROR(__xludf.DUMMYFUNCTION("FILTER('GBD estimates'!$AC$3:$AC$193,'GBD estimates'!$V$3:$V$193=AI$3,'GBD estimates'!$Y$3:$Y$193=""Early Neonatal"")"),8.754156649)</f>
        <v>8.754156649</v>
      </c>
      <c r="AJ168" s="294">
        <f>IFERROR(__xludf.DUMMYFUNCTION("FILTER('GBD estimates'!$AC$3:$AC$193,'GBD estimates'!$V$3:$V$193=AJ$3,'GBD estimates'!$Y$3:$Y$193=""Early Neonatal"")"),20.66530714)</f>
        <v>20.66530714</v>
      </c>
      <c r="AK168" s="294">
        <f>IFERROR(__xludf.DUMMYFUNCTION("FILTER('GBD estimates'!$AC$3:$AC$193,'GBD estimates'!$V$3:$V$193=AK$3,'GBD estimates'!$Y$3:$Y$193=""Early Neonatal"")"),60.25987435)</f>
        <v>60.25987435</v>
      </c>
      <c r="AL168" s="294">
        <f>IFERROR(__xludf.DUMMYFUNCTION("FILTER('GBD estimates'!$AC$3:$AC$193,'GBD estimates'!$V$3:$V$193=AL$3,'GBD estimates'!$Y$3:$Y$193=""Early Neonatal"")"),27.97002503)</f>
        <v>27.97002503</v>
      </c>
      <c r="AM168" s="294">
        <f>IFERROR(__xludf.DUMMYFUNCTION("FILTER('GBD estimates'!$AC$3:$AC$193,'GBD estimates'!$V$3:$V$193=AM$3,'GBD estimates'!$Y$3:$Y$193=""Early Neonatal"")"),7.69293674)</f>
        <v>7.69293674</v>
      </c>
      <c r="AN168" s="294">
        <f>IFERROR(__xludf.DUMMYFUNCTION("FILTER('GBD estimates'!$AC$3:$AC$193,'GBD estimates'!$V$3:$V$193=AN$3,'GBD estimates'!$Y$3:$Y$193=""Early Neonatal"")"),6.283501683)</f>
        <v>6.283501683</v>
      </c>
      <c r="AO168" s="294">
        <f>IFERROR(__xludf.DUMMYFUNCTION("FILTER('GBD estimates'!$AC$3:$AC$193,'GBD estimates'!$V$3:$V$193=AO$3,'GBD estimates'!$Y$3:$Y$193=""Early Neonatal"")"),8.293630658)</f>
        <v>8.293630658</v>
      </c>
      <c r="AP168" s="294">
        <f>IFERROR(__xludf.DUMMYFUNCTION("FILTER('GBD estimates'!$AC$3:$AC$193,'GBD estimates'!$V$3:$V$193=AP$3,'GBD estimates'!$Y$3:$Y$193=""Early Neonatal"")"),37.95574115)</f>
        <v>37.95574115</v>
      </c>
      <c r="AQ168" s="294">
        <f>IFERROR(__xludf.DUMMYFUNCTION("FILTER('GBD estimates'!$AC$3:$AC$193,'GBD estimates'!$V$3:$V$193=AQ$3,'GBD estimates'!$Y$3:$Y$193=""Early Neonatal"")"),7.313247348)</f>
        <v>7.313247348</v>
      </c>
      <c r="AR168" s="294">
        <f>IFERROR(__xludf.DUMMYFUNCTION("FILTER('GBD estimates'!$AC$3:$AC$193,'GBD estimates'!$V$3:$V$193=AR$3,'GBD estimates'!$Y$3:$Y$193=""Early Neonatal"")"),53.52855002)</f>
        <v>53.52855002</v>
      </c>
      <c r="AS168" s="294">
        <f>IFERROR(__xludf.DUMMYFUNCTION("FILTER('GBD estimates'!$AC$3:$AC$193,'GBD estimates'!$V$3:$V$193=AS$3,'GBD estimates'!$Y$3:$Y$193=""Early Neonatal"")"),44.82340316)</f>
        <v>44.82340316</v>
      </c>
      <c r="AT168" s="555"/>
      <c r="AU168" s="566" t="s">
        <v>855</v>
      </c>
      <c r="AV168" s="557"/>
    </row>
    <row r="169">
      <c r="A169" s="540"/>
      <c r="B169" s="206"/>
      <c r="C169" s="206"/>
      <c r="D169" s="206"/>
      <c r="E169" s="553" t="s">
        <v>639</v>
      </c>
      <c r="F169" s="278" t="s">
        <v>111</v>
      </c>
      <c r="G169" s="279" t="s">
        <v>203</v>
      </c>
      <c r="H169" s="581" t="s">
        <v>150</v>
      </c>
      <c r="I169" s="294">
        <f>IFERROR(__xludf.DUMMYFUNCTION("FILTER('GBD estimates'!$AC$3:$AC$193,'GBD estimates'!$V$3:$V$193=I$3,'GBD estimates'!$Y$3:$Y$193=""Late Neonatal"")"),98.96516718)</f>
        <v>98.96516718</v>
      </c>
      <c r="J169" s="294">
        <f>IFERROR(__xludf.DUMMYFUNCTION("FILTER('GBD estimates'!$AC$3:$AC$193,'GBD estimates'!$V$3:$V$193=J$3,'GBD estimates'!$Y$3:$Y$193=""Late Neonatal"")"),26.23729569)</f>
        <v>26.23729569</v>
      </c>
      <c r="K169" s="294">
        <f>IFERROR(__xludf.DUMMYFUNCTION("FILTER('GBD estimates'!$AC$3:$AC$193,'GBD estimates'!$V$3:$V$193=K$3,'GBD estimates'!$Y$3:$Y$193=""Late Neonatal"")"),48.78350373)</f>
        <v>48.78350373</v>
      </c>
      <c r="L169" s="294">
        <f>IFERROR(__xludf.DUMMYFUNCTION("FILTER('GBD estimates'!$AC$3:$AC$193,'GBD estimates'!$V$3:$V$193=L$3,'GBD estimates'!$Y$3:$Y$193=""Late Neonatal"")"),36.54373339)</f>
        <v>36.54373339</v>
      </c>
      <c r="M169" s="294">
        <f>IFERROR(__xludf.DUMMYFUNCTION("FILTER('GBD estimates'!$AC$3:$AC$193,'GBD estimates'!$V$3:$V$193=M$3,'GBD estimates'!$Y$3:$Y$193=""Late Neonatal"")"),170.2882011)</f>
        <v>170.2882011</v>
      </c>
      <c r="N169" s="294">
        <f>IFERROR(__xludf.DUMMYFUNCTION("FILTER('GBD estimates'!$AC$3:$AC$193,'GBD estimates'!$V$3:$V$193=N$3,'GBD estimates'!$Y$3:$Y$193=""Late Neonatal"")"),132.9720289)</f>
        <v>132.9720289</v>
      </c>
      <c r="O169" s="294">
        <f>IFERROR(__xludf.DUMMYFUNCTION("FILTER('GBD estimates'!$AC$3:$AC$193,'GBD estimates'!$V$3:$V$193=O$3,'GBD estimates'!$Y$3:$Y$193=""Late Neonatal"")"),53.28450667)</f>
        <v>53.28450667</v>
      </c>
      <c r="P169" s="294">
        <f>IFERROR(__xludf.DUMMYFUNCTION("FILTER('GBD estimates'!$AC$3:$AC$193,'GBD estimates'!$V$3:$V$193=P$3,'GBD estimates'!$Y$3:$Y$193=""Late Neonatal"")"),124.715188)</f>
        <v>124.715188</v>
      </c>
      <c r="Q169" s="294">
        <f>IFERROR(__xludf.DUMMYFUNCTION("FILTER('GBD estimates'!$AC$3:$AC$193,'GBD estimates'!$V$3:$V$193=Q$3,'GBD estimates'!$Y$3:$Y$193=""Late Neonatal"")"),70.13753585)</f>
        <v>70.13753585</v>
      </c>
      <c r="R169" s="294">
        <f>IFERROR(__xludf.DUMMYFUNCTION("FILTER('GBD estimates'!$AC$3:$AC$193,'GBD estimates'!$V$3:$V$193=R$3,'GBD estimates'!$Y$3:$Y$193=""Late Neonatal"")"),21.61580495)</f>
        <v>21.61580495</v>
      </c>
      <c r="S169" s="294">
        <f>IFERROR(__xludf.DUMMYFUNCTION("FILTER('GBD estimates'!$AC$3:$AC$193,'GBD estimates'!$V$3:$V$193=S$3,'GBD estimates'!$Y$3:$Y$193=""Late Neonatal"")"),27.37456524)</f>
        <v>27.37456524</v>
      </c>
      <c r="T169" s="294">
        <f>IFERROR(__xludf.DUMMYFUNCTION("FILTER('GBD estimates'!$AC$3:$AC$193,'GBD estimates'!$V$3:$V$193=T$3,'GBD estimates'!$Y$3:$Y$193=""Late Neonatal"")"),3.634324906)</f>
        <v>3.634324906</v>
      </c>
      <c r="U169" s="294">
        <f>IFERROR(__xludf.DUMMYFUNCTION("FILTER('GBD estimates'!$AC$3:$AC$193,'GBD estimates'!$V$3:$V$193=U$3,'GBD estimates'!$Y$3:$Y$193=""Late Neonatal"")"),8.425251297)</f>
        <v>8.425251297</v>
      </c>
      <c r="V169" s="294">
        <f>IFERROR(__xludf.DUMMYFUNCTION("FILTER('GBD estimates'!$AC$3:$AC$193,'GBD estimates'!$V$3:$V$193=V$3,'GBD estimates'!$Y$3:$Y$193=""Late Neonatal"")"),3.594939414)</f>
        <v>3.594939414</v>
      </c>
      <c r="W169" s="294">
        <f>IFERROR(__xludf.DUMMYFUNCTION("FILTER('GBD estimates'!$AC$3:$AC$193,'GBD estimates'!$V$3:$V$193=W$3,'GBD estimates'!$Y$3:$Y$193=""Late Neonatal"")"),70.28343001)</f>
        <v>70.28343001</v>
      </c>
      <c r="X169" s="294">
        <f>IFERROR(__xludf.DUMMYFUNCTION("FILTER('GBD estimates'!$AC$3:$AC$193,'GBD estimates'!$V$3:$V$193=X$3,'GBD estimates'!$Y$3:$Y$193=""Late Neonatal"")"),32.90400786)</f>
        <v>32.90400786</v>
      </c>
      <c r="Y169" s="294">
        <f>IFERROR(__xludf.DUMMYFUNCTION("FILTER('GBD estimates'!$AC$3:$AC$193,'GBD estimates'!$V$3:$V$193=Y$3,'GBD estimates'!$Y$3:$Y$193=""Late Neonatal"")"),4.058509018)</f>
        <v>4.058509018</v>
      </c>
      <c r="Z169" s="294">
        <f>IFERROR(__xludf.DUMMYFUNCTION("FILTER('GBD estimates'!$AC$3:$AC$193,'GBD estimates'!$V$3:$V$193=Z$3,'GBD estimates'!$Y$3:$Y$193=""Late Neonatal"")"),10.68371767)</f>
        <v>10.68371767</v>
      </c>
      <c r="AA169" s="294">
        <f>IFERROR(__xludf.DUMMYFUNCTION("FILTER('GBD estimates'!$AC$3:$AC$193,'GBD estimates'!$V$3:$V$193=AA$3,'GBD estimates'!$Y$3:$Y$193=""Late Neonatal"")"),12.83494185)</f>
        <v>12.83494185</v>
      </c>
      <c r="AB169" s="294">
        <f>IFERROR(__xludf.DUMMYFUNCTION("FILTER('GBD estimates'!$AC$3:$AC$193,'GBD estimates'!$V$3:$V$193=AB$3,'GBD estimates'!$Y$3:$Y$193=""Late Neonatal"")"),4.108390579)</f>
        <v>4.108390579</v>
      </c>
      <c r="AC169" s="294">
        <f>IFERROR(__xludf.DUMMYFUNCTION("FILTER('GBD estimates'!$AC$3:$AC$193,'GBD estimates'!$V$3:$V$193=AC$3,'GBD estimates'!$Y$3:$Y$193=""Late Neonatal"")"),2.740234995)</f>
        <v>2.740234995</v>
      </c>
      <c r="AD169" s="294">
        <f>IFERROR(__xludf.DUMMYFUNCTION("FILTER('GBD estimates'!$AC$3:$AC$193,'GBD estimates'!$V$3:$V$193=AD$3,'GBD estimates'!$Y$3:$Y$193=""Late Neonatal"")"),7.777543056)</f>
        <v>7.777543056</v>
      </c>
      <c r="AE169" s="294">
        <f>IFERROR(__xludf.DUMMYFUNCTION("FILTER('GBD estimates'!$AC$3:$AC$193,'GBD estimates'!$V$3:$V$193=AE$3,'GBD estimates'!$Y$3:$Y$193=""Late Neonatal"")"),12.46753535)</f>
        <v>12.46753535</v>
      </c>
      <c r="AF169" s="294">
        <f>IFERROR(__xludf.DUMMYFUNCTION("FILTER('GBD estimates'!$AC$3:$AC$193,'GBD estimates'!$V$3:$V$193=AF$3,'GBD estimates'!$Y$3:$Y$193=""Late Neonatal"")"),9.218298886)</f>
        <v>9.218298886</v>
      </c>
      <c r="AG169" s="294">
        <f>IFERROR(__xludf.DUMMYFUNCTION("FILTER('GBD estimates'!$AC$3:$AC$193,'GBD estimates'!$V$3:$V$193=AG$3,'GBD estimates'!$Y$3:$Y$193=""Late Neonatal"")"),4.688631751)</f>
        <v>4.688631751</v>
      </c>
      <c r="AH169" s="294">
        <f>IFERROR(__xludf.DUMMYFUNCTION("FILTER('GBD estimates'!$AC$3:$AC$193,'GBD estimates'!$V$3:$V$193=AH$3,'GBD estimates'!$Y$3:$Y$193=""Late Neonatal"")"),6.915606089)</f>
        <v>6.915606089</v>
      </c>
      <c r="AI169" s="294">
        <f>IFERROR(__xludf.DUMMYFUNCTION("FILTER('GBD estimates'!$AC$3:$AC$193,'GBD estimates'!$V$3:$V$193=AI$3,'GBD estimates'!$Y$3:$Y$193=""Late Neonatal"")"),8.469825947)</f>
        <v>8.469825947</v>
      </c>
      <c r="AJ169" s="294">
        <f>IFERROR(__xludf.DUMMYFUNCTION("FILTER('GBD estimates'!$AC$3:$AC$193,'GBD estimates'!$V$3:$V$193=AJ$3,'GBD estimates'!$Y$3:$Y$193=""Late Neonatal"")"),21.54317609)</f>
        <v>21.54317609</v>
      </c>
      <c r="AK169" s="294">
        <f>IFERROR(__xludf.DUMMYFUNCTION("FILTER('GBD estimates'!$AC$3:$AC$193,'GBD estimates'!$V$3:$V$193=AK$3,'GBD estimates'!$Y$3:$Y$193=""Late Neonatal"")"),86.34534535)</f>
        <v>86.34534535</v>
      </c>
      <c r="AL169" s="294">
        <f>IFERROR(__xludf.DUMMYFUNCTION("FILTER('GBD estimates'!$AC$3:$AC$193,'GBD estimates'!$V$3:$V$193=AL$3,'GBD estimates'!$Y$3:$Y$193=""Late Neonatal"")"),34.02095421)</f>
        <v>34.02095421</v>
      </c>
      <c r="AM169" s="294">
        <f>IFERROR(__xludf.DUMMYFUNCTION("FILTER('GBD estimates'!$AC$3:$AC$193,'GBD estimates'!$V$3:$V$193=AM$3,'GBD estimates'!$Y$3:$Y$193=""Late Neonatal"")"),6.59126176)</f>
        <v>6.59126176</v>
      </c>
      <c r="AN169" s="294">
        <f>IFERROR(__xludf.DUMMYFUNCTION("FILTER('GBD estimates'!$AC$3:$AC$193,'GBD estimates'!$V$3:$V$193=AN$3,'GBD estimates'!$Y$3:$Y$193=""Late Neonatal"")"),6.517577825)</f>
        <v>6.517577825</v>
      </c>
      <c r="AO169" s="294">
        <f>IFERROR(__xludf.DUMMYFUNCTION("FILTER('GBD estimates'!$AC$3:$AC$193,'GBD estimates'!$V$3:$V$193=AO$3,'GBD estimates'!$Y$3:$Y$193=""Late Neonatal"")"),3.348123559)</f>
        <v>3.348123559</v>
      </c>
      <c r="AP169" s="294">
        <f>IFERROR(__xludf.DUMMYFUNCTION("FILTER('GBD estimates'!$AC$3:$AC$193,'GBD estimates'!$V$3:$V$193=AP$3,'GBD estimates'!$Y$3:$Y$193=""Late Neonatal"")"),46.4290133)</f>
        <v>46.4290133</v>
      </c>
      <c r="AQ169" s="294">
        <f>IFERROR(__xludf.DUMMYFUNCTION("FILTER('GBD estimates'!$AC$3:$AC$193,'GBD estimates'!$V$3:$V$193=AQ$3,'GBD estimates'!$Y$3:$Y$193=""Late Neonatal"")"),5.946327088)</f>
        <v>5.946327088</v>
      </c>
      <c r="AR169" s="294">
        <f>IFERROR(__xludf.DUMMYFUNCTION("FILTER('GBD estimates'!$AC$3:$AC$193,'GBD estimates'!$V$3:$V$193=AR$3,'GBD estimates'!$Y$3:$Y$193=""Late Neonatal"")"),56.00350404)</f>
        <v>56.00350404</v>
      </c>
      <c r="AS169" s="294">
        <f>IFERROR(__xludf.DUMMYFUNCTION("FILTER('GBD estimates'!$AC$3:$AC$193,'GBD estimates'!$V$3:$V$193=AS$3,'GBD estimates'!$Y$3:$Y$193=""Late Neonatal"")"),33.0291859)</f>
        <v>33.0291859</v>
      </c>
      <c r="AT169" s="555"/>
      <c r="AU169" s="566" t="s">
        <v>855</v>
      </c>
      <c r="AV169" s="557"/>
    </row>
    <row r="170">
      <c r="A170" s="540"/>
      <c r="B170" s="206"/>
      <c r="C170" s="206"/>
      <c r="D170" s="206"/>
      <c r="E170" s="558" t="s">
        <v>651</v>
      </c>
      <c r="F170" s="283" t="s">
        <v>122</v>
      </c>
      <c r="G170" s="285" t="s">
        <v>203</v>
      </c>
      <c r="H170" s="559">
        <v>0.1</v>
      </c>
      <c r="I170" s="660" t="s">
        <v>150</v>
      </c>
      <c r="J170" s="660" t="s">
        <v>150</v>
      </c>
      <c r="K170" s="660" t="s">
        <v>150</v>
      </c>
      <c r="L170" s="660" t="s">
        <v>150</v>
      </c>
      <c r="M170" s="660" t="s">
        <v>150</v>
      </c>
      <c r="N170" s="660" t="s">
        <v>150</v>
      </c>
      <c r="O170" s="660" t="s">
        <v>150</v>
      </c>
      <c r="P170" s="660" t="s">
        <v>150</v>
      </c>
      <c r="Q170" s="660" t="s">
        <v>150</v>
      </c>
      <c r="R170" s="660" t="s">
        <v>150</v>
      </c>
      <c r="S170" s="660" t="s">
        <v>150</v>
      </c>
      <c r="T170" s="660" t="s">
        <v>150</v>
      </c>
      <c r="U170" s="660" t="s">
        <v>150</v>
      </c>
      <c r="V170" s="660" t="s">
        <v>150</v>
      </c>
      <c r="W170" s="660" t="s">
        <v>150</v>
      </c>
      <c r="X170" s="660" t="s">
        <v>150</v>
      </c>
      <c r="Y170" s="660" t="s">
        <v>150</v>
      </c>
      <c r="Z170" s="660" t="s">
        <v>150</v>
      </c>
      <c r="AA170" s="660" t="s">
        <v>150</v>
      </c>
      <c r="AB170" s="660" t="s">
        <v>150</v>
      </c>
      <c r="AC170" s="660" t="s">
        <v>150</v>
      </c>
      <c r="AD170" s="660" t="s">
        <v>150</v>
      </c>
      <c r="AE170" s="660" t="s">
        <v>150</v>
      </c>
      <c r="AF170" s="660" t="s">
        <v>150</v>
      </c>
      <c r="AG170" s="660" t="s">
        <v>150</v>
      </c>
      <c r="AH170" s="660" t="s">
        <v>150</v>
      </c>
      <c r="AI170" s="660" t="s">
        <v>150</v>
      </c>
      <c r="AJ170" s="660" t="s">
        <v>150</v>
      </c>
      <c r="AK170" s="660" t="s">
        <v>150</v>
      </c>
      <c r="AL170" s="660" t="s">
        <v>150</v>
      </c>
      <c r="AM170" s="660" t="s">
        <v>150</v>
      </c>
      <c r="AN170" s="660" t="s">
        <v>150</v>
      </c>
      <c r="AO170" s="660" t="s">
        <v>150</v>
      </c>
      <c r="AP170" s="660" t="s">
        <v>150</v>
      </c>
      <c r="AQ170" s="660" t="s">
        <v>150</v>
      </c>
      <c r="AR170" s="660" t="s">
        <v>150</v>
      </c>
      <c r="AS170" s="660" t="s">
        <v>150</v>
      </c>
      <c r="AT170" s="560"/>
      <c r="AU170" s="567" t="s">
        <v>809</v>
      </c>
      <c r="AV170" s="561"/>
    </row>
    <row r="171">
      <c r="A171" s="540"/>
      <c r="B171" s="206"/>
      <c r="C171" s="126"/>
      <c r="F171" s="201"/>
      <c r="G171" s="202"/>
      <c r="H171" s="542"/>
      <c r="I171" s="266"/>
      <c r="J171" s="266"/>
      <c r="K171" s="266"/>
      <c r="L171" s="266"/>
      <c r="M171" s="266"/>
      <c r="N171" s="266"/>
      <c r="O171" s="266"/>
      <c r="P171" s="266"/>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c r="AN171" s="266"/>
      <c r="AO171" s="266"/>
      <c r="AP171" s="266"/>
      <c r="AQ171" s="266"/>
      <c r="AR171" s="266"/>
      <c r="AS171" s="266"/>
      <c r="AT171" s="543"/>
      <c r="AU171" s="544"/>
      <c r="AV171" s="545"/>
    </row>
    <row r="172">
      <c r="A172" s="206"/>
      <c r="B172" s="206"/>
      <c r="C172" s="126" t="s">
        <v>679</v>
      </c>
      <c r="F172" s="201"/>
      <c r="G172" s="201"/>
      <c r="H172" s="542"/>
      <c r="I172" s="266"/>
      <c r="J172" s="266"/>
      <c r="K172" s="266"/>
      <c r="L172" s="266"/>
      <c r="M172" s="266"/>
      <c r="N172" s="266"/>
      <c r="O172" s="266"/>
      <c r="P172" s="266"/>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AN172" s="266"/>
      <c r="AO172" s="266"/>
      <c r="AP172" s="266"/>
      <c r="AQ172" s="266"/>
      <c r="AR172" s="266"/>
      <c r="AS172" s="266"/>
      <c r="AT172" s="543"/>
      <c r="AU172" s="544"/>
      <c r="AV172" s="545"/>
    </row>
    <row r="173">
      <c r="A173" s="540"/>
      <c r="B173" s="206"/>
      <c r="C173" s="206"/>
      <c r="D173" s="206"/>
      <c r="E173" s="548" t="s">
        <v>681</v>
      </c>
      <c r="F173" s="207" t="s">
        <v>122</v>
      </c>
      <c r="G173" s="208" t="s">
        <v>203</v>
      </c>
      <c r="H173" s="578" t="s">
        <v>150</v>
      </c>
      <c r="I173" s="210">
        <f>IFERROR(__xludf.DUMMYFUNCTION("FILTER('GBD estimates'!$G$3:$G$1371,'GBD estimates'!$B$3:$B$1371=I$3,'GBD estimates'!$E$3:$E$1371=""Measles"",'GBD estimates'!$D$3:$D$1371=""Under 5"")"),0.001684193)</f>
        <v>0.001684193</v>
      </c>
      <c r="J173" s="210">
        <f>IFERROR(__xludf.DUMMYFUNCTION("FILTER('GBD estimates'!$G$3:$G$1371,'GBD estimates'!$B$3:$B$1371=J$3,'GBD estimates'!$E$3:$E$1371=""Measles"",'GBD estimates'!$D$3:$D$1371=""Under 5"")"),9.21641E-4)</f>
        <v>0.000921641</v>
      </c>
      <c r="K173" s="210">
        <f>IFERROR(__xludf.DUMMYFUNCTION("FILTER('GBD estimates'!$G$3:$G$1371,'GBD estimates'!$B$3:$B$1371=K$3,'GBD estimates'!$E$3:$E$1371=""Measles"",'GBD estimates'!$D$3:$D$1371=""Under 5"")"),0.001855196)</f>
        <v>0.001855196</v>
      </c>
      <c r="L173" s="210">
        <f>IFERROR(__xludf.DUMMYFUNCTION("FILTER('GBD estimates'!$G$3:$G$1371,'GBD estimates'!$B$3:$B$1371=L$3,'GBD estimates'!$E$3:$E$1371=""Measles"",'GBD estimates'!$D$3:$D$1371=""Under 5"")"),6.22002E-4)</f>
        <v>0.000622002</v>
      </c>
      <c r="M173" s="210">
        <f>IFERROR(__xludf.DUMMYFUNCTION("FILTER('GBD estimates'!$G$3:$G$1371,'GBD estimates'!$B$3:$B$1371=M$3,'GBD estimates'!$E$3:$E$1371=""Measles"",'GBD estimates'!$D$3:$D$1371=""Under 5"")"),6.37374E-4)</f>
        <v>0.000637374</v>
      </c>
      <c r="N173" s="210">
        <f>IFERROR(__xludf.DUMMYFUNCTION("FILTER('GBD estimates'!$G$3:$G$1371,'GBD estimates'!$B$3:$B$1371=N$3,'GBD estimates'!$E$3:$E$1371=""Measles"",'GBD estimates'!$D$3:$D$1371=""Under 5"")"),0.001680384)</f>
        <v>0.001680384</v>
      </c>
      <c r="O173" s="210">
        <f>IFERROR(__xludf.DUMMYFUNCTION("FILTER('GBD estimates'!$G$3:$G$1371,'GBD estimates'!$B$3:$B$1371=O$3,'GBD estimates'!$E$3:$E$1371=""Measles"",'GBD estimates'!$D$3:$D$1371=""Under 5"")"),0.001550532)</f>
        <v>0.001550532</v>
      </c>
      <c r="P173" s="210">
        <f>IFERROR(__xludf.DUMMYFUNCTION("FILTER('GBD estimates'!$G$3:$G$1371,'GBD estimates'!$B$3:$B$1371=P$3,'GBD estimates'!$E$3:$E$1371=""Measles"",'GBD estimates'!$D$3:$D$1371=""Under 5"")"),0.002217853)</f>
        <v>0.002217853</v>
      </c>
      <c r="Q173" s="210">
        <f>IFERROR(__xludf.DUMMYFUNCTION("FILTER('GBD estimates'!$G$3:$G$1371,'GBD estimates'!$B$3:$B$1371=Q$3,'GBD estimates'!$E$3:$E$1371=""Measles"",'GBD estimates'!$D$3:$D$1371=""Under 5"")"),0.00256188)</f>
        <v>0.00256188</v>
      </c>
      <c r="R173" s="210">
        <f>IFERROR(__xludf.DUMMYFUNCTION("FILTER('GBD estimates'!$G$3:$G$1371,'GBD estimates'!$B$3:$B$1371=R$3,'GBD estimates'!$E$3:$E$1371=""Measles"",'GBD estimates'!$D$3:$D$1371=""Under 5"")"),1.41832E-4)</f>
        <v>0.000141832</v>
      </c>
      <c r="S173" s="210">
        <f>IFERROR(__xludf.DUMMYFUNCTION("FILTER('GBD estimates'!$G$3:$G$1371,'GBD estimates'!$B$3:$B$1371=S$3,'GBD estimates'!$E$3:$E$1371=""Measles"",'GBD estimates'!$D$3:$D$1371=""Under 5"")"),5.08638E-4)</f>
        <v>0.000508638</v>
      </c>
      <c r="T173" s="210">
        <f>IFERROR(__xludf.DUMMYFUNCTION("FILTER('GBD estimates'!$G$3:$G$1371,'GBD estimates'!$B$3:$B$1371=T$3,'GBD estimates'!$E$3:$E$1371=""Measles"",'GBD estimates'!$D$3:$D$1371=""Under 5"")"),1.89306E-4)</f>
        <v>0.000189306</v>
      </c>
      <c r="U173" s="210">
        <f>IFERROR(__xludf.DUMMYFUNCTION("FILTER('GBD estimates'!$G$3:$G$1371,'GBD estimates'!$B$3:$B$1371=U$3,'GBD estimates'!$E$3:$E$1371=""Measles"",'GBD estimates'!$D$3:$D$1371=""Under 5"")"),1.45828E-4)</f>
        <v>0.000145828</v>
      </c>
      <c r="V173" s="210">
        <f>IFERROR(__xludf.DUMMYFUNCTION("FILTER('GBD estimates'!$G$3:$G$1371,'GBD estimates'!$B$3:$B$1371=V$3,'GBD estimates'!$E$3:$E$1371=""Measles"",'GBD estimates'!$D$3:$D$1371=""Under 5"")"),3.56325E-4)</f>
        <v>0.000356325</v>
      </c>
      <c r="W173" s="210">
        <f>IFERROR(__xludf.DUMMYFUNCTION("FILTER('GBD estimates'!$G$3:$G$1371,'GBD estimates'!$B$3:$B$1371=W$3,'GBD estimates'!$E$3:$E$1371=""Measles"",'GBD estimates'!$D$3:$D$1371=""Under 5"")"),2.84489E-4)</f>
        <v>0.000284489</v>
      </c>
      <c r="X173" s="210">
        <f>IFERROR(__xludf.DUMMYFUNCTION("FILTER('GBD estimates'!$G$3:$G$1371,'GBD estimates'!$B$3:$B$1371=X$3,'GBD estimates'!$E$3:$E$1371=""Measles"",'GBD estimates'!$D$3:$D$1371=""Under 5"")"),5.85515E-4)</f>
        <v>0.000585515</v>
      </c>
      <c r="Y173" s="210">
        <f>IFERROR(__xludf.DUMMYFUNCTION("FILTER('GBD estimates'!$G$3:$G$1371,'GBD estimates'!$B$3:$B$1371=Y$3,'GBD estimates'!$E$3:$E$1371=""Measles"",'GBD estimates'!$D$3:$D$1371=""Under 5"")"),2.27998E-4)</f>
        <v>0.000227998</v>
      </c>
      <c r="Z173" s="210">
        <f>IFERROR(__xludf.DUMMYFUNCTION("FILTER('GBD estimates'!$G$3:$G$1371,'GBD estimates'!$B$3:$B$1371=Z$3,'GBD estimates'!$E$3:$E$1371=""Measles"",'GBD estimates'!$D$3:$D$1371=""Under 5"")"),2.0488E-4)</f>
        <v>0.00020488</v>
      </c>
      <c r="AA173" s="210">
        <f>IFERROR(__xludf.DUMMYFUNCTION("FILTER('GBD estimates'!$G$3:$G$1371,'GBD estimates'!$B$3:$B$1371=AA$3,'GBD estimates'!$E$3:$E$1371=""Measles"",'GBD estimates'!$D$3:$D$1371=""Under 5"")"),2.59696E-4)</f>
        <v>0.000259696</v>
      </c>
      <c r="AB173" s="210">
        <f>IFERROR(__xludf.DUMMYFUNCTION("FILTER('GBD estimates'!$G$3:$G$1371,'GBD estimates'!$B$3:$B$1371=AB$3,'GBD estimates'!$E$3:$E$1371=""Measles"",'GBD estimates'!$D$3:$D$1371=""Under 5"")"),1.80419E-4)</f>
        <v>0.000180419</v>
      </c>
      <c r="AC173" s="210">
        <f>IFERROR(__xludf.DUMMYFUNCTION("FILTER('GBD estimates'!$G$3:$G$1371,'GBD estimates'!$B$3:$B$1371=AC$3,'GBD estimates'!$E$3:$E$1371=""Measles"",'GBD estimates'!$D$3:$D$1371=""Under 5"")"),1.73715E-4)</f>
        <v>0.000173715</v>
      </c>
      <c r="AD173" s="210">
        <f>IFERROR(__xludf.DUMMYFUNCTION("FILTER('GBD estimates'!$G$3:$G$1371,'GBD estimates'!$B$3:$B$1371=AD$3,'GBD estimates'!$E$3:$E$1371=""Measles"",'GBD estimates'!$D$3:$D$1371=""Under 5"")"),1.22419E-4)</f>
        <v>0.000122419</v>
      </c>
      <c r="AE173" s="210">
        <f>IFERROR(__xludf.DUMMYFUNCTION("FILTER('GBD estimates'!$G$3:$G$1371,'GBD estimates'!$B$3:$B$1371=AE$3,'GBD estimates'!$E$3:$E$1371=""Measles"",'GBD estimates'!$D$3:$D$1371=""Under 5"")"),1.35426E-4)</f>
        <v>0.000135426</v>
      </c>
      <c r="AF173" s="210">
        <f>IFERROR(__xludf.DUMMYFUNCTION("FILTER('GBD estimates'!$G$3:$G$1371,'GBD estimates'!$B$3:$B$1371=AF$3,'GBD estimates'!$E$3:$E$1371=""Measles"",'GBD estimates'!$D$3:$D$1371=""Under 5"")"),1.01351E-4)</f>
        <v>0.000101351</v>
      </c>
      <c r="AG173" s="210">
        <f>IFERROR(__xludf.DUMMYFUNCTION("FILTER('GBD estimates'!$G$3:$G$1371,'GBD estimates'!$B$3:$B$1371=AG$3,'GBD estimates'!$E$3:$E$1371=""Measles"",'GBD estimates'!$D$3:$D$1371=""Under 5"")"),2.45612E-4)</f>
        <v>0.000245612</v>
      </c>
      <c r="AH173" s="210">
        <f>IFERROR(__xludf.DUMMYFUNCTION("FILTER('GBD estimates'!$G$3:$G$1371,'GBD estimates'!$B$3:$B$1371=AH$3,'GBD estimates'!$E$3:$E$1371=""Measles"",'GBD estimates'!$D$3:$D$1371=""Under 5"")"),2.51249E-4)</f>
        <v>0.000251249</v>
      </c>
      <c r="AI173" s="210">
        <f>IFERROR(__xludf.DUMMYFUNCTION("FILTER('GBD estimates'!$G$3:$G$1371,'GBD estimates'!$B$3:$B$1371=AI$3,'GBD estimates'!$E$3:$E$1371=""Measles"",'GBD estimates'!$D$3:$D$1371=""Under 5"")"),8.71E-5)</f>
        <v>0.0000871</v>
      </c>
      <c r="AJ173" s="210">
        <f>IFERROR(__xludf.DUMMYFUNCTION("FILTER('GBD estimates'!$G$3:$G$1371,'GBD estimates'!$B$3:$B$1371=AJ$3,'GBD estimates'!$E$3:$E$1371=""Measles"",'GBD estimates'!$D$3:$D$1371=""Under 5"")"),3.46226E-4)</f>
        <v>0.000346226</v>
      </c>
      <c r="AK173" s="210">
        <f>IFERROR(__xludf.DUMMYFUNCTION("FILTER('GBD estimates'!$G$3:$G$1371,'GBD estimates'!$B$3:$B$1371=AK$3,'GBD estimates'!$E$3:$E$1371=""Measles"",'GBD estimates'!$D$3:$D$1371=""Under 5"")"),5.47186E-4)</f>
        <v>0.000547186</v>
      </c>
      <c r="AL173" s="210">
        <f>IFERROR(__xludf.DUMMYFUNCTION("FILTER('GBD estimates'!$G$3:$G$1371,'GBD estimates'!$B$3:$B$1371=AL$3,'GBD estimates'!$E$3:$E$1371=""Measles"",'GBD estimates'!$D$3:$D$1371=""Under 5"")"),1.83463E-4)</f>
        <v>0.000183463</v>
      </c>
      <c r="AM173" s="210">
        <f>IFERROR(__xludf.DUMMYFUNCTION("FILTER('GBD estimates'!$G$3:$G$1371,'GBD estimates'!$B$3:$B$1371=AM$3,'GBD estimates'!$E$3:$E$1371=""Measles"",'GBD estimates'!$D$3:$D$1371=""Under 5"")"),1.7625E-4)</f>
        <v>0.00017625</v>
      </c>
      <c r="AN173" s="210">
        <f>IFERROR(__xludf.DUMMYFUNCTION("FILTER('GBD estimates'!$G$3:$G$1371,'GBD estimates'!$B$3:$B$1371=AN$3,'GBD estimates'!$E$3:$E$1371=""Measles"",'GBD estimates'!$D$3:$D$1371=""Under 5"")"),1.0284E-4)</f>
        <v>0.00010284</v>
      </c>
      <c r="AO173" s="210">
        <f>IFERROR(__xludf.DUMMYFUNCTION("FILTER('GBD estimates'!$G$3:$G$1371,'GBD estimates'!$B$3:$B$1371=AO$3,'GBD estimates'!$E$3:$E$1371=""Measles"",'GBD estimates'!$D$3:$D$1371=""Under 5"")"),1.7111E-4)</f>
        <v>0.00017111</v>
      </c>
      <c r="AP173" s="210">
        <f>IFERROR(__xludf.DUMMYFUNCTION("FILTER('GBD estimates'!$G$3:$G$1371,'GBD estimates'!$B$3:$B$1371=AP$3,'GBD estimates'!$E$3:$E$1371=""Measles"",'GBD estimates'!$D$3:$D$1371=""Under 5"")"),2.3164E-4)</f>
        <v>0.00023164</v>
      </c>
      <c r="AQ173" s="210">
        <f>IFERROR(__xludf.DUMMYFUNCTION("FILTER('GBD estimates'!$G$3:$G$1371,'GBD estimates'!$B$3:$B$1371=AQ$3,'GBD estimates'!$E$3:$E$1371=""Measles"",'GBD estimates'!$D$3:$D$1371=""Under 5"")"),1.74496E-4)</f>
        <v>0.000174496</v>
      </c>
      <c r="AR173" s="210">
        <f>IFERROR(__xludf.DUMMYFUNCTION("FILTER('GBD estimates'!$G$3:$G$1371,'GBD estimates'!$B$3:$B$1371=AR$3,'GBD estimates'!$E$3:$E$1371=""Measles"",'GBD estimates'!$D$3:$D$1371=""Under 5"")"),5.64633E-4)</f>
        <v>0.000564633</v>
      </c>
      <c r="AS173" s="210">
        <f>IFERROR(__xludf.DUMMYFUNCTION("FILTER('GBD estimates'!$G$3:$G$1371,'GBD estimates'!$B$3:$B$1371=AS$3,'GBD estimates'!$E$3:$E$1371=""Measles"",'GBD estimates'!$D$3:$D$1371=""Under 5"")"),0.001123738)</f>
        <v>0.001123738</v>
      </c>
      <c r="AT173" s="550"/>
      <c r="AU173" s="562" t="s">
        <v>855</v>
      </c>
      <c r="AV173" s="552"/>
    </row>
    <row r="174">
      <c r="A174" s="540"/>
      <c r="B174" s="206"/>
      <c r="C174" s="206"/>
      <c r="D174" s="206"/>
      <c r="E174" s="553" t="s">
        <v>685</v>
      </c>
      <c r="F174" s="278" t="s">
        <v>122</v>
      </c>
      <c r="G174" s="279" t="s">
        <v>203</v>
      </c>
      <c r="H174" s="581" t="s">
        <v>150</v>
      </c>
      <c r="I174" s="210">
        <f>IFERROR(__xludf.DUMMYFUNCTION("FILTER('GBD estimates'!$G$3:$G$1371,'GBD estimates'!$B$3:$B$1371=I$3,'GBD estimates'!$E$3:$E$1371=""Measles"",'GBD estimates'!$D$3:$D$1371=""5-14 years"")"),2.58566E-4)</f>
        <v>0.000258566</v>
      </c>
      <c r="J174" s="210">
        <f>IFERROR(__xludf.DUMMYFUNCTION("FILTER('GBD estimates'!$G$3:$G$1371,'GBD estimates'!$B$3:$B$1371=J$3,'GBD estimates'!$E$3:$E$1371=""Measles"",'GBD estimates'!$D$3:$D$1371=""5-14 years"")"),1.38837E-4)</f>
        <v>0.000138837</v>
      </c>
      <c r="K174" s="210">
        <f>IFERROR(__xludf.DUMMYFUNCTION("FILTER('GBD estimates'!$G$3:$G$1371,'GBD estimates'!$B$3:$B$1371=K$3,'GBD estimates'!$E$3:$E$1371=""Measles"",'GBD estimates'!$D$3:$D$1371=""5-14 years"")"),2.90386E-4)</f>
        <v>0.000290386</v>
      </c>
      <c r="L174" s="210">
        <f>IFERROR(__xludf.DUMMYFUNCTION("FILTER('GBD estimates'!$G$3:$G$1371,'GBD estimates'!$B$3:$B$1371=L$3,'GBD estimates'!$E$3:$E$1371=""Measles"",'GBD estimates'!$D$3:$D$1371=""5-14 years"")"),1.09043E-4)</f>
        <v>0.000109043</v>
      </c>
      <c r="M174" s="210">
        <f>IFERROR(__xludf.DUMMYFUNCTION("FILTER('GBD estimates'!$G$3:$G$1371,'GBD estimates'!$B$3:$B$1371=M$3,'GBD estimates'!$E$3:$E$1371=""Measles"",'GBD estimates'!$D$3:$D$1371=""5-14 years"")"),1.02012E-4)</f>
        <v>0.000102012</v>
      </c>
      <c r="N174" s="210">
        <f>IFERROR(__xludf.DUMMYFUNCTION("FILTER('GBD estimates'!$G$3:$G$1371,'GBD estimates'!$B$3:$B$1371=N$3,'GBD estimates'!$E$3:$E$1371=""Measles"",'GBD estimates'!$D$3:$D$1371=""5-14 years"")"),2.59127E-4)</f>
        <v>0.000259127</v>
      </c>
      <c r="O174" s="210">
        <f>IFERROR(__xludf.DUMMYFUNCTION("FILTER('GBD estimates'!$G$3:$G$1371,'GBD estimates'!$B$3:$B$1371=O$3,'GBD estimates'!$E$3:$E$1371=""Measles"",'GBD estimates'!$D$3:$D$1371=""5-14 years"")"),2.46282E-4)</f>
        <v>0.000246282</v>
      </c>
      <c r="P174" s="210">
        <f>IFERROR(__xludf.DUMMYFUNCTION("FILTER('GBD estimates'!$G$3:$G$1371,'GBD estimates'!$B$3:$B$1371=P$3,'GBD estimates'!$E$3:$E$1371=""Measles"",'GBD estimates'!$D$3:$D$1371=""5-14 years"")"),3.44136E-4)</f>
        <v>0.000344136</v>
      </c>
      <c r="Q174" s="210">
        <f>IFERROR(__xludf.DUMMYFUNCTION("FILTER('GBD estimates'!$G$3:$G$1371,'GBD estimates'!$B$3:$B$1371=Q$3,'GBD estimates'!$E$3:$E$1371=""Measles"",'GBD estimates'!$D$3:$D$1371=""5-14 years"")"),3.60388E-4)</f>
        <v>0.000360388</v>
      </c>
      <c r="R174" s="210">
        <f>IFERROR(__xludf.DUMMYFUNCTION("FILTER('GBD estimates'!$G$3:$G$1371,'GBD estimates'!$B$3:$B$1371=R$3,'GBD estimates'!$E$3:$E$1371=""Measles"",'GBD estimates'!$D$3:$D$1371=""5-14 years"")"),2.44E-5)</f>
        <v>0.0000244</v>
      </c>
      <c r="S174" s="210">
        <f>IFERROR(__xludf.DUMMYFUNCTION("FILTER('GBD estimates'!$G$3:$G$1371,'GBD estimates'!$B$3:$B$1371=S$3,'GBD estimates'!$E$3:$E$1371=""Measles"",'GBD estimates'!$D$3:$D$1371=""5-14 years"")"),8.0E-5)</f>
        <v>0.00008</v>
      </c>
      <c r="T174" s="210">
        <f>IFERROR(__xludf.DUMMYFUNCTION("FILTER('GBD estimates'!$G$3:$G$1371,'GBD estimates'!$B$3:$B$1371=T$3,'GBD estimates'!$E$3:$E$1371=""Measles"",'GBD estimates'!$D$3:$D$1371=""5-14 years"")"),3.4E-5)</f>
        <v>0.000034</v>
      </c>
      <c r="U174" s="210">
        <f>IFERROR(__xludf.DUMMYFUNCTION("FILTER('GBD estimates'!$G$3:$G$1371,'GBD estimates'!$B$3:$B$1371=U$3,'GBD estimates'!$E$3:$E$1371=""Measles"",'GBD estimates'!$D$3:$D$1371=""5-14 years"")"),2.65E-5)</f>
        <v>0.0000265</v>
      </c>
      <c r="V174" s="210">
        <f>IFERROR(__xludf.DUMMYFUNCTION("FILTER('GBD estimates'!$G$3:$G$1371,'GBD estimates'!$B$3:$B$1371=V$3,'GBD estimates'!$E$3:$E$1371=""Measles"",'GBD estimates'!$D$3:$D$1371=""5-14 years"")"),5.56E-5)</f>
        <v>0.0000556</v>
      </c>
      <c r="W174" s="210">
        <f>IFERROR(__xludf.DUMMYFUNCTION("FILTER('GBD estimates'!$G$3:$G$1371,'GBD estimates'!$B$3:$B$1371=W$3,'GBD estimates'!$E$3:$E$1371=""Measles"",'GBD estimates'!$D$3:$D$1371=""5-14 years"")"),4.97E-5)</f>
        <v>0.0000497</v>
      </c>
      <c r="X174" s="210">
        <f>IFERROR(__xludf.DUMMYFUNCTION("FILTER('GBD estimates'!$G$3:$G$1371,'GBD estimates'!$B$3:$B$1371=X$3,'GBD estimates'!$E$3:$E$1371=""Measles"",'GBD estimates'!$D$3:$D$1371=""5-14 years"")"),9.23E-5)</f>
        <v>0.0000923</v>
      </c>
      <c r="Y174" s="210">
        <f>IFERROR(__xludf.DUMMYFUNCTION("FILTER('GBD estimates'!$G$3:$G$1371,'GBD estimates'!$B$3:$B$1371=Y$3,'GBD estimates'!$E$3:$E$1371=""Measles"",'GBD estimates'!$D$3:$D$1371=""5-14 years"")"),3.92E-5)</f>
        <v>0.0000392</v>
      </c>
      <c r="Z174" s="210">
        <f>IFERROR(__xludf.DUMMYFUNCTION("FILTER('GBD estimates'!$G$3:$G$1371,'GBD estimates'!$B$3:$B$1371=Z$3,'GBD estimates'!$E$3:$E$1371=""Measles"",'GBD estimates'!$D$3:$D$1371=""5-14 years"")"),3.87E-5)</f>
        <v>0.0000387</v>
      </c>
      <c r="AA174" s="210">
        <f>IFERROR(__xludf.DUMMYFUNCTION("FILTER('GBD estimates'!$G$3:$G$1371,'GBD estimates'!$B$3:$B$1371=AA$3,'GBD estimates'!$E$3:$E$1371=""Measles"",'GBD estimates'!$D$3:$D$1371=""5-14 years"")"),5.07E-5)</f>
        <v>0.0000507</v>
      </c>
      <c r="AB174" s="210">
        <f>IFERROR(__xludf.DUMMYFUNCTION("FILTER('GBD estimates'!$G$3:$G$1371,'GBD estimates'!$B$3:$B$1371=AB$3,'GBD estimates'!$E$3:$E$1371=""Measles"",'GBD estimates'!$D$3:$D$1371=""5-14 years"")"),2.72E-5)</f>
        <v>0.0000272</v>
      </c>
      <c r="AC174" s="210">
        <f>IFERROR(__xludf.DUMMYFUNCTION("FILTER('GBD estimates'!$G$3:$G$1371,'GBD estimates'!$B$3:$B$1371=AC$3,'GBD estimates'!$E$3:$E$1371=""Measles"",'GBD estimates'!$D$3:$D$1371=""5-14 years"")"),3.07E-5)</f>
        <v>0.0000307</v>
      </c>
      <c r="AD174" s="210">
        <f>IFERROR(__xludf.DUMMYFUNCTION("FILTER('GBD estimates'!$G$3:$G$1371,'GBD estimates'!$B$3:$B$1371=AD$3,'GBD estimates'!$E$3:$E$1371=""Measles"",'GBD estimates'!$D$3:$D$1371=""5-14 years"")"),2.35E-5)</f>
        <v>0.0000235</v>
      </c>
      <c r="AE174" s="210">
        <f>IFERROR(__xludf.DUMMYFUNCTION("FILTER('GBD estimates'!$G$3:$G$1371,'GBD estimates'!$B$3:$B$1371=AE$3,'GBD estimates'!$E$3:$E$1371=""Measles"",'GBD estimates'!$D$3:$D$1371=""5-14 years"")"),2.46E-5)</f>
        <v>0.0000246</v>
      </c>
      <c r="AF174" s="210">
        <f>IFERROR(__xludf.DUMMYFUNCTION("FILTER('GBD estimates'!$G$3:$G$1371,'GBD estimates'!$B$3:$B$1371=AF$3,'GBD estimates'!$E$3:$E$1371=""Measles"",'GBD estimates'!$D$3:$D$1371=""5-14 years"")"),1.98E-5)</f>
        <v>0.0000198</v>
      </c>
      <c r="AG174" s="210">
        <f>IFERROR(__xludf.DUMMYFUNCTION("FILTER('GBD estimates'!$G$3:$G$1371,'GBD estimates'!$B$3:$B$1371=AG$3,'GBD estimates'!$E$3:$E$1371=""Measles"",'GBD estimates'!$D$3:$D$1371=""5-14 years"")"),4.42E-5)</f>
        <v>0.0000442</v>
      </c>
      <c r="AH174" s="210">
        <f>IFERROR(__xludf.DUMMYFUNCTION("FILTER('GBD estimates'!$G$3:$G$1371,'GBD estimates'!$B$3:$B$1371=AH$3,'GBD estimates'!$E$3:$E$1371=""Measles"",'GBD estimates'!$D$3:$D$1371=""5-14 years"")"),4.89E-5)</f>
        <v>0.0000489</v>
      </c>
      <c r="AI174" s="210">
        <f>IFERROR(__xludf.DUMMYFUNCTION("FILTER('GBD estimates'!$G$3:$G$1371,'GBD estimates'!$B$3:$B$1371=AI$3,'GBD estimates'!$E$3:$E$1371=""Measles"",'GBD estimates'!$D$3:$D$1371=""5-14 years"")"),1.83E-5)</f>
        <v>0.0000183</v>
      </c>
      <c r="AJ174" s="210">
        <f>IFERROR(__xludf.DUMMYFUNCTION("FILTER('GBD estimates'!$G$3:$G$1371,'GBD estimates'!$B$3:$B$1371=AJ$3,'GBD estimates'!$E$3:$E$1371=""Measles"",'GBD estimates'!$D$3:$D$1371=""5-14 years"")"),5.95E-5)</f>
        <v>0.0000595</v>
      </c>
      <c r="AK174" s="210">
        <f>IFERROR(__xludf.DUMMYFUNCTION("FILTER('GBD estimates'!$G$3:$G$1371,'GBD estimates'!$B$3:$B$1371=AK$3,'GBD estimates'!$E$3:$E$1371=""Measles"",'GBD estimates'!$D$3:$D$1371=""5-14 years"")"),8.68E-5)</f>
        <v>0.0000868</v>
      </c>
      <c r="AL174" s="210">
        <f>IFERROR(__xludf.DUMMYFUNCTION("FILTER('GBD estimates'!$G$3:$G$1371,'GBD estimates'!$B$3:$B$1371=AL$3,'GBD estimates'!$E$3:$E$1371=""Measles"",'GBD estimates'!$D$3:$D$1371=""5-14 years"")"),3.22E-5)</f>
        <v>0.0000322</v>
      </c>
      <c r="AM174" s="210">
        <f>IFERROR(__xludf.DUMMYFUNCTION("FILTER('GBD estimates'!$G$3:$G$1371,'GBD estimates'!$B$3:$B$1371=AM$3,'GBD estimates'!$E$3:$E$1371=""Measles"",'GBD estimates'!$D$3:$D$1371=""5-14 years"")"),3.34E-5)</f>
        <v>0.0000334</v>
      </c>
      <c r="AN174" s="210">
        <f>IFERROR(__xludf.DUMMYFUNCTION("FILTER('GBD estimates'!$G$3:$G$1371,'GBD estimates'!$B$3:$B$1371=AN$3,'GBD estimates'!$E$3:$E$1371=""Measles"",'GBD estimates'!$D$3:$D$1371=""5-14 years"")"),1.93E-5)</f>
        <v>0.0000193</v>
      </c>
      <c r="AO174" s="210">
        <f>IFERROR(__xludf.DUMMYFUNCTION("FILTER('GBD estimates'!$G$3:$G$1371,'GBD estimates'!$B$3:$B$1371=AO$3,'GBD estimates'!$E$3:$E$1371=""Measles"",'GBD estimates'!$D$3:$D$1371=""5-14 years"")"),2.84E-5)</f>
        <v>0.0000284</v>
      </c>
      <c r="AP174" s="210">
        <f>IFERROR(__xludf.DUMMYFUNCTION("FILTER('GBD estimates'!$G$3:$G$1371,'GBD estimates'!$B$3:$B$1371=AP$3,'GBD estimates'!$E$3:$E$1371=""Measles"",'GBD estimates'!$D$3:$D$1371=""5-14 years"")"),4.82E-5)</f>
        <v>0.0000482</v>
      </c>
      <c r="AQ174" s="210">
        <f>IFERROR(__xludf.DUMMYFUNCTION("FILTER('GBD estimates'!$G$3:$G$1371,'GBD estimates'!$B$3:$B$1371=AQ$3,'GBD estimates'!$E$3:$E$1371=""Measles"",'GBD estimates'!$D$3:$D$1371=""5-14 years"")"),2.97E-5)</f>
        <v>0.0000297</v>
      </c>
      <c r="AR174" s="210">
        <f>IFERROR(__xludf.DUMMYFUNCTION("FILTER('GBD estimates'!$G$3:$G$1371,'GBD estimates'!$B$3:$B$1371=AR$3,'GBD estimates'!$E$3:$E$1371=""Measles"",'GBD estimates'!$D$3:$D$1371=""5-14 years"")"),9.21E-5)</f>
        <v>0.0000921</v>
      </c>
      <c r="AS174" s="210">
        <f>IFERROR(__xludf.DUMMYFUNCTION("FILTER('GBD estimates'!$G$3:$G$1371,'GBD estimates'!$B$3:$B$1371=AS$3,'GBD estimates'!$E$3:$E$1371=""Measles"",'GBD estimates'!$D$3:$D$1371=""5-14 years"")"),1.72181E-4)</f>
        <v>0.000172181</v>
      </c>
      <c r="AT174" s="555"/>
      <c r="AU174" s="566" t="s">
        <v>855</v>
      </c>
      <c r="AV174" s="557"/>
    </row>
    <row r="175">
      <c r="A175" s="540"/>
      <c r="B175" s="206"/>
      <c r="C175" s="206"/>
      <c r="D175" s="206"/>
      <c r="E175" s="553" t="s">
        <v>691</v>
      </c>
      <c r="F175" s="278" t="s">
        <v>122</v>
      </c>
      <c r="G175" s="279" t="s">
        <v>203</v>
      </c>
      <c r="H175" s="581" t="s">
        <v>150</v>
      </c>
      <c r="I175" s="210">
        <f>IFERROR(__xludf.DUMMYFUNCTION("FILTER('GBD estimates'!$G$3:$G$1371,'GBD estimates'!$B$3:$B$1371=I$3,'GBD estimates'!$E$3:$E$1371=""Measles"",'GBD estimates'!$D$3:$D$1371=""15-49 years"")"),5.31E-5)</f>
        <v>0.0000531</v>
      </c>
      <c r="J175" s="210">
        <f>IFERROR(__xludf.DUMMYFUNCTION("FILTER('GBD estimates'!$G$3:$G$1371,'GBD estimates'!$B$3:$B$1371=J$3,'GBD estimates'!$E$3:$E$1371=""Measles"",'GBD estimates'!$D$3:$D$1371=""15-49 years"")"),2.4E-5)</f>
        <v>0.000024</v>
      </c>
      <c r="K175" s="210">
        <f>IFERROR(__xludf.DUMMYFUNCTION("FILTER('GBD estimates'!$G$3:$G$1371,'GBD estimates'!$B$3:$B$1371=K$3,'GBD estimates'!$E$3:$E$1371=""Measles"",'GBD estimates'!$D$3:$D$1371=""15-49 years"")"),7.73E-5)</f>
        <v>0.0000773</v>
      </c>
      <c r="L175" s="210">
        <f>IFERROR(__xludf.DUMMYFUNCTION("FILTER('GBD estimates'!$G$3:$G$1371,'GBD estimates'!$B$3:$B$1371=L$3,'GBD estimates'!$E$3:$E$1371=""Measles"",'GBD estimates'!$D$3:$D$1371=""15-49 years"")"),2.23E-5)</f>
        <v>0.0000223</v>
      </c>
      <c r="M175" s="210">
        <f>IFERROR(__xludf.DUMMYFUNCTION("FILTER('GBD estimates'!$G$3:$G$1371,'GBD estimates'!$B$3:$B$1371=M$3,'GBD estimates'!$E$3:$E$1371=""Measles"",'GBD estimates'!$D$3:$D$1371=""15-49 years"")"),1.9E-5)</f>
        <v>0.000019</v>
      </c>
      <c r="N175" s="210">
        <f>IFERROR(__xludf.DUMMYFUNCTION("FILTER('GBD estimates'!$G$3:$G$1371,'GBD estimates'!$B$3:$B$1371=N$3,'GBD estimates'!$E$3:$E$1371=""Measles"",'GBD estimates'!$D$3:$D$1371=""15-49 years"")"),5.92E-5)</f>
        <v>0.0000592</v>
      </c>
      <c r="O175" s="210">
        <f>IFERROR(__xludf.DUMMYFUNCTION("FILTER('GBD estimates'!$G$3:$G$1371,'GBD estimates'!$B$3:$B$1371=O$3,'GBD estimates'!$E$3:$E$1371=""Measles"",'GBD estimates'!$D$3:$D$1371=""15-49 years"")"),5.1E-5)</f>
        <v>0.000051</v>
      </c>
      <c r="P175" s="210">
        <f>IFERROR(__xludf.DUMMYFUNCTION("FILTER('GBD estimates'!$G$3:$G$1371,'GBD estimates'!$B$3:$B$1371=P$3,'GBD estimates'!$E$3:$E$1371=""Measles"",'GBD estimates'!$D$3:$D$1371=""15-49 years"")"),8.11E-5)</f>
        <v>0.0000811</v>
      </c>
      <c r="Q175" s="210">
        <f>IFERROR(__xludf.DUMMYFUNCTION("FILTER('GBD estimates'!$G$3:$G$1371,'GBD estimates'!$B$3:$B$1371=Q$3,'GBD estimates'!$E$3:$E$1371=""Measles"",'GBD estimates'!$D$3:$D$1371=""15-49 years"")"),7.78E-5)</f>
        <v>0.0000778</v>
      </c>
      <c r="R175" s="210">
        <f>IFERROR(__xludf.DUMMYFUNCTION("FILTER('GBD estimates'!$G$3:$G$1371,'GBD estimates'!$B$3:$B$1371=R$3,'GBD estimates'!$E$3:$E$1371=""Measles"",'GBD estimates'!$D$3:$D$1371=""15-49 years"")"),5.71E-6)</f>
        <v>0.00000571</v>
      </c>
      <c r="S175" s="210">
        <f>IFERROR(__xludf.DUMMYFUNCTION("FILTER('GBD estimates'!$G$3:$G$1371,'GBD estimates'!$B$3:$B$1371=S$3,'GBD estimates'!$E$3:$E$1371=""Measles"",'GBD estimates'!$D$3:$D$1371=""15-49 years"")"),1.86E-5)</f>
        <v>0.0000186</v>
      </c>
      <c r="T175" s="210">
        <f>IFERROR(__xludf.DUMMYFUNCTION("FILTER('GBD estimates'!$G$3:$G$1371,'GBD estimates'!$B$3:$B$1371=T$3,'GBD estimates'!$E$3:$E$1371=""Measles"",'GBD estimates'!$D$3:$D$1371=""15-49 years"")"),8.59E-6)</f>
        <v>0.00000859</v>
      </c>
      <c r="U175" s="210">
        <f>IFERROR(__xludf.DUMMYFUNCTION("FILTER('GBD estimates'!$G$3:$G$1371,'GBD estimates'!$B$3:$B$1371=U$3,'GBD estimates'!$E$3:$E$1371=""Measles"",'GBD estimates'!$D$3:$D$1371=""15-49 years"")"),7.19E-6)</f>
        <v>0.00000719</v>
      </c>
      <c r="V175" s="210">
        <f>IFERROR(__xludf.DUMMYFUNCTION("FILTER('GBD estimates'!$G$3:$G$1371,'GBD estimates'!$B$3:$B$1371=V$3,'GBD estimates'!$E$3:$E$1371=""Measles"",'GBD estimates'!$D$3:$D$1371=""15-49 years"")"),1.39E-5)</f>
        <v>0.0000139</v>
      </c>
      <c r="W175" s="210">
        <f>IFERROR(__xludf.DUMMYFUNCTION("FILTER('GBD estimates'!$G$3:$G$1371,'GBD estimates'!$B$3:$B$1371=W$3,'GBD estimates'!$E$3:$E$1371=""Measles"",'GBD estimates'!$D$3:$D$1371=""15-49 years"")"),1.25E-5)</f>
        <v>0.0000125</v>
      </c>
      <c r="X175" s="210">
        <f>IFERROR(__xludf.DUMMYFUNCTION("FILTER('GBD estimates'!$G$3:$G$1371,'GBD estimates'!$B$3:$B$1371=X$3,'GBD estimates'!$E$3:$E$1371=""Measles"",'GBD estimates'!$D$3:$D$1371=""15-49 years"")"),2.39E-5)</f>
        <v>0.0000239</v>
      </c>
      <c r="Y175" s="210">
        <f>IFERROR(__xludf.DUMMYFUNCTION("FILTER('GBD estimates'!$G$3:$G$1371,'GBD estimates'!$B$3:$B$1371=Y$3,'GBD estimates'!$E$3:$E$1371=""Measles"",'GBD estimates'!$D$3:$D$1371=""15-49 years"")"),9.57E-6)</f>
        <v>0.00000957</v>
      </c>
      <c r="Z175" s="210">
        <f>IFERROR(__xludf.DUMMYFUNCTION("FILTER('GBD estimates'!$G$3:$G$1371,'GBD estimates'!$B$3:$B$1371=Z$3,'GBD estimates'!$E$3:$E$1371=""Measles"",'GBD estimates'!$D$3:$D$1371=""15-49 years"")"),9.26E-6)</f>
        <v>0.00000926</v>
      </c>
      <c r="AA175" s="210">
        <f>IFERROR(__xludf.DUMMYFUNCTION("FILTER('GBD estimates'!$G$3:$G$1371,'GBD estimates'!$B$3:$B$1371=AA$3,'GBD estimates'!$E$3:$E$1371=""Measles"",'GBD estimates'!$D$3:$D$1371=""15-49 years"")"),1.17E-5)</f>
        <v>0.0000117</v>
      </c>
      <c r="AB175" s="210">
        <f>IFERROR(__xludf.DUMMYFUNCTION("FILTER('GBD estimates'!$G$3:$G$1371,'GBD estimates'!$B$3:$B$1371=AB$3,'GBD estimates'!$E$3:$E$1371=""Measles"",'GBD estimates'!$D$3:$D$1371=""15-49 years"")"),6.52E-6)</f>
        <v>0.00000652</v>
      </c>
      <c r="AC175" s="210">
        <f>IFERROR(__xludf.DUMMYFUNCTION("FILTER('GBD estimates'!$G$3:$G$1371,'GBD estimates'!$B$3:$B$1371=AC$3,'GBD estimates'!$E$3:$E$1371=""Measles"",'GBD estimates'!$D$3:$D$1371=""15-49 years"")"),6.97E-6)</f>
        <v>0.00000697</v>
      </c>
      <c r="AD175" s="210">
        <f>IFERROR(__xludf.DUMMYFUNCTION("FILTER('GBD estimates'!$G$3:$G$1371,'GBD estimates'!$B$3:$B$1371=AD$3,'GBD estimates'!$E$3:$E$1371=""Measles"",'GBD estimates'!$D$3:$D$1371=""15-49 years"")"),6.58E-6)</f>
        <v>0.00000658</v>
      </c>
      <c r="AE175" s="210">
        <f>IFERROR(__xludf.DUMMYFUNCTION("FILTER('GBD estimates'!$G$3:$G$1371,'GBD estimates'!$B$3:$B$1371=AE$3,'GBD estimates'!$E$3:$E$1371=""Measles"",'GBD estimates'!$D$3:$D$1371=""15-49 years"")"),6.57E-6)</f>
        <v>0.00000657</v>
      </c>
      <c r="AF175" s="210">
        <f>IFERROR(__xludf.DUMMYFUNCTION("FILTER('GBD estimates'!$G$3:$G$1371,'GBD estimates'!$B$3:$B$1371=AF$3,'GBD estimates'!$E$3:$E$1371=""Measles"",'GBD estimates'!$D$3:$D$1371=""15-49 years"")"),5.32E-6)</f>
        <v>0.00000532</v>
      </c>
      <c r="AG175" s="210">
        <f>IFERROR(__xludf.DUMMYFUNCTION("FILTER('GBD estimates'!$G$3:$G$1371,'GBD estimates'!$B$3:$B$1371=AG$3,'GBD estimates'!$E$3:$E$1371=""Measles"",'GBD estimates'!$D$3:$D$1371=""15-49 years"")"),1.17E-5)</f>
        <v>0.0000117</v>
      </c>
      <c r="AH175" s="210">
        <f>IFERROR(__xludf.DUMMYFUNCTION("FILTER('GBD estimates'!$G$3:$G$1371,'GBD estimates'!$B$3:$B$1371=AH$3,'GBD estimates'!$E$3:$E$1371=""Measles"",'GBD estimates'!$D$3:$D$1371=""15-49 years"")"),1.24E-5)</f>
        <v>0.0000124</v>
      </c>
      <c r="AI175" s="210">
        <f>IFERROR(__xludf.DUMMYFUNCTION("FILTER('GBD estimates'!$G$3:$G$1371,'GBD estimates'!$B$3:$B$1371=AI$3,'GBD estimates'!$E$3:$E$1371=""Measles"",'GBD estimates'!$D$3:$D$1371=""15-49 years"")"),4.67E-6)</f>
        <v>0.00000467</v>
      </c>
      <c r="AJ175" s="210">
        <f>IFERROR(__xludf.DUMMYFUNCTION("FILTER('GBD estimates'!$G$3:$G$1371,'GBD estimates'!$B$3:$B$1371=AJ$3,'GBD estimates'!$E$3:$E$1371=""Measles"",'GBD estimates'!$D$3:$D$1371=""15-49 years"")"),1.51E-5)</f>
        <v>0.0000151</v>
      </c>
      <c r="AK175" s="210">
        <f>IFERROR(__xludf.DUMMYFUNCTION("FILTER('GBD estimates'!$G$3:$G$1371,'GBD estimates'!$B$3:$B$1371=AK$3,'GBD estimates'!$E$3:$E$1371=""Measles"",'GBD estimates'!$D$3:$D$1371=""15-49 years"")"),2.22E-5)</f>
        <v>0.0000222</v>
      </c>
      <c r="AL175" s="210">
        <f>IFERROR(__xludf.DUMMYFUNCTION("FILTER('GBD estimates'!$G$3:$G$1371,'GBD estimates'!$B$3:$B$1371=AL$3,'GBD estimates'!$E$3:$E$1371=""Measles"",'GBD estimates'!$D$3:$D$1371=""15-49 years"")"),9.41E-6)</f>
        <v>0.00000941</v>
      </c>
      <c r="AM175" s="210">
        <f>IFERROR(__xludf.DUMMYFUNCTION("FILTER('GBD estimates'!$G$3:$G$1371,'GBD estimates'!$B$3:$B$1371=AM$3,'GBD estimates'!$E$3:$E$1371=""Measles"",'GBD estimates'!$D$3:$D$1371=""15-49 years"")"),8.05E-6)</f>
        <v>0.00000805</v>
      </c>
      <c r="AN175" s="210">
        <f>IFERROR(__xludf.DUMMYFUNCTION("FILTER('GBD estimates'!$G$3:$G$1371,'GBD estimates'!$B$3:$B$1371=AN$3,'GBD estimates'!$E$3:$E$1371=""Measles"",'GBD estimates'!$D$3:$D$1371=""15-49 years"")"),5.0E-6)</f>
        <v>0.000005</v>
      </c>
      <c r="AO175" s="210">
        <f>IFERROR(__xludf.DUMMYFUNCTION("FILTER('GBD estimates'!$G$3:$G$1371,'GBD estimates'!$B$3:$B$1371=AO$3,'GBD estimates'!$E$3:$E$1371=""Measles"",'GBD estimates'!$D$3:$D$1371=""15-49 years"")"),7.49E-6)</f>
        <v>0.00000749</v>
      </c>
      <c r="AP175" s="210">
        <f>IFERROR(__xludf.DUMMYFUNCTION("FILTER('GBD estimates'!$G$3:$G$1371,'GBD estimates'!$B$3:$B$1371=AP$3,'GBD estimates'!$E$3:$E$1371=""Measles"",'GBD estimates'!$D$3:$D$1371=""15-49 years"")"),1.34E-5)</f>
        <v>0.0000134</v>
      </c>
      <c r="AQ175" s="210">
        <f>IFERROR(__xludf.DUMMYFUNCTION("FILTER('GBD estimates'!$G$3:$G$1371,'GBD estimates'!$B$3:$B$1371=AQ$3,'GBD estimates'!$E$3:$E$1371=""Measles"",'GBD estimates'!$D$3:$D$1371=""15-49 years"")"),6.71E-6)</f>
        <v>0.00000671</v>
      </c>
      <c r="AR175" s="210">
        <f>IFERROR(__xludf.DUMMYFUNCTION("FILTER('GBD estimates'!$G$3:$G$1371,'GBD estimates'!$B$3:$B$1371=AR$3,'GBD estimates'!$E$3:$E$1371=""Measles"",'GBD estimates'!$D$3:$D$1371=""15-49 years"")"),2.0E-5)</f>
        <v>0.00002</v>
      </c>
      <c r="AS175" s="210">
        <f>IFERROR(__xludf.DUMMYFUNCTION("FILTER('GBD estimates'!$G$3:$G$1371,'GBD estimates'!$B$3:$B$1371=AS$3,'GBD estimates'!$E$3:$E$1371=""Measles"",'GBD estimates'!$D$3:$D$1371=""15-49 years"")"),4.79E-5)</f>
        <v>0.0000479</v>
      </c>
      <c r="AT175" s="555"/>
      <c r="AU175" s="566" t="s">
        <v>855</v>
      </c>
      <c r="AV175" s="557"/>
    </row>
    <row r="176">
      <c r="A176" s="540"/>
      <c r="B176" s="206"/>
      <c r="C176" s="206"/>
      <c r="D176" s="206"/>
      <c r="E176" s="553" t="s">
        <v>695</v>
      </c>
      <c r="F176" s="278" t="s">
        <v>122</v>
      </c>
      <c r="G176" s="279" t="s">
        <v>203</v>
      </c>
      <c r="H176" s="581" t="s">
        <v>150</v>
      </c>
      <c r="I176" s="210">
        <f>IFERROR(__xludf.DUMMYFUNCTION("FILTER('GBD estimates'!$G$3:$G$1371,'GBD estimates'!$B$3:$B$1371=I$3,'GBD estimates'!$E$3:$E$1371=""Measles"",'GBD estimates'!$D$3:$D$1371=""50 to 74 years"")"),1.3E-5)</f>
        <v>0.000013</v>
      </c>
      <c r="J176" s="210">
        <f>IFERROR(__xludf.DUMMYFUNCTION("FILTER('GBD estimates'!$G$3:$G$1371,'GBD estimates'!$B$3:$B$1371=J$3,'GBD estimates'!$E$3:$E$1371=""Measles"",'GBD estimates'!$D$3:$D$1371=""50 to 74 years"")"),6.97E-6)</f>
        <v>0.00000697</v>
      </c>
      <c r="K176" s="210">
        <f>IFERROR(__xludf.DUMMYFUNCTION("FILTER('GBD estimates'!$G$3:$G$1371,'GBD estimates'!$B$3:$B$1371=K$3,'GBD estimates'!$E$3:$E$1371=""Measles"",'GBD estimates'!$D$3:$D$1371=""50 to 74 years"")"),1.36E-5)</f>
        <v>0.0000136</v>
      </c>
      <c r="L176" s="210">
        <f>IFERROR(__xludf.DUMMYFUNCTION("FILTER('GBD estimates'!$G$3:$G$1371,'GBD estimates'!$B$3:$B$1371=L$3,'GBD estimates'!$E$3:$E$1371=""Measles"",'GBD estimates'!$D$3:$D$1371=""50 to 74 years"")"),5.24E-6)</f>
        <v>0.00000524</v>
      </c>
      <c r="M176" s="210">
        <f>IFERROR(__xludf.DUMMYFUNCTION("FILTER('GBD estimates'!$G$3:$G$1371,'GBD estimates'!$B$3:$B$1371=M$3,'GBD estimates'!$E$3:$E$1371=""Measles"",'GBD estimates'!$D$3:$D$1371=""50 to 74 years"")"),5.1E-6)</f>
        <v>0.0000051</v>
      </c>
      <c r="N176" s="210">
        <f>IFERROR(__xludf.DUMMYFUNCTION("FILTER('GBD estimates'!$G$3:$G$1371,'GBD estimates'!$B$3:$B$1371=N$3,'GBD estimates'!$E$3:$E$1371=""Measles"",'GBD estimates'!$D$3:$D$1371=""50 to 74 years"")"),1.35E-5)</f>
        <v>0.0000135</v>
      </c>
      <c r="O176" s="210">
        <f>IFERROR(__xludf.DUMMYFUNCTION("FILTER('GBD estimates'!$G$3:$G$1371,'GBD estimates'!$B$3:$B$1371=O$3,'GBD estimates'!$E$3:$E$1371=""Measles"",'GBD estimates'!$D$3:$D$1371=""50 to 74 years"")"),1.28E-5)</f>
        <v>0.0000128</v>
      </c>
      <c r="P176" s="210">
        <f>IFERROR(__xludf.DUMMYFUNCTION("FILTER('GBD estimates'!$G$3:$G$1371,'GBD estimates'!$B$3:$B$1371=P$3,'GBD estimates'!$E$3:$E$1371=""Measles"",'GBD estimates'!$D$3:$D$1371=""50 to 74 years"")"),1.72E-5)</f>
        <v>0.0000172</v>
      </c>
      <c r="Q176" s="210">
        <f>IFERROR(__xludf.DUMMYFUNCTION("FILTER('GBD estimates'!$G$3:$G$1371,'GBD estimates'!$B$3:$B$1371=Q$3,'GBD estimates'!$E$3:$E$1371=""Measles"",'GBD estimates'!$D$3:$D$1371=""50 to 74 years"")"),1.78E-5)</f>
        <v>0.0000178</v>
      </c>
      <c r="R176" s="210">
        <f>IFERROR(__xludf.DUMMYFUNCTION("FILTER('GBD estimates'!$G$3:$G$1371,'GBD estimates'!$B$3:$B$1371=R$3,'GBD estimates'!$E$3:$E$1371=""Measles"",'GBD estimates'!$D$3:$D$1371=""50 to 74 years"")"),1.28E-6)</f>
        <v>0.00000128</v>
      </c>
      <c r="S176" s="210">
        <f>IFERROR(__xludf.DUMMYFUNCTION("FILTER('GBD estimates'!$G$3:$G$1371,'GBD estimates'!$B$3:$B$1371=S$3,'GBD estimates'!$E$3:$E$1371=""Measles"",'GBD estimates'!$D$3:$D$1371=""50 to 74 years"")"),3.65E-6)</f>
        <v>0.00000365</v>
      </c>
      <c r="T176" s="210">
        <f>IFERROR(__xludf.DUMMYFUNCTION("FILTER('GBD estimates'!$G$3:$G$1371,'GBD estimates'!$B$3:$B$1371=T$3,'GBD estimates'!$E$3:$E$1371=""Measles"",'GBD estimates'!$D$3:$D$1371=""50 to 74 years"")"),2.07E-6)</f>
        <v>0.00000207</v>
      </c>
      <c r="U176" s="210">
        <f>IFERROR(__xludf.DUMMYFUNCTION("FILTER('GBD estimates'!$G$3:$G$1371,'GBD estimates'!$B$3:$B$1371=U$3,'GBD estimates'!$E$3:$E$1371=""Measles"",'GBD estimates'!$D$3:$D$1371=""50 to 74 years"")"),1.49E-6)</f>
        <v>0.00000149</v>
      </c>
      <c r="V176" s="210">
        <f>IFERROR(__xludf.DUMMYFUNCTION("FILTER('GBD estimates'!$G$3:$G$1371,'GBD estimates'!$B$3:$B$1371=V$3,'GBD estimates'!$E$3:$E$1371=""Measles"",'GBD estimates'!$D$3:$D$1371=""50 to 74 years"")"),2.87E-6)</f>
        <v>0.00000287</v>
      </c>
      <c r="W176" s="210">
        <f>IFERROR(__xludf.DUMMYFUNCTION("FILTER('GBD estimates'!$G$3:$G$1371,'GBD estimates'!$B$3:$B$1371=W$3,'GBD estimates'!$E$3:$E$1371=""Measles"",'GBD estimates'!$D$3:$D$1371=""50 to 74 years"")"),2.53E-6)</f>
        <v>0.00000253</v>
      </c>
      <c r="X176" s="210">
        <f>IFERROR(__xludf.DUMMYFUNCTION("FILTER('GBD estimates'!$G$3:$G$1371,'GBD estimates'!$B$3:$B$1371=X$3,'GBD estimates'!$E$3:$E$1371=""Measles"",'GBD estimates'!$D$3:$D$1371=""50 to 74 years"")"),5.37E-6)</f>
        <v>0.00000537</v>
      </c>
      <c r="Y176" s="210">
        <f>IFERROR(__xludf.DUMMYFUNCTION("FILTER('GBD estimates'!$G$3:$G$1371,'GBD estimates'!$B$3:$B$1371=Y$3,'GBD estimates'!$E$3:$E$1371=""Measles"",'GBD estimates'!$D$3:$D$1371=""50 to 74 years"")"),2.15E-6)</f>
        <v>0.00000215</v>
      </c>
      <c r="Z176" s="210">
        <f>IFERROR(__xludf.DUMMYFUNCTION("FILTER('GBD estimates'!$G$3:$G$1371,'GBD estimates'!$B$3:$B$1371=Z$3,'GBD estimates'!$E$3:$E$1371=""Measles"",'GBD estimates'!$D$3:$D$1371=""50 to 74 years"")"),1.87E-6)</f>
        <v>0.00000187</v>
      </c>
      <c r="AA176" s="210">
        <f>IFERROR(__xludf.DUMMYFUNCTION("FILTER('GBD estimates'!$G$3:$G$1371,'GBD estimates'!$B$3:$B$1371=AA$3,'GBD estimates'!$E$3:$E$1371=""Measles"",'GBD estimates'!$D$3:$D$1371=""50 to 74 years"")"),2.4E-6)</f>
        <v>0.0000024</v>
      </c>
      <c r="AB176" s="210">
        <f>IFERROR(__xludf.DUMMYFUNCTION("FILTER('GBD estimates'!$G$3:$G$1371,'GBD estimates'!$B$3:$B$1371=AB$3,'GBD estimates'!$E$3:$E$1371=""Measles"",'GBD estimates'!$D$3:$D$1371=""50 to 74 years"")"),1.49E-6)</f>
        <v>0.00000149</v>
      </c>
      <c r="AC176" s="210">
        <f>IFERROR(__xludf.DUMMYFUNCTION("FILTER('GBD estimates'!$G$3:$G$1371,'GBD estimates'!$B$3:$B$1371=AC$3,'GBD estimates'!$E$3:$E$1371=""Measles"",'GBD estimates'!$D$3:$D$1371=""50 to 74 years"")"),1.67E-6)</f>
        <v>0.00000167</v>
      </c>
      <c r="AD176" s="210">
        <f>IFERROR(__xludf.DUMMYFUNCTION("FILTER('GBD estimates'!$G$3:$G$1371,'GBD estimates'!$B$3:$B$1371=AD$3,'GBD estimates'!$E$3:$E$1371=""Measles"",'GBD estimates'!$D$3:$D$1371=""50 to 74 years"")"),1.3E-6)</f>
        <v>0.0000013</v>
      </c>
      <c r="AE176" s="210">
        <f>IFERROR(__xludf.DUMMYFUNCTION("FILTER('GBD estimates'!$G$3:$G$1371,'GBD estimates'!$B$3:$B$1371=AE$3,'GBD estimates'!$E$3:$E$1371=""Measles"",'GBD estimates'!$D$3:$D$1371=""50 to 74 years"")"),1.37E-6)</f>
        <v>0.00000137</v>
      </c>
      <c r="AF176" s="210">
        <f>IFERROR(__xludf.DUMMYFUNCTION("FILTER('GBD estimates'!$G$3:$G$1371,'GBD estimates'!$B$3:$B$1371=AF$3,'GBD estimates'!$E$3:$E$1371=""Measles"",'GBD estimates'!$D$3:$D$1371=""50 to 74 years"")"),1.18E-6)</f>
        <v>0.00000118</v>
      </c>
      <c r="AG176" s="210">
        <f>IFERROR(__xludf.DUMMYFUNCTION("FILTER('GBD estimates'!$G$3:$G$1371,'GBD estimates'!$B$3:$B$1371=AG$3,'GBD estimates'!$E$3:$E$1371=""Measles"",'GBD estimates'!$D$3:$D$1371=""50 to 74 years"")"),2.43E-6)</f>
        <v>0.00000243</v>
      </c>
      <c r="AH176" s="210">
        <f>IFERROR(__xludf.DUMMYFUNCTION("FILTER('GBD estimates'!$G$3:$G$1371,'GBD estimates'!$B$3:$B$1371=AH$3,'GBD estimates'!$E$3:$E$1371=""Measles"",'GBD estimates'!$D$3:$D$1371=""50 to 74 years"")"),3.1E-6)</f>
        <v>0.0000031</v>
      </c>
      <c r="AI176" s="210">
        <f>IFERROR(__xludf.DUMMYFUNCTION("FILTER('GBD estimates'!$G$3:$G$1371,'GBD estimates'!$B$3:$B$1371=AI$3,'GBD estimates'!$E$3:$E$1371=""Measles"",'GBD estimates'!$D$3:$D$1371=""50 to 74 years"")"),1.08E-6)</f>
        <v>0.00000108</v>
      </c>
      <c r="AJ176" s="210">
        <f>IFERROR(__xludf.DUMMYFUNCTION("FILTER('GBD estimates'!$G$3:$G$1371,'GBD estimates'!$B$3:$B$1371=AJ$3,'GBD estimates'!$E$3:$E$1371=""Measles"",'GBD estimates'!$D$3:$D$1371=""50 to 74 years"")"),3.03E-6)</f>
        <v>0.00000303</v>
      </c>
      <c r="AK176" s="210">
        <f>IFERROR(__xludf.DUMMYFUNCTION("FILTER('GBD estimates'!$G$3:$G$1371,'GBD estimates'!$B$3:$B$1371=AK$3,'GBD estimates'!$E$3:$E$1371=""Measles"",'GBD estimates'!$D$3:$D$1371=""50 to 74 years"")"),5.11E-6)</f>
        <v>0.00000511</v>
      </c>
      <c r="AL176" s="210">
        <f>IFERROR(__xludf.DUMMYFUNCTION("FILTER('GBD estimates'!$G$3:$G$1371,'GBD estimates'!$B$3:$B$1371=AL$3,'GBD estimates'!$E$3:$E$1371=""Measles"",'GBD estimates'!$D$3:$D$1371=""50 to 74 years"")"),1.99E-6)</f>
        <v>0.00000199</v>
      </c>
      <c r="AM176" s="210">
        <f>IFERROR(__xludf.DUMMYFUNCTION("FILTER('GBD estimates'!$G$3:$G$1371,'GBD estimates'!$B$3:$B$1371=AM$3,'GBD estimates'!$E$3:$E$1371=""Measles"",'GBD estimates'!$D$3:$D$1371=""50 to 74 years"")"),1.67E-6)</f>
        <v>0.00000167</v>
      </c>
      <c r="AN176" s="210">
        <f>IFERROR(__xludf.DUMMYFUNCTION("FILTER('GBD estimates'!$G$3:$G$1371,'GBD estimates'!$B$3:$B$1371=AN$3,'GBD estimates'!$E$3:$E$1371=""Measles"",'GBD estimates'!$D$3:$D$1371=""50 to 74 years"")"),1.2E-6)</f>
        <v>0.0000012</v>
      </c>
      <c r="AO176" s="210">
        <f>IFERROR(__xludf.DUMMYFUNCTION("FILTER('GBD estimates'!$G$3:$G$1371,'GBD estimates'!$B$3:$B$1371=AO$3,'GBD estimates'!$E$3:$E$1371=""Measles"",'GBD estimates'!$D$3:$D$1371=""50 to 74 years"")"),1.74E-6)</f>
        <v>0.00000174</v>
      </c>
      <c r="AP176" s="210">
        <f>IFERROR(__xludf.DUMMYFUNCTION("FILTER('GBD estimates'!$G$3:$G$1371,'GBD estimates'!$B$3:$B$1371=AP$3,'GBD estimates'!$E$3:$E$1371=""Measles"",'GBD estimates'!$D$3:$D$1371=""50 to 74 years"")"),2.55E-6)</f>
        <v>0.00000255</v>
      </c>
      <c r="AQ176" s="210">
        <f>IFERROR(__xludf.DUMMYFUNCTION("FILTER('GBD estimates'!$G$3:$G$1371,'GBD estimates'!$B$3:$B$1371=AQ$3,'GBD estimates'!$E$3:$E$1371=""Measles"",'GBD estimates'!$D$3:$D$1371=""50 to 74 years"")"),1.61E-6)</f>
        <v>0.00000161</v>
      </c>
      <c r="AR176" s="210">
        <f>IFERROR(__xludf.DUMMYFUNCTION("FILTER('GBD estimates'!$G$3:$G$1371,'GBD estimates'!$B$3:$B$1371=AR$3,'GBD estimates'!$E$3:$E$1371=""Measles"",'GBD estimates'!$D$3:$D$1371=""50 to 74 years"")"),4.87E-6)</f>
        <v>0.00000487</v>
      </c>
      <c r="AS176" s="210">
        <f>IFERROR(__xludf.DUMMYFUNCTION("FILTER('GBD estimates'!$G$3:$G$1371,'GBD estimates'!$B$3:$B$1371=AS$3,'GBD estimates'!$E$3:$E$1371=""Measles"",'GBD estimates'!$D$3:$D$1371=""50 to 74 years"")"),9.88E-6)</f>
        <v>0.00000988</v>
      </c>
      <c r="AT176" s="555"/>
      <c r="AU176" s="566" t="s">
        <v>855</v>
      </c>
      <c r="AV176" s="557"/>
    </row>
    <row r="177">
      <c r="A177" s="540"/>
      <c r="B177" s="206"/>
      <c r="C177" s="206"/>
      <c r="D177" s="206"/>
      <c r="E177" s="553" t="s">
        <v>701</v>
      </c>
      <c r="F177" s="278" t="s">
        <v>111</v>
      </c>
      <c r="G177" s="279" t="s">
        <v>203</v>
      </c>
      <c r="H177" s="581" t="s">
        <v>150</v>
      </c>
      <c r="I177" s="294">
        <f>IFERROR(__xludf.DUMMYFUNCTION("FILTER('GBD estimates'!$R$3:$R$1713,'GBD estimates'!$K$3:$K$1713=I$3,'GBD estimates'!$L$3:$L$1713=""Measles"",'GBD estimates'!$N$3:$N$1713=""Under 5"")"),472.6800099)</f>
        <v>472.6800099</v>
      </c>
      <c r="J177" s="294">
        <f>IFERROR(__xludf.DUMMYFUNCTION("FILTER('GBD estimates'!$R$3:$R$1713,'GBD estimates'!$K$3:$K$1713=J$3,'GBD estimates'!$L$3:$L$1713=""Measles"",'GBD estimates'!$N$3:$N$1713=""Under 5"")"),120.4429596)</f>
        <v>120.4429596</v>
      </c>
      <c r="K177" s="294">
        <f>IFERROR(__xludf.DUMMYFUNCTION("FILTER('GBD estimates'!$R$3:$R$1713,'GBD estimates'!$K$3:$K$1713=K$3,'GBD estimates'!$L$3:$L$1713=""Measles"",'GBD estimates'!$N$3:$N$1713=""Under 5"")"),427.1372344)</f>
        <v>427.1372344</v>
      </c>
      <c r="L177" s="294">
        <f>IFERROR(__xludf.DUMMYFUNCTION("FILTER('GBD estimates'!$R$3:$R$1713,'GBD estimates'!$K$3:$K$1713=L$3,'GBD estimates'!$L$3:$L$1713=""Measles"",'GBD estimates'!$N$3:$N$1713=""Under 5"")"),242.91073)</f>
        <v>242.91073</v>
      </c>
      <c r="M177" s="294">
        <f>IFERROR(__xludf.DUMMYFUNCTION("FILTER('GBD estimates'!$R$3:$R$1713,'GBD estimates'!$K$3:$K$1713=M$3,'GBD estimates'!$L$3:$L$1713=""Measles"",'GBD estimates'!$N$3:$N$1713=""Under 5"")"),435.1934643)</f>
        <v>435.1934643</v>
      </c>
      <c r="N177" s="294">
        <f>IFERROR(__xludf.DUMMYFUNCTION("FILTER('GBD estimates'!$R$3:$R$1713,'GBD estimates'!$K$3:$K$1713=N$3,'GBD estimates'!$L$3:$L$1713=""Measles"",'GBD estimates'!$N$3:$N$1713=""Under 5"")"),707.7079348)</f>
        <v>707.7079348</v>
      </c>
      <c r="O177" s="294">
        <f>IFERROR(__xludf.DUMMYFUNCTION("FILTER('GBD estimates'!$R$3:$R$1713,'GBD estimates'!$K$3:$K$1713=O$3,'GBD estimates'!$L$3:$L$1713=""Measles"",'GBD estimates'!$N$3:$N$1713=""Under 5"")"),309.3255788)</f>
        <v>309.3255788</v>
      </c>
      <c r="P177" s="294">
        <f>IFERROR(__xludf.DUMMYFUNCTION("FILTER('GBD estimates'!$R$3:$R$1713,'GBD estimates'!$K$3:$K$1713=P$3,'GBD estimates'!$L$3:$L$1713=""Measles"",'GBD estimates'!$N$3:$N$1713=""Under 5"")"),659.3052148)</f>
        <v>659.3052148</v>
      </c>
      <c r="Q177" s="294">
        <f>IFERROR(__xludf.DUMMYFUNCTION("FILTER('GBD estimates'!$R$3:$R$1713,'GBD estimates'!$K$3:$K$1713=Q$3,'GBD estimates'!$L$3:$L$1713=""Measles"",'GBD estimates'!$N$3:$N$1713=""Under 5"")"),411.1880719)</f>
        <v>411.1880719</v>
      </c>
      <c r="R177" s="294">
        <f>IFERROR(__xludf.DUMMYFUNCTION("FILTER('GBD estimates'!$R$3:$R$1713,'GBD estimates'!$K$3:$K$1713=R$3,'GBD estimates'!$L$3:$L$1713=""Measles"",'GBD estimates'!$N$3:$N$1713=""Under 5"")"),19.64992346)</f>
        <v>19.64992346</v>
      </c>
      <c r="S177" s="294">
        <f>IFERROR(__xludf.DUMMYFUNCTION("FILTER('GBD estimates'!$R$3:$R$1713,'GBD estimates'!$K$3:$K$1713=S$3,'GBD estimates'!$L$3:$L$1713=""Measles"",'GBD estimates'!$N$3:$N$1713=""Under 5"")"),57.15170644)</f>
        <v>57.15170644</v>
      </c>
      <c r="T177" s="294">
        <f>IFERROR(__xludf.DUMMYFUNCTION("FILTER('GBD estimates'!$R$3:$R$1713,'GBD estimates'!$K$3:$K$1713=T$3,'GBD estimates'!$L$3:$L$1713=""Measles"",'GBD estimates'!$N$3:$N$1713=""Under 5"")"),11.3511831)</f>
        <v>11.3511831</v>
      </c>
      <c r="U177" s="294">
        <f>IFERROR(__xludf.DUMMYFUNCTION("FILTER('GBD estimates'!$R$3:$R$1713,'GBD estimates'!$K$3:$K$1713=U$3,'GBD estimates'!$L$3:$L$1713=""Measles"",'GBD estimates'!$N$3:$N$1713=""Under 5"")"),27.52427559)</f>
        <v>27.52427559</v>
      </c>
      <c r="V177" s="294">
        <f>IFERROR(__xludf.DUMMYFUNCTION("FILTER('GBD estimates'!$R$3:$R$1713,'GBD estimates'!$K$3:$K$1713=V$3,'GBD estimates'!$L$3:$L$1713=""Measles"",'GBD estimates'!$N$3:$N$1713=""Under 5"")"),7.726148051)</f>
        <v>7.726148051</v>
      </c>
      <c r="W177" s="294">
        <f>IFERROR(__xludf.DUMMYFUNCTION("FILTER('GBD estimates'!$R$3:$R$1713,'GBD estimates'!$K$3:$K$1713=W$3,'GBD estimates'!$L$3:$L$1713=""Measles"",'GBD estimates'!$N$3:$N$1713=""Under 5"")"),86.17436042)</f>
        <v>86.17436042</v>
      </c>
      <c r="X177" s="294">
        <f>IFERROR(__xludf.DUMMYFUNCTION("FILTER('GBD estimates'!$R$3:$R$1713,'GBD estimates'!$K$3:$K$1713=X$3,'GBD estimates'!$L$3:$L$1713=""Measles"",'GBD estimates'!$N$3:$N$1713=""Under 5"")"),97.4300913)</f>
        <v>97.4300913</v>
      </c>
      <c r="Y177" s="294">
        <f>IFERROR(__xludf.DUMMYFUNCTION("FILTER('GBD estimates'!$R$3:$R$1713,'GBD estimates'!$K$3:$K$1713=Y$3,'GBD estimates'!$L$3:$L$1713=""Measles"",'GBD estimates'!$N$3:$N$1713=""Under 5"")"),14.45558554)</f>
        <v>14.45558554</v>
      </c>
      <c r="Z177" s="294">
        <f>IFERROR(__xludf.DUMMYFUNCTION("FILTER('GBD estimates'!$R$3:$R$1713,'GBD estimates'!$K$3:$K$1713=Z$3,'GBD estimates'!$L$3:$L$1713=""Measles"",'GBD estimates'!$N$3:$N$1713=""Under 5"")"),24.5496389)</f>
        <v>24.5496389</v>
      </c>
      <c r="AA177" s="294">
        <f>IFERROR(__xludf.DUMMYFUNCTION("FILTER('GBD estimates'!$R$3:$R$1713,'GBD estimates'!$K$3:$K$1713=AA$3,'GBD estimates'!$L$3:$L$1713=""Measles"",'GBD estimates'!$N$3:$N$1713=""Under 5"")"),26.99088502)</f>
        <v>26.99088502</v>
      </c>
      <c r="AB177" s="294">
        <f>IFERROR(__xludf.DUMMYFUNCTION("FILTER('GBD estimates'!$R$3:$R$1713,'GBD estimates'!$K$3:$K$1713=AB$3,'GBD estimates'!$L$3:$L$1713=""Measles"",'GBD estimates'!$N$3:$N$1713=""Under 5"")"),18.27260394)</f>
        <v>18.27260394</v>
      </c>
      <c r="AC177" s="294">
        <f>IFERROR(__xludf.DUMMYFUNCTION("FILTER('GBD estimates'!$R$3:$R$1713,'GBD estimates'!$K$3:$K$1713=AC$3,'GBD estimates'!$L$3:$L$1713=""Measles"",'GBD estimates'!$N$3:$N$1713=""Under 5"")"),7.864191713)</f>
        <v>7.864191713</v>
      </c>
      <c r="AD177" s="294">
        <f>IFERROR(__xludf.DUMMYFUNCTION("FILTER('GBD estimates'!$R$3:$R$1713,'GBD estimates'!$K$3:$K$1713=AD$3,'GBD estimates'!$L$3:$L$1713=""Measles"",'GBD estimates'!$N$3:$N$1713=""Under 5"")"),15.43996003)</f>
        <v>15.43996003</v>
      </c>
      <c r="AE177" s="294">
        <f>IFERROR(__xludf.DUMMYFUNCTION("FILTER('GBD estimates'!$R$3:$R$1713,'GBD estimates'!$K$3:$K$1713=AE$3,'GBD estimates'!$L$3:$L$1713=""Measles"",'GBD estimates'!$N$3:$N$1713=""Under 5"")"),25.08451142)</f>
        <v>25.08451142</v>
      </c>
      <c r="AF177" s="294">
        <f>IFERROR(__xludf.DUMMYFUNCTION("FILTER('GBD estimates'!$R$3:$R$1713,'GBD estimates'!$K$3:$K$1713=AF$3,'GBD estimates'!$L$3:$L$1713=""Measles"",'GBD estimates'!$N$3:$N$1713=""Under 5"")"),31.24723193)</f>
        <v>31.24723193</v>
      </c>
      <c r="AG177" s="294">
        <f>IFERROR(__xludf.DUMMYFUNCTION("FILTER('GBD estimates'!$R$3:$R$1713,'GBD estimates'!$K$3:$K$1713=AG$3,'GBD estimates'!$L$3:$L$1713=""Measles"",'GBD estimates'!$N$3:$N$1713=""Under 5"")"),20.55180154)</f>
        <v>20.55180154</v>
      </c>
      <c r="AH177" s="294">
        <f>IFERROR(__xludf.DUMMYFUNCTION("FILTER('GBD estimates'!$R$3:$R$1713,'GBD estimates'!$K$3:$K$1713=AH$3,'GBD estimates'!$L$3:$L$1713=""Measles"",'GBD estimates'!$N$3:$N$1713=""Under 5"")"),22.99981667)</f>
        <v>22.99981667</v>
      </c>
      <c r="AI177" s="294">
        <f>IFERROR(__xludf.DUMMYFUNCTION("FILTER('GBD estimates'!$R$3:$R$1713,'GBD estimates'!$K$3:$K$1713=AI$3,'GBD estimates'!$L$3:$L$1713=""Measles"",'GBD estimates'!$N$3:$N$1713=""Under 5"")"),11.65287169)</f>
        <v>11.65287169</v>
      </c>
      <c r="AJ177" s="294">
        <f>IFERROR(__xludf.DUMMYFUNCTION("FILTER('GBD estimates'!$R$3:$R$1713,'GBD estimates'!$K$3:$K$1713=AJ$3,'GBD estimates'!$L$3:$L$1713=""Measles"",'GBD estimates'!$N$3:$N$1713=""Under 5"")"),67.56362384)</f>
        <v>67.56362384</v>
      </c>
      <c r="AK177" s="294">
        <f>IFERROR(__xludf.DUMMYFUNCTION("FILTER('GBD estimates'!$R$3:$R$1713,'GBD estimates'!$K$3:$K$1713=AK$3,'GBD estimates'!$L$3:$L$1713=""Measles"",'GBD estimates'!$N$3:$N$1713=""Under 5"")"),230.7773845)</f>
        <v>230.7773845</v>
      </c>
      <c r="AL177" s="294">
        <f>IFERROR(__xludf.DUMMYFUNCTION("FILTER('GBD estimates'!$R$3:$R$1713,'GBD estimates'!$K$3:$K$1713=AL$3,'GBD estimates'!$L$3:$L$1713=""Measles"",'GBD estimates'!$N$3:$N$1713=""Under 5"")"),63.24989724)</f>
        <v>63.24989724</v>
      </c>
      <c r="AM177" s="294">
        <f>IFERROR(__xludf.DUMMYFUNCTION("FILTER('GBD estimates'!$R$3:$R$1713,'GBD estimates'!$K$3:$K$1713=AM$3,'GBD estimates'!$L$3:$L$1713=""Measles"",'GBD estimates'!$N$3:$N$1713=""Under 5"")"),17.2829085)</f>
        <v>17.2829085</v>
      </c>
      <c r="AN177" s="294">
        <f>IFERROR(__xludf.DUMMYFUNCTION("FILTER('GBD estimates'!$R$3:$R$1713,'GBD estimates'!$K$3:$K$1713=AN$3,'GBD estimates'!$L$3:$L$1713=""Measles"",'GBD estimates'!$N$3:$N$1713=""Under 5"")"),11.62308299)</f>
        <v>11.62308299</v>
      </c>
      <c r="AO177" s="294">
        <f>IFERROR(__xludf.DUMMYFUNCTION("FILTER('GBD estimates'!$R$3:$R$1713,'GBD estimates'!$K$3:$K$1713=AO$3,'GBD estimates'!$L$3:$L$1713=""Measles"",'GBD estimates'!$N$3:$N$1713=""Under 5"")"),27.09449686)</f>
        <v>27.09449686</v>
      </c>
      <c r="AP177" s="294">
        <f>IFERROR(__xludf.DUMMYFUNCTION("FILTER('GBD estimates'!$R$3:$R$1713,'GBD estimates'!$K$3:$K$1713=AP$3,'GBD estimates'!$L$3:$L$1713=""Measles"",'GBD estimates'!$N$3:$N$1713=""Under 5"")"),89.78641677)</f>
        <v>89.78641677</v>
      </c>
      <c r="AQ177" s="294">
        <f>IFERROR(__xludf.DUMMYFUNCTION("FILTER('GBD estimates'!$R$3:$R$1713,'GBD estimates'!$K$3:$K$1713=AQ$3,'GBD estimates'!$L$3:$L$1713=""Measles"",'GBD estimates'!$N$3:$N$1713=""Under 5"")"),16.82160947)</f>
        <v>16.82160947</v>
      </c>
      <c r="AR177" s="294">
        <f>IFERROR(__xludf.DUMMYFUNCTION("FILTER('GBD estimates'!$R$3:$R$1713,'GBD estimates'!$K$3:$K$1713=AR$3,'GBD estimates'!$L$3:$L$1713=""Measles"",'GBD estimates'!$N$3:$N$1713=""Under 5"")"),166.8788999)</f>
        <v>166.8788999</v>
      </c>
      <c r="AS177" s="294">
        <f>IFERROR(__xludf.DUMMYFUNCTION("FILTER('GBD estimates'!$R$3:$R$1713,'GBD estimates'!$K$3:$K$1713=AS$3,'GBD estimates'!$L$3:$L$1713=""Measles"",'GBD estimates'!$N$3:$N$1713=""Under 5"")"),191.2894986)</f>
        <v>191.2894986</v>
      </c>
      <c r="AT177" s="555"/>
      <c r="AU177" s="566" t="s">
        <v>855</v>
      </c>
      <c r="AV177" s="557"/>
    </row>
    <row r="178">
      <c r="A178" s="540"/>
      <c r="B178" s="206"/>
      <c r="C178" s="206"/>
      <c r="D178" s="206"/>
      <c r="E178" s="553" t="s">
        <v>705</v>
      </c>
      <c r="F178" s="278" t="s">
        <v>111</v>
      </c>
      <c r="G178" s="279" t="s">
        <v>203</v>
      </c>
      <c r="H178" s="581" t="s">
        <v>150</v>
      </c>
      <c r="I178" s="294">
        <f>IFERROR(__xludf.DUMMYFUNCTION("SUM(FILTER('GBD estimates'!$R$3:$R$1713,'GBD estimates'!$K$3:$K$1713=I$3,'GBD estimates'!$L$3:$L$1713=""Measles"",'GBD estimates'!$N$3:$N$1713=""Early Neonatal""),FILTER('GBD estimates'!$R$3:$R$1713,'GBD estimates'!$K$3:$K$1713=I$3,'GBD estimates'!$L$3:$L"&amp;"$1713=""Measles"",'GBD estimates'!$N$3:$N$1713=""Late Neonatal""),FILTER('GBD estimates'!$R$3:$R$1713,'GBD estimates'!$K$3:$K$1713=I$3,'GBD estimates'!$L$3:$L$1713=""Measles"",'GBD estimates'!$N$3:$N$1713=""Post Neonatal""))"),123.6158501)</f>
        <v>123.6158501</v>
      </c>
      <c r="J178" s="294">
        <f>IFERROR(__xludf.DUMMYFUNCTION("SUM(FILTER('GBD estimates'!$R$3:$R$1713,'GBD estimates'!$K$3:$K$1713=J$3,'GBD estimates'!$L$3:$L$1713=""Measles"",'GBD estimates'!$N$3:$N$1713=""Early Neonatal""),FILTER('GBD estimates'!$R$3:$R$1713,'GBD estimates'!$K$3:$K$1713=J$3,'GBD estimates'!$L$3:$L"&amp;"$1713=""Measles"",'GBD estimates'!$N$3:$N$1713=""Late Neonatal""),FILTER('GBD estimates'!$R$3:$R$1713,'GBD estimates'!$K$3:$K$1713=J$3,'GBD estimates'!$L$3:$L$1713=""Measles"",'GBD estimates'!$N$3:$N$1713=""Post Neonatal""))"),32.77345624)</f>
        <v>32.77345624</v>
      </c>
      <c r="K178" s="294">
        <f>IFERROR(__xludf.DUMMYFUNCTION("SUM(FILTER('GBD estimates'!$R$3:$R$1713,'GBD estimates'!$K$3:$K$1713=K$3,'GBD estimates'!$L$3:$L$1713=""Measles"",'GBD estimates'!$N$3:$N$1713=""Early Neonatal""),FILTER('GBD estimates'!$R$3:$R$1713,'GBD estimates'!$K$3:$K$1713=K$3,'GBD estimates'!$L$3:$L"&amp;"$1713=""Measles"",'GBD estimates'!$N$3:$N$1713=""Late Neonatal""),FILTER('GBD estimates'!$R$3:$R$1713,'GBD estimates'!$K$3:$K$1713=K$3,'GBD estimates'!$L$3:$L$1713=""Measles"",'GBD estimates'!$N$3:$N$1713=""Post Neonatal""))"),116.0566233)</f>
        <v>116.0566233</v>
      </c>
      <c r="L178" s="294">
        <f>IFERROR(__xludf.DUMMYFUNCTION("SUM(FILTER('GBD estimates'!$R$3:$R$1713,'GBD estimates'!$K$3:$K$1713=L$3,'GBD estimates'!$L$3:$L$1713=""Measles"",'GBD estimates'!$N$3:$N$1713=""Early Neonatal""),FILTER('GBD estimates'!$R$3:$R$1713,'GBD estimates'!$K$3:$K$1713=L$3,'GBD estimates'!$L$3:$L"&amp;"$1713=""Measles"",'GBD estimates'!$N$3:$N$1713=""Late Neonatal""),FILTER('GBD estimates'!$R$3:$R$1713,'GBD estimates'!$K$3:$K$1713=L$3,'GBD estimates'!$L$3:$L$1713=""Measles"",'GBD estimates'!$N$3:$N$1713=""Post Neonatal""))"),74.96143679)</f>
        <v>74.96143679</v>
      </c>
      <c r="M178" s="294">
        <f>IFERROR(__xludf.DUMMYFUNCTION("SUM(FILTER('GBD estimates'!$R$3:$R$1713,'GBD estimates'!$K$3:$K$1713=M$3,'GBD estimates'!$L$3:$L$1713=""Measles"",'GBD estimates'!$N$3:$N$1713=""Early Neonatal""),FILTER('GBD estimates'!$R$3:$R$1713,'GBD estimates'!$K$3:$K$1713=M$3,'GBD estimates'!$L$3:$L"&amp;"$1713=""Measles"",'GBD estimates'!$N$3:$N$1713=""Late Neonatal""),FILTER('GBD estimates'!$R$3:$R$1713,'GBD estimates'!$K$3:$K$1713=M$3,'GBD estimates'!$L$3:$L$1713=""Measles"",'GBD estimates'!$N$3:$N$1713=""Post Neonatal""))"),116.1328452)</f>
        <v>116.1328452</v>
      </c>
      <c r="N178" s="294">
        <f>IFERROR(__xludf.DUMMYFUNCTION("SUM(FILTER('GBD estimates'!$R$3:$R$1713,'GBD estimates'!$K$3:$K$1713=N$3,'GBD estimates'!$L$3:$L$1713=""Measles"",'GBD estimates'!$N$3:$N$1713=""Early Neonatal""),FILTER('GBD estimates'!$R$3:$R$1713,'GBD estimates'!$K$3:$K$1713=N$3,'GBD estimates'!$L$3:$L"&amp;"$1713=""Measles"",'GBD estimates'!$N$3:$N$1713=""Late Neonatal""),FILTER('GBD estimates'!$R$3:$R$1713,'GBD estimates'!$K$3:$K$1713=N$3,'GBD estimates'!$L$3:$L$1713=""Measles"",'GBD estimates'!$N$3:$N$1713=""Post Neonatal""))"),209.1222026)</f>
        <v>209.1222026</v>
      </c>
      <c r="O178" s="294">
        <f>IFERROR(__xludf.DUMMYFUNCTION("SUM(FILTER('GBD estimates'!$R$3:$R$1713,'GBD estimates'!$K$3:$K$1713=O$3,'GBD estimates'!$L$3:$L$1713=""Measles"",'GBD estimates'!$N$3:$N$1713=""Early Neonatal""),FILTER('GBD estimates'!$R$3:$R$1713,'GBD estimates'!$K$3:$K$1713=O$3,'GBD estimates'!$L$3:$L"&amp;"$1713=""Measles"",'GBD estimates'!$N$3:$N$1713=""Late Neonatal""),FILTER('GBD estimates'!$R$3:$R$1713,'GBD estimates'!$K$3:$K$1713=O$3,'GBD estimates'!$L$3:$L$1713=""Measles"",'GBD estimates'!$N$3:$N$1713=""Post Neonatal""))"),86.07944075)</f>
        <v>86.07944075</v>
      </c>
      <c r="P178" s="294">
        <f>IFERROR(__xludf.DUMMYFUNCTION("SUM(FILTER('GBD estimates'!$R$3:$R$1713,'GBD estimates'!$K$3:$K$1713=P$3,'GBD estimates'!$L$3:$L$1713=""Measles"",'GBD estimates'!$N$3:$N$1713=""Early Neonatal""),FILTER('GBD estimates'!$R$3:$R$1713,'GBD estimates'!$K$3:$K$1713=P$3,'GBD estimates'!$L$3:$L"&amp;"$1713=""Measles"",'GBD estimates'!$N$3:$N$1713=""Late Neonatal""),FILTER('GBD estimates'!$R$3:$R$1713,'GBD estimates'!$K$3:$K$1713=P$3,'GBD estimates'!$L$3:$L$1713=""Measles"",'GBD estimates'!$N$3:$N$1713=""Post Neonatal""))"),175.7971347)</f>
        <v>175.7971347</v>
      </c>
      <c r="Q178" s="294">
        <f>IFERROR(__xludf.DUMMYFUNCTION("SUM(FILTER('GBD estimates'!$R$3:$R$1713,'GBD estimates'!$K$3:$K$1713=Q$3,'GBD estimates'!$L$3:$L$1713=""Measles"",'GBD estimates'!$N$3:$N$1713=""Early Neonatal""),FILTER('GBD estimates'!$R$3:$R$1713,'GBD estimates'!$K$3:$K$1713=Q$3,'GBD estimates'!$L$3:$L"&amp;"$1713=""Measles"",'GBD estimates'!$N$3:$N$1713=""Late Neonatal""),FILTER('GBD estimates'!$R$3:$R$1713,'GBD estimates'!$K$3:$K$1713=Q$3,'GBD estimates'!$L$3:$L$1713=""Measles"",'GBD estimates'!$N$3:$N$1713=""Post Neonatal""))"),110.6578518)</f>
        <v>110.6578518</v>
      </c>
      <c r="R178" s="294">
        <f>IFERROR(__xludf.DUMMYFUNCTION("SUM(FILTER('GBD estimates'!$R$3:$R$1713,'GBD estimates'!$K$3:$K$1713=R$3,'GBD estimates'!$L$3:$L$1713=""Measles"",'GBD estimates'!$N$3:$N$1713=""Early Neonatal""),FILTER('GBD estimates'!$R$3:$R$1713,'GBD estimates'!$K$3:$K$1713=R$3,'GBD estimates'!$L$3:$L"&amp;"$1713=""Measles"",'GBD estimates'!$N$3:$N$1713=""Late Neonatal""),FILTER('GBD estimates'!$R$3:$R$1713,'GBD estimates'!$K$3:$K$1713=R$3,'GBD estimates'!$L$3:$L$1713=""Measles"",'GBD estimates'!$N$3:$N$1713=""Post Neonatal""))"),6.245814071)</f>
        <v>6.245814071</v>
      </c>
      <c r="S178" s="294">
        <f>IFERROR(__xludf.DUMMYFUNCTION("SUM(FILTER('GBD estimates'!$R$3:$R$1713,'GBD estimates'!$K$3:$K$1713=S$3,'GBD estimates'!$L$3:$L$1713=""Measles"",'GBD estimates'!$N$3:$N$1713=""Early Neonatal""),FILTER('GBD estimates'!$R$3:$R$1713,'GBD estimates'!$K$3:$K$1713=S$3,'GBD estimates'!$L$3:$L"&amp;"$1713=""Measles"",'GBD estimates'!$N$3:$N$1713=""Late Neonatal""),FILTER('GBD estimates'!$R$3:$R$1713,'GBD estimates'!$K$3:$K$1713=S$3,'GBD estimates'!$L$3:$L$1713=""Measles"",'GBD estimates'!$N$3:$N$1713=""Post Neonatal""))"),16.75551183)</f>
        <v>16.75551183</v>
      </c>
      <c r="T178" s="294">
        <f>IFERROR(__xludf.DUMMYFUNCTION("SUM(FILTER('GBD estimates'!$R$3:$R$1713,'GBD estimates'!$K$3:$K$1713=T$3,'GBD estimates'!$L$3:$L$1713=""Measles"",'GBD estimates'!$N$3:$N$1713=""Early Neonatal""),FILTER('GBD estimates'!$R$3:$R$1713,'GBD estimates'!$K$3:$K$1713=T$3,'GBD estimates'!$L$3:$L"&amp;"$1713=""Measles"",'GBD estimates'!$N$3:$N$1713=""Late Neonatal""),FILTER('GBD estimates'!$R$3:$R$1713,'GBD estimates'!$K$3:$K$1713=T$3,'GBD estimates'!$L$3:$L$1713=""Measles"",'GBD estimates'!$N$3:$N$1713=""Post Neonatal""))"),3.128830425)</f>
        <v>3.128830425</v>
      </c>
      <c r="U178" s="294">
        <f>IFERROR(__xludf.DUMMYFUNCTION("SUM(FILTER('GBD estimates'!$R$3:$R$1713,'GBD estimates'!$K$3:$K$1713=U$3,'GBD estimates'!$L$3:$L$1713=""Measles"",'GBD estimates'!$N$3:$N$1713=""Early Neonatal""),FILTER('GBD estimates'!$R$3:$R$1713,'GBD estimates'!$K$3:$K$1713=U$3,'GBD estimates'!$L$3:$L"&amp;"$1713=""Measles"",'GBD estimates'!$N$3:$N$1713=""Late Neonatal""),FILTER('GBD estimates'!$R$3:$R$1713,'GBD estimates'!$K$3:$K$1713=U$3,'GBD estimates'!$L$3:$L$1713=""Measles"",'GBD estimates'!$N$3:$N$1713=""Post Neonatal""))"),8.324464269)</f>
        <v>8.324464269</v>
      </c>
      <c r="V178" s="294">
        <f>IFERROR(__xludf.DUMMYFUNCTION("SUM(FILTER('GBD estimates'!$R$3:$R$1713,'GBD estimates'!$K$3:$K$1713=V$3,'GBD estimates'!$L$3:$L$1713=""Measles"",'GBD estimates'!$N$3:$N$1713=""Early Neonatal""),FILTER('GBD estimates'!$R$3:$R$1713,'GBD estimates'!$K$3:$K$1713=V$3,'GBD estimates'!$L$3:$L"&amp;"$1713=""Measles"",'GBD estimates'!$N$3:$N$1713=""Late Neonatal""),FILTER('GBD estimates'!$R$3:$R$1713,'GBD estimates'!$K$3:$K$1713=V$3,'GBD estimates'!$L$3:$L$1713=""Measles"",'GBD estimates'!$N$3:$N$1713=""Post Neonatal""))"),2.099747283)</f>
        <v>2.099747283</v>
      </c>
      <c r="W178" s="294">
        <f>IFERROR(__xludf.DUMMYFUNCTION("SUM(FILTER('GBD estimates'!$R$3:$R$1713,'GBD estimates'!$K$3:$K$1713=W$3,'GBD estimates'!$L$3:$L$1713=""Measles"",'GBD estimates'!$N$3:$N$1713=""Early Neonatal""),FILTER('GBD estimates'!$R$3:$R$1713,'GBD estimates'!$K$3:$K$1713=W$3,'GBD estimates'!$L$3:$L"&amp;"$1713=""Measles"",'GBD estimates'!$N$3:$N$1713=""Late Neonatal""),FILTER('GBD estimates'!$R$3:$R$1713,'GBD estimates'!$K$3:$K$1713=W$3,'GBD estimates'!$L$3:$L$1713=""Measles"",'GBD estimates'!$N$3:$N$1713=""Post Neonatal""))"),28.50790177)</f>
        <v>28.50790177</v>
      </c>
      <c r="X178" s="294">
        <f>IFERROR(__xludf.DUMMYFUNCTION("SUM(FILTER('GBD estimates'!$R$3:$R$1713,'GBD estimates'!$K$3:$K$1713=X$3,'GBD estimates'!$L$3:$L$1713=""Measles"",'GBD estimates'!$N$3:$N$1713=""Early Neonatal""),FILTER('GBD estimates'!$R$3:$R$1713,'GBD estimates'!$K$3:$K$1713=X$3,'GBD estimates'!$L$3:$L"&amp;"$1713=""Measles"",'GBD estimates'!$N$3:$N$1713=""Late Neonatal""),FILTER('GBD estimates'!$R$3:$R$1713,'GBD estimates'!$K$3:$K$1713=X$3,'GBD estimates'!$L$3:$L$1713=""Measles"",'GBD estimates'!$N$3:$N$1713=""Post Neonatal""))"),29.56511455)</f>
        <v>29.56511455</v>
      </c>
      <c r="Y178" s="294">
        <f>IFERROR(__xludf.DUMMYFUNCTION("SUM(FILTER('GBD estimates'!$R$3:$R$1713,'GBD estimates'!$K$3:$K$1713=Y$3,'GBD estimates'!$L$3:$L$1713=""Measles"",'GBD estimates'!$N$3:$N$1713=""Early Neonatal""),FILTER('GBD estimates'!$R$3:$R$1713,'GBD estimates'!$K$3:$K$1713=Y$3,'GBD estimates'!$L$3:$L"&amp;"$1713=""Measles"",'GBD estimates'!$N$3:$N$1713=""Late Neonatal""),FILTER('GBD estimates'!$R$3:$R$1713,'GBD estimates'!$K$3:$K$1713=Y$3,'GBD estimates'!$L$3:$L$1713=""Measles"",'GBD estimates'!$N$3:$N$1713=""Post Neonatal""))"),3.708497067)</f>
        <v>3.708497067</v>
      </c>
      <c r="Z178" s="294">
        <f>IFERROR(__xludf.DUMMYFUNCTION("SUM(FILTER('GBD estimates'!$R$3:$R$1713,'GBD estimates'!$K$3:$K$1713=Z$3,'GBD estimates'!$L$3:$L$1713=""Measles"",'GBD estimates'!$N$3:$N$1713=""Early Neonatal""),FILTER('GBD estimates'!$R$3:$R$1713,'GBD estimates'!$K$3:$K$1713=Z$3,'GBD estimates'!$L$3:$L"&amp;"$1713=""Measles"",'GBD estimates'!$N$3:$N$1713=""Late Neonatal""),FILTER('GBD estimates'!$R$3:$R$1713,'GBD estimates'!$K$3:$K$1713=Z$3,'GBD estimates'!$L$3:$L$1713=""Measles"",'GBD estimates'!$N$3:$N$1713=""Post Neonatal""))"),7.372635941)</f>
        <v>7.372635941</v>
      </c>
      <c r="AA178" s="294">
        <f>IFERROR(__xludf.DUMMYFUNCTION("SUM(FILTER('GBD estimates'!$R$3:$R$1713,'GBD estimates'!$K$3:$K$1713=AA$3,'GBD estimates'!$L$3:$L$1713=""Measles"",'GBD estimates'!$N$3:$N$1713=""Early Neonatal""),FILTER('GBD estimates'!$R$3:$R$1713,'GBD estimates'!$K$3:$K$1713=AA$3,'GBD estimates'!$L$3:"&amp;"$L$1713=""Measles"",'GBD estimates'!$N$3:$N$1713=""Late Neonatal""),FILTER('GBD estimates'!$R$3:$R$1713,'GBD estimates'!$K$3:$K$1713=AA$3,'GBD estimates'!$L$3:$L$1713=""Measles"",'GBD estimates'!$N$3:$N$1713=""Post Neonatal""))"),9.30597901)</f>
        <v>9.30597901</v>
      </c>
      <c r="AB178" s="294">
        <f>IFERROR(__xludf.DUMMYFUNCTION("SUM(FILTER('GBD estimates'!$R$3:$R$1713,'GBD estimates'!$K$3:$K$1713=AB$3,'GBD estimates'!$L$3:$L$1713=""Measles"",'GBD estimates'!$N$3:$N$1713=""Early Neonatal""),FILTER('GBD estimates'!$R$3:$R$1713,'GBD estimates'!$K$3:$K$1713=AB$3,'GBD estimates'!$L$3:"&amp;"$L$1713=""Measles"",'GBD estimates'!$N$3:$N$1713=""Late Neonatal""),FILTER('GBD estimates'!$R$3:$R$1713,'GBD estimates'!$K$3:$K$1713=AB$3,'GBD estimates'!$L$3:$L$1713=""Measles"",'GBD estimates'!$N$3:$N$1713=""Post Neonatal""))"),4.691736835)</f>
        <v>4.691736835</v>
      </c>
      <c r="AC178" s="294">
        <f>IFERROR(__xludf.DUMMYFUNCTION("SUM(FILTER('GBD estimates'!$R$3:$R$1713,'GBD estimates'!$K$3:$K$1713=AC$3,'GBD estimates'!$L$3:$L$1713=""Measles"",'GBD estimates'!$N$3:$N$1713=""Early Neonatal""),FILTER('GBD estimates'!$R$3:$R$1713,'GBD estimates'!$K$3:$K$1713=AC$3,'GBD estimates'!$L$3:"&amp;"$L$1713=""Measles"",'GBD estimates'!$N$3:$N$1713=""Late Neonatal""),FILTER('GBD estimates'!$R$3:$R$1713,'GBD estimates'!$K$3:$K$1713=AC$3,'GBD estimates'!$L$3:$L$1713=""Measles"",'GBD estimates'!$N$3:$N$1713=""Post Neonatal""))"),2.190584213)</f>
        <v>2.190584213</v>
      </c>
      <c r="AD178" s="294">
        <f>IFERROR(__xludf.DUMMYFUNCTION("SUM(FILTER('GBD estimates'!$R$3:$R$1713,'GBD estimates'!$K$3:$K$1713=AD$3,'GBD estimates'!$L$3:$L$1713=""Measles"",'GBD estimates'!$N$3:$N$1713=""Early Neonatal""),FILTER('GBD estimates'!$R$3:$R$1713,'GBD estimates'!$K$3:$K$1713=AD$3,'GBD estimates'!$L$3:"&amp;"$L$1713=""Measles"",'GBD estimates'!$N$3:$N$1713=""Late Neonatal""),FILTER('GBD estimates'!$R$3:$R$1713,'GBD estimates'!$K$3:$K$1713=AD$3,'GBD estimates'!$L$3:$L$1713=""Measles"",'GBD estimates'!$N$3:$N$1713=""Post Neonatal""))"),4.65032017)</f>
        <v>4.65032017</v>
      </c>
      <c r="AE178" s="294">
        <f>IFERROR(__xludf.DUMMYFUNCTION("SUM(FILTER('GBD estimates'!$R$3:$R$1713,'GBD estimates'!$K$3:$K$1713=AE$3,'GBD estimates'!$L$3:$L$1713=""Measles"",'GBD estimates'!$N$3:$N$1713=""Early Neonatal""),FILTER('GBD estimates'!$R$3:$R$1713,'GBD estimates'!$K$3:$K$1713=AE$3,'GBD estimates'!$L$3:"&amp;"$L$1713=""Measles"",'GBD estimates'!$N$3:$N$1713=""Late Neonatal""),FILTER('GBD estimates'!$R$3:$R$1713,'GBD estimates'!$K$3:$K$1713=AE$3,'GBD estimates'!$L$3:$L$1713=""Measles"",'GBD estimates'!$N$3:$N$1713=""Post Neonatal""))"),8.222003395)</f>
        <v>8.222003395</v>
      </c>
      <c r="AF178" s="294">
        <f>IFERROR(__xludf.DUMMYFUNCTION("SUM(FILTER('GBD estimates'!$R$3:$R$1713,'GBD estimates'!$K$3:$K$1713=AF$3,'GBD estimates'!$L$3:$L$1713=""Measles"",'GBD estimates'!$N$3:$N$1713=""Early Neonatal""),FILTER('GBD estimates'!$R$3:$R$1713,'GBD estimates'!$K$3:$K$1713=AF$3,'GBD estimates'!$L$3:"&amp;"$L$1713=""Measles"",'GBD estimates'!$N$3:$N$1713=""Late Neonatal""),FILTER('GBD estimates'!$R$3:$R$1713,'GBD estimates'!$K$3:$K$1713=AF$3,'GBD estimates'!$L$3:$L$1713=""Measles"",'GBD estimates'!$N$3:$N$1713=""Post Neonatal""))"),9.336035784)</f>
        <v>9.336035784</v>
      </c>
      <c r="AG178" s="294">
        <f>IFERROR(__xludf.DUMMYFUNCTION("SUM(FILTER('GBD estimates'!$R$3:$R$1713,'GBD estimates'!$K$3:$K$1713=AG$3,'GBD estimates'!$L$3:$L$1713=""Measles"",'GBD estimates'!$N$3:$N$1713=""Early Neonatal""),FILTER('GBD estimates'!$R$3:$R$1713,'GBD estimates'!$K$3:$K$1713=AG$3,'GBD estimates'!$L$3:"&amp;"$L$1713=""Measles"",'GBD estimates'!$N$3:$N$1713=""Late Neonatal""),FILTER('GBD estimates'!$R$3:$R$1713,'GBD estimates'!$K$3:$K$1713=AG$3,'GBD estimates'!$L$3:$L$1713=""Measles"",'GBD estimates'!$N$3:$N$1713=""Post Neonatal""))"),5.181093854)</f>
        <v>5.181093854</v>
      </c>
      <c r="AH178" s="294">
        <f>IFERROR(__xludf.DUMMYFUNCTION("SUM(FILTER('GBD estimates'!$R$3:$R$1713,'GBD estimates'!$K$3:$K$1713=AH$3,'GBD estimates'!$L$3:$L$1713=""Measles"",'GBD estimates'!$N$3:$N$1713=""Early Neonatal""),FILTER('GBD estimates'!$R$3:$R$1713,'GBD estimates'!$K$3:$K$1713=AH$3,'GBD estimates'!$L$3:"&amp;"$L$1713=""Measles"",'GBD estimates'!$N$3:$N$1713=""Late Neonatal""),FILTER('GBD estimates'!$R$3:$R$1713,'GBD estimates'!$K$3:$K$1713=AH$3,'GBD estimates'!$L$3:$L$1713=""Measles"",'GBD estimates'!$N$3:$N$1713=""Post Neonatal""))"),6.943144129)</f>
        <v>6.943144129</v>
      </c>
      <c r="AI178" s="294">
        <f>IFERROR(__xludf.DUMMYFUNCTION("SUM(FILTER('GBD estimates'!$R$3:$R$1713,'GBD estimates'!$K$3:$K$1713=AI$3,'GBD estimates'!$L$3:$L$1713=""Measles"",'GBD estimates'!$N$3:$N$1713=""Early Neonatal""),FILTER('GBD estimates'!$R$3:$R$1713,'GBD estimates'!$K$3:$K$1713=AI$3,'GBD estimates'!$L$3:"&amp;"$L$1713=""Measles"",'GBD estimates'!$N$3:$N$1713=""Late Neonatal""),FILTER('GBD estimates'!$R$3:$R$1713,'GBD estimates'!$K$3:$K$1713=AI$3,'GBD estimates'!$L$3:$L$1713=""Measles"",'GBD estimates'!$N$3:$N$1713=""Post Neonatal""))"),3.804454448)</f>
        <v>3.804454448</v>
      </c>
      <c r="AJ178" s="294">
        <f>IFERROR(__xludf.DUMMYFUNCTION("SUM(FILTER('GBD estimates'!$R$3:$R$1713,'GBD estimates'!$K$3:$K$1713=AJ$3,'GBD estimates'!$L$3:$L$1713=""Measles"",'GBD estimates'!$N$3:$N$1713=""Early Neonatal""),FILTER('GBD estimates'!$R$3:$R$1713,'GBD estimates'!$K$3:$K$1713=AJ$3,'GBD estimates'!$L$3:"&amp;"$L$1713=""Measles"",'GBD estimates'!$N$3:$N$1713=""Late Neonatal""),FILTER('GBD estimates'!$R$3:$R$1713,'GBD estimates'!$K$3:$K$1713=AJ$3,'GBD estimates'!$L$3:$L$1713=""Measles"",'GBD estimates'!$N$3:$N$1713=""Post Neonatal""))"),21.01233846)</f>
        <v>21.01233846</v>
      </c>
      <c r="AK178" s="294">
        <f>IFERROR(__xludf.DUMMYFUNCTION("SUM(FILTER('GBD estimates'!$R$3:$R$1713,'GBD estimates'!$K$3:$K$1713=AK$3,'GBD estimates'!$L$3:$L$1713=""Measles"",'GBD estimates'!$N$3:$N$1713=""Early Neonatal""),FILTER('GBD estimates'!$R$3:$R$1713,'GBD estimates'!$K$3:$K$1713=AK$3,'GBD estimates'!$L$3:"&amp;"$L$1713=""Measles"",'GBD estimates'!$N$3:$N$1713=""Late Neonatal""),FILTER('GBD estimates'!$R$3:$R$1713,'GBD estimates'!$K$3:$K$1713=AK$3,'GBD estimates'!$L$3:$L$1713=""Measles"",'GBD estimates'!$N$3:$N$1713=""Post Neonatal""))"),69.09166579)</f>
        <v>69.09166579</v>
      </c>
      <c r="AL178" s="294">
        <f>IFERROR(__xludf.DUMMYFUNCTION("SUM(FILTER('GBD estimates'!$R$3:$R$1713,'GBD estimates'!$K$3:$K$1713=AL$3,'GBD estimates'!$L$3:$L$1713=""Measles"",'GBD estimates'!$N$3:$N$1713=""Early Neonatal""),FILTER('GBD estimates'!$R$3:$R$1713,'GBD estimates'!$K$3:$K$1713=AL$3,'GBD estimates'!$L$3:"&amp;"$L$1713=""Measles"",'GBD estimates'!$N$3:$N$1713=""Late Neonatal""),FILTER('GBD estimates'!$R$3:$R$1713,'GBD estimates'!$K$3:$K$1713=AL$3,'GBD estimates'!$L$3:$L$1713=""Measles"",'GBD estimates'!$N$3:$N$1713=""Post Neonatal""))"),18.58617067)</f>
        <v>18.58617067</v>
      </c>
      <c r="AM178" s="294">
        <f>IFERROR(__xludf.DUMMYFUNCTION("SUM(FILTER('GBD estimates'!$R$3:$R$1713,'GBD estimates'!$K$3:$K$1713=AM$3,'GBD estimates'!$L$3:$L$1713=""Measles"",'GBD estimates'!$N$3:$N$1713=""Early Neonatal""),FILTER('GBD estimates'!$R$3:$R$1713,'GBD estimates'!$K$3:$K$1713=AM$3,'GBD estimates'!$L$3:"&amp;"$L$1713=""Measles"",'GBD estimates'!$N$3:$N$1713=""Late Neonatal""),FILTER('GBD estimates'!$R$3:$R$1713,'GBD estimates'!$K$3:$K$1713=AM$3,'GBD estimates'!$L$3:$L$1713=""Measles"",'GBD estimates'!$N$3:$N$1713=""Post Neonatal""))"),3.664630471)</f>
        <v>3.664630471</v>
      </c>
      <c r="AN178" s="294">
        <f>IFERROR(__xludf.DUMMYFUNCTION("SUM(FILTER('GBD estimates'!$R$3:$R$1713,'GBD estimates'!$K$3:$K$1713=AN$3,'GBD estimates'!$L$3:$L$1713=""Measles"",'GBD estimates'!$N$3:$N$1713=""Early Neonatal""),FILTER('GBD estimates'!$R$3:$R$1713,'GBD estimates'!$K$3:$K$1713=AN$3,'GBD estimates'!$L$3:"&amp;"$L$1713=""Measles"",'GBD estimates'!$N$3:$N$1713=""Late Neonatal""),FILTER('GBD estimates'!$R$3:$R$1713,'GBD estimates'!$K$3:$K$1713=AN$3,'GBD estimates'!$L$3:$L$1713=""Measles"",'GBD estimates'!$N$3:$N$1713=""Post Neonatal""))"),3.407159141)</f>
        <v>3.407159141</v>
      </c>
      <c r="AO178" s="294">
        <f>IFERROR(__xludf.DUMMYFUNCTION("SUM(FILTER('GBD estimates'!$R$3:$R$1713,'GBD estimates'!$K$3:$K$1713=AO$3,'GBD estimates'!$L$3:$L$1713=""Measles"",'GBD estimates'!$N$3:$N$1713=""Early Neonatal""),FILTER('GBD estimates'!$R$3:$R$1713,'GBD estimates'!$K$3:$K$1713=AO$3,'GBD estimates'!$L$3:"&amp;"$L$1713=""Measles"",'GBD estimates'!$N$3:$N$1713=""Late Neonatal""),FILTER('GBD estimates'!$R$3:$R$1713,'GBD estimates'!$K$3:$K$1713=AO$3,'GBD estimates'!$L$3:$L$1713=""Measles"",'GBD estimates'!$N$3:$N$1713=""Post Neonatal""))"),7.295412577)</f>
        <v>7.295412577</v>
      </c>
      <c r="AP178" s="294">
        <f>IFERROR(__xludf.DUMMYFUNCTION("SUM(FILTER('GBD estimates'!$R$3:$R$1713,'GBD estimates'!$K$3:$K$1713=AP$3,'GBD estimates'!$L$3:$L$1713=""Measles"",'GBD estimates'!$N$3:$N$1713=""Early Neonatal""),FILTER('GBD estimates'!$R$3:$R$1713,'GBD estimates'!$K$3:$K$1713=AP$3,'GBD estimates'!$L$3:"&amp;"$L$1713=""Measles"",'GBD estimates'!$N$3:$N$1713=""Late Neonatal""),FILTER('GBD estimates'!$R$3:$R$1713,'GBD estimates'!$K$3:$K$1713=AP$3,'GBD estimates'!$L$3:$L$1713=""Measles"",'GBD estimates'!$N$3:$N$1713=""Post Neonatal""))"),29.76393726)</f>
        <v>29.76393726</v>
      </c>
      <c r="AQ178" s="294">
        <f>IFERROR(__xludf.DUMMYFUNCTION("SUM(FILTER('GBD estimates'!$R$3:$R$1713,'GBD estimates'!$K$3:$K$1713=AQ$3,'GBD estimates'!$L$3:$L$1713=""Measles"",'GBD estimates'!$N$3:$N$1713=""Early Neonatal""),FILTER('GBD estimates'!$R$3:$R$1713,'GBD estimates'!$K$3:$K$1713=AQ$3,'GBD estimates'!$L$3:"&amp;"$L$1713=""Measles"",'GBD estimates'!$N$3:$N$1713=""Late Neonatal""),FILTER('GBD estimates'!$R$3:$R$1713,'GBD estimates'!$K$3:$K$1713=AQ$3,'GBD estimates'!$L$3:$L$1713=""Measles"",'GBD estimates'!$N$3:$N$1713=""Post Neonatal""))"),4.950529953)</f>
        <v>4.950529953</v>
      </c>
      <c r="AR178" s="294">
        <f>IFERROR(__xludf.DUMMYFUNCTION("SUM(FILTER('GBD estimates'!$R$3:$R$1713,'GBD estimates'!$K$3:$K$1713=AR$3,'GBD estimates'!$L$3:$L$1713=""Measles"",'GBD estimates'!$N$3:$N$1713=""Early Neonatal""),FILTER('GBD estimates'!$R$3:$R$1713,'GBD estimates'!$K$3:$K$1713=AR$3,'GBD estimates'!$L$3:"&amp;"$L$1713=""Measles"",'GBD estimates'!$N$3:$N$1713=""Late Neonatal""),FILTER('GBD estimates'!$R$3:$R$1713,'GBD estimates'!$K$3:$K$1713=AR$3,'GBD estimates'!$L$3:$L$1713=""Measles"",'GBD estimates'!$N$3:$N$1713=""Post Neonatal""))"),48.29191406)</f>
        <v>48.29191406</v>
      </c>
      <c r="AS178" s="294">
        <f>IFERROR(__xludf.DUMMYFUNCTION("SUM(FILTER('GBD estimates'!$R$3:$R$1713,'GBD estimates'!$K$3:$K$1713=AS$3,'GBD estimates'!$L$3:$L$1713=""Measles"",'GBD estimates'!$N$3:$N$1713=""Early Neonatal""),FILTER('GBD estimates'!$R$3:$R$1713,'GBD estimates'!$K$3:$K$1713=AS$3,'GBD estimates'!$L$3:"&amp;"$L$1713=""Measles"",'GBD estimates'!$N$3:$N$1713=""Late Neonatal""),FILTER('GBD estimates'!$R$3:$R$1713,'GBD estimates'!$K$3:$K$1713=AS$3,'GBD estimates'!$L$3:$L$1713=""Measles"",'GBD estimates'!$N$3:$N$1713=""Post Neonatal""))"),53.76490975)</f>
        <v>53.76490975</v>
      </c>
      <c r="AT178" s="555"/>
      <c r="AU178" s="566" t="s">
        <v>855</v>
      </c>
      <c r="AV178" s="557"/>
    </row>
    <row r="179">
      <c r="A179" s="540"/>
      <c r="B179" s="206"/>
      <c r="C179" s="206"/>
      <c r="D179" s="206"/>
      <c r="E179" s="558" t="s">
        <v>712</v>
      </c>
      <c r="F179" s="283" t="s">
        <v>122</v>
      </c>
      <c r="G179" s="285" t="s">
        <v>203</v>
      </c>
      <c r="H179" s="559">
        <v>0.75</v>
      </c>
      <c r="I179" s="660" t="s">
        <v>150</v>
      </c>
      <c r="J179" s="660" t="s">
        <v>150</v>
      </c>
      <c r="K179" s="660" t="s">
        <v>150</v>
      </c>
      <c r="L179" s="660" t="s">
        <v>150</v>
      </c>
      <c r="M179" s="660" t="s">
        <v>150</v>
      </c>
      <c r="N179" s="660" t="s">
        <v>150</v>
      </c>
      <c r="O179" s="660" t="s">
        <v>150</v>
      </c>
      <c r="P179" s="660" t="s">
        <v>150</v>
      </c>
      <c r="Q179" s="660" t="s">
        <v>150</v>
      </c>
      <c r="R179" s="660" t="s">
        <v>150</v>
      </c>
      <c r="S179" s="660" t="s">
        <v>150</v>
      </c>
      <c r="T179" s="660" t="s">
        <v>150</v>
      </c>
      <c r="U179" s="660" t="s">
        <v>150</v>
      </c>
      <c r="V179" s="660" t="s">
        <v>150</v>
      </c>
      <c r="W179" s="660" t="s">
        <v>150</v>
      </c>
      <c r="X179" s="660" t="s">
        <v>150</v>
      </c>
      <c r="Y179" s="660" t="s">
        <v>150</v>
      </c>
      <c r="Z179" s="660" t="s">
        <v>150</v>
      </c>
      <c r="AA179" s="660" t="s">
        <v>150</v>
      </c>
      <c r="AB179" s="660" t="s">
        <v>150</v>
      </c>
      <c r="AC179" s="660" t="s">
        <v>150</v>
      </c>
      <c r="AD179" s="660" t="s">
        <v>150</v>
      </c>
      <c r="AE179" s="660" t="s">
        <v>150</v>
      </c>
      <c r="AF179" s="660" t="s">
        <v>150</v>
      </c>
      <c r="AG179" s="660" t="s">
        <v>150</v>
      </c>
      <c r="AH179" s="660" t="s">
        <v>150</v>
      </c>
      <c r="AI179" s="660" t="s">
        <v>150</v>
      </c>
      <c r="AJ179" s="660" t="s">
        <v>150</v>
      </c>
      <c r="AK179" s="660" t="s">
        <v>150</v>
      </c>
      <c r="AL179" s="660" t="s">
        <v>150</v>
      </c>
      <c r="AM179" s="660" t="s">
        <v>150</v>
      </c>
      <c r="AN179" s="660" t="s">
        <v>150</v>
      </c>
      <c r="AO179" s="660" t="s">
        <v>150</v>
      </c>
      <c r="AP179" s="660" t="s">
        <v>150</v>
      </c>
      <c r="AQ179" s="660" t="s">
        <v>150</v>
      </c>
      <c r="AR179" s="660" t="s">
        <v>150</v>
      </c>
      <c r="AS179" s="660" t="s">
        <v>150</v>
      </c>
      <c r="AT179" s="560"/>
      <c r="AU179" s="567" t="s">
        <v>809</v>
      </c>
      <c r="AV179" s="561"/>
    </row>
    <row r="180">
      <c r="A180" s="540"/>
      <c r="B180" s="206"/>
      <c r="C180" s="206"/>
      <c r="D180" s="206"/>
      <c r="E180" s="541"/>
      <c r="F180" s="201"/>
      <c r="G180" s="202"/>
      <c r="H180" s="542"/>
      <c r="I180" s="266"/>
      <c r="J180" s="266"/>
      <c r="K180" s="266"/>
      <c r="L180" s="266"/>
      <c r="M180" s="266"/>
      <c r="N180" s="266"/>
      <c r="O180" s="266"/>
      <c r="P180" s="266"/>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543"/>
      <c r="AU180" s="544"/>
      <c r="AV180" s="545"/>
    </row>
    <row r="181">
      <c r="A181" s="540"/>
      <c r="B181" s="206"/>
      <c r="C181" s="126" t="s">
        <v>849</v>
      </c>
      <c r="F181" s="201"/>
      <c r="G181" s="202"/>
      <c r="H181" s="542"/>
      <c r="I181" s="266"/>
      <c r="J181" s="266"/>
      <c r="K181" s="266"/>
      <c r="L181" s="266"/>
      <c r="M181" s="266"/>
      <c r="N181" s="266"/>
      <c r="O181" s="266"/>
      <c r="P181" s="266"/>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543"/>
      <c r="AU181" s="544"/>
      <c r="AV181" s="545"/>
    </row>
    <row r="182">
      <c r="A182" s="540"/>
      <c r="B182" s="206"/>
      <c r="C182" s="206"/>
      <c r="D182" s="206"/>
      <c r="E182" s="548" t="s">
        <v>455</v>
      </c>
      <c r="F182" s="207" t="s">
        <v>122</v>
      </c>
      <c r="G182" s="208" t="s">
        <v>203</v>
      </c>
      <c r="H182" s="549">
        <v>-0.5</v>
      </c>
      <c r="I182" s="294" t="s">
        <v>150</v>
      </c>
      <c r="J182" s="294" t="s">
        <v>150</v>
      </c>
      <c r="K182" s="294" t="s">
        <v>150</v>
      </c>
      <c r="L182" s="294" t="s">
        <v>150</v>
      </c>
      <c r="M182" s="294" t="s">
        <v>150</v>
      </c>
      <c r="N182" s="294" t="s">
        <v>150</v>
      </c>
      <c r="O182" s="294" t="s">
        <v>150</v>
      </c>
      <c r="P182" s="294" t="s">
        <v>150</v>
      </c>
      <c r="Q182" s="294" t="s">
        <v>150</v>
      </c>
      <c r="R182" s="294" t="s">
        <v>150</v>
      </c>
      <c r="S182" s="294" t="s">
        <v>150</v>
      </c>
      <c r="T182" s="294" t="s">
        <v>150</v>
      </c>
      <c r="U182" s="294" t="s">
        <v>150</v>
      </c>
      <c r="V182" s="294" t="s">
        <v>150</v>
      </c>
      <c r="W182" s="294" t="s">
        <v>150</v>
      </c>
      <c r="X182" s="294" t="s">
        <v>150</v>
      </c>
      <c r="Y182" s="294" t="s">
        <v>150</v>
      </c>
      <c r="Z182" s="294" t="s">
        <v>150</v>
      </c>
      <c r="AA182" s="294" t="s">
        <v>150</v>
      </c>
      <c r="AB182" s="294" t="s">
        <v>150</v>
      </c>
      <c r="AC182" s="294" t="s">
        <v>150</v>
      </c>
      <c r="AD182" s="294" t="s">
        <v>150</v>
      </c>
      <c r="AE182" s="294" t="s">
        <v>150</v>
      </c>
      <c r="AF182" s="294" t="s">
        <v>150</v>
      </c>
      <c r="AG182" s="294" t="s">
        <v>150</v>
      </c>
      <c r="AH182" s="294" t="s">
        <v>150</v>
      </c>
      <c r="AI182" s="294" t="s">
        <v>150</v>
      </c>
      <c r="AJ182" s="294" t="s">
        <v>150</v>
      </c>
      <c r="AK182" s="294" t="s">
        <v>150</v>
      </c>
      <c r="AL182" s="294" t="s">
        <v>150</v>
      </c>
      <c r="AM182" s="294" t="s">
        <v>150</v>
      </c>
      <c r="AN182" s="294" t="s">
        <v>150</v>
      </c>
      <c r="AO182" s="294" t="s">
        <v>150</v>
      </c>
      <c r="AP182" s="294" t="s">
        <v>150</v>
      </c>
      <c r="AQ182" s="294" t="s">
        <v>150</v>
      </c>
      <c r="AR182" s="294" t="s">
        <v>150</v>
      </c>
      <c r="AS182" s="294" t="s">
        <v>150</v>
      </c>
      <c r="AT182" s="550"/>
      <c r="AU182" s="562" t="s">
        <v>809</v>
      </c>
      <c r="AV182" s="552"/>
    </row>
    <row r="183">
      <c r="A183" s="540"/>
      <c r="B183" s="206"/>
      <c r="C183" s="206"/>
      <c r="D183" s="206"/>
      <c r="E183" s="553" t="s">
        <v>878</v>
      </c>
      <c r="F183" s="278" t="s">
        <v>122</v>
      </c>
      <c r="G183" s="279" t="s">
        <v>203</v>
      </c>
      <c r="H183" s="554">
        <v>-0.1</v>
      </c>
      <c r="I183" s="299" t="s">
        <v>150</v>
      </c>
      <c r="J183" s="299" t="s">
        <v>150</v>
      </c>
      <c r="K183" s="299" t="s">
        <v>150</v>
      </c>
      <c r="L183" s="299" t="s">
        <v>150</v>
      </c>
      <c r="M183" s="299" t="s">
        <v>150</v>
      </c>
      <c r="N183" s="299" t="s">
        <v>150</v>
      </c>
      <c r="O183" s="299" t="s">
        <v>150</v>
      </c>
      <c r="P183" s="299" t="s">
        <v>150</v>
      </c>
      <c r="Q183" s="299" t="s">
        <v>150</v>
      </c>
      <c r="R183" s="299" t="s">
        <v>150</v>
      </c>
      <c r="S183" s="299" t="s">
        <v>150</v>
      </c>
      <c r="T183" s="299" t="s">
        <v>150</v>
      </c>
      <c r="U183" s="299" t="s">
        <v>150</v>
      </c>
      <c r="V183" s="299" t="s">
        <v>150</v>
      </c>
      <c r="W183" s="299" t="s">
        <v>150</v>
      </c>
      <c r="X183" s="299" t="s">
        <v>150</v>
      </c>
      <c r="Y183" s="299" t="s">
        <v>150</v>
      </c>
      <c r="Z183" s="299" t="s">
        <v>150</v>
      </c>
      <c r="AA183" s="299" t="s">
        <v>150</v>
      </c>
      <c r="AB183" s="299" t="s">
        <v>150</v>
      </c>
      <c r="AC183" s="299" t="s">
        <v>150</v>
      </c>
      <c r="AD183" s="299" t="s">
        <v>150</v>
      </c>
      <c r="AE183" s="299" t="s">
        <v>150</v>
      </c>
      <c r="AF183" s="299" t="s">
        <v>150</v>
      </c>
      <c r="AG183" s="299" t="s">
        <v>150</v>
      </c>
      <c r="AH183" s="299" t="s">
        <v>150</v>
      </c>
      <c r="AI183" s="299" t="s">
        <v>150</v>
      </c>
      <c r="AJ183" s="299" t="s">
        <v>150</v>
      </c>
      <c r="AK183" s="299" t="s">
        <v>150</v>
      </c>
      <c r="AL183" s="299" t="s">
        <v>150</v>
      </c>
      <c r="AM183" s="299" t="s">
        <v>150</v>
      </c>
      <c r="AN183" s="299" t="s">
        <v>150</v>
      </c>
      <c r="AO183" s="299" t="s">
        <v>150</v>
      </c>
      <c r="AP183" s="299" t="s">
        <v>150</v>
      </c>
      <c r="AQ183" s="299" t="s">
        <v>150</v>
      </c>
      <c r="AR183" s="299" t="s">
        <v>150</v>
      </c>
      <c r="AS183" s="299" t="s">
        <v>150</v>
      </c>
      <c r="AT183" s="555"/>
      <c r="AU183" s="566" t="s">
        <v>809</v>
      </c>
      <c r="AV183" s="557"/>
    </row>
    <row r="184">
      <c r="A184" s="540"/>
      <c r="B184" s="206"/>
      <c r="C184" s="206"/>
      <c r="D184" s="206"/>
      <c r="E184" s="548" t="s">
        <v>851</v>
      </c>
      <c r="F184" s="207" t="s">
        <v>122</v>
      </c>
      <c r="G184" s="208" t="s">
        <v>203</v>
      </c>
      <c r="H184" s="549">
        <v>-0.1</v>
      </c>
      <c r="I184" s="294" t="s">
        <v>150</v>
      </c>
      <c r="J184" s="294" t="s">
        <v>150</v>
      </c>
      <c r="K184" s="294" t="s">
        <v>150</v>
      </c>
      <c r="L184" s="294" t="s">
        <v>150</v>
      </c>
      <c r="M184" s="294" t="s">
        <v>150</v>
      </c>
      <c r="N184" s="294" t="s">
        <v>150</v>
      </c>
      <c r="O184" s="294" t="s">
        <v>150</v>
      </c>
      <c r="P184" s="294" t="s">
        <v>150</v>
      </c>
      <c r="Q184" s="294" t="s">
        <v>150</v>
      </c>
      <c r="R184" s="294" t="s">
        <v>150</v>
      </c>
      <c r="S184" s="294" t="s">
        <v>150</v>
      </c>
      <c r="T184" s="294" t="s">
        <v>150</v>
      </c>
      <c r="U184" s="294" t="s">
        <v>150</v>
      </c>
      <c r="V184" s="294" t="s">
        <v>150</v>
      </c>
      <c r="W184" s="294" t="s">
        <v>150</v>
      </c>
      <c r="X184" s="294" t="s">
        <v>150</v>
      </c>
      <c r="Y184" s="294" t="s">
        <v>150</v>
      </c>
      <c r="Z184" s="294" t="s">
        <v>150</v>
      </c>
      <c r="AA184" s="294" t="s">
        <v>150</v>
      </c>
      <c r="AB184" s="294" t="s">
        <v>150</v>
      </c>
      <c r="AC184" s="294" t="s">
        <v>150</v>
      </c>
      <c r="AD184" s="294" t="s">
        <v>150</v>
      </c>
      <c r="AE184" s="294" t="s">
        <v>150</v>
      </c>
      <c r="AF184" s="294" t="s">
        <v>150</v>
      </c>
      <c r="AG184" s="294" t="s">
        <v>150</v>
      </c>
      <c r="AH184" s="294" t="s">
        <v>150</v>
      </c>
      <c r="AI184" s="294" t="s">
        <v>150</v>
      </c>
      <c r="AJ184" s="294" t="s">
        <v>150</v>
      </c>
      <c r="AK184" s="294" t="s">
        <v>150</v>
      </c>
      <c r="AL184" s="294" t="s">
        <v>150</v>
      </c>
      <c r="AM184" s="294" t="s">
        <v>150</v>
      </c>
      <c r="AN184" s="294" t="s">
        <v>150</v>
      </c>
      <c r="AO184" s="294" t="s">
        <v>150</v>
      </c>
      <c r="AP184" s="294" t="s">
        <v>150</v>
      </c>
      <c r="AQ184" s="294" t="s">
        <v>150</v>
      </c>
      <c r="AR184" s="294" t="s">
        <v>150</v>
      </c>
      <c r="AS184" s="294" t="s">
        <v>150</v>
      </c>
      <c r="AT184" s="550"/>
      <c r="AU184" s="562" t="s">
        <v>809</v>
      </c>
      <c r="AV184" s="552"/>
    </row>
    <row r="185">
      <c r="A185" s="540"/>
      <c r="B185" s="206"/>
      <c r="C185" s="206"/>
      <c r="D185" s="206"/>
      <c r="E185" s="553" t="s">
        <v>611</v>
      </c>
      <c r="F185" s="278" t="s">
        <v>122</v>
      </c>
      <c r="G185" s="279" t="s">
        <v>203</v>
      </c>
      <c r="H185" s="554">
        <v>-0.8</v>
      </c>
      <c r="I185" s="299" t="s">
        <v>150</v>
      </c>
      <c r="J185" s="299" t="s">
        <v>150</v>
      </c>
      <c r="K185" s="299" t="s">
        <v>150</v>
      </c>
      <c r="L185" s="299" t="s">
        <v>150</v>
      </c>
      <c r="M185" s="299" t="s">
        <v>150</v>
      </c>
      <c r="N185" s="299" t="s">
        <v>150</v>
      </c>
      <c r="O185" s="299" t="s">
        <v>150</v>
      </c>
      <c r="P185" s="299" t="s">
        <v>150</v>
      </c>
      <c r="Q185" s="299" t="s">
        <v>150</v>
      </c>
      <c r="R185" s="299" t="s">
        <v>150</v>
      </c>
      <c r="S185" s="299" t="s">
        <v>150</v>
      </c>
      <c r="T185" s="299" t="s">
        <v>150</v>
      </c>
      <c r="U185" s="299" t="s">
        <v>150</v>
      </c>
      <c r="V185" s="299" t="s">
        <v>150</v>
      </c>
      <c r="W185" s="299" t="s">
        <v>150</v>
      </c>
      <c r="X185" s="299" t="s">
        <v>150</v>
      </c>
      <c r="Y185" s="299" t="s">
        <v>150</v>
      </c>
      <c r="Z185" s="299" t="s">
        <v>150</v>
      </c>
      <c r="AA185" s="299" t="s">
        <v>150</v>
      </c>
      <c r="AB185" s="299" t="s">
        <v>150</v>
      </c>
      <c r="AC185" s="299" t="s">
        <v>150</v>
      </c>
      <c r="AD185" s="299" t="s">
        <v>150</v>
      </c>
      <c r="AE185" s="299" t="s">
        <v>150</v>
      </c>
      <c r="AF185" s="299" t="s">
        <v>150</v>
      </c>
      <c r="AG185" s="299" t="s">
        <v>150</v>
      </c>
      <c r="AH185" s="299" t="s">
        <v>150</v>
      </c>
      <c r="AI185" s="299" t="s">
        <v>150</v>
      </c>
      <c r="AJ185" s="299" t="s">
        <v>150</v>
      </c>
      <c r="AK185" s="299" t="s">
        <v>150</v>
      </c>
      <c r="AL185" s="299" t="s">
        <v>150</v>
      </c>
      <c r="AM185" s="299" t="s">
        <v>150</v>
      </c>
      <c r="AN185" s="299" t="s">
        <v>150</v>
      </c>
      <c r="AO185" s="299" t="s">
        <v>150</v>
      </c>
      <c r="AP185" s="299" t="s">
        <v>150</v>
      </c>
      <c r="AQ185" s="299" t="s">
        <v>150</v>
      </c>
      <c r="AR185" s="299" t="s">
        <v>150</v>
      </c>
      <c r="AS185" s="299" t="s">
        <v>150</v>
      </c>
      <c r="AT185" s="555"/>
      <c r="AU185" s="566" t="s">
        <v>809</v>
      </c>
      <c r="AV185" s="557"/>
    </row>
    <row r="186">
      <c r="A186" s="540"/>
      <c r="B186" s="206"/>
      <c r="C186" s="206"/>
      <c r="D186" s="206"/>
      <c r="E186" s="553" t="s">
        <v>951</v>
      </c>
      <c r="F186" s="278" t="s">
        <v>122</v>
      </c>
      <c r="G186" s="279" t="s">
        <v>203</v>
      </c>
      <c r="H186" s="554">
        <v>-0.4</v>
      </c>
      <c r="I186" s="299" t="s">
        <v>150</v>
      </c>
      <c r="J186" s="299" t="s">
        <v>150</v>
      </c>
      <c r="K186" s="299" t="s">
        <v>150</v>
      </c>
      <c r="L186" s="299" t="s">
        <v>150</v>
      </c>
      <c r="M186" s="299" t="s">
        <v>150</v>
      </c>
      <c r="N186" s="299" t="s">
        <v>150</v>
      </c>
      <c r="O186" s="299" t="s">
        <v>150</v>
      </c>
      <c r="P186" s="299" t="s">
        <v>150</v>
      </c>
      <c r="Q186" s="299" t="s">
        <v>150</v>
      </c>
      <c r="R186" s="299" t="s">
        <v>150</v>
      </c>
      <c r="S186" s="299" t="s">
        <v>150</v>
      </c>
      <c r="T186" s="299" t="s">
        <v>150</v>
      </c>
      <c r="U186" s="299" t="s">
        <v>150</v>
      </c>
      <c r="V186" s="299" t="s">
        <v>150</v>
      </c>
      <c r="W186" s="299" t="s">
        <v>150</v>
      </c>
      <c r="X186" s="299" t="s">
        <v>150</v>
      </c>
      <c r="Y186" s="299" t="s">
        <v>150</v>
      </c>
      <c r="Z186" s="299" t="s">
        <v>150</v>
      </c>
      <c r="AA186" s="299" t="s">
        <v>150</v>
      </c>
      <c r="AB186" s="299" t="s">
        <v>150</v>
      </c>
      <c r="AC186" s="299" t="s">
        <v>150</v>
      </c>
      <c r="AD186" s="299" t="s">
        <v>150</v>
      </c>
      <c r="AE186" s="299" t="s">
        <v>150</v>
      </c>
      <c r="AF186" s="299" t="s">
        <v>150</v>
      </c>
      <c r="AG186" s="299" t="s">
        <v>150</v>
      </c>
      <c r="AH186" s="299" t="s">
        <v>150</v>
      </c>
      <c r="AI186" s="299" t="s">
        <v>150</v>
      </c>
      <c r="AJ186" s="299" t="s">
        <v>150</v>
      </c>
      <c r="AK186" s="299" t="s">
        <v>150</v>
      </c>
      <c r="AL186" s="299" t="s">
        <v>150</v>
      </c>
      <c r="AM186" s="299" t="s">
        <v>150</v>
      </c>
      <c r="AN186" s="299" t="s">
        <v>150</v>
      </c>
      <c r="AO186" s="299" t="s">
        <v>150</v>
      </c>
      <c r="AP186" s="299" t="s">
        <v>150</v>
      </c>
      <c r="AQ186" s="299" t="s">
        <v>150</v>
      </c>
      <c r="AR186" s="299" t="s">
        <v>150</v>
      </c>
      <c r="AS186" s="299" t="s">
        <v>150</v>
      </c>
      <c r="AT186" s="555"/>
      <c r="AU186" s="566" t="s">
        <v>809</v>
      </c>
      <c r="AV186" s="557"/>
    </row>
    <row r="187">
      <c r="A187" s="540"/>
      <c r="B187" s="206"/>
      <c r="C187" s="206"/>
      <c r="D187" s="206"/>
      <c r="E187" s="548" t="s">
        <v>930</v>
      </c>
      <c r="F187" s="207" t="s">
        <v>122</v>
      </c>
      <c r="G187" s="208" t="s">
        <v>203</v>
      </c>
      <c r="H187" s="549">
        <v>-0.3</v>
      </c>
      <c r="I187" s="294" t="s">
        <v>150</v>
      </c>
      <c r="J187" s="294" t="s">
        <v>150</v>
      </c>
      <c r="K187" s="294" t="s">
        <v>150</v>
      </c>
      <c r="L187" s="294" t="s">
        <v>150</v>
      </c>
      <c r="M187" s="294" t="s">
        <v>150</v>
      </c>
      <c r="N187" s="294" t="s">
        <v>150</v>
      </c>
      <c r="O187" s="294" t="s">
        <v>150</v>
      </c>
      <c r="P187" s="294" t="s">
        <v>150</v>
      </c>
      <c r="Q187" s="294" t="s">
        <v>150</v>
      </c>
      <c r="R187" s="294" t="s">
        <v>150</v>
      </c>
      <c r="S187" s="294" t="s">
        <v>150</v>
      </c>
      <c r="T187" s="294" t="s">
        <v>150</v>
      </c>
      <c r="U187" s="294" t="s">
        <v>150</v>
      </c>
      <c r="V187" s="294" t="s">
        <v>150</v>
      </c>
      <c r="W187" s="294" t="s">
        <v>150</v>
      </c>
      <c r="X187" s="294" t="s">
        <v>150</v>
      </c>
      <c r="Y187" s="294" t="s">
        <v>150</v>
      </c>
      <c r="Z187" s="294" t="s">
        <v>150</v>
      </c>
      <c r="AA187" s="294" t="s">
        <v>150</v>
      </c>
      <c r="AB187" s="294" t="s">
        <v>150</v>
      </c>
      <c r="AC187" s="294" t="s">
        <v>150</v>
      </c>
      <c r="AD187" s="294" t="s">
        <v>150</v>
      </c>
      <c r="AE187" s="294" t="s">
        <v>150</v>
      </c>
      <c r="AF187" s="294" t="s">
        <v>150</v>
      </c>
      <c r="AG187" s="294" t="s">
        <v>150</v>
      </c>
      <c r="AH187" s="294" t="s">
        <v>150</v>
      </c>
      <c r="AI187" s="294" t="s">
        <v>150</v>
      </c>
      <c r="AJ187" s="294" t="s">
        <v>150</v>
      </c>
      <c r="AK187" s="294" t="s">
        <v>150</v>
      </c>
      <c r="AL187" s="294" t="s">
        <v>150</v>
      </c>
      <c r="AM187" s="294" t="s">
        <v>150</v>
      </c>
      <c r="AN187" s="294" t="s">
        <v>150</v>
      </c>
      <c r="AO187" s="294" t="s">
        <v>150</v>
      </c>
      <c r="AP187" s="294" t="s">
        <v>150</v>
      </c>
      <c r="AQ187" s="294" t="s">
        <v>150</v>
      </c>
      <c r="AR187" s="294" t="s">
        <v>150</v>
      </c>
      <c r="AS187" s="294" t="s">
        <v>150</v>
      </c>
      <c r="AT187" s="550"/>
      <c r="AU187" s="562" t="s">
        <v>809</v>
      </c>
      <c r="AV187" s="552"/>
    </row>
    <row r="188">
      <c r="A188" s="540"/>
      <c r="B188" s="206"/>
      <c r="C188" s="206"/>
      <c r="D188" s="206"/>
      <c r="E188" s="553" t="s">
        <v>714</v>
      </c>
      <c r="F188" s="278" t="s">
        <v>122</v>
      </c>
      <c r="G188" s="279" t="s">
        <v>203</v>
      </c>
      <c r="H188" s="554">
        <v>-0.9</v>
      </c>
      <c r="I188" s="299" t="s">
        <v>150</v>
      </c>
      <c r="J188" s="299" t="s">
        <v>150</v>
      </c>
      <c r="K188" s="299" t="s">
        <v>150</v>
      </c>
      <c r="L188" s="299" t="s">
        <v>150</v>
      </c>
      <c r="M188" s="299" t="s">
        <v>150</v>
      </c>
      <c r="N188" s="299" t="s">
        <v>150</v>
      </c>
      <c r="O188" s="299" t="s">
        <v>150</v>
      </c>
      <c r="P188" s="299" t="s">
        <v>150</v>
      </c>
      <c r="Q188" s="299" t="s">
        <v>150</v>
      </c>
      <c r="R188" s="299" t="s">
        <v>150</v>
      </c>
      <c r="S188" s="299" t="s">
        <v>150</v>
      </c>
      <c r="T188" s="299" t="s">
        <v>150</v>
      </c>
      <c r="U188" s="299" t="s">
        <v>150</v>
      </c>
      <c r="V188" s="299" t="s">
        <v>150</v>
      </c>
      <c r="W188" s="299" t="s">
        <v>150</v>
      </c>
      <c r="X188" s="299" t="s">
        <v>150</v>
      </c>
      <c r="Y188" s="299" t="s">
        <v>150</v>
      </c>
      <c r="Z188" s="299" t="s">
        <v>150</v>
      </c>
      <c r="AA188" s="299" t="s">
        <v>150</v>
      </c>
      <c r="AB188" s="299" t="s">
        <v>150</v>
      </c>
      <c r="AC188" s="299" t="s">
        <v>150</v>
      </c>
      <c r="AD188" s="299" t="s">
        <v>150</v>
      </c>
      <c r="AE188" s="299" t="s">
        <v>150</v>
      </c>
      <c r="AF188" s="299" t="s">
        <v>150</v>
      </c>
      <c r="AG188" s="299" t="s">
        <v>150</v>
      </c>
      <c r="AH188" s="299" t="s">
        <v>150</v>
      </c>
      <c r="AI188" s="299" t="s">
        <v>150</v>
      </c>
      <c r="AJ188" s="299" t="s">
        <v>150</v>
      </c>
      <c r="AK188" s="299" t="s">
        <v>150</v>
      </c>
      <c r="AL188" s="299" t="s">
        <v>150</v>
      </c>
      <c r="AM188" s="299" t="s">
        <v>150</v>
      </c>
      <c r="AN188" s="299" t="s">
        <v>150</v>
      </c>
      <c r="AO188" s="299" t="s">
        <v>150</v>
      </c>
      <c r="AP188" s="299" t="s">
        <v>150</v>
      </c>
      <c r="AQ188" s="299" t="s">
        <v>150</v>
      </c>
      <c r="AR188" s="299" t="s">
        <v>150</v>
      </c>
      <c r="AS188" s="299" t="s">
        <v>150</v>
      </c>
      <c r="AT188" s="555"/>
      <c r="AU188" s="566" t="s">
        <v>809</v>
      </c>
      <c r="AV188" s="557"/>
    </row>
    <row r="189">
      <c r="A189" s="540"/>
      <c r="B189" s="206"/>
      <c r="C189" s="206"/>
      <c r="D189" s="206"/>
      <c r="E189" s="553" t="s">
        <v>990</v>
      </c>
      <c r="F189" s="278" t="s">
        <v>122</v>
      </c>
      <c r="G189" s="279" t="s">
        <v>203</v>
      </c>
      <c r="H189" s="554">
        <v>-0.7</v>
      </c>
      <c r="I189" s="299" t="s">
        <v>150</v>
      </c>
      <c r="J189" s="299" t="s">
        <v>150</v>
      </c>
      <c r="K189" s="299" t="s">
        <v>150</v>
      </c>
      <c r="L189" s="299" t="s">
        <v>150</v>
      </c>
      <c r="M189" s="299" t="s">
        <v>150</v>
      </c>
      <c r="N189" s="299" t="s">
        <v>150</v>
      </c>
      <c r="O189" s="299" t="s">
        <v>150</v>
      </c>
      <c r="P189" s="299" t="s">
        <v>150</v>
      </c>
      <c r="Q189" s="299" t="s">
        <v>150</v>
      </c>
      <c r="R189" s="299" t="s">
        <v>150</v>
      </c>
      <c r="S189" s="299" t="s">
        <v>150</v>
      </c>
      <c r="T189" s="299" t="s">
        <v>150</v>
      </c>
      <c r="U189" s="299" t="s">
        <v>150</v>
      </c>
      <c r="V189" s="299" t="s">
        <v>150</v>
      </c>
      <c r="W189" s="299" t="s">
        <v>150</v>
      </c>
      <c r="X189" s="299" t="s">
        <v>150</v>
      </c>
      <c r="Y189" s="299" t="s">
        <v>150</v>
      </c>
      <c r="Z189" s="299" t="s">
        <v>150</v>
      </c>
      <c r="AA189" s="299" t="s">
        <v>150</v>
      </c>
      <c r="AB189" s="299" t="s">
        <v>150</v>
      </c>
      <c r="AC189" s="299" t="s">
        <v>150</v>
      </c>
      <c r="AD189" s="299" t="s">
        <v>150</v>
      </c>
      <c r="AE189" s="299" t="s">
        <v>150</v>
      </c>
      <c r="AF189" s="299" t="s">
        <v>150</v>
      </c>
      <c r="AG189" s="299" t="s">
        <v>150</v>
      </c>
      <c r="AH189" s="299" t="s">
        <v>150</v>
      </c>
      <c r="AI189" s="299" t="s">
        <v>150</v>
      </c>
      <c r="AJ189" s="299" t="s">
        <v>150</v>
      </c>
      <c r="AK189" s="299" t="s">
        <v>150</v>
      </c>
      <c r="AL189" s="299" t="s">
        <v>150</v>
      </c>
      <c r="AM189" s="299" t="s">
        <v>150</v>
      </c>
      <c r="AN189" s="299" t="s">
        <v>150</v>
      </c>
      <c r="AO189" s="299" t="s">
        <v>150</v>
      </c>
      <c r="AP189" s="299" t="s">
        <v>150</v>
      </c>
      <c r="AQ189" s="299" t="s">
        <v>150</v>
      </c>
      <c r="AR189" s="299" t="s">
        <v>150</v>
      </c>
      <c r="AS189" s="299" t="s">
        <v>150</v>
      </c>
      <c r="AT189" s="555"/>
      <c r="AU189" s="566" t="s">
        <v>809</v>
      </c>
      <c r="AV189" s="557"/>
    </row>
    <row r="190">
      <c r="A190" s="540"/>
      <c r="B190" s="206"/>
      <c r="C190" s="206"/>
      <c r="D190" s="206"/>
      <c r="E190" s="558" t="s">
        <v>973</v>
      </c>
      <c r="F190" s="283" t="s">
        <v>122</v>
      </c>
      <c r="G190" s="285" t="s">
        <v>203</v>
      </c>
      <c r="H190" s="559">
        <v>-0.6</v>
      </c>
      <c r="I190" s="660" t="s">
        <v>150</v>
      </c>
      <c r="J190" s="660" t="s">
        <v>150</v>
      </c>
      <c r="K190" s="660" t="s">
        <v>150</v>
      </c>
      <c r="L190" s="660" t="s">
        <v>150</v>
      </c>
      <c r="M190" s="660" t="s">
        <v>150</v>
      </c>
      <c r="N190" s="660" t="s">
        <v>150</v>
      </c>
      <c r="O190" s="660" t="s">
        <v>150</v>
      </c>
      <c r="P190" s="660" t="s">
        <v>150</v>
      </c>
      <c r="Q190" s="660" t="s">
        <v>150</v>
      </c>
      <c r="R190" s="660" t="s">
        <v>150</v>
      </c>
      <c r="S190" s="660" t="s">
        <v>150</v>
      </c>
      <c r="T190" s="660" t="s">
        <v>150</v>
      </c>
      <c r="U190" s="660" t="s">
        <v>150</v>
      </c>
      <c r="V190" s="660" t="s">
        <v>150</v>
      </c>
      <c r="W190" s="660" t="s">
        <v>150</v>
      </c>
      <c r="X190" s="660" t="s">
        <v>150</v>
      </c>
      <c r="Y190" s="660" t="s">
        <v>150</v>
      </c>
      <c r="Z190" s="660" t="s">
        <v>150</v>
      </c>
      <c r="AA190" s="660" t="s">
        <v>150</v>
      </c>
      <c r="AB190" s="660" t="s">
        <v>150</v>
      </c>
      <c r="AC190" s="660" t="s">
        <v>150</v>
      </c>
      <c r="AD190" s="660" t="s">
        <v>150</v>
      </c>
      <c r="AE190" s="660" t="s">
        <v>150</v>
      </c>
      <c r="AF190" s="660" t="s">
        <v>150</v>
      </c>
      <c r="AG190" s="660" t="s">
        <v>150</v>
      </c>
      <c r="AH190" s="660" t="s">
        <v>150</v>
      </c>
      <c r="AI190" s="660" t="s">
        <v>150</v>
      </c>
      <c r="AJ190" s="660" t="s">
        <v>150</v>
      </c>
      <c r="AK190" s="660" t="s">
        <v>150</v>
      </c>
      <c r="AL190" s="660" t="s">
        <v>150</v>
      </c>
      <c r="AM190" s="660" t="s">
        <v>150</v>
      </c>
      <c r="AN190" s="660" t="s">
        <v>150</v>
      </c>
      <c r="AO190" s="660" t="s">
        <v>150</v>
      </c>
      <c r="AP190" s="660" t="s">
        <v>150</v>
      </c>
      <c r="AQ190" s="660" t="s">
        <v>150</v>
      </c>
      <c r="AR190" s="660" t="s">
        <v>150</v>
      </c>
      <c r="AS190" s="660" t="s">
        <v>150</v>
      </c>
      <c r="AT190" s="560"/>
      <c r="AU190" s="567" t="s">
        <v>809</v>
      </c>
      <c r="AV190" s="561"/>
    </row>
    <row r="191">
      <c r="A191" s="540"/>
      <c r="B191" s="206"/>
      <c r="C191" s="206"/>
      <c r="D191" s="206"/>
      <c r="E191" s="541"/>
      <c r="F191" s="201"/>
      <c r="G191" s="202"/>
      <c r="H191" s="542"/>
      <c r="I191" s="266"/>
      <c r="J191" s="266"/>
      <c r="K191" s="266"/>
      <c r="L191" s="266"/>
      <c r="M191" s="266"/>
      <c r="N191" s="266"/>
      <c r="O191" s="266"/>
      <c r="P191" s="266"/>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543"/>
      <c r="AU191" s="544"/>
      <c r="AV191" s="545"/>
    </row>
    <row r="192">
      <c r="A192" s="72" t="s">
        <v>9</v>
      </c>
      <c r="B192" s="14"/>
      <c r="C192" s="14"/>
      <c r="D192" s="14"/>
      <c r="E192" s="14"/>
      <c r="F192" s="14"/>
      <c r="G192" s="482"/>
      <c r="H192" s="535"/>
      <c r="I192" s="536"/>
      <c r="J192" s="536"/>
      <c r="K192" s="536"/>
      <c r="L192" s="536"/>
      <c r="M192" s="536"/>
      <c r="N192" s="536"/>
      <c r="O192" s="536"/>
      <c r="P192" s="536"/>
      <c r="Q192" s="536"/>
      <c r="R192" s="536"/>
      <c r="S192" s="536"/>
      <c r="T192" s="536"/>
      <c r="U192" s="536"/>
      <c r="V192" s="536"/>
      <c r="W192" s="536"/>
      <c r="X192" s="536"/>
      <c r="Y192" s="536"/>
      <c r="Z192" s="536"/>
      <c r="AA192" s="536"/>
      <c r="AB192" s="536"/>
      <c r="AC192" s="536"/>
      <c r="AD192" s="536"/>
      <c r="AE192" s="536"/>
      <c r="AF192" s="536"/>
      <c r="AG192" s="536"/>
      <c r="AH192" s="536"/>
      <c r="AI192" s="536"/>
      <c r="AJ192" s="536"/>
      <c r="AK192" s="536"/>
      <c r="AL192" s="536"/>
      <c r="AM192" s="536"/>
      <c r="AN192" s="536"/>
      <c r="AO192" s="536"/>
      <c r="AP192" s="536"/>
      <c r="AQ192" s="536"/>
      <c r="AR192" s="536"/>
      <c r="AS192" s="536"/>
      <c r="AT192" s="537"/>
      <c r="AU192" s="538"/>
      <c r="AV192" s="539"/>
    </row>
    <row r="193">
      <c r="A193" s="540"/>
      <c r="B193" s="206"/>
      <c r="C193" s="206"/>
      <c r="D193" s="206"/>
      <c r="E193" s="541"/>
      <c r="F193" s="201"/>
      <c r="G193" s="202"/>
      <c r="H193" s="542"/>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35"/>
      <c r="AH193" s="135"/>
      <c r="AI193" s="135"/>
      <c r="AJ193" s="135"/>
      <c r="AK193" s="135"/>
      <c r="AL193" s="135"/>
      <c r="AM193" s="135"/>
      <c r="AN193" s="135"/>
      <c r="AO193" s="135"/>
      <c r="AP193" s="135"/>
      <c r="AQ193" s="135"/>
      <c r="AR193" s="135"/>
      <c r="AS193" s="135"/>
      <c r="AT193" s="543"/>
      <c r="AU193" s="544"/>
      <c r="AV193" s="545"/>
    </row>
    <row r="194">
      <c r="A194" s="206"/>
      <c r="B194" s="206"/>
      <c r="C194" s="125" t="s">
        <v>147</v>
      </c>
      <c r="F194" s="201"/>
      <c r="G194" s="201"/>
      <c r="H194" s="542"/>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135"/>
      <c r="AH194" s="135"/>
      <c r="AI194" s="135"/>
      <c r="AJ194" s="135"/>
      <c r="AK194" s="135"/>
      <c r="AL194" s="135"/>
      <c r="AM194" s="135"/>
      <c r="AN194" s="135"/>
      <c r="AO194" s="135"/>
      <c r="AP194" s="135"/>
      <c r="AQ194" s="135"/>
      <c r="AR194" s="135"/>
      <c r="AS194" s="135"/>
      <c r="AT194" s="543"/>
      <c r="AU194" s="544"/>
      <c r="AV194" s="545"/>
    </row>
    <row r="195">
      <c r="A195" s="206"/>
      <c r="B195" s="206"/>
      <c r="C195" s="125"/>
      <c r="D195" s="125"/>
      <c r="E195" s="810" t="s">
        <v>157</v>
      </c>
      <c r="F195" s="207" t="s">
        <v>122</v>
      </c>
      <c r="G195" s="207" t="s">
        <v>203</v>
      </c>
      <c r="H195" s="549">
        <v>0.63</v>
      </c>
      <c r="I195" s="271" t="s">
        <v>150</v>
      </c>
      <c r="J195" s="271" t="s">
        <v>150</v>
      </c>
      <c r="K195" s="271" t="s">
        <v>150</v>
      </c>
      <c r="L195" s="271" t="s">
        <v>150</v>
      </c>
      <c r="M195" s="271" t="s">
        <v>150</v>
      </c>
      <c r="N195" s="271" t="s">
        <v>150</v>
      </c>
      <c r="O195" s="271" t="s">
        <v>150</v>
      </c>
      <c r="P195" s="271" t="s">
        <v>150</v>
      </c>
      <c r="Q195" s="271" t="s">
        <v>150</v>
      </c>
      <c r="R195" s="271" t="s">
        <v>150</v>
      </c>
      <c r="S195" s="271" t="s">
        <v>150</v>
      </c>
      <c r="T195" s="271" t="s">
        <v>150</v>
      </c>
      <c r="U195" s="271" t="s">
        <v>150</v>
      </c>
      <c r="V195" s="271" t="s">
        <v>150</v>
      </c>
      <c r="W195" s="271" t="s">
        <v>150</v>
      </c>
      <c r="X195" s="271" t="s">
        <v>150</v>
      </c>
      <c r="Y195" s="271" t="s">
        <v>150</v>
      </c>
      <c r="Z195" s="271" t="s">
        <v>150</v>
      </c>
      <c r="AA195" s="271" t="s">
        <v>150</v>
      </c>
      <c r="AB195" s="271" t="s">
        <v>150</v>
      </c>
      <c r="AC195" s="271" t="s">
        <v>150</v>
      </c>
      <c r="AD195" s="271" t="s">
        <v>150</v>
      </c>
      <c r="AE195" s="271" t="s">
        <v>150</v>
      </c>
      <c r="AF195" s="271" t="s">
        <v>150</v>
      </c>
      <c r="AG195" s="271" t="s">
        <v>150</v>
      </c>
      <c r="AH195" s="271" t="s">
        <v>150</v>
      </c>
      <c r="AI195" s="271" t="s">
        <v>150</v>
      </c>
      <c r="AJ195" s="271" t="s">
        <v>150</v>
      </c>
      <c r="AK195" s="271" t="s">
        <v>150</v>
      </c>
      <c r="AL195" s="271" t="s">
        <v>150</v>
      </c>
      <c r="AM195" s="271" t="s">
        <v>150</v>
      </c>
      <c r="AN195" s="271" t="s">
        <v>150</v>
      </c>
      <c r="AO195" s="271" t="s">
        <v>150</v>
      </c>
      <c r="AP195" s="271" t="s">
        <v>150</v>
      </c>
      <c r="AQ195" s="271" t="s">
        <v>150</v>
      </c>
      <c r="AR195" s="271" t="s">
        <v>150</v>
      </c>
      <c r="AS195" s="271" t="s">
        <v>150</v>
      </c>
      <c r="AT195" s="550"/>
      <c r="AU195" s="551" t="s">
        <v>1023</v>
      </c>
      <c r="AV195" s="552"/>
    </row>
    <row r="196">
      <c r="A196" s="206"/>
      <c r="B196" s="206"/>
      <c r="C196" s="125"/>
      <c r="D196" s="125"/>
      <c r="E196" s="815" t="s">
        <v>167</v>
      </c>
      <c r="F196" s="278" t="s">
        <v>122</v>
      </c>
      <c r="G196" s="278" t="s">
        <v>203</v>
      </c>
      <c r="H196" s="554">
        <v>0.5419</v>
      </c>
      <c r="I196" s="276" t="s">
        <v>150</v>
      </c>
      <c r="J196" s="276" t="s">
        <v>150</v>
      </c>
      <c r="K196" s="276" t="s">
        <v>150</v>
      </c>
      <c r="L196" s="276" t="s">
        <v>150</v>
      </c>
      <c r="M196" s="276" t="s">
        <v>150</v>
      </c>
      <c r="N196" s="276" t="s">
        <v>150</v>
      </c>
      <c r="O196" s="276" t="s">
        <v>150</v>
      </c>
      <c r="P196" s="276" t="s">
        <v>150</v>
      </c>
      <c r="Q196" s="276" t="s">
        <v>150</v>
      </c>
      <c r="R196" s="276" t="s">
        <v>150</v>
      </c>
      <c r="S196" s="276" t="s">
        <v>150</v>
      </c>
      <c r="T196" s="276" t="s">
        <v>150</v>
      </c>
      <c r="U196" s="276" t="s">
        <v>150</v>
      </c>
      <c r="V196" s="276" t="s">
        <v>150</v>
      </c>
      <c r="W196" s="276" t="s">
        <v>150</v>
      </c>
      <c r="X196" s="276" t="s">
        <v>150</v>
      </c>
      <c r="Y196" s="276" t="s">
        <v>150</v>
      </c>
      <c r="Z196" s="276" t="s">
        <v>150</v>
      </c>
      <c r="AA196" s="276" t="s">
        <v>150</v>
      </c>
      <c r="AB196" s="276" t="s">
        <v>150</v>
      </c>
      <c r="AC196" s="276" t="s">
        <v>150</v>
      </c>
      <c r="AD196" s="276" t="s">
        <v>150</v>
      </c>
      <c r="AE196" s="276" t="s">
        <v>150</v>
      </c>
      <c r="AF196" s="276" t="s">
        <v>150</v>
      </c>
      <c r="AG196" s="276" t="s">
        <v>150</v>
      </c>
      <c r="AH196" s="276" t="s">
        <v>150</v>
      </c>
      <c r="AI196" s="276" t="s">
        <v>150</v>
      </c>
      <c r="AJ196" s="276" t="s">
        <v>150</v>
      </c>
      <c r="AK196" s="276" t="s">
        <v>150</v>
      </c>
      <c r="AL196" s="276" t="s">
        <v>150</v>
      </c>
      <c r="AM196" s="276" t="s">
        <v>150</v>
      </c>
      <c r="AN196" s="276" t="s">
        <v>150</v>
      </c>
      <c r="AO196" s="276" t="s">
        <v>150</v>
      </c>
      <c r="AP196" s="276" t="s">
        <v>150</v>
      </c>
      <c r="AQ196" s="276" t="s">
        <v>150</v>
      </c>
      <c r="AR196" s="276" t="s">
        <v>150</v>
      </c>
      <c r="AS196" s="276" t="s">
        <v>150</v>
      </c>
      <c r="AT196" s="555"/>
      <c r="AU196" s="551" t="s">
        <v>1023</v>
      </c>
      <c r="AV196" s="557"/>
    </row>
    <row r="197">
      <c r="A197" s="206"/>
      <c r="B197" s="206"/>
      <c r="C197" s="125"/>
      <c r="D197" s="125"/>
      <c r="E197" s="815" t="s">
        <v>173</v>
      </c>
      <c r="F197" s="278" t="s">
        <v>122</v>
      </c>
      <c r="G197" s="278" t="s">
        <v>203</v>
      </c>
      <c r="H197" s="554">
        <v>0.3961</v>
      </c>
      <c r="I197" s="276" t="s">
        <v>150</v>
      </c>
      <c r="J197" s="276" t="s">
        <v>150</v>
      </c>
      <c r="K197" s="276" t="s">
        <v>150</v>
      </c>
      <c r="L197" s="276" t="s">
        <v>150</v>
      </c>
      <c r="M197" s="276" t="s">
        <v>150</v>
      </c>
      <c r="N197" s="276" t="s">
        <v>150</v>
      </c>
      <c r="O197" s="276" t="s">
        <v>150</v>
      </c>
      <c r="P197" s="276" t="s">
        <v>150</v>
      </c>
      <c r="Q197" s="276" t="s">
        <v>150</v>
      </c>
      <c r="R197" s="276" t="s">
        <v>150</v>
      </c>
      <c r="S197" s="276" t="s">
        <v>150</v>
      </c>
      <c r="T197" s="276" t="s">
        <v>150</v>
      </c>
      <c r="U197" s="276" t="s">
        <v>150</v>
      </c>
      <c r="V197" s="276" t="s">
        <v>150</v>
      </c>
      <c r="W197" s="276" t="s">
        <v>150</v>
      </c>
      <c r="X197" s="276" t="s">
        <v>150</v>
      </c>
      <c r="Y197" s="276" t="s">
        <v>150</v>
      </c>
      <c r="Z197" s="276" t="s">
        <v>150</v>
      </c>
      <c r="AA197" s="276" t="s">
        <v>150</v>
      </c>
      <c r="AB197" s="276" t="s">
        <v>150</v>
      </c>
      <c r="AC197" s="276" t="s">
        <v>150</v>
      </c>
      <c r="AD197" s="276" t="s">
        <v>150</v>
      </c>
      <c r="AE197" s="276" t="s">
        <v>150</v>
      </c>
      <c r="AF197" s="276" t="s">
        <v>150</v>
      </c>
      <c r="AG197" s="276" t="s">
        <v>150</v>
      </c>
      <c r="AH197" s="276" t="s">
        <v>150</v>
      </c>
      <c r="AI197" s="276" t="s">
        <v>150</v>
      </c>
      <c r="AJ197" s="276" t="s">
        <v>150</v>
      </c>
      <c r="AK197" s="276" t="s">
        <v>150</v>
      </c>
      <c r="AL197" s="276" t="s">
        <v>150</v>
      </c>
      <c r="AM197" s="276" t="s">
        <v>150</v>
      </c>
      <c r="AN197" s="276" t="s">
        <v>150</v>
      </c>
      <c r="AO197" s="276" t="s">
        <v>150</v>
      </c>
      <c r="AP197" s="276" t="s">
        <v>150</v>
      </c>
      <c r="AQ197" s="276" t="s">
        <v>150</v>
      </c>
      <c r="AR197" s="276" t="s">
        <v>150</v>
      </c>
      <c r="AS197" s="276" t="s">
        <v>150</v>
      </c>
      <c r="AT197" s="555"/>
      <c r="AU197" s="551" t="s">
        <v>1023</v>
      </c>
      <c r="AV197" s="557"/>
    </row>
    <row r="198">
      <c r="A198" s="206"/>
      <c r="B198" s="206"/>
      <c r="C198" s="125"/>
      <c r="D198" s="125"/>
      <c r="E198" s="815" t="s">
        <v>176</v>
      </c>
      <c r="F198" s="278" t="s">
        <v>122</v>
      </c>
      <c r="G198" s="278" t="s">
        <v>203</v>
      </c>
      <c r="H198" s="554">
        <v>0.2978</v>
      </c>
      <c r="I198" s="276" t="s">
        <v>150</v>
      </c>
      <c r="J198" s="276" t="s">
        <v>150</v>
      </c>
      <c r="K198" s="276" t="s">
        <v>150</v>
      </c>
      <c r="L198" s="276" t="s">
        <v>150</v>
      </c>
      <c r="M198" s="276" t="s">
        <v>150</v>
      </c>
      <c r="N198" s="276" t="s">
        <v>150</v>
      </c>
      <c r="O198" s="276" t="s">
        <v>150</v>
      </c>
      <c r="P198" s="276" t="s">
        <v>150</v>
      </c>
      <c r="Q198" s="276" t="s">
        <v>150</v>
      </c>
      <c r="R198" s="276" t="s">
        <v>150</v>
      </c>
      <c r="S198" s="276" t="s">
        <v>150</v>
      </c>
      <c r="T198" s="276" t="s">
        <v>150</v>
      </c>
      <c r="U198" s="276" t="s">
        <v>150</v>
      </c>
      <c r="V198" s="276" t="s">
        <v>150</v>
      </c>
      <c r="W198" s="276" t="s">
        <v>150</v>
      </c>
      <c r="X198" s="276" t="s">
        <v>150</v>
      </c>
      <c r="Y198" s="276" t="s">
        <v>150</v>
      </c>
      <c r="Z198" s="276" t="s">
        <v>150</v>
      </c>
      <c r="AA198" s="276" t="s">
        <v>150</v>
      </c>
      <c r="AB198" s="276" t="s">
        <v>150</v>
      </c>
      <c r="AC198" s="276" t="s">
        <v>150</v>
      </c>
      <c r="AD198" s="276" t="s">
        <v>150</v>
      </c>
      <c r="AE198" s="276" t="s">
        <v>150</v>
      </c>
      <c r="AF198" s="276" t="s">
        <v>150</v>
      </c>
      <c r="AG198" s="276" t="s">
        <v>150</v>
      </c>
      <c r="AH198" s="276" t="s">
        <v>150</v>
      </c>
      <c r="AI198" s="276" t="s">
        <v>150</v>
      </c>
      <c r="AJ198" s="276" t="s">
        <v>150</v>
      </c>
      <c r="AK198" s="276" t="s">
        <v>150</v>
      </c>
      <c r="AL198" s="276" t="s">
        <v>150</v>
      </c>
      <c r="AM198" s="276" t="s">
        <v>150</v>
      </c>
      <c r="AN198" s="276" t="s">
        <v>150</v>
      </c>
      <c r="AO198" s="276" t="s">
        <v>150</v>
      </c>
      <c r="AP198" s="276" t="s">
        <v>150</v>
      </c>
      <c r="AQ198" s="276" t="s">
        <v>150</v>
      </c>
      <c r="AR198" s="276" t="s">
        <v>150</v>
      </c>
      <c r="AS198" s="276" t="s">
        <v>150</v>
      </c>
      <c r="AT198" s="555"/>
      <c r="AU198" s="551" t="s">
        <v>1023</v>
      </c>
      <c r="AV198" s="557"/>
    </row>
    <row r="199">
      <c r="A199" s="206"/>
      <c r="B199" s="206"/>
      <c r="C199" s="125"/>
      <c r="D199" s="125"/>
      <c r="E199" s="815" t="s">
        <v>183</v>
      </c>
      <c r="F199" s="278" t="s">
        <v>122</v>
      </c>
      <c r="G199" s="278" t="s">
        <v>203</v>
      </c>
      <c r="H199" s="554">
        <v>0.4954</v>
      </c>
      <c r="I199" s="276" t="s">
        <v>150</v>
      </c>
      <c r="J199" s="276" t="s">
        <v>150</v>
      </c>
      <c r="K199" s="276" t="s">
        <v>150</v>
      </c>
      <c r="L199" s="276" t="s">
        <v>150</v>
      </c>
      <c r="M199" s="276" t="s">
        <v>150</v>
      </c>
      <c r="N199" s="276" t="s">
        <v>150</v>
      </c>
      <c r="O199" s="276" t="s">
        <v>150</v>
      </c>
      <c r="P199" s="276" t="s">
        <v>150</v>
      </c>
      <c r="Q199" s="276" t="s">
        <v>150</v>
      </c>
      <c r="R199" s="276" t="s">
        <v>150</v>
      </c>
      <c r="S199" s="276" t="s">
        <v>150</v>
      </c>
      <c r="T199" s="276" t="s">
        <v>150</v>
      </c>
      <c r="U199" s="276" t="s">
        <v>150</v>
      </c>
      <c r="V199" s="276" t="s">
        <v>150</v>
      </c>
      <c r="W199" s="276" t="s">
        <v>150</v>
      </c>
      <c r="X199" s="276" t="s">
        <v>150</v>
      </c>
      <c r="Y199" s="276" t="s">
        <v>150</v>
      </c>
      <c r="Z199" s="276" t="s">
        <v>150</v>
      </c>
      <c r="AA199" s="276" t="s">
        <v>150</v>
      </c>
      <c r="AB199" s="276" t="s">
        <v>150</v>
      </c>
      <c r="AC199" s="276" t="s">
        <v>150</v>
      </c>
      <c r="AD199" s="276" t="s">
        <v>150</v>
      </c>
      <c r="AE199" s="276" t="s">
        <v>150</v>
      </c>
      <c r="AF199" s="276" t="s">
        <v>150</v>
      </c>
      <c r="AG199" s="276" t="s">
        <v>150</v>
      </c>
      <c r="AH199" s="276" t="s">
        <v>150</v>
      </c>
      <c r="AI199" s="276" t="s">
        <v>150</v>
      </c>
      <c r="AJ199" s="276" t="s">
        <v>150</v>
      </c>
      <c r="AK199" s="276" t="s">
        <v>150</v>
      </c>
      <c r="AL199" s="276" t="s">
        <v>150</v>
      </c>
      <c r="AM199" s="276" t="s">
        <v>150</v>
      </c>
      <c r="AN199" s="276" t="s">
        <v>150</v>
      </c>
      <c r="AO199" s="276" t="s">
        <v>150</v>
      </c>
      <c r="AP199" s="276" t="s">
        <v>150</v>
      </c>
      <c r="AQ199" s="276" t="s">
        <v>150</v>
      </c>
      <c r="AR199" s="276" t="s">
        <v>150</v>
      </c>
      <c r="AS199" s="276" t="s">
        <v>150</v>
      </c>
      <c r="AT199" s="555"/>
      <c r="AU199" s="551" t="s">
        <v>1023</v>
      </c>
      <c r="AV199" s="557"/>
    </row>
    <row r="200">
      <c r="A200" s="206"/>
      <c r="B200" s="206"/>
      <c r="C200" s="125"/>
      <c r="D200" s="125"/>
      <c r="E200" s="815" t="s">
        <v>187</v>
      </c>
      <c r="F200" s="278" t="s">
        <v>122</v>
      </c>
      <c r="G200" s="278" t="s">
        <v>203</v>
      </c>
      <c r="H200" s="554">
        <v>0.3554</v>
      </c>
      <c r="I200" s="276" t="s">
        <v>150</v>
      </c>
      <c r="J200" s="276" t="s">
        <v>150</v>
      </c>
      <c r="K200" s="276" t="s">
        <v>150</v>
      </c>
      <c r="L200" s="276" t="s">
        <v>150</v>
      </c>
      <c r="M200" s="276" t="s">
        <v>150</v>
      </c>
      <c r="N200" s="276" t="s">
        <v>150</v>
      </c>
      <c r="O200" s="276" t="s">
        <v>150</v>
      </c>
      <c r="P200" s="276" t="s">
        <v>150</v>
      </c>
      <c r="Q200" s="276" t="s">
        <v>150</v>
      </c>
      <c r="R200" s="276" t="s">
        <v>150</v>
      </c>
      <c r="S200" s="276" t="s">
        <v>150</v>
      </c>
      <c r="T200" s="276" t="s">
        <v>150</v>
      </c>
      <c r="U200" s="276" t="s">
        <v>150</v>
      </c>
      <c r="V200" s="276" t="s">
        <v>150</v>
      </c>
      <c r="W200" s="276" t="s">
        <v>150</v>
      </c>
      <c r="X200" s="276" t="s">
        <v>150</v>
      </c>
      <c r="Y200" s="276" t="s">
        <v>150</v>
      </c>
      <c r="Z200" s="276" t="s">
        <v>150</v>
      </c>
      <c r="AA200" s="276" t="s">
        <v>150</v>
      </c>
      <c r="AB200" s="276" t="s">
        <v>150</v>
      </c>
      <c r="AC200" s="276" t="s">
        <v>150</v>
      </c>
      <c r="AD200" s="276" t="s">
        <v>150</v>
      </c>
      <c r="AE200" s="276" t="s">
        <v>150</v>
      </c>
      <c r="AF200" s="276" t="s">
        <v>150</v>
      </c>
      <c r="AG200" s="276" t="s">
        <v>150</v>
      </c>
      <c r="AH200" s="276" t="s">
        <v>150</v>
      </c>
      <c r="AI200" s="276" t="s">
        <v>150</v>
      </c>
      <c r="AJ200" s="276" t="s">
        <v>150</v>
      </c>
      <c r="AK200" s="276" t="s">
        <v>150</v>
      </c>
      <c r="AL200" s="276" t="s">
        <v>150</v>
      </c>
      <c r="AM200" s="276" t="s">
        <v>150</v>
      </c>
      <c r="AN200" s="276" t="s">
        <v>150</v>
      </c>
      <c r="AO200" s="276" t="s">
        <v>150</v>
      </c>
      <c r="AP200" s="276" t="s">
        <v>150</v>
      </c>
      <c r="AQ200" s="276" t="s">
        <v>150</v>
      </c>
      <c r="AR200" s="276" t="s">
        <v>150</v>
      </c>
      <c r="AS200" s="276" t="s">
        <v>150</v>
      </c>
      <c r="AT200" s="555"/>
      <c r="AU200" s="551" t="s">
        <v>1023</v>
      </c>
      <c r="AV200" s="557"/>
    </row>
    <row r="201">
      <c r="A201" s="206"/>
      <c r="B201" s="206"/>
      <c r="C201" s="125"/>
      <c r="D201" s="125"/>
      <c r="E201" s="815" t="s">
        <v>192</v>
      </c>
      <c r="F201" s="278" t="s">
        <v>122</v>
      </c>
      <c r="G201" s="278" t="s">
        <v>203</v>
      </c>
      <c r="H201" s="554">
        <v>0.266</v>
      </c>
      <c r="I201" s="276" t="s">
        <v>150</v>
      </c>
      <c r="J201" s="276" t="s">
        <v>150</v>
      </c>
      <c r="K201" s="276" t="s">
        <v>150</v>
      </c>
      <c r="L201" s="276" t="s">
        <v>150</v>
      </c>
      <c r="M201" s="276" t="s">
        <v>150</v>
      </c>
      <c r="N201" s="276" t="s">
        <v>150</v>
      </c>
      <c r="O201" s="276" t="s">
        <v>150</v>
      </c>
      <c r="P201" s="276" t="s">
        <v>150</v>
      </c>
      <c r="Q201" s="276" t="s">
        <v>150</v>
      </c>
      <c r="R201" s="276" t="s">
        <v>150</v>
      </c>
      <c r="S201" s="276" t="s">
        <v>150</v>
      </c>
      <c r="T201" s="276" t="s">
        <v>150</v>
      </c>
      <c r="U201" s="276" t="s">
        <v>150</v>
      </c>
      <c r="V201" s="276" t="s">
        <v>150</v>
      </c>
      <c r="W201" s="276" t="s">
        <v>150</v>
      </c>
      <c r="X201" s="276" t="s">
        <v>150</v>
      </c>
      <c r="Y201" s="276" t="s">
        <v>150</v>
      </c>
      <c r="Z201" s="276" t="s">
        <v>150</v>
      </c>
      <c r="AA201" s="276" t="s">
        <v>150</v>
      </c>
      <c r="AB201" s="276" t="s">
        <v>150</v>
      </c>
      <c r="AC201" s="276" t="s">
        <v>150</v>
      </c>
      <c r="AD201" s="276" t="s">
        <v>150</v>
      </c>
      <c r="AE201" s="276" t="s">
        <v>150</v>
      </c>
      <c r="AF201" s="276" t="s">
        <v>150</v>
      </c>
      <c r="AG201" s="276" t="s">
        <v>150</v>
      </c>
      <c r="AH201" s="276" t="s">
        <v>150</v>
      </c>
      <c r="AI201" s="276" t="s">
        <v>150</v>
      </c>
      <c r="AJ201" s="276" t="s">
        <v>150</v>
      </c>
      <c r="AK201" s="276" t="s">
        <v>150</v>
      </c>
      <c r="AL201" s="276" t="s">
        <v>150</v>
      </c>
      <c r="AM201" s="276" t="s">
        <v>150</v>
      </c>
      <c r="AN201" s="276" t="s">
        <v>150</v>
      </c>
      <c r="AO201" s="276" t="s">
        <v>150</v>
      </c>
      <c r="AP201" s="276" t="s">
        <v>150</v>
      </c>
      <c r="AQ201" s="276" t="s">
        <v>150</v>
      </c>
      <c r="AR201" s="276" t="s">
        <v>150</v>
      </c>
      <c r="AS201" s="276" t="s">
        <v>150</v>
      </c>
      <c r="AT201" s="555"/>
      <c r="AU201" s="551" t="s">
        <v>1023</v>
      </c>
      <c r="AV201" s="557"/>
    </row>
    <row r="202">
      <c r="A202" s="206"/>
      <c r="B202" s="206"/>
      <c r="C202" s="125"/>
      <c r="D202" s="125"/>
      <c r="E202" s="816" t="s">
        <v>196</v>
      </c>
      <c r="F202" s="283" t="s">
        <v>122</v>
      </c>
      <c r="G202" s="283" t="s">
        <v>203</v>
      </c>
      <c r="H202" s="559">
        <v>0.5894</v>
      </c>
      <c r="I202" s="291" t="s">
        <v>150</v>
      </c>
      <c r="J202" s="291" t="s">
        <v>150</v>
      </c>
      <c r="K202" s="291" t="s">
        <v>150</v>
      </c>
      <c r="L202" s="291" t="s">
        <v>150</v>
      </c>
      <c r="M202" s="291" t="s">
        <v>150</v>
      </c>
      <c r="N202" s="291" t="s">
        <v>150</v>
      </c>
      <c r="O202" s="291" t="s">
        <v>150</v>
      </c>
      <c r="P202" s="291" t="s">
        <v>150</v>
      </c>
      <c r="Q202" s="291" t="s">
        <v>150</v>
      </c>
      <c r="R202" s="291" t="s">
        <v>150</v>
      </c>
      <c r="S202" s="291" t="s">
        <v>150</v>
      </c>
      <c r="T202" s="291" t="s">
        <v>150</v>
      </c>
      <c r="U202" s="291" t="s">
        <v>150</v>
      </c>
      <c r="V202" s="291" t="s">
        <v>150</v>
      </c>
      <c r="W202" s="291" t="s">
        <v>150</v>
      </c>
      <c r="X202" s="291" t="s">
        <v>150</v>
      </c>
      <c r="Y202" s="291" t="s">
        <v>150</v>
      </c>
      <c r="Z202" s="291" t="s">
        <v>150</v>
      </c>
      <c r="AA202" s="291" t="s">
        <v>150</v>
      </c>
      <c r="AB202" s="291" t="s">
        <v>150</v>
      </c>
      <c r="AC202" s="291" t="s">
        <v>150</v>
      </c>
      <c r="AD202" s="291" t="s">
        <v>150</v>
      </c>
      <c r="AE202" s="291" t="s">
        <v>150</v>
      </c>
      <c r="AF202" s="291" t="s">
        <v>150</v>
      </c>
      <c r="AG202" s="291" t="s">
        <v>150</v>
      </c>
      <c r="AH202" s="291" t="s">
        <v>150</v>
      </c>
      <c r="AI202" s="291" t="s">
        <v>150</v>
      </c>
      <c r="AJ202" s="291" t="s">
        <v>150</v>
      </c>
      <c r="AK202" s="291" t="s">
        <v>150</v>
      </c>
      <c r="AL202" s="291" t="s">
        <v>150</v>
      </c>
      <c r="AM202" s="291" t="s">
        <v>150</v>
      </c>
      <c r="AN202" s="291" t="s">
        <v>150</v>
      </c>
      <c r="AO202" s="291" t="s">
        <v>150</v>
      </c>
      <c r="AP202" s="291" t="s">
        <v>150</v>
      </c>
      <c r="AQ202" s="291" t="s">
        <v>150</v>
      </c>
      <c r="AR202" s="291" t="s">
        <v>150</v>
      </c>
      <c r="AS202" s="291" t="s">
        <v>150</v>
      </c>
      <c r="AT202" s="560"/>
      <c r="AU202" s="601" t="s">
        <v>1023</v>
      </c>
      <c r="AV202" s="561"/>
    </row>
    <row r="203">
      <c r="A203" s="206"/>
      <c r="B203" s="206"/>
      <c r="C203" s="125"/>
      <c r="D203" s="125"/>
      <c r="E203" s="125"/>
      <c r="F203" s="201"/>
      <c r="G203" s="201"/>
      <c r="H203" s="542"/>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35"/>
      <c r="AH203" s="135"/>
      <c r="AI203" s="135"/>
      <c r="AJ203" s="135"/>
      <c r="AK203" s="135"/>
      <c r="AL203" s="135"/>
      <c r="AM203" s="135"/>
      <c r="AN203" s="135"/>
      <c r="AO203" s="135"/>
      <c r="AP203" s="135"/>
      <c r="AQ203" s="135"/>
      <c r="AR203" s="135"/>
      <c r="AS203" s="135"/>
      <c r="AT203" s="543"/>
      <c r="AU203" s="544"/>
      <c r="AV203" s="545"/>
    </row>
    <row r="204">
      <c r="A204" s="756"/>
      <c r="B204" s="756"/>
      <c r="C204" s="125" t="s">
        <v>206</v>
      </c>
      <c r="F204" s="817"/>
      <c r="G204" s="817"/>
      <c r="H204" s="818"/>
      <c r="I204" s="819"/>
      <c r="J204" s="819"/>
      <c r="K204" s="819"/>
      <c r="L204" s="819"/>
      <c r="M204" s="819"/>
      <c r="N204" s="819"/>
      <c r="O204" s="819"/>
      <c r="P204" s="819"/>
      <c r="Q204" s="819"/>
      <c r="R204" s="819"/>
      <c r="S204" s="819"/>
      <c r="T204" s="819"/>
      <c r="U204" s="819"/>
      <c r="V204" s="819"/>
      <c r="W204" s="819"/>
      <c r="X204" s="819"/>
      <c r="Y204" s="819"/>
      <c r="Z204" s="819"/>
      <c r="AA204" s="819"/>
      <c r="AB204" s="819"/>
      <c r="AC204" s="819"/>
      <c r="AD204" s="819"/>
      <c r="AE204" s="819"/>
      <c r="AF204" s="819"/>
      <c r="AG204" s="819"/>
      <c r="AH204" s="819"/>
      <c r="AI204" s="819"/>
      <c r="AJ204" s="819"/>
      <c r="AK204" s="819"/>
      <c r="AL204" s="819"/>
      <c r="AM204" s="819"/>
      <c r="AN204" s="819"/>
      <c r="AO204" s="819"/>
      <c r="AP204" s="819"/>
      <c r="AQ204" s="819"/>
      <c r="AR204" s="819"/>
      <c r="AS204" s="819"/>
      <c r="AT204" s="820"/>
      <c r="AU204" s="821"/>
      <c r="AV204" s="822"/>
    </row>
    <row r="205">
      <c r="A205" s="756"/>
      <c r="B205" s="756"/>
      <c r="C205" s="823"/>
      <c r="D205" s="823"/>
      <c r="E205" s="824" t="s">
        <v>207</v>
      </c>
      <c r="F205" s="825" t="s">
        <v>122</v>
      </c>
      <c r="G205" s="825" t="s">
        <v>203</v>
      </c>
      <c r="H205" s="826">
        <v>-0.2768959</v>
      </c>
      <c r="I205" s="828" t="s">
        <v>150</v>
      </c>
      <c r="J205" s="828" t="s">
        <v>150</v>
      </c>
      <c r="K205" s="828" t="s">
        <v>150</v>
      </c>
      <c r="L205" s="828" t="s">
        <v>150</v>
      </c>
      <c r="M205" s="828" t="s">
        <v>150</v>
      </c>
      <c r="N205" s="828" t="s">
        <v>150</v>
      </c>
      <c r="O205" s="828" t="s">
        <v>150</v>
      </c>
      <c r="P205" s="828" t="s">
        <v>150</v>
      </c>
      <c r="Q205" s="828" t="s">
        <v>150</v>
      </c>
      <c r="R205" s="828" t="s">
        <v>150</v>
      </c>
      <c r="S205" s="828" t="s">
        <v>150</v>
      </c>
      <c r="T205" s="828" t="s">
        <v>150</v>
      </c>
      <c r="U205" s="828" t="s">
        <v>150</v>
      </c>
      <c r="V205" s="828" t="s">
        <v>150</v>
      </c>
      <c r="W205" s="828" t="s">
        <v>150</v>
      </c>
      <c r="X205" s="828" t="s">
        <v>150</v>
      </c>
      <c r="Y205" s="828" t="s">
        <v>150</v>
      </c>
      <c r="Z205" s="828" t="s">
        <v>150</v>
      </c>
      <c r="AA205" s="828" t="s">
        <v>150</v>
      </c>
      <c r="AB205" s="828" t="s">
        <v>150</v>
      </c>
      <c r="AC205" s="828" t="s">
        <v>150</v>
      </c>
      <c r="AD205" s="828" t="s">
        <v>150</v>
      </c>
      <c r="AE205" s="828" t="s">
        <v>150</v>
      </c>
      <c r="AF205" s="828" t="s">
        <v>150</v>
      </c>
      <c r="AG205" s="828" t="s">
        <v>150</v>
      </c>
      <c r="AH205" s="828" t="s">
        <v>150</v>
      </c>
      <c r="AI205" s="828" t="s">
        <v>150</v>
      </c>
      <c r="AJ205" s="828" t="s">
        <v>150</v>
      </c>
      <c r="AK205" s="828" t="s">
        <v>150</v>
      </c>
      <c r="AL205" s="828" t="s">
        <v>150</v>
      </c>
      <c r="AM205" s="828" t="s">
        <v>150</v>
      </c>
      <c r="AN205" s="828" t="s">
        <v>150</v>
      </c>
      <c r="AO205" s="828" t="s">
        <v>150</v>
      </c>
      <c r="AP205" s="828" t="s">
        <v>150</v>
      </c>
      <c r="AQ205" s="828" t="s">
        <v>150</v>
      </c>
      <c r="AR205" s="828" t="s">
        <v>150</v>
      </c>
      <c r="AS205" s="828" t="s">
        <v>150</v>
      </c>
      <c r="AT205" s="829"/>
      <c r="AU205" s="830" t="s">
        <v>795</v>
      </c>
      <c r="AV205" s="534" t="s">
        <v>152</v>
      </c>
    </row>
    <row r="206">
      <c r="A206" s="756"/>
      <c r="B206" s="756"/>
      <c r="C206" s="823"/>
      <c r="D206" s="823"/>
      <c r="E206" s="823"/>
      <c r="F206" s="817"/>
      <c r="G206" s="817"/>
      <c r="H206" s="818"/>
      <c r="I206" s="819"/>
      <c r="J206" s="819"/>
      <c r="K206" s="819"/>
      <c r="L206" s="819"/>
      <c r="M206" s="819"/>
      <c r="N206" s="819"/>
      <c r="O206" s="819"/>
      <c r="P206" s="819"/>
      <c r="Q206" s="819"/>
      <c r="R206" s="819"/>
      <c r="S206" s="819"/>
      <c r="T206" s="819"/>
      <c r="U206" s="819"/>
      <c r="V206" s="819"/>
      <c r="W206" s="819"/>
      <c r="X206" s="819"/>
      <c r="Y206" s="819"/>
      <c r="Z206" s="819"/>
      <c r="AA206" s="819"/>
      <c r="AB206" s="819"/>
      <c r="AC206" s="819"/>
      <c r="AD206" s="819"/>
      <c r="AE206" s="819"/>
      <c r="AF206" s="819"/>
      <c r="AG206" s="819"/>
      <c r="AH206" s="819"/>
      <c r="AI206" s="819"/>
      <c r="AJ206" s="819"/>
      <c r="AK206" s="819"/>
      <c r="AL206" s="819"/>
      <c r="AM206" s="819"/>
      <c r="AN206" s="819"/>
      <c r="AO206" s="819"/>
      <c r="AP206" s="819"/>
      <c r="AQ206" s="819"/>
      <c r="AR206" s="819"/>
      <c r="AS206" s="819"/>
      <c r="AT206" s="820"/>
      <c r="AU206" s="821"/>
      <c r="AV206" s="822"/>
    </row>
    <row r="207">
      <c r="A207" s="206"/>
      <c r="B207" s="206"/>
      <c r="C207" s="125" t="s">
        <v>303</v>
      </c>
      <c r="F207" s="201"/>
      <c r="G207" s="201"/>
      <c r="H207" s="542"/>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c r="AG207" s="135"/>
      <c r="AH207" s="135"/>
      <c r="AI207" s="135"/>
      <c r="AJ207" s="135"/>
      <c r="AK207" s="135"/>
      <c r="AL207" s="135"/>
      <c r="AM207" s="135"/>
      <c r="AN207" s="135"/>
      <c r="AO207" s="135"/>
      <c r="AP207" s="135"/>
      <c r="AQ207" s="135"/>
      <c r="AR207" s="135"/>
      <c r="AS207" s="135"/>
      <c r="AT207" s="543"/>
      <c r="AU207" s="544"/>
      <c r="AV207" s="545"/>
    </row>
    <row r="208">
      <c r="A208" s="540"/>
      <c r="B208" s="206"/>
      <c r="C208" s="206"/>
      <c r="D208" s="206"/>
      <c r="E208" s="548" t="s">
        <v>306</v>
      </c>
      <c r="F208" s="207" t="s">
        <v>122</v>
      </c>
      <c r="G208" s="208" t="s">
        <v>203</v>
      </c>
      <c r="H208" s="549">
        <v>0.1642</v>
      </c>
      <c r="I208" s="271" t="s">
        <v>150</v>
      </c>
      <c r="J208" s="271" t="s">
        <v>150</v>
      </c>
      <c r="K208" s="271" t="s">
        <v>150</v>
      </c>
      <c r="L208" s="271" t="s">
        <v>150</v>
      </c>
      <c r="M208" s="271" t="s">
        <v>150</v>
      </c>
      <c r="N208" s="271" t="s">
        <v>150</v>
      </c>
      <c r="O208" s="271" t="s">
        <v>150</v>
      </c>
      <c r="P208" s="271" t="s">
        <v>150</v>
      </c>
      <c r="Q208" s="271" t="s">
        <v>150</v>
      </c>
      <c r="R208" s="271" t="s">
        <v>150</v>
      </c>
      <c r="S208" s="271" t="s">
        <v>150</v>
      </c>
      <c r="T208" s="271" t="s">
        <v>150</v>
      </c>
      <c r="U208" s="271" t="s">
        <v>150</v>
      </c>
      <c r="V208" s="271" t="s">
        <v>150</v>
      </c>
      <c r="W208" s="271" t="s">
        <v>150</v>
      </c>
      <c r="X208" s="271" t="s">
        <v>150</v>
      </c>
      <c r="Y208" s="271" t="s">
        <v>150</v>
      </c>
      <c r="Z208" s="271" t="s">
        <v>150</v>
      </c>
      <c r="AA208" s="271" t="s">
        <v>150</v>
      </c>
      <c r="AB208" s="271" t="s">
        <v>150</v>
      </c>
      <c r="AC208" s="271" t="s">
        <v>150</v>
      </c>
      <c r="AD208" s="271" t="s">
        <v>150</v>
      </c>
      <c r="AE208" s="271" t="s">
        <v>150</v>
      </c>
      <c r="AF208" s="271" t="s">
        <v>150</v>
      </c>
      <c r="AG208" s="271" t="s">
        <v>150</v>
      </c>
      <c r="AH208" s="271" t="s">
        <v>150</v>
      </c>
      <c r="AI208" s="271" t="s">
        <v>150</v>
      </c>
      <c r="AJ208" s="271" t="s">
        <v>150</v>
      </c>
      <c r="AK208" s="271" t="s">
        <v>150</v>
      </c>
      <c r="AL208" s="271" t="s">
        <v>150</v>
      </c>
      <c r="AM208" s="271" t="s">
        <v>150</v>
      </c>
      <c r="AN208" s="271" t="s">
        <v>150</v>
      </c>
      <c r="AO208" s="271" t="s">
        <v>150</v>
      </c>
      <c r="AP208" s="271" t="s">
        <v>150</v>
      </c>
      <c r="AQ208" s="271" t="s">
        <v>150</v>
      </c>
      <c r="AR208" s="271" t="s">
        <v>150</v>
      </c>
      <c r="AS208" s="271" t="s">
        <v>150</v>
      </c>
      <c r="AT208" s="550"/>
      <c r="AU208" s="551" t="s">
        <v>1024</v>
      </c>
      <c r="AV208" s="552"/>
    </row>
    <row r="209">
      <c r="A209" s="540"/>
      <c r="B209" s="206"/>
      <c r="C209" s="206"/>
      <c r="D209" s="206"/>
      <c r="E209" s="548" t="s">
        <v>310</v>
      </c>
      <c r="F209" s="207" t="s">
        <v>122</v>
      </c>
      <c r="G209" s="208" t="s">
        <v>203</v>
      </c>
      <c r="H209" s="549">
        <v>0.2093</v>
      </c>
      <c r="I209" s="271" t="s">
        <v>150</v>
      </c>
      <c r="J209" s="271" t="s">
        <v>150</v>
      </c>
      <c r="K209" s="271" t="s">
        <v>150</v>
      </c>
      <c r="L209" s="271" t="s">
        <v>150</v>
      </c>
      <c r="M209" s="271" t="s">
        <v>150</v>
      </c>
      <c r="N209" s="271" t="s">
        <v>150</v>
      </c>
      <c r="O209" s="271" t="s">
        <v>150</v>
      </c>
      <c r="P209" s="271" t="s">
        <v>150</v>
      </c>
      <c r="Q209" s="271" t="s">
        <v>150</v>
      </c>
      <c r="R209" s="271" t="s">
        <v>150</v>
      </c>
      <c r="S209" s="271" t="s">
        <v>150</v>
      </c>
      <c r="T209" s="271" t="s">
        <v>150</v>
      </c>
      <c r="U209" s="271" t="s">
        <v>150</v>
      </c>
      <c r="V209" s="271" t="s">
        <v>150</v>
      </c>
      <c r="W209" s="271" t="s">
        <v>150</v>
      </c>
      <c r="X209" s="271" t="s">
        <v>150</v>
      </c>
      <c r="Y209" s="271" t="s">
        <v>150</v>
      </c>
      <c r="Z209" s="271" t="s">
        <v>150</v>
      </c>
      <c r="AA209" s="271" t="s">
        <v>150</v>
      </c>
      <c r="AB209" s="271" t="s">
        <v>150</v>
      </c>
      <c r="AC209" s="271" t="s">
        <v>150</v>
      </c>
      <c r="AD209" s="271" t="s">
        <v>150</v>
      </c>
      <c r="AE209" s="271" t="s">
        <v>150</v>
      </c>
      <c r="AF209" s="271" t="s">
        <v>150</v>
      </c>
      <c r="AG209" s="271" t="s">
        <v>150</v>
      </c>
      <c r="AH209" s="271" t="s">
        <v>150</v>
      </c>
      <c r="AI209" s="271" t="s">
        <v>150</v>
      </c>
      <c r="AJ209" s="271" t="s">
        <v>150</v>
      </c>
      <c r="AK209" s="271" t="s">
        <v>150</v>
      </c>
      <c r="AL209" s="271" t="s">
        <v>150</v>
      </c>
      <c r="AM209" s="271" t="s">
        <v>150</v>
      </c>
      <c r="AN209" s="271" t="s">
        <v>150</v>
      </c>
      <c r="AO209" s="271" t="s">
        <v>150</v>
      </c>
      <c r="AP209" s="271" t="s">
        <v>150</v>
      </c>
      <c r="AQ209" s="271" t="s">
        <v>150</v>
      </c>
      <c r="AR209" s="271" t="s">
        <v>150</v>
      </c>
      <c r="AS209" s="271" t="s">
        <v>150</v>
      </c>
      <c r="AT209" s="550"/>
      <c r="AU209" s="551" t="s">
        <v>1024</v>
      </c>
      <c r="AV209" s="552"/>
    </row>
    <row r="210">
      <c r="A210" s="540"/>
      <c r="B210" s="206"/>
      <c r="C210" s="206"/>
      <c r="D210" s="206"/>
      <c r="E210" s="553" t="s">
        <v>314</v>
      </c>
      <c r="F210" s="278" t="s">
        <v>122</v>
      </c>
      <c r="G210" s="279" t="s">
        <v>203</v>
      </c>
      <c r="H210" s="554">
        <v>0.2659</v>
      </c>
      <c r="I210" s="276" t="s">
        <v>150</v>
      </c>
      <c r="J210" s="276" t="s">
        <v>150</v>
      </c>
      <c r="K210" s="276" t="s">
        <v>150</v>
      </c>
      <c r="L210" s="276" t="s">
        <v>150</v>
      </c>
      <c r="M210" s="276" t="s">
        <v>150</v>
      </c>
      <c r="N210" s="276" t="s">
        <v>150</v>
      </c>
      <c r="O210" s="276" t="s">
        <v>150</v>
      </c>
      <c r="P210" s="276" t="s">
        <v>150</v>
      </c>
      <c r="Q210" s="276" t="s">
        <v>150</v>
      </c>
      <c r="R210" s="276" t="s">
        <v>150</v>
      </c>
      <c r="S210" s="276" t="s">
        <v>150</v>
      </c>
      <c r="T210" s="276" t="s">
        <v>150</v>
      </c>
      <c r="U210" s="276" t="s">
        <v>150</v>
      </c>
      <c r="V210" s="276" t="s">
        <v>150</v>
      </c>
      <c r="W210" s="276" t="s">
        <v>150</v>
      </c>
      <c r="X210" s="276" t="s">
        <v>150</v>
      </c>
      <c r="Y210" s="276" t="s">
        <v>150</v>
      </c>
      <c r="Z210" s="276" t="s">
        <v>150</v>
      </c>
      <c r="AA210" s="276" t="s">
        <v>150</v>
      </c>
      <c r="AB210" s="276" t="s">
        <v>150</v>
      </c>
      <c r="AC210" s="276" t="s">
        <v>150</v>
      </c>
      <c r="AD210" s="276" t="s">
        <v>150</v>
      </c>
      <c r="AE210" s="276" t="s">
        <v>150</v>
      </c>
      <c r="AF210" s="276" t="s">
        <v>150</v>
      </c>
      <c r="AG210" s="276" t="s">
        <v>150</v>
      </c>
      <c r="AH210" s="276" t="s">
        <v>150</v>
      </c>
      <c r="AI210" s="276" t="s">
        <v>150</v>
      </c>
      <c r="AJ210" s="276" t="s">
        <v>150</v>
      </c>
      <c r="AK210" s="276" t="s">
        <v>150</v>
      </c>
      <c r="AL210" s="276" t="s">
        <v>150</v>
      </c>
      <c r="AM210" s="276" t="s">
        <v>150</v>
      </c>
      <c r="AN210" s="276" t="s">
        <v>150</v>
      </c>
      <c r="AO210" s="276" t="s">
        <v>150</v>
      </c>
      <c r="AP210" s="276" t="s">
        <v>150</v>
      </c>
      <c r="AQ210" s="276" t="s">
        <v>150</v>
      </c>
      <c r="AR210" s="276" t="s">
        <v>150</v>
      </c>
      <c r="AS210" s="276" t="s">
        <v>150</v>
      </c>
      <c r="AT210" s="555"/>
      <c r="AU210" s="551" t="s">
        <v>1024</v>
      </c>
      <c r="AV210" s="557"/>
    </row>
    <row r="211">
      <c r="A211" s="540"/>
      <c r="B211" s="206"/>
      <c r="C211" s="206"/>
      <c r="D211" s="206"/>
      <c r="E211" s="553" t="s">
        <v>320</v>
      </c>
      <c r="F211" s="278" t="s">
        <v>122</v>
      </c>
      <c r="G211" s="279" t="s">
        <v>203</v>
      </c>
      <c r="H211" s="554">
        <v>0.275</v>
      </c>
      <c r="I211" s="276" t="s">
        <v>150</v>
      </c>
      <c r="J211" s="276" t="s">
        <v>150</v>
      </c>
      <c r="K211" s="276" t="s">
        <v>150</v>
      </c>
      <c r="L211" s="276" t="s">
        <v>150</v>
      </c>
      <c r="M211" s="276" t="s">
        <v>150</v>
      </c>
      <c r="N211" s="276" t="s">
        <v>150</v>
      </c>
      <c r="O211" s="276" t="s">
        <v>150</v>
      </c>
      <c r="P211" s="276" t="s">
        <v>150</v>
      </c>
      <c r="Q211" s="276" t="s">
        <v>150</v>
      </c>
      <c r="R211" s="276" t="s">
        <v>150</v>
      </c>
      <c r="S211" s="276" t="s">
        <v>150</v>
      </c>
      <c r="T211" s="276" t="s">
        <v>150</v>
      </c>
      <c r="U211" s="276" t="s">
        <v>150</v>
      </c>
      <c r="V211" s="276" t="s">
        <v>150</v>
      </c>
      <c r="W211" s="276" t="s">
        <v>150</v>
      </c>
      <c r="X211" s="276" t="s">
        <v>150</v>
      </c>
      <c r="Y211" s="276" t="s">
        <v>150</v>
      </c>
      <c r="Z211" s="276" t="s">
        <v>150</v>
      </c>
      <c r="AA211" s="276" t="s">
        <v>150</v>
      </c>
      <c r="AB211" s="276" t="s">
        <v>150</v>
      </c>
      <c r="AC211" s="276" t="s">
        <v>150</v>
      </c>
      <c r="AD211" s="276" t="s">
        <v>150</v>
      </c>
      <c r="AE211" s="276" t="s">
        <v>150</v>
      </c>
      <c r="AF211" s="276" t="s">
        <v>150</v>
      </c>
      <c r="AG211" s="276" t="s">
        <v>150</v>
      </c>
      <c r="AH211" s="276" t="s">
        <v>150</v>
      </c>
      <c r="AI211" s="276" t="s">
        <v>150</v>
      </c>
      <c r="AJ211" s="276" t="s">
        <v>150</v>
      </c>
      <c r="AK211" s="276" t="s">
        <v>150</v>
      </c>
      <c r="AL211" s="276" t="s">
        <v>150</v>
      </c>
      <c r="AM211" s="276" t="s">
        <v>150</v>
      </c>
      <c r="AN211" s="276" t="s">
        <v>150</v>
      </c>
      <c r="AO211" s="276" t="s">
        <v>150</v>
      </c>
      <c r="AP211" s="276" t="s">
        <v>150</v>
      </c>
      <c r="AQ211" s="276" t="s">
        <v>150</v>
      </c>
      <c r="AR211" s="276" t="s">
        <v>150</v>
      </c>
      <c r="AS211" s="276" t="s">
        <v>150</v>
      </c>
      <c r="AT211" s="555"/>
      <c r="AU211" s="551" t="s">
        <v>1024</v>
      </c>
      <c r="AV211" s="557"/>
    </row>
    <row r="212">
      <c r="A212" s="540"/>
      <c r="B212" s="206"/>
      <c r="C212" s="206"/>
      <c r="D212" s="206"/>
      <c r="E212" s="553" t="s">
        <v>323</v>
      </c>
      <c r="F212" s="278" t="s">
        <v>122</v>
      </c>
      <c r="G212" s="279" t="s">
        <v>203</v>
      </c>
      <c r="H212" s="554">
        <v>0.2227</v>
      </c>
      <c r="I212" s="276" t="s">
        <v>150</v>
      </c>
      <c r="J212" s="276" t="s">
        <v>150</v>
      </c>
      <c r="K212" s="276" t="s">
        <v>150</v>
      </c>
      <c r="L212" s="276" t="s">
        <v>150</v>
      </c>
      <c r="M212" s="276" t="s">
        <v>150</v>
      </c>
      <c r="N212" s="276" t="s">
        <v>150</v>
      </c>
      <c r="O212" s="276" t="s">
        <v>150</v>
      </c>
      <c r="P212" s="276" t="s">
        <v>150</v>
      </c>
      <c r="Q212" s="276" t="s">
        <v>150</v>
      </c>
      <c r="R212" s="276" t="s">
        <v>150</v>
      </c>
      <c r="S212" s="276" t="s">
        <v>150</v>
      </c>
      <c r="T212" s="276" t="s">
        <v>150</v>
      </c>
      <c r="U212" s="276" t="s">
        <v>150</v>
      </c>
      <c r="V212" s="276" t="s">
        <v>150</v>
      </c>
      <c r="W212" s="276" t="s">
        <v>150</v>
      </c>
      <c r="X212" s="276" t="s">
        <v>150</v>
      </c>
      <c r="Y212" s="276" t="s">
        <v>150</v>
      </c>
      <c r="Z212" s="276" t="s">
        <v>150</v>
      </c>
      <c r="AA212" s="276" t="s">
        <v>150</v>
      </c>
      <c r="AB212" s="276" t="s">
        <v>150</v>
      </c>
      <c r="AC212" s="276" t="s">
        <v>150</v>
      </c>
      <c r="AD212" s="276" t="s">
        <v>150</v>
      </c>
      <c r="AE212" s="276" t="s">
        <v>150</v>
      </c>
      <c r="AF212" s="276" t="s">
        <v>150</v>
      </c>
      <c r="AG212" s="276" t="s">
        <v>150</v>
      </c>
      <c r="AH212" s="276" t="s">
        <v>150</v>
      </c>
      <c r="AI212" s="276" t="s">
        <v>150</v>
      </c>
      <c r="AJ212" s="276" t="s">
        <v>150</v>
      </c>
      <c r="AK212" s="276" t="s">
        <v>150</v>
      </c>
      <c r="AL212" s="276" t="s">
        <v>150</v>
      </c>
      <c r="AM212" s="276" t="s">
        <v>150</v>
      </c>
      <c r="AN212" s="276" t="s">
        <v>150</v>
      </c>
      <c r="AO212" s="276" t="s">
        <v>150</v>
      </c>
      <c r="AP212" s="276" t="s">
        <v>150</v>
      </c>
      <c r="AQ212" s="276" t="s">
        <v>150</v>
      </c>
      <c r="AR212" s="276" t="s">
        <v>150</v>
      </c>
      <c r="AS212" s="276" t="s">
        <v>150</v>
      </c>
      <c r="AT212" s="555"/>
      <c r="AU212" s="551" t="s">
        <v>1024</v>
      </c>
      <c r="AV212" s="557"/>
    </row>
    <row r="213">
      <c r="A213" s="540"/>
      <c r="B213" s="206"/>
      <c r="C213" s="206"/>
      <c r="D213" s="206"/>
      <c r="E213" s="553" t="s">
        <v>325</v>
      </c>
      <c r="F213" s="278" t="s">
        <v>122</v>
      </c>
      <c r="G213" s="279" t="s">
        <v>203</v>
      </c>
      <c r="H213" s="554">
        <v>0.2726</v>
      </c>
      <c r="I213" s="276" t="s">
        <v>150</v>
      </c>
      <c r="J213" s="276" t="s">
        <v>150</v>
      </c>
      <c r="K213" s="276" t="s">
        <v>150</v>
      </c>
      <c r="L213" s="276" t="s">
        <v>150</v>
      </c>
      <c r="M213" s="276" t="s">
        <v>150</v>
      </c>
      <c r="N213" s="276" t="s">
        <v>150</v>
      </c>
      <c r="O213" s="276" t="s">
        <v>150</v>
      </c>
      <c r="P213" s="276" t="s">
        <v>150</v>
      </c>
      <c r="Q213" s="276" t="s">
        <v>150</v>
      </c>
      <c r="R213" s="276" t="s">
        <v>150</v>
      </c>
      <c r="S213" s="276" t="s">
        <v>150</v>
      </c>
      <c r="T213" s="276" t="s">
        <v>150</v>
      </c>
      <c r="U213" s="276" t="s">
        <v>150</v>
      </c>
      <c r="V213" s="276" t="s">
        <v>150</v>
      </c>
      <c r="W213" s="276" t="s">
        <v>150</v>
      </c>
      <c r="X213" s="276" t="s">
        <v>150</v>
      </c>
      <c r="Y213" s="276" t="s">
        <v>150</v>
      </c>
      <c r="Z213" s="276" t="s">
        <v>150</v>
      </c>
      <c r="AA213" s="276" t="s">
        <v>150</v>
      </c>
      <c r="AB213" s="276" t="s">
        <v>150</v>
      </c>
      <c r="AC213" s="276" t="s">
        <v>150</v>
      </c>
      <c r="AD213" s="276" t="s">
        <v>150</v>
      </c>
      <c r="AE213" s="276" t="s">
        <v>150</v>
      </c>
      <c r="AF213" s="276" t="s">
        <v>150</v>
      </c>
      <c r="AG213" s="276" t="s">
        <v>150</v>
      </c>
      <c r="AH213" s="276" t="s">
        <v>150</v>
      </c>
      <c r="AI213" s="276" t="s">
        <v>150</v>
      </c>
      <c r="AJ213" s="276" t="s">
        <v>150</v>
      </c>
      <c r="AK213" s="276" t="s">
        <v>150</v>
      </c>
      <c r="AL213" s="276" t="s">
        <v>150</v>
      </c>
      <c r="AM213" s="276" t="s">
        <v>150</v>
      </c>
      <c r="AN213" s="276" t="s">
        <v>150</v>
      </c>
      <c r="AO213" s="276" t="s">
        <v>150</v>
      </c>
      <c r="AP213" s="276" t="s">
        <v>150</v>
      </c>
      <c r="AQ213" s="276" t="s">
        <v>150</v>
      </c>
      <c r="AR213" s="276" t="s">
        <v>150</v>
      </c>
      <c r="AS213" s="276" t="s">
        <v>150</v>
      </c>
      <c r="AT213" s="555"/>
      <c r="AU213" s="551" t="s">
        <v>1024</v>
      </c>
      <c r="AV213" s="557"/>
    </row>
    <row r="214">
      <c r="A214" s="540"/>
      <c r="B214" s="206"/>
      <c r="C214" s="206"/>
      <c r="D214" s="206"/>
      <c r="E214" s="553" t="s">
        <v>329</v>
      </c>
      <c r="F214" s="278" t="s">
        <v>122</v>
      </c>
      <c r="G214" s="279" t="s">
        <v>203</v>
      </c>
      <c r="H214" s="554">
        <v>0.2471</v>
      </c>
      <c r="I214" s="276" t="s">
        <v>150</v>
      </c>
      <c r="J214" s="276" t="s">
        <v>150</v>
      </c>
      <c r="K214" s="276" t="s">
        <v>150</v>
      </c>
      <c r="L214" s="276" t="s">
        <v>150</v>
      </c>
      <c r="M214" s="276" t="s">
        <v>150</v>
      </c>
      <c r="N214" s="276" t="s">
        <v>150</v>
      </c>
      <c r="O214" s="276" t="s">
        <v>150</v>
      </c>
      <c r="P214" s="276" t="s">
        <v>150</v>
      </c>
      <c r="Q214" s="276" t="s">
        <v>150</v>
      </c>
      <c r="R214" s="276" t="s">
        <v>150</v>
      </c>
      <c r="S214" s="276" t="s">
        <v>150</v>
      </c>
      <c r="T214" s="276" t="s">
        <v>150</v>
      </c>
      <c r="U214" s="276" t="s">
        <v>150</v>
      </c>
      <c r="V214" s="276" t="s">
        <v>150</v>
      </c>
      <c r="W214" s="276" t="s">
        <v>150</v>
      </c>
      <c r="X214" s="276" t="s">
        <v>150</v>
      </c>
      <c r="Y214" s="276" t="s">
        <v>150</v>
      </c>
      <c r="Z214" s="276" t="s">
        <v>150</v>
      </c>
      <c r="AA214" s="276" t="s">
        <v>150</v>
      </c>
      <c r="AB214" s="276" t="s">
        <v>150</v>
      </c>
      <c r="AC214" s="276" t="s">
        <v>150</v>
      </c>
      <c r="AD214" s="276" t="s">
        <v>150</v>
      </c>
      <c r="AE214" s="276" t="s">
        <v>150</v>
      </c>
      <c r="AF214" s="276" t="s">
        <v>150</v>
      </c>
      <c r="AG214" s="276" t="s">
        <v>150</v>
      </c>
      <c r="AH214" s="276" t="s">
        <v>150</v>
      </c>
      <c r="AI214" s="276" t="s">
        <v>150</v>
      </c>
      <c r="AJ214" s="276" t="s">
        <v>150</v>
      </c>
      <c r="AK214" s="276" t="s">
        <v>150</v>
      </c>
      <c r="AL214" s="276" t="s">
        <v>150</v>
      </c>
      <c r="AM214" s="276" t="s">
        <v>150</v>
      </c>
      <c r="AN214" s="276" t="s">
        <v>150</v>
      </c>
      <c r="AO214" s="276" t="s">
        <v>150</v>
      </c>
      <c r="AP214" s="276" t="s">
        <v>150</v>
      </c>
      <c r="AQ214" s="276" t="s">
        <v>150</v>
      </c>
      <c r="AR214" s="276" t="s">
        <v>150</v>
      </c>
      <c r="AS214" s="276" t="s">
        <v>150</v>
      </c>
      <c r="AT214" s="555"/>
      <c r="AU214" s="551" t="s">
        <v>1024</v>
      </c>
      <c r="AV214" s="557"/>
    </row>
    <row r="215">
      <c r="A215" s="540"/>
      <c r="B215" s="206"/>
      <c r="C215" s="206"/>
      <c r="D215" s="206"/>
      <c r="E215" s="558" t="s">
        <v>332</v>
      </c>
      <c r="F215" s="283" t="s">
        <v>122</v>
      </c>
      <c r="G215" s="285" t="s">
        <v>203</v>
      </c>
      <c r="H215" s="559">
        <v>0.1432</v>
      </c>
      <c r="I215" s="291" t="s">
        <v>150</v>
      </c>
      <c r="J215" s="291" t="s">
        <v>150</v>
      </c>
      <c r="K215" s="291" t="s">
        <v>150</v>
      </c>
      <c r="L215" s="291" t="s">
        <v>150</v>
      </c>
      <c r="M215" s="291" t="s">
        <v>150</v>
      </c>
      <c r="N215" s="291" t="s">
        <v>150</v>
      </c>
      <c r="O215" s="291" t="s">
        <v>150</v>
      </c>
      <c r="P215" s="291" t="s">
        <v>150</v>
      </c>
      <c r="Q215" s="291" t="s">
        <v>150</v>
      </c>
      <c r="R215" s="291" t="s">
        <v>150</v>
      </c>
      <c r="S215" s="291" t="s">
        <v>150</v>
      </c>
      <c r="T215" s="291" t="s">
        <v>150</v>
      </c>
      <c r="U215" s="291" t="s">
        <v>150</v>
      </c>
      <c r="V215" s="291" t="s">
        <v>150</v>
      </c>
      <c r="W215" s="291" t="s">
        <v>150</v>
      </c>
      <c r="X215" s="291" t="s">
        <v>150</v>
      </c>
      <c r="Y215" s="291" t="s">
        <v>150</v>
      </c>
      <c r="Z215" s="291" t="s">
        <v>150</v>
      </c>
      <c r="AA215" s="291" t="s">
        <v>150</v>
      </c>
      <c r="AB215" s="291" t="s">
        <v>150</v>
      </c>
      <c r="AC215" s="291" t="s">
        <v>150</v>
      </c>
      <c r="AD215" s="291" t="s">
        <v>150</v>
      </c>
      <c r="AE215" s="291" t="s">
        <v>150</v>
      </c>
      <c r="AF215" s="291" t="s">
        <v>150</v>
      </c>
      <c r="AG215" s="291" t="s">
        <v>150</v>
      </c>
      <c r="AH215" s="291" t="s">
        <v>150</v>
      </c>
      <c r="AI215" s="291" t="s">
        <v>150</v>
      </c>
      <c r="AJ215" s="291" t="s">
        <v>150</v>
      </c>
      <c r="AK215" s="291" t="s">
        <v>150</v>
      </c>
      <c r="AL215" s="291" t="s">
        <v>150</v>
      </c>
      <c r="AM215" s="291" t="s">
        <v>150</v>
      </c>
      <c r="AN215" s="291" t="s">
        <v>150</v>
      </c>
      <c r="AO215" s="291" t="s">
        <v>150</v>
      </c>
      <c r="AP215" s="291" t="s">
        <v>150</v>
      </c>
      <c r="AQ215" s="291" t="s">
        <v>150</v>
      </c>
      <c r="AR215" s="291" t="s">
        <v>150</v>
      </c>
      <c r="AS215" s="291" t="s">
        <v>150</v>
      </c>
      <c r="AT215" s="560"/>
      <c r="AU215" s="601" t="s">
        <v>1024</v>
      </c>
      <c r="AV215" s="561"/>
    </row>
    <row r="216">
      <c r="A216" s="540"/>
      <c r="B216" s="206"/>
      <c r="C216" s="206"/>
      <c r="D216" s="206"/>
      <c r="E216" s="541"/>
      <c r="F216" s="201"/>
      <c r="G216" s="202"/>
      <c r="H216" s="542"/>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c r="AE216" s="135"/>
      <c r="AF216" s="135"/>
      <c r="AG216" s="135"/>
      <c r="AH216" s="135"/>
      <c r="AI216" s="135"/>
      <c r="AJ216" s="135"/>
      <c r="AK216" s="135"/>
      <c r="AL216" s="135"/>
      <c r="AM216" s="135"/>
      <c r="AN216" s="135"/>
      <c r="AO216" s="135"/>
      <c r="AP216" s="135"/>
      <c r="AQ216" s="135"/>
      <c r="AR216" s="135"/>
      <c r="AS216" s="135"/>
      <c r="AT216" s="543"/>
      <c r="AU216" s="544"/>
      <c r="AV216" s="545"/>
    </row>
    <row r="217">
      <c r="A217" s="72" t="s">
        <v>166</v>
      </c>
      <c r="B217" s="14"/>
      <c r="C217" s="14"/>
      <c r="D217" s="14"/>
      <c r="E217" s="14"/>
      <c r="F217" s="14"/>
      <c r="G217" s="482"/>
      <c r="H217" s="535"/>
      <c r="I217" s="536"/>
      <c r="J217" s="536"/>
      <c r="K217" s="536"/>
      <c r="L217" s="536"/>
      <c r="M217" s="536"/>
      <c r="N217" s="536"/>
      <c r="O217" s="536"/>
      <c r="P217" s="536"/>
      <c r="Q217" s="536"/>
      <c r="R217" s="536"/>
      <c r="S217" s="536"/>
      <c r="T217" s="536"/>
      <c r="U217" s="536"/>
      <c r="V217" s="536"/>
      <c r="W217" s="536"/>
      <c r="X217" s="536"/>
      <c r="Y217" s="536"/>
      <c r="Z217" s="536"/>
      <c r="AA217" s="536"/>
      <c r="AB217" s="536"/>
      <c r="AC217" s="536"/>
      <c r="AD217" s="536"/>
      <c r="AE217" s="536"/>
      <c r="AF217" s="536"/>
      <c r="AG217" s="536"/>
      <c r="AH217" s="536"/>
      <c r="AI217" s="536"/>
      <c r="AJ217" s="536"/>
      <c r="AK217" s="536"/>
      <c r="AL217" s="536"/>
      <c r="AM217" s="536"/>
      <c r="AN217" s="536"/>
      <c r="AO217" s="536"/>
      <c r="AP217" s="536"/>
      <c r="AQ217" s="536"/>
      <c r="AR217" s="536"/>
      <c r="AS217" s="536"/>
      <c r="AT217" s="537"/>
      <c r="AU217" s="538"/>
      <c r="AV217" s="539"/>
    </row>
    <row r="218">
      <c r="A218" s="585"/>
      <c r="B218" s="623"/>
      <c r="C218" s="623"/>
      <c r="D218" s="623"/>
      <c r="E218" s="624"/>
      <c r="F218" s="625"/>
      <c r="G218" s="626"/>
      <c r="H218" s="542"/>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c r="AF218" s="135"/>
      <c r="AG218" s="135"/>
      <c r="AH218" s="135"/>
      <c r="AI218" s="135"/>
      <c r="AJ218" s="135"/>
      <c r="AK218" s="135"/>
      <c r="AL218" s="135"/>
      <c r="AM218" s="135"/>
      <c r="AN218" s="135"/>
      <c r="AO218" s="135"/>
      <c r="AP218" s="135"/>
      <c r="AQ218" s="135"/>
      <c r="AR218" s="135"/>
      <c r="AS218" s="135"/>
      <c r="AT218" s="543"/>
      <c r="AU218" s="544"/>
      <c r="AV218" s="545"/>
    </row>
    <row r="219">
      <c r="A219" s="585"/>
      <c r="B219" s="623"/>
      <c r="C219" s="107" t="s">
        <v>177</v>
      </c>
      <c r="F219" s="625"/>
      <c r="G219" s="626"/>
      <c r="H219" s="542"/>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c r="AE219" s="135"/>
      <c r="AF219" s="135"/>
      <c r="AG219" s="135"/>
      <c r="AH219" s="135"/>
      <c r="AI219" s="135"/>
      <c r="AJ219" s="135"/>
      <c r="AK219" s="135"/>
      <c r="AL219" s="135"/>
      <c r="AM219" s="135"/>
      <c r="AN219" s="135"/>
      <c r="AO219" s="135"/>
      <c r="AP219" s="135"/>
      <c r="AQ219" s="135"/>
      <c r="AR219" s="135"/>
      <c r="AS219" s="135"/>
      <c r="AT219" s="543"/>
      <c r="AU219" s="544"/>
      <c r="AV219" s="545"/>
    </row>
    <row r="220">
      <c r="A220" s="540"/>
      <c r="B220" s="206"/>
      <c r="C220" s="206"/>
      <c r="D220" s="206"/>
      <c r="E220" s="530" t="s">
        <v>172</v>
      </c>
      <c r="F220" s="225" t="s">
        <v>122</v>
      </c>
      <c r="G220" s="226" t="s">
        <v>203</v>
      </c>
      <c r="H220" s="570">
        <v>0.95</v>
      </c>
      <c r="I220" s="321" t="s">
        <v>150</v>
      </c>
      <c r="J220" s="321" t="s">
        <v>150</v>
      </c>
      <c r="K220" s="321" t="s">
        <v>150</v>
      </c>
      <c r="L220" s="321" t="s">
        <v>150</v>
      </c>
      <c r="M220" s="321" t="s">
        <v>150</v>
      </c>
      <c r="N220" s="321" t="s">
        <v>150</v>
      </c>
      <c r="O220" s="321" t="s">
        <v>150</v>
      </c>
      <c r="P220" s="321" t="s">
        <v>150</v>
      </c>
      <c r="Q220" s="321" t="s">
        <v>150</v>
      </c>
      <c r="R220" s="321" t="s">
        <v>150</v>
      </c>
      <c r="S220" s="321" t="s">
        <v>150</v>
      </c>
      <c r="T220" s="321" t="s">
        <v>150</v>
      </c>
      <c r="U220" s="321" t="s">
        <v>150</v>
      </c>
      <c r="V220" s="321" t="s">
        <v>150</v>
      </c>
      <c r="W220" s="321" t="s">
        <v>150</v>
      </c>
      <c r="X220" s="321" t="s">
        <v>150</v>
      </c>
      <c r="Y220" s="321" t="s">
        <v>150</v>
      </c>
      <c r="Z220" s="321" t="s">
        <v>150</v>
      </c>
      <c r="AA220" s="321" t="s">
        <v>150</v>
      </c>
      <c r="AB220" s="321" t="s">
        <v>150</v>
      </c>
      <c r="AC220" s="321" t="s">
        <v>150</v>
      </c>
      <c r="AD220" s="321" t="s">
        <v>150</v>
      </c>
      <c r="AE220" s="321" t="s">
        <v>150</v>
      </c>
      <c r="AF220" s="321" t="s">
        <v>150</v>
      </c>
      <c r="AG220" s="321" t="s">
        <v>150</v>
      </c>
      <c r="AH220" s="321" t="s">
        <v>150</v>
      </c>
      <c r="AI220" s="321" t="s">
        <v>150</v>
      </c>
      <c r="AJ220" s="321" t="s">
        <v>150</v>
      </c>
      <c r="AK220" s="321" t="s">
        <v>150</v>
      </c>
      <c r="AL220" s="321" t="s">
        <v>150</v>
      </c>
      <c r="AM220" s="321" t="s">
        <v>150</v>
      </c>
      <c r="AN220" s="321" t="s">
        <v>150</v>
      </c>
      <c r="AO220" s="321" t="s">
        <v>150</v>
      </c>
      <c r="AP220" s="321" t="s">
        <v>150</v>
      </c>
      <c r="AQ220" s="321" t="s">
        <v>150</v>
      </c>
      <c r="AR220" s="321" t="s">
        <v>150</v>
      </c>
      <c r="AS220" s="321" t="s">
        <v>150</v>
      </c>
      <c r="AT220" s="571"/>
      <c r="AU220" s="572" t="s">
        <v>809</v>
      </c>
      <c r="AV220" s="573"/>
    </row>
    <row r="221">
      <c r="A221" s="540"/>
      <c r="B221" s="206"/>
      <c r="C221" s="206"/>
      <c r="D221" s="206"/>
      <c r="E221" s="541"/>
      <c r="F221" s="201"/>
      <c r="G221" s="202"/>
      <c r="H221" s="542"/>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c r="AE221" s="135"/>
      <c r="AF221" s="135"/>
      <c r="AG221" s="135"/>
      <c r="AH221" s="135"/>
      <c r="AI221" s="135"/>
      <c r="AJ221" s="135"/>
      <c r="AK221" s="135"/>
      <c r="AL221" s="135"/>
      <c r="AM221" s="135"/>
      <c r="AN221" s="135"/>
      <c r="AO221" s="135"/>
      <c r="AP221" s="135"/>
      <c r="AQ221" s="135"/>
      <c r="AR221" s="135"/>
      <c r="AS221" s="135"/>
      <c r="AT221" s="543"/>
      <c r="AU221" s="544"/>
      <c r="AV221" s="545"/>
    </row>
    <row r="222">
      <c r="A222" s="540"/>
      <c r="B222" s="206"/>
      <c r="C222" s="126" t="s">
        <v>188</v>
      </c>
      <c r="F222" s="201"/>
      <c r="G222" s="202"/>
      <c r="H222" s="542"/>
      <c r="I222" s="135"/>
      <c r="J222" s="135"/>
      <c r="K222" s="135"/>
      <c r="L222" s="135"/>
      <c r="M222" s="135"/>
      <c r="N222" s="135"/>
      <c r="O222" s="135"/>
      <c r="P222" s="135"/>
      <c r="Q222" s="135"/>
      <c r="R222" s="135"/>
      <c r="S222" s="135"/>
      <c r="T222" s="135"/>
      <c r="U222" s="135"/>
      <c r="V222" s="135"/>
      <c r="W222" s="135"/>
      <c r="X222" s="135"/>
      <c r="Y222" s="135"/>
      <c r="Z222" s="135"/>
      <c r="AA222" s="135"/>
      <c r="AB222" s="135"/>
      <c r="AC222" s="135"/>
      <c r="AD222" s="135"/>
      <c r="AE222" s="135"/>
      <c r="AF222" s="135"/>
      <c r="AG222" s="135"/>
      <c r="AH222" s="135"/>
      <c r="AI222" s="135"/>
      <c r="AJ222" s="135"/>
      <c r="AK222" s="135"/>
      <c r="AL222" s="135"/>
      <c r="AM222" s="135"/>
      <c r="AN222" s="135"/>
      <c r="AO222" s="135"/>
      <c r="AP222" s="135"/>
      <c r="AQ222" s="135"/>
      <c r="AR222" s="135"/>
      <c r="AS222" s="135"/>
      <c r="AT222" s="543"/>
      <c r="AU222" s="544"/>
      <c r="AV222" s="545"/>
    </row>
    <row r="223">
      <c r="A223" s="206"/>
      <c r="B223" s="206"/>
      <c r="C223" s="206"/>
      <c r="D223" s="206"/>
      <c r="E223" s="530" t="s">
        <v>193</v>
      </c>
      <c r="F223" s="225" t="s">
        <v>122</v>
      </c>
      <c r="G223" s="225" t="s">
        <v>203</v>
      </c>
      <c r="H223" s="570">
        <v>-0.12</v>
      </c>
      <c r="I223" s="321" t="s">
        <v>150</v>
      </c>
      <c r="J223" s="321" t="s">
        <v>150</v>
      </c>
      <c r="K223" s="321" t="s">
        <v>150</v>
      </c>
      <c r="L223" s="321" t="s">
        <v>150</v>
      </c>
      <c r="M223" s="321" t="s">
        <v>150</v>
      </c>
      <c r="N223" s="321" t="s">
        <v>150</v>
      </c>
      <c r="O223" s="321" t="s">
        <v>150</v>
      </c>
      <c r="P223" s="321" t="s">
        <v>150</v>
      </c>
      <c r="Q223" s="321" t="s">
        <v>150</v>
      </c>
      <c r="R223" s="321" t="s">
        <v>150</v>
      </c>
      <c r="S223" s="321" t="s">
        <v>150</v>
      </c>
      <c r="T223" s="321" t="s">
        <v>150</v>
      </c>
      <c r="U223" s="321" t="s">
        <v>150</v>
      </c>
      <c r="V223" s="321" t="s">
        <v>150</v>
      </c>
      <c r="W223" s="321" t="s">
        <v>150</v>
      </c>
      <c r="X223" s="321" t="s">
        <v>150</v>
      </c>
      <c r="Y223" s="321" t="s">
        <v>150</v>
      </c>
      <c r="Z223" s="321" t="s">
        <v>150</v>
      </c>
      <c r="AA223" s="321" t="s">
        <v>150</v>
      </c>
      <c r="AB223" s="321" t="s">
        <v>150</v>
      </c>
      <c r="AC223" s="321" t="s">
        <v>150</v>
      </c>
      <c r="AD223" s="321" t="s">
        <v>150</v>
      </c>
      <c r="AE223" s="321" t="s">
        <v>150</v>
      </c>
      <c r="AF223" s="321" t="s">
        <v>150</v>
      </c>
      <c r="AG223" s="321" t="s">
        <v>150</v>
      </c>
      <c r="AH223" s="321" t="s">
        <v>150</v>
      </c>
      <c r="AI223" s="321" t="s">
        <v>150</v>
      </c>
      <c r="AJ223" s="321" t="s">
        <v>150</v>
      </c>
      <c r="AK223" s="321" t="s">
        <v>150</v>
      </c>
      <c r="AL223" s="321" t="s">
        <v>150</v>
      </c>
      <c r="AM223" s="321" t="s">
        <v>150</v>
      </c>
      <c r="AN223" s="321" t="s">
        <v>150</v>
      </c>
      <c r="AO223" s="321" t="s">
        <v>150</v>
      </c>
      <c r="AP223" s="321" t="s">
        <v>150</v>
      </c>
      <c r="AQ223" s="321" t="s">
        <v>150</v>
      </c>
      <c r="AR223" s="321" t="s">
        <v>150</v>
      </c>
      <c r="AS223" s="321" t="s">
        <v>150</v>
      </c>
      <c r="AT223" s="571"/>
      <c r="AU223" s="601" t="s">
        <v>1025</v>
      </c>
      <c r="AV223" s="573"/>
    </row>
    <row r="224">
      <c r="A224" s="540"/>
      <c r="B224" s="206"/>
      <c r="C224" s="206"/>
      <c r="D224" s="206"/>
      <c r="E224" s="541"/>
      <c r="F224" s="201"/>
      <c r="G224" s="202"/>
      <c r="H224" s="542"/>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c r="AE224" s="135"/>
      <c r="AF224" s="135"/>
      <c r="AG224" s="135"/>
      <c r="AH224" s="135"/>
      <c r="AI224" s="135"/>
      <c r="AJ224" s="135"/>
      <c r="AK224" s="135"/>
      <c r="AL224" s="135"/>
      <c r="AM224" s="135"/>
      <c r="AN224" s="135"/>
      <c r="AO224" s="135"/>
      <c r="AP224" s="135"/>
      <c r="AQ224" s="135"/>
      <c r="AR224" s="135"/>
      <c r="AS224" s="135"/>
      <c r="AT224" s="543"/>
      <c r="AU224" s="544"/>
      <c r="AV224" s="545"/>
    </row>
    <row r="225">
      <c r="A225" s="72" t="s">
        <v>212</v>
      </c>
      <c r="B225" s="14"/>
      <c r="C225" s="14"/>
      <c r="D225" s="14"/>
      <c r="E225" s="14"/>
      <c r="F225" s="14"/>
      <c r="G225" s="482"/>
      <c r="H225" s="535"/>
      <c r="I225" s="536"/>
      <c r="J225" s="536"/>
      <c r="K225" s="536"/>
      <c r="L225" s="536"/>
      <c r="M225" s="536"/>
      <c r="N225" s="536"/>
      <c r="O225" s="536"/>
      <c r="P225" s="536"/>
      <c r="Q225" s="536"/>
      <c r="R225" s="536"/>
      <c r="S225" s="536"/>
      <c r="T225" s="536"/>
      <c r="U225" s="536"/>
      <c r="V225" s="536"/>
      <c r="W225" s="536"/>
      <c r="X225" s="536"/>
      <c r="Y225" s="536"/>
      <c r="Z225" s="536"/>
      <c r="AA225" s="536"/>
      <c r="AB225" s="536"/>
      <c r="AC225" s="536"/>
      <c r="AD225" s="536"/>
      <c r="AE225" s="536"/>
      <c r="AF225" s="536"/>
      <c r="AG225" s="536"/>
      <c r="AH225" s="536"/>
      <c r="AI225" s="536"/>
      <c r="AJ225" s="536"/>
      <c r="AK225" s="536"/>
      <c r="AL225" s="536"/>
      <c r="AM225" s="536"/>
      <c r="AN225" s="536"/>
      <c r="AO225" s="536"/>
      <c r="AP225" s="536"/>
      <c r="AQ225" s="536"/>
      <c r="AR225" s="536"/>
      <c r="AS225" s="536"/>
      <c r="AT225" s="537"/>
      <c r="AU225" s="538"/>
      <c r="AV225" s="539"/>
    </row>
    <row r="226">
      <c r="A226" s="80"/>
      <c r="B226" s="81"/>
      <c r="C226" s="181"/>
      <c r="D226" s="81"/>
      <c r="E226" s="102"/>
      <c r="F226" s="83"/>
      <c r="G226" s="84"/>
      <c r="H226" s="522"/>
      <c r="I226" s="378"/>
      <c r="J226" s="378"/>
      <c r="K226" s="378"/>
      <c r="L226" s="378"/>
      <c r="M226" s="378"/>
      <c r="N226" s="378"/>
      <c r="O226" s="378"/>
      <c r="P226" s="378"/>
      <c r="Q226" s="378"/>
      <c r="R226" s="378"/>
      <c r="S226" s="378"/>
      <c r="T226" s="378"/>
      <c r="U226" s="378"/>
      <c r="V226" s="378"/>
      <c r="W226" s="378"/>
      <c r="X226" s="378"/>
      <c r="Y226" s="378"/>
      <c r="Z226" s="378"/>
      <c r="AA226" s="378"/>
      <c r="AB226" s="378"/>
      <c r="AC226" s="378"/>
      <c r="AD226" s="378"/>
      <c r="AE226" s="378"/>
      <c r="AF226" s="378"/>
      <c r="AG226" s="378"/>
      <c r="AH226" s="378"/>
      <c r="AI226" s="378"/>
      <c r="AJ226" s="378"/>
      <c r="AK226" s="378"/>
      <c r="AL226" s="378"/>
      <c r="AM226" s="378"/>
      <c r="AN226" s="378"/>
      <c r="AO226" s="378"/>
      <c r="AP226" s="378"/>
      <c r="AQ226" s="378"/>
      <c r="AR226" s="378"/>
      <c r="AS226" s="378"/>
      <c r="AT226" s="139"/>
      <c r="AU226" s="523"/>
      <c r="AV226" s="524"/>
    </row>
    <row r="227">
      <c r="A227" s="80"/>
      <c r="B227" s="81"/>
      <c r="C227" s="186" t="s">
        <v>213</v>
      </c>
      <c r="F227" s="83"/>
      <c r="G227" s="84"/>
      <c r="H227" s="522"/>
      <c r="I227" s="378"/>
      <c r="J227" s="378"/>
      <c r="K227" s="378"/>
      <c r="L227" s="378"/>
      <c r="M227" s="378"/>
      <c r="N227" s="378"/>
      <c r="O227" s="378"/>
      <c r="P227" s="378"/>
      <c r="Q227" s="378"/>
      <c r="R227" s="378"/>
      <c r="S227" s="378"/>
      <c r="T227" s="378"/>
      <c r="U227" s="378"/>
      <c r="V227" s="378"/>
      <c r="W227" s="378"/>
      <c r="X227" s="378"/>
      <c r="Y227" s="378"/>
      <c r="Z227" s="378"/>
      <c r="AA227" s="378"/>
      <c r="AB227" s="378"/>
      <c r="AC227" s="378"/>
      <c r="AD227" s="378"/>
      <c r="AE227" s="378"/>
      <c r="AF227" s="378"/>
      <c r="AG227" s="378"/>
      <c r="AH227" s="378"/>
      <c r="AI227" s="378"/>
      <c r="AJ227" s="378"/>
      <c r="AK227" s="378"/>
      <c r="AL227" s="378"/>
      <c r="AM227" s="378"/>
      <c r="AN227" s="378"/>
      <c r="AO227" s="378"/>
      <c r="AP227" s="378"/>
      <c r="AQ227" s="378"/>
      <c r="AR227" s="378"/>
      <c r="AS227" s="378"/>
      <c r="AT227" s="139"/>
      <c r="AU227" s="523"/>
      <c r="AV227" s="524"/>
    </row>
    <row r="228">
      <c r="A228" s="80"/>
      <c r="B228" s="81"/>
      <c r="C228" s="325"/>
      <c r="D228" s="81"/>
      <c r="E228" s="548" t="s">
        <v>234</v>
      </c>
      <c r="F228" s="189" t="s">
        <v>122</v>
      </c>
      <c r="G228" s="263" t="s">
        <v>203</v>
      </c>
      <c r="H228" s="839">
        <v>0.75</v>
      </c>
      <c r="I228" s="489" t="s">
        <v>150</v>
      </c>
      <c r="J228" s="489" t="s">
        <v>150</v>
      </c>
      <c r="K228" s="489" t="s">
        <v>150</v>
      </c>
      <c r="L228" s="489" t="s">
        <v>150</v>
      </c>
      <c r="M228" s="489" t="s">
        <v>150</v>
      </c>
      <c r="N228" s="489" t="s">
        <v>150</v>
      </c>
      <c r="O228" s="489" t="s">
        <v>150</v>
      </c>
      <c r="P228" s="489" t="s">
        <v>150</v>
      </c>
      <c r="Q228" s="489" t="s">
        <v>150</v>
      </c>
      <c r="R228" s="489" t="s">
        <v>150</v>
      </c>
      <c r="S228" s="489" t="s">
        <v>150</v>
      </c>
      <c r="T228" s="489" t="s">
        <v>150</v>
      </c>
      <c r="U228" s="489" t="s">
        <v>150</v>
      </c>
      <c r="V228" s="489" t="s">
        <v>150</v>
      </c>
      <c r="W228" s="489" t="s">
        <v>150</v>
      </c>
      <c r="X228" s="489" t="s">
        <v>150</v>
      </c>
      <c r="Y228" s="489" t="s">
        <v>150</v>
      </c>
      <c r="Z228" s="489" t="s">
        <v>150</v>
      </c>
      <c r="AA228" s="489" t="s">
        <v>150</v>
      </c>
      <c r="AB228" s="489" t="s">
        <v>150</v>
      </c>
      <c r="AC228" s="489" t="s">
        <v>150</v>
      </c>
      <c r="AD228" s="489" t="s">
        <v>150</v>
      </c>
      <c r="AE228" s="489" t="s">
        <v>150</v>
      </c>
      <c r="AF228" s="489" t="s">
        <v>150</v>
      </c>
      <c r="AG228" s="489" t="s">
        <v>150</v>
      </c>
      <c r="AH228" s="489" t="s">
        <v>150</v>
      </c>
      <c r="AI228" s="489" t="s">
        <v>150</v>
      </c>
      <c r="AJ228" s="489" t="s">
        <v>150</v>
      </c>
      <c r="AK228" s="489" t="s">
        <v>150</v>
      </c>
      <c r="AL228" s="489" t="s">
        <v>150</v>
      </c>
      <c r="AM228" s="489" t="s">
        <v>150</v>
      </c>
      <c r="AN228" s="489" t="s">
        <v>150</v>
      </c>
      <c r="AO228" s="489" t="s">
        <v>150</v>
      </c>
      <c r="AP228" s="489" t="s">
        <v>150</v>
      </c>
      <c r="AQ228" s="489" t="s">
        <v>150</v>
      </c>
      <c r="AR228" s="489" t="s">
        <v>150</v>
      </c>
      <c r="AS228" s="489" t="s">
        <v>150</v>
      </c>
      <c r="AT228" s="841"/>
      <c r="AU228" s="842" t="s">
        <v>809</v>
      </c>
      <c r="AV228" s="843"/>
    </row>
    <row r="229">
      <c r="A229" s="80"/>
      <c r="B229" s="81"/>
      <c r="C229" s="325"/>
      <c r="D229" s="81"/>
      <c r="E229" s="558" t="s">
        <v>242</v>
      </c>
      <c r="F229" s="195" t="s">
        <v>122</v>
      </c>
      <c r="G229" s="316" t="s">
        <v>203</v>
      </c>
      <c r="H229" s="844">
        <v>1.0</v>
      </c>
      <c r="I229" s="396" t="s">
        <v>150</v>
      </c>
      <c r="J229" s="396" t="s">
        <v>150</v>
      </c>
      <c r="K229" s="396" t="s">
        <v>150</v>
      </c>
      <c r="L229" s="396" t="s">
        <v>150</v>
      </c>
      <c r="M229" s="396" t="s">
        <v>150</v>
      </c>
      <c r="N229" s="396" t="s">
        <v>150</v>
      </c>
      <c r="O229" s="396" t="s">
        <v>150</v>
      </c>
      <c r="P229" s="396" t="s">
        <v>150</v>
      </c>
      <c r="Q229" s="396" t="s">
        <v>150</v>
      </c>
      <c r="R229" s="396" t="s">
        <v>150</v>
      </c>
      <c r="S229" s="396" t="s">
        <v>150</v>
      </c>
      <c r="T229" s="396" t="s">
        <v>150</v>
      </c>
      <c r="U229" s="396" t="s">
        <v>150</v>
      </c>
      <c r="V229" s="396" t="s">
        <v>150</v>
      </c>
      <c r="W229" s="396" t="s">
        <v>150</v>
      </c>
      <c r="X229" s="396" t="s">
        <v>150</v>
      </c>
      <c r="Y229" s="396" t="s">
        <v>150</v>
      </c>
      <c r="Z229" s="396" t="s">
        <v>150</v>
      </c>
      <c r="AA229" s="396" t="s">
        <v>150</v>
      </c>
      <c r="AB229" s="396" t="s">
        <v>150</v>
      </c>
      <c r="AC229" s="396" t="s">
        <v>150</v>
      </c>
      <c r="AD229" s="396" t="s">
        <v>150</v>
      </c>
      <c r="AE229" s="396" t="s">
        <v>150</v>
      </c>
      <c r="AF229" s="396" t="s">
        <v>150</v>
      </c>
      <c r="AG229" s="396" t="s">
        <v>150</v>
      </c>
      <c r="AH229" s="396" t="s">
        <v>150</v>
      </c>
      <c r="AI229" s="396" t="s">
        <v>150</v>
      </c>
      <c r="AJ229" s="396" t="s">
        <v>150</v>
      </c>
      <c r="AK229" s="396" t="s">
        <v>150</v>
      </c>
      <c r="AL229" s="396" t="s">
        <v>150</v>
      </c>
      <c r="AM229" s="396" t="s">
        <v>150</v>
      </c>
      <c r="AN229" s="396" t="s">
        <v>150</v>
      </c>
      <c r="AO229" s="396" t="s">
        <v>150</v>
      </c>
      <c r="AP229" s="396" t="s">
        <v>150</v>
      </c>
      <c r="AQ229" s="396" t="s">
        <v>150</v>
      </c>
      <c r="AR229" s="396" t="s">
        <v>150</v>
      </c>
      <c r="AS229" s="396" t="s">
        <v>150</v>
      </c>
      <c r="AT229" s="845"/>
      <c r="AU229" s="846" t="s">
        <v>809</v>
      </c>
      <c r="AV229" s="847"/>
    </row>
    <row r="230">
      <c r="A230" s="80"/>
      <c r="B230" s="81"/>
      <c r="C230" s="325"/>
      <c r="D230" s="81"/>
      <c r="E230" s="102"/>
      <c r="F230" s="83"/>
      <c r="G230" s="84"/>
      <c r="H230" s="522"/>
      <c r="I230" s="378"/>
      <c r="J230" s="378"/>
      <c r="K230" s="378"/>
      <c r="L230" s="378"/>
      <c r="M230" s="378"/>
      <c r="N230" s="378"/>
      <c r="O230" s="378"/>
      <c r="P230" s="378"/>
      <c r="Q230" s="378"/>
      <c r="R230" s="378"/>
      <c r="S230" s="378"/>
      <c r="T230" s="378"/>
      <c r="U230" s="378"/>
      <c r="V230" s="378"/>
      <c r="W230" s="378"/>
      <c r="X230" s="378"/>
      <c r="Y230" s="378"/>
      <c r="Z230" s="378"/>
      <c r="AA230" s="378"/>
      <c r="AB230" s="378"/>
      <c r="AC230" s="378"/>
      <c r="AD230" s="378"/>
      <c r="AE230" s="378"/>
      <c r="AF230" s="378"/>
      <c r="AG230" s="378"/>
      <c r="AH230" s="378"/>
      <c r="AI230" s="378"/>
      <c r="AJ230" s="378"/>
      <c r="AK230" s="378"/>
      <c r="AL230" s="378"/>
      <c r="AM230" s="378"/>
      <c r="AN230" s="378"/>
      <c r="AO230" s="378"/>
      <c r="AP230" s="378"/>
      <c r="AQ230" s="378"/>
      <c r="AR230" s="378"/>
      <c r="AS230" s="378"/>
      <c r="AT230" s="139"/>
      <c r="AU230" s="523"/>
      <c r="AV230" s="524"/>
    </row>
    <row r="231">
      <c r="A231" s="80"/>
      <c r="B231" s="81"/>
      <c r="C231" s="90" t="s">
        <v>1026</v>
      </c>
      <c r="F231" s="108"/>
      <c r="G231" s="108"/>
      <c r="H231" s="848"/>
      <c r="I231" s="849"/>
      <c r="J231" s="849"/>
      <c r="K231" s="849"/>
      <c r="L231" s="849"/>
      <c r="M231" s="849"/>
      <c r="N231" s="849"/>
      <c r="O231" s="849"/>
      <c r="P231" s="849"/>
      <c r="Q231" s="849"/>
      <c r="R231" s="849"/>
      <c r="S231" s="849"/>
      <c r="T231" s="849"/>
      <c r="U231" s="849"/>
      <c r="V231" s="849"/>
      <c r="W231" s="849"/>
      <c r="X231" s="849"/>
      <c r="Y231" s="849"/>
      <c r="Z231" s="849"/>
      <c r="AA231" s="849"/>
      <c r="AB231" s="849"/>
      <c r="AC231" s="849"/>
      <c r="AD231" s="849"/>
      <c r="AE231" s="849"/>
      <c r="AF231" s="849"/>
      <c r="AG231" s="849"/>
      <c r="AH231" s="849"/>
      <c r="AI231" s="849"/>
      <c r="AJ231" s="849"/>
      <c r="AK231" s="849"/>
      <c r="AL231" s="849"/>
      <c r="AM231" s="849"/>
      <c r="AN231" s="849"/>
      <c r="AO231" s="849"/>
      <c r="AP231" s="849"/>
      <c r="AQ231" s="849"/>
      <c r="AR231" s="849"/>
      <c r="AS231" s="849"/>
      <c r="AT231" s="139"/>
      <c r="AU231" s="850"/>
      <c r="AV231" s="524"/>
    </row>
    <row r="232">
      <c r="A232" s="80"/>
      <c r="B232" s="81"/>
      <c r="C232" s="90"/>
      <c r="D232" s="90"/>
      <c r="E232" s="851" t="s">
        <v>272</v>
      </c>
      <c r="F232" s="189" t="s">
        <v>122</v>
      </c>
      <c r="G232" s="189" t="s">
        <v>203</v>
      </c>
      <c r="H232" s="852">
        <v>0.005</v>
      </c>
      <c r="I232" s="853" t="s">
        <v>150</v>
      </c>
      <c r="J232" s="853" t="s">
        <v>150</v>
      </c>
      <c r="K232" s="853" t="s">
        <v>150</v>
      </c>
      <c r="L232" s="853" t="s">
        <v>150</v>
      </c>
      <c r="M232" s="853" t="s">
        <v>150</v>
      </c>
      <c r="N232" s="853" t="s">
        <v>150</v>
      </c>
      <c r="O232" s="853" t="s">
        <v>150</v>
      </c>
      <c r="P232" s="853" t="s">
        <v>150</v>
      </c>
      <c r="Q232" s="853" t="s">
        <v>150</v>
      </c>
      <c r="R232" s="853" t="s">
        <v>150</v>
      </c>
      <c r="S232" s="853" t="s">
        <v>150</v>
      </c>
      <c r="T232" s="853" t="s">
        <v>150</v>
      </c>
      <c r="U232" s="853" t="s">
        <v>150</v>
      </c>
      <c r="V232" s="853" t="s">
        <v>150</v>
      </c>
      <c r="W232" s="853" t="s">
        <v>150</v>
      </c>
      <c r="X232" s="853" t="s">
        <v>150</v>
      </c>
      <c r="Y232" s="853" t="s">
        <v>150</v>
      </c>
      <c r="Z232" s="853" t="s">
        <v>150</v>
      </c>
      <c r="AA232" s="853" t="s">
        <v>150</v>
      </c>
      <c r="AB232" s="853" t="s">
        <v>150</v>
      </c>
      <c r="AC232" s="853" t="s">
        <v>150</v>
      </c>
      <c r="AD232" s="853" t="s">
        <v>150</v>
      </c>
      <c r="AE232" s="853" t="s">
        <v>150</v>
      </c>
      <c r="AF232" s="853" t="s">
        <v>150</v>
      </c>
      <c r="AG232" s="853" t="s">
        <v>150</v>
      </c>
      <c r="AH232" s="853" t="s">
        <v>150</v>
      </c>
      <c r="AI232" s="853" t="s">
        <v>150</v>
      </c>
      <c r="AJ232" s="853" t="s">
        <v>150</v>
      </c>
      <c r="AK232" s="853" t="s">
        <v>150</v>
      </c>
      <c r="AL232" s="853" t="s">
        <v>150</v>
      </c>
      <c r="AM232" s="853" t="s">
        <v>150</v>
      </c>
      <c r="AN232" s="853" t="s">
        <v>150</v>
      </c>
      <c r="AO232" s="853" t="s">
        <v>150</v>
      </c>
      <c r="AP232" s="853" t="s">
        <v>150</v>
      </c>
      <c r="AQ232" s="853" t="s">
        <v>150</v>
      </c>
      <c r="AR232" s="853" t="s">
        <v>150</v>
      </c>
      <c r="AS232" s="853" t="s">
        <v>150</v>
      </c>
      <c r="AT232" s="841"/>
      <c r="AU232" s="854" t="s">
        <v>809</v>
      </c>
      <c r="AV232" s="855"/>
    </row>
    <row r="233">
      <c r="A233" s="80"/>
      <c r="B233" s="81"/>
      <c r="C233" s="90"/>
      <c r="D233" s="90"/>
      <c r="E233" s="580" t="s">
        <v>274</v>
      </c>
      <c r="F233" s="215" t="s">
        <v>111</v>
      </c>
      <c r="G233" s="215" t="s">
        <v>203</v>
      </c>
      <c r="H233" s="856">
        <f>AVERAGE(5,15)</f>
        <v>10</v>
      </c>
      <c r="I233" s="857" t="s">
        <v>150</v>
      </c>
      <c r="J233" s="857" t="s">
        <v>150</v>
      </c>
      <c r="K233" s="857" t="s">
        <v>150</v>
      </c>
      <c r="L233" s="857" t="s">
        <v>150</v>
      </c>
      <c r="M233" s="857" t="s">
        <v>150</v>
      </c>
      <c r="N233" s="857" t="s">
        <v>150</v>
      </c>
      <c r="O233" s="857" t="s">
        <v>150</v>
      </c>
      <c r="P233" s="857" t="s">
        <v>150</v>
      </c>
      <c r="Q233" s="857" t="s">
        <v>150</v>
      </c>
      <c r="R233" s="857" t="s">
        <v>150</v>
      </c>
      <c r="S233" s="857" t="s">
        <v>150</v>
      </c>
      <c r="T233" s="857" t="s">
        <v>150</v>
      </c>
      <c r="U233" s="857" t="s">
        <v>150</v>
      </c>
      <c r="V233" s="857" t="s">
        <v>150</v>
      </c>
      <c r="W233" s="857" t="s">
        <v>150</v>
      </c>
      <c r="X233" s="857" t="s">
        <v>150</v>
      </c>
      <c r="Y233" s="857" t="s">
        <v>150</v>
      </c>
      <c r="Z233" s="857" t="s">
        <v>150</v>
      </c>
      <c r="AA233" s="857" t="s">
        <v>150</v>
      </c>
      <c r="AB233" s="857" t="s">
        <v>150</v>
      </c>
      <c r="AC233" s="857" t="s">
        <v>150</v>
      </c>
      <c r="AD233" s="857" t="s">
        <v>150</v>
      </c>
      <c r="AE233" s="857" t="s">
        <v>150</v>
      </c>
      <c r="AF233" s="857" t="s">
        <v>150</v>
      </c>
      <c r="AG233" s="857" t="s">
        <v>150</v>
      </c>
      <c r="AH233" s="857" t="s">
        <v>150</v>
      </c>
      <c r="AI233" s="857" t="s">
        <v>150</v>
      </c>
      <c r="AJ233" s="857" t="s">
        <v>150</v>
      </c>
      <c r="AK233" s="857" t="s">
        <v>150</v>
      </c>
      <c r="AL233" s="857" t="s">
        <v>150</v>
      </c>
      <c r="AM233" s="857" t="s">
        <v>150</v>
      </c>
      <c r="AN233" s="857" t="s">
        <v>150</v>
      </c>
      <c r="AO233" s="857" t="s">
        <v>150</v>
      </c>
      <c r="AP233" s="857" t="s">
        <v>150</v>
      </c>
      <c r="AQ233" s="857" t="s">
        <v>150</v>
      </c>
      <c r="AR233" s="857" t="s">
        <v>150</v>
      </c>
      <c r="AS233" s="857" t="s">
        <v>150</v>
      </c>
      <c r="AT233" s="858"/>
      <c r="AU233" s="859"/>
      <c r="AV233" s="860"/>
    </row>
    <row r="234">
      <c r="A234" s="80"/>
      <c r="B234" s="81"/>
      <c r="C234" s="90"/>
      <c r="D234" s="90"/>
      <c r="E234" s="580" t="s">
        <v>328</v>
      </c>
      <c r="F234" s="215" t="s">
        <v>111</v>
      </c>
      <c r="G234" s="215" t="s">
        <v>203</v>
      </c>
      <c r="H234" s="856">
        <f>AVERAGE(15,50)</f>
        <v>32.5</v>
      </c>
      <c r="I234" s="857" t="s">
        <v>150</v>
      </c>
      <c r="J234" s="857" t="s">
        <v>150</v>
      </c>
      <c r="K234" s="857" t="s">
        <v>150</v>
      </c>
      <c r="L234" s="857" t="s">
        <v>150</v>
      </c>
      <c r="M234" s="857" t="s">
        <v>150</v>
      </c>
      <c r="N234" s="857" t="s">
        <v>150</v>
      </c>
      <c r="O234" s="857" t="s">
        <v>150</v>
      </c>
      <c r="P234" s="857" t="s">
        <v>150</v>
      </c>
      <c r="Q234" s="857" t="s">
        <v>150</v>
      </c>
      <c r="R234" s="857" t="s">
        <v>150</v>
      </c>
      <c r="S234" s="857" t="s">
        <v>150</v>
      </c>
      <c r="T234" s="857" t="s">
        <v>150</v>
      </c>
      <c r="U234" s="857" t="s">
        <v>150</v>
      </c>
      <c r="V234" s="857" t="s">
        <v>150</v>
      </c>
      <c r="W234" s="857" t="s">
        <v>150</v>
      </c>
      <c r="X234" s="857" t="s">
        <v>150</v>
      </c>
      <c r="Y234" s="857" t="s">
        <v>150</v>
      </c>
      <c r="Z234" s="857" t="s">
        <v>150</v>
      </c>
      <c r="AA234" s="857" t="s">
        <v>150</v>
      </c>
      <c r="AB234" s="857" t="s">
        <v>150</v>
      </c>
      <c r="AC234" s="857" t="s">
        <v>150</v>
      </c>
      <c r="AD234" s="857" t="s">
        <v>150</v>
      </c>
      <c r="AE234" s="857" t="s">
        <v>150</v>
      </c>
      <c r="AF234" s="857" t="s">
        <v>150</v>
      </c>
      <c r="AG234" s="857" t="s">
        <v>150</v>
      </c>
      <c r="AH234" s="857" t="s">
        <v>150</v>
      </c>
      <c r="AI234" s="857" t="s">
        <v>150</v>
      </c>
      <c r="AJ234" s="857" t="s">
        <v>150</v>
      </c>
      <c r="AK234" s="857" t="s">
        <v>150</v>
      </c>
      <c r="AL234" s="857" t="s">
        <v>150</v>
      </c>
      <c r="AM234" s="857" t="s">
        <v>150</v>
      </c>
      <c r="AN234" s="857" t="s">
        <v>150</v>
      </c>
      <c r="AO234" s="857" t="s">
        <v>150</v>
      </c>
      <c r="AP234" s="857" t="s">
        <v>150</v>
      </c>
      <c r="AQ234" s="857" t="s">
        <v>150</v>
      </c>
      <c r="AR234" s="857" t="s">
        <v>150</v>
      </c>
      <c r="AS234" s="857" t="s">
        <v>150</v>
      </c>
      <c r="AT234" s="858"/>
      <c r="AU234" s="859"/>
      <c r="AV234" s="860"/>
    </row>
    <row r="235">
      <c r="A235" s="80"/>
      <c r="B235" s="81"/>
      <c r="C235" s="90"/>
      <c r="D235" s="90"/>
      <c r="E235" s="583" t="s">
        <v>372</v>
      </c>
      <c r="F235" s="195" t="s">
        <v>111</v>
      </c>
      <c r="G235" s="195" t="s">
        <v>203</v>
      </c>
      <c r="H235" s="861">
        <f>AVERAGE(50,75)</f>
        <v>62.5</v>
      </c>
      <c r="I235" s="862" t="s">
        <v>150</v>
      </c>
      <c r="J235" s="862" t="s">
        <v>150</v>
      </c>
      <c r="K235" s="862" t="s">
        <v>150</v>
      </c>
      <c r="L235" s="862" t="s">
        <v>150</v>
      </c>
      <c r="M235" s="862" t="s">
        <v>150</v>
      </c>
      <c r="N235" s="862" t="s">
        <v>150</v>
      </c>
      <c r="O235" s="862" t="s">
        <v>150</v>
      </c>
      <c r="P235" s="862" t="s">
        <v>150</v>
      </c>
      <c r="Q235" s="862" t="s">
        <v>150</v>
      </c>
      <c r="R235" s="862" t="s">
        <v>150</v>
      </c>
      <c r="S235" s="862" t="s">
        <v>150</v>
      </c>
      <c r="T235" s="862" t="s">
        <v>150</v>
      </c>
      <c r="U235" s="862" t="s">
        <v>150</v>
      </c>
      <c r="V235" s="862" t="s">
        <v>150</v>
      </c>
      <c r="W235" s="862" t="s">
        <v>150</v>
      </c>
      <c r="X235" s="862" t="s">
        <v>150</v>
      </c>
      <c r="Y235" s="862" t="s">
        <v>150</v>
      </c>
      <c r="Z235" s="862" t="s">
        <v>150</v>
      </c>
      <c r="AA235" s="862" t="s">
        <v>150</v>
      </c>
      <c r="AB235" s="862" t="s">
        <v>150</v>
      </c>
      <c r="AC235" s="862" t="s">
        <v>150</v>
      </c>
      <c r="AD235" s="862" t="s">
        <v>150</v>
      </c>
      <c r="AE235" s="862" t="s">
        <v>150</v>
      </c>
      <c r="AF235" s="862" t="s">
        <v>150</v>
      </c>
      <c r="AG235" s="862" t="s">
        <v>150</v>
      </c>
      <c r="AH235" s="862" t="s">
        <v>150</v>
      </c>
      <c r="AI235" s="862" t="s">
        <v>150</v>
      </c>
      <c r="AJ235" s="862" t="s">
        <v>150</v>
      </c>
      <c r="AK235" s="862" t="s">
        <v>150</v>
      </c>
      <c r="AL235" s="862" t="s">
        <v>150</v>
      </c>
      <c r="AM235" s="862" t="s">
        <v>150</v>
      </c>
      <c r="AN235" s="862" t="s">
        <v>150</v>
      </c>
      <c r="AO235" s="862" t="s">
        <v>150</v>
      </c>
      <c r="AP235" s="862" t="s">
        <v>150</v>
      </c>
      <c r="AQ235" s="862" t="s">
        <v>150</v>
      </c>
      <c r="AR235" s="862" t="s">
        <v>150</v>
      </c>
      <c r="AS235" s="862" t="s">
        <v>150</v>
      </c>
      <c r="AT235" s="845"/>
      <c r="AU235" s="863"/>
      <c r="AV235" s="864"/>
    </row>
    <row r="236">
      <c r="A236" s="80"/>
      <c r="B236" s="81"/>
      <c r="C236" s="90"/>
      <c r="D236" s="90"/>
      <c r="E236" s="90"/>
      <c r="F236" s="108"/>
      <c r="G236" s="108"/>
      <c r="H236" s="848"/>
      <c r="I236" s="849"/>
      <c r="J236" s="849"/>
      <c r="K236" s="849"/>
      <c r="L236" s="849"/>
      <c r="M236" s="849"/>
      <c r="N236" s="849"/>
      <c r="O236" s="849"/>
      <c r="P236" s="849"/>
      <c r="Q236" s="849"/>
      <c r="R236" s="849"/>
      <c r="S236" s="849"/>
      <c r="T236" s="849"/>
      <c r="U236" s="849"/>
      <c r="V236" s="849"/>
      <c r="W236" s="849"/>
      <c r="X236" s="849"/>
      <c r="Y236" s="849"/>
      <c r="Z236" s="849"/>
      <c r="AA236" s="849"/>
      <c r="AB236" s="849"/>
      <c r="AC236" s="849"/>
      <c r="AD236" s="849"/>
      <c r="AE236" s="849"/>
      <c r="AF236" s="849"/>
      <c r="AG236" s="849"/>
      <c r="AH236" s="849"/>
      <c r="AI236" s="849"/>
      <c r="AJ236" s="849"/>
      <c r="AK236" s="849"/>
      <c r="AL236" s="849"/>
      <c r="AM236" s="849"/>
      <c r="AN236" s="849"/>
      <c r="AO236" s="849"/>
      <c r="AP236" s="849"/>
      <c r="AQ236" s="849"/>
      <c r="AR236" s="849"/>
      <c r="AS236" s="849"/>
      <c r="AT236" s="139"/>
      <c r="AU236" s="850"/>
      <c r="AV236" s="524"/>
    </row>
    <row r="237">
      <c r="A237" s="80"/>
      <c r="B237" s="81"/>
      <c r="C237" s="90" t="s">
        <v>1027</v>
      </c>
      <c r="F237" s="108"/>
      <c r="G237" s="108"/>
      <c r="H237" s="848"/>
      <c r="I237" s="849"/>
      <c r="J237" s="849"/>
      <c r="K237" s="849"/>
      <c r="L237" s="849"/>
      <c r="M237" s="849"/>
      <c r="N237" s="849"/>
      <c r="O237" s="849"/>
      <c r="P237" s="849"/>
      <c r="Q237" s="849"/>
      <c r="R237" s="849"/>
      <c r="S237" s="849"/>
      <c r="T237" s="849"/>
      <c r="U237" s="849"/>
      <c r="V237" s="849"/>
      <c r="W237" s="849"/>
      <c r="X237" s="849"/>
      <c r="Y237" s="849"/>
      <c r="Z237" s="849"/>
      <c r="AA237" s="849"/>
      <c r="AB237" s="849"/>
      <c r="AC237" s="849"/>
      <c r="AD237" s="849"/>
      <c r="AE237" s="849"/>
      <c r="AF237" s="849"/>
      <c r="AG237" s="849"/>
      <c r="AH237" s="849"/>
      <c r="AI237" s="849"/>
      <c r="AJ237" s="849"/>
      <c r="AK237" s="849"/>
      <c r="AL237" s="849"/>
      <c r="AM237" s="849"/>
      <c r="AN237" s="849"/>
      <c r="AO237" s="849"/>
      <c r="AP237" s="849"/>
      <c r="AQ237" s="849"/>
      <c r="AR237" s="849"/>
      <c r="AS237" s="849"/>
      <c r="AT237" s="139"/>
      <c r="AU237" s="850"/>
      <c r="AV237" s="524"/>
    </row>
    <row r="238">
      <c r="A238" s="80"/>
      <c r="B238" s="81"/>
      <c r="C238" s="325"/>
      <c r="D238" s="81"/>
      <c r="E238" s="750" t="s">
        <v>384</v>
      </c>
      <c r="F238" s="353" t="s">
        <v>111</v>
      </c>
      <c r="G238" s="354" t="s">
        <v>203</v>
      </c>
      <c r="H238" s="868">
        <v>0.30647</v>
      </c>
      <c r="I238" s="870" t="s">
        <v>150</v>
      </c>
      <c r="J238" s="870" t="s">
        <v>150</v>
      </c>
      <c r="K238" s="870" t="s">
        <v>150</v>
      </c>
      <c r="L238" s="870" t="s">
        <v>150</v>
      </c>
      <c r="M238" s="870" t="s">
        <v>150</v>
      </c>
      <c r="N238" s="870" t="s">
        <v>150</v>
      </c>
      <c r="O238" s="870" t="s">
        <v>150</v>
      </c>
      <c r="P238" s="870" t="s">
        <v>150</v>
      </c>
      <c r="Q238" s="870" t="s">
        <v>150</v>
      </c>
      <c r="R238" s="870" t="s">
        <v>150</v>
      </c>
      <c r="S238" s="870" t="s">
        <v>150</v>
      </c>
      <c r="T238" s="870" t="s">
        <v>150</v>
      </c>
      <c r="U238" s="870" t="s">
        <v>150</v>
      </c>
      <c r="V238" s="870" t="s">
        <v>150</v>
      </c>
      <c r="W238" s="870" t="s">
        <v>150</v>
      </c>
      <c r="X238" s="870" t="s">
        <v>150</v>
      </c>
      <c r="Y238" s="870" t="s">
        <v>150</v>
      </c>
      <c r="Z238" s="870" t="s">
        <v>150</v>
      </c>
      <c r="AA238" s="870" t="s">
        <v>150</v>
      </c>
      <c r="AB238" s="870" t="s">
        <v>150</v>
      </c>
      <c r="AC238" s="870" t="s">
        <v>150</v>
      </c>
      <c r="AD238" s="870" t="s">
        <v>150</v>
      </c>
      <c r="AE238" s="870" t="s">
        <v>150</v>
      </c>
      <c r="AF238" s="870" t="s">
        <v>150</v>
      </c>
      <c r="AG238" s="870" t="s">
        <v>150</v>
      </c>
      <c r="AH238" s="870" t="s">
        <v>150</v>
      </c>
      <c r="AI238" s="870" t="s">
        <v>150</v>
      </c>
      <c r="AJ238" s="870" t="s">
        <v>150</v>
      </c>
      <c r="AK238" s="870" t="s">
        <v>150</v>
      </c>
      <c r="AL238" s="870" t="s">
        <v>150</v>
      </c>
      <c r="AM238" s="870" t="s">
        <v>150</v>
      </c>
      <c r="AN238" s="870" t="s">
        <v>150</v>
      </c>
      <c r="AO238" s="870" t="s">
        <v>150</v>
      </c>
      <c r="AP238" s="870" t="s">
        <v>150</v>
      </c>
      <c r="AQ238" s="870" t="s">
        <v>150</v>
      </c>
      <c r="AR238" s="870" t="s">
        <v>150</v>
      </c>
      <c r="AS238" s="872" t="s">
        <v>150</v>
      </c>
      <c r="AT238" s="874"/>
      <c r="AU238" s="875" t="s">
        <v>1028</v>
      </c>
      <c r="AV238" s="356"/>
    </row>
    <row r="239">
      <c r="A239" s="80"/>
      <c r="B239" s="81"/>
      <c r="C239" s="325"/>
      <c r="D239" s="81"/>
      <c r="E239" s="752" t="s">
        <v>389</v>
      </c>
      <c r="F239" s="753" t="s">
        <v>122</v>
      </c>
      <c r="G239" s="879" t="s">
        <v>203</v>
      </c>
      <c r="H239" s="880">
        <v>0.0</v>
      </c>
      <c r="I239" s="881" t="s">
        <v>150</v>
      </c>
      <c r="J239" s="881" t="s">
        <v>150</v>
      </c>
      <c r="K239" s="881" t="s">
        <v>150</v>
      </c>
      <c r="L239" s="881" t="s">
        <v>150</v>
      </c>
      <c r="M239" s="881" t="s">
        <v>150</v>
      </c>
      <c r="N239" s="881" t="s">
        <v>150</v>
      </c>
      <c r="O239" s="881" t="s">
        <v>150</v>
      </c>
      <c r="P239" s="881" t="s">
        <v>150</v>
      </c>
      <c r="Q239" s="881" t="s">
        <v>150</v>
      </c>
      <c r="R239" s="881" t="s">
        <v>150</v>
      </c>
      <c r="S239" s="881" t="s">
        <v>150</v>
      </c>
      <c r="T239" s="881" t="s">
        <v>150</v>
      </c>
      <c r="U239" s="881" t="s">
        <v>150</v>
      </c>
      <c r="V239" s="881" t="s">
        <v>150</v>
      </c>
      <c r="W239" s="881" t="s">
        <v>150</v>
      </c>
      <c r="X239" s="881" t="s">
        <v>150</v>
      </c>
      <c r="Y239" s="881" t="s">
        <v>150</v>
      </c>
      <c r="Z239" s="881" t="s">
        <v>150</v>
      </c>
      <c r="AA239" s="881" t="s">
        <v>150</v>
      </c>
      <c r="AB239" s="881" t="s">
        <v>150</v>
      </c>
      <c r="AC239" s="881" t="s">
        <v>150</v>
      </c>
      <c r="AD239" s="881" t="s">
        <v>150</v>
      </c>
      <c r="AE239" s="881" t="s">
        <v>150</v>
      </c>
      <c r="AF239" s="881" t="s">
        <v>150</v>
      </c>
      <c r="AG239" s="881" t="s">
        <v>150</v>
      </c>
      <c r="AH239" s="881" t="s">
        <v>150</v>
      </c>
      <c r="AI239" s="881" t="s">
        <v>150</v>
      </c>
      <c r="AJ239" s="881" t="s">
        <v>150</v>
      </c>
      <c r="AK239" s="881" t="s">
        <v>150</v>
      </c>
      <c r="AL239" s="881" t="s">
        <v>150</v>
      </c>
      <c r="AM239" s="881" t="s">
        <v>150</v>
      </c>
      <c r="AN239" s="881" t="s">
        <v>150</v>
      </c>
      <c r="AO239" s="881" t="s">
        <v>150</v>
      </c>
      <c r="AP239" s="881" t="s">
        <v>150</v>
      </c>
      <c r="AQ239" s="881" t="s">
        <v>150</v>
      </c>
      <c r="AR239" s="881" t="s">
        <v>150</v>
      </c>
      <c r="AS239" s="882" t="s">
        <v>150</v>
      </c>
      <c r="AT239" s="883"/>
      <c r="AU239" s="884" t="s">
        <v>809</v>
      </c>
      <c r="AV239" s="885"/>
    </row>
    <row r="240">
      <c r="A240" s="80"/>
      <c r="B240" s="81"/>
      <c r="C240" s="325"/>
      <c r="D240" s="81"/>
      <c r="E240" s="102"/>
      <c r="F240" s="83"/>
      <c r="G240" s="84"/>
      <c r="H240" s="522"/>
      <c r="I240" s="378"/>
      <c r="J240" s="378"/>
      <c r="K240" s="378"/>
      <c r="L240" s="378"/>
      <c r="M240" s="378"/>
      <c r="N240" s="378"/>
      <c r="O240" s="378"/>
      <c r="P240" s="378"/>
      <c r="Q240" s="378"/>
      <c r="R240" s="378"/>
      <c r="S240" s="378"/>
      <c r="T240" s="378"/>
      <c r="U240" s="378"/>
      <c r="V240" s="378"/>
      <c r="W240" s="378"/>
      <c r="X240" s="378"/>
      <c r="Y240" s="378"/>
      <c r="Z240" s="378"/>
      <c r="AA240" s="378"/>
      <c r="AB240" s="378"/>
      <c r="AC240" s="378"/>
      <c r="AD240" s="378"/>
      <c r="AE240" s="378"/>
      <c r="AF240" s="378"/>
      <c r="AG240" s="378"/>
      <c r="AH240" s="378"/>
      <c r="AI240" s="378"/>
      <c r="AJ240" s="378"/>
      <c r="AK240" s="378"/>
      <c r="AL240" s="378"/>
      <c r="AM240" s="378"/>
      <c r="AN240" s="378"/>
      <c r="AO240" s="378"/>
      <c r="AP240" s="378"/>
      <c r="AQ240" s="378"/>
      <c r="AR240" s="378"/>
      <c r="AS240" s="378"/>
      <c r="AT240" s="139"/>
      <c r="AU240" s="523"/>
      <c r="AV240" s="524"/>
    </row>
    <row r="241">
      <c r="A241" s="81"/>
      <c r="B241" s="81"/>
      <c r="C241" s="325" t="s">
        <v>419</v>
      </c>
      <c r="F241" s="83"/>
      <c r="G241" s="83"/>
      <c r="H241" s="522"/>
      <c r="I241" s="378"/>
      <c r="J241" s="378"/>
      <c r="K241" s="378"/>
      <c r="L241" s="378"/>
      <c r="M241" s="378"/>
      <c r="N241" s="378"/>
      <c r="O241" s="378"/>
      <c r="P241" s="378"/>
      <c r="Q241" s="378"/>
      <c r="R241" s="378"/>
      <c r="S241" s="378"/>
      <c r="T241" s="378"/>
      <c r="U241" s="378"/>
      <c r="V241" s="378"/>
      <c r="W241" s="378"/>
      <c r="X241" s="378"/>
      <c r="Y241" s="378"/>
      <c r="Z241" s="378"/>
      <c r="AA241" s="378"/>
      <c r="AB241" s="378"/>
      <c r="AC241" s="378"/>
      <c r="AD241" s="378"/>
      <c r="AE241" s="378"/>
      <c r="AF241" s="378"/>
      <c r="AG241" s="378"/>
      <c r="AH241" s="378"/>
      <c r="AI241" s="378"/>
      <c r="AJ241" s="378"/>
      <c r="AK241" s="378"/>
      <c r="AL241" s="378"/>
      <c r="AM241" s="378"/>
      <c r="AN241" s="378"/>
      <c r="AO241" s="378"/>
      <c r="AP241" s="378"/>
      <c r="AQ241" s="378"/>
      <c r="AR241" s="378"/>
      <c r="AS241" s="378"/>
      <c r="AT241" s="139"/>
      <c r="AU241" s="523"/>
      <c r="AV241" s="524"/>
    </row>
    <row r="242">
      <c r="A242" s="80"/>
      <c r="B242" s="81"/>
      <c r="C242" s="325"/>
      <c r="D242" s="81"/>
      <c r="E242" s="548" t="s">
        <v>420</v>
      </c>
      <c r="F242" s="189" t="s">
        <v>453</v>
      </c>
      <c r="G242" s="263" t="s">
        <v>203</v>
      </c>
      <c r="H242" s="886">
        <v>200.0</v>
      </c>
      <c r="I242" s="489" t="s">
        <v>150</v>
      </c>
      <c r="J242" s="489" t="s">
        <v>150</v>
      </c>
      <c r="K242" s="489" t="s">
        <v>150</v>
      </c>
      <c r="L242" s="489" t="s">
        <v>150</v>
      </c>
      <c r="M242" s="489" t="s">
        <v>150</v>
      </c>
      <c r="N242" s="489" t="s">
        <v>150</v>
      </c>
      <c r="O242" s="489" t="s">
        <v>150</v>
      </c>
      <c r="P242" s="489" t="s">
        <v>150</v>
      </c>
      <c r="Q242" s="489" t="s">
        <v>150</v>
      </c>
      <c r="R242" s="489" t="s">
        <v>150</v>
      </c>
      <c r="S242" s="489" t="s">
        <v>150</v>
      </c>
      <c r="T242" s="489" t="s">
        <v>150</v>
      </c>
      <c r="U242" s="489" t="s">
        <v>150</v>
      </c>
      <c r="V242" s="489" t="s">
        <v>150</v>
      </c>
      <c r="W242" s="489" t="s">
        <v>150</v>
      </c>
      <c r="X242" s="489" t="s">
        <v>150</v>
      </c>
      <c r="Y242" s="489" t="s">
        <v>150</v>
      </c>
      <c r="Z242" s="489" t="s">
        <v>150</v>
      </c>
      <c r="AA242" s="489" t="s">
        <v>150</v>
      </c>
      <c r="AB242" s="489" t="s">
        <v>150</v>
      </c>
      <c r="AC242" s="489" t="s">
        <v>150</v>
      </c>
      <c r="AD242" s="489" t="s">
        <v>150</v>
      </c>
      <c r="AE242" s="489" t="s">
        <v>150</v>
      </c>
      <c r="AF242" s="489" t="s">
        <v>150</v>
      </c>
      <c r="AG242" s="489" t="s">
        <v>150</v>
      </c>
      <c r="AH242" s="489" t="s">
        <v>150</v>
      </c>
      <c r="AI242" s="489" t="s">
        <v>150</v>
      </c>
      <c r="AJ242" s="489" t="s">
        <v>150</v>
      </c>
      <c r="AK242" s="489" t="s">
        <v>150</v>
      </c>
      <c r="AL242" s="489" t="s">
        <v>150</v>
      </c>
      <c r="AM242" s="489" t="s">
        <v>150</v>
      </c>
      <c r="AN242" s="489" t="s">
        <v>150</v>
      </c>
      <c r="AO242" s="489" t="s">
        <v>150</v>
      </c>
      <c r="AP242" s="489" t="s">
        <v>150</v>
      </c>
      <c r="AQ242" s="489" t="s">
        <v>150</v>
      </c>
      <c r="AR242" s="489" t="s">
        <v>150</v>
      </c>
      <c r="AS242" s="489" t="s">
        <v>150</v>
      </c>
      <c r="AT242" s="841"/>
      <c r="AU242" s="854" t="s">
        <v>809</v>
      </c>
      <c r="AV242" s="855"/>
    </row>
    <row r="243">
      <c r="A243" s="80"/>
      <c r="B243" s="81"/>
      <c r="C243" s="325"/>
      <c r="D243" s="81"/>
      <c r="E243" s="553" t="s">
        <v>424</v>
      </c>
      <c r="F243" s="215" t="s">
        <v>111</v>
      </c>
      <c r="G243" s="277" t="s">
        <v>203</v>
      </c>
      <c r="H243" s="887">
        <v>5.0</v>
      </c>
      <c r="I243" s="387" t="s">
        <v>150</v>
      </c>
      <c r="J243" s="387" t="s">
        <v>150</v>
      </c>
      <c r="K243" s="387" t="s">
        <v>150</v>
      </c>
      <c r="L243" s="387" t="s">
        <v>150</v>
      </c>
      <c r="M243" s="387" t="s">
        <v>150</v>
      </c>
      <c r="N243" s="387" t="s">
        <v>150</v>
      </c>
      <c r="O243" s="387" t="s">
        <v>150</v>
      </c>
      <c r="P243" s="387" t="s">
        <v>150</v>
      </c>
      <c r="Q243" s="387" t="s">
        <v>150</v>
      </c>
      <c r="R243" s="387" t="s">
        <v>150</v>
      </c>
      <c r="S243" s="387" t="s">
        <v>150</v>
      </c>
      <c r="T243" s="387" t="s">
        <v>150</v>
      </c>
      <c r="U243" s="387" t="s">
        <v>150</v>
      </c>
      <c r="V243" s="387" t="s">
        <v>150</v>
      </c>
      <c r="W243" s="387" t="s">
        <v>150</v>
      </c>
      <c r="X243" s="387" t="s">
        <v>150</v>
      </c>
      <c r="Y243" s="387" t="s">
        <v>150</v>
      </c>
      <c r="Z243" s="387" t="s">
        <v>150</v>
      </c>
      <c r="AA243" s="387" t="s">
        <v>150</v>
      </c>
      <c r="AB243" s="387" t="s">
        <v>150</v>
      </c>
      <c r="AC243" s="387" t="s">
        <v>150</v>
      </c>
      <c r="AD243" s="387" t="s">
        <v>150</v>
      </c>
      <c r="AE243" s="387" t="s">
        <v>150</v>
      </c>
      <c r="AF243" s="387" t="s">
        <v>150</v>
      </c>
      <c r="AG243" s="387" t="s">
        <v>150</v>
      </c>
      <c r="AH243" s="387" t="s">
        <v>150</v>
      </c>
      <c r="AI243" s="387" t="s">
        <v>150</v>
      </c>
      <c r="AJ243" s="387" t="s">
        <v>150</v>
      </c>
      <c r="AK243" s="387" t="s">
        <v>150</v>
      </c>
      <c r="AL243" s="387" t="s">
        <v>150</v>
      </c>
      <c r="AM243" s="387" t="s">
        <v>150</v>
      </c>
      <c r="AN243" s="387" t="s">
        <v>150</v>
      </c>
      <c r="AO243" s="387" t="s">
        <v>150</v>
      </c>
      <c r="AP243" s="387" t="s">
        <v>150</v>
      </c>
      <c r="AQ243" s="387" t="s">
        <v>150</v>
      </c>
      <c r="AR243" s="387" t="s">
        <v>150</v>
      </c>
      <c r="AS243" s="387" t="s">
        <v>150</v>
      </c>
      <c r="AT243" s="858"/>
      <c r="AU243" s="859" t="s">
        <v>1029</v>
      </c>
      <c r="AV243" s="860"/>
    </row>
    <row r="244">
      <c r="A244" s="80"/>
      <c r="B244" s="81"/>
      <c r="C244" s="325"/>
      <c r="D244" s="81"/>
      <c r="E244" s="553" t="s">
        <v>433</v>
      </c>
      <c r="F244" s="215" t="s">
        <v>453</v>
      </c>
      <c r="G244" s="277" t="s">
        <v>203</v>
      </c>
      <c r="H244" s="888">
        <v>500.0</v>
      </c>
      <c r="I244" s="387" t="s">
        <v>150</v>
      </c>
      <c r="J244" s="387" t="s">
        <v>150</v>
      </c>
      <c r="K244" s="387" t="s">
        <v>150</v>
      </c>
      <c r="L244" s="387" t="s">
        <v>150</v>
      </c>
      <c r="M244" s="387" t="s">
        <v>150</v>
      </c>
      <c r="N244" s="387" t="s">
        <v>150</v>
      </c>
      <c r="O244" s="387" t="s">
        <v>150</v>
      </c>
      <c r="P244" s="387" t="s">
        <v>150</v>
      </c>
      <c r="Q244" s="387" t="s">
        <v>150</v>
      </c>
      <c r="R244" s="387" t="s">
        <v>150</v>
      </c>
      <c r="S244" s="387" t="s">
        <v>150</v>
      </c>
      <c r="T244" s="387" t="s">
        <v>150</v>
      </c>
      <c r="U244" s="387" t="s">
        <v>150</v>
      </c>
      <c r="V244" s="387" t="s">
        <v>150</v>
      </c>
      <c r="W244" s="387" t="s">
        <v>150</v>
      </c>
      <c r="X244" s="387" t="s">
        <v>150</v>
      </c>
      <c r="Y244" s="387" t="s">
        <v>150</v>
      </c>
      <c r="Z244" s="387" t="s">
        <v>150</v>
      </c>
      <c r="AA244" s="387" t="s">
        <v>150</v>
      </c>
      <c r="AB244" s="387" t="s">
        <v>150</v>
      </c>
      <c r="AC244" s="387" t="s">
        <v>150</v>
      </c>
      <c r="AD244" s="387" t="s">
        <v>150</v>
      </c>
      <c r="AE244" s="387" t="s">
        <v>150</v>
      </c>
      <c r="AF244" s="387" t="s">
        <v>150</v>
      </c>
      <c r="AG244" s="387" t="s">
        <v>150</v>
      </c>
      <c r="AH244" s="387" t="s">
        <v>150</v>
      </c>
      <c r="AI244" s="387" t="s">
        <v>150</v>
      </c>
      <c r="AJ244" s="387" t="s">
        <v>150</v>
      </c>
      <c r="AK244" s="387" t="s">
        <v>150</v>
      </c>
      <c r="AL244" s="387" t="s">
        <v>150</v>
      </c>
      <c r="AM244" s="387" t="s">
        <v>150</v>
      </c>
      <c r="AN244" s="387" t="s">
        <v>150</v>
      </c>
      <c r="AO244" s="387" t="s">
        <v>150</v>
      </c>
      <c r="AP244" s="387" t="s">
        <v>150</v>
      </c>
      <c r="AQ244" s="387" t="s">
        <v>150</v>
      </c>
      <c r="AR244" s="387" t="s">
        <v>150</v>
      </c>
      <c r="AS244" s="387" t="s">
        <v>150</v>
      </c>
      <c r="AT244" s="858"/>
      <c r="AU244" s="889" t="s">
        <v>1030</v>
      </c>
      <c r="AV244" s="860"/>
    </row>
    <row r="245">
      <c r="A245" s="80"/>
      <c r="B245" s="81"/>
      <c r="C245" s="325"/>
      <c r="D245" s="81"/>
      <c r="E245" s="553" t="s">
        <v>436</v>
      </c>
      <c r="F245" s="215" t="s">
        <v>453</v>
      </c>
      <c r="G245" s="277" t="s">
        <v>203</v>
      </c>
      <c r="H245" s="888">
        <v>500.0</v>
      </c>
      <c r="I245" s="387" t="s">
        <v>150</v>
      </c>
      <c r="J245" s="387" t="s">
        <v>150</v>
      </c>
      <c r="K245" s="387" t="s">
        <v>150</v>
      </c>
      <c r="L245" s="387" t="s">
        <v>150</v>
      </c>
      <c r="M245" s="387" t="s">
        <v>150</v>
      </c>
      <c r="N245" s="387" t="s">
        <v>150</v>
      </c>
      <c r="O245" s="387" t="s">
        <v>150</v>
      </c>
      <c r="P245" s="387" t="s">
        <v>150</v>
      </c>
      <c r="Q245" s="387" t="s">
        <v>150</v>
      </c>
      <c r="R245" s="387" t="s">
        <v>150</v>
      </c>
      <c r="S245" s="387" t="s">
        <v>150</v>
      </c>
      <c r="T245" s="387" t="s">
        <v>150</v>
      </c>
      <c r="U245" s="387" t="s">
        <v>150</v>
      </c>
      <c r="V245" s="387" t="s">
        <v>150</v>
      </c>
      <c r="W245" s="387" t="s">
        <v>150</v>
      </c>
      <c r="X245" s="387" t="s">
        <v>150</v>
      </c>
      <c r="Y245" s="387" t="s">
        <v>150</v>
      </c>
      <c r="Z245" s="387" t="s">
        <v>150</v>
      </c>
      <c r="AA245" s="387" t="s">
        <v>150</v>
      </c>
      <c r="AB245" s="387" t="s">
        <v>150</v>
      </c>
      <c r="AC245" s="387" t="s">
        <v>150</v>
      </c>
      <c r="AD245" s="387" t="s">
        <v>150</v>
      </c>
      <c r="AE245" s="387" t="s">
        <v>150</v>
      </c>
      <c r="AF245" s="387" t="s">
        <v>150</v>
      </c>
      <c r="AG245" s="387" t="s">
        <v>150</v>
      </c>
      <c r="AH245" s="387" t="s">
        <v>150</v>
      </c>
      <c r="AI245" s="387" t="s">
        <v>150</v>
      </c>
      <c r="AJ245" s="387" t="s">
        <v>150</v>
      </c>
      <c r="AK245" s="387" t="s">
        <v>150</v>
      </c>
      <c r="AL245" s="387" t="s">
        <v>150</v>
      </c>
      <c r="AM245" s="387" t="s">
        <v>150</v>
      </c>
      <c r="AN245" s="387" t="s">
        <v>150</v>
      </c>
      <c r="AO245" s="387" t="s">
        <v>150</v>
      </c>
      <c r="AP245" s="387" t="s">
        <v>150</v>
      </c>
      <c r="AQ245" s="387" t="s">
        <v>150</v>
      </c>
      <c r="AR245" s="387" t="s">
        <v>150</v>
      </c>
      <c r="AS245" s="387" t="s">
        <v>150</v>
      </c>
      <c r="AT245" s="858"/>
      <c r="AU245" s="889" t="s">
        <v>1030</v>
      </c>
      <c r="AV245" s="860"/>
    </row>
    <row r="246">
      <c r="A246" s="80"/>
      <c r="B246" s="81"/>
      <c r="C246" s="325"/>
      <c r="D246" s="81"/>
      <c r="E246" s="553" t="s">
        <v>439</v>
      </c>
      <c r="F246" s="215" t="s">
        <v>453</v>
      </c>
      <c r="G246" s="277" t="s">
        <v>203</v>
      </c>
      <c r="H246" s="888">
        <v>500.0</v>
      </c>
      <c r="I246" s="387" t="s">
        <v>150</v>
      </c>
      <c r="J246" s="387" t="s">
        <v>150</v>
      </c>
      <c r="K246" s="387" t="s">
        <v>150</v>
      </c>
      <c r="L246" s="387" t="s">
        <v>150</v>
      </c>
      <c r="M246" s="387" t="s">
        <v>150</v>
      </c>
      <c r="N246" s="387" t="s">
        <v>150</v>
      </c>
      <c r="O246" s="387" t="s">
        <v>150</v>
      </c>
      <c r="P246" s="387" t="s">
        <v>150</v>
      </c>
      <c r="Q246" s="387" t="s">
        <v>150</v>
      </c>
      <c r="R246" s="387" t="s">
        <v>150</v>
      </c>
      <c r="S246" s="387" t="s">
        <v>150</v>
      </c>
      <c r="T246" s="387" t="s">
        <v>150</v>
      </c>
      <c r="U246" s="387" t="s">
        <v>150</v>
      </c>
      <c r="V246" s="387" t="s">
        <v>150</v>
      </c>
      <c r="W246" s="387" t="s">
        <v>150</v>
      </c>
      <c r="X246" s="387" t="s">
        <v>150</v>
      </c>
      <c r="Y246" s="387" t="s">
        <v>150</v>
      </c>
      <c r="Z246" s="387" t="s">
        <v>150</v>
      </c>
      <c r="AA246" s="387" t="s">
        <v>150</v>
      </c>
      <c r="AB246" s="387" t="s">
        <v>150</v>
      </c>
      <c r="AC246" s="387" t="s">
        <v>150</v>
      </c>
      <c r="AD246" s="387" t="s">
        <v>150</v>
      </c>
      <c r="AE246" s="387" t="s">
        <v>150</v>
      </c>
      <c r="AF246" s="387" t="s">
        <v>150</v>
      </c>
      <c r="AG246" s="387" t="s">
        <v>150</v>
      </c>
      <c r="AH246" s="387" t="s">
        <v>150</v>
      </c>
      <c r="AI246" s="387" t="s">
        <v>150</v>
      </c>
      <c r="AJ246" s="387" t="s">
        <v>150</v>
      </c>
      <c r="AK246" s="387" t="s">
        <v>150</v>
      </c>
      <c r="AL246" s="387" t="s">
        <v>150</v>
      </c>
      <c r="AM246" s="387" t="s">
        <v>150</v>
      </c>
      <c r="AN246" s="387" t="s">
        <v>150</v>
      </c>
      <c r="AO246" s="387" t="s">
        <v>150</v>
      </c>
      <c r="AP246" s="387" t="s">
        <v>150</v>
      </c>
      <c r="AQ246" s="387" t="s">
        <v>150</v>
      </c>
      <c r="AR246" s="387" t="s">
        <v>150</v>
      </c>
      <c r="AS246" s="387" t="s">
        <v>150</v>
      </c>
      <c r="AT246" s="858"/>
      <c r="AU246" s="889" t="s">
        <v>1030</v>
      </c>
      <c r="AV246" s="860"/>
    </row>
    <row r="247">
      <c r="A247" s="80"/>
      <c r="B247" s="81"/>
      <c r="C247" s="325"/>
      <c r="D247" s="81"/>
      <c r="E247" s="553" t="s">
        <v>444</v>
      </c>
      <c r="F247" s="215" t="s">
        <v>453</v>
      </c>
      <c r="G247" s="277" t="s">
        <v>203</v>
      </c>
      <c r="H247" s="888">
        <v>500.0</v>
      </c>
      <c r="I247" s="387" t="s">
        <v>150</v>
      </c>
      <c r="J247" s="387" t="s">
        <v>150</v>
      </c>
      <c r="K247" s="387" t="s">
        <v>150</v>
      </c>
      <c r="L247" s="387" t="s">
        <v>150</v>
      </c>
      <c r="M247" s="387" t="s">
        <v>150</v>
      </c>
      <c r="N247" s="387" t="s">
        <v>150</v>
      </c>
      <c r="O247" s="387" t="s">
        <v>150</v>
      </c>
      <c r="P247" s="387" t="s">
        <v>150</v>
      </c>
      <c r="Q247" s="387" t="s">
        <v>150</v>
      </c>
      <c r="R247" s="387" t="s">
        <v>150</v>
      </c>
      <c r="S247" s="387" t="s">
        <v>150</v>
      </c>
      <c r="T247" s="387" t="s">
        <v>150</v>
      </c>
      <c r="U247" s="387" t="s">
        <v>150</v>
      </c>
      <c r="V247" s="387" t="s">
        <v>150</v>
      </c>
      <c r="W247" s="387" t="s">
        <v>150</v>
      </c>
      <c r="X247" s="387" t="s">
        <v>150</v>
      </c>
      <c r="Y247" s="387" t="s">
        <v>150</v>
      </c>
      <c r="Z247" s="387" t="s">
        <v>150</v>
      </c>
      <c r="AA247" s="387" t="s">
        <v>150</v>
      </c>
      <c r="AB247" s="387" t="s">
        <v>150</v>
      </c>
      <c r="AC247" s="387" t="s">
        <v>150</v>
      </c>
      <c r="AD247" s="387" t="s">
        <v>150</v>
      </c>
      <c r="AE247" s="387" t="s">
        <v>150</v>
      </c>
      <c r="AF247" s="387" t="s">
        <v>150</v>
      </c>
      <c r="AG247" s="387" t="s">
        <v>150</v>
      </c>
      <c r="AH247" s="387" t="s">
        <v>150</v>
      </c>
      <c r="AI247" s="387" t="s">
        <v>150</v>
      </c>
      <c r="AJ247" s="387" t="s">
        <v>150</v>
      </c>
      <c r="AK247" s="387" t="s">
        <v>150</v>
      </c>
      <c r="AL247" s="387" t="s">
        <v>150</v>
      </c>
      <c r="AM247" s="387" t="s">
        <v>150</v>
      </c>
      <c r="AN247" s="387" t="s">
        <v>150</v>
      </c>
      <c r="AO247" s="387" t="s">
        <v>150</v>
      </c>
      <c r="AP247" s="387" t="s">
        <v>150</v>
      </c>
      <c r="AQ247" s="387" t="s">
        <v>150</v>
      </c>
      <c r="AR247" s="387" t="s">
        <v>150</v>
      </c>
      <c r="AS247" s="387" t="s">
        <v>150</v>
      </c>
      <c r="AT247" s="858"/>
      <c r="AU247" s="889" t="s">
        <v>1030</v>
      </c>
      <c r="AV247" s="860"/>
    </row>
    <row r="248">
      <c r="A248" s="80"/>
      <c r="B248" s="81"/>
      <c r="C248" s="325"/>
      <c r="D248" s="81"/>
      <c r="E248" s="553" t="s">
        <v>447</v>
      </c>
      <c r="F248" s="215" t="s">
        <v>453</v>
      </c>
      <c r="G248" s="277" t="s">
        <v>203</v>
      </c>
      <c r="H248" s="888">
        <v>2000.0</v>
      </c>
      <c r="I248" s="387" t="s">
        <v>150</v>
      </c>
      <c r="J248" s="387" t="s">
        <v>150</v>
      </c>
      <c r="K248" s="387" t="s">
        <v>150</v>
      </c>
      <c r="L248" s="387" t="s">
        <v>150</v>
      </c>
      <c r="M248" s="387" t="s">
        <v>150</v>
      </c>
      <c r="N248" s="387" t="s">
        <v>150</v>
      </c>
      <c r="O248" s="387" t="s">
        <v>150</v>
      </c>
      <c r="P248" s="387" t="s">
        <v>150</v>
      </c>
      <c r="Q248" s="387" t="s">
        <v>150</v>
      </c>
      <c r="R248" s="387" t="s">
        <v>150</v>
      </c>
      <c r="S248" s="387" t="s">
        <v>150</v>
      </c>
      <c r="T248" s="387" t="s">
        <v>150</v>
      </c>
      <c r="U248" s="387" t="s">
        <v>150</v>
      </c>
      <c r="V248" s="387" t="s">
        <v>150</v>
      </c>
      <c r="W248" s="387" t="s">
        <v>150</v>
      </c>
      <c r="X248" s="387" t="s">
        <v>150</v>
      </c>
      <c r="Y248" s="387" t="s">
        <v>150</v>
      </c>
      <c r="Z248" s="387" t="s">
        <v>150</v>
      </c>
      <c r="AA248" s="387" t="s">
        <v>150</v>
      </c>
      <c r="AB248" s="387" t="s">
        <v>150</v>
      </c>
      <c r="AC248" s="387" t="s">
        <v>150</v>
      </c>
      <c r="AD248" s="387" t="s">
        <v>150</v>
      </c>
      <c r="AE248" s="387" t="s">
        <v>150</v>
      </c>
      <c r="AF248" s="387" t="s">
        <v>150</v>
      </c>
      <c r="AG248" s="387" t="s">
        <v>150</v>
      </c>
      <c r="AH248" s="387" t="s">
        <v>150</v>
      </c>
      <c r="AI248" s="387" t="s">
        <v>150</v>
      </c>
      <c r="AJ248" s="387" t="s">
        <v>150</v>
      </c>
      <c r="AK248" s="387" t="s">
        <v>150</v>
      </c>
      <c r="AL248" s="387" t="s">
        <v>150</v>
      </c>
      <c r="AM248" s="387" t="s">
        <v>150</v>
      </c>
      <c r="AN248" s="387" t="s">
        <v>150</v>
      </c>
      <c r="AO248" s="387" t="s">
        <v>150</v>
      </c>
      <c r="AP248" s="387" t="s">
        <v>150</v>
      </c>
      <c r="AQ248" s="387" t="s">
        <v>150</v>
      </c>
      <c r="AR248" s="387" t="s">
        <v>150</v>
      </c>
      <c r="AS248" s="387" t="s">
        <v>150</v>
      </c>
      <c r="AT248" s="858"/>
      <c r="AU248" s="889" t="s">
        <v>1030</v>
      </c>
      <c r="AV248" s="860"/>
    </row>
    <row r="249">
      <c r="A249" s="80"/>
      <c r="B249" s="81"/>
      <c r="C249" s="325"/>
      <c r="D249" s="81"/>
      <c r="E249" s="548" t="s">
        <v>457</v>
      </c>
      <c r="F249" s="189" t="s">
        <v>453</v>
      </c>
      <c r="G249" s="263" t="s">
        <v>203</v>
      </c>
      <c r="H249" s="890">
        <f>1/0.00276</f>
        <v>362.3188406</v>
      </c>
      <c r="I249" s="489" t="s">
        <v>150</v>
      </c>
      <c r="J249" s="489" t="s">
        <v>150</v>
      </c>
      <c r="K249" s="489" t="s">
        <v>150</v>
      </c>
      <c r="L249" s="489" t="s">
        <v>150</v>
      </c>
      <c r="M249" s="489" t="s">
        <v>150</v>
      </c>
      <c r="N249" s="489" t="s">
        <v>150</v>
      </c>
      <c r="O249" s="489" t="s">
        <v>150</v>
      </c>
      <c r="P249" s="489" t="s">
        <v>150</v>
      </c>
      <c r="Q249" s="489" t="s">
        <v>150</v>
      </c>
      <c r="R249" s="489" t="s">
        <v>150</v>
      </c>
      <c r="S249" s="489" t="s">
        <v>150</v>
      </c>
      <c r="T249" s="489" t="s">
        <v>150</v>
      </c>
      <c r="U249" s="489" t="s">
        <v>150</v>
      </c>
      <c r="V249" s="489" t="s">
        <v>150</v>
      </c>
      <c r="W249" s="489" t="s">
        <v>150</v>
      </c>
      <c r="X249" s="489" t="s">
        <v>150</v>
      </c>
      <c r="Y249" s="489" t="s">
        <v>150</v>
      </c>
      <c r="Z249" s="489" t="s">
        <v>150</v>
      </c>
      <c r="AA249" s="489" t="s">
        <v>150</v>
      </c>
      <c r="AB249" s="489" t="s">
        <v>150</v>
      </c>
      <c r="AC249" s="489" t="s">
        <v>150</v>
      </c>
      <c r="AD249" s="489" t="s">
        <v>150</v>
      </c>
      <c r="AE249" s="489" t="s">
        <v>150</v>
      </c>
      <c r="AF249" s="489" t="s">
        <v>150</v>
      </c>
      <c r="AG249" s="489" t="s">
        <v>150</v>
      </c>
      <c r="AH249" s="489" t="s">
        <v>150</v>
      </c>
      <c r="AI249" s="489" t="s">
        <v>150</v>
      </c>
      <c r="AJ249" s="489" t="s">
        <v>150</v>
      </c>
      <c r="AK249" s="489" t="s">
        <v>150</v>
      </c>
      <c r="AL249" s="489" t="s">
        <v>150</v>
      </c>
      <c r="AM249" s="489" t="s">
        <v>150</v>
      </c>
      <c r="AN249" s="489" t="s">
        <v>150</v>
      </c>
      <c r="AO249" s="489" t="s">
        <v>150</v>
      </c>
      <c r="AP249" s="489" t="s">
        <v>150</v>
      </c>
      <c r="AQ249" s="489" t="s">
        <v>150</v>
      </c>
      <c r="AR249" s="489" t="s">
        <v>150</v>
      </c>
      <c r="AS249" s="489" t="s">
        <v>150</v>
      </c>
      <c r="AT249" s="841"/>
      <c r="AU249" s="891" t="s">
        <v>1031</v>
      </c>
      <c r="AV249" s="855"/>
    </row>
    <row r="250">
      <c r="A250" s="80"/>
      <c r="B250" s="81"/>
      <c r="C250" s="325"/>
      <c r="D250" s="81"/>
      <c r="E250" s="553" t="s">
        <v>465</v>
      </c>
      <c r="F250" s="215" t="s">
        <v>111</v>
      </c>
      <c r="G250" s="277" t="s">
        <v>203</v>
      </c>
      <c r="H250" s="892">
        <v>6.8</v>
      </c>
      <c r="I250" s="387" t="s">
        <v>150</v>
      </c>
      <c r="J250" s="387" t="s">
        <v>150</v>
      </c>
      <c r="K250" s="387" t="s">
        <v>150</v>
      </c>
      <c r="L250" s="387" t="s">
        <v>150</v>
      </c>
      <c r="M250" s="387" t="s">
        <v>150</v>
      </c>
      <c r="N250" s="387" t="s">
        <v>150</v>
      </c>
      <c r="O250" s="387" t="s">
        <v>150</v>
      </c>
      <c r="P250" s="387" t="s">
        <v>150</v>
      </c>
      <c r="Q250" s="387" t="s">
        <v>150</v>
      </c>
      <c r="R250" s="387" t="s">
        <v>150</v>
      </c>
      <c r="S250" s="387" t="s">
        <v>150</v>
      </c>
      <c r="T250" s="387" t="s">
        <v>150</v>
      </c>
      <c r="U250" s="387" t="s">
        <v>150</v>
      </c>
      <c r="V250" s="387" t="s">
        <v>150</v>
      </c>
      <c r="W250" s="387" t="s">
        <v>150</v>
      </c>
      <c r="X250" s="387" t="s">
        <v>150</v>
      </c>
      <c r="Y250" s="387" t="s">
        <v>150</v>
      </c>
      <c r="Z250" s="387" t="s">
        <v>150</v>
      </c>
      <c r="AA250" s="387" t="s">
        <v>150</v>
      </c>
      <c r="AB250" s="387" t="s">
        <v>150</v>
      </c>
      <c r="AC250" s="387" t="s">
        <v>150</v>
      </c>
      <c r="AD250" s="387" t="s">
        <v>150</v>
      </c>
      <c r="AE250" s="387" t="s">
        <v>150</v>
      </c>
      <c r="AF250" s="387" t="s">
        <v>150</v>
      </c>
      <c r="AG250" s="387" t="s">
        <v>150</v>
      </c>
      <c r="AH250" s="387" t="s">
        <v>150</v>
      </c>
      <c r="AI250" s="387" t="s">
        <v>150</v>
      </c>
      <c r="AJ250" s="387" t="s">
        <v>150</v>
      </c>
      <c r="AK250" s="387" t="s">
        <v>150</v>
      </c>
      <c r="AL250" s="387" t="s">
        <v>150</v>
      </c>
      <c r="AM250" s="387" t="s">
        <v>150</v>
      </c>
      <c r="AN250" s="387" t="s">
        <v>150</v>
      </c>
      <c r="AO250" s="387" t="s">
        <v>150</v>
      </c>
      <c r="AP250" s="387" t="s">
        <v>150</v>
      </c>
      <c r="AQ250" s="387" t="s">
        <v>150</v>
      </c>
      <c r="AR250" s="387" t="s">
        <v>150</v>
      </c>
      <c r="AS250" s="387" t="s">
        <v>150</v>
      </c>
      <c r="AT250" s="858"/>
      <c r="AU250" s="556" t="s">
        <v>156</v>
      </c>
      <c r="AV250" s="860"/>
    </row>
    <row r="251">
      <c r="A251" s="80"/>
      <c r="B251" s="81"/>
      <c r="C251" s="325"/>
      <c r="D251" s="81"/>
      <c r="E251" s="558" t="s">
        <v>473</v>
      </c>
      <c r="F251" s="893" t="s">
        <v>118</v>
      </c>
      <c r="G251" s="894" t="s">
        <v>203</v>
      </c>
      <c r="H251" s="895">
        <v>285.92</v>
      </c>
      <c r="I251" s="396" t="s">
        <v>150</v>
      </c>
      <c r="J251" s="396" t="s">
        <v>150</v>
      </c>
      <c r="K251" s="396" t="s">
        <v>150</v>
      </c>
      <c r="L251" s="396" t="s">
        <v>150</v>
      </c>
      <c r="M251" s="396" t="s">
        <v>150</v>
      </c>
      <c r="N251" s="396" t="s">
        <v>150</v>
      </c>
      <c r="O251" s="396" t="s">
        <v>150</v>
      </c>
      <c r="P251" s="396" t="s">
        <v>150</v>
      </c>
      <c r="Q251" s="396" t="s">
        <v>150</v>
      </c>
      <c r="R251" s="396" t="s">
        <v>150</v>
      </c>
      <c r="S251" s="396" t="s">
        <v>150</v>
      </c>
      <c r="T251" s="396" t="s">
        <v>150</v>
      </c>
      <c r="U251" s="396" t="s">
        <v>150</v>
      </c>
      <c r="V251" s="396" t="s">
        <v>150</v>
      </c>
      <c r="W251" s="396" t="s">
        <v>150</v>
      </c>
      <c r="X251" s="396" t="s">
        <v>150</v>
      </c>
      <c r="Y251" s="396" t="s">
        <v>150</v>
      </c>
      <c r="Z251" s="396" t="s">
        <v>150</v>
      </c>
      <c r="AA251" s="396" t="s">
        <v>150</v>
      </c>
      <c r="AB251" s="396" t="s">
        <v>150</v>
      </c>
      <c r="AC251" s="396" t="s">
        <v>150</v>
      </c>
      <c r="AD251" s="396" t="s">
        <v>150</v>
      </c>
      <c r="AE251" s="396" t="s">
        <v>150</v>
      </c>
      <c r="AF251" s="396" t="s">
        <v>150</v>
      </c>
      <c r="AG251" s="396" t="s">
        <v>150</v>
      </c>
      <c r="AH251" s="396" t="s">
        <v>150</v>
      </c>
      <c r="AI251" s="396" t="s">
        <v>150</v>
      </c>
      <c r="AJ251" s="396" t="s">
        <v>150</v>
      </c>
      <c r="AK251" s="396" t="s">
        <v>150</v>
      </c>
      <c r="AL251" s="396" t="s">
        <v>150</v>
      </c>
      <c r="AM251" s="396" t="s">
        <v>150</v>
      </c>
      <c r="AN251" s="396" t="s">
        <v>150</v>
      </c>
      <c r="AO251" s="396" t="s">
        <v>150</v>
      </c>
      <c r="AP251" s="396" t="s">
        <v>150</v>
      </c>
      <c r="AQ251" s="396" t="s">
        <v>150</v>
      </c>
      <c r="AR251" s="396" t="s">
        <v>150</v>
      </c>
      <c r="AS251" s="396" t="s">
        <v>150</v>
      </c>
      <c r="AT251" s="845"/>
      <c r="AU251" s="164" t="s">
        <v>1032</v>
      </c>
      <c r="AV251" s="864"/>
    </row>
    <row r="252">
      <c r="A252" s="80"/>
      <c r="B252" s="81"/>
      <c r="C252" s="325"/>
      <c r="D252" s="81"/>
      <c r="E252" s="102"/>
      <c r="F252" s="83"/>
      <c r="G252" s="84"/>
      <c r="H252" s="522"/>
      <c r="I252" s="378"/>
      <c r="J252" s="378"/>
      <c r="K252" s="378"/>
      <c r="L252" s="378"/>
      <c r="M252" s="378"/>
      <c r="N252" s="378"/>
      <c r="O252" s="378"/>
      <c r="P252" s="378"/>
      <c r="Q252" s="378"/>
      <c r="R252" s="378"/>
      <c r="S252" s="378"/>
      <c r="T252" s="378"/>
      <c r="U252" s="378"/>
      <c r="V252" s="378"/>
      <c r="W252" s="378"/>
      <c r="X252" s="378"/>
      <c r="Y252" s="378"/>
      <c r="Z252" s="378"/>
      <c r="AA252" s="378"/>
      <c r="AB252" s="378"/>
      <c r="AC252" s="378"/>
      <c r="AD252" s="378"/>
      <c r="AE252" s="378"/>
      <c r="AF252" s="378"/>
      <c r="AG252" s="378"/>
      <c r="AH252" s="378"/>
      <c r="AI252" s="378"/>
      <c r="AJ252" s="378"/>
      <c r="AK252" s="378"/>
      <c r="AL252" s="378"/>
      <c r="AM252" s="378"/>
      <c r="AN252" s="378"/>
      <c r="AO252" s="378"/>
      <c r="AP252" s="378"/>
      <c r="AQ252" s="378"/>
      <c r="AR252" s="378"/>
      <c r="AS252" s="378"/>
      <c r="AT252" s="139"/>
      <c r="AU252" s="523"/>
      <c r="AV252" s="524"/>
    </row>
    <row r="253">
      <c r="A253" s="72" t="s">
        <v>485</v>
      </c>
      <c r="B253" s="14"/>
      <c r="C253" s="14"/>
      <c r="D253" s="14"/>
      <c r="E253" s="14"/>
      <c r="F253" s="14"/>
      <c r="G253" s="482"/>
      <c r="H253" s="518"/>
      <c r="I253" s="519"/>
      <c r="J253" s="519"/>
      <c r="K253" s="519"/>
      <c r="L253" s="519"/>
      <c r="M253" s="519"/>
      <c r="N253" s="519"/>
      <c r="O253" s="519"/>
      <c r="P253" s="519"/>
      <c r="Q253" s="519"/>
      <c r="R253" s="519"/>
      <c r="S253" s="519"/>
      <c r="T253" s="519"/>
      <c r="U253" s="519"/>
      <c r="V253" s="519"/>
      <c r="W253" s="519"/>
      <c r="X253" s="519"/>
      <c r="Y253" s="519"/>
      <c r="Z253" s="519"/>
      <c r="AA253" s="519"/>
      <c r="AB253" s="519"/>
      <c r="AC253" s="519"/>
      <c r="AD253" s="519"/>
      <c r="AE253" s="519"/>
      <c r="AF253" s="519"/>
      <c r="AG253" s="519"/>
      <c r="AH253" s="519"/>
      <c r="AI253" s="519"/>
      <c r="AJ253" s="519"/>
      <c r="AK253" s="519"/>
      <c r="AL253" s="519"/>
      <c r="AM253" s="519"/>
      <c r="AN253" s="519"/>
      <c r="AO253" s="519"/>
      <c r="AP253" s="519"/>
      <c r="AQ253" s="519"/>
      <c r="AR253" s="519"/>
      <c r="AS253" s="519"/>
      <c r="AT253" s="898"/>
      <c r="AU253" s="899"/>
      <c r="AV253" s="521"/>
    </row>
    <row r="254">
      <c r="A254" s="80"/>
      <c r="B254" s="81"/>
      <c r="C254" s="81"/>
      <c r="D254" s="81"/>
      <c r="E254" s="102"/>
      <c r="F254" s="83"/>
      <c r="G254" s="84"/>
      <c r="H254" s="522"/>
      <c r="I254" s="378"/>
      <c r="J254" s="378"/>
      <c r="K254" s="378"/>
      <c r="L254" s="378"/>
      <c r="M254" s="378"/>
      <c r="N254" s="378"/>
      <c r="O254" s="378"/>
      <c r="P254" s="378"/>
      <c r="Q254" s="378"/>
      <c r="R254" s="378"/>
      <c r="S254" s="378"/>
      <c r="T254" s="378"/>
      <c r="U254" s="378"/>
      <c r="V254" s="378"/>
      <c r="W254" s="378"/>
      <c r="X254" s="378"/>
      <c r="Y254" s="378"/>
      <c r="Z254" s="378"/>
      <c r="AA254" s="378"/>
      <c r="AB254" s="378"/>
      <c r="AC254" s="378"/>
      <c r="AD254" s="378"/>
      <c r="AE254" s="378"/>
      <c r="AF254" s="378"/>
      <c r="AG254" s="378"/>
      <c r="AH254" s="378"/>
      <c r="AI254" s="378"/>
      <c r="AJ254" s="378"/>
      <c r="AK254" s="378"/>
      <c r="AL254" s="378"/>
      <c r="AM254" s="378"/>
      <c r="AN254" s="378"/>
      <c r="AO254" s="378"/>
      <c r="AP254" s="378"/>
      <c r="AQ254" s="378"/>
      <c r="AR254" s="378"/>
      <c r="AS254" s="378"/>
      <c r="AT254" s="139"/>
      <c r="AU254" s="523"/>
      <c r="AV254" s="524"/>
    </row>
    <row r="255">
      <c r="A255" s="80"/>
      <c r="B255" s="81"/>
      <c r="C255" s="325" t="s">
        <v>485</v>
      </c>
      <c r="F255" s="83"/>
      <c r="G255" s="84"/>
      <c r="H255" s="522"/>
      <c r="I255" s="378"/>
      <c r="J255" s="378"/>
      <c r="K255" s="378"/>
      <c r="L255" s="378"/>
      <c r="M255" s="378"/>
      <c r="N255" s="378"/>
      <c r="O255" s="378"/>
      <c r="P255" s="378"/>
      <c r="Q255" s="378"/>
      <c r="R255" s="378"/>
      <c r="S255" s="378"/>
      <c r="T255" s="378"/>
      <c r="U255" s="378"/>
      <c r="V255" s="378"/>
      <c r="W255" s="378"/>
      <c r="X255" s="378"/>
      <c r="Y255" s="378"/>
      <c r="Z255" s="378"/>
      <c r="AA255" s="378"/>
      <c r="AB255" s="378"/>
      <c r="AC255" s="378"/>
      <c r="AD255" s="378"/>
      <c r="AE255" s="378"/>
      <c r="AF255" s="378"/>
      <c r="AG255" s="378"/>
      <c r="AH255" s="378"/>
      <c r="AI255" s="378"/>
      <c r="AJ255" s="378"/>
      <c r="AK255" s="378"/>
      <c r="AL255" s="378"/>
      <c r="AM255" s="378"/>
      <c r="AN255" s="378"/>
      <c r="AO255" s="378"/>
      <c r="AP255" s="378"/>
      <c r="AQ255" s="378"/>
      <c r="AR255" s="378"/>
      <c r="AS255" s="378"/>
      <c r="AT255" s="139"/>
      <c r="AU255" s="523"/>
      <c r="AV255" s="524"/>
    </row>
    <row r="256">
      <c r="A256" s="80"/>
      <c r="B256" s="81"/>
      <c r="C256" s="81"/>
      <c r="D256" s="81"/>
      <c r="E256" s="548" t="s">
        <v>396</v>
      </c>
      <c r="F256" s="189" t="s">
        <v>127</v>
      </c>
      <c r="G256" s="263" t="s">
        <v>203</v>
      </c>
      <c r="H256" s="900">
        <v>116.25262</v>
      </c>
      <c r="I256" s="489" t="s">
        <v>150</v>
      </c>
      <c r="J256" s="489" t="s">
        <v>150</v>
      </c>
      <c r="K256" s="489" t="s">
        <v>150</v>
      </c>
      <c r="L256" s="489" t="s">
        <v>150</v>
      </c>
      <c r="M256" s="489" t="s">
        <v>150</v>
      </c>
      <c r="N256" s="489" t="s">
        <v>150</v>
      </c>
      <c r="O256" s="489" t="s">
        <v>150</v>
      </c>
      <c r="P256" s="489" t="s">
        <v>150</v>
      </c>
      <c r="Q256" s="489" t="s">
        <v>150</v>
      </c>
      <c r="R256" s="489" t="s">
        <v>150</v>
      </c>
      <c r="S256" s="489" t="s">
        <v>150</v>
      </c>
      <c r="T256" s="489" t="s">
        <v>150</v>
      </c>
      <c r="U256" s="489" t="s">
        <v>150</v>
      </c>
      <c r="V256" s="489" t="s">
        <v>150</v>
      </c>
      <c r="W256" s="489" t="s">
        <v>150</v>
      </c>
      <c r="X256" s="489" t="s">
        <v>150</v>
      </c>
      <c r="Y256" s="489" t="s">
        <v>150</v>
      </c>
      <c r="Z256" s="489" t="s">
        <v>150</v>
      </c>
      <c r="AA256" s="489" t="s">
        <v>150</v>
      </c>
      <c r="AB256" s="489" t="s">
        <v>150</v>
      </c>
      <c r="AC256" s="489" t="s">
        <v>150</v>
      </c>
      <c r="AD256" s="489" t="s">
        <v>150</v>
      </c>
      <c r="AE256" s="489" t="s">
        <v>150</v>
      </c>
      <c r="AF256" s="489" t="s">
        <v>150</v>
      </c>
      <c r="AG256" s="489" t="s">
        <v>150</v>
      </c>
      <c r="AH256" s="489" t="s">
        <v>150</v>
      </c>
      <c r="AI256" s="489" t="s">
        <v>150</v>
      </c>
      <c r="AJ256" s="489" t="s">
        <v>150</v>
      </c>
      <c r="AK256" s="489" t="s">
        <v>150</v>
      </c>
      <c r="AL256" s="489" t="s">
        <v>150</v>
      </c>
      <c r="AM256" s="489" t="s">
        <v>150</v>
      </c>
      <c r="AN256" s="489" t="s">
        <v>150</v>
      </c>
      <c r="AO256" s="489" t="s">
        <v>150</v>
      </c>
      <c r="AP256" s="489" t="s">
        <v>150</v>
      </c>
      <c r="AQ256" s="489" t="s">
        <v>150</v>
      </c>
      <c r="AR256" s="489" t="s">
        <v>150</v>
      </c>
      <c r="AS256" s="489" t="s">
        <v>150</v>
      </c>
      <c r="AT256" s="901"/>
      <c r="AU256" s="854" t="s">
        <v>1033</v>
      </c>
      <c r="AV256" s="902" t="s">
        <v>160</v>
      </c>
    </row>
    <row r="257">
      <c r="A257" s="80"/>
      <c r="B257" s="81"/>
      <c r="C257" s="81"/>
      <c r="D257" s="81"/>
      <c r="E257" s="548" t="s">
        <v>403</v>
      </c>
      <c r="F257" s="353" t="s">
        <v>127</v>
      </c>
      <c r="G257" s="354" t="s">
        <v>203</v>
      </c>
      <c r="H257" s="900">
        <v>133.7</v>
      </c>
      <c r="I257" s="489" t="s">
        <v>150</v>
      </c>
      <c r="J257" s="489" t="s">
        <v>150</v>
      </c>
      <c r="K257" s="489" t="s">
        <v>150</v>
      </c>
      <c r="L257" s="489" t="s">
        <v>150</v>
      </c>
      <c r="M257" s="489" t="s">
        <v>150</v>
      </c>
      <c r="N257" s="489" t="s">
        <v>150</v>
      </c>
      <c r="O257" s="489" t="s">
        <v>150</v>
      </c>
      <c r="P257" s="489" t="s">
        <v>150</v>
      </c>
      <c r="Q257" s="489" t="s">
        <v>150</v>
      </c>
      <c r="R257" s="489" t="s">
        <v>150</v>
      </c>
      <c r="S257" s="489" t="s">
        <v>150</v>
      </c>
      <c r="T257" s="489" t="s">
        <v>150</v>
      </c>
      <c r="U257" s="489" t="s">
        <v>150</v>
      </c>
      <c r="V257" s="489" t="s">
        <v>150</v>
      </c>
      <c r="W257" s="489" t="s">
        <v>150</v>
      </c>
      <c r="X257" s="489" t="s">
        <v>150</v>
      </c>
      <c r="Y257" s="489" t="s">
        <v>150</v>
      </c>
      <c r="Z257" s="489" t="s">
        <v>150</v>
      </c>
      <c r="AA257" s="489" t="s">
        <v>150</v>
      </c>
      <c r="AB257" s="489" t="s">
        <v>150</v>
      </c>
      <c r="AC257" s="489" t="s">
        <v>150</v>
      </c>
      <c r="AD257" s="489" t="s">
        <v>150</v>
      </c>
      <c r="AE257" s="489" t="s">
        <v>150</v>
      </c>
      <c r="AF257" s="489" t="s">
        <v>150</v>
      </c>
      <c r="AG257" s="489" t="s">
        <v>150</v>
      </c>
      <c r="AH257" s="489" t="s">
        <v>150</v>
      </c>
      <c r="AI257" s="489" t="s">
        <v>150</v>
      </c>
      <c r="AJ257" s="489" t="s">
        <v>150</v>
      </c>
      <c r="AK257" s="489" t="s">
        <v>150</v>
      </c>
      <c r="AL257" s="489" t="s">
        <v>150</v>
      </c>
      <c r="AM257" s="489" t="s">
        <v>150</v>
      </c>
      <c r="AN257" s="489" t="s">
        <v>150</v>
      </c>
      <c r="AO257" s="489" t="s">
        <v>150</v>
      </c>
      <c r="AP257" s="489" t="s">
        <v>150</v>
      </c>
      <c r="AQ257" s="489" t="s">
        <v>150</v>
      </c>
      <c r="AR257" s="489" t="s">
        <v>150</v>
      </c>
      <c r="AS257" s="489" t="s">
        <v>150</v>
      </c>
      <c r="AT257" s="901"/>
      <c r="AU257" s="854" t="s">
        <v>1033</v>
      </c>
      <c r="AV257" s="902" t="s">
        <v>160</v>
      </c>
    </row>
    <row r="258">
      <c r="A258" s="80"/>
      <c r="B258" s="81"/>
      <c r="C258" s="81"/>
      <c r="D258" s="81"/>
      <c r="E258" s="548" t="s">
        <v>503</v>
      </c>
      <c r="F258" s="353" t="s">
        <v>127</v>
      </c>
      <c r="G258" s="354" t="s">
        <v>203</v>
      </c>
      <c r="H258" s="903">
        <v>103.58571</v>
      </c>
      <c r="I258" s="489" t="s">
        <v>150</v>
      </c>
      <c r="J258" s="489" t="s">
        <v>150</v>
      </c>
      <c r="K258" s="489" t="s">
        <v>150</v>
      </c>
      <c r="L258" s="489" t="s">
        <v>150</v>
      </c>
      <c r="M258" s="489" t="s">
        <v>150</v>
      </c>
      <c r="N258" s="489" t="s">
        <v>150</v>
      </c>
      <c r="O258" s="489" t="s">
        <v>150</v>
      </c>
      <c r="P258" s="489" t="s">
        <v>150</v>
      </c>
      <c r="Q258" s="489" t="s">
        <v>150</v>
      </c>
      <c r="R258" s="489" t="s">
        <v>150</v>
      </c>
      <c r="S258" s="489" t="s">
        <v>150</v>
      </c>
      <c r="T258" s="489" t="s">
        <v>150</v>
      </c>
      <c r="U258" s="489" t="s">
        <v>150</v>
      </c>
      <c r="V258" s="489" t="s">
        <v>150</v>
      </c>
      <c r="W258" s="489" t="s">
        <v>150</v>
      </c>
      <c r="X258" s="489" t="s">
        <v>150</v>
      </c>
      <c r="Y258" s="489" t="s">
        <v>150</v>
      </c>
      <c r="Z258" s="489" t="s">
        <v>150</v>
      </c>
      <c r="AA258" s="489" t="s">
        <v>150</v>
      </c>
      <c r="AB258" s="489" t="s">
        <v>150</v>
      </c>
      <c r="AC258" s="489" t="s">
        <v>150</v>
      </c>
      <c r="AD258" s="489" t="s">
        <v>150</v>
      </c>
      <c r="AE258" s="489" t="s">
        <v>150</v>
      </c>
      <c r="AF258" s="489" t="s">
        <v>150</v>
      </c>
      <c r="AG258" s="489" t="s">
        <v>150</v>
      </c>
      <c r="AH258" s="489" t="s">
        <v>150</v>
      </c>
      <c r="AI258" s="489" t="s">
        <v>150</v>
      </c>
      <c r="AJ258" s="489" t="s">
        <v>150</v>
      </c>
      <c r="AK258" s="489" t="s">
        <v>150</v>
      </c>
      <c r="AL258" s="489" t="s">
        <v>150</v>
      </c>
      <c r="AM258" s="489" t="s">
        <v>150</v>
      </c>
      <c r="AN258" s="489" t="s">
        <v>150</v>
      </c>
      <c r="AO258" s="489" t="s">
        <v>150</v>
      </c>
      <c r="AP258" s="489" t="s">
        <v>150</v>
      </c>
      <c r="AQ258" s="489" t="s">
        <v>150</v>
      </c>
      <c r="AR258" s="489" t="s">
        <v>150</v>
      </c>
      <c r="AS258" s="489" t="s">
        <v>150</v>
      </c>
      <c r="AT258" s="904"/>
      <c r="AU258" s="854" t="s">
        <v>1033</v>
      </c>
      <c r="AV258" s="902" t="s">
        <v>160</v>
      </c>
    </row>
    <row r="259">
      <c r="A259" s="80"/>
      <c r="B259" s="81"/>
      <c r="C259" s="81"/>
      <c r="D259" s="81"/>
      <c r="E259" s="548" t="s">
        <v>509</v>
      </c>
      <c r="F259" s="353" t="s">
        <v>127</v>
      </c>
      <c r="G259" s="354" t="s">
        <v>203</v>
      </c>
      <c r="H259" s="903">
        <v>42.44</v>
      </c>
      <c r="I259" s="489" t="s">
        <v>150</v>
      </c>
      <c r="J259" s="489" t="s">
        <v>150</v>
      </c>
      <c r="K259" s="489" t="s">
        <v>150</v>
      </c>
      <c r="L259" s="489" t="s">
        <v>150</v>
      </c>
      <c r="M259" s="489" t="s">
        <v>150</v>
      </c>
      <c r="N259" s="489" t="s">
        <v>150</v>
      </c>
      <c r="O259" s="489" t="s">
        <v>150</v>
      </c>
      <c r="P259" s="489" t="s">
        <v>150</v>
      </c>
      <c r="Q259" s="489" t="s">
        <v>150</v>
      </c>
      <c r="R259" s="489" t="s">
        <v>150</v>
      </c>
      <c r="S259" s="489" t="s">
        <v>150</v>
      </c>
      <c r="T259" s="489" t="s">
        <v>150</v>
      </c>
      <c r="U259" s="489" t="s">
        <v>150</v>
      </c>
      <c r="V259" s="489" t="s">
        <v>150</v>
      </c>
      <c r="W259" s="489" t="s">
        <v>150</v>
      </c>
      <c r="X259" s="489" t="s">
        <v>150</v>
      </c>
      <c r="Y259" s="489" t="s">
        <v>150</v>
      </c>
      <c r="Z259" s="489" t="s">
        <v>150</v>
      </c>
      <c r="AA259" s="489" t="s">
        <v>150</v>
      </c>
      <c r="AB259" s="489" t="s">
        <v>150</v>
      </c>
      <c r="AC259" s="489" t="s">
        <v>150</v>
      </c>
      <c r="AD259" s="489" t="s">
        <v>150</v>
      </c>
      <c r="AE259" s="489" t="s">
        <v>150</v>
      </c>
      <c r="AF259" s="489" t="s">
        <v>150</v>
      </c>
      <c r="AG259" s="489" t="s">
        <v>150</v>
      </c>
      <c r="AH259" s="489" t="s">
        <v>150</v>
      </c>
      <c r="AI259" s="489" t="s">
        <v>150</v>
      </c>
      <c r="AJ259" s="489" t="s">
        <v>150</v>
      </c>
      <c r="AK259" s="489" t="s">
        <v>150</v>
      </c>
      <c r="AL259" s="489" t="s">
        <v>150</v>
      </c>
      <c r="AM259" s="489" t="s">
        <v>150</v>
      </c>
      <c r="AN259" s="489" t="s">
        <v>150</v>
      </c>
      <c r="AO259" s="489" t="s">
        <v>150</v>
      </c>
      <c r="AP259" s="489" t="s">
        <v>150</v>
      </c>
      <c r="AQ259" s="489" t="s">
        <v>150</v>
      </c>
      <c r="AR259" s="489" t="s">
        <v>150</v>
      </c>
      <c r="AS259" s="489" t="s">
        <v>150</v>
      </c>
      <c r="AT259" s="904"/>
      <c r="AU259" s="854" t="s">
        <v>1033</v>
      </c>
      <c r="AV259" s="902" t="s">
        <v>160</v>
      </c>
    </row>
    <row r="260">
      <c r="A260" s="80"/>
      <c r="B260" s="81"/>
      <c r="C260" s="81"/>
      <c r="D260" s="81"/>
      <c r="E260" s="553" t="s">
        <v>1034</v>
      </c>
      <c r="F260" s="215" t="s">
        <v>127</v>
      </c>
      <c r="G260" s="277" t="s">
        <v>203</v>
      </c>
      <c r="H260" s="905">
        <v>1.0</v>
      </c>
      <c r="I260" s="489" t="s">
        <v>150</v>
      </c>
      <c r="J260" s="489" t="s">
        <v>150</v>
      </c>
      <c r="K260" s="489" t="s">
        <v>150</v>
      </c>
      <c r="L260" s="489" t="s">
        <v>150</v>
      </c>
      <c r="M260" s="489" t="s">
        <v>150</v>
      </c>
      <c r="N260" s="489" t="s">
        <v>150</v>
      </c>
      <c r="O260" s="489" t="s">
        <v>150</v>
      </c>
      <c r="P260" s="489" t="s">
        <v>150</v>
      </c>
      <c r="Q260" s="489" t="s">
        <v>150</v>
      </c>
      <c r="R260" s="489" t="s">
        <v>150</v>
      </c>
      <c r="S260" s="489" t="s">
        <v>150</v>
      </c>
      <c r="T260" s="489" t="s">
        <v>150</v>
      </c>
      <c r="U260" s="489" t="s">
        <v>150</v>
      </c>
      <c r="V260" s="489" t="s">
        <v>150</v>
      </c>
      <c r="W260" s="489" t="s">
        <v>150</v>
      </c>
      <c r="X260" s="489" t="s">
        <v>150</v>
      </c>
      <c r="Y260" s="489" t="s">
        <v>150</v>
      </c>
      <c r="Z260" s="489" t="s">
        <v>150</v>
      </c>
      <c r="AA260" s="489" t="s">
        <v>150</v>
      </c>
      <c r="AB260" s="489" t="s">
        <v>150</v>
      </c>
      <c r="AC260" s="489" t="s">
        <v>150</v>
      </c>
      <c r="AD260" s="489" t="s">
        <v>150</v>
      </c>
      <c r="AE260" s="489" t="s">
        <v>150</v>
      </c>
      <c r="AF260" s="489" t="s">
        <v>150</v>
      </c>
      <c r="AG260" s="489" t="s">
        <v>150</v>
      </c>
      <c r="AH260" s="489" t="s">
        <v>150</v>
      </c>
      <c r="AI260" s="489" t="s">
        <v>150</v>
      </c>
      <c r="AJ260" s="489" t="s">
        <v>150</v>
      </c>
      <c r="AK260" s="489" t="s">
        <v>150</v>
      </c>
      <c r="AL260" s="489" t="s">
        <v>150</v>
      </c>
      <c r="AM260" s="489" t="s">
        <v>150</v>
      </c>
      <c r="AN260" s="489" t="s">
        <v>150</v>
      </c>
      <c r="AO260" s="489" t="s">
        <v>150</v>
      </c>
      <c r="AP260" s="489" t="s">
        <v>150</v>
      </c>
      <c r="AQ260" s="489" t="s">
        <v>150</v>
      </c>
      <c r="AR260" s="489" t="s">
        <v>150</v>
      </c>
      <c r="AS260" s="489" t="s">
        <v>150</v>
      </c>
      <c r="AT260" s="901"/>
      <c r="AU260" s="854" t="s">
        <v>1033</v>
      </c>
      <c r="AV260" s="902" t="s">
        <v>160</v>
      </c>
    </row>
    <row r="261">
      <c r="A261" s="80"/>
      <c r="B261" s="81"/>
      <c r="C261" s="81"/>
      <c r="D261" s="81"/>
      <c r="E261" s="558" t="s">
        <v>523</v>
      </c>
      <c r="F261" s="195" t="s">
        <v>127</v>
      </c>
      <c r="G261" s="316" t="s">
        <v>203</v>
      </c>
      <c r="H261" s="906">
        <f>H260/ln(2)</f>
        <v>1.442695041</v>
      </c>
      <c r="I261" s="396" t="s">
        <v>150</v>
      </c>
      <c r="J261" s="396" t="s">
        <v>150</v>
      </c>
      <c r="K261" s="396" t="s">
        <v>150</v>
      </c>
      <c r="L261" s="396" t="s">
        <v>150</v>
      </c>
      <c r="M261" s="396" t="s">
        <v>150</v>
      </c>
      <c r="N261" s="396" t="s">
        <v>150</v>
      </c>
      <c r="O261" s="396" t="s">
        <v>150</v>
      </c>
      <c r="P261" s="396" t="s">
        <v>150</v>
      </c>
      <c r="Q261" s="396" t="s">
        <v>150</v>
      </c>
      <c r="R261" s="396" t="s">
        <v>150</v>
      </c>
      <c r="S261" s="396" t="s">
        <v>150</v>
      </c>
      <c r="T261" s="396" t="s">
        <v>150</v>
      </c>
      <c r="U261" s="396" t="s">
        <v>150</v>
      </c>
      <c r="V261" s="396" t="s">
        <v>150</v>
      </c>
      <c r="W261" s="396" t="s">
        <v>150</v>
      </c>
      <c r="X261" s="396" t="s">
        <v>150</v>
      </c>
      <c r="Y261" s="396" t="s">
        <v>150</v>
      </c>
      <c r="Z261" s="396" t="s">
        <v>150</v>
      </c>
      <c r="AA261" s="396" t="s">
        <v>150</v>
      </c>
      <c r="AB261" s="396" t="s">
        <v>150</v>
      </c>
      <c r="AC261" s="396" t="s">
        <v>150</v>
      </c>
      <c r="AD261" s="396" t="s">
        <v>150</v>
      </c>
      <c r="AE261" s="396" t="s">
        <v>150</v>
      </c>
      <c r="AF261" s="396" t="s">
        <v>150</v>
      </c>
      <c r="AG261" s="396" t="s">
        <v>150</v>
      </c>
      <c r="AH261" s="396" t="s">
        <v>150</v>
      </c>
      <c r="AI261" s="396" t="s">
        <v>150</v>
      </c>
      <c r="AJ261" s="396" t="s">
        <v>150</v>
      </c>
      <c r="AK261" s="396" t="s">
        <v>150</v>
      </c>
      <c r="AL261" s="396" t="s">
        <v>150</v>
      </c>
      <c r="AM261" s="396" t="s">
        <v>150</v>
      </c>
      <c r="AN261" s="396" t="s">
        <v>150</v>
      </c>
      <c r="AO261" s="396" t="s">
        <v>150</v>
      </c>
      <c r="AP261" s="396" t="s">
        <v>150</v>
      </c>
      <c r="AQ261" s="396" t="s">
        <v>150</v>
      </c>
      <c r="AR261" s="396" t="s">
        <v>150</v>
      </c>
      <c r="AS261" s="396" t="s">
        <v>150</v>
      </c>
      <c r="AT261" s="845"/>
      <c r="AU261" s="527" t="s">
        <v>1033</v>
      </c>
      <c r="AV261" s="908" t="s">
        <v>160</v>
      </c>
    </row>
    <row r="262">
      <c r="A262" s="80"/>
      <c r="B262" s="81"/>
      <c r="C262" s="81"/>
      <c r="D262" s="81"/>
      <c r="E262" s="541"/>
      <c r="F262" s="108"/>
      <c r="G262" s="127"/>
      <c r="H262" s="909"/>
      <c r="I262" s="910"/>
      <c r="J262" s="910"/>
      <c r="K262" s="910"/>
      <c r="L262" s="910"/>
      <c r="M262" s="910"/>
      <c r="N262" s="910"/>
      <c r="O262" s="910"/>
      <c r="P262" s="910"/>
      <c r="Q262" s="910"/>
      <c r="R262" s="910"/>
      <c r="S262" s="910"/>
      <c r="T262" s="910"/>
      <c r="U262" s="910"/>
      <c r="V262" s="910"/>
      <c r="W262" s="910"/>
      <c r="X262" s="910"/>
      <c r="Y262" s="910"/>
      <c r="Z262" s="910"/>
      <c r="AA262" s="910"/>
      <c r="AB262" s="910"/>
      <c r="AC262" s="910"/>
      <c r="AD262" s="910"/>
      <c r="AE262" s="910"/>
      <c r="AF262" s="910"/>
      <c r="AG262" s="910"/>
      <c r="AH262" s="910"/>
      <c r="AI262" s="910"/>
      <c r="AJ262" s="910"/>
      <c r="AK262" s="910"/>
      <c r="AL262" s="910"/>
      <c r="AM262" s="910"/>
      <c r="AN262" s="910"/>
      <c r="AO262" s="910"/>
      <c r="AP262" s="910"/>
      <c r="AQ262" s="910"/>
      <c r="AR262" s="910"/>
      <c r="AS262" s="910"/>
      <c r="AT262" s="139"/>
      <c r="AU262" s="850"/>
      <c r="AV262" s="911"/>
    </row>
    <row r="263">
      <c r="A263" s="72" t="s">
        <v>532</v>
      </c>
      <c r="B263" s="14"/>
      <c r="C263" s="14"/>
      <c r="D263" s="14"/>
      <c r="E263" s="14"/>
      <c r="F263" s="14"/>
      <c r="G263" s="482"/>
      <c r="H263" s="518"/>
      <c r="I263" s="519"/>
      <c r="J263" s="519"/>
      <c r="K263" s="519"/>
      <c r="L263" s="519"/>
      <c r="M263" s="519"/>
      <c r="N263" s="519"/>
      <c r="O263" s="519"/>
      <c r="P263" s="519"/>
      <c r="Q263" s="519"/>
      <c r="R263" s="519"/>
      <c r="S263" s="519"/>
      <c r="T263" s="519"/>
      <c r="U263" s="519"/>
      <c r="V263" s="519"/>
      <c r="W263" s="519"/>
      <c r="X263" s="519"/>
      <c r="Y263" s="519"/>
      <c r="Z263" s="519"/>
      <c r="AA263" s="519"/>
      <c r="AB263" s="519"/>
      <c r="AC263" s="519"/>
      <c r="AD263" s="519"/>
      <c r="AE263" s="519"/>
      <c r="AF263" s="519"/>
      <c r="AG263" s="519"/>
      <c r="AH263" s="519"/>
      <c r="AI263" s="519"/>
      <c r="AJ263" s="519"/>
      <c r="AK263" s="519"/>
      <c r="AL263" s="519"/>
      <c r="AM263" s="519"/>
      <c r="AN263" s="519"/>
      <c r="AO263" s="519"/>
      <c r="AP263" s="519"/>
      <c r="AQ263" s="519"/>
      <c r="AR263" s="519"/>
      <c r="AS263" s="519"/>
      <c r="AT263" s="898"/>
      <c r="AU263" s="899"/>
      <c r="AV263" s="521"/>
    </row>
    <row r="264">
      <c r="A264" s="80"/>
      <c r="B264" s="81"/>
      <c r="C264" s="322"/>
      <c r="D264" s="81"/>
      <c r="E264" s="541"/>
      <c r="F264" s="108"/>
      <c r="G264" s="127"/>
      <c r="H264" s="912"/>
      <c r="I264" s="910"/>
      <c r="J264" s="910"/>
      <c r="K264" s="910"/>
      <c r="L264" s="910"/>
      <c r="M264" s="910"/>
      <c r="N264" s="910"/>
      <c r="O264" s="910"/>
      <c r="P264" s="910"/>
      <c r="Q264" s="910"/>
      <c r="R264" s="910"/>
      <c r="S264" s="910"/>
      <c r="T264" s="910"/>
      <c r="U264" s="910"/>
      <c r="V264" s="910"/>
      <c r="W264" s="910"/>
      <c r="X264" s="910"/>
      <c r="Y264" s="910"/>
      <c r="Z264" s="910"/>
      <c r="AA264" s="910"/>
      <c r="AB264" s="910"/>
      <c r="AC264" s="910"/>
      <c r="AD264" s="910"/>
      <c r="AE264" s="910"/>
      <c r="AF264" s="910"/>
      <c r="AG264" s="910"/>
      <c r="AH264" s="910"/>
      <c r="AI264" s="910"/>
      <c r="AJ264" s="910"/>
      <c r="AK264" s="910"/>
      <c r="AL264" s="910"/>
      <c r="AM264" s="910"/>
      <c r="AN264" s="910"/>
      <c r="AO264" s="910"/>
      <c r="AP264" s="910"/>
      <c r="AQ264" s="910"/>
      <c r="AR264" s="910"/>
      <c r="AS264" s="910"/>
      <c r="AT264" s="139"/>
      <c r="AU264" s="850"/>
      <c r="AV264" s="911"/>
    </row>
    <row r="265">
      <c r="A265" s="80"/>
      <c r="B265" s="81"/>
      <c r="C265" s="325" t="s">
        <v>1035</v>
      </c>
      <c r="F265" s="108"/>
      <c r="G265" s="127"/>
      <c r="H265" s="909"/>
      <c r="I265" s="910"/>
      <c r="J265" s="910"/>
      <c r="K265" s="910"/>
      <c r="L265" s="910"/>
      <c r="M265" s="910"/>
      <c r="N265" s="910"/>
      <c r="O265" s="910"/>
      <c r="P265" s="910"/>
      <c r="Q265" s="910"/>
      <c r="R265" s="910"/>
      <c r="S265" s="910"/>
      <c r="T265" s="910"/>
      <c r="U265" s="910"/>
      <c r="V265" s="910"/>
      <c r="W265" s="910"/>
      <c r="X265" s="910"/>
      <c r="Y265" s="910"/>
      <c r="Z265" s="910"/>
      <c r="AA265" s="910"/>
      <c r="AB265" s="910"/>
      <c r="AC265" s="910"/>
      <c r="AD265" s="910"/>
      <c r="AE265" s="910"/>
      <c r="AF265" s="910"/>
      <c r="AG265" s="910"/>
      <c r="AH265" s="910"/>
      <c r="AI265" s="910"/>
      <c r="AJ265" s="910"/>
      <c r="AK265" s="910"/>
      <c r="AL265" s="910"/>
      <c r="AM265" s="910"/>
      <c r="AN265" s="910"/>
      <c r="AO265" s="910"/>
      <c r="AP265" s="910"/>
      <c r="AQ265" s="910"/>
      <c r="AR265" s="910"/>
      <c r="AS265" s="910"/>
      <c r="AT265" s="139"/>
      <c r="AU265" s="850"/>
      <c r="AV265" s="911"/>
    </row>
    <row r="266">
      <c r="A266" s="80"/>
      <c r="B266" s="81"/>
      <c r="C266" s="81"/>
      <c r="D266" s="81"/>
      <c r="E266" s="530" t="s">
        <v>583</v>
      </c>
      <c r="F266" s="93" t="s">
        <v>127</v>
      </c>
      <c r="G266" s="128" t="s">
        <v>203</v>
      </c>
      <c r="H266" s="913">
        <v>0.0033545</v>
      </c>
      <c r="I266" s="914" t="s">
        <v>150</v>
      </c>
      <c r="J266" s="914" t="s">
        <v>150</v>
      </c>
      <c r="K266" s="914" t="s">
        <v>150</v>
      </c>
      <c r="L266" s="914" t="s">
        <v>150</v>
      </c>
      <c r="M266" s="914" t="s">
        <v>150</v>
      </c>
      <c r="N266" s="914" t="s">
        <v>150</v>
      </c>
      <c r="O266" s="914" t="s">
        <v>150</v>
      </c>
      <c r="P266" s="914" t="s">
        <v>150</v>
      </c>
      <c r="Q266" s="914" t="s">
        <v>150</v>
      </c>
      <c r="R266" s="914" t="s">
        <v>150</v>
      </c>
      <c r="S266" s="914" t="s">
        <v>150</v>
      </c>
      <c r="T266" s="914" t="s">
        <v>150</v>
      </c>
      <c r="U266" s="914" t="s">
        <v>150</v>
      </c>
      <c r="V266" s="914" t="s">
        <v>150</v>
      </c>
      <c r="W266" s="914" t="s">
        <v>150</v>
      </c>
      <c r="X266" s="914" t="s">
        <v>150</v>
      </c>
      <c r="Y266" s="914" t="s">
        <v>150</v>
      </c>
      <c r="Z266" s="914" t="s">
        <v>150</v>
      </c>
      <c r="AA266" s="914" t="s">
        <v>150</v>
      </c>
      <c r="AB266" s="914" t="s">
        <v>150</v>
      </c>
      <c r="AC266" s="914" t="s">
        <v>150</v>
      </c>
      <c r="AD266" s="914" t="s">
        <v>150</v>
      </c>
      <c r="AE266" s="914" t="s">
        <v>150</v>
      </c>
      <c r="AF266" s="914" t="s">
        <v>150</v>
      </c>
      <c r="AG266" s="914" t="s">
        <v>150</v>
      </c>
      <c r="AH266" s="914" t="s">
        <v>150</v>
      </c>
      <c r="AI266" s="914" t="s">
        <v>150</v>
      </c>
      <c r="AJ266" s="914" t="s">
        <v>150</v>
      </c>
      <c r="AK266" s="914" t="s">
        <v>150</v>
      </c>
      <c r="AL266" s="914" t="s">
        <v>150</v>
      </c>
      <c r="AM266" s="914" t="s">
        <v>150</v>
      </c>
      <c r="AN266" s="914" t="s">
        <v>150</v>
      </c>
      <c r="AO266" s="914" t="s">
        <v>150</v>
      </c>
      <c r="AP266" s="914" t="s">
        <v>150</v>
      </c>
      <c r="AQ266" s="914" t="s">
        <v>150</v>
      </c>
      <c r="AR266" s="914" t="s">
        <v>150</v>
      </c>
      <c r="AS266" s="914" t="s">
        <v>150</v>
      </c>
      <c r="AT266" s="166"/>
      <c r="AU266" s="527" t="s">
        <v>795</v>
      </c>
      <c r="AV266" s="915" t="s">
        <v>1036</v>
      </c>
    </row>
    <row r="267">
      <c r="A267" s="80"/>
      <c r="B267" s="81"/>
      <c r="C267" s="81"/>
      <c r="D267" s="81"/>
      <c r="E267" s="102"/>
      <c r="F267" s="83"/>
      <c r="G267" s="84"/>
      <c r="H267" s="522"/>
      <c r="I267" s="378"/>
      <c r="J267" s="378"/>
      <c r="K267" s="378"/>
      <c r="L267" s="378"/>
      <c r="M267" s="378"/>
      <c r="N267" s="378"/>
      <c r="O267" s="378"/>
      <c r="P267" s="378"/>
      <c r="Q267" s="378"/>
      <c r="R267" s="378"/>
      <c r="S267" s="378"/>
      <c r="T267" s="378"/>
      <c r="U267" s="378"/>
      <c r="V267" s="378"/>
      <c r="W267" s="378"/>
      <c r="X267" s="378"/>
      <c r="Y267" s="378"/>
      <c r="Z267" s="378"/>
      <c r="AA267" s="378"/>
      <c r="AB267" s="378"/>
      <c r="AC267" s="378"/>
      <c r="AD267" s="378"/>
      <c r="AE267" s="378"/>
      <c r="AF267" s="378"/>
      <c r="AG267" s="378"/>
      <c r="AH267" s="378"/>
      <c r="AI267" s="378"/>
      <c r="AJ267" s="378"/>
      <c r="AK267" s="378"/>
      <c r="AL267" s="378"/>
      <c r="AM267" s="378"/>
      <c r="AN267" s="378"/>
      <c r="AO267" s="378"/>
      <c r="AP267" s="378"/>
      <c r="AQ267" s="378"/>
      <c r="AR267" s="378"/>
      <c r="AS267" s="378"/>
      <c r="AT267" s="139"/>
      <c r="AU267" s="523"/>
      <c r="AV267" s="524"/>
    </row>
    <row r="268">
      <c r="A268" s="72" t="s">
        <v>612</v>
      </c>
      <c r="B268" s="14"/>
      <c r="C268" s="14"/>
      <c r="D268" s="14"/>
      <c r="E268" s="14"/>
      <c r="F268" s="14"/>
      <c r="G268" s="482"/>
      <c r="H268" s="518"/>
      <c r="I268" s="519"/>
      <c r="J268" s="519"/>
      <c r="K268" s="519"/>
      <c r="L268" s="519"/>
      <c r="M268" s="519"/>
      <c r="N268" s="519"/>
      <c r="O268" s="519"/>
      <c r="P268" s="519"/>
      <c r="Q268" s="519"/>
      <c r="R268" s="519"/>
      <c r="S268" s="519"/>
      <c r="T268" s="519"/>
      <c r="U268" s="519"/>
      <c r="V268" s="519"/>
      <c r="W268" s="519"/>
      <c r="X268" s="519"/>
      <c r="Y268" s="519"/>
      <c r="Z268" s="519"/>
      <c r="AA268" s="519"/>
      <c r="AB268" s="519"/>
      <c r="AC268" s="519"/>
      <c r="AD268" s="519"/>
      <c r="AE268" s="519"/>
      <c r="AF268" s="519"/>
      <c r="AG268" s="519"/>
      <c r="AH268" s="519"/>
      <c r="AI268" s="519"/>
      <c r="AJ268" s="519"/>
      <c r="AK268" s="519"/>
      <c r="AL268" s="519"/>
      <c r="AM268" s="519"/>
      <c r="AN268" s="519"/>
      <c r="AO268" s="519"/>
      <c r="AP268" s="519"/>
      <c r="AQ268" s="519"/>
      <c r="AR268" s="519"/>
      <c r="AS268" s="519"/>
      <c r="AT268" s="898"/>
      <c r="AU268" s="899"/>
      <c r="AV268" s="521"/>
    </row>
    <row r="269">
      <c r="A269" s="80"/>
      <c r="B269" s="81"/>
      <c r="C269" s="81"/>
      <c r="D269" s="81"/>
      <c r="E269" s="102"/>
      <c r="F269" s="83"/>
      <c r="G269" s="84"/>
      <c r="H269" s="522"/>
      <c r="I269" s="378"/>
      <c r="J269" s="378"/>
      <c r="K269" s="378"/>
      <c r="L269" s="378"/>
      <c r="M269" s="378"/>
      <c r="N269" s="378"/>
      <c r="O269" s="378"/>
      <c r="P269" s="378"/>
      <c r="Q269" s="378"/>
      <c r="R269" s="378"/>
      <c r="S269" s="378"/>
      <c r="T269" s="378"/>
      <c r="U269" s="378"/>
      <c r="V269" s="378"/>
      <c r="W269" s="378"/>
      <c r="X269" s="378"/>
      <c r="Y269" s="378"/>
      <c r="Z269" s="378"/>
      <c r="AA269" s="378"/>
      <c r="AB269" s="378"/>
      <c r="AC269" s="378"/>
      <c r="AD269" s="378"/>
      <c r="AE269" s="378"/>
      <c r="AF269" s="378"/>
      <c r="AG269" s="378"/>
      <c r="AH269" s="378"/>
      <c r="AI269" s="378"/>
      <c r="AJ269" s="378"/>
      <c r="AK269" s="378"/>
      <c r="AL269" s="378"/>
      <c r="AM269" s="378"/>
      <c r="AN269" s="378"/>
      <c r="AO269" s="378"/>
      <c r="AP269" s="378"/>
      <c r="AQ269" s="378"/>
      <c r="AR269" s="378"/>
      <c r="AS269" s="378"/>
      <c r="AT269" s="139"/>
      <c r="AU269" s="523"/>
      <c r="AV269" s="524"/>
    </row>
    <row r="270">
      <c r="A270" s="80"/>
      <c r="B270" s="81"/>
      <c r="C270" s="325" t="s">
        <v>616</v>
      </c>
      <c r="F270" s="83"/>
      <c r="G270" s="84"/>
      <c r="H270" s="522"/>
      <c r="I270" s="378"/>
      <c r="J270" s="378"/>
      <c r="K270" s="378"/>
      <c r="L270" s="378"/>
      <c r="M270" s="378"/>
      <c r="N270" s="378"/>
      <c r="O270" s="378"/>
      <c r="P270" s="378"/>
      <c r="Q270" s="378"/>
      <c r="R270" s="378"/>
      <c r="S270" s="378"/>
      <c r="T270" s="378"/>
      <c r="U270" s="378"/>
      <c r="V270" s="378"/>
      <c r="W270" s="378"/>
      <c r="X270" s="378"/>
      <c r="Y270" s="378"/>
      <c r="Z270" s="378"/>
      <c r="AA270" s="378"/>
      <c r="AB270" s="378"/>
      <c r="AC270" s="378"/>
      <c r="AD270" s="378"/>
      <c r="AE270" s="378"/>
      <c r="AF270" s="378"/>
      <c r="AG270" s="378"/>
      <c r="AH270" s="378"/>
      <c r="AI270" s="378"/>
      <c r="AJ270" s="378"/>
      <c r="AK270" s="378"/>
      <c r="AL270" s="378"/>
      <c r="AM270" s="378"/>
      <c r="AN270" s="378"/>
      <c r="AO270" s="378"/>
      <c r="AP270" s="378"/>
      <c r="AQ270" s="378"/>
      <c r="AR270" s="378"/>
      <c r="AS270" s="378"/>
      <c r="AT270" s="139"/>
      <c r="AU270" s="523"/>
      <c r="AV270" s="524"/>
    </row>
    <row r="271">
      <c r="A271" s="80"/>
      <c r="B271" s="81"/>
      <c r="C271" s="81"/>
      <c r="D271" s="442" t="s">
        <v>618</v>
      </c>
      <c r="E271" s="70"/>
      <c r="F271" s="151"/>
      <c r="G271" s="443"/>
      <c r="H271" s="916"/>
      <c r="I271" s="917"/>
      <c r="J271" s="917"/>
      <c r="K271" s="917"/>
      <c r="L271" s="917"/>
      <c r="M271" s="917"/>
      <c r="N271" s="917"/>
      <c r="O271" s="917"/>
      <c r="P271" s="917"/>
      <c r="Q271" s="917"/>
      <c r="R271" s="917"/>
      <c r="S271" s="917"/>
      <c r="T271" s="917"/>
      <c r="U271" s="917"/>
      <c r="V271" s="917"/>
      <c r="W271" s="917"/>
      <c r="X271" s="917"/>
      <c r="Y271" s="917"/>
      <c r="Z271" s="917"/>
      <c r="AA271" s="917"/>
      <c r="AB271" s="917"/>
      <c r="AC271" s="917"/>
      <c r="AD271" s="917"/>
      <c r="AE271" s="917"/>
      <c r="AF271" s="917"/>
      <c r="AG271" s="917"/>
      <c r="AH271" s="917"/>
      <c r="AI271" s="917"/>
      <c r="AJ271" s="917"/>
      <c r="AK271" s="917"/>
      <c r="AL271" s="917"/>
      <c r="AM271" s="917"/>
      <c r="AN271" s="917"/>
      <c r="AO271" s="917"/>
      <c r="AP271" s="917"/>
      <c r="AQ271" s="917"/>
      <c r="AR271" s="917"/>
      <c r="AS271" s="917"/>
      <c r="AT271" s="841"/>
      <c r="AU271" s="918"/>
      <c r="AV271" s="855"/>
    </row>
    <row r="272">
      <c r="A272" s="80"/>
      <c r="B272" s="81"/>
      <c r="C272" s="81"/>
      <c r="D272" s="81"/>
      <c r="E272" s="548" t="s">
        <v>619</v>
      </c>
      <c r="F272" s="189" t="s">
        <v>122</v>
      </c>
      <c r="G272" s="263" t="s">
        <v>203</v>
      </c>
      <c r="H272" s="916">
        <v>0.0</v>
      </c>
      <c r="I272" s="489" t="s">
        <v>150</v>
      </c>
      <c r="J272" s="489" t="s">
        <v>150</v>
      </c>
      <c r="K272" s="489" t="s">
        <v>150</v>
      </c>
      <c r="L272" s="489" t="s">
        <v>150</v>
      </c>
      <c r="M272" s="489" t="s">
        <v>150</v>
      </c>
      <c r="N272" s="489" t="s">
        <v>150</v>
      </c>
      <c r="O272" s="489" t="s">
        <v>150</v>
      </c>
      <c r="P272" s="489" t="s">
        <v>150</v>
      </c>
      <c r="Q272" s="489" t="s">
        <v>150</v>
      </c>
      <c r="R272" s="489" t="s">
        <v>150</v>
      </c>
      <c r="S272" s="489" t="s">
        <v>150</v>
      </c>
      <c r="T272" s="489" t="s">
        <v>150</v>
      </c>
      <c r="U272" s="489" t="s">
        <v>150</v>
      </c>
      <c r="V272" s="489" t="s">
        <v>150</v>
      </c>
      <c r="W272" s="489" t="s">
        <v>150</v>
      </c>
      <c r="X272" s="489" t="s">
        <v>150</v>
      </c>
      <c r="Y272" s="489" t="s">
        <v>150</v>
      </c>
      <c r="Z272" s="489" t="s">
        <v>150</v>
      </c>
      <c r="AA272" s="489" t="s">
        <v>150</v>
      </c>
      <c r="AB272" s="489" t="s">
        <v>150</v>
      </c>
      <c r="AC272" s="489" t="s">
        <v>150</v>
      </c>
      <c r="AD272" s="489" t="s">
        <v>150</v>
      </c>
      <c r="AE272" s="489" t="s">
        <v>150</v>
      </c>
      <c r="AF272" s="489" t="s">
        <v>150</v>
      </c>
      <c r="AG272" s="489" t="s">
        <v>150</v>
      </c>
      <c r="AH272" s="489" t="s">
        <v>150</v>
      </c>
      <c r="AI272" s="489" t="s">
        <v>150</v>
      </c>
      <c r="AJ272" s="489" t="s">
        <v>150</v>
      </c>
      <c r="AK272" s="489" t="s">
        <v>150</v>
      </c>
      <c r="AL272" s="489" t="s">
        <v>150</v>
      </c>
      <c r="AM272" s="489" t="s">
        <v>150</v>
      </c>
      <c r="AN272" s="489" t="s">
        <v>150</v>
      </c>
      <c r="AO272" s="489" t="s">
        <v>150</v>
      </c>
      <c r="AP272" s="489" t="s">
        <v>150</v>
      </c>
      <c r="AQ272" s="489" t="s">
        <v>150</v>
      </c>
      <c r="AR272" s="489" t="s">
        <v>150</v>
      </c>
      <c r="AS272" s="489" t="s">
        <v>150</v>
      </c>
      <c r="AT272" s="841"/>
      <c r="AU272" s="854" t="s">
        <v>809</v>
      </c>
      <c r="AV272" s="919"/>
    </row>
    <row r="273">
      <c r="A273" s="80"/>
      <c r="B273" s="81"/>
      <c r="C273" s="81"/>
      <c r="D273" s="81"/>
      <c r="E273" s="553" t="s">
        <v>623</v>
      </c>
      <c r="F273" s="215" t="s">
        <v>122</v>
      </c>
      <c r="G273" s="263" t="s">
        <v>203</v>
      </c>
      <c r="H273" s="920">
        <v>0.0</v>
      </c>
      <c r="I273" s="921" t="s">
        <v>150</v>
      </c>
      <c r="J273" s="921" t="s">
        <v>150</v>
      </c>
      <c r="K273" s="921" t="s">
        <v>150</v>
      </c>
      <c r="L273" s="921" t="s">
        <v>150</v>
      </c>
      <c r="M273" s="921" t="s">
        <v>150</v>
      </c>
      <c r="N273" s="921" t="s">
        <v>150</v>
      </c>
      <c r="O273" s="921" t="s">
        <v>150</v>
      </c>
      <c r="P273" s="921" t="s">
        <v>150</v>
      </c>
      <c r="Q273" s="921" t="s">
        <v>150</v>
      </c>
      <c r="R273" s="921" t="s">
        <v>150</v>
      </c>
      <c r="S273" s="921" t="s">
        <v>150</v>
      </c>
      <c r="T273" s="921" t="s">
        <v>150</v>
      </c>
      <c r="U273" s="921" t="s">
        <v>150</v>
      </c>
      <c r="V273" s="921" t="s">
        <v>150</v>
      </c>
      <c r="W273" s="921" t="s">
        <v>150</v>
      </c>
      <c r="X273" s="921" t="s">
        <v>150</v>
      </c>
      <c r="Y273" s="921" t="s">
        <v>150</v>
      </c>
      <c r="Z273" s="921" t="s">
        <v>150</v>
      </c>
      <c r="AA273" s="921" t="s">
        <v>150</v>
      </c>
      <c r="AB273" s="921" t="s">
        <v>150</v>
      </c>
      <c r="AC273" s="921" t="s">
        <v>150</v>
      </c>
      <c r="AD273" s="921" t="s">
        <v>150</v>
      </c>
      <c r="AE273" s="921" t="s">
        <v>150</v>
      </c>
      <c r="AF273" s="921" t="s">
        <v>150</v>
      </c>
      <c r="AG273" s="921" t="s">
        <v>150</v>
      </c>
      <c r="AH273" s="921" t="s">
        <v>150</v>
      </c>
      <c r="AI273" s="921" t="s">
        <v>150</v>
      </c>
      <c r="AJ273" s="921" t="s">
        <v>150</v>
      </c>
      <c r="AK273" s="921" t="s">
        <v>150</v>
      </c>
      <c r="AL273" s="921" t="s">
        <v>150</v>
      </c>
      <c r="AM273" s="921" t="s">
        <v>150</v>
      </c>
      <c r="AN273" s="921" t="s">
        <v>150</v>
      </c>
      <c r="AO273" s="921" t="s">
        <v>150</v>
      </c>
      <c r="AP273" s="921" t="s">
        <v>150</v>
      </c>
      <c r="AQ273" s="921" t="s">
        <v>150</v>
      </c>
      <c r="AR273" s="921" t="s">
        <v>150</v>
      </c>
      <c r="AS273" s="921" t="s">
        <v>150</v>
      </c>
      <c r="AT273" s="858"/>
      <c r="AU273" s="854" t="s">
        <v>809</v>
      </c>
      <c r="AV273" s="922"/>
    </row>
    <row r="274">
      <c r="A274" s="80"/>
      <c r="B274" s="81"/>
      <c r="C274" s="81"/>
      <c r="D274" s="81"/>
      <c r="E274" s="553" t="s">
        <v>627</v>
      </c>
      <c r="F274" s="215" t="s">
        <v>122</v>
      </c>
      <c r="G274" s="263" t="s">
        <v>203</v>
      </c>
      <c r="H274" s="920">
        <v>0.0</v>
      </c>
      <c r="I274" s="921" t="s">
        <v>150</v>
      </c>
      <c r="J274" s="921" t="s">
        <v>150</v>
      </c>
      <c r="K274" s="921" t="s">
        <v>150</v>
      </c>
      <c r="L274" s="921" t="s">
        <v>150</v>
      </c>
      <c r="M274" s="921" t="s">
        <v>150</v>
      </c>
      <c r="N274" s="921" t="s">
        <v>150</v>
      </c>
      <c r="O274" s="921" t="s">
        <v>150</v>
      </c>
      <c r="P274" s="921" t="s">
        <v>150</v>
      </c>
      <c r="Q274" s="921" t="s">
        <v>150</v>
      </c>
      <c r="R274" s="921" t="s">
        <v>150</v>
      </c>
      <c r="S274" s="921" t="s">
        <v>150</v>
      </c>
      <c r="T274" s="921" t="s">
        <v>150</v>
      </c>
      <c r="U274" s="921" t="s">
        <v>150</v>
      </c>
      <c r="V274" s="921" t="s">
        <v>150</v>
      </c>
      <c r="W274" s="921" t="s">
        <v>150</v>
      </c>
      <c r="X274" s="921" t="s">
        <v>150</v>
      </c>
      <c r="Y274" s="921" t="s">
        <v>150</v>
      </c>
      <c r="Z274" s="921" t="s">
        <v>150</v>
      </c>
      <c r="AA274" s="921" t="s">
        <v>150</v>
      </c>
      <c r="AB274" s="921" t="s">
        <v>150</v>
      </c>
      <c r="AC274" s="921" t="s">
        <v>150</v>
      </c>
      <c r="AD274" s="921" t="s">
        <v>150</v>
      </c>
      <c r="AE274" s="921" t="s">
        <v>150</v>
      </c>
      <c r="AF274" s="921" t="s">
        <v>150</v>
      </c>
      <c r="AG274" s="921" t="s">
        <v>150</v>
      </c>
      <c r="AH274" s="921" t="s">
        <v>150</v>
      </c>
      <c r="AI274" s="921" t="s">
        <v>150</v>
      </c>
      <c r="AJ274" s="921" t="s">
        <v>150</v>
      </c>
      <c r="AK274" s="921" t="s">
        <v>150</v>
      </c>
      <c r="AL274" s="921" t="s">
        <v>150</v>
      </c>
      <c r="AM274" s="921" t="s">
        <v>150</v>
      </c>
      <c r="AN274" s="921" t="s">
        <v>150</v>
      </c>
      <c r="AO274" s="921" t="s">
        <v>150</v>
      </c>
      <c r="AP274" s="921" t="s">
        <v>150</v>
      </c>
      <c r="AQ274" s="921" t="s">
        <v>150</v>
      </c>
      <c r="AR274" s="921" t="s">
        <v>150</v>
      </c>
      <c r="AS274" s="921" t="s">
        <v>150</v>
      </c>
      <c r="AT274" s="858"/>
      <c r="AU274" s="854" t="s">
        <v>809</v>
      </c>
      <c r="AV274" s="922"/>
    </row>
    <row r="275">
      <c r="A275" s="80"/>
      <c r="B275" s="81"/>
      <c r="C275" s="81"/>
      <c r="D275" s="442" t="s">
        <v>630</v>
      </c>
      <c r="E275" s="70"/>
      <c r="F275" s="189"/>
      <c r="G275" s="443"/>
      <c r="H275" s="923"/>
      <c r="I275" s="924"/>
      <c r="J275" s="924"/>
      <c r="K275" s="924"/>
      <c r="L275" s="924"/>
      <c r="M275" s="924"/>
      <c r="N275" s="924"/>
      <c r="O275" s="924"/>
      <c r="P275" s="924"/>
      <c r="Q275" s="924"/>
      <c r="R275" s="924"/>
      <c r="S275" s="924"/>
      <c r="T275" s="924"/>
      <c r="U275" s="924"/>
      <c r="V275" s="924"/>
      <c r="W275" s="924"/>
      <c r="X275" s="924"/>
      <c r="Y275" s="924"/>
      <c r="Z275" s="924"/>
      <c r="AA275" s="924"/>
      <c r="AB275" s="924"/>
      <c r="AC275" s="924"/>
      <c r="AD275" s="924"/>
      <c r="AE275" s="924"/>
      <c r="AF275" s="924"/>
      <c r="AG275" s="924"/>
      <c r="AH275" s="924"/>
      <c r="AI275" s="924"/>
      <c r="AJ275" s="924"/>
      <c r="AK275" s="924"/>
      <c r="AL275" s="924"/>
      <c r="AM275" s="924"/>
      <c r="AN275" s="924"/>
      <c r="AO275" s="924"/>
      <c r="AP275" s="924"/>
      <c r="AQ275" s="924"/>
      <c r="AR275" s="924"/>
      <c r="AS275" s="924"/>
      <c r="AT275" s="858"/>
      <c r="AU275" s="925"/>
      <c r="AV275" s="860"/>
    </row>
    <row r="276">
      <c r="A276" s="80"/>
      <c r="B276" s="81"/>
      <c r="C276" s="81"/>
      <c r="D276" s="81"/>
      <c r="E276" s="548" t="s">
        <v>632</v>
      </c>
      <c r="F276" s="189" t="s">
        <v>122</v>
      </c>
      <c r="G276" s="263" t="s">
        <v>203</v>
      </c>
      <c r="H276" s="920">
        <v>0.0</v>
      </c>
      <c r="I276" s="387" t="s">
        <v>150</v>
      </c>
      <c r="J276" s="387" t="s">
        <v>150</v>
      </c>
      <c r="K276" s="387" t="s">
        <v>150</v>
      </c>
      <c r="L276" s="387" t="s">
        <v>150</v>
      </c>
      <c r="M276" s="387" t="s">
        <v>150</v>
      </c>
      <c r="N276" s="387" t="s">
        <v>150</v>
      </c>
      <c r="O276" s="387" t="s">
        <v>150</v>
      </c>
      <c r="P276" s="387" t="s">
        <v>150</v>
      </c>
      <c r="Q276" s="387" t="s">
        <v>150</v>
      </c>
      <c r="R276" s="387" t="s">
        <v>150</v>
      </c>
      <c r="S276" s="387" t="s">
        <v>150</v>
      </c>
      <c r="T276" s="387" t="s">
        <v>150</v>
      </c>
      <c r="U276" s="387" t="s">
        <v>150</v>
      </c>
      <c r="V276" s="387" t="s">
        <v>150</v>
      </c>
      <c r="W276" s="387" t="s">
        <v>150</v>
      </c>
      <c r="X276" s="387" t="s">
        <v>150</v>
      </c>
      <c r="Y276" s="387" t="s">
        <v>150</v>
      </c>
      <c r="Z276" s="387" t="s">
        <v>150</v>
      </c>
      <c r="AA276" s="387" t="s">
        <v>150</v>
      </c>
      <c r="AB276" s="387" t="s">
        <v>150</v>
      </c>
      <c r="AC276" s="387" t="s">
        <v>150</v>
      </c>
      <c r="AD276" s="387" t="s">
        <v>150</v>
      </c>
      <c r="AE276" s="387" t="s">
        <v>150</v>
      </c>
      <c r="AF276" s="387" t="s">
        <v>150</v>
      </c>
      <c r="AG276" s="387" t="s">
        <v>150</v>
      </c>
      <c r="AH276" s="387" t="s">
        <v>150</v>
      </c>
      <c r="AI276" s="387" t="s">
        <v>150</v>
      </c>
      <c r="AJ276" s="387" t="s">
        <v>150</v>
      </c>
      <c r="AK276" s="387" t="s">
        <v>150</v>
      </c>
      <c r="AL276" s="387" t="s">
        <v>150</v>
      </c>
      <c r="AM276" s="387" t="s">
        <v>150</v>
      </c>
      <c r="AN276" s="387" t="s">
        <v>150</v>
      </c>
      <c r="AO276" s="387" t="s">
        <v>150</v>
      </c>
      <c r="AP276" s="387" t="s">
        <v>150</v>
      </c>
      <c r="AQ276" s="387" t="s">
        <v>150</v>
      </c>
      <c r="AR276" s="387" t="s">
        <v>150</v>
      </c>
      <c r="AS276" s="387" t="s">
        <v>150</v>
      </c>
      <c r="AT276" s="858"/>
      <c r="AU276" s="854" t="s">
        <v>809</v>
      </c>
      <c r="AV276" s="922"/>
    </row>
    <row r="277">
      <c r="A277" s="80"/>
      <c r="B277" s="81"/>
      <c r="C277" s="81"/>
      <c r="D277" s="81"/>
      <c r="E277" s="553" t="s">
        <v>636</v>
      </c>
      <c r="F277" s="215" t="s">
        <v>122</v>
      </c>
      <c r="G277" s="263" t="s">
        <v>203</v>
      </c>
      <c r="H277" s="920">
        <v>-0.02</v>
      </c>
      <c r="I277" s="387" t="s">
        <v>150</v>
      </c>
      <c r="J277" s="387" t="s">
        <v>150</v>
      </c>
      <c r="K277" s="387" t="s">
        <v>150</v>
      </c>
      <c r="L277" s="387" t="s">
        <v>150</v>
      </c>
      <c r="M277" s="387" t="s">
        <v>150</v>
      </c>
      <c r="N277" s="387" t="s">
        <v>150</v>
      </c>
      <c r="O277" s="387" t="s">
        <v>150</v>
      </c>
      <c r="P277" s="387" t="s">
        <v>150</v>
      </c>
      <c r="Q277" s="387" t="s">
        <v>150</v>
      </c>
      <c r="R277" s="387" t="s">
        <v>150</v>
      </c>
      <c r="S277" s="387" t="s">
        <v>150</v>
      </c>
      <c r="T277" s="387" t="s">
        <v>150</v>
      </c>
      <c r="U277" s="387" t="s">
        <v>150</v>
      </c>
      <c r="V277" s="387" t="s">
        <v>150</v>
      </c>
      <c r="W277" s="387" t="s">
        <v>150</v>
      </c>
      <c r="X277" s="387" t="s">
        <v>150</v>
      </c>
      <c r="Y277" s="387" t="s">
        <v>150</v>
      </c>
      <c r="Z277" s="387" t="s">
        <v>150</v>
      </c>
      <c r="AA277" s="387" t="s">
        <v>150</v>
      </c>
      <c r="AB277" s="387" t="s">
        <v>150</v>
      </c>
      <c r="AC277" s="387" t="s">
        <v>150</v>
      </c>
      <c r="AD277" s="387" t="s">
        <v>150</v>
      </c>
      <c r="AE277" s="387" t="s">
        <v>150</v>
      </c>
      <c r="AF277" s="387" t="s">
        <v>150</v>
      </c>
      <c r="AG277" s="387" t="s">
        <v>150</v>
      </c>
      <c r="AH277" s="387" t="s">
        <v>150</v>
      </c>
      <c r="AI277" s="387" t="s">
        <v>150</v>
      </c>
      <c r="AJ277" s="387" t="s">
        <v>150</v>
      </c>
      <c r="AK277" s="387" t="s">
        <v>150</v>
      </c>
      <c r="AL277" s="387" t="s">
        <v>150</v>
      </c>
      <c r="AM277" s="387" t="s">
        <v>150</v>
      </c>
      <c r="AN277" s="387" t="s">
        <v>150</v>
      </c>
      <c r="AO277" s="387" t="s">
        <v>150</v>
      </c>
      <c r="AP277" s="387" t="s">
        <v>150</v>
      </c>
      <c r="AQ277" s="387" t="s">
        <v>150</v>
      </c>
      <c r="AR277" s="387" t="s">
        <v>150</v>
      </c>
      <c r="AS277" s="387" t="s">
        <v>150</v>
      </c>
      <c r="AT277" s="858"/>
      <c r="AU277" s="854" t="s">
        <v>809</v>
      </c>
      <c r="AV277" s="922"/>
    </row>
    <row r="278">
      <c r="A278" s="80"/>
      <c r="B278" s="81"/>
      <c r="C278" s="81"/>
      <c r="D278" s="442" t="s">
        <v>641</v>
      </c>
      <c r="E278" s="70"/>
      <c r="F278" s="189"/>
      <c r="G278" s="443"/>
      <c r="H278" s="923"/>
      <c r="I278" s="924"/>
      <c r="J278" s="924"/>
      <c r="K278" s="924"/>
      <c r="L278" s="924"/>
      <c r="M278" s="924"/>
      <c r="N278" s="924"/>
      <c r="O278" s="924"/>
      <c r="P278" s="924"/>
      <c r="Q278" s="924"/>
      <c r="R278" s="924"/>
      <c r="S278" s="924"/>
      <c r="T278" s="924"/>
      <c r="U278" s="924"/>
      <c r="V278" s="924"/>
      <c r="W278" s="924"/>
      <c r="X278" s="924"/>
      <c r="Y278" s="924"/>
      <c r="Z278" s="924"/>
      <c r="AA278" s="924"/>
      <c r="AB278" s="924"/>
      <c r="AC278" s="924"/>
      <c r="AD278" s="924"/>
      <c r="AE278" s="924"/>
      <c r="AF278" s="924"/>
      <c r="AG278" s="924"/>
      <c r="AH278" s="924"/>
      <c r="AI278" s="924"/>
      <c r="AJ278" s="924"/>
      <c r="AK278" s="924"/>
      <c r="AL278" s="924"/>
      <c r="AM278" s="924"/>
      <c r="AN278" s="924"/>
      <c r="AO278" s="924"/>
      <c r="AP278" s="924"/>
      <c r="AQ278" s="924"/>
      <c r="AR278" s="924"/>
      <c r="AS278" s="924"/>
      <c r="AT278" s="858"/>
      <c r="AU278" s="854"/>
      <c r="AV278" s="860"/>
    </row>
    <row r="279">
      <c r="A279" s="80"/>
      <c r="B279" s="81"/>
      <c r="C279" s="81"/>
      <c r="D279" s="81"/>
      <c r="E279" s="548" t="s">
        <v>642</v>
      </c>
      <c r="F279" s="189" t="s">
        <v>122</v>
      </c>
      <c r="G279" s="263" t="s">
        <v>203</v>
      </c>
      <c r="H279" s="920">
        <v>0.0</v>
      </c>
      <c r="I279" s="387" t="s">
        <v>150</v>
      </c>
      <c r="J279" s="387" t="s">
        <v>150</v>
      </c>
      <c r="K279" s="387" t="s">
        <v>150</v>
      </c>
      <c r="L279" s="387" t="s">
        <v>150</v>
      </c>
      <c r="M279" s="387" t="s">
        <v>150</v>
      </c>
      <c r="N279" s="387" t="s">
        <v>150</v>
      </c>
      <c r="O279" s="387" t="s">
        <v>150</v>
      </c>
      <c r="P279" s="387" t="s">
        <v>150</v>
      </c>
      <c r="Q279" s="387" t="s">
        <v>150</v>
      </c>
      <c r="R279" s="387" t="s">
        <v>150</v>
      </c>
      <c r="S279" s="387" t="s">
        <v>150</v>
      </c>
      <c r="T279" s="387" t="s">
        <v>150</v>
      </c>
      <c r="U279" s="387" t="s">
        <v>150</v>
      </c>
      <c r="V279" s="387" t="s">
        <v>150</v>
      </c>
      <c r="W279" s="387" t="s">
        <v>150</v>
      </c>
      <c r="X279" s="387" t="s">
        <v>150</v>
      </c>
      <c r="Y279" s="387" t="s">
        <v>150</v>
      </c>
      <c r="Z279" s="387" t="s">
        <v>150</v>
      </c>
      <c r="AA279" s="387" t="s">
        <v>150</v>
      </c>
      <c r="AB279" s="387" t="s">
        <v>150</v>
      </c>
      <c r="AC279" s="387" t="s">
        <v>150</v>
      </c>
      <c r="AD279" s="387" t="s">
        <v>150</v>
      </c>
      <c r="AE279" s="387" t="s">
        <v>150</v>
      </c>
      <c r="AF279" s="387" t="s">
        <v>150</v>
      </c>
      <c r="AG279" s="387" t="s">
        <v>150</v>
      </c>
      <c r="AH279" s="387" t="s">
        <v>150</v>
      </c>
      <c r="AI279" s="387" t="s">
        <v>150</v>
      </c>
      <c r="AJ279" s="387" t="s">
        <v>150</v>
      </c>
      <c r="AK279" s="387" t="s">
        <v>150</v>
      </c>
      <c r="AL279" s="387" t="s">
        <v>150</v>
      </c>
      <c r="AM279" s="387" t="s">
        <v>150</v>
      </c>
      <c r="AN279" s="387" t="s">
        <v>150</v>
      </c>
      <c r="AO279" s="387" t="s">
        <v>150</v>
      </c>
      <c r="AP279" s="387" t="s">
        <v>150</v>
      </c>
      <c r="AQ279" s="387" t="s">
        <v>150</v>
      </c>
      <c r="AR279" s="387" t="s">
        <v>150</v>
      </c>
      <c r="AS279" s="387" t="s">
        <v>150</v>
      </c>
      <c r="AT279" s="858"/>
      <c r="AU279" s="854" t="s">
        <v>809</v>
      </c>
      <c r="AV279" s="922"/>
    </row>
    <row r="280">
      <c r="A280" s="80"/>
      <c r="B280" s="81"/>
      <c r="C280" s="81"/>
      <c r="D280" s="81"/>
      <c r="E280" s="553" t="s">
        <v>645</v>
      </c>
      <c r="F280" s="215" t="s">
        <v>122</v>
      </c>
      <c r="G280" s="263" t="s">
        <v>203</v>
      </c>
      <c r="H280" s="920">
        <v>-0.05</v>
      </c>
      <c r="I280" s="387" t="s">
        <v>150</v>
      </c>
      <c r="J280" s="387" t="s">
        <v>150</v>
      </c>
      <c r="K280" s="387" t="s">
        <v>150</v>
      </c>
      <c r="L280" s="387" t="s">
        <v>150</v>
      </c>
      <c r="M280" s="387" t="s">
        <v>150</v>
      </c>
      <c r="N280" s="387" t="s">
        <v>150</v>
      </c>
      <c r="O280" s="387" t="s">
        <v>150</v>
      </c>
      <c r="P280" s="387" t="s">
        <v>150</v>
      </c>
      <c r="Q280" s="387" t="s">
        <v>150</v>
      </c>
      <c r="R280" s="387" t="s">
        <v>150</v>
      </c>
      <c r="S280" s="387" t="s">
        <v>150</v>
      </c>
      <c r="T280" s="387" t="s">
        <v>150</v>
      </c>
      <c r="U280" s="387" t="s">
        <v>150</v>
      </c>
      <c r="V280" s="387" t="s">
        <v>150</v>
      </c>
      <c r="W280" s="387" t="s">
        <v>150</v>
      </c>
      <c r="X280" s="387" t="s">
        <v>150</v>
      </c>
      <c r="Y280" s="387" t="s">
        <v>150</v>
      </c>
      <c r="Z280" s="387" t="s">
        <v>150</v>
      </c>
      <c r="AA280" s="387" t="s">
        <v>150</v>
      </c>
      <c r="AB280" s="387" t="s">
        <v>150</v>
      </c>
      <c r="AC280" s="387" t="s">
        <v>150</v>
      </c>
      <c r="AD280" s="387" t="s">
        <v>150</v>
      </c>
      <c r="AE280" s="387" t="s">
        <v>150</v>
      </c>
      <c r="AF280" s="387" t="s">
        <v>150</v>
      </c>
      <c r="AG280" s="387" t="s">
        <v>150</v>
      </c>
      <c r="AH280" s="387" t="s">
        <v>150</v>
      </c>
      <c r="AI280" s="387" t="s">
        <v>150</v>
      </c>
      <c r="AJ280" s="387" t="s">
        <v>150</v>
      </c>
      <c r="AK280" s="387" t="s">
        <v>150</v>
      </c>
      <c r="AL280" s="387" t="s">
        <v>150</v>
      </c>
      <c r="AM280" s="387" t="s">
        <v>150</v>
      </c>
      <c r="AN280" s="387" t="s">
        <v>150</v>
      </c>
      <c r="AO280" s="387" t="s">
        <v>150</v>
      </c>
      <c r="AP280" s="387" t="s">
        <v>150</v>
      </c>
      <c r="AQ280" s="387" t="s">
        <v>150</v>
      </c>
      <c r="AR280" s="387" t="s">
        <v>150</v>
      </c>
      <c r="AS280" s="387" t="s">
        <v>150</v>
      </c>
      <c r="AT280" s="858"/>
      <c r="AU280" s="854" t="s">
        <v>809</v>
      </c>
      <c r="AV280" s="922"/>
    </row>
    <row r="281">
      <c r="A281" s="80"/>
      <c r="B281" s="81"/>
      <c r="C281" s="81"/>
      <c r="D281" s="81"/>
      <c r="E281" s="558" t="s">
        <v>649</v>
      </c>
      <c r="F281" s="195" t="s">
        <v>122</v>
      </c>
      <c r="G281" s="316" t="s">
        <v>203</v>
      </c>
      <c r="H281" s="844">
        <v>0.0</v>
      </c>
      <c r="I281" s="396" t="s">
        <v>150</v>
      </c>
      <c r="J281" s="396" t="s">
        <v>150</v>
      </c>
      <c r="K281" s="396" t="s">
        <v>150</v>
      </c>
      <c r="L281" s="396" t="s">
        <v>150</v>
      </c>
      <c r="M281" s="396" t="s">
        <v>150</v>
      </c>
      <c r="N281" s="396" t="s">
        <v>150</v>
      </c>
      <c r="O281" s="396" t="s">
        <v>150</v>
      </c>
      <c r="P281" s="396" t="s">
        <v>150</v>
      </c>
      <c r="Q281" s="396" t="s">
        <v>150</v>
      </c>
      <c r="R281" s="396" t="s">
        <v>150</v>
      </c>
      <c r="S281" s="396" t="s">
        <v>150</v>
      </c>
      <c r="T281" s="396" t="s">
        <v>150</v>
      </c>
      <c r="U281" s="396" t="s">
        <v>150</v>
      </c>
      <c r="V281" s="396" t="s">
        <v>150</v>
      </c>
      <c r="W281" s="396" t="s">
        <v>150</v>
      </c>
      <c r="X281" s="396" t="s">
        <v>150</v>
      </c>
      <c r="Y281" s="396" t="s">
        <v>150</v>
      </c>
      <c r="Z281" s="396" t="s">
        <v>150</v>
      </c>
      <c r="AA281" s="396" t="s">
        <v>150</v>
      </c>
      <c r="AB281" s="396" t="s">
        <v>150</v>
      </c>
      <c r="AC281" s="396" t="s">
        <v>150</v>
      </c>
      <c r="AD281" s="396" t="s">
        <v>150</v>
      </c>
      <c r="AE281" s="396" t="s">
        <v>150</v>
      </c>
      <c r="AF281" s="396" t="s">
        <v>150</v>
      </c>
      <c r="AG281" s="396" t="s">
        <v>150</v>
      </c>
      <c r="AH281" s="396" t="s">
        <v>150</v>
      </c>
      <c r="AI281" s="396" t="s">
        <v>150</v>
      </c>
      <c r="AJ281" s="396" t="s">
        <v>150</v>
      </c>
      <c r="AK281" s="396" t="s">
        <v>150</v>
      </c>
      <c r="AL281" s="396" t="s">
        <v>150</v>
      </c>
      <c r="AM281" s="396" t="s">
        <v>150</v>
      </c>
      <c r="AN281" s="396" t="s">
        <v>150</v>
      </c>
      <c r="AO281" s="396" t="s">
        <v>150</v>
      </c>
      <c r="AP281" s="396" t="s">
        <v>150</v>
      </c>
      <c r="AQ281" s="396" t="s">
        <v>150</v>
      </c>
      <c r="AR281" s="396" t="s">
        <v>150</v>
      </c>
      <c r="AS281" s="396" t="s">
        <v>150</v>
      </c>
      <c r="AT281" s="845"/>
      <c r="AU281" s="863" t="s">
        <v>809</v>
      </c>
      <c r="AV281" s="926"/>
    </row>
    <row r="282">
      <c r="A282" s="80"/>
      <c r="B282" s="81"/>
      <c r="C282" s="126"/>
      <c r="D282" s="81"/>
      <c r="E282" s="102"/>
      <c r="F282" s="83"/>
      <c r="G282" s="84"/>
      <c r="H282" s="522"/>
      <c r="I282" s="378"/>
      <c r="J282" s="378"/>
      <c r="K282" s="378"/>
      <c r="L282" s="378"/>
      <c r="M282" s="378"/>
      <c r="N282" s="378"/>
      <c r="O282" s="378"/>
      <c r="P282" s="378"/>
      <c r="Q282" s="378"/>
      <c r="R282" s="378"/>
      <c r="S282" s="378"/>
      <c r="T282" s="378"/>
      <c r="U282" s="378"/>
      <c r="V282" s="378"/>
      <c r="W282" s="378"/>
      <c r="X282" s="378"/>
      <c r="Y282" s="378"/>
      <c r="Z282" s="378"/>
      <c r="AA282" s="378"/>
      <c r="AB282" s="378"/>
      <c r="AC282" s="378"/>
      <c r="AD282" s="378"/>
      <c r="AE282" s="378"/>
      <c r="AF282" s="378"/>
      <c r="AG282" s="378"/>
      <c r="AH282" s="378"/>
      <c r="AI282" s="378"/>
      <c r="AJ282" s="378"/>
      <c r="AK282" s="378"/>
      <c r="AL282" s="378"/>
      <c r="AM282" s="378"/>
      <c r="AN282" s="378"/>
      <c r="AO282" s="378"/>
      <c r="AP282" s="378"/>
      <c r="AQ282" s="378"/>
      <c r="AR282" s="378"/>
      <c r="AS282" s="378"/>
      <c r="AT282" s="139"/>
      <c r="AU282" s="523"/>
      <c r="AV282" s="524"/>
    </row>
    <row r="283">
      <c r="A283" s="80"/>
      <c r="B283" s="81"/>
      <c r="C283" s="126" t="s">
        <v>657</v>
      </c>
      <c r="F283" s="83"/>
      <c r="G283" s="84"/>
      <c r="H283" s="522"/>
      <c r="I283" s="927"/>
      <c r="J283" s="378"/>
      <c r="K283" s="378"/>
      <c r="L283" s="378"/>
      <c r="M283" s="378"/>
      <c r="N283" s="378"/>
      <c r="O283" s="378"/>
      <c r="P283" s="378"/>
      <c r="Q283" s="378"/>
      <c r="R283" s="378"/>
      <c r="S283" s="378"/>
      <c r="T283" s="378"/>
      <c r="U283" s="378"/>
      <c r="V283" s="378"/>
      <c r="W283" s="378"/>
      <c r="X283" s="378"/>
      <c r="Y283" s="378"/>
      <c r="Z283" s="378"/>
      <c r="AA283" s="378"/>
      <c r="AB283" s="378"/>
      <c r="AC283" s="378"/>
      <c r="AD283" s="378"/>
      <c r="AE283" s="378"/>
      <c r="AF283" s="378"/>
      <c r="AG283" s="378"/>
      <c r="AH283" s="378"/>
      <c r="AI283" s="378"/>
      <c r="AJ283" s="378"/>
      <c r="AK283" s="378"/>
      <c r="AL283" s="378"/>
      <c r="AM283" s="378"/>
      <c r="AN283" s="378"/>
      <c r="AO283" s="378"/>
      <c r="AP283" s="378"/>
      <c r="AQ283" s="378"/>
      <c r="AR283" s="378"/>
      <c r="AS283" s="378"/>
      <c r="AT283" s="139"/>
      <c r="AU283" s="523"/>
      <c r="AV283" s="524"/>
    </row>
    <row r="284">
      <c r="A284" s="80"/>
      <c r="B284" s="81"/>
      <c r="C284" s="81"/>
      <c r="D284" s="81"/>
      <c r="E284" s="548" t="s">
        <v>661</v>
      </c>
      <c r="F284" s="189" t="s">
        <v>122</v>
      </c>
      <c r="G284" s="263" t="s">
        <v>203</v>
      </c>
      <c r="H284" s="916">
        <v>0.06</v>
      </c>
      <c r="I284" s="917" t="s">
        <v>150</v>
      </c>
      <c r="J284" s="917" t="s">
        <v>150</v>
      </c>
      <c r="K284" s="917" t="s">
        <v>150</v>
      </c>
      <c r="L284" s="917" t="s">
        <v>150</v>
      </c>
      <c r="M284" s="917" t="s">
        <v>150</v>
      </c>
      <c r="N284" s="917" t="s">
        <v>150</v>
      </c>
      <c r="O284" s="917" t="s">
        <v>150</v>
      </c>
      <c r="P284" s="917" t="s">
        <v>150</v>
      </c>
      <c r="Q284" s="917" t="s">
        <v>150</v>
      </c>
      <c r="R284" s="917" t="s">
        <v>150</v>
      </c>
      <c r="S284" s="917" t="s">
        <v>150</v>
      </c>
      <c r="T284" s="917" t="s">
        <v>150</v>
      </c>
      <c r="U284" s="917" t="s">
        <v>150</v>
      </c>
      <c r="V284" s="917" t="s">
        <v>150</v>
      </c>
      <c r="W284" s="917" t="s">
        <v>150</v>
      </c>
      <c r="X284" s="917" t="s">
        <v>150</v>
      </c>
      <c r="Y284" s="917" t="s">
        <v>150</v>
      </c>
      <c r="Z284" s="917" t="s">
        <v>150</v>
      </c>
      <c r="AA284" s="917" t="s">
        <v>150</v>
      </c>
      <c r="AB284" s="917" t="s">
        <v>150</v>
      </c>
      <c r="AC284" s="917" t="s">
        <v>150</v>
      </c>
      <c r="AD284" s="917" t="s">
        <v>150</v>
      </c>
      <c r="AE284" s="917" t="s">
        <v>150</v>
      </c>
      <c r="AF284" s="917" t="s">
        <v>150</v>
      </c>
      <c r="AG284" s="917" t="s">
        <v>150</v>
      </c>
      <c r="AH284" s="917" t="s">
        <v>150</v>
      </c>
      <c r="AI284" s="917" t="s">
        <v>150</v>
      </c>
      <c r="AJ284" s="917" t="s">
        <v>150</v>
      </c>
      <c r="AK284" s="917" t="s">
        <v>150</v>
      </c>
      <c r="AL284" s="917" t="s">
        <v>150</v>
      </c>
      <c r="AM284" s="917" t="s">
        <v>150</v>
      </c>
      <c r="AN284" s="917" t="s">
        <v>150</v>
      </c>
      <c r="AO284" s="917" t="s">
        <v>150</v>
      </c>
      <c r="AP284" s="917" t="s">
        <v>150</v>
      </c>
      <c r="AQ284" s="917" t="s">
        <v>150</v>
      </c>
      <c r="AR284" s="917" t="s">
        <v>150</v>
      </c>
      <c r="AS284" s="917" t="s">
        <v>150</v>
      </c>
      <c r="AT284" s="841"/>
      <c r="AU284" s="854" t="s">
        <v>809</v>
      </c>
      <c r="AV284" s="928" t="s">
        <v>161</v>
      </c>
    </row>
    <row r="285">
      <c r="A285" s="80"/>
      <c r="B285" s="81"/>
      <c r="C285" s="81"/>
      <c r="D285" s="81"/>
      <c r="E285" s="548" t="s">
        <v>667</v>
      </c>
      <c r="F285" s="189" t="s">
        <v>122</v>
      </c>
      <c r="G285" s="263" t="s">
        <v>203</v>
      </c>
      <c r="H285" s="916">
        <v>0.007</v>
      </c>
      <c r="I285" s="917" t="s">
        <v>150</v>
      </c>
      <c r="J285" s="917" t="s">
        <v>150</v>
      </c>
      <c r="K285" s="917" t="s">
        <v>150</v>
      </c>
      <c r="L285" s="917" t="s">
        <v>150</v>
      </c>
      <c r="M285" s="917" t="s">
        <v>150</v>
      </c>
      <c r="N285" s="917" t="s">
        <v>150</v>
      </c>
      <c r="O285" s="917" t="s">
        <v>150</v>
      </c>
      <c r="P285" s="917" t="s">
        <v>150</v>
      </c>
      <c r="Q285" s="917" t="s">
        <v>150</v>
      </c>
      <c r="R285" s="917" t="s">
        <v>150</v>
      </c>
      <c r="S285" s="917" t="s">
        <v>150</v>
      </c>
      <c r="T285" s="917" t="s">
        <v>150</v>
      </c>
      <c r="U285" s="917" t="s">
        <v>150</v>
      </c>
      <c r="V285" s="917" t="s">
        <v>150</v>
      </c>
      <c r="W285" s="917" t="s">
        <v>150</v>
      </c>
      <c r="X285" s="917" t="s">
        <v>150</v>
      </c>
      <c r="Y285" s="917" t="s">
        <v>150</v>
      </c>
      <c r="Z285" s="917" t="s">
        <v>150</v>
      </c>
      <c r="AA285" s="917" t="s">
        <v>150</v>
      </c>
      <c r="AB285" s="917" t="s">
        <v>150</v>
      </c>
      <c r="AC285" s="917" t="s">
        <v>150</v>
      </c>
      <c r="AD285" s="917" t="s">
        <v>150</v>
      </c>
      <c r="AE285" s="917" t="s">
        <v>150</v>
      </c>
      <c r="AF285" s="917" t="s">
        <v>150</v>
      </c>
      <c r="AG285" s="917" t="s">
        <v>150</v>
      </c>
      <c r="AH285" s="917" t="s">
        <v>150</v>
      </c>
      <c r="AI285" s="917" t="s">
        <v>150</v>
      </c>
      <c r="AJ285" s="917" t="s">
        <v>150</v>
      </c>
      <c r="AK285" s="917" t="s">
        <v>150</v>
      </c>
      <c r="AL285" s="917" t="s">
        <v>150</v>
      </c>
      <c r="AM285" s="917" t="s">
        <v>150</v>
      </c>
      <c r="AN285" s="917" t="s">
        <v>150</v>
      </c>
      <c r="AO285" s="917" t="s">
        <v>150</v>
      </c>
      <c r="AP285" s="917" t="s">
        <v>150</v>
      </c>
      <c r="AQ285" s="917" t="s">
        <v>150</v>
      </c>
      <c r="AR285" s="917" t="s">
        <v>150</v>
      </c>
      <c r="AS285" s="917" t="s">
        <v>150</v>
      </c>
      <c r="AT285" s="841"/>
      <c r="AU285" s="854" t="s">
        <v>809</v>
      </c>
      <c r="AV285" s="928" t="s">
        <v>161</v>
      </c>
    </row>
    <row r="286">
      <c r="A286" s="80"/>
      <c r="B286" s="81"/>
      <c r="C286" s="81"/>
      <c r="D286" s="81"/>
      <c r="E286" s="548" t="s">
        <v>672</v>
      </c>
      <c r="F286" s="189" t="s">
        <v>122</v>
      </c>
      <c r="G286" s="263" t="s">
        <v>203</v>
      </c>
      <c r="H286" s="916">
        <v>-0.05</v>
      </c>
      <c r="I286" s="917" t="s">
        <v>150</v>
      </c>
      <c r="J286" s="917" t="s">
        <v>150</v>
      </c>
      <c r="K286" s="917" t="s">
        <v>150</v>
      </c>
      <c r="L286" s="917" t="s">
        <v>150</v>
      </c>
      <c r="M286" s="917" t="s">
        <v>150</v>
      </c>
      <c r="N286" s="917" t="s">
        <v>150</v>
      </c>
      <c r="O286" s="917" t="s">
        <v>150</v>
      </c>
      <c r="P286" s="917" t="s">
        <v>150</v>
      </c>
      <c r="Q286" s="917" t="s">
        <v>150</v>
      </c>
      <c r="R286" s="917" t="s">
        <v>150</v>
      </c>
      <c r="S286" s="917" t="s">
        <v>150</v>
      </c>
      <c r="T286" s="917" t="s">
        <v>150</v>
      </c>
      <c r="U286" s="917" t="s">
        <v>150</v>
      </c>
      <c r="V286" s="917" t="s">
        <v>150</v>
      </c>
      <c r="W286" s="917" t="s">
        <v>150</v>
      </c>
      <c r="X286" s="917" t="s">
        <v>150</v>
      </c>
      <c r="Y286" s="917" t="s">
        <v>150</v>
      </c>
      <c r="Z286" s="917" t="s">
        <v>150</v>
      </c>
      <c r="AA286" s="917" t="s">
        <v>150</v>
      </c>
      <c r="AB286" s="917" t="s">
        <v>150</v>
      </c>
      <c r="AC286" s="917" t="s">
        <v>150</v>
      </c>
      <c r="AD286" s="917" t="s">
        <v>150</v>
      </c>
      <c r="AE286" s="917" t="s">
        <v>150</v>
      </c>
      <c r="AF286" s="917" t="s">
        <v>150</v>
      </c>
      <c r="AG286" s="917" t="s">
        <v>150</v>
      </c>
      <c r="AH286" s="917" t="s">
        <v>150</v>
      </c>
      <c r="AI286" s="917" t="s">
        <v>150</v>
      </c>
      <c r="AJ286" s="917" t="s">
        <v>150</v>
      </c>
      <c r="AK286" s="917" t="s">
        <v>150</v>
      </c>
      <c r="AL286" s="917" t="s">
        <v>150</v>
      </c>
      <c r="AM286" s="917" t="s">
        <v>150</v>
      </c>
      <c r="AN286" s="917" t="s">
        <v>150</v>
      </c>
      <c r="AO286" s="917" t="s">
        <v>150</v>
      </c>
      <c r="AP286" s="917" t="s">
        <v>150</v>
      </c>
      <c r="AQ286" s="917" t="s">
        <v>150</v>
      </c>
      <c r="AR286" s="917" t="s">
        <v>150</v>
      </c>
      <c r="AS286" s="917" t="s">
        <v>150</v>
      </c>
      <c r="AT286" s="841"/>
      <c r="AU286" s="854" t="s">
        <v>809</v>
      </c>
      <c r="AV286" s="928" t="s">
        <v>161</v>
      </c>
    </row>
    <row r="287">
      <c r="A287" s="80"/>
      <c r="B287" s="81"/>
      <c r="C287" s="81"/>
      <c r="D287" s="81"/>
      <c r="E287" s="548" t="s">
        <v>678</v>
      </c>
      <c r="F287" s="189" t="s">
        <v>122</v>
      </c>
      <c r="G287" s="263" t="s">
        <v>203</v>
      </c>
      <c r="H287" s="916">
        <v>0.2</v>
      </c>
      <c r="I287" s="917" t="s">
        <v>150</v>
      </c>
      <c r="J287" s="917" t="s">
        <v>150</v>
      </c>
      <c r="K287" s="917" t="s">
        <v>150</v>
      </c>
      <c r="L287" s="917" t="s">
        <v>150</v>
      </c>
      <c r="M287" s="917" t="s">
        <v>150</v>
      </c>
      <c r="N287" s="917" t="s">
        <v>150</v>
      </c>
      <c r="O287" s="917" t="s">
        <v>150</v>
      </c>
      <c r="P287" s="917" t="s">
        <v>150</v>
      </c>
      <c r="Q287" s="917" t="s">
        <v>150</v>
      </c>
      <c r="R287" s="917" t="s">
        <v>150</v>
      </c>
      <c r="S287" s="917" t="s">
        <v>150</v>
      </c>
      <c r="T287" s="917" t="s">
        <v>150</v>
      </c>
      <c r="U287" s="917" t="s">
        <v>150</v>
      </c>
      <c r="V287" s="917" t="s">
        <v>150</v>
      </c>
      <c r="W287" s="917" t="s">
        <v>150</v>
      </c>
      <c r="X287" s="917" t="s">
        <v>150</v>
      </c>
      <c r="Y287" s="917" t="s">
        <v>150</v>
      </c>
      <c r="Z287" s="917" t="s">
        <v>150</v>
      </c>
      <c r="AA287" s="917" t="s">
        <v>150</v>
      </c>
      <c r="AB287" s="917" t="s">
        <v>150</v>
      </c>
      <c r="AC287" s="917" t="s">
        <v>150</v>
      </c>
      <c r="AD287" s="917" t="s">
        <v>150</v>
      </c>
      <c r="AE287" s="917" t="s">
        <v>150</v>
      </c>
      <c r="AF287" s="917" t="s">
        <v>150</v>
      </c>
      <c r="AG287" s="917" t="s">
        <v>150</v>
      </c>
      <c r="AH287" s="917" t="s">
        <v>150</v>
      </c>
      <c r="AI287" s="917" t="s">
        <v>150</v>
      </c>
      <c r="AJ287" s="917" t="s">
        <v>150</v>
      </c>
      <c r="AK287" s="917" t="s">
        <v>150</v>
      </c>
      <c r="AL287" s="917" t="s">
        <v>150</v>
      </c>
      <c r="AM287" s="917" t="s">
        <v>150</v>
      </c>
      <c r="AN287" s="917" t="s">
        <v>150</v>
      </c>
      <c r="AO287" s="917" t="s">
        <v>150</v>
      </c>
      <c r="AP287" s="917" t="s">
        <v>150</v>
      </c>
      <c r="AQ287" s="917" t="s">
        <v>150</v>
      </c>
      <c r="AR287" s="917" t="s">
        <v>150</v>
      </c>
      <c r="AS287" s="917" t="s">
        <v>150</v>
      </c>
      <c r="AT287" s="841"/>
      <c r="AU287" s="854" t="s">
        <v>809</v>
      </c>
      <c r="AV287" s="928" t="s">
        <v>161</v>
      </c>
    </row>
    <row r="288">
      <c r="A288" s="80"/>
      <c r="B288" s="81"/>
      <c r="C288" s="81"/>
      <c r="D288" s="81"/>
      <c r="E288" s="548" t="s">
        <v>683</v>
      </c>
      <c r="F288" s="189" t="s">
        <v>122</v>
      </c>
      <c r="G288" s="263" t="s">
        <v>203</v>
      </c>
      <c r="H288" s="916">
        <v>0.05</v>
      </c>
      <c r="I288" s="917" t="s">
        <v>150</v>
      </c>
      <c r="J288" s="917" t="s">
        <v>150</v>
      </c>
      <c r="K288" s="917" t="s">
        <v>150</v>
      </c>
      <c r="L288" s="917" t="s">
        <v>150</v>
      </c>
      <c r="M288" s="917" t="s">
        <v>150</v>
      </c>
      <c r="N288" s="917" t="s">
        <v>150</v>
      </c>
      <c r="O288" s="917" t="s">
        <v>150</v>
      </c>
      <c r="P288" s="917" t="s">
        <v>150</v>
      </c>
      <c r="Q288" s="917" t="s">
        <v>150</v>
      </c>
      <c r="R288" s="917" t="s">
        <v>150</v>
      </c>
      <c r="S288" s="917" t="s">
        <v>150</v>
      </c>
      <c r="T288" s="917" t="s">
        <v>150</v>
      </c>
      <c r="U288" s="917" t="s">
        <v>150</v>
      </c>
      <c r="V288" s="917" t="s">
        <v>150</v>
      </c>
      <c r="W288" s="917" t="s">
        <v>150</v>
      </c>
      <c r="X288" s="917" t="s">
        <v>150</v>
      </c>
      <c r="Y288" s="917" t="s">
        <v>150</v>
      </c>
      <c r="Z288" s="917" t="s">
        <v>150</v>
      </c>
      <c r="AA288" s="917" t="s">
        <v>150</v>
      </c>
      <c r="AB288" s="917" t="s">
        <v>150</v>
      </c>
      <c r="AC288" s="917" t="s">
        <v>150</v>
      </c>
      <c r="AD288" s="917" t="s">
        <v>150</v>
      </c>
      <c r="AE288" s="917" t="s">
        <v>150</v>
      </c>
      <c r="AF288" s="917" t="s">
        <v>150</v>
      </c>
      <c r="AG288" s="917" t="s">
        <v>150</v>
      </c>
      <c r="AH288" s="917" t="s">
        <v>150</v>
      </c>
      <c r="AI288" s="917" t="s">
        <v>150</v>
      </c>
      <c r="AJ288" s="917" t="s">
        <v>150</v>
      </c>
      <c r="AK288" s="917" t="s">
        <v>150</v>
      </c>
      <c r="AL288" s="917" t="s">
        <v>150</v>
      </c>
      <c r="AM288" s="917" t="s">
        <v>150</v>
      </c>
      <c r="AN288" s="917" t="s">
        <v>150</v>
      </c>
      <c r="AO288" s="917" t="s">
        <v>150</v>
      </c>
      <c r="AP288" s="917" t="s">
        <v>150</v>
      </c>
      <c r="AQ288" s="917" t="s">
        <v>150</v>
      </c>
      <c r="AR288" s="917" t="s">
        <v>150</v>
      </c>
      <c r="AS288" s="917" t="s">
        <v>150</v>
      </c>
      <c r="AT288" s="841"/>
      <c r="AU288" s="854" t="s">
        <v>809</v>
      </c>
      <c r="AV288" s="928" t="s">
        <v>161</v>
      </c>
    </row>
    <row r="289">
      <c r="A289" s="80"/>
      <c r="B289" s="81"/>
      <c r="C289" s="81"/>
      <c r="D289" s="81"/>
      <c r="E289" s="548" t="s">
        <v>687</v>
      </c>
      <c r="F289" s="189" t="s">
        <v>122</v>
      </c>
      <c r="G289" s="263" t="s">
        <v>203</v>
      </c>
      <c r="H289" s="916">
        <v>0.0</v>
      </c>
      <c r="I289" s="917" t="s">
        <v>150</v>
      </c>
      <c r="J289" s="917" t="s">
        <v>150</v>
      </c>
      <c r="K289" s="917" t="s">
        <v>150</v>
      </c>
      <c r="L289" s="917" t="s">
        <v>150</v>
      </c>
      <c r="M289" s="917" t="s">
        <v>150</v>
      </c>
      <c r="N289" s="917" t="s">
        <v>150</v>
      </c>
      <c r="O289" s="917" t="s">
        <v>150</v>
      </c>
      <c r="P289" s="917" t="s">
        <v>150</v>
      </c>
      <c r="Q289" s="917" t="s">
        <v>150</v>
      </c>
      <c r="R289" s="917" t="s">
        <v>150</v>
      </c>
      <c r="S289" s="917" t="s">
        <v>150</v>
      </c>
      <c r="T289" s="917" t="s">
        <v>150</v>
      </c>
      <c r="U289" s="917" t="s">
        <v>150</v>
      </c>
      <c r="V289" s="917" t="s">
        <v>150</v>
      </c>
      <c r="W289" s="917" t="s">
        <v>150</v>
      </c>
      <c r="X289" s="917" t="s">
        <v>150</v>
      </c>
      <c r="Y289" s="917" t="s">
        <v>150</v>
      </c>
      <c r="Z289" s="917" t="s">
        <v>150</v>
      </c>
      <c r="AA289" s="917" t="s">
        <v>150</v>
      </c>
      <c r="AB289" s="917" t="s">
        <v>150</v>
      </c>
      <c r="AC289" s="917" t="s">
        <v>150</v>
      </c>
      <c r="AD289" s="917" t="s">
        <v>150</v>
      </c>
      <c r="AE289" s="917" t="s">
        <v>150</v>
      </c>
      <c r="AF289" s="917" t="s">
        <v>150</v>
      </c>
      <c r="AG289" s="917" t="s">
        <v>150</v>
      </c>
      <c r="AH289" s="917" t="s">
        <v>150</v>
      </c>
      <c r="AI289" s="917" t="s">
        <v>150</v>
      </c>
      <c r="AJ289" s="917" t="s">
        <v>150</v>
      </c>
      <c r="AK289" s="917" t="s">
        <v>150</v>
      </c>
      <c r="AL289" s="917" t="s">
        <v>150</v>
      </c>
      <c r="AM289" s="917" t="s">
        <v>150</v>
      </c>
      <c r="AN289" s="917" t="s">
        <v>150</v>
      </c>
      <c r="AO289" s="917" t="s">
        <v>150</v>
      </c>
      <c r="AP289" s="917" t="s">
        <v>150</v>
      </c>
      <c r="AQ289" s="917" t="s">
        <v>150</v>
      </c>
      <c r="AR289" s="917" t="s">
        <v>150</v>
      </c>
      <c r="AS289" s="917" t="s">
        <v>150</v>
      </c>
      <c r="AT289" s="841"/>
      <c r="AU289" s="854" t="s">
        <v>809</v>
      </c>
      <c r="AV289" s="928" t="s">
        <v>161</v>
      </c>
    </row>
    <row r="290">
      <c r="A290" s="80"/>
      <c r="B290" s="81"/>
      <c r="C290" s="81"/>
      <c r="D290" s="445"/>
      <c r="E290" s="548" t="s">
        <v>693</v>
      </c>
      <c r="F290" s="189" t="s">
        <v>122</v>
      </c>
      <c r="G290" s="263" t="s">
        <v>203</v>
      </c>
      <c r="H290" s="916">
        <v>0.06</v>
      </c>
      <c r="I290" s="917" t="s">
        <v>150</v>
      </c>
      <c r="J290" s="917" t="s">
        <v>150</v>
      </c>
      <c r="K290" s="917" t="s">
        <v>150</v>
      </c>
      <c r="L290" s="917" t="s">
        <v>150</v>
      </c>
      <c r="M290" s="917" t="s">
        <v>150</v>
      </c>
      <c r="N290" s="917" t="s">
        <v>150</v>
      </c>
      <c r="O290" s="917" t="s">
        <v>150</v>
      </c>
      <c r="P290" s="917" t="s">
        <v>150</v>
      </c>
      <c r="Q290" s="917" t="s">
        <v>150</v>
      </c>
      <c r="R290" s="917" t="s">
        <v>150</v>
      </c>
      <c r="S290" s="917" t="s">
        <v>150</v>
      </c>
      <c r="T290" s="917" t="s">
        <v>150</v>
      </c>
      <c r="U290" s="917" t="s">
        <v>150</v>
      </c>
      <c r="V290" s="917" t="s">
        <v>150</v>
      </c>
      <c r="W290" s="917" t="s">
        <v>150</v>
      </c>
      <c r="X290" s="917" t="s">
        <v>150</v>
      </c>
      <c r="Y290" s="917" t="s">
        <v>150</v>
      </c>
      <c r="Z290" s="917" t="s">
        <v>150</v>
      </c>
      <c r="AA290" s="917" t="s">
        <v>150</v>
      </c>
      <c r="AB290" s="917" t="s">
        <v>150</v>
      </c>
      <c r="AC290" s="917" t="s">
        <v>150</v>
      </c>
      <c r="AD290" s="917" t="s">
        <v>150</v>
      </c>
      <c r="AE290" s="917" t="s">
        <v>150</v>
      </c>
      <c r="AF290" s="917" t="s">
        <v>150</v>
      </c>
      <c r="AG290" s="917" t="s">
        <v>150</v>
      </c>
      <c r="AH290" s="917" t="s">
        <v>150</v>
      </c>
      <c r="AI290" s="917" t="s">
        <v>150</v>
      </c>
      <c r="AJ290" s="917" t="s">
        <v>150</v>
      </c>
      <c r="AK290" s="917" t="s">
        <v>150</v>
      </c>
      <c r="AL290" s="917" t="s">
        <v>150</v>
      </c>
      <c r="AM290" s="917" t="s">
        <v>150</v>
      </c>
      <c r="AN290" s="917" t="s">
        <v>150</v>
      </c>
      <c r="AO290" s="917" t="s">
        <v>150</v>
      </c>
      <c r="AP290" s="917" t="s">
        <v>150</v>
      </c>
      <c r="AQ290" s="917" t="s">
        <v>150</v>
      </c>
      <c r="AR290" s="917" t="s">
        <v>150</v>
      </c>
      <c r="AS290" s="917" t="s">
        <v>150</v>
      </c>
      <c r="AT290" s="841"/>
      <c r="AU290" s="854" t="s">
        <v>809</v>
      </c>
      <c r="AV290" s="928" t="s">
        <v>161</v>
      </c>
    </row>
    <row r="291">
      <c r="A291" s="80"/>
      <c r="B291" s="81"/>
      <c r="C291" s="81"/>
      <c r="D291" s="81"/>
      <c r="E291" s="548" t="s">
        <v>697</v>
      </c>
      <c r="F291" s="189" t="s">
        <v>122</v>
      </c>
      <c r="G291" s="263" t="s">
        <v>203</v>
      </c>
      <c r="H291" s="916">
        <v>0.125</v>
      </c>
      <c r="I291" s="917" t="s">
        <v>150</v>
      </c>
      <c r="J291" s="917" t="s">
        <v>150</v>
      </c>
      <c r="K291" s="917" t="s">
        <v>150</v>
      </c>
      <c r="L291" s="917" t="s">
        <v>150</v>
      </c>
      <c r="M291" s="917" t="s">
        <v>150</v>
      </c>
      <c r="N291" s="917" t="s">
        <v>150</v>
      </c>
      <c r="O291" s="917" t="s">
        <v>150</v>
      </c>
      <c r="P291" s="917" t="s">
        <v>150</v>
      </c>
      <c r="Q291" s="917" t="s">
        <v>150</v>
      </c>
      <c r="R291" s="917" t="s">
        <v>150</v>
      </c>
      <c r="S291" s="917" t="s">
        <v>150</v>
      </c>
      <c r="T291" s="917" t="s">
        <v>150</v>
      </c>
      <c r="U291" s="917" t="s">
        <v>150</v>
      </c>
      <c r="V291" s="917" t="s">
        <v>150</v>
      </c>
      <c r="W291" s="917" t="s">
        <v>150</v>
      </c>
      <c r="X291" s="917" t="s">
        <v>150</v>
      </c>
      <c r="Y291" s="917" t="s">
        <v>150</v>
      </c>
      <c r="Z291" s="917" t="s">
        <v>150</v>
      </c>
      <c r="AA291" s="917" t="s">
        <v>150</v>
      </c>
      <c r="AB291" s="917" t="s">
        <v>150</v>
      </c>
      <c r="AC291" s="917" t="s">
        <v>150</v>
      </c>
      <c r="AD291" s="917" t="s">
        <v>150</v>
      </c>
      <c r="AE291" s="917" t="s">
        <v>150</v>
      </c>
      <c r="AF291" s="917" t="s">
        <v>150</v>
      </c>
      <c r="AG291" s="917" t="s">
        <v>150</v>
      </c>
      <c r="AH291" s="917" t="s">
        <v>150</v>
      </c>
      <c r="AI291" s="917" t="s">
        <v>150</v>
      </c>
      <c r="AJ291" s="917" t="s">
        <v>150</v>
      </c>
      <c r="AK291" s="917" t="s">
        <v>150</v>
      </c>
      <c r="AL291" s="917" t="s">
        <v>150</v>
      </c>
      <c r="AM291" s="917" t="s">
        <v>150</v>
      </c>
      <c r="AN291" s="917" t="s">
        <v>150</v>
      </c>
      <c r="AO291" s="917" t="s">
        <v>150</v>
      </c>
      <c r="AP291" s="917" t="s">
        <v>150</v>
      </c>
      <c r="AQ291" s="917" t="s">
        <v>150</v>
      </c>
      <c r="AR291" s="917" t="s">
        <v>150</v>
      </c>
      <c r="AS291" s="917" t="s">
        <v>150</v>
      </c>
      <c r="AT291" s="841"/>
      <c r="AU291" s="854" t="s">
        <v>809</v>
      </c>
      <c r="AV291" s="928" t="s">
        <v>161</v>
      </c>
    </row>
    <row r="292">
      <c r="A292" s="80"/>
      <c r="B292" s="81"/>
      <c r="C292" s="81"/>
      <c r="D292" s="81"/>
      <c r="E292" s="548" t="s">
        <v>702</v>
      </c>
      <c r="F292" s="189" t="s">
        <v>122</v>
      </c>
      <c r="G292" s="263" t="s">
        <v>203</v>
      </c>
      <c r="H292" s="916">
        <v>0.036</v>
      </c>
      <c r="I292" s="917" t="s">
        <v>150</v>
      </c>
      <c r="J292" s="917" t="s">
        <v>150</v>
      </c>
      <c r="K292" s="917" t="s">
        <v>150</v>
      </c>
      <c r="L292" s="917" t="s">
        <v>150</v>
      </c>
      <c r="M292" s="917" t="s">
        <v>150</v>
      </c>
      <c r="N292" s="917" t="s">
        <v>150</v>
      </c>
      <c r="O292" s="917" t="s">
        <v>150</v>
      </c>
      <c r="P292" s="917" t="s">
        <v>150</v>
      </c>
      <c r="Q292" s="917" t="s">
        <v>150</v>
      </c>
      <c r="R292" s="917" t="s">
        <v>150</v>
      </c>
      <c r="S292" s="917" t="s">
        <v>150</v>
      </c>
      <c r="T292" s="917" t="s">
        <v>150</v>
      </c>
      <c r="U292" s="917" t="s">
        <v>150</v>
      </c>
      <c r="V292" s="917" t="s">
        <v>150</v>
      </c>
      <c r="W292" s="917" t="s">
        <v>150</v>
      </c>
      <c r="X292" s="917" t="s">
        <v>150</v>
      </c>
      <c r="Y292" s="917" t="s">
        <v>150</v>
      </c>
      <c r="Z292" s="917" t="s">
        <v>150</v>
      </c>
      <c r="AA292" s="917" t="s">
        <v>150</v>
      </c>
      <c r="AB292" s="917" t="s">
        <v>150</v>
      </c>
      <c r="AC292" s="917" t="s">
        <v>150</v>
      </c>
      <c r="AD292" s="917" t="s">
        <v>150</v>
      </c>
      <c r="AE292" s="917" t="s">
        <v>150</v>
      </c>
      <c r="AF292" s="917" t="s">
        <v>150</v>
      </c>
      <c r="AG292" s="917" t="s">
        <v>150</v>
      </c>
      <c r="AH292" s="917" t="s">
        <v>150</v>
      </c>
      <c r="AI292" s="917" t="s">
        <v>150</v>
      </c>
      <c r="AJ292" s="917" t="s">
        <v>150</v>
      </c>
      <c r="AK292" s="917" t="s">
        <v>150</v>
      </c>
      <c r="AL292" s="917" t="s">
        <v>150</v>
      </c>
      <c r="AM292" s="917" t="s">
        <v>150</v>
      </c>
      <c r="AN292" s="917" t="s">
        <v>150</v>
      </c>
      <c r="AO292" s="917" t="s">
        <v>150</v>
      </c>
      <c r="AP292" s="917" t="s">
        <v>150</v>
      </c>
      <c r="AQ292" s="917" t="s">
        <v>150</v>
      </c>
      <c r="AR292" s="917" t="s">
        <v>150</v>
      </c>
      <c r="AS292" s="917" t="s">
        <v>150</v>
      </c>
      <c r="AT292" s="841"/>
      <c r="AU292" s="854" t="s">
        <v>809</v>
      </c>
      <c r="AV292" s="928" t="s">
        <v>161</v>
      </c>
    </row>
    <row r="293">
      <c r="A293" s="80"/>
      <c r="B293" s="81"/>
      <c r="C293" s="81"/>
      <c r="D293" s="81"/>
      <c r="E293" s="548" t="s">
        <v>704</v>
      </c>
      <c r="F293" s="189" t="s">
        <v>122</v>
      </c>
      <c r="G293" s="263" t="s">
        <v>203</v>
      </c>
      <c r="H293" s="916">
        <v>0.04</v>
      </c>
      <c r="I293" s="917" t="s">
        <v>150</v>
      </c>
      <c r="J293" s="917" t="s">
        <v>150</v>
      </c>
      <c r="K293" s="917" t="s">
        <v>150</v>
      </c>
      <c r="L293" s="917" t="s">
        <v>150</v>
      </c>
      <c r="M293" s="917" t="s">
        <v>150</v>
      </c>
      <c r="N293" s="917" t="s">
        <v>150</v>
      </c>
      <c r="O293" s="917" t="s">
        <v>150</v>
      </c>
      <c r="P293" s="917" t="s">
        <v>150</v>
      </c>
      <c r="Q293" s="917" t="s">
        <v>150</v>
      </c>
      <c r="R293" s="917" t="s">
        <v>150</v>
      </c>
      <c r="S293" s="917" t="s">
        <v>150</v>
      </c>
      <c r="T293" s="917" t="s">
        <v>150</v>
      </c>
      <c r="U293" s="917" t="s">
        <v>150</v>
      </c>
      <c r="V293" s="917" t="s">
        <v>150</v>
      </c>
      <c r="W293" s="917" t="s">
        <v>150</v>
      </c>
      <c r="X293" s="917" t="s">
        <v>150</v>
      </c>
      <c r="Y293" s="917" t="s">
        <v>150</v>
      </c>
      <c r="Z293" s="917" t="s">
        <v>150</v>
      </c>
      <c r="AA293" s="917" t="s">
        <v>150</v>
      </c>
      <c r="AB293" s="917" t="s">
        <v>150</v>
      </c>
      <c r="AC293" s="917" t="s">
        <v>150</v>
      </c>
      <c r="AD293" s="917" t="s">
        <v>150</v>
      </c>
      <c r="AE293" s="917" t="s">
        <v>150</v>
      </c>
      <c r="AF293" s="917" t="s">
        <v>150</v>
      </c>
      <c r="AG293" s="917" t="s">
        <v>150</v>
      </c>
      <c r="AH293" s="917" t="s">
        <v>150</v>
      </c>
      <c r="AI293" s="917" t="s">
        <v>150</v>
      </c>
      <c r="AJ293" s="917" t="s">
        <v>150</v>
      </c>
      <c r="AK293" s="917" t="s">
        <v>150</v>
      </c>
      <c r="AL293" s="917" t="s">
        <v>150</v>
      </c>
      <c r="AM293" s="917" t="s">
        <v>150</v>
      </c>
      <c r="AN293" s="917" t="s">
        <v>150</v>
      </c>
      <c r="AO293" s="917" t="s">
        <v>150</v>
      </c>
      <c r="AP293" s="917" t="s">
        <v>150</v>
      </c>
      <c r="AQ293" s="917" t="s">
        <v>150</v>
      </c>
      <c r="AR293" s="917" t="s">
        <v>150</v>
      </c>
      <c r="AS293" s="917" t="s">
        <v>150</v>
      </c>
      <c r="AT293" s="841"/>
      <c r="AU293" s="854" t="s">
        <v>809</v>
      </c>
      <c r="AV293" s="928" t="s">
        <v>161</v>
      </c>
    </row>
    <row r="294">
      <c r="A294" s="80"/>
      <c r="B294" s="81"/>
      <c r="C294" s="81"/>
      <c r="D294" s="81"/>
      <c r="E294" s="548" t="s">
        <v>708</v>
      </c>
      <c r="F294" s="189" t="s">
        <v>122</v>
      </c>
      <c r="G294" s="263" t="s">
        <v>203</v>
      </c>
      <c r="H294" s="916">
        <v>-0.175</v>
      </c>
      <c r="I294" s="917" t="s">
        <v>150</v>
      </c>
      <c r="J294" s="917" t="s">
        <v>150</v>
      </c>
      <c r="K294" s="917" t="s">
        <v>150</v>
      </c>
      <c r="L294" s="917" t="s">
        <v>150</v>
      </c>
      <c r="M294" s="917" t="s">
        <v>150</v>
      </c>
      <c r="N294" s="917" t="s">
        <v>150</v>
      </c>
      <c r="O294" s="917" t="s">
        <v>150</v>
      </c>
      <c r="P294" s="917" t="s">
        <v>150</v>
      </c>
      <c r="Q294" s="917" t="s">
        <v>150</v>
      </c>
      <c r="R294" s="917" t="s">
        <v>150</v>
      </c>
      <c r="S294" s="917" t="s">
        <v>150</v>
      </c>
      <c r="T294" s="917" t="s">
        <v>150</v>
      </c>
      <c r="U294" s="917" t="s">
        <v>150</v>
      </c>
      <c r="V294" s="917" t="s">
        <v>150</v>
      </c>
      <c r="W294" s="917" t="s">
        <v>150</v>
      </c>
      <c r="X294" s="917" t="s">
        <v>150</v>
      </c>
      <c r="Y294" s="917" t="s">
        <v>150</v>
      </c>
      <c r="Z294" s="917" t="s">
        <v>150</v>
      </c>
      <c r="AA294" s="917" t="s">
        <v>150</v>
      </c>
      <c r="AB294" s="917" t="s">
        <v>150</v>
      </c>
      <c r="AC294" s="917" t="s">
        <v>150</v>
      </c>
      <c r="AD294" s="917" t="s">
        <v>150</v>
      </c>
      <c r="AE294" s="917" t="s">
        <v>150</v>
      </c>
      <c r="AF294" s="917" t="s">
        <v>150</v>
      </c>
      <c r="AG294" s="917" t="s">
        <v>150</v>
      </c>
      <c r="AH294" s="917" t="s">
        <v>150</v>
      </c>
      <c r="AI294" s="917" t="s">
        <v>150</v>
      </c>
      <c r="AJ294" s="917" t="s">
        <v>150</v>
      </c>
      <c r="AK294" s="917" t="s">
        <v>150</v>
      </c>
      <c r="AL294" s="917" t="s">
        <v>150</v>
      </c>
      <c r="AM294" s="917" t="s">
        <v>150</v>
      </c>
      <c r="AN294" s="917" t="s">
        <v>150</v>
      </c>
      <c r="AO294" s="917" t="s">
        <v>150</v>
      </c>
      <c r="AP294" s="917" t="s">
        <v>150</v>
      </c>
      <c r="AQ294" s="917" t="s">
        <v>150</v>
      </c>
      <c r="AR294" s="917" t="s">
        <v>150</v>
      </c>
      <c r="AS294" s="917" t="s">
        <v>150</v>
      </c>
      <c r="AT294" s="841"/>
      <c r="AU294" s="854" t="s">
        <v>809</v>
      </c>
      <c r="AV294" s="928" t="s">
        <v>161</v>
      </c>
    </row>
    <row r="295">
      <c r="A295" s="80"/>
      <c r="B295" s="81"/>
      <c r="C295" s="81"/>
      <c r="D295" s="81"/>
      <c r="E295" s="548" t="s">
        <v>710</v>
      </c>
      <c r="F295" s="189" t="s">
        <v>122</v>
      </c>
      <c r="G295" s="263" t="s">
        <v>203</v>
      </c>
      <c r="H295" s="916">
        <v>-0.02</v>
      </c>
      <c r="I295" s="917" t="s">
        <v>150</v>
      </c>
      <c r="J295" s="917" t="s">
        <v>150</v>
      </c>
      <c r="K295" s="917" t="s">
        <v>150</v>
      </c>
      <c r="L295" s="917" t="s">
        <v>150</v>
      </c>
      <c r="M295" s="917" t="s">
        <v>150</v>
      </c>
      <c r="N295" s="917" t="s">
        <v>150</v>
      </c>
      <c r="O295" s="917" t="s">
        <v>150</v>
      </c>
      <c r="P295" s="917" t="s">
        <v>150</v>
      </c>
      <c r="Q295" s="917" t="s">
        <v>150</v>
      </c>
      <c r="R295" s="917" t="s">
        <v>150</v>
      </c>
      <c r="S295" s="917" t="s">
        <v>150</v>
      </c>
      <c r="T295" s="917" t="s">
        <v>150</v>
      </c>
      <c r="U295" s="917" t="s">
        <v>150</v>
      </c>
      <c r="V295" s="917" t="s">
        <v>150</v>
      </c>
      <c r="W295" s="917" t="s">
        <v>150</v>
      </c>
      <c r="X295" s="917" t="s">
        <v>150</v>
      </c>
      <c r="Y295" s="917" t="s">
        <v>150</v>
      </c>
      <c r="Z295" s="917" t="s">
        <v>150</v>
      </c>
      <c r="AA295" s="917" t="s">
        <v>150</v>
      </c>
      <c r="AB295" s="917" t="s">
        <v>150</v>
      </c>
      <c r="AC295" s="917" t="s">
        <v>150</v>
      </c>
      <c r="AD295" s="917" t="s">
        <v>150</v>
      </c>
      <c r="AE295" s="917" t="s">
        <v>150</v>
      </c>
      <c r="AF295" s="917" t="s">
        <v>150</v>
      </c>
      <c r="AG295" s="917" t="s">
        <v>150</v>
      </c>
      <c r="AH295" s="917" t="s">
        <v>150</v>
      </c>
      <c r="AI295" s="917" t="s">
        <v>150</v>
      </c>
      <c r="AJ295" s="917" t="s">
        <v>150</v>
      </c>
      <c r="AK295" s="917" t="s">
        <v>150</v>
      </c>
      <c r="AL295" s="917" t="s">
        <v>150</v>
      </c>
      <c r="AM295" s="917" t="s">
        <v>150</v>
      </c>
      <c r="AN295" s="917" t="s">
        <v>150</v>
      </c>
      <c r="AO295" s="917" t="s">
        <v>150</v>
      </c>
      <c r="AP295" s="917" t="s">
        <v>150</v>
      </c>
      <c r="AQ295" s="917" t="s">
        <v>150</v>
      </c>
      <c r="AR295" s="917" t="s">
        <v>150</v>
      </c>
      <c r="AS295" s="917" t="s">
        <v>150</v>
      </c>
      <c r="AT295" s="841"/>
      <c r="AU295" s="854" t="s">
        <v>809</v>
      </c>
      <c r="AV295" s="928" t="s">
        <v>161</v>
      </c>
    </row>
    <row r="296">
      <c r="A296" s="80"/>
      <c r="B296" s="81"/>
      <c r="C296" s="81"/>
      <c r="D296" s="81"/>
      <c r="E296" s="548" t="s">
        <v>715</v>
      </c>
      <c r="F296" s="189" t="s">
        <v>122</v>
      </c>
      <c r="G296" s="263" t="s">
        <v>203</v>
      </c>
      <c r="H296" s="916">
        <v>-0.04</v>
      </c>
      <c r="I296" s="917" t="s">
        <v>150</v>
      </c>
      <c r="J296" s="917" t="s">
        <v>150</v>
      </c>
      <c r="K296" s="917" t="s">
        <v>150</v>
      </c>
      <c r="L296" s="917" t="s">
        <v>150</v>
      </c>
      <c r="M296" s="917" t="s">
        <v>150</v>
      </c>
      <c r="N296" s="917" t="s">
        <v>150</v>
      </c>
      <c r="O296" s="917" t="s">
        <v>150</v>
      </c>
      <c r="P296" s="917" t="s">
        <v>150</v>
      </c>
      <c r="Q296" s="917" t="s">
        <v>150</v>
      </c>
      <c r="R296" s="917" t="s">
        <v>150</v>
      </c>
      <c r="S296" s="917" t="s">
        <v>150</v>
      </c>
      <c r="T296" s="917" t="s">
        <v>150</v>
      </c>
      <c r="U296" s="917" t="s">
        <v>150</v>
      </c>
      <c r="V296" s="917" t="s">
        <v>150</v>
      </c>
      <c r="W296" s="917" t="s">
        <v>150</v>
      </c>
      <c r="X296" s="917" t="s">
        <v>150</v>
      </c>
      <c r="Y296" s="917" t="s">
        <v>150</v>
      </c>
      <c r="Z296" s="917" t="s">
        <v>150</v>
      </c>
      <c r="AA296" s="917" t="s">
        <v>150</v>
      </c>
      <c r="AB296" s="917" t="s">
        <v>150</v>
      </c>
      <c r="AC296" s="917" t="s">
        <v>150</v>
      </c>
      <c r="AD296" s="917" t="s">
        <v>150</v>
      </c>
      <c r="AE296" s="917" t="s">
        <v>150</v>
      </c>
      <c r="AF296" s="917" t="s">
        <v>150</v>
      </c>
      <c r="AG296" s="917" t="s">
        <v>150</v>
      </c>
      <c r="AH296" s="917" t="s">
        <v>150</v>
      </c>
      <c r="AI296" s="917" t="s">
        <v>150</v>
      </c>
      <c r="AJ296" s="917" t="s">
        <v>150</v>
      </c>
      <c r="AK296" s="917" t="s">
        <v>150</v>
      </c>
      <c r="AL296" s="917" t="s">
        <v>150</v>
      </c>
      <c r="AM296" s="917" t="s">
        <v>150</v>
      </c>
      <c r="AN296" s="917" t="s">
        <v>150</v>
      </c>
      <c r="AO296" s="917" t="s">
        <v>150</v>
      </c>
      <c r="AP296" s="917" t="s">
        <v>150</v>
      </c>
      <c r="AQ296" s="917" t="s">
        <v>150</v>
      </c>
      <c r="AR296" s="917" t="s">
        <v>150</v>
      </c>
      <c r="AS296" s="917" t="s">
        <v>150</v>
      </c>
      <c r="AT296" s="841"/>
      <c r="AU296" s="854" t="s">
        <v>809</v>
      </c>
      <c r="AV296" s="928" t="s">
        <v>161</v>
      </c>
    </row>
    <row r="297">
      <c r="A297" s="80"/>
      <c r="B297" s="81"/>
      <c r="C297" s="81"/>
      <c r="D297" s="81"/>
      <c r="E297" s="530" t="s">
        <v>719</v>
      </c>
      <c r="F297" s="93" t="s">
        <v>122</v>
      </c>
      <c r="G297" s="128" t="s">
        <v>203</v>
      </c>
      <c r="H297" s="929">
        <v>0.035</v>
      </c>
      <c r="I297" s="930" t="s">
        <v>150</v>
      </c>
      <c r="J297" s="930" t="s">
        <v>150</v>
      </c>
      <c r="K297" s="930" t="s">
        <v>150</v>
      </c>
      <c r="L297" s="930" t="s">
        <v>150</v>
      </c>
      <c r="M297" s="930" t="s">
        <v>150</v>
      </c>
      <c r="N297" s="930" t="s">
        <v>150</v>
      </c>
      <c r="O297" s="930" t="s">
        <v>150</v>
      </c>
      <c r="P297" s="930" t="s">
        <v>150</v>
      </c>
      <c r="Q297" s="930" t="s">
        <v>150</v>
      </c>
      <c r="R297" s="930" t="s">
        <v>150</v>
      </c>
      <c r="S297" s="930" t="s">
        <v>150</v>
      </c>
      <c r="T297" s="930" t="s">
        <v>150</v>
      </c>
      <c r="U297" s="930" t="s">
        <v>150</v>
      </c>
      <c r="V297" s="930" t="s">
        <v>150</v>
      </c>
      <c r="W297" s="930" t="s">
        <v>150</v>
      </c>
      <c r="X297" s="930" t="s">
        <v>150</v>
      </c>
      <c r="Y297" s="930" t="s">
        <v>150</v>
      </c>
      <c r="Z297" s="930" t="s">
        <v>150</v>
      </c>
      <c r="AA297" s="930" t="s">
        <v>150</v>
      </c>
      <c r="AB297" s="930" t="s">
        <v>150</v>
      </c>
      <c r="AC297" s="930" t="s">
        <v>150</v>
      </c>
      <c r="AD297" s="930" t="s">
        <v>150</v>
      </c>
      <c r="AE297" s="930" t="s">
        <v>150</v>
      </c>
      <c r="AF297" s="930" t="s">
        <v>150</v>
      </c>
      <c r="AG297" s="930" t="s">
        <v>150</v>
      </c>
      <c r="AH297" s="930" t="s">
        <v>150</v>
      </c>
      <c r="AI297" s="930" t="s">
        <v>150</v>
      </c>
      <c r="AJ297" s="930" t="s">
        <v>150</v>
      </c>
      <c r="AK297" s="930" t="s">
        <v>150</v>
      </c>
      <c r="AL297" s="930" t="s">
        <v>150</v>
      </c>
      <c r="AM297" s="930" t="s">
        <v>150</v>
      </c>
      <c r="AN297" s="930" t="s">
        <v>150</v>
      </c>
      <c r="AO297" s="930" t="s">
        <v>150</v>
      </c>
      <c r="AP297" s="930" t="s">
        <v>150</v>
      </c>
      <c r="AQ297" s="930" t="s">
        <v>150</v>
      </c>
      <c r="AR297" s="930" t="s">
        <v>150</v>
      </c>
      <c r="AS297" s="930" t="s">
        <v>150</v>
      </c>
      <c r="AT297" s="166"/>
      <c r="AU297" s="527" t="s">
        <v>809</v>
      </c>
      <c r="AV297" s="931" t="s">
        <v>161</v>
      </c>
    </row>
    <row r="298">
      <c r="A298" s="932"/>
      <c r="E298" s="933"/>
      <c r="F298" s="934"/>
      <c r="G298" s="934"/>
      <c r="H298" s="935"/>
      <c r="AT298" s="932"/>
      <c r="AV298" s="669"/>
    </row>
    <row r="299">
      <c r="A299" s="72" t="s">
        <v>731</v>
      </c>
      <c r="B299" s="14"/>
      <c r="C299" s="14"/>
      <c r="D299" s="14"/>
      <c r="E299" s="14"/>
      <c r="F299" s="14"/>
      <c r="G299" s="482"/>
      <c r="H299" s="518"/>
      <c r="I299" s="519"/>
      <c r="J299" s="519"/>
      <c r="K299" s="519"/>
      <c r="L299" s="519"/>
      <c r="M299" s="519"/>
      <c r="N299" s="519"/>
      <c r="O299" s="519"/>
      <c r="P299" s="519"/>
      <c r="Q299" s="519"/>
      <c r="R299" s="519"/>
      <c r="S299" s="519"/>
      <c r="T299" s="519"/>
      <c r="U299" s="519"/>
      <c r="V299" s="519"/>
      <c r="W299" s="519"/>
      <c r="X299" s="519"/>
      <c r="Y299" s="519"/>
      <c r="Z299" s="519"/>
      <c r="AA299" s="519"/>
      <c r="AB299" s="519"/>
      <c r="AC299" s="519"/>
      <c r="AD299" s="519"/>
      <c r="AE299" s="519"/>
      <c r="AF299" s="519"/>
      <c r="AG299" s="519"/>
      <c r="AH299" s="519"/>
      <c r="AI299" s="519"/>
      <c r="AJ299" s="519"/>
      <c r="AK299" s="519"/>
      <c r="AL299" s="519"/>
      <c r="AM299" s="519"/>
      <c r="AN299" s="519"/>
      <c r="AO299" s="519"/>
      <c r="AP299" s="519"/>
      <c r="AQ299" s="519"/>
      <c r="AR299" s="519"/>
      <c r="AS299" s="519"/>
      <c r="AT299" s="898"/>
      <c r="AU299" s="899"/>
      <c r="AV299" s="521"/>
    </row>
    <row r="300">
      <c r="A300" s="80"/>
      <c r="B300" s="81"/>
      <c r="C300" s="81"/>
      <c r="D300" s="81"/>
      <c r="E300" s="102"/>
      <c r="F300" s="83"/>
      <c r="G300" s="84"/>
      <c r="H300" s="522"/>
      <c r="I300" s="378"/>
      <c r="J300" s="378"/>
      <c r="K300" s="378"/>
      <c r="L300" s="378"/>
      <c r="M300" s="378"/>
      <c r="N300" s="378"/>
      <c r="O300" s="378"/>
      <c r="P300" s="378"/>
      <c r="Q300" s="378"/>
      <c r="R300" s="378"/>
      <c r="S300" s="378"/>
      <c r="T300" s="378"/>
      <c r="U300" s="378"/>
      <c r="V300" s="378"/>
      <c r="W300" s="378"/>
      <c r="X300" s="378"/>
      <c r="Y300" s="378"/>
      <c r="Z300" s="378"/>
      <c r="AA300" s="378"/>
      <c r="AB300" s="378"/>
      <c r="AC300" s="378"/>
      <c r="AD300" s="378"/>
      <c r="AE300" s="378"/>
      <c r="AF300" s="378"/>
      <c r="AG300" s="378"/>
      <c r="AH300" s="378"/>
      <c r="AI300" s="378"/>
      <c r="AJ300" s="378"/>
      <c r="AK300" s="378"/>
      <c r="AL300" s="378"/>
      <c r="AM300" s="378"/>
      <c r="AN300" s="378"/>
      <c r="AO300" s="378"/>
      <c r="AP300" s="378"/>
      <c r="AQ300" s="378"/>
      <c r="AR300" s="378"/>
      <c r="AS300" s="378"/>
      <c r="AT300" s="139"/>
      <c r="AU300" s="523"/>
      <c r="AV300" s="524"/>
    </row>
    <row r="301">
      <c r="A301" s="80"/>
      <c r="B301" s="81"/>
      <c r="C301" s="101" t="s">
        <v>760</v>
      </c>
      <c r="F301" s="83"/>
      <c r="G301" s="84"/>
      <c r="H301" s="522"/>
      <c r="I301" s="378"/>
      <c r="J301" s="378"/>
      <c r="K301" s="378"/>
      <c r="L301" s="378"/>
      <c r="M301" s="378"/>
      <c r="N301" s="378"/>
      <c r="O301" s="378"/>
      <c r="P301" s="378"/>
      <c r="Q301" s="378"/>
      <c r="R301" s="378"/>
      <c r="S301" s="378"/>
      <c r="T301" s="378"/>
      <c r="U301" s="378"/>
      <c r="V301" s="378"/>
      <c r="W301" s="378"/>
      <c r="X301" s="378"/>
      <c r="Y301" s="378"/>
      <c r="Z301" s="378"/>
      <c r="AA301" s="378"/>
      <c r="AB301" s="378"/>
      <c r="AC301" s="378"/>
      <c r="AD301" s="378"/>
      <c r="AE301" s="378"/>
      <c r="AF301" s="378"/>
      <c r="AG301" s="378"/>
      <c r="AH301" s="378"/>
      <c r="AI301" s="378"/>
      <c r="AJ301" s="378"/>
      <c r="AK301" s="378"/>
      <c r="AL301" s="378"/>
      <c r="AM301" s="378"/>
      <c r="AN301" s="378"/>
      <c r="AO301" s="378"/>
      <c r="AP301" s="378"/>
      <c r="AQ301" s="378"/>
      <c r="AR301" s="378"/>
      <c r="AS301" s="378"/>
      <c r="AT301" s="139"/>
      <c r="AU301" s="523"/>
      <c r="AV301" s="524"/>
    </row>
    <row r="302">
      <c r="A302" s="80"/>
      <c r="B302" s="81"/>
      <c r="C302" s="81"/>
      <c r="D302" s="81"/>
      <c r="E302" s="548" t="s">
        <v>761</v>
      </c>
      <c r="F302" s="189" t="s">
        <v>118</v>
      </c>
      <c r="G302" s="263" t="s">
        <v>203</v>
      </c>
      <c r="H302" s="936">
        <v>34.28598</v>
      </c>
      <c r="I302" s="489" t="s">
        <v>150</v>
      </c>
      <c r="J302" s="489" t="s">
        <v>150</v>
      </c>
      <c r="K302" s="489" t="s">
        <v>150</v>
      </c>
      <c r="L302" s="489" t="s">
        <v>150</v>
      </c>
      <c r="M302" s="489" t="s">
        <v>150</v>
      </c>
      <c r="N302" s="489" t="s">
        <v>150</v>
      </c>
      <c r="O302" s="489" t="s">
        <v>150</v>
      </c>
      <c r="P302" s="489" t="s">
        <v>150</v>
      </c>
      <c r="Q302" s="489" t="s">
        <v>150</v>
      </c>
      <c r="R302" s="489" t="s">
        <v>150</v>
      </c>
      <c r="S302" s="489" t="s">
        <v>150</v>
      </c>
      <c r="T302" s="489" t="s">
        <v>150</v>
      </c>
      <c r="U302" s="489" t="s">
        <v>150</v>
      </c>
      <c r="V302" s="489" t="s">
        <v>150</v>
      </c>
      <c r="W302" s="489" t="s">
        <v>150</v>
      </c>
      <c r="X302" s="489" t="s">
        <v>150</v>
      </c>
      <c r="Y302" s="489" t="s">
        <v>150</v>
      </c>
      <c r="Z302" s="489" t="s">
        <v>150</v>
      </c>
      <c r="AA302" s="489" t="s">
        <v>150</v>
      </c>
      <c r="AB302" s="489" t="s">
        <v>150</v>
      </c>
      <c r="AC302" s="489" t="s">
        <v>150</v>
      </c>
      <c r="AD302" s="489" t="s">
        <v>150</v>
      </c>
      <c r="AE302" s="489" t="s">
        <v>150</v>
      </c>
      <c r="AF302" s="489" t="s">
        <v>150</v>
      </c>
      <c r="AG302" s="489" t="s">
        <v>150</v>
      </c>
      <c r="AH302" s="489" t="s">
        <v>150</v>
      </c>
      <c r="AI302" s="489" t="s">
        <v>150</v>
      </c>
      <c r="AJ302" s="489" t="s">
        <v>150</v>
      </c>
      <c r="AK302" s="489" t="s">
        <v>150</v>
      </c>
      <c r="AL302" s="489" t="s">
        <v>150</v>
      </c>
      <c r="AM302" s="489" t="s">
        <v>150</v>
      </c>
      <c r="AN302" s="489" t="s">
        <v>150</v>
      </c>
      <c r="AO302" s="489" t="s">
        <v>150</v>
      </c>
      <c r="AP302" s="489" t="s">
        <v>150</v>
      </c>
      <c r="AQ302" s="489" t="s">
        <v>150</v>
      </c>
      <c r="AR302" s="489" t="s">
        <v>150</v>
      </c>
      <c r="AS302" s="489" t="s">
        <v>150</v>
      </c>
      <c r="AT302" s="841"/>
      <c r="AU302" s="854" t="s">
        <v>795</v>
      </c>
      <c r="AV302" s="130" t="s">
        <v>146</v>
      </c>
    </row>
    <row r="303">
      <c r="A303" s="80"/>
      <c r="B303" s="81"/>
      <c r="C303" s="81"/>
      <c r="D303" s="81"/>
      <c r="E303" s="558" t="s">
        <v>764</v>
      </c>
      <c r="F303" s="195" t="s">
        <v>118</v>
      </c>
      <c r="G303" s="316" t="s">
        <v>203</v>
      </c>
      <c r="H303" s="937">
        <v>28.63798</v>
      </c>
      <c r="I303" s="396" t="s">
        <v>150</v>
      </c>
      <c r="J303" s="396" t="s">
        <v>150</v>
      </c>
      <c r="K303" s="396" t="s">
        <v>150</v>
      </c>
      <c r="L303" s="396" t="s">
        <v>150</v>
      </c>
      <c r="M303" s="396" t="s">
        <v>150</v>
      </c>
      <c r="N303" s="396" t="s">
        <v>150</v>
      </c>
      <c r="O303" s="396" t="s">
        <v>150</v>
      </c>
      <c r="P303" s="396" t="s">
        <v>150</v>
      </c>
      <c r="Q303" s="396" t="s">
        <v>150</v>
      </c>
      <c r="R303" s="396" t="s">
        <v>150</v>
      </c>
      <c r="S303" s="396" t="s">
        <v>150</v>
      </c>
      <c r="T303" s="396" t="s">
        <v>150</v>
      </c>
      <c r="U303" s="396" t="s">
        <v>150</v>
      </c>
      <c r="V303" s="396" t="s">
        <v>150</v>
      </c>
      <c r="W303" s="396" t="s">
        <v>150</v>
      </c>
      <c r="X303" s="396" t="s">
        <v>150</v>
      </c>
      <c r="Y303" s="396" t="s">
        <v>150</v>
      </c>
      <c r="Z303" s="396" t="s">
        <v>150</v>
      </c>
      <c r="AA303" s="396" t="s">
        <v>150</v>
      </c>
      <c r="AB303" s="396" t="s">
        <v>150</v>
      </c>
      <c r="AC303" s="396" t="s">
        <v>150</v>
      </c>
      <c r="AD303" s="396" t="s">
        <v>150</v>
      </c>
      <c r="AE303" s="396" t="s">
        <v>150</v>
      </c>
      <c r="AF303" s="396" t="s">
        <v>150</v>
      </c>
      <c r="AG303" s="396" t="s">
        <v>150</v>
      </c>
      <c r="AH303" s="396" t="s">
        <v>150</v>
      </c>
      <c r="AI303" s="396" t="s">
        <v>150</v>
      </c>
      <c r="AJ303" s="396" t="s">
        <v>150</v>
      </c>
      <c r="AK303" s="396" t="s">
        <v>150</v>
      </c>
      <c r="AL303" s="396" t="s">
        <v>150</v>
      </c>
      <c r="AM303" s="396" t="s">
        <v>150</v>
      </c>
      <c r="AN303" s="396" t="s">
        <v>150</v>
      </c>
      <c r="AO303" s="396" t="s">
        <v>150</v>
      </c>
      <c r="AP303" s="396" t="s">
        <v>150</v>
      </c>
      <c r="AQ303" s="396" t="s">
        <v>150</v>
      </c>
      <c r="AR303" s="396" t="s">
        <v>150</v>
      </c>
      <c r="AS303" s="396" t="s">
        <v>150</v>
      </c>
      <c r="AT303" s="845"/>
      <c r="AU303" s="863" t="s">
        <v>795</v>
      </c>
      <c r="AV303" s="534" t="s">
        <v>146</v>
      </c>
    </row>
    <row r="304">
      <c r="A304" s="80"/>
      <c r="B304" s="81"/>
      <c r="C304" s="81"/>
      <c r="D304" s="81"/>
      <c r="E304" s="102"/>
      <c r="F304" s="83"/>
      <c r="G304" s="84"/>
      <c r="H304" s="522"/>
      <c r="I304" s="378"/>
      <c r="J304" s="378"/>
      <c r="K304" s="378"/>
      <c r="L304" s="378"/>
      <c r="M304" s="378"/>
      <c r="N304" s="378"/>
      <c r="O304" s="378"/>
      <c r="P304" s="378"/>
      <c r="Q304" s="378"/>
      <c r="R304" s="378"/>
      <c r="S304" s="378"/>
      <c r="T304" s="378"/>
      <c r="U304" s="378"/>
      <c r="V304" s="378"/>
      <c r="W304" s="378"/>
      <c r="X304" s="378"/>
      <c r="Y304" s="378"/>
      <c r="Z304" s="378"/>
      <c r="AA304" s="378"/>
      <c r="AB304" s="378"/>
      <c r="AC304" s="378"/>
      <c r="AD304" s="378"/>
      <c r="AE304" s="378"/>
      <c r="AF304" s="378"/>
      <c r="AG304" s="378"/>
      <c r="AH304" s="378"/>
      <c r="AI304" s="378"/>
      <c r="AJ304" s="378"/>
      <c r="AK304" s="378"/>
      <c r="AL304" s="378"/>
      <c r="AM304" s="378"/>
      <c r="AN304" s="378"/>
      <c r="AO304" s="378"/>
      <c r="AP304" s="378"/>
      <c r="AQ304" s="378"/>
      <c r="AR304" s="378"/>
      <c r="AS304" s="378"/>
      <c r="AT304" s="139"/>
      <c r="AU304" s="523"/>
      <c r="AV304" s="524"/>
    </row>
    <row r="305">
      <c r="A305" s="80"/>
      <c r="B305" s="81"/>
      <c r="C305" s="325" t="s">
        <v>797</v>
      </c>
      <c r="F305" s="83"/>
      <c r="G305" s="84"/>
      <c r="H305" s="522"/>
      <c r="I305" s="378"/>
      <c r="J305" s="378"/>
      <c r="K305" s="378"/>
      <c r="L305" s="378"/>
      <c r="M305" s="378"/>
      <c r="N305" s="378"/>
      <c r="O305" s="378"/>
      <c r="P305" s="378"/>
      <c r="Q305" s="378"/>
      <c r="R305" s="378"/>
      <c r="S305" s="378"/>
      <c r="T305" s="378"/>
      <c r="U305" s="378"/>
      <c r="V305" s="378"/>
      <c r="W305" s="378"/>
      <c r="X305" s="378"/>
      <c r="Y305" s="378"/>
      <c r="Z305" s="378"/>
      <c r="AA305" s="378"/>
      <c r="AB305" s="378"/>
      <c r="AC305" s="378"/>
      <c r="AD305" s="378"/>
      <c r="AE305" s="378"/>
      <c r="AF305" s="378"/>
      <c r="AG305" s="378"/>
      <c r="AH305" s="378"/>
      <c r="AI305" s="378"/>
      <c r="AJ305" s="378"/>
      <c r="AK305" s="378"/>
      <c r="AL305" s="378"/>
      <c r="AM305" s="378"/>
      <c r="AN305" s="378"/>
      <c r="AO305" s="378"/>
      <c r="AP305" s="378"/>
      <c r="AQ305" s="378"/>
      <c r="AR305" s="378"/>
      <c r="AS305" s="378"/>
      <c r="AT305" s="139"/>
      <c r="AU305" s="523"/>
      <c r="AV305" s="524"/>
    </row>
    <row r="306">
      <c r="A306" s="80"/>
      <c r="B306" s="81"/>
      <c r="C306" s="81"/>
      <c r="D306" s="81"/>
      <c r="E306" s="530" t="s">
        <v>798</v>
      </c>
      <c r="F306" s="93" t="s">
        <v>122</v>
      </c>
      <c r="G306" s="128" t="s">
        <v>203</v>
      </c>
      <c r="H306" s="938" t="s">
        <v>150</v>
      </c>
      <c r="I306" s="930">
        <v>0.1</v>
      </c>
      <c r="J306" s="930">
        <v>0.1</v>
      </c>
      <c r="K306" s="930">
        <v>0.1</v>
      </c>
      <c r="L306" s="930">
        <v>0.1</v>
      </c>
      <c r="M306" s="930">
        <v>0.1</v>
      </c>
      <c r="N306" s="930">
        <v>0.1</v>
      </c>
      <c r="O306" s="930">
        <v>0.1</v>
      </c>
      <c r="P306" s="930">
        <v>0.1</v>
      </c>
      <c r="Q306" s="930">
        <v>0.1</v>
      </c>
      <c r="R306" s="930">
        <v>0.1</v>
      </c>
      <c r="S306" s="930">
        <v>0.1</v>
      </c>
      <c r="T306" s="930">
        <v>0.1</v>
      </c>
      <c r="U306" s="930">
        <v>0.1</v>
      </c>
      <c r="V306" s="930">
        <v>0.1</v>
      </c>
      <c r="W306" s="930">
        <v>0.1</v>
      </c>
      <c r="X306" s="930">
        <v>0.1</v>
      </c>
      <c r="Y306" s="930">
        <v>0.1</v>
      </c>
      <c r="Z306" s="930">
        <v>0.1</v>
      </c>
      <c r="AA306" s="930">
        <v>0.1</v>
      </c>
      <c r="AB306" s="930">
        <v>0.1</v>
      </c>
      <c r="AC306" s="930">
        <v>0.1</v>
      </c>
      <c r="AD306" s="930">
        <v>0.1</v>
      </c>
      <c r="AE306" s="930">
        <v>0.1</v>
      </c>
      <c r="AF306" s="930">
        <v>0.1</v>
      </c>
      <c r="AG306" s="930">
        <v>0.1</v>
      </c>
      <c r="AH306" s="930">
        <v>0.1</v>
      </c>
      <c r="AI306" s="930">
        <v>0.1</v>
      </c>
      <c r="AJ306" s="930">
        <v>0.1</v>
      </c>
      <c r="AK306" s="930">
        <v>0.1</v>
      </c>
      <c r="AL306" s="930">
        <v>0.1</v>
      </c>
      <c r="AM306" s="930">
        <v>0.1</v>
      </c>
      <c r="AN306" s="930">
        <v>0.1</v>
      </c>
      <c r="AO306" s="930">
        <v>0.1</v>
      </c>
      <c r="AP306" s="930">
        <v>0.1</v>
      </c>
      <c r="AQ306" s="930">
        <v>0.1</v>
      </c>
      <c r="AR306" s="930">
        <v>0.1</v>
      </c>
      <c r="AS306" s="930">
        <v>0.1</v>
      </c>
      <c r="AT306" s="166"/>
      <c r="AU306" s="527" t="s">
        <v>795</v>
      </c>
      <c r="AV306" s="939"/>
    </row>
    <row r="307">
      <c r="A307" s="80"/>
      <c r="B307" s="81"/>
      <c r="C307" s="81"/>
      <c r="D307" s="81"/>
      <c r="E307" s="102"/>
      <c r="F307" s="83"/>
      <c r="G307" s="84"/>
      <c r="H307" s="522"/>
      <c r="I307" s="378"/>
      <c r="J307" s="378"/>
      <c r="K307" s="378"/>
      <c r="L307" s="378"/>
      <c r="M307" s="378"/>
      <c r="N307" s="378"/>
      <c r="O307" s="378"/>
      <c r="P307" s="378"/>
      <c r="Q307" s="378"/>
      <c r="R307" s="378"/>
      <c r="S307" s="378"/>
      <c r="T307" s="378"/>
      <c r="U307" s="378"/>
      <c r="V307" s="378"/>
      <c r="W307" s="378"/>
      <c r="X307" s="378"/>
      <c r="Y307" s="378"/>
      <c r="Z307" s="378"/>
      <c r="AA307" s="378"/>
      <c r="AB307" s="378"/>
      <c r="AC307" s="378"/>
      <c r="AD307" s="378"/>
      <c r="AE307" s="378"/>
      <c r="AF307" s="378"/>
      <c r="AG307" s="378"/>
      <c r="AH307" s="378"/>
      <c r="AI307" s="378"/>
      <c r="AJ307" s="378"/>
      <c r="AK307" s="378"/>
      <c r="AL307" s="378"/>
      <c r="AM307" s="378"/>
      <c r="AN307" s="378"/>
      <c r="AO307" s="378"/>
      <c r="AP307" s="378"/>
      <c r="AQ307" s="378"/>
      <c r="AR307" s="378"/>
      <c r="AS307" s="378"/>
      <c r="AT307" s="139"/>
      <c r="AU307" s="523"/>
      <c r="AV307" s="524"/>
    </row>
    <row r="308">
      <c r="A308" s="80"/>
      <c r="B308" s="81"/>
      <c r="C308" s="101" t="s">
        <v>806</v>
      </c>
      <c r="F308" s="378"/>
      <c r="G308" s="379"/>
      <c r="H308" s="522"/>
      <c r="I308" s="378"/>
      <c r="J308" s="378"/>
      <c r="K308" s="378"/>
      <c r="L308" s="378"/>
      <c r="M308" s="378"/>
      <c r="N308" s="378"/>
      <c r="O308" s="378"/>
      <c r="P308" s="378"/>
      <c r="Q308" s="378"/>
      <c r="R308" s="378"/>
      <c r="S308" s="378"/>
      <c r="T308" s="378"/>
      <c r="U308" s="378"/>
      <c r="V308" s="378"/>
      <c r="W308" s="378"/>
      <c r="X308" s="378"/>
      <c r="Y308" s="378"/>
      <c r="Z308" s="378"/>
      <c r="AA308" s="378"/>
      <c r="AB308" s="378"/>
      <c r="AC308" s="378"/>
      <c r="AD308" s="378"/>
      <c r="AE308" s="378"/>
      <c r="AF308" s="378"/>
      <c r="AG308" s="378"/>
      <c r="AH308" s="378"/>
      <c r="AI308" s="378"/>
      <c r="AJ308" s="378"/>
      <c r="AK308" s="378"/>
      <c r="AL308" s="378"/>
      <c r="AM308" s="378"/>
      <c r="AN308" s="378"/>
      <c r="AO308" s="378"/>
      <c r="AP308" s="378"/>
      <c r="AQ308" s="378"/>
      <c r="AR308" s="378"/>
      <c r="AS308" s="378"/>
      <c r="AT308" s="139"/>
      <c r="AU308" s="523"/>
      <c r="AV308" s="524"/>
    </row>
    <row r="309">
      <c r="A309" s="80"/>
      <c r="B309" s="81"/>
      <c r="C309" s="21"/>
      <c r="D309" s="21"/>
      <c r="E309" s="940" t="s">
        <v>798</v>
      </c>
      <c r="F309" s="564" t="s">
        <v>122</v>
      </c>
      <c r="G309" s="565" t="s">
        <v>203</v>
      </c>
      <c r="H309" s="916">
        <v>1.0</v>
      </c>
      <c r="I309" s="489" t="s">
        <v>150</v>
      </c>
      <c r="J309" s="489" t="s">
        <v>150</v>
      </c>
      <c r="K309" s="489" t="s">
        <v>150</v>
      </c>
      <c r="L309" s="489" t="s">
        <v>150</v>
      </c>
      <c r="M309" s="489" t="s">
        <v>150</v>
      </c>
      <c r="N309" s="489" t="s">
        <v>150</v>
      </c>
      <c r="O309" s="489" t="s">
        <v>150</v>
      </c>
      <c r="P309" s="489" t="s">
        <v>150</v>
      </c>
      <c r="Q309" s="489" t="s">
        <v>150</v>
      </c>
      <c r="R309" s="489" t="s">
        <v>150</v>
      </c>
      <c r="S309" s="489" t="s">
        <v>150</v>
      </c>
      <c r="T309" s="489" t="s">
        <v>150</v>
      </c>
      <c r="U309" s="489" t="s">
        <v>150</v>
      </c>
      <c r="V309" s="489" t="s">
        <v>150</v>
      </c>
      <c r="W309" s="489" t="s">
        <v>150</v>
      </c>
      <c r="X309" s="489" t="s">
        <v>150</v>
      </c>
      <c r="Y309" s="489" t="s">
        <v>150</v>
      </c>
      <c r="Z309" s="489" t="s">
        <v>150</v>
      </c>
      <c r="AA309" s="489" t="s">
        <v>150</v>
      </c>
      <c r="AB309" s="489" t="s">
        <v>150</v>
      </c>
      <c r="AC309" s="489" t="s">
        <v>150</v>
      </c>
      <c r="AD309" s="489" t="s">
        <v>150</v>
      </c>
      <c r="AE309" s="489" t="s">
        <v>150</v>
      </c>
      <c r="AF309" s="489" t="s">
        <v>150</v>
      </c>
      <c r="AG309" s="489" t="s">
        <v>150</v>
      </c>
      <c r="AH309" s="489" t="s">
        <v>150</v>
      </c>
      <c r="AI309" s="489" t="s">
        <v>150</v>
      </c>
      <c r="AJ309" s="489" t="s">
        <v>150</v>
      </c>
      <c r="AK309" s="489" t="s">
        <v>150</v>
      </c>
      <c r="AL309" s="489" t="s">
        <v>150</v>
      </c>
      <c r="AM309" s="489" t="s">
        <v>150</v>
      </c>
      <c r="AN309" s="489" t="s">
        <v>150</v>
      </c>
      <c r="AO309" s="489" t="s">
        <v>150</v>
      </c>
      <c r="AP309" s="489" t="s">
        <v>150</v>
      </c>
      <c r="AQ309" s="489" t="s">
        <v>150</v>
      </c>
      <c r="AR309" s="489" t="s">
        <v>150</v>
      </c>
      <c r="AS309" s="489" t="s">
        <v>150</v>
      </c>
      <c r="AT309" s="841"/>
      <c r="AU309" s="942" t="s">
        <v>795</v>
      </c>
      <c r="AV309" s="855"/>
    </row>
    <row r="310">
      <c r="A310" s="80"/>
      <c r="B310" s="81"/>
      <c r="C310" s="21"/>
      <c r="D310" s="21"/>
      <c r="E310" s="945" t="s">
        <v>803</v>
      </c>
      <c r="F310" s="575" t="s">
        <v>122</v>
      </c>
      <c r="G310" s="576" t="s">
        <v>203</v>
      </c>
      <c r="H310" s="844">
        <v>0.0</v>
      </c>
      <c r="I310" s="396" t="s">
        <v>150</v>
      </c>
      <c r="J310" s="396" t="s">
        <v>150</v>
      </c>
      <c r="K310" s="396" t="s">
        <v>150</v>
      </c>
      <c r="L310" s="396" t="s">
        <v>150</v>
      </c>
      <c r="M310" s="396" t="s">
        <v>150</v>
      </c>
      <c r="N310" s="396" t="s">
        <v>150</v>
      </c>
      <c r="O310" s="396" t="s">
        <v>150</v>
      </c>
      <c r="P310" s="396" t="s">
        <v>150</v>
      </c>
      <c r="Q310" s="396" t="s">
        <v>150</v>
      </c>
      <c r="R310" s="396" t="s">
        <v>150</v>
      </c>
      <c r="S310" s="396" t="s">
        <v>150</v>
      </c>
      <c r="T310" s="396" t="s">
        <v>150</v>
      </c>
      <c r="U310" s="396" t="s">
        <v>150</v>
      </c>
      <c r="V310" s="396" t="s">
        <v>150</v>
      </c>
      <c r="W310" s="396" t="s">
        <v>150</v>
      </c>
      <c r="X310" s="396" t="s">
        <v>150</v>
      </c>
      <c r="Y310" s="396" t="s">
        <v>150</v>
      </c>
      <c r="Z310" s="396" t="s">
        <v>150</v>
      </c>
      <c r="AA310" s="396" t="s">
        <v>150</v>
      </c>
      <c r="AB310" s="396" t="s">
        <v>150</v>
      </c>
      <c r="AC310" s="396" t="s">
        <v>150</v>
      </c>
      <c r="AD310" s="396" t="s">
        <v>150</v>
      </c>
      <c r="AE310" s="396" t="s">
        <v>150</v>
      </c>
      <c r="AF310" s="396" t="s">
        <v>150</v>
      </c>
      <c r="AG310" s="396" t="s">
        <v>150</v>
      </c>
      <c r="AH310" s="396" t="s">
        <v>150</v>
      </c>
      <c r="AI310" s="396" t="s">
        <v>150</v>
      </c>
      <c r="AJ310" s="396" t="s">
        <v>150</v>
      </c>
      <c r="AK310" s="396" t="s">
        <v>150</v>
      </c>
      <c r="AL310" s="396" t="s">
        <v>150</v>
      </c>
      <c r="AM310" s="396" t="s">
        <v>150</v>
      </c>
      <c r="AN310" s="396" t="s">
        <v>150</v>
      </c>
      <c r="AO310" s="396" t="s">
        <v>150</v>
      </c>
      <c r="AP310" s="396" t="s">
        <v>150</v>
      </c>
      <c r="AQ310" s="396" t="s">
        <v>150</v>
      </c>
      <c r="AR310" s="396" t="s">
        <v>150</v>
      </c>
      <c r="AS310" s="396" t="s">
        <v>150</v>
      </c>
      <c r="AT310" s="845"/>
      <c r="AU310" s="863" t="s">
        <v>795</v>
      </c>
      <c r="AV310" s="864"/>
    </row>
    <row r="311">
      <c r="A311" s="80"/>
      <c r="B311" s="81"/>
      <c r="C311" s="81"/>
      <c r="D311" s="81"/>
      <c r="E311" s="102"/>
      <c r="F311" s="83"/>
      <c r="G311" s="84"/>
      <c r="H311" s="522"/>
      <c r="I311" s="378"/>
      <c r="J311" s="378"/>
      <c r="K311" s="378"/>
      <c r="L311" s="378"/>
      <c r="M311" s="378"/>
      <c r="N311" s="378"/>
      <c r="O311" s="378"/>
      <c r="P311" s="378"/>
      <c r="Q311" s="378"/>
      <c r="R311" s="378"/>
      <c r="S311" s="378"/>
      <c r="T311" s="378"/>
      <c r="U311" s="378"/>
      <c r="V311" s="378"/>
      <c r="W311" s="378"/>
      <c r="X311" s="378"/>
      <c r="Y311" s="378"/>
      <c r="Z311" s="378"/>
      <c r="AA311" s="378"/>
      <c r="AB311" s="378"/>
      <c r="AC311" s="378"/>
      <c r="AD311" s="378"/>
      <c r="AE311" s="378"/>
      <c r="AF311" s="378"/>
      <c r="AG311" s="378"/>
      <c r="AH311" s="378"/>
      <c r="AI311" s="378"/>
      <c r="AJ311" s="378"/>
      <c r="AK311" s="378"/>
      <c r="AL311" s="378"/>
      <c r="AM311" s="378"/>
      <c r="AN311" s="378"/>
      <c r="AO311" s="378"/>
      <c r="AP311" s="378"/>
      <c r="AQ311" s="378"/>
      <c r="AR311" s="378"/>
      <c r="AS311" s="378"/>
      <c r="AT311" s="139"/>
      <c r="AU311" s="523"/>
      <c r="AV311" s="524"/>
    </row>
    <row r="312">
      <c r="A312" s="80"/>
      <c r="B312" s="81"/>
      <c r="C312" s="325" t="s">
        <v>857</v>
      </c>
      <c r="F312" s="108"/>
      <c r="G312" s="84"/>
      <c r="H312" s="949"/>
      <c r="I312" s="378"/>
      <c r="J312" s="378"/>
      <c r="K312" s="378"/>
      <c r="L312" s="378"/>
      <c r="M312" s="378"/>
      <c r="N312" s="378"/>
      <c r="O312" s="378"/>
      <c r="P312" s="378"/>
      <c r="Q312" s="378"/>
      <c r="R312" s="378"/>
      <c r="S312" s="378"/>
      <c r="T312" s="378"/>
      <c r="U312" s="378"/>
      <c r="V312" s="378"/>
      <c r="W312" s="378"/>
      <c r="X312" s="378"/>
      <c r="Y312" s="378"/>
      <c r="Z312" s="378"/>
      <c r="AA312" s="378"/>
      <c r="AB312" s="378"/>
      <c r="AC312" s="378"/>
      <c r="AD312" s="378"/>
      <c r="AE312" s="378"/>
      <c r="AF312" s="378"/>
      <c r="AG312" s="378"/>
      <c r="AH312" s="378"/>
      <c r="AI312" s="378"/>
      <c r="AJ312" s="378"/>
      <c r="AK312" s="378"/>
      <c r="AL312" s="378"/>
      <c r="AM312" s="378"/>
      <c r="AN312" s="378"/>
      <c r="AO312" s="378"/>
      <c r="AP312" s="378"/>
      <c r="AQ312" s="378"/>
      <c r="AR312" s="378"/>
      <c r="AS312" s="378"/>
      <c r="AT312" s="139"/>
      <c r="AU312" s="523"/>
      <c r="AV312" s="524"/>
    </row>
    <row r="313">
      <c r="A313" s="80"/>
      <c r="B313" s="81"/>
      <c r="C313" s="81"/>
      <c r="D313" s="81"/>
      <c r="E313" s="548" t="s">
        <v>858</v>
      </c>
      <c r="F313" s="189" t="s">
        <v>127</v>
      </c>
      <c r="G313" s="263" t="s">
        <v>203</v>
      </c>
      <c r="H313" s="952">
        <v>0.005057</v>
      </c>
      <c r="I313" s="564" t="s">
        <v>150</v>
      </c>
      <c r="J313" s="564" t="s">
        <v>150</v>
      </c>
      <c r="K313" s="564" t="s">
        <v>150</v>
      </c>
      <c r="L313" s="564" t="s">
        <v>150</v>
      </c>
      <c r="M313" s="564" t="s">
        <v>150</v>
      </c>
      <c r="N313" s="564" t="s">
        <v>150</v>
      </c>
      <c r="O313" s="564" t="s">
        <v>150</v>
      </c>
      <c r="P313" s="564" t="s">
        <v>150</v>
      </c>
      <c r="Q313" s="564" t="s">
        <v>150</v>
      </c>
      <c r="R313" s="564" t="s">
        <v>150</v>
      </c>
      <c r="S313" s="564" t="s">
        <v>150</v>
      </c>
      <c r="T313" s="564" t="s">
        <v>150</v>
      </c>
      <c r="U313" s="564" t="s">
        <v>150</v>
      </c>
      <c r="V313" s="564" t="s">
        <v>150</v>
      </c>
      <c r="W313" s="564" t="s">
        <v>150</v>
      </c>
      <c r="X313" s="564" t="s">
        <v>150</v>
      </c>
      <c r="Y313" s="564" t="s">
        <v>150</v>
      </c>
      <c r="Z313" s="564" t="s">
        <v>150</v>
      </c>
      <c r="AA313" s="564" t="s">
        <v>150</v>
      </c>
      <c r="AB313" s="564" t="s">
        <v>150</v>
      </c>
      <c r="AC313" s="564" t="s">
        <v>150</v>
      </c>
      <c r="AD313" s="564" t="s">
        <v>150</v>
      </c>
      <c r="AE313" s="564" t="s">
        <v>150</v>
      </c>
      <c r="AF313" s="564" t="s">
        <v>150</v>
      </c>
      <c r="AG313" s="564" t="s">
        <v>150</v>
      </c>
      <c r="AH313" s="564" t="s">
        <v>150</v>
      </c>
      <c r="AI313" s="564" t="s">
        <v>150</v>
      </c>
      <c r="AJ313" s="564" t="s">
        <v>150</v>
      </c>
      <c r="AK313" s="564" t="s">
        <v>150</v>
      </c>
      <c r="AL313" s="564" t="s">
        <v>150</v>
      </c>
      <c r="AM313" s="564" t="s">
        <v>150</v>
      </c>
      <c r="AN313" s="564" t="s">
        <v>150</v>
      </c>
      <c r="AO313" s="564" t="s">
        <v>150</v>
      </c>
      <c r="AP313" s="564" t="s">
        <v>150</v>
      </c>
      <c r="AQ313" s="564" t="s">
        <v>150</v>
      </c>
      <c r="AR313" s="564" t="s">
        <v>150</v>
      </c>
      <c r="AS313" s="564" t="s">
        <v>150</v>
      </c>
      <c r="AT313" s="841"/>
      <c r="AU313" s="854" t="s">
        <v>795</v>
      </c>
      <c r="AV313" s="159" t="s">
        <v>163</v>
      </c>
    </row>
    <row r="314">
      <c r="A314" s="80"/>
      <c r="B314" s="81"/>
      <c r="C314" s="81"/>
      <c r="D314" s="81"/>
      <c r="E314" s="530" t="s">
        <v>861</v>
      </c>
      <c r="F314" s="93" t="s">
        <v>127</v>
      </c>
      <c r="G314" s="128" t="s">
        <v>203</v>
      </c>
      <c r="H314" s="913">
        <v>0.007</v>
      </c>
      <c r="I314" s="953" t="s">
        <v>150</v>
      </c>
      <c r="J314" s="953" t="s">
        <v>150</v>
      </c>
      <c r="K314" s="953" t="s">
        <v>150</v>
      </c>
      <c r="L314" s="953" t="s">
        <v>150</v>
      </c>
      <c r="M314" s="953" t="s">
        <v>150</v>
      </c>
      <c r="N314" s="953" t="s">
        <v>150</v>
      </c>
      <c r="O314" s="953" t="s">
        <v>150</v>
      </c>
      <c r="P314" s="953" t="s">
        <v>150</v>
      </c>
      <c r="Q314" s="953" t="s">
        <v>150</v>
      </c>
      <c r="R314" s="953" t="s">
        <v>150</v>
      </c>
      <c r="S314" s="953" t="s">
        <v>150</v>
      </c>
      <c r="T314" s="953" t="s">
        <v>150</v>
      </c>
      <c r="U314" s="953" t="s">
        <v>150</v>
      </c>
      <c r="V314" s="953" t="s">
        <v>150</v>
      </c>
      <c r="W314" s="953" t="s">
        <v>150</v>
      </c>
      <c r="X314" s="953" t="s">
        <v>150</v>
      </c>
      <c r="Y314" s="953" t="s">
        <v>150</v>
      </c>
      <c r="Z314" s="953" t="s">
        <v>150</v>
      </c>
      <c r="AA314" s="953" t="s">
        <v>150</v>
      </c>
      <c r="AB314" s="953" t="s">
        <v>150</v>
      </c>
      <c r="AC314" s="953" t="s">
        <v>150</v>
      </c>
      <c r="AD314" s="953" t="s">
        <v>150</v>
      </c>
      <c r="AE314" s="953" t="s">
        <v>150</v>
      </c>
      <c r="AF314" s="953" t="s">
        <v>150</v>
      </c>
      <c r="AG314" s="953" t="s">
        <v>150</v>
      </c>
      <c r="AH314" s="953" t="s">
        <v>150</v>
      </c>
      <c r="AI314" s="953" t="s">
        <v>150</v>
      </c>
      <c r="AJ314" s="953" t="s">
        <v>150</v>
      </c>
      <c r="AK314" s="953" t="s">
        <v>150</v>
      </c>
      <c r="AL314" s="953" t="s">
        <v>150</v>
      </c>
      <c r="AM314" s="953" t="s">
        <v>150</v>
      </c>
      <c r="AN314" s="953" t="s">
        <v>150</v>
      </c>
      <c r="AO314" s="953" t="s">
        <v>150</v>
      </c>
      <c r="AP314" s="953" t="s">
        <v>150</v>
      </c>
      <c r="AQ314" s="953" t="s">
        <v>150</v>
      </c>
      <c r="AR314" s="953" t="s">
        <v>150</v>
      </c>
      <c r="AS314" s="953" t="s">
        <v>150</v>
      </c>
      <c r="AT314" s="166"/>
      <c r="AU314" s="527" t="s">
        <v>795</v>
      </c>
      <c r="AV314" s="956" t="s">
        <v>163</v>
      </c>
    </row>
    <row r="315">
      <c r="A315" s="333"/>
      <c r="B315" s="334"/>
      <c r="C315" s="334"/>
      <c r="D315" s="334"/>
      <c r="E315" s="456"/>
      <c r="F315" s="251"/>
      <c r="G315" s="336"/>
      <c r="H315" s="958"/>
      <c r="I315" s="774"/>
      <c r="J315" s="774"/>
      <c r="K315" s="774"/>
      <c r="L315" s="774"/>
      <c r="M315" s="774"/>
      <c r="N315" s="774"/>
      <c r="O315" s="774"/>
      <c r="P315" s="774"/>
      <c r="Q315" s="774"/>
      <c r="R315" s="774"/>
      <c r="S315" s="774"/>
      <c r="T315" s="774"/>
      <c r="U315" s="774"/>
      <c r="V315" s="774"/>
      <c r="W315" s="774"/>
      <c r="X315" s="774"/>
      <c r="Y315" s="774"/>
      <c r="Z315" s="774"/>
      <c r="AA315" s="774"/>
      <c r="AB315" s="774"/>
      <c r="AC315" s="774"/>
      <c r="AD315" s="774"/>
      <c r="AE315" s="774"/>
      <c r="AF315" s="774"/>
      <c r="AG315" s="774"/>
      <c r="AH315" s="774"/>
      <c r="AI315" s="774"/>
      <c r="AJ315" s="774"/>
      <c r="AK315" s="774"/>
      <c r="AL315" s="774"/>
      <c r="AM315" s="774"/>
      <c r="AN315" s="774"/>
      <c r="AO315" s="774"/>
      <c r="AP315" s="774"/>
      <c r="AQ315" s="774"/>
      <c r="AR315" s="774"/>
      <c r="AS315" s="774"/>
      <c r="AT315" s="166"/>
      <c r="AU315" s="960"/>
      <c r="AV315" s="961"/>
    </row>
  </sheetData>
  <mergeCells count="60">
    <mergeCell ref="C231:E231"/>
    <mergeCell ref="C237:E237"/>
    <mergeCell ref="C241:E241"/>
    <mergeCell ref="A253:G253"/>
    <mergeCell ref="C255:E255"/>
    <mergeCell ref="A263:G263"/>
    <mergeCell ref="C265:E265"/>
    <mergeCell ref="C308:E308"/>
    <mergeCell ref="C312:E312"/>
    <mergeCell ref="A268:G268"/>
    <mergeCell ref="C270:E270"/>
    <mergeCell ref="D271:E271"/>
    <mergeCell ref="D275:E275"/>
    <mergeCell ref="D278:E278"/>
    <mergeCell ref="C283:E283"/>
    <mergeCell ref="A299:G299"/>
    <mergeCell ref="I1:Q1"/>
    <mergeCell ref="R1:AE1"/>
    <mergeCell ref="AF1:AS1"/>
    <mergeCell ref="A3:E3"/>
    <mergeCell ref="A5:G5"/>
    <mergeCell ref="C7:E7"/>
    <mergeCell ref="C10:E10"/>
    <mergeCell ref="A13:G13"/>
    <mergeCell ref="C15:E15"/>
    <mergeCell ref="C23:E23"/>
    <mergeCell ref="C33:E33"/>
    <mergeCell ref="A36:G36"/>
    <mergeCell ref="C38:E38"/>
    <mergeCell ref="C43:E43"/>
    <mergeCell ref="C50:E50"/>
    <mergeCell ref="C53:E53"/>
    <mergeCell ref="C63:E63"/>
    <mergeCell ref="C70:E70"/>
    <mergeCell ref="C74:E74"/>
    <mergeCell ref="C78:E78"/>
    <mergeCell ref="C82:E82"/>
    <mergeCell ref="C86:E86"/>
    <mergeCell ref="A97:G97"/>
    <mergeCell ref="C99:E99"/>
    <mergeCell ref="C106:E106"/>
    <mergeCell ref="C115:E115"/>
    <mergeCell ref="C124:E124"/>
    <mergeCell ref="C135:E135"/>
    <mergeCell ref="C147:E147"/>
    <mergeCell ref="C161:E161"/>
    <mergeCell ref="C171:E171"/>
    <mergeCell ref="C172:E172"/>
    <mergeCell ref="C181:E181"/>
    <mergeCell ref="A192:G192"/>
    <mergeCell ref="C194:E194"/>
    <mergeCell ref="C204:E204"/>
    <mergeCell ref="C207:E207"/>
    <mergeCell ref="A217:G217"/>
    <mergeCell ref="C219:E219"/>
    <mergeCell ref="C222:E222"/>
    <mergeCell ref="A225:G225"/>
    <mergeCell ref="C227:E227"/>
    <mergeCell ref="C301:E301"/>
    <mergeCell ref="C305:E305"/>
  </mergeCells>
  <hyperlinks>
    <hyperlink r:id="rId2" ref="AV11"/>
    <hyperlink r:id="rId3" ref="AU16"/>
    <hyperlink r:id="rId4" ref="AU17"/>
    <hyperlink r:id="rId5" ref="AU18"/>
    <hyperlink r:id="rId6" ref="AU19"/>
    <hyperlink r:id="rId7" ref="AU20"/>
    <hyperlink r:id="rId8" ref="AU21"/>
    <hyperlink r:id="rId9" location="gid=385883853" ref="AV24"/>
    <hyperlink r:id="rId10" ref="AU25"/>
    <hyperlink r:id="rId11" ref="AU26"/>
    <hyperlink r:id="rId12" ref="AU39"/>
    <hyperlink r:id="rId13" ref="AV40"/>
    <hyperlink r:id="rId14" ref="AV44"/>
    <hyperlink r:id="rId15" ref="AV45"/>
    <hyperlink r:id="rId16" ref="AV46"/>
    <hyperlink r:id="rId17" ref="AV47"/>
    <hyperlink r:id="rId18" ref="AV48"/>
    <hyperlink r:id="rId19" ref="AV51"/>
    <hyperlink r:id="rId20" ref="AU54"/>
    <hyperlink r:id="rId21" ref="AU55"/>
    <hyperlink r:id="rId22" ref="AU56"/>
    <hyperlink r:id="rId23" ref="AU57"/>
    <hyperlink r:id="rId24" ref="AU58"/>
    <hyperlink r:id="rId25" ref="AU59"/>
    <hyperlink r:id="rId26" ref="AU60"/>
    <hyperlink r:id="rId27" ref="AU61"/>
    <hyperlink r:id="rId28" ref="AU64"/>
    <hyperlink r:id="rId29" ref="AU65"/>
    <hyperlink r:id="rId30" ref="AU66"/>
    <hyperlink r:id="rId31" ref="AU67"/>
    <hyperlink r:id="rId32" ref="AU68"/>
    <hyperlink r:id="rId33" location="gid=779639234" ref="AV71"/>
    <hyperlink r:id="rId34" location="gid=779639234" ref="AV72"/>
    <hyperlink r:id="rId35" ref="AV144"/>
    <hyperlink r:id="rId36" ref="AV145"/>
    <hyperlink r:id="rId37" ref="AV157"/>
    <hyperlink r:id="rId38" ref="AV159"/>
    <hyperlink r:id="rId39" ref="AU195"/>
    <hyperlink r:id="rId40" ref="AU196"/>
    <hyperlink r:id="rId41" ref="AU197"/>
    <hyperlink r:id="rId42" ref="AU198"/>
    <hyperlink r:id="rId43" ref="AU199"/>
    <hyperlink r:id="rId44" ref="AU200"/>
    <hyperlink r:id="rId45" ref="AU201"/>
    <hyperlink r:id="rId46" ref="AU202"/>
    <hyperlink r:id="rId47" location="gid=36758249" ref="AV205"/>
    <hyperlink r:id="rId48" ref="AU208"/>
    <hyperlink r:id="rId49" ref="AU209"/>
    <hyperlink r:id="rId50" ref="AU210"/>
    <hyperlink r:id="rId51" ref="AU211"/>
    <hyperlink r:id="rId52" ref="AU212"/>
    <hyperlink r:id="rId53" ref="AU213"/>
    <hyperlink r:id="rId54" ref="AU214"/>
    <hyperlink r:id="rId55" ref="AU215"/>
    <hyperlink r:id="rId56" location="gid=0&amp;range=A26:C26" ref="AU223"/>
    <hyperlink r:id="rId57" ref="AU244"/>
    <hyperlink r:id="rId58" ref="AU245"/>
    <hyperlink r:id="rId59" ref="AU246"/>
    <hyperlink r:id="rId60" ref="AU247"/>
    <hyperlink r:id="rId61" ref="AU248"/>
    <hyperlink r:id="rId62" ref="AU249"/>
    <hyperlink r:id="rId63" ref="AU250"/>
    <hyperlink r:id="rId64" location="gid=0&amp;range=E20:K20" ref="AU251"/>
    <hyperlink r:id="rId65" location="gid=1087538420" ref="AV256"/>
    <hyperlink r:id="rId66" location="gid=1087538420" ref="AV257"/>
    <hyperlink r:id="rId67" location="gid=1087538420" ref="AV258"/>
    <hyperlink r:id="rId68" location="gid=1087538420" ref="AV259"/>
    <hyperlink r:id="rId69" location="gid=1087538420" ref="AV260"/>
    <hyperlink r:id="rId70" location="gid=1087538420" ref="AV261"/>
    <hyperlink r:id="rId71" ref="AV266"/>
    <hyperlink r:id="rId72" location="gid=172075772" ref="AV284"/>
    <hyperlink r:id="rId73" location="gid=172075772" ref="AV285"/>
    <hyperlink r:id="rId74" location="gid=172075772" ref="AV286"/>
    <hyperlink r:id="rId75" location="gid=172075772" ref="AV287"/>
    <hyperlink r:id="rId76" location="gid=172075772" ref="AV288"/>
    <hyperlink r:id="rId77" location="gid=172075772" ref="AV289"/>
    <hyperlink r:id="rId78" location="gid=172075772" ref="AV290"/>
    <hyperlink r:id="rId79" location="gid=172075772" ref="AV291"/>
    <hyperlink r:id="rId80" location="gid=172075772" ref="AV292"/>
    <hyperlink r:id="rId81" location="gid=172075772" ref="AV293"/>
    <hyperlink r:id="rId82" location="gid=172075772" ref="AV294"/>
    <hyperlink r:id="rId83" location="gid=172075772" ref="AV295"/>
    <hyperlink r:id="rId84" location="gid=172075772" ref="AV296"/>
    <hyperlink r:id="rId85" location="gid=172075772" ref="AV297"/>
    <hyperlink r:id="rId86" location="gid=1851535194" ref="AV302"/>
    <hyperlink r:id="rId87" location="gid=1851535194" ref="AV303"/>
    <hyperlink r:id="rId88" ref="AV313"/>
    <hyperlink r:id="rId89" ref="AV314"/>
  </hyperlinks>
  <drawing r:id="rId90"/>
  <legacyDrawing r:id="rId9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10.5"/>
    <col customWidth="1" min="3" max="3" width="6.88"/>
    <col customWidth="1" min="4" max="4" width="14.13"/>
    <col customWidth="1" min="5" max="5" width="22.25"/>
    <col customWidth="1" min="6" max="6" width="6.75"/>
    <col customWidth="1" min="7" max="9" width="7.5"/>
    <col customWidth="1" min="10" max="10" width="2.88"/>
    <col customWidth="1" min="11" max="11" width="10.25"/>
    <col customWidth="1" min="12" max="12" width="22.13"/>
    <col customWidth="1" min="13" max="13" width="6.88"/>
    <col customWidth="1" min="14" max="14" width="14.63"/>
    <col customWidth="1" min="15" max="15" width="7.13"/>
    <col customWidth="1" min="16" max="16" width="8.5"/>
    <col customWidth="1" min="17" max="17" width="7.88"/>
    <col customWidth="1" min="18" max="20" width="7.5"/>
    <col customWidth="1" min="21" max="21" width="2.88"/>
    <col customWidth="1" min="22" max="22" width="10.25"/>
    <col customWidth="1" min="23" max="23" width="9.5"/>
    <col customWidth="1" min="24" max="24" width="6.88"/>
    <col customWidth="1" min="25" max="25" width="14.63"/>
    <col customWidth="1" min="26" max="26" width="7.13"/>
    <col customWidth="1" min="27" max="27" width="8.5"/>
    <col customWidth="1" min="28" max="28" width="7.88"/>
    <col customWidth="1" min="29" max="31" width="7.5"/>
    <col customWidth="1" min="32" max="32" width="2.63"/>
  </cols>
  <sheetData>
    <row r="1">
      <c r="A1" s="661"/>
      <c r="B1" s="662"/>
      <c r="C1" s="662"/>
      <c r="D1" s="662"/>
      <c r="E1" s="662"/>
      <c r="F1" s="662"/>
      <c r="G1" s="662"/>
      <c r="H1" s="663"/>
      <c r="I1" s="663"/>
      <c r="J1" s="664"/>
      <c r="K1" s="662"/>
      <c r="L1" s="662"/>
      <c r="M1" s="662"/>
      <c r="N1" s="662"/>
      <c r="O1" s="662"/>
      <c r="P1" s="662"/>
      <c r="Q1" s="666"/>
      <c r="R1" s="663"/>
      <c r="S1" s="663"/>
      <c r="T1" s="663"/>
      <c r="U1" s="664"/>
      <c r="V1" s="662"/>
      <c r="W1" s="662"/>
      <c r="X1" s="662"/>
      <c r="Y1" s="662"/>
      <c r="Z1" s="662"/>
      <c r="AA1" s="662"/>
      <c r="AB1" s="666"/>
      <c r="AC1" s="663"/>
      <c r="AD1" s="663"/>
      <c r="AE1" s="663"/>
      <c r="AF1" s="667"/>
    </row>
    <row r="2">
      <c r="A2" s="668"/>
      <c r="B2" s="670" t="s">
        <v>901</v>
      </c>
      <c r="C2" s="671"/>
      <c r="D2" s="671"/>
      <c r="E2" s="671"/>
      <c r="F2" s="671"/>
      <c r="G2" s="671"/>
      <c r="H2" s="671"/>
      <c r="I2" s="672"/>
      <c r="J2" s="673"/>
      <c r="K2" s="670" t="s">
        <v>902</v>
      </c>
      <c r="L2" s="671"/>
      <c r="M2" s="671"/>
      <c r="N2" s="671"/>
      <c r="O2" s="671"/>
      <c r="P2" s="671"/>
      <c r="Q2" s="671"/>
      <c r="R2" s="671"/>
      <c r="S2" s="671"/>
      <c r="T2" s="672"/>
      <c r="U2" s="673"/>
      <c r="V2" s="670" t="s">
        <v>903</v>
      </c>
      <c r="W2" s="671"/>
      <c r="X2" s="671"/>
      <c r="Y2" s="671"/>
      <c r="Z2" s="671"/>
      <c r="AA2" s="671"/>
      <c r="AB2" s="671"/>
      <c r="AC2" s="671"/>
      <c r="AD2" s="671"/>
      <c r="AE2" s="672"/>
      <c r="AF2" s="674"/>
    </row>
    <row r="3">
      <c r="A3" s="675"/>
      <c r="B3" s="676" t="s">
        <v>904</v>
      </c>
      <c r="C3" s="677" t="s">
        <v>905</v>
      </c>
      <c r="D3" s="677" t="s">
        <v>906</v>
      </c>
      <c r="E3" s="677" t="s">
        <v>907</v>
      </c>
      <c r="F3" s="677" t="s">
        <v>908</v>
      </c>
      <c r="G3" s="677" t="s">
        <v>909</v>
      </c>
      <c r="H3" s="677" t="s">
        <v>910</v>
      </c>
      <c r="I3" s="678" t="s">
        <v>911</v>
      </c>
      <c r="K3" s="676" t="s">
        <v>904</v>
      </c>
      <c r="L3" s="677" t="s">
        <v>912</v>
      </c>
      <c r="M3" s="677" t="s">
        <v>905</v>
      </c>
      <c r="N3" s="677" t="s">
        <v>906</v>
      </c>
      <c r="O3" s="677" t="s">
        <v>908</v>
      </c>
      <c r="P3" s="677" t="s">
        <v>913</v>
      </c>
      <c r="Q3" s="679" t="s">
        <v>914</v>
      </c>
      <c r="R3" s="680" t="s">
        <v>909</v>
      </c>
      <c r="S3" s="680" t="s">
        <v>910</v>
      </c>
      <c r="T3" s="678" t="s">
        <v>911</v>
      </c>
      <c r="V3" s="676" t="s">
        <v>904</v>
      </c>
      <c r="W3" s="677" t="s">
        <v>912</v>
      </c>
      <c r="X3" s="677" t="s">
        <v>905</v>
      </c>
      <c r="Y3" s="677" t="s">
        <v>906</v>
      </c>
      <c r="Z3" s="677" t="s">
        <v>908</v>
      </c>
      <c r="AA3" s="677" t="s">
        <v>913</v>
      </c>
      <c r="AB3" s="679" t="s">
        <v>914</v>
      </c>
      <c r="AC3" s="680" t="s">
        <v>909</v>
      </c>
      <c r="AD3" s="680" t="s">
        <v>910</v>
      </c>
      <c r="AE3" s="678" t="s">
        <v>911</v>
      </c>
      <c r="AF3" s="669"/>
    </row>
    <row r="4">
      <c r="A4" s="675"/>
      <c r="B4" s="681" t="s">
        <v>38</v>
      </c>
      <c r="C4" s="682" t="s">
        <v>915</v>
      </c>
      <c r="D4" s="682" t="s">
        <v>916</v>
      </c>
      <c r="E4" s="682" t="s">
        <v>917</v>
      </c>
      <c r="F4" s="682">
        <v>2021.0</v>
      </c>
      <c r="G4" s="683">
        <v>0.109475766</v>
      </c>
      <c r="H4" s="683">
        <v>0.084573577</v>
      </c>
      <c r="I4" s="684">
        <v>0.1419189</v>
      </c>
      <c r="K4" s="681" t="s">
        <v>38</v>
      </c>
      <c r="L4" s="682" t="s">
        <v>917</v>
      </c>
      <c r="M4" s="682" t="s">
        <v>915</v>
      </c>
      <c r="N4" s="682" t="s">
        <v>918</v>
      </c>
      <c r="O4" s="682">
        <v>2021.0</v>
      </c>
      <c r="P4" s="682" t="s">
        <v>919</v>
      </c>
      <c r="Q4" s="685" t="s">
        <v>112</v>
      </c>
      <c r="R4" s="686">
        <v>3364.286766</v>
      </c>
      <c r="S4" s="686">
        <v>2677.953642</v>
      </c>
      <c r="T4" s="687">
        <v>4264.505768</v>
      </c>
      <c r="V4" s="681" t="s">
        <v>38</v>
      </c>
      <c r="W4" s="682" t="s">
        <v>921</v>
      </c>
      <c r="X4" s="682" t="s">
        <v>915</v>
      </c>
      <c r="Y4" s="682" t="s">
        <v>918</v>
      </c>
      <c r="Z4" s="682">
        <v>2021.0</v>
      </c>
      <c r="AA4" s="682" t="s">
        <v>919</v>
      </c>
      <c r="AB4" s="685" t="s">
        <v>112</v>
      </c>
      <c r="AC4" s="686">
        <v>93.92901546</v>
      </c>
      <c r="AD4" s="686">
        <v>48.94096127</v>
      </c>
      <c r="AE4" s="687">
        <v>172.0467996</v>
      </c>
      <c r="AF4" s="669"/>
    </row>
    <row r="5">
      <c r="A5" s="675"/>
      <c r="B5" s="681" t="s">
        <v>38</v>
      </c>
      <c r="C5" s="682" t="s">
        <v>915</v>
      </c>
      <c r="D5" s="682" t="s">
        <v>922</v>
      </c>
      <c r="E5" s="682" t="s">
        <v>917</v>
      </c>
      <c r="F5" s="682">
        <v>2021.0</v>
      </c>
      <c r="G5" s="683">
        <v>0.439784492</v>
      </c>
      <c r="H5" s="683">
        <v>0.38028741</v>
      </c>
      <c r="I5" s="684">
        <v>0.51983464</v>
      </c>
      <c r="K5" s="681" t="s">
        <v>38</v>
      </c>
      <c r="L5" s="682" t="s">
        <v>917</v>
      </c>
      <c r="M5" s="682" t="s">
        <v>915</v>
      </c>
      <c r="N5" s="682" t="s">
        <v>923</v>
      </c>
      <c r="O5" s="682">
        <v>2021.0</v>
      </c>
      <c r="P5" s="682" t="s">
        <v>919</v>
      </c>
      <c r="Q5" s="685" t="s">
        <v>112</v>
      </c>
      <c r="R5" s="686">
        <v>3384.261248</v>
      </c>
      <c r="S5" s="686">
        <v>2704.650733</v>
      </c>
      <c r="T5" s="687">
        <v>4258.52135</v>
      </c>
      <c r="V5" s="681" t="s">
        <v>38</v>
      </c>
      <c r="W5" s="682" t="s">
        <v>921</v>
      </c>
      <c r="X5" s="682" t="s">
        <v>915</v>
      </c>
      <c r="Y5" s="682" t="s">
        <v>923</v>
      </c>
      <c r="Z5" s="682">
        <v>2021.0</v>
      </c>
      <c r="AA5" s="682" t="s">
        <v>919</v>
      </c>
      <c r="AB5" s="685" t="s">
        <v>112</v>
      </c>
      <c r="AC5" s="686">
        <v>13.63670803</v>
      </c>
      <c r="AD5" s="686">
        <v>9.004455448</v>
      </c>
      <c r="AE5" s="687">
        <v>22.27526261</v>
      </c>
      <c r="AF5" s="669"/>
    </row>
    <row r="6">
      <c r="A6" s="675"/>
      <c r="B6" s="681" t="s">
        <v>38</v>
      </c>
      <c r="C6" s="682" t="s">
        <v>915</v>
      </c>
      <c r="D6" s="682" t="s">
        <v>924</v>
      </c>
      <c r="E6" s="682" t="s">
        <v>917</v>
      </c>
      <c r="F6" s="682">
        <v>2021.0</v>
      </c>
      <c r="G6" s="683">
        <v>0.007898385</v>
      </c>
      <c r="H6" s="683">
        <v>0.006653846</v>
      </c>
      <c r="I6" s="684">
        <v>0.009873909</v>
      </c>
      <c r="K6" s="681" t="s">
        <v>38</v>
      </c>
      <c r="L6" s="682" t="s">
        <v>917</v>
      </c>
      <c r="M6" s="682" t="s">
        <v>915</v>
      </c>
      <c r="N6" s="682" t="s">
        <v>925</v>
      </c>
      <c r="O6" s="682">
        <v>2021.0</v>
      </c>
      <c r="P6" s="682" t="s">
        <v>919</v>
      </c>
      <c r="Q6" s="685" t="s">
        <v>112</v>
      </c>
      <c r="R6" s="686">
        <v>620.0265168</v>
      </c>
      <c r="S6" s="686">
        <v>506.1851877</v>
      </c>
      <c r="T6" s="687">
        <v>759.3860727</v>
      </c>
      <c r="V6" s="681" t="s">
        <v>38</v>
      </c>
      <c r="W6" s="682" t="s">
        <v>921</v>
      </c>
      <c r="X6" s="682" t="s">
        <v>915</v>
      </c>
      <c r="Y6" s="682" t="s">
        <v>925</v>
      </c>
      <c r="Z6" s="682">
        <v>2021.0</v>
      </c>
      <c r="AA6" s="682" t="s">
        <v>919</v>
      </c>
      <c r="AB6" s="685" t="s">
        <v>112</v>
      </c>
      <c r="AC6" s="686">
        <v>21.61580495</v>
      </c>
      <c r="AD6" s="686">
        <v>15.32551932</v>
      </c>
      <c r="AE6" s="687">
        <v>31.26189639</v>
      </c>
      <c r="AF6" s="669"/>
    </row>
    <row r="7">
      <c r="A7" s="675"/>
      <c r="B7" s="681" t="s">
        <v>38</v>
      </c>
      <c r="C7" s="682" t="s">
        <v>915</v>
      </c>
      <c r="D7" s="682" t="s">
        <v>926</v>
      </c>
      <c r="E7" s="682" t="s">
        <v>917</v>
      </c>
      <c r="F7" s="682">
        <v>2021.0</v>
      </c>
      <c r="G7" s="683">
        <v>0.071480796</v>
      </c>
      <c r="H7" s="683">
        <v>0.058617168</v>
      </c>
      <c r="I7" s="684">
        <v>0.087433491</v>
      </c>
      <c r="K7" s="681" t="s">
        <v>38</v>
      </c>
      <c r="L7" s="682" t="s">
        <v>917</v>
      </c>
      <c r="M7" s="682" t="s">
        <v>915</v>
      </c>
      <c r="N7" s="682" t="s">
        <v>927</v>
      </c>
      <c r="O7" s="682">
        <v>2021.0</v>
      </c>
      <c r="P7" s="682" t="s">
        <v>919</v>
      </c>
      <c r="Q7" s="685" t="s">
        <v>112</v>
      </c>
      <c r="R7" s="686">
        <v>3115.46865</v>
      </c>
      <c r="S7" s="686">
        <v>2538.487304</v>
      </c>
      <c r="T7" s="687">
        <v>3834.813971</v>
      </c>
      <c r="V7" s="681" t="s">
        <v>38</v>
      </c>
      <c r="W7" s="682" t="s">
        <v>921</v>
      </c>
      <c r="X7" s="682" t="s">
        <v>915</v>
      </c>
      <c r="Y7" s="682" t="s">
        <v>927</v>
      </c>
      <c r="Z7" s="682">
        <v>2021.0</v>
      </c>
      <c r="AA7" s="682" t="s">
        <v>919</v>
      </c>
      <c r="AB7" s="685" t="s">
        <v>112</v>
      </c>
      <c r="AC7" s="686">
        <v>216.1703913</v>
      </c>
      <c r="AD7" s="686">
        <v>135.2113556</v>
      </c>
      <c r="AE7" s="687">
        <v>340.667387</v>
      </c>
      <c r="AF7" s="669"/>
    </row>
    <row r="8">
      <c r="A8" s="675"/>
      <c r="B8" s="681" t="s">
        <v>39</v>
      </c>
      <c r="C8" s="682" t="s">
        <v>915</v>
      </c>
      <c r="D8" s="682" t="s">
        <v>916</v>
      </c>
      <c r="E8" s="682" t="s">
        <v>917</v>
      </c>
      <c r="F8" s="682">
        <v>2021.0</v>
      </c>
      <c r="G8" s="683">
        <v>0.111758499</v>
      </c>
      <c r="H8" s="683">
        <v>0.090067419</v>
      </c>
      <c r="I8" s="684">
        <v>0.140070631</v>
      </c>
      <c r="K8" s="681" t="s">
        <v>38</v>
      </c>
      <c r="L8" s="682" t="s">
        <v>917</v>
      </c>
      <c r="M8" s="682" t="s">
        <v>915</v>
      </c>
      <c r="N8" s="682" t="s">
        <v>926</v>
      </c>
      <c r="O8" s="682">
        <v>2021.0</v>
      </c>
      <c r="P8" s="682" t="s">
        <v>919</v>
      </c>
      <c r="Q8" s="685" t="s">
        <v>112</v>
      </c>
      <c r="R8" s="686">
        <v>10484.04318</v>
      </c>
      <c r="S8" s="686">
        <v>8534.294188</v>
      </c>
      <c r="T8" s="687">
        <v>12928.63367</v>
      </c>
      <c r="V8" s="681" t="s">
        <v>38</v>
      </c>
      <c r="W8" s="682" t="s">
        <v>921</v>
      </c>
      <c r="X8" s="682" t="s">
        <v>915</v>
      </c>
      <c r="Y8" s="682" t="s">
        <v>926</v>
      </c>
      <c r="Z8" s="682">
        <v>2021.0</v>
      </c>
      <c r="AA8" s="682" t="s">
        <v>919</v>
      </c>
      <c r="AB8" s="685" t="s">
        <v>112</v>
      </c>
      <c r="AC8" s="686">
        <v>345.3519197</v>
      </c>
      <c r="AD8" s="686">
        <v>216.1437615</v>
      </c>
      <c r="AE8" s="687">
        <v>546.3386636</v>
      </c>
      <c r="AF8" s="669"/>
    </row>
    <row r="9">
      <c r="A9" s="675"/>
      <c r="B9" s="681" t="s">
        <v>39</v>
      </c>
      <c r="C9" s="682" t="s">
        <v>915</v>
      </c>
      <c r="D9" s="682" t="s">
        <v>922</v>
      </c>
      <c r="E9" s="682" t="s">
        <v>917</v>
      </c>
      <c r="F9" s="682">
        <v>2021.0</v>
      </c>
      <c r="G9" s="683">
        <v>0.535570108</v>
      </c>
      <c r="H9" s="683">
        <v>0.472336988</v>
      </c>
      <c r="I9" s="684">
        <v>0.609882426</v>
      </c>
      <c r="K9" s="681" t="s">
        <v>39</v>
      </c>
      <c r="L9" s="682" t="s">
        <v>917</v>
      </c>
      <c r="M9" s="682" t="s">
        <v>915</v>
      </c>
      <c r="N9" s="682" t="s">
        <v>918</v>
      </c>
      <c r="O9" s="682">
        <v>2021.0</v>
      </c>
      <c r="P9" s="682" t="s">
        <v>919</v>
      </c>
      <c r="Q9" s="685" t="s">
        <v>112</v>
      </c>
      <c r="R9" s="686">
        <v>5042.821076</v>
      </c>
      <c r="S9" s="686">
        <v>4009.556981</v>
      </c>
      <c r="T9" s="687">
        <v>6269.570978</v>
      </c>
      <c r="V9" s="681" t="s">
        <v>39</v>
      </c>
      <c r="W9" s="682" t="s">
        <v>921</v>
      </c>
      <c r="X9" s="682" t="s">
        <v>915</v>
      </c>
      <c r="Y9" s="682" t="s">
        <v>918</v>
      </c>
      <c r="Z9" s="682">
        <v>2021.0</v>
      </c>
      <c r="AA9" s="682" t="s">
        <v>919</v>
      </c>
      <c r="AB9" s="685" t="s">
        <v>112</v>
      </c>
      <c r="AC9" s="686">
        <v>234.9822256</v>
      </c>
      <c r="AD9" s="686">
        <v>127.779</v>
      </c>
      <c r="AE9" s="687">
        <v>401.1150013</v>
      </c>
      <c r="AF9" s="669"/>
    </row>
    <row r="10">
      <c r="A10" s="675"/>
      <c r="B10" s="681" t="s">
        <v>39</v>
      </c>
      <c r="C10" s="682" t="s">
        <v>915</v>
      </c>
      <c r="D10" s="682" t="s">
        <v>924</v>
      </c>
      <c r="E10" s="682" t="s">
        <v>917</v>
      </c>
      <c r="F10" s="682">
        <v>2021.0</v>
      </c>
      <c r="G10" s="683">
        <v>0.01245726</v>
      </c>
      <c r="H10" s="683">
        <v>0.010484803</v>
      </c>
      <c r="I10" s="684">
        <v>0.014869847</v>
      </c>
      <c r="K10" s="681" t="s">
        <v>39</v>
      </c>
      <c r="L10" s="682" t="s">
        <v>917</v>
      </c>
      <c r="M10" s="682" t="s">
        <v>915</v>
      </c>
      <c r="N10" s="682" t="s">
        <v>923</v>
      </c>
      <c r="O10" s="682">
        <v>2021.0</v>
      </c>
      <c r="P10" s="682" t="s">
        <v>919</v>
      </c>
      <c r="Q10" s="685" t="s">
        <v>112</v>
      </c>
      <c r="R10" s="686">
        <v>4147.279226</v>
      </c>
      <c r="S10" s="686">
        <v>3291.816521</v>
      </c>
      <c r="T10" s="687">
        <v>5258.147458</v>
      </c>
      <c r="V10" s="681" t="s">
        <v>39</v>
      </c>
      <c r="W10" s="682" t="s">
        <v>921</v>
      </c>
      <c r="X10" s="682" t="s">
        <v>915</v>
      </c>
      <c r="Y10" s="682" t="s">
        <v>923</v>
      </c>
      <c r="Z10" s="682">
        <v>2021.0</v>
      </c>
      <c r="AA10" s="682" t="s">
        <v>919</v>
      </c>
      <c r="AB10" s="685" t="s">
        <v>112</v>
      </c>
      <c r="AC10" s="686">
        <v>19.9199481</v>
      </c>
      <c r="AD10" s="686">
        <v>11.31432026</v>
      </c>
      <c r="AE10" s="687">
        <v>33.32655028</v>
      </c>
      <c r="AF10" s="669"/>
    </row>
    <row r="11">
      <c r="A11" s="675"/>
      <c r="B11" s="681" t="s">
        <v>39</v>
      </c>
      <c r="C11" s="682" t="s">
        <v>915</v>
      </c>
      <c r="D11" s="682" t="s">
        <v>926</v>
      </c>
      <c r="E11" s="682" t="s">
        <v>917</v>
      </c>
      <c r="F11" s="682">
        <v>2021.0</v>
      </c>
      <c r="G11" s="683">
        <v>0.118841297</v>
      </c>
      <c r="H11" s="683">
        <v>0.096356923</v>
      </c>
      <c r="I11" s="684">
        <v>0.145448949</v>
      </c>
      <c r="K11" s="688" t="s">
        <v>39</v>
      </c>
      <c r="L11" s="689" t="s">
        <v>917</v>
      </c>
      <c r="M11" s="689" t="s">
        <v>915</v>
      </c>
      <c r="N11" s="689" t="s">
        <v>925</v>
      </c>
      <c r="O11" s="689">
        <v>2021.0</v>
      </c>
      <c r="P11" s="689" t="s">
        <v>919</v>
      </c>
      <c r="Q11" s="690" t="s">
        <v>112</v>
      </c>
      <c r="R11" s="691">
        <v>867.4372109</v>
      </c>
      <c r="S11" s="691">
        <v>694.7668651</v>
      </c>
      <c r="T11" s="692">
        <v>1080.138195</v>
      </c>
      <c r="V11" s="688" t="s">
        <v>39</v>
      </c>
      <c r="W11" s="689" t="s">
        <v>921</v>
      </c>
      <c r="X11" s="689" t="s">
        <v>915</v>
      </c>
      <c r="Y11" s="689" t="s">
        <v>925</v>
      </c>
      <c r="Z11" s="689">
        <v>2021.0</v>
      </c>
      <c r="AA11" s="689" t="s">
        <v>919</v>
      </c>
      <c r="AB11" s="690" t="s">
        <v>112</v>
      </c>
      <c r="AC11" s="691">
        <v>27.37456524</v>
      </c>
      <c r="AD11" s="691">
        <v>18.11454496</v>
      </c>
      <c r="AE11" s="692">
        <v>42.85954366</v>
      </c>
      <c r="AF11" s="669"/>
    </row>
    <row r="12">
      <c r="A12" s="675"/>
      <c r="B12" s="681" t="s">
        <v>40</v>
      </c>
      <c r="C12" s="682" t="s">
        <v>915</v>
      </c>
      <c r="D12" s="682" t="s">
        <v>916</v>
      </c>
      <c r="E12" s="682" t="s">
        <v>917</v>
      </c>
      <c r="F12" s="682">
        <v>2021.0</v>
      </c>
      <c r="G12" s="683">
        <v>0.129808387</v>
      </c>
      <c r="H12" s="683">
        <v>0.099758401</v>
      </c>
      <c r="I12" s="684">
        <v>0.165469099</v>
      </c>
      <c r="K12" s="681" t="s">
        <v>39</v>
      </c>
      <c r="L12" s="682" t="s">
        <v>917</v>
      </c>
      <c r="M12" s="682" t="s">
        <v>915</v>
      </c>
      <c r="N12" s="682" t="s">
        <v>927</v>
      </c>
      <c r="O12" s="682">
        <v>2021.0</v>
      </c>
      <c r="P12" s="682" t="s">
        <v>919</v>
      </c>
      <c r="Q12" s="685" t="s">
        <v>112</v>
      </c>
      <c r="R12" s="686">
        <v>4463.997374</v>
      </c>
      <c r="S12" s="686">
        <v>3585.246139</v>
      </c>
      <c r="T12" s="687">
        <v>5607.913224</v>
      </c>
      <c r="V12" s="681" t="s">
        <v>39</v>
      </c>
      <c r="W12" s="682" t="s">
        <v>921</v>
      </c>
      <c r="X12" s="682" t="s">
        <v>915</v>
      </c>
      <c r="Y12" s="682" t="s">
        <v>927</v>
      </c>
      <c r="Z12" s="682">
        <v>2021.0</v>
      </c>
      <c r="AA12" s="682" t="s">
        <v>919</v>
      </c>
      <c r="AB12" s="685" t="s">
        <v>112</v>
      </c>
      <c r="AC12" s="686">
        <v>457.2098462</v>
      </c>
      <c r="AD12" s="686">
        <v>302.2312783</v>
      </c>
      <c r="AE12" s="687">
        <v>668.418545</v>
      </c>
      <c r="AF12" s="669"/>
    </row>
    <row r="13">
      <c r="A13" s="675"/>
      <c r="B13" s="681" t="s">
        <v>40</v>
      </c>
      <c r="C13" s="682" t="s">
        <v>915</v>
      </c>
      <c r="D13" s="682" t="s">
        <v>922</v>
      </c>
      <c r="E13" s="682" t="s">
        <v>917</v>
      </c>
      <c r="F13" s="682">
        <v>2021.0</v>
      </c>
      <c r="G13" s="683">
        <v>0.476732435</v>
      </c>
      <c r="H13" s="683">
        <v>0.414009576</v>
      </c>
      <c r="I13" s="684">
        <v>0.562608951</v>
      </c>
      <c r="K13" s="681" t="s">
        <v>39</v>
      </c>
      <c r="L13" s="682" t="s">
        <v>917</v>
      </c>
      <c r="M13" s="682" t="s">
        <v>915</v>
      </c>
      <c r="N13" s="682" t="s">
        <v>926</v>
      </c>
      <c r="O13" s="682">
        <v>2021.0</v>
      </c>
      <c r="P13" s="682" t="s">
        <v>919</v>
      </c>
      <c r="Q13" s="685" t="s">
        <v>112</v>
      </c>
      <c r="R13" s="686">
        <v>14521.53489</v>
      </c>
      <c r="S13" s="686">
        <v>11619.94784</v>
      </c>
      <c r="T13" s="687">
        <v>18033.37826</v>
      </c>
      <c r="V13" s="681" t="s">
        <v>39</v>
      </c>
      <c r="W13" s="682" t="s">
        <v>921</v>
      </c>
      <c r="X13" s="682" t="s">
        <v>915</v>
      </c>
      <c r="Y13" s="682" t="s">
        <v>926</v>
      </c>
      <c r="Z13" s="682">
        <v>2021.0</v>
      </c>
      <c r="AA13" s="682" t="s">
        <v>919</v>
      </c>
      <c r="AB13" s="685" t="s">
        <v>112</v>
      </c>
      <c r="AC13" s="686">
        <v>739.4865851</v>
      </c>
      <c r="AD13" s="686">
        <v>471.2764563</v>
      </c>
      <c r="AE13" s="687">
        <v>1097.293391</v>
      </c>
      <c r="AF13" s="669"/>
    </row>
    <row r="14">
      <c r="A14" s="675"/>
      <c r="B14" s="681" t="s">
        <v>40</v>
      </c>
      <c r="C14" s="682" t="s">
        <v>915</v>
      </c>
      <c r="D14" s="682" t="s">
        <v>924</v>
      </c>
      <c r="E14" s="682" t="s">
        <v>917</v>
      </c>
      <c r="F14" s="682">
        <v>2021.0</v>
      </c>
      <c r="G14" s="683">
        <v>0.007852502</v>
      </c>
      <c r="H14" s="683">
        <v>0.006476158</v>
      </c>
      <c r="I14" s="684">
        <v>0.009734862</v>
      </c>
      <c r="K14" s="681" t="s">
        <v>40</v>
      </c>
      <c r="L14" s="682" t="s">
        <v>917</v>
      </c>
      <c r="M14" s="682" t="s">
        <v>915</v>
      </c>
      <c r="N14" s="682" t="s">
        <v>918</v>
      </c>
      <c r="O14" s="682">
        <v>2021.0</v>
      </c>
      <c r="P14" s="682" t="s">
        <v>919</v>
      </c>
      <c r="Q14" s="685" t="s">
        <v>112</v>
      </c>
      <c r="R14" s="686">
        <v>1151.557251</v>
      </c>
      <c r="S14" s="686">
        <v>876.1744525</v>
      </c>
      <c r="T14" s="687">
        <v>1523.98248</v>
      </c>
      <c r="V14" s="681" t="s">
        <v>40</v>
      </c>
      <c r="W14" s="682" t="s">
        <v>921</v>
      </c>
      <c r="X14" s="682" t="s">
        <v>915</v>
      </c>
      <c r="Y14" s="682" t="s">
        <v>918</v>
      </c>
      <c r="Z14" s="682">
        <v>2021.0</v>
      </c>
      <c r="AA14" s="682" t="s">
        <v>919</v>
      </c>
      <c r="AB14" s="685" t="s">
        <v>112</v>
      </c>
      <c r="AC14" s="686">
        <v>23.26451147</v>
      </c>
      <c r="AD14" s="686">
        <v>8.602715275</v>
      </c>
      <c r="AE14" s="687">
        <v>52.17351232</v>
      </c>
      <c r="AF14" s="669"/>
    </row>
    <row r="15">
      <c r="A15" s="675"/>
      <c r="B15" s="681" t="s">
        <v>40</v>
      </c>
      <c r="C15" s="682" t="s">
        <v>915</v>
      </c>
      <c r="D15" s="682" t="s">
        <v>926</v>
      </c>
      <c r="E15" s="682" t="s">
        <v>917</v>
      </c>
      <c r="F15" s="682">
        <v>2021.0</v>
      </c>
      <c r="G15" s="683">
        <v>0.06013788</v>
      </c>
      <c r="H15" s="683">
        <v>0.047624185</v>
      </c>
      <c r="I15" s="684">
        <v>0.076813203</v>
      </c>
      <c r="K15" s="681" t="s">
        <v>40</v>
      </c>
      <c r="L15" s="682" t="s">
        <v>917</v>
      </c>
      <c r="M15" s="682" t="s">
        <v>915</v>
      </c>
      <c r="N15" s="682" t="s">
        <v>923</v>
      </c>
      <c r="O15" s="682">
        <v>2021.0</v>
      </c>
      <c r="P15" s="682" t="s">
        <v>919</v>
      </c>
      <c r="Q15" s="685" t="s">
        <v>112</v>
      </c>
      <c r="R15" s="686">
        <v>1261.370522</v>
      </c>
      <c r="S15" s="686">
        <v>996.4937863</v>
      </c>
      <c r="T15" s="687">
        <v>1616.599668</v>
      </c>
      <c r="V15" s="681" t="s">
        <v>40</v>
      </c>
      <c r="W15" s="682" t="s">
        <v>921</v>
      </c>
      <c r="X15" s="682" t="s">
        <v>915</v>
      </c>
      <c r="Y15" s="682" t="s">
        <v>923</v>
      </c>
      <c r="Z15" s="682">
        <v>2021.0</v>
      </c>
      <c r="AA15" s="682" t="s">
        <v>919</v>
      </c>
      <c r="AB15" s="685" t="s">
        <v>112</v>
      </c>
      <c r="AC15" s="686">
        <v>4.026044539</v>
      </c>
      <c r="AD15" s="686">
        <v>2.081932023</v>
      </c>
      <c r="AE15" s="687">
        <v>7.949423846</v>
      </c>
      <c r="AF15" s="669"/>
    </row>
    <row r="16">
      <c r="A16" s="675"/>
      <c r="B16" s="681" t="s">
        <v>41</v>
      </c>
      <c r="C16" s="682" t="s">
        <v>915</v>
      </c>
      <c r="D16" s="682" t="s">
        <v>916</v>
      </c>
      <c r="E16" s="682" t="s">
        <v>917</v>
      </c>
      <c r="F16" s="682">
        <v>2021.0</v>
      </c>
      <c r="G16" s="683">
        <v>0.105626232</v>
      </c>
      <c r="H16" s="683">
        <v>0.077905204</v>
      </c>
      <c r="I16" s="684">
        <v>0.143780818</v>
      </c>
      <c r="K16" s="681" t="s">
        <v>40</v>
      </c>
      <c r="L16" s="682" t="s">
        <v>917</v>
      </c>
      <c r="M16" s="682" t="s">
        <v>915</v>
      </c>
      <c r="N16" s="682" t="s">
        <v>925</v>
      </c>
      <c r="O16" s="682">
        <v>2021.0</v>
      </c>
      <c r="P16" s="682" t="s">
        <v>919</v>
      </c>
      <c r="Q16" s="685" t="s">
        <v>112</v>
      </c>
      <c r="R16" s="686">
        <v>287.7596678</v>
      </c>
      <c r="S16" s="686">
        <v>233.859698</v>
      </c>
      <c r="T16" s="687">
        <v>363.719748</v>
      </c>
      <c r="V16" s="681" t="s">
        <v>40</v>
      </c>
      <c r="W16" s="682" t="s">
        <v>921</v>
      </c>
      <c r="X16" s="682" t="s">
        <v>915</v>
      </c>
      <c r="Y16" s="682" t="s">
        <v>925</v>
      </c>
      <c r="Z16" s="682">
        <v>2021.0</v>
      </c>
      <c r="AA16" s="682" t="s">
        <v>919</v>
      </c>
      <c r="AB16" s="685" t="s">
        <v>112</v>
      </c>
      <c r="AC16" s="686">
        <v>3.634324906</v>
      </c>
      <c r="AD16" s="686">
        <v>1.591398069</v>
      </c>
      <c r="AE16" s="687">
        <v>8.643762127</v>
      </c>
      <c r="AF16" s="669"/>
    </row>
    <row r="17">
      <c r="A17" s="675"/>
      <c r="B17" s="681" t="s">
        <v>41</v>
      </c>
      <c r="C17" s="682" t="s">
        <v>915</v>
      </c>
      <c r="D17" s="682" t="s">
        <v>922</v>
      </c>
      <c r="E17" s="682" t="s">
        <v>917</v>
      </c>
      <c r="F17" s="682">
        <v>2021.0</v>
      </c>
      <c r="G17" s="683">
        <v>0.430894739</v>
      </c>
      <c r="H17" s="683">
        <v>0.374541211</v>
      </c>
      <c r="I17" s="684">
        <v>0.506394543</v>
      </c>
      <c r="K17" s="693" t="s">
        <v>40</v>
      </c>
      <c r="L17" s="694" t="s">
        <v>917</v>
      </c>
      <c r="M17" s="694" t="s">
        <v>915</v>
      </c>
      <c r="N17" s="694" t="s">
        <v>927</v>
      </c>
      <c r="O17" s="694">
        <v>2021.0</v>
      </c>
      <c r="P17" s="694" t="s">
        <v>919</v>
      </c>
      <c r="Q17" s="695" t="s">
        <v>112</v>
      </c>
      <c r="R17" s="696">
        <v>977.156399</v>
      </c>
      <c r="S17" s="696">
        <v>772.2721541</v>
      </c>
      <c r="T17" s="697">
        <v>1253.638442</v>
      </c>
      <c r="V17" s="693" t="s">
        <v>40</v>
      </c>
      <c r="W17" s="694" t="s">
        <v>921</v>
      </c>
      <c r="X17" s="694" t="s">
        <v>915</v>
      </c>
      <c r="Y17" s="694" t="s">
        <v>927</v>
      </c>
      <c r="Z17" s="694">
        <v>2021.0</v>
      </c>
      <c r="AA17" s="694" t="s">
        <v>919</v>
      </c>
      <c r="AB17" s="695" t="s">
        <v>112</v>
      </c>
      <c r="AC17" s="696">
        <v>40.4909403</v>
      </c>
      <c r="AD17" s="696">
        <v>17.50789695</v>
      </c>
      <c r="AE17" s="697">
        <v>83.06653748</v>
      </c>
      <c r="AF17" s="669"/>
    </row>
    <row r="18">
      <c r="A18" s="675"/>
      <c r="B18" s="681" t="s">
        <v>41</v>
      </c>
      <c r="C18" s="682" t="s">
        <v>915</v>
      </c>
      <c r="D18" s="682" t="s">
        <v>924</v>
      </c>
      <c r="E18" s="682" t="s">
        <v>917</v>
      </c>
      <c r="F18" s="682">
        <v>2021.0</v>
      </c>
      <c r="G18" s="683">
        <v>0.006925974</v>
      </c>
      <c r="H18" s="683">
        <v>0.005811629</v>
      </c>
      <c r="I18" s="684">
        <v>0.008600072</v>
      </c>
      <c r="K18" s="681" t="s">
        <v>40</v>
      </c>
      <c r="L18" s="682" t="s">
        <v>917</v>
      </c>
      <c r="M18" s="682" t="s">
        <v>915</v>
      </c>
      <c r="N18" s="682" t="s">
        <v>926</v>
      </c>
      <c r="O18" s="682">
        <v>2021.0</v>
      </c>
      <c r="P18" s="682" t="s">
        <v>919</v>
      </c>
      <c r="Q18" s="685" t="s">
        <v>112</v>
      </c>
      <c r="R18" s="686">
        <v>3677.843839</v>
      </c>
      <c r="S18" s="686">
        <v>2889.472719</v>
      </c>
      <c r="T18" s="687">
        <v>4737.664654</v>
      </c>
      <c r="V18" s="681" t="s">
        <v>40</v>
      </c>
      <c r="W18" s="682" t="s">
        <v>921</v>
      </c>
      <c r="X18" s="682" t="s">
        <v>915</v>
      </c>
      <c r="Y18" s="682" t="s">
        <v>926</v>
      </c>
      <c r="Z18" s="682">
        <v>2021.0</v>
      </c>
      <c r="AA18" s="682" t="s">
        <v>919</v>
      </c>
      <c r="AB18" s="685" t="s">
        <v>112</v>
      </c>
      <c r="AC18" s="686">
        <v>71.41582122</v>
      </c>
      <c r="AD18" s="686">
        <v>32.99638808</v>
      </c>
      <c r="AE18" s="687">
        <v>141.5461965</v>
      </c>
      <c r="AF18" s="669"/>
    </row>
    <row r="19">
      <c r="A19" s="675"/>
      <c r="B19" s="681" t="s">
        <v>41</v>
      </c>
      <c r="C19" s="682" t="s">
        <v>915</v>
      </c>
      <c r="D19" s="682" t="s">
        <v>926</v>
      </c>
      <c r="E19" s="682" t="s">
        <v>917</v>
      </c>
      <c r="F19" s="682">
        <v>2021.0</v>
      </c>
      <c r="G19" s="683">
        <v>0.054148055</v>
      </c>
      <c r="H19" s="683">
        <v>0.042983429</v>
      </c>
      <c r="I19" s="684">
        <v>0.067907409</v>
      </c>
      <c r="K19" s="681" t="s">
        <v>41</v>
      </c>
      <c r="L19" s="682" t="s">
        <v>917</v>
      </c>
      <c r="M19" s="682" t="s">
        <v>915</v>
      </c>
      <c r="N19" s="682" t="s">
        <v>918</v>
      </c>
      <c r="O19" s="682">
        <v>2021.0</v>
      </c>
      <c r="P19" s="682" t="s">
        <v>919</v>
      </c>
      <c r="Q19" s="685" t="s">
        <v>112</v>
      </c>
      <c r="R19" s="686">
        <v>3116.10714</v>
      </c>
      <c r="S19" s="686">
        <v>2424.425179</v>
      </c>
      <c r="T19" s="687">
        <v>4001.268541</v>
      </c>
      <c r="V19" s="681" t="s">
        <v>41</v>
      </c>
      <c r="W19" s="682" t="s">
        <v>921</v>
      </c>
      <c r="X19" s="682" t="s">
        <v>915</v>
      </c>
      <c r="Y19" s="682" t="s">
        <v>918</v>
      </c>
      <c r="Z19" s="682">
        <v>2021.0</v>
      </c>
      <c r="AA19" s="682" t="s">
        <v>919</v>
      </c>
      <c r="AB19" s="685" t="s">
        <v>112</v>
      </c>
      <c r="AC19" s="686">
        <v>42.83240699</v>
      </c>
      <c r="AD19" s="686">
        <v>15.26545695</v>
      </c>
      <c r="AE19" s="687">
        <v>92.85841862</v>
      </c>
      <c r="AF19" s="669"/>
    </row>
    <row r="20">
      <c r="A20" s="675"/>
      <c r="B20" s="681" t="s">
        <v>26</v>
      </c>
      <c r="C20" s="682" t="s">
        <v>915</v>
      </c>
      <c r="D20" s="682" t="s">
        <v>916</v>
      </c>
      <c r="E20" s="682" t="s">
        <v>917</v>
      </c>
      <c r="F20" s="682">
        <v>2021.0</v>
      </c>
      <c r="G20" s="683">
        <v>0.133422122</v>
      </c>
      <c r="H20" s="683">
        <v>0.107097493</v>
      </c>
      <c r="I20" s="684">
        <v>0.164732991</v>
      </c>
      <c r="K20" s="681" t="s">
        <v>41</v>
      </c>
      <c r="L20" s="682" t="s">
        <v>917</v>
      </c>
      <c r="M20" s="682" t="s">
        <v>915</v>
      </c>
      <c r="N20" s="682" t="s">
        <v>923</v>
      </c>
      <c r="O20" s="682">
        <v>2021.0</v>
      </c>
      <c r="P20" s="682" t="s">
        <v>919</v>
      </c>
      <c r="Q20" s="685" t="s">
        <v>112</v>
      </c>
      <c r="R20" s="686">
        <v>3939.036034</v>
      </c>
      <c r="S20" s="686">
        <v>3067.686212</v>
      </c>
      <c r="T20" s="687">
        <v>5032.544856</v>
      </c>
      <c r="V20" s="681" t="s">
        <v>41</v>
      </c>
      <c r="W20" s="682" t="s">
        <v>921</v>
      </c>
      <c r="X20" s="682" t="s">
        <v>915</v>
      </c>
      <c r="Y20" s="682" t="s">
        <v>923</v>
      </c>
      <c r="Z20" s="682">
        <v>2021.0</v>
      </c>
      <c r="AA20" s="682" t="s">
        <v>919</v>
      </c>
      <c r="AB20" s="685" t="s">
        <v>112</v>
      </c>
      <c r="AC20" s="686">
        <v>9.323578194</v>
      </c>
      <c r="AD20" s="686">
        <v>4.481221029</v>
      </c>
      <c r="AE20" s="687">
        <v>17.92063041</v>
      </c>
      <c r="AF20" s="669"/>
    </row>
    <row r="21">
      <c r="A21" s="675"/>
      <c r="B21" s="681" t="s">
        <v>26</v>
      </c>
      <c r="C21" s="682" t="s">
        <v>915</v>
      </c>
      <c r="D21" s="682" t="s">
        <v>922</v>
      </c>
      <c r="E21" s="682" t="s">
        <v>917</v>
      </c>
      <c r="F21" s="682">
        <v>2021.0</v>
      </c>
      <c r="G21" s="683">
        <v>0.619195491</v>
      </c>
      <c r="H21" s="683">
        <v>0.549237398</v>
      </c>
      <c r="I21" s="684">
        <v>0.696857333</v>
      </c>
      <c r="K21" s="681" t="s">
        <v>41</v>
      </c>
      <c r="L21" s="682" t="s">
        <v>917</v>
      </c>
      <c r="M21" s="682" t="s">
        <v>915</v>
      </c>
      <c r="N21" s="682" t="s">
        <v>925</v>
      </c>
      <c r="O21" s="682">
        <v>2021.0</v>
      </c>
      <c r="P21" s="682" t="s">
        <v>919</v>
      </c>
      <c r="Q21" s="685" t="s">
        <v>112</v>
      </c>
      <c r="R21" s="686">
        <v>773.632655</v>
      </c>
      <c r="S21" s="686">
        <v>609.4233551</v>
      </c>
      <c r="T21" s="687">
        <v>972.8009051</v>
      </c>
      <c r="V21" s="681" t="s">
        <v>41</v>
      </c>
      <c r="W21" s="682" t="s">
        <v>921</v>
      </c>
      <c r="X21" s="682" t="s">
        <v>915</v>
      </c>
      <c r="Y21" s="682" t="s">
        <v>925</v>
      </c>
      <c r="Z21" s="682">
        <v>2021.0</v>
      </c>
      <c r="AA21" s="682" t="s">
        <v>919</v>
      </c>
      <c r="AB21" s="685" t="s">
        <v>112</v>
      </c>
      <c r="AC21" s="686">
        <v>8.425251297</v>
      </c>
      <c r="AD21" s="686">
        <v>3.287593115</v>
      </c>
      <c r="AE21" s="687">
        <v>19.12443585</v>
      </c>
      <c r="AF21" s="669"/>
    </row>
    <row r="22">
      <c r="A22" s="675"/>
      <c r="B22" s="681" t="s">
        <v>26</v>
      </c>
      <c r="C22" s="682" t="s">
        <v>915</v>
      </c>
      <c r="D22" s="682" t="s">
        <v>924</v>
      </c>
      <c r="E22" s="682" t="s">
        <v>917</v>
      </c>
      <c r="F22" s="682">
        <v>2021.0</v>
      </c>
      <c r="G22" s="683">
        <v>0.01478875</v>
      </c>
      <c r="H22" s="683">
        <v>0.012335342</v>
      </c>
      <c r="I22" s="684">
        <v>0.017658477</v>
      </c>
      <c r="K22" s="688" t="s">
        <v>41</v>
      </c>
      <c r="L22" s="699" t="s">
        <v>917</v>
      </c>
      <c r="M22" s="699" t="s">
        <v>915</v>
      </c>
      <c r="N22" s="699" t="s">
        <v>927</v>
      </c>
      <c r="O22" s="700">
        <v>2021.0</v>
      </c>
      <c r="P22" s="699" t="s">
        <v>919</v>
      </c>
      <c r="Q22" s="699" t="s">
        <v>112</v>
      </c>
      <c r="R22" s="701">
        <v>2871.711254</v>
      </c>
      <c r="S22" s="701">
        <v>2200.648095</v>
      </c>
      <c r="T22" s="702">
        <v>3699.843554</v>
      </c>
      <c r="V22" s="693" t="s">
        <v>41</v>
      </c>
      <c r="W22" s="694" t="s">
        <v>921</v>
      </c>
      <c r="X22" s="694" t="s">
        <v>915</v>
      </c>
      <c r="Y22" s="694" t="s">
        <v>927</v>
      </c>
      <c r="Z22" s="694">
        <v>2021.0</v>
      </c>
      <c r="AA22" s="694" t="s">
        <v>919</v>
      </c>
      <c r="AB22" s="695" t="s">
        <v>112</v>
      </c>
      <c r="AC22" s="696">
        <v>89.70743959</v>
      </c>
      <c r="AD22" s="696">
        <v>36.46875761</v>
      </c>
      <c r="AE22" s="697">
        <v>184.8622597</v>
      </c>
      <c r="AF22" s="669"/>
    </row>
    <row r="23">
      <c r="A23" s="675"/>
      <c r="B23" s="681" t="s">
        <v>26</v>
      </c>
      <c r="C23" s="682" t="s">
        <v>915</v>
      </c>
      <c r="D23" s="682" t="s">
        <v>926</v>
      </c>
      <c r="E23" s="682" t="s">
        <v>917</v>
      </c>
      <c r="F23" s="682">
        <v>2021.0</v>
      </c>
      <c r="G23" s="683">
        <v>0.150124604</v>
      </c>
      <c r="H23" s="683">
        <v>0.126769769</v>
      </c>
      <c r="I23" s="684">
        <v>0.177689633</v>
      </c>
      <c r="K23" s="681" t="s">
        <v>41</v>
      </c>
      <c r="L23" s="682" t="s">
        <v>917</v>
      </c>
      <c r="M23" s="682" t="s">
        <v>915</v>
      </c>
      <c r="N23" s="682" t="s">
        <v>926</v>
      </c>
      <c r="O23" s="682">
        <v>2021.0</v>
      </c>
      <c r="P23" s="682" t="s">
        <v>919</v>
      </c>
      <c r="Q23" s="685" t="s">
        <v>112</v>
      </c>
      <c r="R23" s="686">
        <v>10700.48708</v>
      </c>
      <c r="S23" s="686">
        <v>8433.365479</v>
      </c>
      <c r="T23" s="687">
        <v>13520.87345</v>
      </c>
      <c r="V23" s="681" t="s">
        <v>41</v>
      </c>
      <c r="W23" s="682" t="s">
        <v>921</v>
      </c>
      <c r="X23" s="682" t="s">
        <v>915</v>
      </c>
      <c r="Y23" s="682" t="s">
        <v>926</v>
      </c>
      <c r="Z23" s="682">
        <v>2021.0</v>
      </c>
      <c r="AA23" s="682" t="s">
        <v>919</v>
      </c>
      <c r="AB23" s="685" t="s">
        <v>112</v>
      </c>
      <c r="AC23" s="686">
        <v>150.2886761</v>
      </c>
      <c r="AD23" s="686">
        <v>68.21110708</v>
      </c>
      <c r="AE23" s="687">
        <v>297.4556867</v>
      </c>
      <c r="AF23" s="669"/>
    </row>
    <row r="24">
      <c r="A24" s="675"/>
      <c r="B24" s="681" t="s">
        <v>42</v>
      </c>
      <c r="C24" s="682" t="s">
        <v>915</v>
      </c>
      <c r="D24" s="682" t="s">
        <v>916</v>
      </c>
      <c r="E24" s="682" t="s">
        <v>917</v>
      </c>
      <c r="F24" s="682">
        <v>2021.0</v>
      </c>
      <c r="G24" s="683">
        <v>0.094365874</v>
      </c>
      <c r="H24" s="683">
        <v>0.073765675</v>
      </c>
      <c r="I24" s="684">
        <v>0.11934846</v>
      </c>
      <c r="K24" s="681" t="s">
        <v>26</v>
      </c>
      <c r="L24" s="682" t="s">
        <v>917</v>
      </c>
      <c r="M24" s="682" t="s">
        <v>915</v>
      </c>
      <c r="N24" s="682" t="s">
        <v>918</v>
      </c>
      <c r="O24" s="682">
        <v>2021.0</v>
      </c>
      <c r="P24" s="682" t="s">
        <v>919</v>
      </c>
      <c r="Q24" s="685" t="s">
        <v>112</v>
      </c>
      <c r="R24" s="686">
        <v>21789.87623</v>
      </c>
      <c r="S24" s="686">
        <v>17935.86963</v>
      </c>
      <c r="T24" s="687">
        <v>26294.38096</v>
      </c>
      <c r="V24" s="681" t="s">
        <v>26</v>
      </c>
      <c r="W24" s="682" t="s">
        <v>921</v>
      </c>
      <c r="X24" s="682" t="s">
        <v>915</v>
      </c>
      <c r="Y24" s="682" t="s">
        <v>918</v>
      </c>
      <c r="Z24" s="682">
        <v>2021.0</v>
      </c>
      <c r="AA24" s="682" t="s">
        <v>919</v>
      </c>
      <c r="AB24" s="685" t="s">
        <v>112</v>
      </c>
      <c r="AC24" s="686">
        <v>1732.114556</v>
      </c>
      <c r="AD24" s="686">
        <v>938.8142631</v>
      </c>
      <c r="AE24" s="687">
        <v>2831.052957</v>
      </c>
      <c r="AF24" s="669"/>
    </row>
    <row r="25">
      <c r="A25" s="675"/>
      <c r="B25" s="681" t="s">
        <v>42</v>
      </c>
      <c r="C25" s="682" t="s">
        <v>915</v>
      </c>
      <c r="D25" s="682" t="s">
        <v>922</v>
      </c>
      <c r="E25" s="682" t="s">
        <v>917</v>
      </c>
      <c r="F25" s="682">
        <v>2021.0</v>
      </c>
      <c r="G25" s="683">
        <v>0.443198886</v>
      </c>
      <c r="H25" s="683">
        <v>0.384564254</v>
      </c>
      <c r="I25" s="684">
        <v>0.516177535</v>
      </c>
      <c r="K25" s="681" t="s">
        <v>26</v>
      </c>
      <c r="L25" s="682" t="s">
        <v>917</v>
      </c>
      <c r="M25" s="682" t="s">
        <v>915</v>
      </c>
      <c r="N25" s="682" t="s">
        <v>923</v>
      </c>
      <c r="O25" s="682">
        <v>2021.0</v>
      </c>
      <c r="P25" s="682" t="s">
        <v>919</v>
      </c>
      <c r="Q25" s="685" t="s">
        <v>112</v>
      </c>
      <c r="R25" s="686">
        <v>13194.35073</v>
      </c>
      <c r="S25" s="686">
        <v>10869.12997</v>
      </c>
      <c r="T25" s="687">
        <v>16032.4778</v>
      </c>
      <c r="V25" s="681" t="s">
        <v>26</v>
      </c>
      <c r="W25" s="682" t="s">
        <v>921</v>
      </c>
      <c r="X25" s="682" t="s">
        <v>915</v>
      </c>
      <c r="Y25" s="682" t="s">
        <v>923</v>
      </c>
      <c r="Z25" s="682">
        <v>2021.0</v>
      </c>
      <c r="AA25" s="682" t="s">
        <v>919</v>
      </c>
      <c r="AB25" s="685" t="s">
        <v>112</v>
      </c>
      <c r="AC25" s="686">
        <v>96.03063654</v>
      </c>
      <c r="AD25" s="686">
        <v>45.33021602</v>
      </c>
      <c r="AE25" s="687">
        <v>155.65999</v>
      </c>
      <c r="AF25" s="669"/>
    </row>
    <row r="26">
      <c r="A26" s="675"/>
      <c r="B26" s="681" t="s">
        <v>42</v>
      </c>
      <c r="C26" s="682" t="s">
        <v>915</v>
      </c>
      <c r="D26" s="682" t="s">
        <v>924</v>
      </c>
      <c r="E26" s="682" t="s">
        <v>917</v>
      </c>
      <c r="F26" s="682">
        <v>2021.0</v>
      </c>
      <c r="G26" s="683">
        <v>0.007108556</v>
      </c>
      <c r="H26" s="683">
        <v>0.006075476</v>
      </c>
      <c r="I26" s="684">
        <v>0.008461726</v>
      </c>
      <c r="K26" s="681" t="s">
        <v>26</v>
      </c>
      <c r="L26" s="682" t="s">
        <v>917</v>
      </c>
      <c r="M26" s="682" t="s">
        <v>915</v>
      </c>
      <c r="N26" s="682" t="s">
        <v>925</v>
      </c>
      <c r="O26" s="682">
        <v>2021.0</v>
      </c>
      <c r="P26" s="682" t="s">
        <v>919</v>
      </c>
      <c r="Q26" s="685" t="s">
        <v>112</v>
      </c>
      <c r="R26" s="686">
        <v>2235.373294</v>
      </c>
      <c r="S26" s="686">
        <v>1873.016875</v>
      </c>
      <c r="T26" s="687">
        <v>2662.904382</v>
      </c>
      <c r="V26" s="681" t="s">
        <v>26</v>
      </c>
      <c r="W26" s="682" t="s">
        <v>921</v>
      </c>
      <c r="X26" s="682" t="s">
        <v>915</v>
      </c>
      <c r="Y26" s="682" t="s">
        <v>925</v>
      </c>
      <c r="Z26" s="682">
        <v>2021.0</v>
      </c>
      <c r="AA26" s="682" t="s">
        <v>919</v>
      </c>
      <c r="AB26" s="685" t="s">
        <v>112</v>
      </c>
      <c r="AC26" s="686">
        <v>98.96516718</v>
      </c>
      <c r="AD26" s="686">
        <v>55.88190495</v>
      </c>
      <c r="AE26" s="687">
        <v>155.0982226</v>
      </c>
      <c r="AF26" s="669"/>
    </row>
    <row r="27">
      <c r="A27" s="675"/>
      <c r="B27" s="681" t="s">
        <v>42</v>
      </c>
      <c r="C27" s="682" t="s">
        <v>915</v>
      </c>
      <c r="D27" s="682" t="s">
        <v>926</v>
      </c>
      <c r="E27" s="682" t="s">
        <v>917</v>
      </c>
      <c r="F27" s="682">
        <v>2021.0</v>
      </c>
      <c r="G27" s="683">
        <v>0.062650291</v>
      </c>
      <c r="H27" s="683">
        <v>0.050521089</v>
      </c>
      <c r="I27" s="684">
        <v>0.07609998</v>
      </c>
      <c r="K27" s="681" t="s">
        <v>26</v>
      </c>
      <c r="L27" s="682" t="s">
        <v>917</v>
      </c>
      <c r="M27" s="682" t="s">
        <v>915</v>
      </c>
      <c r="N27" s="682" t="s">
        <v>927</v>
      </c>
      <c r="O27" s="682">
        <v>2021.0</v>
      </c>
      <c r="P27" s="682" t="s">
        <v>919</v>
      </c>
      <c r="Q27" s="685" t="s">
        <v>112</v>
      </c>
      <c r="R27" s="686">
        <v>11096.20021</v>
      </c>
      <c r="S27" s="686">
        <v>9183.564882</v>
      </c>
      <c r="T27" s="687">
        <v>13355.31151</v>
      </c>
      <c r="V27" s="681" t="s">
        <v>26</v>
      </c>
      <c r="W27" s="682" t="s">
        <v>921</v>
      </c>
      <c r="X27" s="682" t="s">
        <v>915</v>
      </c>
      <c r="Y27" s="682" t="s">
        <v>927</v>
      </c>
      <c r="Z27" s="682">
        <v>2021.0</v>
      </c>
      <c r="AA27" s="682" t="s">
        <v>919</v>
      </c>
      <c r="AB27" s="685" t="s">
        <v>112</v>
      </c>
      <c r="AC27" s="686">
        <v>1698.731591</v>
      </c>
      <c r="AD27" s="686">
        <v>1077.173114</v>
      </c>
      <c r="AE27" s="687">
        <v>2463.088788</v>
      </c>
      <c r="AF27" s="669"/>
    </row>
    <row r="28">
      <c r="A28" s="675"/>
      <c r="B28" s="681" t="s">
        <v>44</v>
      </c>
      <c r="C28" s="682" t="s">
        <v>915</v>
      </c>
      <c r="D28" s="682" t="s">
        <v>916</v>
      </c>
      <c r="E28" s="682" t="s">
        <v>917</v>
      </c>
      <c r="F28" s="682">
        <v>2021.0</v>
      </c>
      <c r="G28" s="683">
        <v>0.169997194</v>
      </c>
      <c r="H28" s="683">
        <v>0.123995317</v>
      </c>
      <c r="I28" s="684">
        <v>0.225594421</v>
      </c>
      <c r="K28" s="681" t="s">
        <v>26</v>
      </c>
      <c r="L28" s="682" t="s">
        <v>917</v>
      </c>
      <c r="M28" s="682" t="s">
        <v>915</v>
      </c>
      <c r="N28" s="682" t="s">
        <v>926</v>
      </c>
      <c r="O28" s="682">
        <v>2021.0</v>
      </c>
      <c r="P28" s="682" t="s">
        <v>919</v>
      </c>
      <c r="Q28" s="685" t="s">
        <v>112</v>
      </c>
      <c r="R28" s="686">
        <v>48315.80047</v>
      </c>
      <c r="S28" s="686">
        <v>40279.34658</v>
      </c>
      <c r="T28" s="687">
        <v>58001.14964</v>
      </c>
      <c r="V28" s="681" t="s">
        <v>26</v>
      </c>
      <c r="W28" s="682" t="s">
        <v>921</v>
      </c>
      <c r="X28" s="682" t="s">
        <v>915</v>
      </c>
      <c r="Y28" s="682" t="s">
        <v>926</v>
      </c>
      <c r="Z28" s="682">
        <v>2021.0</v>
      </c>
      <c r="AA28" s="682" t="s">
        <v>919</v>
      </c>
      <c r="AB28" s="685" t="s">
        <v>112</v>
      </c>
      <c r="AC28" s="686">
        <v>3625.84195</v>
      </c>
      <c r="AD28" s="686">
        <v>2234.403428</v>
      </c>
      <c r="AE28" s="687">
        <v>5462.942269</v>
      </c>
      <c r="AF28" s="669"/>
    </row>
    <row r="29">
      <c r="A29" s="675"/>
      <c r="B29" s="681" t="s">
        <v>44</v>
      </c>
      <c r="C29" s="682" t="s">
        <v>915</v>
      </c>
      <c r="D29" s="682" t="s">
        <v>922</v>
      </c>
      <c r="E29" s="682" t="s">
        <v>917</v>
      </c>
      <c r="F29" s="682">
        <v>2021.0</v>
      </c>
      <c r="G29" s="683">
        <v>0.512460188</v>
      </c>
      <c r="H29" s="683">
        <v>0.432647836</v>
      </c>
      <c r="I29" s="684">
        <v>0.604636045</v>
      </c>
      <c r="K29" s="681" t="s">
        <v>42</v>
      </c>
      <c r="L29" s="682" t="s">
        <v>917</v>
      </c>
      <c r="M29" s="682" t="s">
        <v>915</v>
      </c>
      <c r="N29" s="682" t="s">
        <v>918</v>
      </c>
      <c r="O29" s="682">
        <v>2021.0</v>
      </c>
      <c r="P29" s="682" t="s">
        <v>919</v>
      </c>
      <c r="Q29" s="685" t="s">
        <v>112</v>
      </c>
      <c r="R29" s="686">
        <v>481.6579406</v>
      </c>
      <c r="S29" s="686">
        <v>363.1394634</v>
      </c>
      <c r="T29" s="687">
        <v>619.855085</v>
      </c>
      <c r="V29" s="681" t="s">
        <v>42</v>
      </c>
      <c r="W29" s="682" t="s">
        <v>921</v>
      </c>
      <c r="X29" s="682" t="s">
        <v>915</v>
      </c>
      <c r="Y29" s="682" t="s">
        <v>918</v>
      </c>
      <c r="Z29" s="682">
        <v>2021.0</v>
      </c>
      <c r="AA29" s="682" t="s">
        <v>919</v>
      </c>
      <c r="AB29" s="685" t="s">
        <v>112</v>
      </c>
      <c r="AC29" s="686">
        <v>20.17504436</v>
      </c>
      <c r="AD29" s="686">
        <v>11.15437049</v>
      </c>
      <c r="AE29" s="687">
        <v>35.76455685</v>
      </c>
      <c r="AF29" s="669"/>
    </row>
    <row r="30">
      <c r="A30" s="675"/>
      <c r="B30" s="681" t="s">
        <v>44</v>
      </c>
      <c r="C30" s="682" t="s">
        <v>915</v>
      </c>
      <c r="D30" s="682" t="s">
        <v>924</v>
      </c>
      <c r="E30" s="682" t="s">
        <v>917</v>
      </c>
      <c r="F30" s="682">
        <v>2021.0</v>
      </c>
      <c r="G30" s="683">
        <v>0.010831297</v>
      </c>
      <c r="H30" s="683">
        <v>0.008835142</v>
      </c>
      <c r="I30" s="684">
        <v>0.01329952</v>
      </c>
      <c r="K30" s="681" t="s">
        <v>42</v>
      </c>
      <c r="L30" s="682" t="s">
        <v>917</v>
      </c>
      <c r="M30" s="682" t="s">
        <v>915</v>
      </c>
      <c r="N30" s="682" t="s">
        <v>923</v>
      </c>
      <c r="O30" s="682">
        <v>2021.0</v>
      </c>
      <c r="P30" s="682" t="s">
        <v>919</v>
      </c>
      <c r="Q30" s="685" t="s">
        <v>112</v>
      </c>
      <c r="R30" s="686">
        <v>430.7414392</v>
      </c>
      <c r="S30" s="686">
        <v>344.1365019</v>
      </c>
      <c r="T30" s="687">
        <v>522.3939576</v>
      </c>
      <c r="V30" s="681" t="s">
        <v>42</v>
      </c>
      <c r="W30" s="682" t="s">
        <v>921</v>
      </c>
      <c r="X30" s="682" t="s">
        <v>915</v>
      </c>
      <c r="Y30" s="682" t="s">
        <v>923</v>
      </c>
      <c r="Z30" s="682">
        <v>2021.0</v>
      </c>
      <c r="AA30" s="682" t="s">
        <v>919</v>
      </c>
      <c r="AB30" s="685" t="s">
        <v>112</v>
      </c>
      <c r="AC30" s="686">
        <v>2.258670114</v>
      </c>
      <c r="AD30" s="686">
        <v>1.505072872</v>
      </c>
      <c r="AE30" s="687">
        <v>3.481080069</v>
      </c>
      <c r="AF30" s="669"/>
    </row>
    <row r="31">
      <c r="A31" s="675"/>
      <c r="B31" s="681" t="s">
        <v>44</v>
      </c>
      <c r="C31" s="682" t="s">
        <v>915</v>
      </c>
      <c r="D31" s="682" t="s">
        <v>926</v>
      </c>
      <c r="E31" s="682" t="s">
        <v>917</v>
      </c>
      <c r="F31" s="682">
        <v>2021.0</v>
      </c>
      <c r="G31" s="683">
        <v>0.085483012</v>
      </c>
      <c r="H31" s="683">
        <v>0.068951043</v>
      </c>
      <c r="I31" s="684">
        <v>0.105496359</v>
      </c>
      <c r="K31" s="681" t="s">
        <v>42</v>
      </c>
      <c r="L31" s="682" t="s">
        <v>917</v>
      </c>
      <c r="M31" s="682" t="s">
        <v>915</v>
      </c>
      <c r="N31" s="682" t="s">
        <v>925</v>
      </c>
      <c r="O31" s="682">
        <v>2021.0</v>
      </c>
      <c r="P31" s="682" t="s">
        <v>919</v>
      </c>
      <c r="Q31" s="685" t="s">
        <v>112</v>
      </c>
      <c r="R31" s="686">
        <v>91.32049891</v>
      </c>
      <c r="S31" s="686">
        <v>73.6398554</v>
      </c>
      <c r="T31" s="687">
        <v>109.9300589</v>
      </c>
      <c r="V31" s="681" t="s">
        <v>42</v>
      </c>
      <c r="W31" s="682" t="s">
        <v>921</v>
      </c>
      <c r="X31" s="682" t="s">
        <v>915</v>
      </c>
      <c r="Y31" s="682" t="s">
        <v>925</v>
      </c>
      <c r="Z31" s="682">
        <v>2021.0</v>
      </c>
      <c r="AA31" s="682" t="s">
        <v>919</v>
      </c>
      <c r="AB31" s="685" t="s">
        <v>112</v>
      </c>
      <c r="AC31" s="686">
        <v>3.594939414</v>
      </c>
      <c r="AD31" s="686">
        <v>2.529292857</v>
      </c>
      <c r="AE31" s="687">
        <v>5.061743122</v>
      </c>
      <c r="AF31" s="669"/>
    </row>
    <row r="32">
      <c r="A32" s="675"/>
      <c r="B32" s="681" t="s">
        <v>45</v>
      </c>
      <c r="C32" s="682" t="s">
        <v>915</v>
      </c>
      <c r="D32" s="682" t="s">
        <v>916</v>
      </c>
      <c r="E32" s="682" t="s">
        <v>917</v>
      </c>
      <c r="F32" s="682">
        <v>2021.0</v>
      </c>
      <c r="G32" s="683">
        <v>0.117774208</v>
      </c>
      <c r="H32" s="683">
        <v>0.092651657</v>
      </c>
      <c r="I32" s="684">
        <v>0.149467401</v>
      </c>
      <c r="K32" s="681" t="s">
        <v>42</v>
      </c>
      <c r="L32" s="682" t="s">
        <v>917</v>
      </c>
      <c r="M32" s="682" t="s">
        <v>915</v>
      </c>
      <c r="N32" s="682" t="s">
        <v>927</v>
      </c>
      <c r="O32" s="682">
        <v>2021.0</v>
      </c>
      <c r="P32" s="682" t="s">
        <v>919</v>
      </c>
      <c r="Q32" s="685" t="s">
        <v>112</v>
      </c>
      <c r="R32" s="686">
        <v>386.5923255</v>
      </c>
      <c r="S32" s="686">
        <v>324.9800507</v>
      </c>
      <c r="T32" s="687">
        <v>459.5362602</v>
      </c>
      <c r="V32" s="681" t="s">
        <v>42</v>
      </c>
      <c r="W32" s="682" t="s">
        <v>921</v>
      </c>
      <c r="X32" s="682" t="s">
        <v>915</v>
      </c>
      <c r="Y32" s="682" t="s">
        <v>927</v>
      </c>
      <c r="Z32" s="682">
        <v>2021.0</v>
      </c>
      <c r="AA32" s="682" t="s">
        <v>919</v>
      </c>
      <c r="AB32" s="685" t="s">
        <v>112</v>
      </c>
      <c r="AC32" s="686">
        <v>40.11415175</v>
      </c>
      <c r="AD32" s="686">
        <v>26.31952321</v>
      </c>
      <c r="AE32" s="687">
        <v>57.65362447</v>
      </c>
      <c r="AF32" s="669"/>
    </row>
    <row r="33">
      <c r="A33" s="675"/>
      <c r="B33" s="681" t="s">
        <v>45</v>
      </c>
      <c r="C33" s="682" t="s">
        <v>915</v>
      </c>
      <c r="D33" s="682" t="s">
        <v>922</v>
      </c>
      <c r="E33" s="682" t="s">
        <v>917</v>
      </c>
      <c r="F33" s="682">
        <v>2021.0</v>
      </c>
      <c r="G33" s="683">
        <v>0.550815767</v>
      </c>
      <c r="H33" s="683">
        <v>0.479456316</v>
      </c>
      <c r="I33" s="684">
        <v>0.634277676</v>
      </c>
      <c r="K33" s="681" t="s">
        <v>42</v>
      </c>
      <c r="L33" s="682" t="s">
        <v>917</v>
      </c>
      <c r="M33" s="682" t="s">
        <v>915</v>
      </c>
      <c r="N33" s="682" t="s">
        <v>926</v>
      </c>
      <c r="O33" s="682">
        <v>2021.0</v>
      </c>
      <c r="P33" s="682" t="s">
        <v>919</v>
      </c>
      <c r="Q33" s="685" t="s">
        <v>112</v>
      </c>
      <c r="R33" s="686">
        <v>1390.312204</v>
      </c>
      <c r="S33" s="686">
        <v>1112.810403</v>
      </c>
      <c r="T33" s="687">
        <v>1700.594335</v>
      </c>
      <c r="V33" s="681" t="s">
        <v>42</v>
      </c>
      <c r="W33" s="682" t="s">
        <v>921</v>
      </c>
      <c r="X33" s="682" t="s">
        <v>915</v>
      </c>
      <c r="Y33" s="682" t="s">
        <v>926</v>
      </c>
      <c r="Z33" s="682">
        <v>2021.0</v>
      </c>
      <c r="AA33" s="682" t="s">
        <v>919</v>
      </c>
      <c r="AB33" s="685" t="s">
        <v>112</v>
      </c>
      <c r="AC33" s="686">
        <v>66.14280564</v>
      </c>
      <c r="AD33" s="686">
        <v>42.62251759</v>
      </c>
      <c r="AE33" s="687">
        <v>95.68752528</v>
      </c>
      <c r="AF33" s="669"/>
    </row>
    <row r="34">
      <c r="A34" s="675"/>
      <c r="B34" s="681" t="s">
        <v>45</v>
      </c>
      <c r="C34" s="682" t="s">
        <v>915</v>
      </c>
      <c r="D34" s="682" t="s">
        <v>924</v>
      </c>
      <c r="E34" s="682" t="s">
        <v>917</v>
      </c>
      <c r="F34" s="682">
        <v>2021.0</v>
      </c>
      <c r="G34" s="683">
        <v>0.008973922</v>
      </c>
      <c r="H34" s="683">
        <v>0.007283454</v>
      </c>
      <c r="I34" s="684">
        <v>0.01098754</v>
      </c>
      <c r="K34" s="688" t="s">
        <v>44</v>
      </c>
      <c r="L34" s="689" t="s">
        <v>917</v>
      </c>
      <c r="M34" s="689" t="s">
        <v>915</v>
      </c>
      <c r="N34" s="689" t="s">
        <v>918</v>
      </c>
      <c r="O34" s="689">
        <v>2021.0</v>
      </c>
      <c r="P34" s="689" t="s">
        <v>919</v>
      </c>
      <c r="Q34" s="690" t="s">
        <v>112</v>
      </c>
      <c r="R34" s="691">
        <v>6583.199025</v>
      </c>
      <c r="S34" s="691">
        <v>5248.895843</v>
      </c>
      <c r="T34" s="692">
        <v>8274.660589</v>
      </c>
      <c r="V34" s="688" t="s">
        <v>44</v>
      </c>
      <c r="W34" s="689" t="s">
        <v>921</v>
      </c>
      <c r="X34" s="689" t="s">
        <v>915</v>
      </c>
      <c r="Y34" s="689" t="s">
        <v>918</v>
      </c>
      <c r="Z34" s="689">
        <v>2021.0</v>
      </c>
      <c r="AA34" s="689" t="s">
        <v>919</v>
      </c>
      <c r="AB34" s="690" t="s">
        <v>112</v>
      </c>
      <c r="AC34" s="691">
        <v>292.0546967</v>
      </c>
      <c r="AD34" s="691">
        <v>164.4102493</v>
      </c>
      <c r="AE34" s="692">
        <v>481.2766824</v>
      </c>
      <c r="AF34" s="669"/>
    </row>
    <row r="35">
      <c r="A35" s="675"/>
      <c r="B35" s="681" t="s">
        <v>45</v>
      </c>
      <c r="C35" s="682" t="s">
        <v>915</v>
      </c>
      <c r="D35" s="682" t="s">
        <v>926</v>
      </c>
      <c r="E35" s="682" t="s">
        <v>917</v>
      </c>
      <c r="F35" s="682">
        <v>2021.0</v>
      </c>
      <c r="G35" s="683">
        <v>0.068387563</v>
      </c>
      <c r="H35" s="683">
        <v>0.055551835</v>
      </c>
      <c r="I35" s="684">
        <v>0.084282502</v>
      </c>
      <c r="K35" s="681" t="s">
        <v>44</v>
      </c>
      <c r="L35" s="682" t="s">
        <v>917</v>
      </c>
      <c r="M35" s="682" t="s">
        <v>915</v>
      </c>
      <c r="N35" s="682" t="s">
        <v>923</v>
      </c>
      <c r="O35" s="682">
        <v>2021.0</v>
      </c>
      <c r="P35" s="682" t="s">
        <v>919</v>
      </c>
      <c r="Q35" s="685" t="s">
        <v>112</v>
      </c>
      <c r="R35" s="686">
        <v>10701.58524</v>
      </c>
      <c r="S35" s="686">
        <v>8510.27853</v>
      </c>
      <c r="T35" s="687">
        <v>13494.65955</v>
      </c>
      <c r="V35" s="681" t="s">
        <v>44</v>
      </c>
      <c r="W35" s="682" t="s">
        <v>921</v>
      </c>
      <c r="X35" s="682" t="s">
        <v>915</v>
      </c>
      <c r="Y35" s="682" t="s">
        <v>923</v>
      </c>
      <c r="Z35" s="682">
        <v>2021.0</v>
      </c>
      <c r="AA35" s="682" t="s">
        <v>919</v>
      </c>
      <c r="AB35" s="685" t="s">
        <v>112</v>
      </c>
      <c r="AC35" s="686">
        <v>54.1284809</v>
      </c>
      <c r="AD35" s="686">
        <v>32.15569663</v>
      </c>
      <c r="AE35" s="687">
        <v>85.59580522</v>
      </c>
      <c r="AF35" s="669"/>
    </row>
    <row r="36">
      <c r="A36" s="675"/>
      <c r="B36" s="681" t="s">
        <v>46</v>
      </c>
      <c r="C36" s="682" t="s">
        <v>915</v>
      </c>
      <c r="D36" s="682" t="s">
        <v>916</v>
      </c>
      <c r="E36" s="682" t="s">
        <v>917</v>
      </c>
      <c r="F36" s="682">
        <v>2021.0</v>
      </c>
      <c r="G36" s="683">
        <v>0.094696848</v>
      </c>
      <c r="H36" s="683">
        <v>0.073922789</v>
      </c>
      <c r="I36" s="684">
        <v>0.118724021</v>
      </c>
      <c r="K36" s="681" t="s">
        <v>44</v>
      </c>
      <c r="L36" s="682" t="s">
        <v>917</v>
      </c>
      <c r="M36" s="682" t="s">
        <v>915</v>
      </c>
      <c r="N36" s="682" t="s">
        <v>925</v>
      </c>
      <c r="O36" s="682">
        <v>2021.0</v>
      </c>
      <c r="P36" s="682" t="s">
        <v>919</v>
      </c>
      <c r="Q36" s="685" t="s">
        <v>112</v>
      </c>
      <c r="R36" s="686">
        <v>2031.026959</v>
      </c>
      <c r="S36" s="686">
        <v>1507.129621</v>
      </c>
      <c r="T36" s="687">
        <v>2759.718558</v>
      </c>
      <c r="V36" s="681" t="s">
        <v>44</v>
      </c>
      <c r="W36" s="682" t="s">
        <v>921</v>
      </c>
      <c r="X36" s="682" t="s">
        <v>915</v>
      </c>
      <c r="Y36" s="682" t="s">
        <v>925</v>
      </c>
      <c r="Z36" s="682">
        <v>2021.0</v>
      </c>
      <c r="AA36" s="682" t="s">
        <v>919</v>
      </c>
      <c r="AB36" s="685" t="s">
        <v>112</v>
      </c>
      <c r="AC36" s="686">
        <v>70.28343001</v>
      </c>
      <c r="AD36" s="686">
        <v>46.7646499</v>
      </c>
      <c r="AE36" s="687">
        <v>108.2149512</v>
      </c>
      <c r="AF36" s="669"/>
    </row>
    <row r="37">
      <c r="A37" s="675"/>
      <c r="B37" s="681" t="s">
        <v>46</v>
      </c>
      <c r="C37" s="682" t="s">
        <v>915</v>
      </c>
      <c r="D37" s="682" t="s">
        <v>922</v>
      </c>
      <c r="E37" s="682" t="s">
        <v>917</v>
      </c>
      <c r="F37" s="682">
        <v>2021.0</v>
      </c>
      <c r="G37" s="683">
        <v>0.447704892</v>
      </c>
      <c r="H37" s="683">
        <v>0.385860873</v>
      </c>
      <c r="I37" s="684">
        <v>0.51690822</v>
      </c>
      <c r="K37" s="681" t="s">
        <v>44</v>
      </c>
      <c r="L37" s="682" t="s">
        <v>917</v>
      </c>
      <c r="M37" s="682" t="s">
        <v>915</v>
      </c>
      <c r="N37" s="682" t="s">
        <v>927</v>
      </c>
      <c r="O37" s="682">
        <v>2021.0</v>
      </c>
      <c r="P37" s="682" t="s">
        <v>919</v>
      </c>
      <c r="Q37" s="685" t="s">
        <v>112</v>
      </c>
      <c r="R37" s="686">
        <v>8723.632911</v>
      </c>
      <c r="S37" s="686">
        <v>7079.595277</v>
      </c>
      <c r="T37" s="687">
        <v>10733.4375</v>
      </c>
      <c r="V37" s="681" t="s">
        <v>44</v>
      </c>
      <c r="W37" s="682" t="s">
        <v>921</v>
      </c>
      <c r="X37" s="682" t="s">
        <v>915</v>
      </c>
      <c r="Y37" s="682" t="s">
        <v>927</v>
      </c>
      <c r="Z37" s="682">
        <v>2021.0</v>
      </c>
      <c r="AA37" s="682" t="s">
        <v>919</v>
      </c>
      <c r="AB37" s="685" t="s">
        <v>112</v>
      </c>
      <c r="AC37" s="686">
        <v>878.120055</v>
      </c>
      <c r="AD37" s="686">
        <v>567.4943963</v>
      </c>
      <c r="AE37" s="687">
        <v>1251.283147</v>
      </c>
      <c r="AF37" s="669"/>
    </row>
    <row r="38">
      <c r="A38" s="675"/>
      <c r="B38" s="681" t="s">
        <v>46</v>
      </c>
      <c r="C38" s="682" t="s">
        <v>915</v>
      </c>
      <c r="D38" s="682" t="s">
        <v>924</v>
      </c>
      <c r="E38" s="682" t="s">
        <v>917</v>
      </c>
      <c r="F38" s="682">
        <v>2021.0</v>
      </c>
      <c r="G38" s="683">
        <v>0.007142855</v>
      </c>
      <c r="H38" s="683">
        <v>0.005961176</v>
      </c>
      <c r="I38" s="684">
        <v>0.008672634</v>
      </c>
      <c r="K38" s="681" t="s">
        <v>44</v>
      </c>
      <c r="L38" s="682" t="s">
        <v>917</v>
      </c>
      <c r="M38" s="682" t="s">
        <v>915</v>
      </c>
      <c r="N38" s="682" t="s">
        <v>926</v>
      </c>
      <c r="O38" s="682">
        <v>2021.0</v>
      </c>
      <c r="P38" s="682" t="s">
        <v>919</v>
      </c>
      <c r="Q38" s="685" t="s">
        <v>112</v>
      </c>
      <c r="R38" s="686">
        <v>28039.44413</v>
      </c>
      <c r="S38" s="686">
        <v>22409.03231</v>
      </c>
      <c r="T38" s="687">
        <v>35022.28443</v>
      </c>
      <c r="V38" s="681" t="s">
        <v>44</v>
      </c>
      <c r="W38" s="682" t="s">
        <v>921</v>
      </c>
      <c r="X38" s="682" t="s">
        <v>915</v>
      </c>
      <c r="Y38" s="682" t="s">
        <v>926</v>
      </c>
      <c r="Z38" s="682">
        <v>2021.0</v>
      </c>
      <c r="AA38" s="682" t="s">
        <v>919</v>
      </c>
      <c r="AB38" s="685" t="s">
        <v>112</v>
      </c>
      <c r="AC38" s="686">
        <v>1294.586663</v>
      </c>
      <c r="AD38" s="686">
        <v>856.8223097</v>
      </c>
      <c r="AE38" s="687">
        <v>1817.962769</v>
      </c>
      <c r="AF38" s="669"/>
    </row>
    <row r="39">
      <c r="A39" s="675"/>
      <c r="B39" s="681" t="s">
        <v>46</v>
      </c>
      <c r="C39" s="682" t="s">
        <v>915</v>
      </c>
      <c r="D39" s="682" t="s">
        <v>926</v>
      </c>
      <c r="E39" s="682" t="s">
        <v>917</v>
      </c>
      <c r="F39" s="682">
        <v>2021.0</v>
      </c>
      <c r="G39" s="683">
        <v>0.056076099</v>
      </c>
      <c r="H39" s="683">
        <v>0.044027653</v>
      </c>
      <c r="I39" s="684">
        <v>0.071472771</v>
      </c>
      <c r="K39" s="693" t="s">
        <v>45</v>
      </c>
      <c r="L39" s="694" t="s">
        <v>917</v>
      </c>
      <c r="M39" s="694" t="s">
        <v>915</v>
      </c>
      <c r="N39" s="694" t="s">
        <v>918</v>
      </c>
      <c r="O39" s="694">
        <v>2021.0</v>
      </c>
      <c r="P39" s="694" t="s">
        <v>919</v>
      </c>
      <c r="Q39" s="695" t="s">
        <v>112</v>
      </c>
      <c r="R39" s="696">
        <v>3818.331096</v>
      </c>
      <c r="S39" s="696">
        <v>3063.699707</v>
      </c>
      <c r="T39" s="697">
        <v>4775.383677</v>
      </c>
      <c r="V39" s="693" t="s">
        <v>45</v>
      </c>
      <c r="W39" s="694" t="s">
        <v>921</v>
      </c>
      <c r="X39" s="694" t="s">
        <v>915</v>
      </c>
      <c r="Y39" s="694" t="s">
        <v>918</v>
      </c>
      <c r="Z39" s="694">
        <v>2021.0</v>
      </c>
      <c r="AA39" s="694" t="s">
        <v>919</v>
      </c>
      <c r="AB39" s="695" t="s">
        <v>112</v>
      </c>
      <c r="AC39" s="696">
        <v>204.1472539</v>
      </c>
      <c r="AD39" s="696">
        <v>110.4918054</v>
      </c>
      <c r="AE39" s="697">
        <v>340.3682839</v>
      </c>
      <c r="AF39" s="669"/>
    </row>
    <row r="40">
      <c r="A40" s="675"/>
      <c r="B40" s="681" t="s">
        <v>47</v>
      </c>
      <c r="C40" s="682" t="s">
        <v>915</v>
      </c>
      <c r="D40" s="682" t="s">
        <v>916</v>
      </c>
      <c r="E40" s="682" t="s">
        <v>917</v>
      </c>
      <c r="F40" s="682">
        <v>2021.0</v>
      </c>
      <c r="G40" s="683">
        <v>0.097138916</v>
      </c>
      <c r="H40" s="683">
        <v>0.077809154</v>
      </c>
      <c r="I40" s="684">
        <v>0.121862575</v>
      </c>
      <c r="K40" s="693" t="s">
        <v>45</v>
      </c>
      <c r="L40" s="694" t="s">
        <v>917</v>
      </c>
      <c r="M40" s="694" t="s">
        <v>915</v>
      </c>
      <c r="N40" s="694" t="s">
        <v>923</v>
      </c>
      <c r="O40" s="694">
        <v>2021.0</v>
      </c>
      <c r="P40" s="694" t="s">
        <v>919</v>
      </c>
      <c r="Q40" s="695" t="s">
        <v>112</v>
      </c>
      <c r="R40" s="696">
        <v>4023.565418</v>
      </c>
      <c r="S40" s="696">
        <v>3193.64503</v>
      </c>
      <c r="T40" s="697">
        <v>5137.264918</v>
      </c>
      <c r="V40" s="681" t="s">
        <v>45</v>
      </c>
      <c r="W40" s="682" t="s">
        <v>921</v>
      </c>
      <c r="X40" s="682" t="s">
        <v>915</v>
      </c>
      <c r="Y40" s="682" t="s">
        <v>923</v>
      </c>
      <c r="Z40" s="682">
        <v>2021.0</v>
      </c>
      <c r="AA40" s="682" t="s">
        <v>919</v>
      </c>
      <c r="AB40" s="685" t="s">
        <v>112</v>
      </c>
      <c r="AC40" s="686">
        <v>23.56598928</v>
      </c>
      <c r="AD40" s="686">
        <v>14.53579626</v>
      </c>
      <c r="AE40" s="687">
        <v>38.14758045</v>
      </c>
      <c r="AF40" s="669"/>
    </row>
    <row r="41">
      <c r="A41" s="675"/>
      <c r="B41" s="681" t="s">
        <v>47</v>
      </c>
      <c r="C41" s="682" t="s">
        <v>915</v>
      </c>
      <c r="D41" s="682" t="s">
        <v>922</v>
      </c>
      <c r="E41" s="682" t="s">
        <v>917</v>
      </c>
      <c r="F41" s="682">
        <v>2021.0</v>
      </c>
      <c r="G41" s="683">
        <v>0.456880968</v>
      </c>
      <c r="H41" s="683">
        <v>0.399591578</v>
      </c>
      <c r="I41" s="684">
        <v>0.521803878</v>
      </c>
      <c r="K41" s="693" t="s">
        <v>45</v>
      </c>
      <c r="L41" s="694" t="s">
        <v>917</v>
      </c>
      <c r="M41" s="694" t="s">
        <v>915</v>
      </c>
      <c r="N41" s="694" t="s">
        <v>925</v>
      </c>
      <c r="O41" s="694">
        <v>2021.0</v>
      </c>
      <c r="P41" s="694" t="s">
        <v>919</v>
      </c>
      <c r="Q41" s="695" t="s">
        <v>112</v>
      </c>
      <c r="R41" s="696">
        <v>875.685956</v>
      </c>
      <c r="S41" s="696">
        <v>713.0307482</v>
      </c>
      <c r="T41" s="697">
        <v>1096.949264</v>
      </c>
      <c r="V41" s="693" t="s">
        <v>45</v>
      </c>
      <c r="W41" s="694" t="s">
        <v>921</v>
      </c>
      <c r="X41" s="694" t="s">
        <v>915</v>
      </c>
      <c r="Y41" s="694" t="s">
        <v>925</v>
      </c>
      <c r="Z41" s="694">
        <v>2021.0</v>
      </c>
      <c r="AA41" s="694" t="s">
        <v>919</v>
      </c>
      <c r="AB41" s="695" t="s">
        <v>112</v>
      </c>
      <c r="AC41" s="696">
        <v>32.90400786</v>
      </c>
      <c r="AD41" s="696">
        <v>21.8244515</v>
      </c>
      <c r="AE41" s="697">
        <v>50.23997117</v>
      </c>
      <c r="AF41" s="669"/>
    </row>
    <row r="42">
      <c r="A42" s="675"/>
      <c r="B42" s="681" t="s">
        <v>47</v>
      </c>
      <c r="C42" s="682" t="s">
        <v>915</v>
      </c>
      <c r="D42" s="682" t="s">
        <v>924</v>
      </c>
      <c r="E42" s="682" t="s">
        <v>917</v>
      </c>
      <c r="F42" s="682">
        <v>2021.0</v>
      </c>
      <c r="G42" s="683">
        <v>0.008139394</v>
      </c>
      <c r="H42" s="683">
        <v>0.006842267</v>
      </c>
      <c r="I42" s="684">
        <v>0.009894319</v>
      </c>
      <c r="K42" s="693" t="s">
        <v>45</v>
      </c>
      <c r="L42" s="694" t="s">
        <v>917</v>
      </c>
      <c r="M42" s="694" t="s">
        <v>915</v>
      </c>
      <c r="N42" s="694" t="s">
        <v>927</v>
      </c>
      <c r="O42" s="694">
        <v>2021.0</v>
      </c>
      <c r="P42" s="694" t="s">
        <v>919</v>
      </c>
      <c r="Q42" s="695" t="s">
        <v>112</v>
      </c>
      <c r="R42" s="696">
        <v>3242.226888</v>
      </c>
      <c r="S42" s="696">
        <v>2624.725671</v>
      </c>
      <c r="T42" s="697">
        <v>4072.815884</v>
      </c>
      <c r="V42" s="688" t="s">
        <v>45</v>
      </c>
      <c r="W42" s="689" t="s">
        <v>921</v>
      </c>
      <c r="X42" s="689" t="s">
        <v>915</v>
      </c>
      <c r="Y42" s="689" t="s">
        <v>927</v>
      </c>
      <c r="Z42" s="689">
        <v>2021.0</v>
      </c>
      <c r="AA42" s="689" t="s">
        <v>919</v>
      </c>
      <c r="AB42" s="690" t="s">
        <v>112</v>
      </c>
      <c r="AC42" s="691">
        <v>429.4072025</v>
      </c>
      <c r="AD42" s="691">
        <v>282.3561189</v>
      </c>
      <c r="AE42" s="692">
        <v>614.3643089</v>
      </c>
      <c r="AF42" s="669"/>
    </row>
    <row r="43">
      <c r="A43" s="675"/>
      <c r="B43" s="681" t="s">
        <v>47</v>
      </c>
      <c r="C43" s="682" t="s">
        <v>915</v>
      </c>
      <c r="D43" s="682" t="s">
        <v>926</v>
      </c>
      <c r="E43" s="682" t="s">
        <v>917</v>
      </c>
      <c r="F43" s="682">
        <v>2021.0</v>
      </c>
      <c r="G43" s="683">
        <v>0.07191419</v>
      </c>
      <c r="H43" s="683">
        <v>0.057503307</v>
      </c>
      <c r="I43" s="684">
        <v>0.090033062</v>
      </c>
      <c r="K43" s="693" t="s">
        <v>45</v>
      </c>
      <c r="L43" s="694" t="s">
        <v>917</v>
      </c>
      <c r="M43" s="694" t="s">
        <v>915</v>
      </c>
      <c r="N43" s="694" t="s">
        <v>926</v>
      </c>
      <c r="O43" s="694">
        <v>2021.0</v>
      </c>
      <c r="P43" s="694" t="s">
        <v>919</v>
      </c>
      <c r="Q43" s="695" t="s">
        <v>112</v>
      </c>
      <c r="R43" s="696">
        <v>11959.80936</v>
      </c>
      <c r="S43" s="696">
        <v>9643.242331</v>
      </c>
      <c r="T43" s="697">
        <v>14865.2221</v>
      </c>
      <c r="V43" s="681" t="s">
        <v>45</v>
      </c>
      <c r="W43" s="682" t="s">
        <v>921</v>
      </c>
      <c r="X43" s="682" t="s">
        <v>915</v>
      </c>
      <c r="Y43" s="682" t="s">
        <v>926</v>
      </c>
      <c r="Z43" s="682">
        <v>2021.0</v>
      </c>
      <c r="AA43" s="682" t="s">
        <v>919</v>
      </c>
      <c r="AB43" s="685" t="s">
        <v>112</v>
      </c>
      <c r="AC43" s="686">
        <v>690.0244535</v>
      </c>
      <c r="AD43" s="686">
        <v>452.1348126</v>
      </c>
      <c r="AE43" s="687">
        <v>989.9071631</v>
      </c>
      <c r="AF43" s="669"/>
    </row>
    <row r="44">
      <c r="A44" s="675"/>
      <c r="B44" s="681" t="s">
        <v>48</v>
      </c>
      <c r="C44" s="682" t="s">
        <v>915</v>
      </c>
      <c r="D44" s="682" t="s">
        <v>916</v>
      </c>
      <c r="E44" s="682" t="s">
        <v>917</v>
      </c>
      <c r="F44" s="682">
        <v>2021.0</v>
      </c>
      <c r="G44" s="683">
        <v>0.099413378</v>
      </c>
      <c r="H44" s="683">
        <v>0.078585502</v>
      </c>
      <c r="I44" s="684">
        <v>0.123107695</v>
      </c>
      <c r="K44" s="693" t="s">
        <v>46</v>
      </c>
      <c r="L44" s="694" t="s">
        <v>917</v>
      </c>
      <c r="M44" s="694" t="s">
        <v>915</v>
      </c>
      <c r="N44" s="694" t="s">
        <v>918</v>
      </c>
      <c r="O44" s="694">
        <v>2021.0</v>
      </c>
      <c r="P44" s="694" t="s">
        <v>919</v>
      </c>
      <c r="Q44" s="695" t="s">
        <v>112</v>
      </c>
      <c r="R44" s="696">
        <v>1112.646306</v>
      </c>
      <c r="S44" s="696">
        <v>864.2027202</v>
      </c>
      <c r="T44" s="697">
        <v>1444.205207</v>
      </c>
      <c r="V44" s="681" t="s">
        <v>46</v>
      </c>
      <c r="W44" s="682" t="s">
        <v>921</v>
      </c>
      <c r="X44" s="682" t="s">
        <v>915</v>
      </c>
      <c r="Y44" s="682" t="s">
        <v>918</v>
      </c>
      <c r="Z44" s="682">
        <v>2021.0</v>
      </c>
      <c r="AA44" s="682" t="s">
        <v>919</v>
      </c>
      <c r="AB44" s="685" t="s">
        <v>112</v>
      </c>
      <c r="AC44" s="686">
        <v>28.99300531</v>
      </c>
      <c r="AD44" s="686">
        <v>12.27658934</v>
      </c>
      <c r="AE44" s="687">
        <v>54.25363089</v>
      </c>
      <c r="AF44" s="669"/>
    </row>
    <row r="45">
      <c r="A45" s="675"/>
      <c r="B45" s="681" t="s">
        <v>48</v>
      </c>
      <c r="C45" s="682" t="s">
        <v>915</v>
      </c>
      <c r="D45" s="682" t="s">
        <v>922</v>
      </c>
      <c r="E45" s="682" t="s">
        <v>917</v>
      </c>
      <c r="F45" s="682">
        <v>2021.0</v>
      </c>
      <c r="G45" s="683">
        <v>0.480767348</v>
      </c>
      <c r="H45" s="683">
        <v>0.417491078</v>
      </c>
      <c r="I45" s="684">
        <v>0.546956099</v>
      </c>
      <c r="K45" s="693" t="s">
        <v>46</v>
      </c>
      <c r="L45" s="694" t="s">
        <v>917</v>
      </c>
      <c r="M45" s="694" t="s">
        <v>915</v>
      </c>
      <c r="N45" s="694" t="s">
        <v>923</v>
      </c>
      <c r="O45" s="694">
        <v>2021.0</v>
      </c>
      <c r="P45" s="694" t="s">
        <v>919</v>
      </c>
      <c r="Q45" s="695" t="s">
        <v>112</v>
      </c>
      <c r="R45" s="696">
        <v>1165.263712</v>
      </c>
      <c r="S45" s="696">
        <v>903.493517</v>
      </c>
      <c r="T45" s="697">
        <v>1520.766512</v>
      </c>
      <c r="V45" s="681" t="s">
        <v>46</v>
      </c>
      <c r="W45" s="682" t="s">
        <v>921</v>
      </c>
      <c r="X45" s="682" t="s">
        <v>915</v>
      </c>
      <c r="Y45" s="682" t="s">
        <v>923</v>
      </c>
      <c r="Z45" s="682">
        <v>2021.0</v>
      </c>
      <c r="AA45" s="682" t="s">
        <v>919</v>
      </c>
      <c r="AB45" s="685" t="s">
        <v>112</v>
      </c>
      <c r="AC45" s="686">
        <v>4.107578218</v>
      </c>
      <c r="AD45" s="686">
        <v>2.247267219</v>
      </c>
      <c r="AE45" s="687">
        <v>7.141360087</v>
      </c>
      <c r="AF45" s="669"/>
    </row>
    <row r="46">
      <c r="A46" s="675"/>
      <c r="B46" s="681" t="s">
        <v>48</v>
      </c>
      <c r="C46" s="682" t="s">
        <v>915</v>
      </c>
      <c r="D46" s="682" t="s">
        <v>924</v>
      </c>
      <c r="E46" s="682" t="s">
        <v>917</v>
      </c>
      <c r="F46" s="682">
        <v>2021.0</v>
      </c>
      <c r="G46" s="683">
        <v>0.009985465</v>
      </c>
      <c r="H46" s="683">
        <v>0.008582078</v>
      </c>
      <c r="I46" s="684">
        <v>0.011753377</v>
      </c>
      <c r="K46" s="693" t="s">
        <v>46</v>
      </c>
      <c r="L46" s="694" t="s">
        <v>917</v>
      </c>
      <c r="M46" s="694" t="s">
        <v>915</v>
      </c>
      <c r="N46" s="694" t="s">
        <v>925</v>
      </c>
      <c r="O46" s="694">
        <v>2021.0</v>
      </c>
      <c r="P46" s="694" t="s">
        <v>919</v>
      </c>
      <c r="Q46" s="695" t="s">
        <v>112</v>
      </c>
      <c r="R46" s="696">
        <v>259.6278203</v>
      </c>
      <c r="S46" s="696">
        <v>203.3924044</v>
      </c>
      <c r="T46" s="697">
        <v>335.3280704</v>
      </c>
      <c r="V46" s="681" t="s">
        <v>46</v>
      </c>
      <c r="W46" s="682" t="s">
        <v>921</v>
      </c>
      <c r="X46" s="682" t="s">
        <v>915</v>
      </c>
      <c r="Y46" s="682" t="s">
        <v>925</v>
      </c>
      <c r="Z46" s="682">
        <v>2021.0</v>
      </c>
      <c r="AA46" s="682" t="s">
        <v>919</v>
      </c>
      <c r="AB46" s="685" t="s">
        <v>112</v>
      </c>
      <c r="AC46" s="686">
        <v>4.058509018</v>
      </c>
      <c r="AD46" s="686">
        <v>2.031835444</v>
      </c>
      <c r="AE46" s="687">
        <v>7.325340674</v>
      </c>
      <c r="AF46" s="669"/>
    </row>
    <row r="47">
      <c r="A47" s="675"/>
      <c r="B47" s="681" t="s">
        <v>48</v>
      </c>
      <c r="C47" s="682" t="s">
        <v>915</v>
      </c>
      <c r="D47" s="682" t="s">
        <v>926</v>
      </c>
      <c r="E47" s="682" t="s">
        <v>917</v>
      </c>
      <c r="F47" s="682">
        <v>2021.0</v>
      </c>
      <c r="G47" s="683">
        <v>0.088568103</v>
      </c>
      <c r="H47" s="683">
        <v>0.06953911</v>
      </c>
      <c r="I47" s="684">
        <v>0.108654933</v>
      </c>
      <c r="K47" s="693" t="s">
        <v>46</v>
      </c>
      <c r="L47" s="694" t="s">
        <v>917</v>
      </c>
      <c r="M47" s="694" t="s">
        <v>915</v>
      </c>
      <c r="N47" s="694" t="s">
        <v>927</v>
      </c>
      <c r="O47" s="694">
        <v>2021.0</v>
      </c>
      <c r="P47" s="694" t="s">
        <v>919</v>
      </c>
      <c r="Q47" s="695" t="s">
        <v>112</v>
      </c>
      <c r="R47" s="696">
        <v>1125.422409</v>
      </c>
      <c r="S47" s="696">
        <v>873.2576506</v>
      </c>
      <c r="T47" s="697">
        <v>1461.353314</v>
      </c>
      <c r="V47" s="681" t="s">
        <v>46</v>
      </c>
      <c r="W47" s="682" t="s">
        <v>921</v>
      </c>
      <c r="X47" s="682" t="s">
        <v>915</v>
      </c>
      <c r="Y47" s="682" t="s">
        <v>927</v>
      </c>
      <c r="Z47" s="682">
        <v>2021.0</v>
      </c>
      <c r="AA47" s="682" t="s">
        <v>919</v>
      </c>
      <c r="AB47" s="685" t="s">
        <v>112</v>
      </c>
      <c r="AC47" s="686">
        <v>56.21920056</v>
      </c>
      <c r="AD47" s="686">
        <v>28.64034908</v>
      </c>
      <c r="AE47" s="687">
        <v>100.0391261</v>
      </c>
      <c r="AF47" s="669"/>
    </row>
    <row r="48">
      <c r="A48" s="675"/>
      <c r="B48" s="681" t="s">
        <v>49</v>
      </c>
      <c r="C48" s="682" t="s">
        <v>915</v>
      </c>
      <c r="D48" s="682" t="s">
        <v>916</v>
      </c>
      <c r="E48" s="682" t="s">
        <v>917</v>
      </c>
      <c r="F48" s="682">
        <v>2021.0</v>
      </c>
      <c r="G48" s="683">
        <v>0.105635339</v>
      </c>
      <c r="H48" s="683">
        <v>0.083753496</v>
      </c>
      <c r="I48" s="684">
        <v>0.134361859</v>
      </c>
      <c r="K48" s="693" t="s">
        <v>46</v>
      </c>
      <c r="L48" s="694" t="s">
        <v>917</v>
      </c>
      <c r="M48" s="694" t="s">
        <v>915</v>
      </c>
      <c r="N48" s="694" t="s">
        <v>926</v>
      </c>
      <c r="O48" s="694">
        <v>2021.0</v>
      </c>
      <c r="P48" s="694" t="s">
        <v>919</v>
      </c>
      <c r="Q48" s="695" t="s">
        <v>112</v>
      </c>
      <c r="R48" s="696">
        <v>3662.960247</v>
      </c>
      <c r="S48" s="696">
        <v>2855.915078</v>
      </c>
      <c r="T48" s="697">
        <v>4705.521124</v>
      </c>
      <c r="V48" s="681" t="s">
        <v>46</v>
      </c>
      <c r="W48" s="682" t="s">
        <v>921</v>
      </c>
      <c r="X48" s="682" t="s">
        <v>915</v>
      </c>
      <c r="Y48" s="682" t="s">
        <v>926</v>
      </c>
      <c r="Z48" s="682">
        <v>2021.0</v>
      </c>
      <c r="AA48" s="682" t="s">
        <v>919</v>
      </c>
      <c r="AB48" s="685" t="s">
        <v>112</v>
      </c>
      <c r="AC48" s="686">
        <v>93.3782931</v>
      </c>
      <c r="AD48" s="686">
        <v>49.34631336</v>
      </c>
      <c r="AE48" s="687">
        <v>156.5412368</v>
      </c>
      <c r="AF48" s="669"/>
    </row>
    <row r="49">
      <c r="A49" s="675"/>
      <c r="B49" s="681" t="s">
        <v>49</v>
      </c>
      <c r="C49" s="682" t="s">
        <v>915</v>
      </c>
      <c r="D49" s="682" t="s">
        <v>922</v>
      </c>
      <c r="E49" s="682" t="s">
        <v>917</v>
      </c>
      <c r="F49" s="682">
        <v>2021.0</v>
      </c>
      <c r="G49" s="683">
        <v>0.47770782</v>
      </c>
      <c r="H49" s="683">
        <v>0.423382372</v>
      </c>
      <c r="I49" s="684">
        <v>0.544481702</v>
      </c>
      <c r="K49" s="693" t="s">
        <v>47</v>
      </c>
      <c r="L49" s="694" t="s">
        <v>917</v>
      </c>
      <c r="M49" s="694" t="s">
        <v>915</v>
      </c>
      <c r="N49" s="694" t="s">
        <v>918</v>
      </c>
      <c r="O49" s="694">
        <v>2021.0</v>
      </c>
      <c r="P49" s="694" t="s">
        <v>919</v>
      </c>
      <c r="Q49" s="695" t="s">
        <v>112</v>
      </c>
      <c r="R49" s="696">
        <v>2372.72947</v>
      </c>
      <c r="S49" s="696">
        <v>1836.553609</v>
      </c>
      <c r="T49" s="697">
        <v>3045.077627</v>
      </c>
      <c r="V49" s="681" t="s">
        <v>47</v>
      </c>
      <c r="W49" s="682" t="s">
        <v>921</v>
      </c>
      <c r="X49" s="682" t="s">
        <v>915</v>
      </c>
      <c r="Y49" s="682" t="s">
        <v>918</v>
      </c>
      <c r="Z49" s="682">
        <v>2021.0</v>
      </c>
      <c r="AA49" s="682" t="s">
        <v>919</v>
      </c>
      <c r="AB49" s="685" t="s">
        <v>112</v>
      </c>
      <c r="AC49" s="686">
        <v>48.32400284</v>
      </c>
      <c r="AD49" s="686">
        <v>16.99824305</v>
      </c>
      <c r="AE49" s="687">
        <v>108.1655001</v>
      </c>
      <c r="AF49" s="669"/>
    </row>
    <row r="50">
      <c r="A50" s="675"/>
      <c r="B50" s="681" t="s">
        <v>49</v>
      </c>
      <c r="C50" s="682" t="s">
        <v>915</v>
      </c>
      <c r="D50" s="682" t="s">
        <v>924</v>
      </c>
      <c r="E50" s="682" t="s">
        <v>917</v>
      </c>
      <c r="F50" s="682">
        <v>2021.0</v>
      </c>
      <c r="G50" s="683">
        <v>0.007493412</v>
      </c>
      <c r="H50" s="683">
        <v>0.006295872</v>
      </c>
      <c r="I50" s="684">
        <v>0.009201481</v>
      </c>
      <c r="K50" s="693" t="s">
        <v>47</v>
      </c>
      <c r="L50" s="694" t="s">
        <v>917</v>
      </c>
      <c r="M50" s="694" t="s">
        <v>915</v>
      </c>
      <c r="N50" s="694" t="s">
        <v>923</v>
      </c>
      <c r="O50" s="694">
        <v>2021.0</v>
      </c>
      <c r="P50" s="694" t="s">
        <v>919</v>
      </c>
      <c r="Q50" s="695" t="s">
        <v>112</v>
      </c>
      <c r="R50" s="696">
        <v>3495.933473</v>
      </c>
      <c r="S50" s="696">
        <v>2765.434292</v>
      </c>
      <c r="T50" s="697">
        <v>4413.468634</v>
      </c>
      <c r="V50" s="681" t="s">
        <v>47</v>
      </c>
      <c r="W50" s="682" t="s">
        <v>921</v>
      </c>
      <c r="X50" s="682" t="s">
        <v>915</v>
      </c>
      <c r="Y50" s="682" t="s">
        <v>923</v>
      </c>
      <c r="Z50" s="682">
        <v>2021.0</v>
      </c>
      <c r="AA50" s="682" t="s">
        <v>919</v>
      </c>
      <c r="AB50" s="685" t="s">
        <v>112</v>
      </c>
      <c r="AC50" s="686">
        <v>9.718463401</v>
      </c>
      <c r="AD50" s="686">
        <v>4.788882451</v>
      </c>
      <c r="AE50" s="687">
        <v>17.90657129</v>
      </c>
      <c r="AF50" s="669"/>
    </row>
    <row r="51">
      <c r="A51" s="675"/>
      <c r="B51" s="681" t="s">
        <v>49</v>
      </c>
      <c r="C51" s="682" t="s">
        <v>915</v>
      </c>
      <c r="D51" s="682" t="s">
        <v>926</v>
      </c>
      <c r="E51" s="682" t="s">
        <v>917</v>
      </c>
      <c r="F51" s="682">
        <v>2021.0</v>
      </c>
      <c r="G51" s="683">
        <v>0.063369596</v>
      </c>
      <c r="H51" s="683">
        <v>0.050416364</v>
      </c>
      <c r="I51" s="684">
        <v>0.080212031</v>
      </c>
      <c r="K51" s="693" t="s">
        <v>47</v>
      </c>
      <c r="L51" s="694" t="s">
        <v>917</v>
      </c>
      <c r="M51" s="694" t="s">
        <v>915</v>
      </c>
      <c r="N51" s="694" t="s">
        <v>925</v>
      </c>
      <c r="O51" s="694">
        <v>2021.0</v>
      </c>
      <c r="P51" s="694" t="s">
        <v>919</v>
      </c>
      <c r="Q51" s="695" t="s">
        <v>112</v>
      </c>
      <c r="R51" s="696">
        <v>786.8936544</v>
      </c>
      <c r="S51" s="696">
        <v>626.4332198</v>
      </c>
      <c r="T51" s="697">
        <v>991.5318764</v>
      </c>
      <c r="V51" s="688" t="s">
        <v>47</v>
      </c>
      <c r="W51" s="689" t="s">
        <v>921</v>
      </c>
      <c r="X51" s="689" t="s">
        <v>915</v>
      </c>
      <c r="Y51" s="689" t="s">
        <v>925</v>
      </c>
      <c r="Z51" s="689">
        <v>2021.0</v>
      </c>
      <c r="AA51" s="689" t="s">
        <v>919</v>
      </c>
      <c r="AB51" s="690" t="s">
        <v>112</v>
      </c>
      <c r="AC51" s="691">
        <v>10.68371767</v>
      </c>
      <c r="AD51" s="691">
        <v>4.230634444</v>
      </c>
      <c r="AE51" s="692">
        <v>23.32026539</v>
      </c>
      <c r="AF51" s="669"/>
    </row>
    <row r="52">
      <c r="A52" s="675"/>
      <c r="B52" s="681" t="s">
        <v>50</v>
      </c>
      <c r="C52" s="682" t="s">
        <v>915</v>
      </c>
      <c r="D52" s="682" t="s">
        <v>916</v>
      </c>
      <c r="E52" s="682" t="s">
        <v>917</v>
      </c>
      <c r="F52" s="682">
        <v>2021.0</v>
      </c>
      <c r="G52" s="683">
        <v>0.086148215</v>
      </c>
      <c r="H52" s="683">
        <v>0.068120418</v>
      </c>
      <c r="I52" s="684">
        <v>0.110263107</v>
      </c>
      <c r="K52" s="693" t="s">
        <v>47</v>
      </c>
      <c r="L52" s="694" t="s">
        <v>917</v>
      </c>
      <c r="M52" s="694" t="s">
        <v>915</v>
      </c>
      <c r="N52" s="694" t="s">
        <v>927</v>
      </c>
      <c r="O52" s="694">
        <v>2021.0</v>
      </c>
      <c r="P52" s="694" t="s">
        <v>919</v>
      </c>
      <c r="Q52" s="695" t="s">
        <v>112</v>
      </c>
      <c r="R52" s="696">
        <v>2410.255794</v>
      </c>
      <c r="S52" s="696">
        <v>1895.366324</v>
      </c>
      <c r="T52" s="697">
        <v>3069.04422</v>
      </c>
      <c r="V52" s="681" t="s">
        <v>47</v>
      </c>
      <c r="W52" s="682" t="s">
        <v>921</v>
      </c>
      <c r="X52" s="682" t="s">
        <v>915</v>
      </c>
      <c r="Y52" s="682" t="s">
        <v>927</v>
      </c>
      <c r="Z52" s="682">
        <v>2021.0</v>
      </c>
      <c r="AA52" s="682" t="s">
        <v>919</v>
      </c>
      <c r="AB52" s="685" t="s">
        <v>112</v>
      </c>
      <c r="AC52" s="686">
        <v>109.1749972</v>
      </c>
      <c r="AD52" s="686">
        <v>43.87133039</v>
      </c>
      <c r="AE52" s="687">
        <v>223.2460297</v>
      </c>
      <c r="AF52" s="669"/>
    </row>
    <row r="53">
      <c r="A53" s="675"/>
      <c r="B53" s="681" t="s">
        <v>50</v>
      </c>
      <c r="C53" s="682" t="s">
        <v>915</v>
      </c>
      <c r="D53" s="682" t="s">
        <v>922</v>
      </c>
      <c r="E53" s="682" t="s">
        <v>917</v>
      </c>
      <c r="F53" s="682">
        <v>2021.0</v>
      </c>
      <c r="G53" s="683">
        <v>0.432905489</v>
      </c>
      <c r="H53" s="683">
        <v>0.376032823</v>
      </c>
      <c r="I53" s="684">
        <v>0.495990704</v>
      </c>
      <c r="K53" s="693" t="s">
        <v>47</v>
      </c>
      <c r="L53" s="694" t="s">
        <v>917</v>
      </c>
      <c r="M53" s="694" t="s">
        <v>915</v>
      </c>
      <c r="N53" s="694" t="s">
        <v>926</v>
      </c>
      <c r="O53" s="694">
        <v>2021.0</v>
      </c>
      <c r="P53" s="694" t="s">
        <v>919</v>
      </c>
      <c r="Q53" s="695" t="s">
        <v>112</v>
      </c>
      <c r="R53" s="696">
        <v>9065.812392</v>
      </c>
      <c r="S53" s="696">
        <v>7192.228173</v>
      </c>
      <c r="T53" s="697">
        <v>11454.3868</v>
      </c>
      <c r="V53" s="681" t="s">
        <v>47</v>
      </c>
      <c r="W53" s="682" t="s">
        <v>921</v>
      </c>
      <c r="X53" s="682" t="s">
        <v>915</v>
      </c>
      <c r="Y53" s="682" t="s">
        <v>926</v>
      </c>
      <c r="Z53" s="682">
        <v>2021.0</v>
      </c>
      <c r="AA53" s="682" t="s">
        <v>919</v>
      </c>
      <c r="AB53" s="685" t="s">
        <v>112</v>
      </c>
      <c r="AC53" s="686">
        <v>177.9011811</v>
      </c>
      <c r="AD53" s="686">
        <v>76.51189411</v>
      </c>
      <c r="AE53" s="687">
        <v>344.7516836</v>
      </c>
      <c r="AF53" s="669"/>
    </row>
    <row r="54">
      <c r="A54" s="675"/>
      <c r="B54" s="681" t="s">
        <v>50</v>
      </c>
      <c r="C54" s="682" t="s">
        <v>915</v>
      </c>
      <c r="D54" s="682" t="s">
        <v>924</v>
      </c>
      <c r="E54" s="682" t="s">
        <v>917</v>
      </c>
      <c r="F54" s="682">
        <v>2021.0</v>
      </c>
      <c r="G54" s="683">
        <v>0.007561169</v>
      </c>
      <c r="H54" s="683">
        <v>0.006577563</v>
      </c>
      <c r="I54" s="684">
        <v>0.008989013</v>
      </c>
      <c r="K54" s="693" t="s">
        <v>48</v>
      </c>
      <c r="L54" s="694" t="s">
        <v>917</v>
      </c>
      <c r="M54" s="694" t="s">
        <v>915</v>
      </c>
      <c r="N54" s="694" t="s">
        <v>918</v>
      </c>
      <c r="O54" s="694">
        <v>2021.0</v>
      </c>
      <c r="P54" s="694" t="s">
        <v>919</v>
      </c>
      <c r="Q54" s="695" t="s">
        <v>112</v>
      </c>
      <c r="R54" s="696">
        <v>2242.880188</v>
      </c>
      <c r="S54" s="696">
        <v>1650.488554</v>
      </c>
      <c r="T54" s="697">
        <v>2939.709275</v>
      </c>
      <c r="V54" s="681" t="s">
        <v>48</v>
      </c>
      <c r="W54" s="682" t="s">
        <v>921</v>
      </c>
      <c r="X54" s="682" t="s">
        <v>915</v>
      </c>
      <c r="Y54" s="682" t="s">
        <v>918</v>
      </c>
      <c r="Z54" s="682">
        <v>2021.0</v>
      </c>
      <c r="AA54" s="682" t="s">
        <v>919</v>
      </c>
      <c r="AB54" s="685" t="s">
        <v>112</v>
      </c>
      <c r="AC54" s="686">
        <v>65.3849587</v>
      </c>
      <c r="AD54" s="686">
        <v>25.26794126</v>
      </c>
      <c r="AE54" s="687">
        <v>130.4717801</v>
      </c>
      <c r="AF54" s="669"/>
    </row>
    <row r="55">
      <c r="A55" s="675"/>
      <c r="B55" s="681" t="s">
        <v>50</v>
      </c>
      <c r="C55" s="682" t="s">
        <v>915</v>
      </c>
      <c r="D55" s="682" t="s">
        <v>926</v>
      </c>
      <c r="E55" s="682" t="s">
        <v>917</v>
      </c>
      <c r="F55" s="682">
        <v>2021.0</v>
      </c>
      <c r="G55" s="683">
        <v>0.070656955</v>
      </c>
      <c r="H55" s="683">
        <v>0.05421083</v>
      </c>
      <c r="I55" s="684">
        <v>0.088764686</v>
      </c>
      <c r="K55" s="693" t="s">
        <v>48</v>
      </c>
      <c r="L55" s="694" t="s">
        <v>917</v>
      </c>
      <c r="M55" s="694" t="s">
        <v>915</v>
      </c>
      <c r="N55" s="694" t="s">
        <v>923</v>
      </c>
      <c r="O55" s="694">
        <v>2021.0</v>
      </c>
      <c r="P55" s="694" t="s">
        <v>919</v>
      </c>
      <c r="Q55" s="695" t="s">
        <v>112</v>
      </c>
      <c r="R55" s="696">
        <v>4216.039305</v>
      </c>
      <c r="S55" s="696">
        <v>3310.836155</v>
      </c>
      <c r="T55" s="697">
        <v>5214.299892</v>
      </c>
      <c r="V55" s="681" t="s">
        <v>48</v>
      </c>
      <c r="W55" s="682" t="s">
        <v>921</v>
      </c>
      <c r="X55" s="682" t="s">
        <v>915</v>
      </c>
      <c r="Y55" s="682" t="s">
        <v>923</v>
      </c>
      <c r="Z55" s="682">
        <v>2021.0</v>
      </c>
      <c r="AA55" s="682" t="s">
        <v>919</v>
      </c>
      <c r="AB55" s="685" t="s">
        <v>112</v>
      </c>
      <c r="AC55" s="686">
        <v>14.37802528</v>
      </c>
      <c r="AD55" s="686">
        <v>7.048282243</v>
      </c>
      <c r="AE55" s="687">
        <v>25.52128268</v>
      </c>
      <c r="AF55" s="669"/>
    </row>
    <row r="56">
      <c r="A56" s="675"/>
      <c r="B56" s="681" t="s">
        <v>51</v>
      </c>
      <c r="C56" s="682" t="s">
        <v>915</v>
      </c>
      <c r="D56" s="682" t="s">
        <v>916</v>
      </c>
      <c r="E56" s="682" t="s">
        <v>917</v>
      </c>
      <c r="F56" s="682">
        <v>2021.0</v>
      </c>
      <c r="G56" s="683">
        <v>0.100593783</v>
      </c>
      <c r="H56" s="683">
        <v>0.076208209</v>
      </c>
      <c r="I56" s="684">
        <v>0.129531159</v>
      </c>
      <c r="K56" s="693" t="s">
        <v>48</v>
      </c>
      <c r="L56" s="694" t="s">
        <v>917</v>
      </c>
      <c r="M56" s="694" t="s">
        <v>915</v>
      </c>
      <c r="N56" s="694" t="s">
        <v>925</v>
      </c>
      <c r="O56" s="694">
        <v>2021.0</v>
      </c>
      <c r="P56" s="694" t="s">
        <v>919</v>
      </c>
      <c r="Q56" s="695" t="s">
        <v>112</v>
      </c>
      <c r="R56" s="696">
        <v>757.1913164</v>
      </c>
      <c r="S56" s="696">
        <v>626.8213721</v>
      </c>
      <c r="T56" s="697">
        <v>897.7640432</v>
      </c>
      <c r="V56" s="681" t="s">
        <v>48</v>
      </c>
      <c r="W56" s="682" t="s">
        <v>921</v>
      </c>
      <c r="X56" s="682" t="s">
        <v>915</v>
      </c>
      <c r="Y56" s="682" t="s">
        <v>925</v>
      </c>
      <c r="Z56" s="682">
        <v>2021.0</v>
      </c>
      <c r="AA56" s="682" t="s">
        <v>919</v>
      </c>
      <c r="AB56" s="685" t="s">
        <v>112</v>
      </c>
      <c r="AC56" s="686">
        <v>12.83494185</v>
      </c>
      <c r="AD56" s="686">
        <v>6.411535918</v>
      </c>
      <c r="AE56" s="687">
        <v>24.37227614</v>
      </c>
      <c r="AF56" s="669"/>
    </row>
    <row r="57">
      <c r="A57" s="675"/>
      <c r="B57" s="681" t="s">
        <v>51</v>
      </c>
      <c r="C57" s="682" t="s">
        <v>915</v>
      </c>
      <c r="D57" s="682" t="s">
        <v>922</v>
      </c>
      <c r="E57" s="682" t="s">
        <v>917</v>
      </c>
      <c r="F57" s="682">
        <v>2021.0</v>
      </c>
      <c r="G57" s="683">
        <v>0.441133449</v>
      </c>
      <c r="H57" s="683">
        <v>0.383993571</v>
      </c>
      <c r="I57" s="684">
        <v>0.51993805</v>
      </c>
      <c r="K57" s="693" t="s">
        <v>48</v>
      </c>
      <c r="L57" s="694" t="s">
        <v>917</v>
      </c>
      <c r="M57" s="694" t="s">
        <v>915</v>
      </c>
      <c r="N57" s="694" t="s">
        <v>927</v>
      </c>
      <c r="O57" s="694">
        <v>2021.0</v>
      </c>
      <c r="P57" s="694" t="s">
        <v>919</v>
      </c>
      <c r="Q57" s="695" t="s">
        <v>112</v>
      </c>
      <c r="R57" s="696">
        <v>2874.741012</v>
      </c>
      <c r="S57" s="696">
        <v>2247.394033</v>
      </c>
      <c r="T57" s="697">
        <v>3541.997463</v>
      </c>
      <c r="V57" s="681" t="s">
        <v>48</v>
      </c>
      <c r="W57" s="682" t="s">
        <v>921</v>
      </c>
      <c r="X57" s="682" t="s">
        <v>915</v>
      </c>
      <c r="Y57" s="682" t="s">
        <v>927</v>
      </c>
      <c r="Z57" s="682">
        <v>2021.0</v>
      </c>
      <c r="AA57" s="682" t="s">
        <v>919</v>
      </c>
      <c r="AB57" s="685" t="s">
        <v>112</v>
      </c>
      <c r="AC57" s="686">
        <v>170.6233263</v>
      </c>
      <c r="AD57" s="686">
        <v>87.79938419</v>
      </c>
      <c r="AE57" s="687">
        <v>300.0736775</v>
      </c>
      <c r="AF57" s="669"/>
    </row>
    <row r="58">
      <c r="A58" s="675"/>
      <c r="B58" s="681" t="s">
        <v>51</v>
      </c>
      <c r="C58" s="682" t="s">
        <v>915</v>
      </c>
      <c r="D58" s="682" t="s">
        <v>924</v>
      </c>
      <c r="E58" s="682" t="s">
        <v>917</v>
      </c>
      <c r="F58" s="682">
        <v>2021.0</v>
      </c>
      <c r="G58" s="683">
        <v>0.006348242</v>
      </c>
      <c r="H58" s="683">
        <v>0.005240203</v>
      </c>
      <c r="I58" s="684">
        <v>0.007760945</v>
      </c>
      <c r="K58" s="693" t="s">
        <v>48</v>
      </c>
      <c r="L58" s="694" t="s">
        <v>917</v>
      </c>
      <c r="M58" s="694" t="s">
        <v>915</v>
      </c>
      <c r="N58" s="694" t="s">
        <v>926</v>
      </c>
      <c r="O58" s="694">
        <v>2021.0</v>
      </c>
      <c r="P58" s="694" t="s">
        <v>919</v>
      </c>
      <c r="Q58" s="695" t="s">
        <v>112</v>
      </c>
      <c r="R58" s="696">
        <v>10090.85182</v>
      </c>
      <c r="S58" s="696">
        <v>7847.189294</v>
      </c>
      <c r="T58" s="697">
        <v>12492.85926</v>
      </c>
      <c r="V58" s="681" t="s">
        <v>48</v>
      </c>
      <c r="W58" s="682" t="s">
        <v>921</v>
      </c>
      <c r="X58" s="682" t="s">
        <v>915</v>
      </c>
      <c r="Y58" s="682" t="s">
        <v>926</v>
      </c>
      <c r="Z58" s="682">
        <v>2021.0</v>
      </c>
      <c r="AA58" s="682" t="s">
        <v>919</v>
      </c>
      <c r="AB58" s="685" t="s">
        <v>112</v>
      </c>
      <c r="AC58" s="686">
        <v>263.2212521</v>
      </c>
      <c r="AD58" s="686">
        <v>141.3328167</v>
      </c>
      <c r="AE58" s="687">
        <v>459.4256539</v>
      </c>
      <c r="AF58" s="669"/>
    </row>
    <row r="59">
      <c r="A59" s="675"/>
      <c r="B59" s="681" t="s">
        <v>51</v>
      </c>
      <c r="C59" s="682" t="s">
        <v>915</v>
      </c>
      <c r="D59" s="682" t="s">
        <v>926</v>
      </c>
      <c r="E59" s="682" t="s">
        <v>917</v>
      </c>
      <c r="F59" s="682">
        <v>2021.0</v>
      </c>
      <c r="G59" s="683">
        <v>0.044891216</v>
      </c>
      <c r="H59" s="683">
        <v>0.036182131</v>
      </c>
      <c r="I59" s="684">
        <v>0.055442876</v>
      </c>
      <c r="K59" s="693" t="s">
        <v>49</v>
      </c>
      <c r="L59" s="694" t="s">
        <v>917</v>
      </c>
      <c r="M59" s="694" t="s">
        <v>915</v>
      </c>
      <c r="N59" s="694" t="s">
        <v>918</v>
      </c>
      <c r="O59" s="694">
        <v>2021.0</v>
      </c>
      <c r="P59" s="694" t="s">
        <v>919</v>
      </c>
      <c r="Q59" s="695" t="s">
        <v>112</v>
      </c>
      <c r="R59" s="696">
        <v>2556.159264</v>
      </c>
      <c r="S59" s="696">
        <v>1930.771661</v>
      </c>
      <c r="T59" s="697">
        <v>3374.582879</v>
      </c>
      <c r="V59" s="681" t="s">
        <v>49</v>
      </c>
      <c r="W59" s="682" t="s">
        <v>921</v>
      </c>
      <c r="X59" s="682" t="s">
        <v>915</v>
      </c>
      <c r="Y59" s="682" t="s">
        <v>918</v>
      </c>
      <c r="Z59" s="682">
        <v>2021.0</v>
      </c>
      <c r="AA59" s="682" t="s">
        <v>919</v>
      </c>
      <c r="AB59" s="685" t="s">
        <v>112</v>
      </c>
      <c r="AC59" s="686">
        <v>36.37118467</v>
      </c>
      <c r="AD59" s="686">
        <v>14.78433167</v>
      </c>
      <c r="AE59" s="687">
        <v>86.29951968</v>
      </c>
      <c r="AF59" s="669"/>
    </row>
    <row r="60">
      <c r="A60" s="675"/>
      <c r="B60" s="681" t="s">
        <v>52</v>
      </c>
      <c r="C60" s="682" t="s">
        <v>915</v>
      </c>
      <c r="D60" s="682" t="s">
        <v>916</v>
      </c>
      <c r="E60" s="682" t="s">
        <v>917</v>
      </c>
      <c r="F60" s="682">
        <v>2021.0</v>
      </c>
      <c r="G60" s="683">
        <v>0.086224712</v>
      </c>
      <c r="H60" s="683">
        <v>0.068494233</v>
      </c>
      <c r="I60" s="684">
        <v>0.110347039</v>
      </c>
      <c r="K60" s="693" t="s">
        <v>49</v>
      </c>
      <c r="L60" s="694" t="s">
        <v>917</v>
      </c>
      <c r="M60" s="694" t="s">
        <v>915</v>
      </c>
      <c r="N60" s="694" t="s">
        <v>923</v>
      </c>
      <c r="O60" s="694">
        <v>2021.0</v>
      </c>
      <c r="P60" s="694" t="s">
        <v>919</v>
      </c>
      <c r="Q60" s="695" t="s">
        <v>112</v>
      </c>
      <c r="R60" s="696">
        <v>2472.28251</v>
      </c>
      <c r="S60" s="696">
        <v>2051.819337</v>
      </c>
      <c r="T60" s="697">
        <v>2988.667702</v>
      </c>
      <c r="V60" s="681" t="s">
        <v>49</v>
      </c>
      <c r="W60" s="682" t="s">
        <v>921</v>
      </c>
      <c r="X60" s="682" t="s">
        <v>915</v>
      </c>
      <c r="Y60" s="682" t="s">
        <v>923</v>
      </c>
      <c r="Z60" s="682">
        <v>2021.0</v>
      </c>
      <c r="AA60" s="682" t="s">
        <v>919</v>
      </c>
      <c r="AB60" s="685" t="s">
        <v>112</v>
      </c>
      <c r="AC60" s="686">
        <v>4.227489024</v>
      </c>
      <c r="AD60" s="686">
        <v>2.045780811</v>
      </c>
      <c r="AE60" s="687">
        <v>8.088812</v>
      </c>
      <c r="AF60" s="669"/>
    </row>
    <row r="61">
      <c r="A61" s="675"/>
      <c r="B61" s="681" t="s">
        <v>52</v>
      </c>
      <c r="C61" s="682" t="s">
        <v>915</v>
      </c>
      <c r="D61" s="682" t="s">
        <v>922</v>
      </c>
      <c r="E61" s="682" t="s">
        <v>917</v>
      </c>
      <c r="F61" s="682">
        <v>2021.0</v>
      </c>
      <c r="G61" s="683">
        <v>0.468702275</v>
      </c>
      <c r="H61" s="683">
        <v>0.407115905</v>
      </c>
      <c r="I61" s="684">
        <v>0.541348776</v>
      </c>
      <c r="K61" s="693" t="s">
        <v>49</v>
      </c>
      <c r="L61" s="694" t="s">
        <v>917</v>
      </c>
      <c r="M61" s="694" t="s">
        <v>915</v>
      </c>
      <c r="N61" s="694" t="s">
        <v>925</v>
      </c>
      <c r="O61" s="694">
        <v>2021.0</v>
      </c>
      <c r="P61" s="694" t="s">
        <v>919</v>
      </c>
      <c r="Q61" s="695" t="s">
        <v>112</v>
      </c>
      <c r="R61" s="696">
        <v>514.8482486</v>
      </c>
      <c r="S61" s="696">
        <v>384.6721956</v>
      </c>
      <c r="T61" s="697">
        <v>692.0532818</v>
      </c>
      <c r="V61" s="681" t="s">
        <v>49</v>
      </c>
      <c r="W61" s="682" t="s">
        <v>921</v>
      </c>
      <c r="X61" s="682" t="s">
        <v>915</v>
      </c>
      <c r="Y61" s="682" t="s">
        <v>925</v>
      </c>
      <c r="Z61" s="682">
        <v>2021.0</v>
      </c>
      <c r="AA61" s="682" t="s">
        <v>919</v>
      </c>
      <c r="AB61" s="685" t="s">
        <v>112</v>
      </c>
      <c r="AC61" s="686">
        <v>4.108390579</v>
      </c>
      <c r="AD61" s="686">
        <v>1.62823759</v>
      </c>
      <c r="AE61" s="687">
        <v>9.800527587</v>
      </c>
      <c r="AF61" s="669"/>
    </row>
    <row r="62">
      <c r="A62" s="675"/>
      <c r="B62" s="681" t="s">
        <v>52</v>
      </c>
      <c r="C62" s="682" t="s">
        <v>915</v>
      </c>
      <c r="D62" s="682" t="s">
        <v>924</v>
      </c>
      <c r="E62" s="682" t="s">
        <v>917</v>
      </c>
      <c r="F62" s="682">
        <v>2021.0</v>
      </c>
      <c r="G62" s="683">
        <v>0.00766532</v>
      </c>
      <c r="H62" s="683">
        <v>0.006388985</v>
      </c>
      <c r="I62" s="684">
        <v>0.009415543</v>
      </c>
      <c r="K62" s="693" t="s">
        <v>49</v>
      </c>
      <c r="L62" s="694" t="s">
        <v>917</v>
      </c>
      <c r="M62" s="694" t="s">
        <v>915</v>
      </c>
      <c r="N62" s="694" t="s">
        <v>927</v>
      </c>
      <c r="O62" s="694">
        <v>2021.0</v>
      </c>
      <c r="P62" s="694" t="s">
        <v>919</v>
      </c>
      <c r="Q62" s="695" t="s">
        <v>112</v>
      </c>
      <c r="R62" s="696">
        <v>1365.177462</v>
      </c>
      <c r="S62" s="696">
        <v>984.997017</v>
      </c>
      <c r="T62" s="697">
        <v>1906.955522</v>
      </c>
      <c r="V62" s="681" t="s">
        <v>49</v>
      </c>
      <c r="W62" s="682" t="s">
        <v>921</v>
      </c>
      <c r="X62" s="682" t="s">
        <v>915</v>
      </c>
      <c r="Y62" s="682" t="s">
        <v>927</v>
      </c>
      <c r="Z62" s="682">
        <v>2021.0</v>
      </c>
      <c r="AA62" s="682" t="s">
        <v>919</v>
      </c>
      <c r="AB62" s="685" t="s">
        <v>112</v>
      </c>
      <c r="AC62" s="686">
        <v>29.84144269</v>
      </c>
      <c r="AD62" s="686">
        <v>10.59203708</v>
      </c>
      <c r="AE62" s="687">
        <v>71.1644464</v>
      </c>
      <c r="AF62" s="669"/>
    </row>
    <row r="63">
      <c r="A63" s="675"/>
      <c r="B63" s="681" t="s">
        <v>52</v>
      </c>
      <c r="C63" s="682" t="s">
        <v>915</v>
      </c>
      <c r="D63" s="682" t="s">
        <v>926</v>
      </c>
      <c r="E63" s="682" t="s">
        <v>917</v>
      </c>
      <c r="F63" s="682">
        <v>2021.0</v>
      </c>
      <c r="G63" s="683">
        <v>0.064340544</v>
      </c>
      <c r="H63" s="683">
        <v>0.050774668</v>
      </c>
      <c r="I63" s="684">
        <v>0.081891707</v>
      </c>
      <c r="K63" s="693" t="s">
        <v>49</v>
      </c>
      <c r="L63" s="694" t="s">
        <v>917</v>
      </c>
      <c r="M63" s="694" t="s">
        <v>915</v>
      </c>
      <c r="N63" s="694" t="s">
        <v>926</v>
      </c>
      <c r="O63" s="694">
        <v>2021.0</v>
      </c>
      <c r="P63" s="694" t="s">
        <v>919</v>
      </c>
      <c r="Q63" s="695" t="s">
        <v>112</v>
      </c>
      <c r="R63" s="696">
        <v>6908.467485</v>
      </c>
      <c r="S63" s="696">
        <v>5458.715468</v>
      </c>
      <c r="T63" s="697">
        <v>8815.01843</v>
      </c>
      <c r="V63" s="681" t="s">
        <v>49</v>
      </c>
      <c r="W63" s="682" t="s">
        <v>921</v>
      </c>
      <c r="X63" s="682" t="s">
        <v>915</v>
      </c>
      <c r="Y63" s="682" t="s">
        <v>926</v>
      </c>
      <c r="Z63" s="682">
        <v>2021.0</v>
      </c>
      <c r="AA63" s="682" t="s">
        <v>919</v>
      </c>
      <c r="AB63" s="685" t="s">
        <v>112</v>
      </c>
      <c r="AC63" s="686">
        <v>74.54850696</v>
      </c>
      <c r="AD63" s="686">
        <v>32.72270205</v>
      </c>
      <c r="AE63" s="687">
        <v>164.852219</v>
      </c>
      <c r="AF63" s="669"/>
    </row>
    <row r="64">
      <c r="A64" s="675"/>
      <c r="B64" s="681" t="s">
        <v>28</v>
      </c>
      <c r="C64" s="682" t="s">
        <v>915</v>
      </c>
      <c r="D64" s="682" t="s">
        <v>916</v>
      </c>
      <c r="E64" s="682" t="s">
        <v>917</v>
      </c>
      <c r="F64" s="682">
        <v>2021.0</v>
      </c>
      <c r="G64" s="683">
        <v>0.128821174</v>
      </c>
      <c r="H64" s="683">
        <v>0.104751872</v>
      </c>
      <c r="I64" s="684">
        <v>0.159876095</v>
      </c>
      <c r="K64" s="693" t="s">
        <v>50</v>
      </c>
      <c r="L64" s="694" t="s">
        <v>917</v>
      </c>
      <c r="M64" s="694" t="s">
        <v>915</v>
      </c>
      <c r="N64" s="694" t="s">
        <v>918</v>
      </c>
      <c r="O64" s="694">
        <v>2021.0</v>
      </c>
      <c r="P64" s="694" t="s">
        <v>919</v>
      </c>
      <c r="Q64" s="695" t="s">
        <v>112</v>
      </c>
      <c r="R64" s="696">
        <v>941.9382129</v>
      </c>
      <c r="S64" s="696">
        <v>645.999084</v>
      </c>
      <c r="T64" s="697">
        <v>1294.953836</v>
      </c>
      <c r="V64" s="681" t="s">
        <v>50</v>
      </c>
      <c r="W64" s="682" t="s">
        <v>921</v>
      </c>
      <c r="X64" s="682" t="s">
        <v>915</v>
      </c>
      <c r="Y64" s="682" t="s">
        <v>918</v>
      </c>
      <c r="Z64" s="682">
        <v>2021.0</v>
      </c>
      <c r="AA64" s="682" t="s">
        <v>919</v>
      </c>
      <c r="AB64" s="685" t="s">
        <v>112</v>
      </c>
      <c r="AC64" s="686">
        <v>15.95578682</v>
      </c>
      <c r="AD64" s="686">
        <v>5.537980702</v>
      </c>
      <c r="AE64" s="687">
        <v>34.91642838</v>
      </c>
      <c r="AF64" s="669"/>
    </row>
    <row r="65">
      <c r="A65" s="675"/>
      <c r="B65" s="681" t="s">
        <v>28</v>
      </c>
      <c r="C65" s="682" t="s">
        <v>915</v>
      </c>
      <c r="D65" s="682" t="s">
        <v>922</v>
      </c>
      <c r="E65" s="682" t="s">
        <v>917</v>
      </c>
      <c r="F65" s="682">
        <v>2021.0</v>
      </c>
      <c r="G65" s="683">
        <v>0.596913371</v>
      </c>
      <c r="H65" s="683">
        <v>0.536153951</v>
      </c>
      <c r="I65" s="684">
        <v>0.670711073</v>
      </c>
      <c r="K65" s="693" t="s">
        <v>50</v>
      </c>
      <c r="L65" s="694" t="s">
        <v>917</v>
      </c>
      <c r="M65" s="694" t="s">
        <v>915</v>
      </c>
      <c r="N65" s="694" t="s">
        <v>923</v>
      </c>
      <c r="O65" s="694">
        <v>2021.0</v>
      </c>
      <c r="P65" s="694" t="s">
        <v>919</v>
      </c>
      <c r="Q65" s="695" t="s">
        <v>112</v>
      </c>
      <c r="R65" s="696">
        <v>1427.47156</v>
      </c>
      <c r="S65" s="696">
        <v>1124.860385</v>
      </c>
      <c r="T65" s="697">
        <v>1765.855361</v>
      </c>
      <c r="V65" s="681" t="s">
        <v>50</v>
      </c>
      <c r="W65" s="682" t="s">
        <v>921</v>
      </c>
      <c r="X65" s="682" t="s">
        <v>915</v>
      </c>
      <c r="Y65" s="682" t="s">
        <v>923</v>
      </c>
      <c r="Z65" s="682">
        <v>2021.0</v>
      </c>
      <c r="AA65" s="682" t="s">
        <v>919</v>
      </c>
      <c r="AB65" s="685" t="s">
        <v>112</v>
      </c>
      <c r="AC65" s="686">
        <v>3.622453428</v>
      </c>
      <c r="AD65" s="686">
        <v>1.675909795</v>
      </c>
      <c r="AE65" s="687">
        <v>6.779926293</v>
      </c>
      <c r="AF65" s="669"/>
    </row>
    <row r="66">
      <c r="A66" s="675"/>
      <c r="B66" s="681" t="s">
        <v>28</v>
      </c>
      <c r="C66" s="682" t="s">
        <v>915</v>
      </c>
      <c r="D66" s="682" t="s">
        <v>924</v>
      </c>
      <c r="E66" s="682" t="s">
        <v>917</v>
      </c>
      <c r="F66" s="682">
        <v>2021.0</v>
      </c>
      <c r="G66" s="683">
        <v>0.012929085</v>
      </c>
      <c r="H66" s="683">
        <v>0.011010674</v>
      </c>
      <c r="I66" s="684">
        <v>0.015167993</v>
      </c>
      <c r="K66" s="693" t="s">
        <v>50</v>
      </c>
      <c r="L66" s="694" t="s">
        <v>917</v>
      </c>
      <c r="M66" s="694" t="s">
        <v>915</v>
      </c>
      <c r="N66" s="694" t="s">
        <v>925</v>
      </c>
      <c r="O66" s="694">
        <v>2021.0</v>
      </c>
      <c r="P66" s="694" t="s">
        <v>919</v>
      </c>
      <c r="Q66" s="695" t="s">
        <v>112</v>
      </c>
      <c r="R66" s="696">
        <v>228.9845851</v>
      </c>
      <c r="S66" s="696">
        <v>178.5911782</v>
      </c>
      <c r="T66" s="697">
        <v>283.2111146</v>
      </c>
      <c r="V66" s="681" t="s">
        <v>50</v>
      </c>
      <c r="W66" s="682" t="s">
        <v>921</v>
      </c>
      <c r="X66" s="682" t="s">
        <v>915</v>
      </c>
      <c r="Y66" s="682" t="s">
        <v>925</v>
      </c>
      <c r="Z66" s="682">
        <v>2021.0</v>
      </c>
      <c r="AA66" s="682" t="s">
        <v>919</v>
      </c>
      <c r="AB66" s="685" t="s">
        <v>112</v>
      </c>
      <c r="AC66" s="686">
        <v>2.740234995</v>
      </c>
      <c r="AD66" s="686">
        <v>1.194994775</v>
      </c>
      <c r="AE66" s="687">
        <v>6.072903169</v>
      </c>
      <c r="AF66" s="669"/>
    </row>
    <row r="67">
      <c r="A67" s="675"/>
      <c r="B67" s="681" t="s">
        <v>28</v>
      </c>
      <c r="C67" s="682" t="s">
        <v>915</v>
      </c>
      <c r="D67" s="682" t="s">
        <v>926</v>
      </c>
      <c r="E67" s="682" t="s">
        <v>917</v>
      </c>
      <c r="F67" s="682">
        <v>2021.0</v>
      </c>
      <c r="G67" s="683">
        <v>0.12251321</v>
      </c>
      <c r="H67" s="683">
        <v>0.103348593</v>
      </c>
      <c r="I67" s="684">
        <v>0.14301102</v>
      </c>
      <c r="K67" s="693" t="s">
        <v>50</v>
      </c>
      <c r="L67" s="694" t="s">
        <v>917</v>
      </c>
      <c r="M67" s="694" t="s">
        <v>915</v>
      </c>
      <c r="N67" s="694" t="s">
        <v>927</v>
      </c>
      <c r="O67" s="694">
        <v>2021.0</v>
      </c>
      <c r="P67" s="694" t="s">
        <v>919</v>
      </c>
      <c r="Q67" s="695" t="s">
        <v>112</v>
      </c>
      <c r="R67" s="696">
        <v>764.1816691</v>
      </c>
      <c r="S67" s="696">
        <v>600.2694092</v>
      </c>
      <c r="T67" s="697">
        <v>940.6030377</v>
      </c>
      <c r="V67" s="681" t="s">
        <v>50</v>
      </c>
      <c r="W67" s="682" t="s">
        <v>921</v>
      </c>
      <c r="X67" s="682" t="s">
        <v>915</v>
      </c>
      <c r="Y67" s="682" t="s">
        <v>927</v>
      </c>
      <c r="Z67" s="682">
        <v>2021.0</v>
      </c>
      <c r="AA67" s="682" t="s">
        <v>919</v>
      </c>
      <c r="AB67" s="685" t="s">
        <v>112</v>
      </c>
      <c r="AC67" s="686">
        <v>25.76987416</v>
      </c>
      <c r="AD67" s="686">
        <v>9.512877196</v>
      </c>
      <c r="AE67" s="687">
        <v>52.73869066</v>
      </c>
      <c r="AF67" s="669"/>
    </row>
    <row r="68">
      <c r="A68" s="675"/>
      <c r="B68" s="681" t="s">
        <v>53</v>
      </c>
      <c r="C68" s="682" t="s">
        <v>915</v>
      </c>
      <c r="D68" s="682" t="s">
        <v>916</v>
      </c>
      <c r="E68" s="682" t="s">
        <v>917</v>
      </c>
      <c r="F68" s="682">
        <v>2021.0</v>
      </c>
      <c r="G68" s="683">
        <v>0.112515939</v>
      </c>
      <c r="H68" s="683">
        <v>0.085260119</v>
      </c>
      <c r="I68" s="684">
        <v>0.148133957</v>
      </c>
      <c r="K68" s="693" t="s">
        <v>50</v>
      </c>
      <c r="L68" s="694" t="s">
        <v>917</v>
      </c>
      <c r="M68" s="694" t="s">
        <v>915</v>
      </c>
      <c r="N68" s="694" t="s">
        <v>926</v>
      </c>
      <c r="O68" s="694">
        <v>2021.0</v>
      </c>
      <c r="P68" s="694" t="s">
        <v>919</v>
      </c>
      <c r="Q68" s="695" t="s">
        <v>112</v>
      </c>
      <c r="R68" s="696">
        <v>3362.576027</v>
      </c>
      <c r="S68" s="696">
        <v>2555.35425</v>
      </c>
      <c r="T68" s="697">
        <v>4262.406025</v>
      </c>
      <c r="V68" s="681" t="s">
        <v>50</v>
      </c>
      <c r="W68" s="682" t="s">
        <v>921</v>
      </c>
      <c r="X68" s="682" t="s">
        <v>915</v>
      </c>
      <c r="Y68" s="682" t="s">
        <v>926</v>
      </c>
      <c r="Z68" s="682">
        <v>2021.0</v>
      </c>
      <c r="AA68" s="682" t="s">
        <v>919</v>
      </c>
      <c r="AB68" s="685" t="s">
        <v>112</v>
      </c>
      <c r="AC68" s="686">
        <v>48.08834941</v>
      </c>
      <c r="AD68" s="686">
        <v>20.57792907</v>
      </c>
      <c r="AE68" s="687">
        <v>96.88241252</v>
      </c>
      <c r="AF68" s="669"/>
    </row>
    <row r="69">
      <c r="A69" s="675"/>
      <c r="B69" s="681" t="s">
        <v>53</v>
      </c>
      <c r="C69" s="682" t="s">
        <v>915</v>
      </c>
      <c r="D69" s="682" t="s">
        <v>922</v>
      </c>
      <c r="E69" s="682" t="s">
        <v>917</v>
      </c>
      <c r="F69" s="682">
        <v>2021.0</v>
      </c>
      <c r="G69" s="683">
        <v>0.442080978</v>
      </c>
      <c r="H69" s="683">
        <v>0.385663159</v>
      </c>
      <c r="I69" s="684">
        <v>0.520685962</v>
      </c>
      <c r="K69" s="693" t="s">
        <v>51</v>
      </c>
      <c r="L69" s="694" t="s">
        <v>917</v>
      </c>
      <c r="M69" s="694" t="s">
        <v>915</v>
      </c>
      <c r="N69" s="694" t="s">
        <v>918</v>
      </c>
      <c r="O69" s="694">
        <v>2021.0</v>
      </c>
      <c r="P69" s="694" t="s">
        <v>919</v>
      </c>
      <c r="Q69" s="695" t="s">
        <v>112</v>
      </c>
      <c r="R69" s="696">
        <v>1625.442845</v>
      </c>
      <c r="S69" s="696">
        <v>1273.996861</v>
      </c>
      <c r="T69" s="697">
        <v>2065.551298</v>
      </c>
      <c r="V69" s="681" t="s">
        <v>51</v>
      </c>
      <c r="W69" s="682" t="s">
        <v>921</v>
      </c>
      <c r="X69" s="682" t="s">
        <v>915</v>
      </c>
      <c r="Y69" s="682" t="s">
        <v>918</v>
      </c>
      <c r="Z69" s="682">
        <v>2021.0</v>
      </c>
      <c r="AA69" s="682" t="s">
        <v>919</v>
      </c>
      <c r="AB69" s="685" t="s">
        <v>112</v>
      </c>
      <c r="AC69" s="686">
        <v>28.44266926</v>
      </c>
      <c r="AD69" s="686">
        <v>10.60789395</v>
      </c>
      <c r="AE69" s="687">
        <v>57.02901567</v>
      </c>
      <c r="AF69" s="669"/>
    </row>
    <row r="70">
      <c r="A70" s="675"/>
      <c r="B70" s="681" t="s">
        <v>53</v>
      </c>
      <c r="C70" s="682" t="s">
        <v>915</v>
      </c>
      <c r="D70" s="682" t="s">
        <v>924</v>
      </c>
      <c r="E70" s="682" t="s">
        <v>917</v>
      </c>
      <c r="F70" s="682">
        <v>2021.0</v>
      </c>
      <c r="G70" s="683">
        <v>0.006807961</v>
      </c>
      <c r="H70" s="683">
        <v>0.005630735</v>
      </c>
      <c r="I70" s="684">
        <v>0.008473087</v>
      </c>
      <c r="K70" s="693" t="s">
        <v>51</v>
      </c>
      <c r="L70" s="694" t="s">
        <v>917</v>
      </c>
      <c r="M70" s="694" t="s">
        <v>915</v>
      </c>
      <c r="N70" s="694" t="s">
        <v>923</v>
      </c>
      <c r="O70" s="694">
        <v>2021.0</v>
      </c>
      <c r="P70" s="694" t="s">
        <v>919</v>
      </c>
      <c r="Q70" s="695" t="s">
        <v>112</v>
      </c>
      <c r="R70" s="696">
        <v>2046.137782</v>
      </c>
      <c r="S70" s="696">
        <v>1667.754621</v>
      </c>
      <c r="T70" s="697">
        <v>2535.312402</v>
      </c>
      <c r="V70" s="681" t="s">
        <v>51</v>
      </c>
      <c r="W70" s="682" t="s">
        <v>921</v>
      </c>
      <c r="X70" s="682" t="s">
        <v>915</v>
      </c>
      <c r="Y70" s="682" t="s">
        <v>923</v>
      </c>
      <c r="Z70" s="682">
        <v>2021.0</v>
      </c>
      <c r="AA70" s="682" t="s">
        <v>919</v>
      </c>
      <c r="AB70" s="685" t="s">
        <v>112</v>
      </c>
      <c r="AC70" s="686">
        <v>6.25564421</v>
      </c>
      <c r="AD70" s="686">
        <v>3.333628376</v>
      </c>
      <c r="AE70" s="687">
        <v>10.86614778</v>
      </c>
      <c r="AF70" s="669"/>
    </row>
    <row r="71">
      <c r="A71" s="675"/>
      <c r="B71" s="681" t="s">
        <v>53</v>
      </c>
      <c r="C71" s="682" t="s">
        <v>915</v>
      </c>
      <c r="D71" s="682" t="s">
        <v>926</v>
      </c>
      <c r="E71" s="682" t="s">
        <v>917</v>
      </c>
      <c r="F71" s="682">
        <v>2021.0</v>
      </c>
      <c r="G71" s="683">
        <v>0.051662426</v>
      </c>
      <c r="H71" s="683">
        <v>0.041180955</v>
      </c>
      <c r="I71" s="684">
        <v>0.064661857</v>
      </c>
      <c r="K71" s="693" t="s">
        <v>51</v>
      </c>
      <c r="L71" s="694" t="s">
        <v>917</v>
      </c>
      <c r="M71" s="694" t="s">
        <v>915</v>
      </c>
      <c r="N71" s="694" t="s">
        <v>925</v>
      </c>
      <c r="O71" s="694">
        <v>2021.0</v>
      </c>
      <c r="P71" s="694" t="s">
        <v>919</v>
      </c>
      <c r="Q71" s="695" t="s">
        <v>112</v>
      </c>
      <c r="R71" s="696">
        <v>621.5146925</v>
      </c>
      <c r="S71" s="696">
        <v>483.6782521</v>
      </c>
      <c r="T71" s="697">
        <v>793.8931977</v>
      </c>
      <c r="V71" s="681" t="s">
        <v>51</v>
      </c>
      <c r="W71" s="682" t="s">
        <v>921</v>
      </c>
      <c r="X71" s="682" t="s">
        <v>915</v>
      </c>
      <c r="Y71" s="682" t="s">
        <v>925</v>
      </c>
      <c r="Z71" s="682">
        <v>2021.0</v>
      </c>
      <c r="AA71" s="682" t="s">
        <v>919</v>
      </c>
      <c r="AB71" s="685" t="s">
        <v>112</v>
      </c>
      <c r="AC71" s="686">
        <v>7.777543056</v>
      </c>
      <c r="AD71" s="686">
        <v>3.353750698</v>
      </c>
      <c r="AE71" s="687">
        <v>17.27229194</v>
      </c>
      <c r="AF71" s="669"/>
    </row>
    <row r="72">
      <c r="A72" s="675"/>
      <c r="B72" s="681" t="s">
        <v>30</v>
      </c>
      <c r="C72" s="682" t="s">
        <v>915</v>
      </c>
      <c r="D72" s="682" t="s">
        <v>916</v>
      </c>
      <c r="E72" s="682" t="s">
        <v>917</v>
      </c>
      <c r="F72" s="682">
        <v>2021.0</v>
      </c>
      <c r="G72" s="683">
        <v>0.13442636</v>
      </c>
      <c r="H72" s="683">
        <v>0.107426494</v>
      </c>
      <c r="I72" s="684">
        <v>0.167609417</v>
      </c>
      <c r="K72" s="693" t="s">
        <v>51</v>
      </c>
      <c r="L72" s="694" t="s">
        <v>917</v>
      </c>
      <c r="M72" s="694" t="s">
        <v>915</v>
      </c>
      <c r="N72" s="694" t="s">
        <v>927</v>
      </c>
      <c r="O72" s="694">
        <v>2021.0</v>
      </c>
      <c r="P72" s="694" t="s">
        <v>919</v>
      </c>
      <c r="Q72" s="695" t="s">
        <v>112</v>
      </c>
      <c r="R72" s="696">
        <v>1471.272803</v>
      </c>
      <c r="S72" s="696">
        <v>1175.78065</v>
      </c>
      <c r="T72" s="697">
        <v>1833.647835</v>
      </c>
      <c r="V72" s="681" t="s">
        <v>51</v>
      </c>
      <c r="W72" s="682" t="s">
        <v>921</v>
      </c>
      <c r="X72" s="682" t="s">
        <v>915</v>
      </c>
      <c r="Y72" s="682" t="s">
        <v>927</v>
      </c>
      <c r="Z72" s="682">
        <v>2021.0</v>
      </c>
      <c r="AA72" s="682" t="s">
        <v>919</v>
      </c>
      <c r="AB72" s="685" t="s">
        <v>112</v>
      </c>
      <c r="AC72" s="686">
        <v>57.360163</v>
      </c>
      <c r="AD72" s="686">
        <v>20.86145128</v>
      </c>
      <c r="AE72" s="687">
        <v>107.1131907</v>
      </c>
      <c r="AF72" s="669"/>
    </row>
    <row r="73">
      <c r="A73" s="675"/>
      <c r="B73" s="681" t="s">
        <v>30</v>
      </c>
      <c r="C73" s="682" t="s">
        <v>915</v>
      </c>
      <c r="D73" s="682" t="s">
        <v>922</v>
      </c>
      <c r="E73" s="682" t="s">
        <v>917</v>
      </c>
      <c r="F73" s="682">
        <v>2021.0</v>
      </c>
      <c r="G73" s="683">
        <v>0.62815953</v>
      </c>
      <c r="H73" s="683">
        <v>0.554766286</v>
      </c>
      <c r="I73" s="684">
        <v>0.70539058</v>
      </c>
      <c r="K73" s="693" t="s">
        <v>51</v>
      </c>
      <c r="L73" s="694" t="s">
        <v>917</v>
      </c>
      <c r="M73" s="694" t="s">
        <v>915</v>
      </c>
      <c r="N73" s="694" t="s">
        <v>926</v>
      </c>
      <c r="O73" s="694">
        <v>2021.0</v>
      </c>
      <c r="P73" s="694" t="s">
        <v>919</v>
      </c>
      <c r="Q73" s="695" t="s">
        <v>112</v>
      </c>
      <c r="R73" s="696">
        <v>5764.368123</v>
      </c>
      <c r="S73" s="696">
        <v>4620.836714</v>
      </c>
      <c r="T73" s="697">
        <v>7159.913844</v>
      </c>
      <c r="V73" s="681" t="s">
        <v>51</v>
      </c>
      <c r="W73" s="682" t="s">
        <v>921</v>
      </c>
      <c r="X73" s="682" t="s">
        <v>915</v>
      </c>
      <c r="Y73" s="682" t="s">
        <v>926</v>
      </c>
      <c r="Z73" s="682">
        <v>2021.0</v>
      </c>
      <c r="AA73" s="682" t="s">
        <v>919</v>
      </c>
      <c r="AB73" s="685" t="s">
        <v>112</v>
      </c>
      <c r="AC73" s="686">
        <v>99.83601953</v>
      </c>
      <c r="AD73" s="686">
        <v>41.70197656</v>
      </c>
      <c r="AE73" s="687">
        <v>180.9249286</v>
      </c>
      <c r="AF73" s="669"/>
    </row>
    <row r="74">
      <c r="A74" s="675"/>
      <c r="B74" s="681" t="s">
        <v>30</v>
      </c>
      <c r="C74" s="682" t="s">
        <v>915</v>
      </c>
      <c r="D74" s="682" t="s">
        <v>924</v>
      </c>
      <c r="E74" s="682" t="s">
        <v>917</v>
      </c>
      <c r="F74" s="682">
        <v>2021.0</v>
      </c>
      <c r="G74" s="683">
        <v>0.01486521</v>
      </c>
      <c r="H74" s="683">
        <v>0.012787142</v>
      </c>
      <c r="I74" s="684">
        <v>0.017336561</v>
      </c>
      <c r="K74" s="693" t="s">
        <v>52</v>
      </c>
      <c r="L74" s="694" t="s">
        <v>917</v>
      </c>
      <c r="M74" s="694" t="s">
        <v>915</v>
      </c>
      <c r="N74" s="694" t="s">
        <v>918</v>
      </c>
      <c r="O74" s="694">
        <v>2021.0</v>
      </c>
      <c r="P74" s="694" t="s">
        <v>919</v>
      </c>
      <c r="Q74" s="695" t="s">
        <v>112</v>
      </c>
      <c r="R74" s="696">
        <v>3151.378797</v>
      </c>
      <c r="S74" s="696">
        <v>2375.053197</v>
      </c>
      <c r="T74" s="697">
        <v>4148.920315</v>
      </c>
      <c r="V74" s="681" t="s">
        <v>52</v>
      </c>
      <c r="W74" s="682" t="s">
        <v>921</v>
      </c>
      <c r="X74" s="682" t="s">
        <v>915</v>
      </c>
      <c r="Y74" s="682" t="s">
        <v>918</v>
      </c>
      <c r="Z74" s="682">
        <v>2021.0</v>
      </c>
      <c r="AA74" s="682" t="s">
        <v>919</v>
      </c>
      <c r="AB74" s="685" t="s">
        <v>112</v>
      </c>
      <c r="AC74" s="686">
        <v>62.72935392</v>
      </c>
      <c r="AD74" s="686">
        <v>19.84665006</v>
      </c>
      <c r="AE74" s="687">
        <v>152.4461727</v>
      </c>
      <c r="AF74" s="669"/>
    </row>
    <row r="75">
      <c r="A75" s="675"/>
      <c r="B75" s="681" t="s">
        <v>30</v>
      </c>
      <c r="C75" s="682" t="s">
        <v>915</v>
      </c>
      <c r="D75" s="682" t="s">
        <v>926</v>
      </c>
      <c r="E75" s="682" t="s">
        <v>917</v>
      </c>
      <c r="F75" s="682">
        <v>2021.0</v>
      </c>
      <c r="G75" s="683">
        <v>0.14642539</v>
      </c>
      <c r="H75" s="683">
        <v>0.124708249</v>
      </c>
      <c r="I75" s="684">
        <v>0.169686274</v>
      </c>
      <c r="K75" s="693" t="s">
        <v>52</v>
      </c>
      <c r="L75" s="694" t="s">
        <v>917</v>
      </c>
      <c r="M75" s="694" t="s">
        <v>915</v>
      </c>
      <c r="N75" s="694" t="s">
        <v>923</v>
      </c>
      <c r="O75" s="694">
        <v>2021.0</v>
      </c>
      <c r="P75" s="694" t="s">
        <v>919</v>
      </c>
      <c r="Q75" s="695" t="s">
        <v>112</v>
      </c>
      <c r="R75" s="696">
        <v>5806.788046</v>
      </c>
      <c r="S75" s="696">
        <v>4583.4437</v>
      </c>
      <c r="T75" s="697">
        <v>7438.489275</v>
      </c>
      <c r="V75" s="681" t="s">
        <v>52</v>
      </c>
      <c r="W75" s="682" t="s">
        <v>921</v>
      </c>
      <c r="X75" s="682" t="s">
        <v>915</v>
      </c>
      <c r="Y75" s="682" t="s">
        <v>923</v>
      </c>
      <c r="Z75" s="682">
        <v>2021.0</v>
      </c>
      <c r="AA75" s="682" t="s">
        <v>919</v>
      </c>
      <c r="AB75" s="685" t="s">
        <v>112</v>
      </c>
      <c r="AC75" s="686">
        <v>14.38416767</v>
      </c>
      <c r="AD75" s="686">
        <v>6.555399873</v>
      </c>
      <c r="AE75" s="687">
        <v>29.11801568</v>
      </c>
      <c r="AF75" s="669"/>
    </row>
    <row r="76">
      <c r="A76" s="675"/>
      <c r="B76" s="681" t="s">
        <v>31</v>
      </c>
      <c r="C76" s="682" t="s">
        <v>915</v>
      </c>
      <c r="D76" s="682" t="s">
        <v>916</v>
      </c>
      <c r="E76" s="682" t="s">
        <v>917</v>
      </c>
      <c r="F76" s="682">
        <v>2021.0</v>
      </c>
      <c r="G76" s="683">
        <v>0.106641804</v>
      </c>
      <c r="H76" s="683">
        <v>0.084602864</v>
      </c>
      <c r="I76" s="684">
        <v>0.133928149</v>
      </c>
      <c r="K76" s="693" t="s">
        <v>52</v>
      </c>
      <c r="L76" s="694" t="s">
        <v>917</v>
      </c>
      <c r="M76" s="694" t="s">
        <v>915</v>
      </c>
      <c r="N76" s="694" t="s">
        <v>925</v>
      </c>
      <c r="O76" s="694">
        <v>2021.0</v>
      </c>
      <c r="P76" s="694" t="s">
        <v>919</v>
      </c>
      <c r="Q76" s="695" t="s">
        <v>112</v>
      </c>
      <c r="R76" s="696">
        <v>919.2859927</v>
      </c>
      <c r="S76" s="696">
        <v>720.6986675</v>
      </c>
      <c r="T76" s="697">
        <v>1160.210671</v>
      </c>
      <c r="V76" s="681" t="s">
        <v>52</v>
      </c>
      <c r="W76" s="682" t="s">
        <v>921</v>
      </c>
      <c r="X76" s="682" t="s">
        <v>915</v>
      </c>
      <c r="Y76" s="682" t="s">
        <v>925</v>
      </c>
      <c r="Z76" s="682">
        <v>2021.0</v>
      </c>
      <c r="AA76" s="682" t="s">
        <v>919</v>
      </c>
      <c r="AB76" s="685" t="s">
        <v>112</v>
      </c>
      <c r="AC76" s="686">
        <v>12.46753535</v>
      </c>
      <c r="AD76" s="686">
        <v>4.601691651</v>
      </c>
      <c r="AE76" s="687">
        <v>30.05811322</v>
      </c>
      <c r="AF76" s="669"/>
    </row>
    <row r="77">
      <c r="A77" s="675"/>
      <c r="B77" s="681" t="s">
        <v>31</v>
      </c>
      <c r="C77" s="682" t="s">
        <v>915</v>
      </c>
      <c r="D77" s="682" t="s">
        <v>922</v>
      </c>
      <c r="E77" s="682" t="s">
        <v>917</v>
      </c>
      <c r="F77" s="682">
        <v>2021.0</v>
      </c>
      <c r="G77" s="683">
        <v>0.522281277</v>
      </c>
      <c r="H77" s="683">
        <v>0.457406382</v>
      </c>
      <c r="I77" s="684">
        <v>0.590555974</v>
      </c>
      <c r="K77" s="693" t="s">
        <v>52</v>
      </c>
      <c r="L77" s="694" t="s">
        <v>917</v>
      </c>
      <c r="M77" s="694" t="s">
        <v>915</v>
      </c>
      <c r="N77" s="694" t="s">
        <v>927</v>
      </c>
      <c r="O77" s="694">
        <v>2021.0</v>
      </c>
      <c r="P77" s="694" t="s">
        <v>919</v>
      </c>
      <c r="Q77" s="695" t="s">
        <v>112</v>
      </c>
      <c r="R77" s="696">
        <v>3352.797469</v>
      </c>
      <c r="S77" s="696">
        <v>2578.794789</v>
      </c>
      <c r="T77" s="697">
        <v>4313.158498</v>
      </c>
      <c r="V77" s="681" t="s">
        <v>52</v>
      </c>
      <c r="W77" s="682" t="s">
        <v>921</v>
      </c>
      <c r="X77" s="682" t="s">
        <v>915</v>
      </c>
      <c r="Y77" s="682" t="s">
        <v>927</v>
      </c>
      <c r="Z77" s="682">
        <v>2021.0</v>
      </c>
      <c r="AA77" s="682" t="s">
        <v>919</v>
      </c>
      <c r="AB77" s="685" t="s">
        <v>112</v>
      </c>
      <c r="AC77" s="686">
        <v>149.8086318</v>
      </c>
      <c r="AD77" s="686">
        <v>51.2591589</v>
      </c>
      <c r="AE77" s="687">
        <v>298.1197759</v>
      </c>
      <c r="AF77" s="669"/>
    </row>
    <row r="78">
      <c r="A78" s="675"/>
      <c r="B78" s="681" t="s">
        <v>31</v>
      </c>
      <c r="C78" s="682" t="s">
        <v>915</v>
      </c>
      <c r="D78" s="682" t="s">
        <v>924</v>
      </c>
      <c r="E78" s="682" t="s">
        <v>917</v>
      </c>
      <c r="F78" s="682">
        <v>2021.0</v>
      </c>
      <c r="G78" s="683">
        <v>0.01024555</v>
      </c>
      <c r="H78" s="683">
        <v>0.00859313</v>
      </c>
      <c r="I78" s="684">
        <v>0.012374464</v>
      </c>
      <c r="K78" s="693" t="s">
        <v>52</v>
      </c>
      <c r="L78" s="694" t="s">
        <v>917</v>
      </c>
      <c r="M78" s="694" t="s">
        <v>915</v>
      </c>
      <c r="N78" s="694" t="s">
        <v>926</v>
      </c>
      <c r="O78" s="694">
        <v>2021.0</v>
      </c>
      <c r="P78" s="694" t="s">
        <v>919</v>
      </c>
      <c r="Q78" s="695" t="s">
        <v>112</v>
      </c>
      <c r="R78" s="696">
        <v>13230.25031</v>
      </c>
      <c r="S78" s="696">
        <v>10363.85793</v>
      </c>
      <c r="T78" s="697">
        <v>16971.60781</v>
      </c>
      <c r="V78" s="681" t="s">
        <v>52</v>
      </c>
      <c r="W78" s="682" t="s">
        <v>921</v>
      </c>
      <c r="X78" s="682" t="s">
        <v>915</v>
      </c>
      <c r="Y78" s="682" t="s">
        <v>926</v>
      </c>
      <c r="Z78" s="682">
        <v>2021.0</v>
      </c>
      <c r="AA78" s="682" t="s">
        <v>919</v>
      </c>
      <c r="AB78" s="685" t="s">
        <v>112</v>
      </c>
      <c r="AC78" s="686">
        <v>239.3896887</v>
      </c>
      <c r="AD78" s="686">
        <v>93.21109628</v>
      </c>
      <c r="AE78" s="687">
        <v>492.303917</v>
      </c>
      <c r="AF78" s="669"/>
    </row>
    <row r="79">
      <c r="A79" s="675"/>
      <c r="B79" s="681" t="s">
        <v>31</v>
      </c>
      <c r="C79" s="682" t="s">
        <v>915</v>
      </c>
      <c r="D79" s="682" t="s">
        <v>926</v>
      </c>
      <c r="E79" s="682" t="s">
        <v>917</v>
      </c>
      <c r="F79" s="682">
        <v>2021.0</v>
      </c>
      <c r="G79" s="683">
        <v>0.095868046</v>
      </c>
      <c r="H79" s="683">
        <v>0.078778265</v>
      </c>
      <c r="I79" s="684">
        <v>0.116579463</v>
      </c>
      <c r="K79" s="693" t="s">
        <v>28</v>
      </c>
      <c r="L79" s="694" t="s">
        <v>917</v>
      </c>
      <c r="M79" s="694" t="s">
        <v>915</v>
      </c>
      <c r="N79" s="694" t="s">
        <v>918</v>
      </c>
      <c r="O79" s="694">
        <v>2021.0</v>
      </c>
      <c r="P79" s="694" t="s">
        <v>919</v>
      </c>
      <c r="Q79" s="695" t="s">
        <v>112</v>
      </c>
      <c r="R79" s="696">
        <v>7576.732575</v>
      </c>
      <c r="S79" s="696">
        <v>5990.669917</v>
      </c>
      <c r="T79" s="697">
        <v>9366.979504</v>
      </c>
      <c r="V79" s="681" t="s">
        <v>28</v>
      </c>
      <c r="W79" s="682" t="s">
        <v>921</v>
      </c>
      <c r="X79" s="682" t="s">
        <v>915</v>
      </c>
      <c r="Y79" s="682" t="s">
        <v>918</v>
      </c>
      <c r="Z79" s="682">
        <v>2021.0</v>
      </c>
      <c r="AA79" s="682" t="s">
        <v>919</v>
      </c>
      <c r="AB79" s="685" t="s">
        <v>112</v>
      </c>
      <c r="AC79" s="686">
        <v>513.7851443</v>
      </c>
      <c r="AD79" s="686">
        <v>271.324259</v>
      </c>
      <c r="AE79" s="687">
        <v>847.0911066</v>
      </c>
      <c r="AF79" s="669"/>
    </row>
    <row r="80">
      <c r="A80" s="675"/>
      <c r="B80" s="681" t="s">
        <v>32</v>
      </c>
      <c r="C80" s="682" t="s">
        <v>915</v>
      </c>
      <c r="D80" s="682" t="s">
        <v>916</v>
      </c>
      <c r="E80" s="682" t="s">
        <v>917</v>
      </c>
      <c r="F80" s="682">
        <v>2021.0</v>
      </c>
      <c r="G80" s="683">
        <v>0.128285108</v>
      </c>
      <c r="H80" s="683">
        <v>0.104058719</v>
      </c>
      <c r="I80" s="684">
        <v>0.15797643</v>
      </c>
      <c r="K80" s="693" t="s">
        <v>28</v>
      </c>
      <c r="L80" s="694" t="s">
        <v>917</v>
      </c>
      <c r="M80" s="694" t="s">
        <v>915</v>
      </c>
      <c r="N80" s="694" t="s">
        <v>923</v>
      </c>
      <c r="O80" s="694">
        <v>2021.0</v>
      </c>
      <c r="P80" s="694" t="s">
        <v>919</v>
      </c>
      <c r="Q80" s="695" t="s">
        <v>112</v>
      </c>
      <c r="R80" s="696">
        <v>4741.97342</v>
      </c>
      <c r="S80" s="696">
        <v>4099.035826</v>
      </c>
      <c r="T80" s="697">
        <v>5449.928461</v>
      </c>
      <c r="V80" s="681" t="s">
        <v>28</v>
      </c>
      <c r="W80" s="682" t="s">
        <v>921</v>
      </c>
      <c r="X80" s="682" t="s">
        <v>915</v>
      </c>
      <c r="Y80" s="682" t="s">
        <v>923</v>
      </c>
      <c r="Z80" s="682">
        <v>2021.0</v>
      </c>
      <c r="AA80" s="682" t="s">
        <v>919</v>
      </c>
      <c r="AB80" s="685" t="s">
        <v>112</v>
      </c>
      <c r="AC80" s="686">
        <v>28.65677424</v>
      </c>
      <c r="AD80" s="686">
        <v>12.22240355</v>
      </c>
      <c r="AE80" s="687">
        <v>47.04313417</v>
      </c>
      <c r="AF80" s="669"/>
    </row>
    <row r="81">
      <c r="A81" s="675"/>
      <c r="B81" s="681" t="s">
        <v>32</v>
      </c>
      <c r="C81" s="682" t="s">
        <v>915</v>
      </c>
      <c r="D81" s="682" t="s">
        <v>922</v>
      </c>
      <c r="E81" s="682" t="s">
        <v>917</v>
      </c>
      <c r="F81" s="682">
        <v>2021.0</v>
      </c>
      <c r="G81" s="683">
        <v>0.609886837</v>
      </c>
      <c r="H81" s="683">
        <v>0.543616752</v>
      </c>
      <c r="I81" s="684">
        <v>0.678396472</v>
      </c>
      <c r="K81" s="693" t="s">
        <v>28</v>
      </c>
      <c r="L81" s="694" t="s">
        <v>917</v>
      </c>
      <c r="M81" s="694" t="s">
        <v>915</v>
      </c>
      <c r="N81" s="694" t="s">
        <v>925</v>
      </c>
      <c r="O81" s="694">
        <v>2021.0</v>
      </c>
      <c r="P81" s="694" t="s">
        <v>919</v>
      </c>
      <c r="Q81" s="695" t="s">
        <v>112</v>
      </c>
      <c r="R81" s="696">
        <v>938.6566153</v>
      </c>
      <c r="S81" s="696">
        <v>816.6945459</v>
      </c>
      <c r="T81" s="697">
        <v>1079.589668</v>
      </c>
      <c r="V81" s="681" t="s">
        <v>28</v>
      </c>
      <c r="W81" s="682" t="s">
        <v>921</v>
      </c>
      <c r="X81" s="682" t="s">
        <v>915</v>
      </c>
      <c r="Y81" s="682" t="s">
        <v>925</v>
      </c>
      <c r="Z81" s="682">
        <v>2021.0</v>
      </c>
      <c r="AA81" s="682" t="s">
        <v>919</v>
      </c>
      <c r="AB81" s="685" t="s">
        <v>112</v>
      </c>
      <c r="AC81" s="686">
        <v>26.23729569</v>
      </c>
      <c r="AD81" s="686">
        <v>12.87971087</v>
      </c>
      <c r="AE81" s="687">
        <v>44.96456987</v>
      </c>
      <c r="AF81" s="669"/>
    </row>
    <row r="82">
      <c r="A82" s="675"/>
      <c r="B82" s="681" t="s">
        <v>32</v>
      </c>
      <c r="C82" s="682" t="s">
        <v>915</v>
      </c>
      <c r="D82" s="682" t="s">
        <v>924</v>
      </c>
      <c r="E82" s="682" t="s">
        <v>917</v>
      </c>
      <c r="F82" s="682">
        <v>2021.0</v>
      </c>
      <c r="G82" s="683">
        <v>0.014088608</v>
      </c>
      <c r="H82" s="683">
        <v>0.011760328</v>
      </c>
      <c r="I82" s="684">
        <v>0.016957658</v>
      </c>
      <c r="K82" s="693" t="s">
        <v>28</v>
      </c>
      <c r="L82" s="694" t="s">
        <v>917</v>
      </c>
      <c r="M82" s="694" t="s">
        <v>915</v>
      </c>
      <c r="N82" s="694" t="s">
        <v>927</v>
      </c>
      <c r="O82" s="694">
        <v>2021.0</v>
      </c>
      <c r="P82" s="694" t="s">
        <v>919</v>
      </c>
      <c r="Q82" s="695" t="s">
        <v>112</v>
      </c>
      <c r="R82" s="696">
        <v>4643.845069</v>
      </c>
      <c r="S82" s="696">
        <v>4008.098133</v>
      </c>
      <c r="T82" s="697">
        <v>5323.213513</v>
      </c>
      <c r="V82" s="681" t="s">
        <v>28</v>
      </c>
      <c r="W82" s="682" t="s">
        <v>921</v>
      </c>
      <c r="X82" s="682" t="s">
        <v>915</v>
      </c>
      <c r="Y82" s="682" t="s">
        <v>927</v>
      </c>
      <c r="Z82" s="682">
        <v>2021.0</v>
      </c>
      <c r="AA82" s="682" t="s">
        <v>919</v>
      </c>
      <c r="AB82" s="685" t="s">
        <v>112</v>
      </c>
      <c r="AC82" s="686">
        <v>569.1554704</v>
      </c>
      <c r="AD82" s="686">
        <v>335.2001712</v>
      </c>
      <c r="AE82" s="687">
        <v>842.5132066</v>
      </c>
      <c r="AF82" s="669"/>
    </row>
    <row r="83">
      <c r="A83" s="675"/>
      <c r="B83" s="681" t="s">
        <v>32</v>
      </c>
      <c r="C83" s="682" t="s">
        <v>915</v>
      </c>
      <c r="D83" s="682" t="s">
        <v>926</v>
      </c>
      <c r="E83" s="682" t="s">
        <v>917</v>
      </c>
      <c r="F83" s="682">
        <v>2021.0</v>
      </c>
      <c r="G83" s="683">
        <v>0.139800648</v>
      </c>
      <c r="H83" s="683">
        <v>0.116916797</v>
      </c>
      <c r="I83" s="684">
        <v>0.166759495</v>
      </c>
      <c r="K83" s="693" t="s">
        <v>28</v>
      </c>
      <c r="L83" s="694" t="s">
        <v>917</v>
      </c>
      <c r="M83" s="694" t="s">
        <v>915</v>
      </c>
      <c r="N83" s="694" t="s">
        <v>926</v>
      </c>
      <c r="O83" s="694">
        <v>2021.0</v>
      </c>
      <c r="P83" s="694" t="s">
        <v>919</v>
      </c>
      <c r="Q83" s="695" t="s">
        <v>112</v>
      </c>
      <c r="R83" s="696">
        <v>17901.20768</v>
      </c>
      <c r="S83" s="696">
        <v>14989.95136</v>
      </c>
      <c r="T83" s="697">
        <v>21078.52259</v>
      </c>
      <c r="V83" s="681" t="s">
        <v>28</v>
      </c>
      <c r="W83" s="682" t="s">
        <v>921</v>
      </c>
      <c r="X83" s="682" t="s">
        <v>915</v>
      </c>
      <c r="Y83" s="682" t="s">
        <v>926</v>
      </c>
      <c r="Z83" s="682">
        <v>2021.0</v>
      </c>
      <c r="AA83" s="682" t="s">
        <v>919</v>
      </c>
      <c r="AB83" s="685" t="s">
        <v>112</v>
      </c>
      <c r="AC83" s="686">
        <v>1137.834685</v>
      </c>
      <c r="AD83" s="686">
        <v>683.2291654</v>
      </c>
      <c r="AE83" s="687">
        <v>1667.153018</v>
      </c>
      <c r="AF83" s="669"/>
    </row>
    <row r="84">
      <c r="A84" s="675"/>
      <c r="B84" s="681" t="s">
        <v>33</v>
      </c>
      <c r="C84" s="682" t="s">
        <v>915</v>
      </c>
      <c r="D84" s="682" t="s">
        <v>916</v>
      </c>
      <c r="E84" s="682" t="s">
        <v>917</v>
      </c>
      <c r="F84" s="682">
        <v>2021.0</v>
      </c>
      <c r="G84" s="683">
        <v>0.125171194</v>
      </c>
      <c r="H84" s="683">
        <v>0.101799072</v>
      </c>
      <c r="I84" s="684">
        <v>0.156967059</v>
      </c>
      <c r="K84" s="693" t="s">
        <v>53</v>
      </c>
      <c r="L84" s="694" t="s">
        <v>917</v>
      </c>
      <c r="M84" s="694" t="s">
        <v>915</v>
      </c>
      <c r="N84" s="694" t="s">
        <v>918</v>
      </c>
      <c r="O84" s="694">
        <v>2021.0</v>
      </c>
      <c r="P84" s="694" t="s">
        <v>919</v>
      </c>
      <c r="Q84" s="695" t="s">
        <v>112</v>
      </c>
      <c r="R84" s="696">
        <v>4677.473</v>
      </c>
      <c r="S84" s="696">
        <v>3646.223134</v>
      </c>
      <c r="T84" s="697">
        <v>5926.160682</v>
      </c>
      <c r="V84" s="681" t="s">
        <v>53</v>
      </c>
      <c r="W84" s="682" t="s">
        <v>921</v>
      </c>
      <c r="X84" s="682" t="s">
        <v>915</v>
      </c>
      <c r="Y84" s="682" t="s">
        <v>918</v>
      </c>
      <c r="Z84" s="682">
        <v>2021.0</v>
      </c>
      <c r="AA84" s="682" t="s">
        <v>919</v>
      </c>
      <c r="AB84" s="685" t="s">
        <v>112</v>
      </c>
      <c r="AC84" s="686">
        <v>67.68122943</v>
      </c>
      <c r="AD84" s="686">
        <v>24.02043735</v>
      </c>
      <c r="AE84" s="687">
        <v>155.9839844</v>
      </c>
      <c r="AF84" s="669"/>
    </row>
    <row r="85">
      <c r="A85" s="675"/>
      <c r="B85" s="681" t="s">
        <v>33</v>
      </c>
      <c r="C85" s="682" t="s">
        <v>915</v>
      </c>
      <c r="D85" s="682" t="s">
        <v>922</v>
      </c>
      <c r="E85" s="682" t="s">
        <v>917</v>
      </c>
      <c r="F85" s="682">
        <v>2021.0</v>
      </c>
      <c r="G85" s="683">
        <v>0.595484665</v>
      </c>
      <c r="H85" s="683">
        <v>0.529947019</v>
      </c>
      <c r="I85" s="684">
        <v>0.67135342</v>
      </c>
      <c r="K85" s="693" t="s">
        <v>53</v>
      </c>
      <c r="L85" s="694" t="s">
        <v>917</v>
      </c>
      <c r="M85" s="694" t="s">
        <v>915</v>
      </c>
      <c r="N85" s="694" t="s">
        <v>923</v>
      </c>
      <c r="O85" s="694">
        <v>2021.0</v>
      </c>
      <c r="P85" s="694" t="s">
        <v>919</v>
      </c>
      <c r="Q85" s="695" t="s">
        <v>112</v>
      </c>
      <c r="R85" s="696">
        <v>7221.667547</v>
      </c>
      <c r="S85" s="696">
        <v>5611.660707</v>
      </c>
      <c r="T85" s="697">
        <v>9265.158281</v>
      </c>
      <c r="V85" s="681" t="s">
        <v>53</v>
      </c>
      <c r="W85" s="682" t="s">
        <v>921</v>
      </c>
      <c r="X85" s="682" t="s">
        <v>915</v>
      </c>
      <c r="Y85" s="682" t="s">
        <v>923</v>
      </c>
      <c r="Z85" s="682">
        <v>2021.0</v>
      </c>
      <c r="AA85" s="682" t="s">
        <v>919</v>
      </c>
      <c r="AB85" s="685" t="s">
        <v>112</v>
      </c>
      <c r="AC85" s="686">
        <v>16.91253031</v>
      </c>
      <c r="AD85" s="686">
        <v>8.168327778</v>
      </c>
      <c r="AE85" s="687">
        <v>35.2457912</v>
      </c>
      <c r="AF85" s="669"/>
    </row>
    <row r="86">
      <c r="A86" s="675"/>
      <c r="B86" s="681" t="s">
        <v>33</v>
      </c>
      <c r="C86" s="682" t="s">
        <v>915</v>
      </c>
      <c r="D86" s="682" t="s">
        <v>924</v>
      </c>
      <c r="E86" s="682" t="s">
        <v>917</v>
      </c>
      <c r="F86" s="682">
        <v>2021.0</v>
      </c>
      <c r="G86" s="683">
        <v>0.012553507</v>
      </c>
      <c r="H86" s="683">
        <v>0.010474529</v>
      </c>
      <c r="I86" s="684">
        <v>0.015024861</v>
      </c>
      <c r="K86" s="693" t="s">
        <v>53</v>
      </c>
      <c r="L86" s="694" t="s">
        <v>917</v>
      </c>
      <c r="M86" s="694" t="s">
        <v>915</v>
      </c>
      <c r="N86" s="694" t="s">
        <v>925</v>
      </c>
      <c r="O86" s="694">
        <v>2021.0</v>
      </c>
      <c r="P86" s="694" t="s">
        <v>919</v>
      </c>
      <c r="Q86" s="695" t="s">
        <v>112</v>
      </c>
      <c r="R86" s="696">
        <v>888.0469003</v>
      </c>
      <c r="S86" s="696">
        <v>688.8334226</v>
      </c>
      <c r="T86" s="697">
        <v>1133.349159</v>
      </c>
      <c r="V86" s="681" t="s">
        <v>53</v>
      </c>
      <c r="W86" s="682" t="s">
        <v>921</v>
      </c>
      <c r="X86" s="682" t="s">
        <v>915</v>
      </c>
      <c r="Y86" s="682" t="s">
        <v>925</v>
      </c>
      <c r="Z86" s="682">
        <v>2021.0</v>
      </c>
      <c r="AA86" s="682" t="s">
        <v>919</v>
      </c>
      <c r="AB86" s="685" t="s">
        <v>112</v>
      </c>
      <c r="AC86" s="686">
        <v>9.218298886</v>
      </c>
      <c r="AD86" s="686">
        <v>3.621272145</v>
      </c>
      <c r="AE86" s="687">
        <v>21.25983608</v>
      </c>
      <c r="AF86" s="669"/>
    </row>
    <row r="87">
      <c r="A87" s="675"/>
      <c r="B87" s="681" t="s">
        <v>33</v>
      </c>
      <c r="C87" s="682" t="s">
        <v>915</v>
      </c>
      <c r="D87" s="682" t="s">
        <v>926</v>
      </c>
      <c r="E87" s="682" t="s">
        <v>917</v>
      </c>
      <c r="F87" s="682">
        <v>2021.0</v>
      </c>
      <c r="G87" s="683">
        <v>0.117307508</v>
      </c>
      <c r="H87" s="683">
        <v>0.097927333</v>
      </c>
      <c r="I87" s="684">
        <v>0.140262794</v>
      </c>
      <c r="K87" s="693" t="s">
        <v>53</v>
      </c>
      <c r="L87" s="694" t="s">
        <v>917</v>
      </c>
      <c r="M87" s="694" t="s">
        <v>915</v>
      </c>
      <c r="N87" s="694" t="s">
        <v>927</v>
      </c>
      <c r="O87" s="694">
        <v>2021.0</v>
      </c>
      <c r="P87" s="694" t="s">
        <v>919</v>
      </c>
      <c r="Q87" s="695" t="s">
        <v>112</v>
      </c>
      <c r="R87" s="696">
        <v>4107.779865</v>
      </c>
      <c r="S87" s="696">
        <v>3193.242669</v>
      </c>
      <c r="T87" s="697">
        <v>5288.969506</v>
      </c>
      <c r="V87" s="681" t="s">
        <v>53</v>
      </c>
      <c r="W87" s="682" t="s">
        <v>921</v>
      </c>
      <c r="X87" s="682" t="s">
        <v>915</v>
      </c>
      <c r="Y87" s="682" t="s">
        <v>927</v>
      </c>
      <c r="Z87" s="682">
        <v>2021.0</v>
      </c>
      <c r="AA87" s="682" t="s">
        <v>919</v>
      </c>
      <c r="AB87" s="685" t="s">
        <v>112</v>
      </c>
      <c r="AC87" s="686">
        <v>129.3071454</v>
      </c>
      <c r="AD87" s="686">
        <v>50.57401801</v>
      </c>
      <c r="AE87" s="687">
        <v>282.028483</v>
      </c>
      <c r="AF87" s="669"/>
    </row>
    <row r="88">
      <c r="A88" s="675"/>
      <c r="B88" s="681" t="s">
        <v>34</v>
      </c>
      <c r="C88" s="682" t="s">
        <v>915</v>
      </c>
      <c r="D88" s="682" t="s">
        <v>916</v>
      </c>
      <c r="E88" s="682" t="s">
        <v>917</v>
      </c>
      <c r="F88" s="682">
        <v>2021.0</v>
      </c>
      <c r="G88" s="683">
        <v>0.134266686</v>
      </c>
      <c r="H88" s="683">
        <v>0.107358259</v>
      </c>
      <c r="I88" s="684">
        <v>0.167534299</v>
      </c>
      <c r="K88" s="693" t="s">
        <v>53</v>
      </c>
      <c r="L88" s="694" t="s">
        <v>917</v>
      </c>
      <c r="M88" s="694" t="s">
        <v>915</v>
      </c>
      <c r="N88" s="694" t="s">
        <v>926</v>
      </c>
      <c r="O88" s="694">
        <v>2021.0</v>
      </c>
      <c r="P88" s="694" t="s">
        <v>919</v>
      </c>
      <c r="Q88" s="695" t="s">
        <v>112</v>
      </c>
      <c r="R88" s="696">
        <v>16894.96731</v>
      </c>
      <c r="S88" s="696">
        <v>13372.28289</v>
      </c>
      <c r="T88" s="697">
        <v>21322.75058</v>
      </c>
      <c r="V88" s="681" t="s">
        <v>53</v>
      </c>
      <c r="W88" s="682" t="s">
        <v>921</v>
      </c>
      <c r="X88" s="682" t="s">
        <v>915</v>
      </c>
      <c r="Y88" s="682" t="s">
        <v>926</v>
      </c>
      <c r="Z88" s="682">
        <v>2021.0</v>
      </c>
      <c r="AA88" s="682" t="s">
        <v>919</v>
      </c>
      <c r="AB88" s="685" t="s">
        <v>112</v>
      </c>
      <c r="AC88" s="686">
        <v>223.1192041</v>
      </c>
      <c r="AD88" s="686">
        <v>100.5147387</v>
      </c>
      <c r="AE88" s="687">
        <v>461.7380404</v>
      </c>
      <c r="AF88" s="669"/>
    </row>
    <row r="89">
      <c r="A89" s="675"/>
      <c r="B89" s="681" t="s">
        <v>34</v>
      </c>
      <c r="C89" s="682" t="s">
        <v>915</v>
      </c>
      <c r="D89" s="682" t="s">
        <v>922</v>
      </c>
      <c r="E89" s="682" t="s">
        <v>917</v>
      </c>
      <c r="F89" s="682">
        <v>2021.0</v>
      </c>
      <c r="G89" s="683">
        <v>0.601313356</v>
      </c>
      <c r="H89" s="683">
        <v>0.530747827</v>
      </c>
      <c r="I89" s="684">
        <v>0.677895128</v>
      </c>
      <c r="K89" s="693" t="s">
        <v>30</v>
      </c>
      <c r="L89" s="694" t="s">
        <v>917</v>
      </c>
      <c r="M89" s="694" t="s">
        <v>915</v>
      </c>
      <c r="N89" s="694" t="s">
        <v>918</v>
      </c>
      <c r="O89" s="694">
        <v>2021.0</v>
      </c>
      <c r="P89" s="694" t="s">
        <v>919</v>
      </c>
      <c r="Q89" s="695" t="s">
        <v>112</v>
      </c>
      <c r="R89" s="696">
        <v>17798.87638</v>
      </c>
      <c r="S89" s="696">
        <v>14053.52385</v>
      </c>
      <c r="T89" s="697">
        <v>21815.39896</v>
      </c>
      <c r="V89" s="681" t="s">
        <v>30</v>
      </c>
      <c r="W89" s="682" t="s">
        <v>921</v>
      </c>
      <c r="X89" s="682" t="s">
        <v>915</v>
      </c>
      <c r="Y89" s="682" t="s">
        <v>918</v>
      </c>
      <c r="Z89" s="682">
        <v>2021.0</v>
      </c>
      <c r="AA89" s="682" t="s">
        <v>919</v>
      </c>
      <c r="AB89" s="685" t="s">
        <v>112</v>
      </c>
      <c r="AC89" s="686">
        <v>1142.845776</v>
      </c>
      <c r="AD89" s="686">
        <v>585.0322496</v>
      </c>
      <c r="AE89" s="687">
        <v>1920.318324</v>
      </c>
      <c r="AF89" s="669"/>
    </row>
    <row r="90">
      <c r="A90" s="675"/>
      <c r="B90" s="681" t="s">
        <v>34</v>
      </c>
      <c r="C90" s="682" t="s">
        <v>915</v>
      </c>
      <c r="D90" s="682" t="s">
        <v>924</v>
      </c>
      <c r="E90" s="682" t="s">
        <v>917</v>
      </c>
      <c r="F90" s="682">
        <v>2021.0</v>
      </c>
      <c r="G90" s="683">
        <v>0.013777725</v>
      </c>
      <c r="H90" s="683">
        <v>0.011865557</v>
      </c>
      <c r="I90" s="684">
        <v>0.016092784</v>
      </c>
      <c r="K90" s="693" t="s">
        <v>30</v>
      </c>
      <c r="L90" s="694" t="s">
        <v>917</v>
      </c>
      <c r="M90" s="694" t="s">
        <v>915</v>
      </c>
      <c r="N90" s="694" t="s">
        <v>923</v>
      </c>
      <c r="O90" s="694">
        <v>2021.0</v>
      </c>
      <c r="P90" s="694" t="s">
        <v>919</v>
      </c>
      <c r="Q90" s="695" t="s">
        <v>112</v>
      </c>
      <c r="R90" s="696">
        <v>9171.621261</v>
      </c>
      <c r="S90" s="696">
        <v>8056.27378</v>
      </c>
      <c r="T90" s="697">
        <v>10339.67374</v>
      </c>
      <c r="V90" s="681" t="s">
        <v>30</v>
      </c>
      <c r="W90" s="682" t="s">
        <v>921</v>
      </c>
      <c r="X90" s="682" t="s">
        <v>915</v>
      </c>
      <c r="Y90" s="682" t="s">
        <v>923</v>
      </c>
      <c r="Z90" s="682">
        <v>2021.0</v>
      </c>
      <c r="AA90" s="682" t="s">
        <v>919</v>
      </c>
      <c r="AB90" s="685" t="s">
        <v>112</v>
      </c>
      <c r="AC90" s="686">
        <v>50.36035612</v>
      </c>
      <c r="AD90" s="686">
        <v>24.38306314</v>
      </c>
      <c r="AE90" s="687">
        <v>83.92134651</v>
      </c>
      <c r="AF90" s="669"/>
    </row>
    <row r="91">
      <c r="A91" s="675"/>
      <c r="B91" s="681" t="s">
        <v>34</v>
      </c>
      <c r="C91" s="682" t="s">
        <v>915</v>
      </c>
      <c r="D91" s="682" t="s">
        <v>926</v>
      </c>
      <c r="E91" s="682" t="s">
        <v>917</v>
      </c>
      <c r="F91" s="682">
        <v>2021.0</v>
      </c>
      <c r="G91" s="683">
        <v>0.1281887</v>
      </c>
      <c r="H91" s="683">
        <v>0.108737828</v>
      </c>
      <c r="I91" s="684">
        <v>0.149380709</v>
      </c>
      <c r="K91" s="693" t="s">
        <v>30</v>
      </c>
      <c r="L91" s="694" t="s">
        <v>917</v>
      </c>
      <c r="M91" s="694" t="s">
        <v>915</v>
      </c>
      <c r="N91" s="694" t="s">
        <v>925</v>
      </c>
      <c r="O91" s="694">
        <v>2021.0</v>
      </c>
      <c r="P91" s="694" t="s">
        <v>919</v>
      </c>
      <c r="Q91" s="695" t="s">
        <v>112</v>
      </c>
      <c r="R91" s="696">
        <v>1733.237346</v>
      </c>
      <c r="S91" s="696">
        <v>1517.859708</v>
      </c>
      <c r="T91" s="697">
        <v>1960.748289</v>
      </c>
      <c r="V91" s="681" t="s">
        <v>30</v>
      </c>
      <c r="W91" s="682" t="s">
        <v>921</v>
      </c>
      <c r="X91" s="682" t="s">
        <v>915</v>
      </c>
      <c r="Y91" s="682" t="s">
        <v>925</v>
      </c>
      <c r="Z91" s="682">
        <v>2021.0</v>
      </c>
      <c r="AA91" s="682" t="s">
        <v>919</v>
      </c>
      <c r="AB91" s="685" t="s">
        <v>112</v>
      </c>
      <c r="AC91" s="686">
        <v>48.78350373</v>
      </c>
      <c r="AD91" s="686">
        <v>24.01488591</v>
      </c>
      <c r="AE91" s="687">
        <v>82.86714113</v>
      </c>
      <c r="AF91" s="669"/>
    </row>
    <row r="92">
      <c r="A92" s="675"/>
      <c r="B92" s="681" t="s">
        <v>54</v>
      </c>
      <c r="C92" s="682" t="s">
        <v>915</v>
      </c>
      <c r="D92" s="682" t="s">
        <v>916</v>
      </c>
      <c r="E92" s="682" t="s">
        <v>917</v>
      </c>
      <c r="F92" s="682">
        <v>2021.0</v>
      </c>
      <c r="G92" s="683">
        <v>0.079409316</v>
      </c>
      <c r="H92" s="683">
        <v>0.06084729</v>
      </c>
      <c r="I92" s="684">
        <v>0.103282508</v>
      </c>
      <c r="K92" s="693" t="s">
        <v>30</v>
      </c>
      <c r="L92" s="694" t="s">
        <v>917</v>
      </c>
      <c r="M92" s="694" t="s">
        <v>915</v>
      </c>
      <c r="N92" s="694" t="s">
        <v>927</v>
      </c>
      <c r="O92" s="694">
        <v>2021.0</v>
      </c>
      <c r="P92" s="694" t="s">
        <v>919</v>
      </c>
      <c r="Q92" s="695" t="s">
        <v>112</v>
      </c>
      <c r="R92" s="696">
        <v>9562.388712</v>
      </c>
      <c r="S92" s="696">
        <v>8490.258761</v>
      </c>
      <c r="T92" s="697">
        <v>10790.62373</v>
      </c>
      <c r="V92" s="681" t="s">
        <v>30</v>
      </c>
      <c r="W92" s="682" t="s">
        <v>921</v>
      </c>
      <c r="X92" s="682" t="s">
        <v>915</v>
      </c>
      <c r="Y92" s="682" t="s">
        <v>927</v>
      </c>
      <c r="Z92" s="682">
        <v>2021.0</v>
      </c>
      <c r="AA92" s="682" t="s">
        <v>919</v>
      </c>
      <c r="AB92" s="685" t="s">
        <v>112</v>
      </c>
      <c r="AC92" s="686">
        <v>1168.613414</v>
      </c>
      <c r="AD92" s="686">
        <v>705.4246705</v>
      </c>
      <c r="AE92" s="687">
        <v>1748.017508</v>
      </c>
      <c r="AF92" s="669"/>
    </row>
    <row r="93">
      <c r="A93" s="675"/>
      <c r="B93" s="681" t="s">
        <v>54</v>
      </c>
      <c r="C93" s="682" t="s">
        <v>915</v>
      </c>
      <c r="D93" s="682" t="s">
        <v>922</v>
      </c>
      <c r="E93" s="682" t="s">
        <v>917</v>
      </c>
      <c r="F93" s="682">
        <v>2021.0</v>
      </c>
      <c r="G93" s="683">
        <v>0.419426719</v>
      </c>
      <c r="H93" s="683">
        <v>0.356762867</v>
      </c>
      <c r="I93" s="684">
        <v>0.489375291</v>
      </c>
      <c r="K93" s="693" t="s">
        <v>30</v>
      </c>
      <c r="L93" s="694" t="s">
        <v>917</v>
      </c>
      <c r="M93" s="694" t="s">
        <v>915</v>
      </c>
      <c r="N93" s="694" t="s">
        <v>926</v>
      </c>
      <c r="O93" s="694">
        <v>2021.0</v>
      </c>
      <c r="P93" s="694" t="s">
        <v>919</v>
      </c>
      <c r="Q93" s="695" t="s">
        <v>112</v>
      </c>
      <c r="R93" s="696">
        <v>38266.1237</v>
      </c>
      <c r="S93" s="696">
        <v>32347.08168</v>
      </c>
      <c r="T93" s="697">
        <v>44819.82689</v>
      </c>
      <c r="V93" s="681" t="s">
        <v>30</v>
      </c>
      <c r="W93" s="682" t="s">
        <v>921</v>
      </c>
      <c r="X93" s="682" t="s">
        <v>915</v>
      </c>
      <c r="Y93" s="682" t="s">
        <v>926</v>
      </c>
      <c r="Z93" s="682">
        <v>2021.0</v>
      </c>
      <c r="AA93" s="682" t="s">
        <v>919</v>
      </c>
      <c r="AB93" s="685" t="s">
        <v>112</v>
      </c>
      <c r="AC93" s="686">
        <v>2410.60305</v>
      </c>
      <c r="AD93" s="686">
        <v>1422.369748</v>
      </c>
      <c r="AE93" s="687">
        <v>3687.632708</v>
      </c>
      <c r="AF93" s="669"/>
    </row>
    <row r="94">
      <c r="A94" s="675"/>
      <c r="B94" s="681" t="s">
        <v>54</v>
      </c>
      <c r="C94" s="682" t="s">
        <v>915</v>
      </c>
      <c r="D94" s="682" t="s">
        <v>924</v>
      </c>
      <c r="E94" s="682" t="s">
        <v>917</v>
      </c>
      <c r="F94" s="682">
        <v>2021.0</v>
      </c>
      <c r="G94" s="683">
        <v>0.006732077</v>
      </c>
      <c r="H94" s="683">
        <v>0.005627966</v>
      </c>
      <c r="I94" s="684">
        <v>0.008229305</v>
      </c>
      <c r="K94" s="693" t="s">
        <v>31</v>
      </c>
      <c r="L94" s="694" t="s">
        <v>917</v>
      </c>
      <c r="M94" s="694" t="s">
        <v>915</v>
      </c>
      <c r="N94" s="694" t="s">
        <v>918</v>
      </c>
      <c r="O94" s="694">
        <v>2021.0</v>
      </c>
      <c r="P94" s="694" t="s">
        <v>919</v>
      </c>
      <c r="Q94" s="695" t="s">
        <v>112</v>
      </c>
      <c r="R94" s="696">
        <v>12795.26953</v>
      </c>
      <c r="S94" s="696">
        <v>10358.9845</v>
      </c>
      <c r="T94" s="697">
        <v>15861.19683</v>
      </c>
      <c r="V94" s="681" t="s">
        <v>31</v>
      </c>
      <c r="W94" s="682" t="s">
        <v>921</v>
      </c>
      <c r="X94" s="682" t="s">
        <v>915</v>
      </c>
      <c r="Y94" s="682" t="s">
        <v>918</v>
      </c>
      <c r="Z94" s="682">
        <v>2021.0</v>
      </c>
      <c r="AA94" s="682" t="s">
        <v>919</v>
      </c>
      <c r="AB94" s="685" t="s">
        <v>112</v>
      </c>
      <c r="AC94" s="686">
        <v>389.5968869</v>
      </c>
      <c r="AD94" s="686">
        <v>172.5358627</v>
      </c>
      <c r="AE94" s="687">
        <v>816.5441832</v>
      </c>
      <c r="AF94" s="669"/>
    </row>
    <row r="95">
      <c r="A95" s="675"/>
      <c r="B95" s="681" t="s">
        <v>54</v>
      </c>
      <c r="C95" s="682" t="s">
        <v>915</v>
      </c>
      <c r="D95" s="682" t="s">
        <v>926</v>
      </c>
      <c r="E95" s="682" t="s">
        <v>917</v>
      </c>
      <c r="F95" s="682">
        <v>2021.0</v>
      </c>
      <c r="G95" s="683">
        <v>0.054692493</v>
      </c>
      <c r="H95" s="683">
        <v>0.044602627</v>
      </c>
      <c r="I95" s="684">
        <v>0.06743043</v>
      </c>
      <c r="K95" s="693" t="s">
        <v>31</v>
      </c>
      <c r="L95" s="694" t="s">
        <v>917</v>
      </c>
      <c r="M95" s="694" t="s">
        <v>915</v>
      </c>
      <c r="N95" s="694" t="s">
        <v>923</v>
      </c>
      <c r="O95" s="694">
        <v>2021.0</v>
      </c>
      <c r="P95" s="694" t="s">
        <v>919</v>
      </c>
      <c r="Q95" s="695" t="s">
        <v>112</v>
      </c>
      <c r="R95" s="696">
        <v>12303.36782</v>
      </c>
      <c r="S95" s="696">
        <v>9876.906844</v>
      </c>
      <c r="T95" s="697">
        <v>15432.73669</v>
      </c>
      <c r="V95" s="681" t="s">
        <v>31</v>
      </c>
      <c r="W95" s="682" t="s">
        <v>921</v>
      </c>
      <c r="X95" s="682" t="s">
        <v>915</v>
      </c>
      <c r="Y95" s="682" t="s">
        <v>923</v>
      </c>
      <c r="Z95" s="682">
        <v>2021.0</v>
      </c>
      <c r="AA95" s="682" t="s">
        <v>919</v>
      </c>
      <c r="AB95" s="685" t="s">
        <v>112</v>
      </c>
      <c r="AC95" s="686">
        <v>30.22220588</v>
      </c>
      <c r="AD95" s="686">
        <v>14.75057865</v>
      </c>
      <c r="AE95" s="687">
        <v>58.44823992</v>
      </c>
      <c r="AF95" s="669"/>
    </row>
    <row r="96">
      <c r="A96" s="675"/>
      <c r="B96" s="681" t="s">
        <v>55</v>
      </c>
      <c r="C96" s="682" t="s">
        <v>915</v>
      </c>
      <c r="D96" s="682" t="s">
        <v>916</v>
      </c>
      <c r="E96" s="682" t="s">
        <v>917</v>
      </c>
      <c r="F96" s="682">
        <v>2021.0</v>
      </c>
      <c r="G96" s="683">
        <v>0.096459754</v>
      </c>
      <c r="H96" s="683">
        <v>0.074781529</v>
      </c>
      <c r="I96" s="684">
        <v>0.122863397</v>
      </c>
      <c r="K96" s="693" t="s">
        <v>31</v>
      </c>
      <c r="L96" s="694" t="s">
        <v>917</v>
      </c>
      <c r="M96" s="694" t="s">
        <v>915</v>
      </c>
      <c r="N96" s="694" t="s">
        <v>925</v>
      </c>
      <c r="O96" s="694">
        <v>2021.0</v>
      </c>
      <c r="P96" s="694" t="s">
        <v>919</v>
      </c>
      <c r="Q96" s="695" t="s">
        <v>112</v>
      </c>
      <c r="R96" s="696">
        <v>3008.604456</v>
      </c>
      <c r="S96" s="696">
        <v>2453.412163</v>
      </c>
      <c r="T96" s="697">
        <v>3698.63196</v>
      </c>
      <c r="V96" s="681" t="s">
        <v>31</v>
      </c>
      <c r="W96" s="682" t="s">
        <v>921</v>
      </c>
      <c r="X96" s="682" t="s">
        <v>915</v>
      </c>
      <c r="Y96" s="682" t="s">
        <v>925</v>
      </c>
      <c r="Z96" s="682">
        <v>2021.0</v>
      </c>
      <c r="AA96" s="682" t="s">
        <v>919</v>
      </c>
      <c r="AB96" s="685" t="s">
        <v>112</v>
      </c>
      <c r="AC96" s="686">
        <v>36.54373339</v>
      </c>
      <c r="AD96" s="686">
        <v>16.52578318</v>
      </c>
      <c r="AE96" s="687">
        <v>74.28721064</v>
      </c>
      <c r="AF96" s="669"/>
    </row>
    <row r="97">
      <c r="A97" s="675"/>
      <c r="B97" s="681" t="s">
        <v>55</v>
      </c>
      <c r="C97" s="682" t="s">
        <v>915</v>
      </c>
      <c r="D97" s="682" t="s">
        <v>922</v>
      </c>
      <c r="E97" s="682" t="s">
        <v>917</v>
      </c>
      <c r="F97" s="682">
        <v>2021.0</v>
      </c>
      <c r="G97" s="683">
        <v>0.464926519</v>
      </c>
      <c r="H97" s="683">
        <v>0.404501195</v>
      </c>
      <c r="I97" s="684">
        <v>0.545092342</v>
      </c>
      <c r="K97" s="693" t="s">
        <v>31</v>
      </c>
      <c r="L97" s="694" t="s">
        <v>917</v>
      </c>
      <c r="M97" s="694" t="s">
        <v>915</v>
      </c>
      <c r="N97" s="694" t="s">
        <v>927</v>
      </c>
      <c r="O97" s="694">
        <v>2021.0</v>
      </c>
      <c r="P97" s="694" t="s">
        <v>919</v>
      </c>
      <c r="Q97" s="695" t="s">
        <v>112</v>
      </c>
      <c r="R97" s="696">
        <v>13792.92086</v>
      </c>
      <c r="S97" s="696">
        <v>11035.77511</v>
      </c>
      <c r="T97" s="697">
        <v>17181.48987</v>
      </c>
      <c r="V97" s="681" t="s">
        <v>31</v>
      </c>
      <c r="W97" s="682" t="s">
        <v>921</v>
      </c>
      <c r="X97" s="682" t="s">
        <v>915</v>
      </c>
      <c r="Y97" s="682" t="s">
        <v>927</v>
      </c>
      <c r="Z97" s="682">
        <v>2021.0</v>
      </c>
      <c r="AA97" s="682" t="s">
        <v>919</v>
      </c>
      <c r="AB97" s="685" t="s">
        <v>112</v>
      </c>
      <c r="AC97" s="686">
        <v>817.0856577</v>
      </c>
      <c r="AD97" s="686">
        <v>398.9104279</v>
      </c>
      <c r="AE97" s="687">
        <v>1622.61149</v>
      </c>
      <c r="AF97" s="669"/>
    </row>
    <row r="98">
      <c r="A98" s="675"/>
      <c r="B98" s="681" t="s">
        <v>55</v>
      </c>
      <c r="C98" s="682" t="s">
        <v>915</v>
      </c>
      <c r="D98" s="682" t="s">
        <v>924</v>
      </c>
      <c r="E98" s="682" t="s">
        <v>917</v>
      </c>
      <c r="F98" s="682">
        <v>2021.0</v>
      </c>
      <c r="G98" s="683">
        <v>0.006599185</v>
      </c>
      <c r="H98" s="683">
        <v>0.005465293</v>
      </c>
      <c r="I98" s="684">
        <v>0.008126341</v>
      </c>
      <c r="K98" s="693" t="s">
        <v>31</v>
      </c>
      <c r="L98" s="694" t="s">
        <v>917</v>
      </c>
      <c r="M98" s="694" t="s">
        <v>915</v>
      </c>
      <c r="N98" s="694" t="s">
        <v>926</v>
      </c>
      <c r="O98" s="694">
        <v>2021.0</v>
      </c>
      <c r="P98" s="694" t="s">
        <v>919</v>
      </c>
      <c r="Q98" s="695" t="s">
        <v>112</v>
      </c>
      <c r="R98" s="696">
        <v>41900.16266</v>
      </c>
      <c r="S98" s="696">
        <v>34080.2639</v>
      </c>
      <c r="T98" s="697">
        <v>51488.36656</v>
      </c>
      <c r="V98" s="681" t="s">
        <v>31</v>
      </c>
      <c r="W98" s="682" t="s">
        <v>921</v>
      </c>
      <c r="X98" s="682" t="s">
        <v>915</v>
      </c>
      <c r="Y98" s="682" t="s">
        <v>926</v>
      </c>
      <c r="Z98" s="682">
        <v>2021.0</v>
      </c>
      <c r="AA98" s="682" t="s">
        <v>919</v>
      </c>
      <c r="AB98" s="685" t="s">
        <v>112</v>
      </c>
      <c r="AC98" s="686">
        <v>1273.448484</v>
      </c>
      <c r="AD98" s="686">
        <v>636.0121261</v>
      </c>
      <c r="AE98" s="687">
        <v>2413.157997</v>
      </c>
      <c r="AF98" s="669"/>
    </row>
    <row r="99">
      <c r="A99" s="675"/>
      <c r="B99" s="681" t="s">
        <v>55</v>
      </c>
      <c r="C99" s="682" t="s">
        <v>915</v>
      </c>
      <c r="D99" s="682" t="s">
        <v>926</v>
      </c>
      <c r="E99" s="682" t="s">
        <v>917</v>
      </c>
      <c r="F99" s="682">
        <v>2021.0</v>
      </c>
      <c r="G99" s="683">
        <v>0.048396453</v>
      </c>
      <c r="H99" s="683">
        <v>0.038954084</v>
      </c>
      <c r="I99" s="684">
        <v>0.061298747</v>
      </c>
      <c r="K99" s="693" t="s">
        <v>32</v>
      </c>
      <c r="L99" s="694" t="s">
        <v>917</v>
      </c>
      <c r="M99" s="694" t="s">
        <v>915</v>
      </c>
      <c r="N99" s="694" t="s">
        <v>918</v>
      </c>
      <c r="O99" s="694">
        <v>2021.0</v>
      </c>
      <c r="P99" s="694" t="s">
        <v>919</v>
      </c>
      <c r="Q99" s="695" t="s">
        <v>112</v>
      </c>
      <c r="R99" s="696">
        <v>44429.1284</v>
      </c>
      <c r="S99" s="696">
        <v>35957.06366</v>
      </c>
      <c r="T99" s="697">
        <v>53884.61275</v>
      </c>
      <c r="V99" s="681" t="s">
        <v>32</v>
      </c>
      <c r="W99" s="682" t="s">
        <v>921</v>
      </c>
      <c r="X99" s="682" t="s">
        <v>915</v>
      </c>
      <c r="Y99" s="682" t="s">
        <v>918</v>
      </c>
      <c r="Z99" s="682">
        <v>2021.0</v>
      </c>
      <c r="AA99" s="682" t="s">
        <v>919</v>
      </c>
      <c r="AB99" s="685" t="s">
        <v>112</v>
      </c>
      <c r="AC99" s="686">
        <v>2306.559709</v>
      </c>
      <c r="AD99" s="686">
        <v>1112.138247</v>
      </c>
      <c r="AE99" s="687">
        <v>4201.269785</v>
      </c>
      <c r="AF99" s="669"/>
    </row>
    <row r="100">
      <c r="A100" s="675"/>
      <c r="B100" s="681" t="s">
        <v>56</v>
      </c>
      <c r="C100" s="682" t="s">
        <v>915</v>
      </c>
      <c r="D100" s="682" t="s">
        <v>916</v>
      </c>
      <c r="E100" s="682" t="s">
        <v>917</v>
      </c>
      <c r="F100" s="682">
        <v>2021.0</v>
      </c>
      <c r="G100" s="683">
        <v>0.079914723</v>
      </c>
      <c r="H100" s="683">
        <v>0.064322524</v>
      </c>
      <c r="I100" s="684">
        <v>0.100076744</v>
      </c>
      <c r="K100" s="693" t="s">
        <v>32</v>
      </c>
      <c r="L100" s="694" t="s">
        <v>917</v>
      </c>
      <c r="M100" s="694" t="s">
        <v>915</v>
      </c>
      <c r="N100" s="694" t="s">
        <v>923</v>
      </c>
      <c r="O100" s="694">
        <v>2021.0</v>
      </c>
      <c r="P100" s="694" t="s">
        <v>919</v>
      </c>
      <c r="Q100" s="695" t="s">
        <v>112</v>
      </c>
      <c r="R100" s="696">
        <v>32704.98898</v>
      </c>
      <c r="S100" s="696">
        <v>27062.48366</v>
      </c>
      <c r="T100" s="697">
        <v>39838.01739</v>
      </c>
      <c r="V100" s="681" t="s">
        <v>32</v>
      </c>
      <c r="W100" s="682" t="s">
        <v>921</v>
      </c>
      <c r="X100" s="682" t="s">
        <v>915</v>
      </c>
      <c r="Y100" s="682" t="s">
        <v>923</v>
      </c>
      <c r="Z100" s="682">
        <v>2021.0</v>
      </c>
      <c r="AA100" s="682" t="s">
        <v>919</v>
      </c>
      <c r="AB100" s="685" t="s">
        <v>112</v>
      </c>
      <c r="AC100" s="686">
        <v>144.822164</v>
      </c>
      <c r="AD100" s="686">
        <v>77.86477852</v>
      </c>
      <c r="AE100" s="687">
        <v>247.0203986</v>
      </c>
      <c r="AF100" s="669"/>
    </row>
    <row r="101">
      <c r="A101" s="675"/>
      <c r="B101" s="681" t="s">
        <v>56</v>
      </c>
      <c r="C101" s="682" t="s">
        <v>915</v>
      </c>
      <c r="D101" s="682" t="s">
        <v>922</v>
      </c>
      <c r="E101" s="682" t="s">
        <v>917</v>
      </c>
      <c r="F101" s="682">
        <v>2021.0</v>
      </c>
      <c r="G101" s="683">
        <v>0.441974353</v>
      </c>
      <c r="H101" s="683">
        <v>0.385966545</v>
      </c>
      <c r="I101" s="684">
        <v>0.500749917</v>
      </c>
      <c r="K101" s="693" t="s">
        <v>32</v>
      </c>
      <c r="L101" s="694" t="s">
        <v>917</v>
      </c>
      <c r="M101" s="694" t="s">
        <v>915</v>
      </c>
      <c r="N101" s="694" t="s">
        <v>925</v>
      </c>
      <c r="O101" s="694">
        <v>2021.0</v>
      </c>
      <c r="P101" s="694" t="s">
        <v>919</v>
      </c>
      <c r="Q101" s="695" t="s">
        <v>112</v>
      </c>
      <c r="R101" s="696">
        <v>7428.422647</v>
      </c>
      <c r="S101" s="696">
        <v>6197.705567</v>
      </c>
      <c r="T101" s="697">
        <v>8940.751693</v>
      </c>
      <c r="V101" s="681" t="s">
        <v>32</v>
      </c>
      <c r="W101" s="682" t="s">
        <v>921</v>
      </c>
      <c r="X101" s="682" t="s">
        <v>915</v>
      </c>
      <c r="Y101" s="682" t="s">
        <v>925</v>
      </c>
      <c r="Z101" s="682">
        <v>2021.0</v>
      </c>
      <c r="AA101" s="682" t="s">
        <v>919</v>
      </c>
      <c r="AB101" s="685" t="s">
        <v>112</v>
      </c>
      <c r="AC101" s="686">
        <v>170.2882011</v>
      </c>
      <c r="AD101" s="686">
        <v>87.26840538</v>
      </c>
      <c r="AE101" s="687">
        <v>297.6654279</v>
      </c>
      <c r="AF101" s="669"/>
    </row>
    <row r="102">
      <c r="A102" s="675"/>
      <c r="B102" s="681" t="s">
        <v>56</v>
      </c>
      <c r="C102" s="682" t="s">
        <v>915</v>
      </c>
      <c r="D102" s="682" t="s">
        <v>924</v>
      </c>
      <c r="E102" s="682" t="s">
        <v>917</v>
      </c>
      <c r="F102" s="682">
        <v>2021.0</v>
      </c>
      <c r="G102" s="683">
        <v>0.007009201</v>
      </c>
      <c r="H102" s="683">
        <v>0.005792726</v>
      </c>
      <c r="I102" s="684">
        <v>0.00857931</v>
      </c>
      <c r="K102" s="693" t="s">
        <v>32</v>
      </c>
      <c r="L102" s="694" t="s">
        <v>917</v>
      </c>
      <c r="M102" s="694" t="s">
        <v>915</v>
      </c>
      <c r="N102" s="694" t="s">
        <v>927</v>
      </c>
      <c r="O102" s="694">
        <v>2021.0</v>
      </c>
      <c r="P102" s="694" t="s">
        <v>919</v>
      </c>
      <c r="Q102" s="695" t="s">
        <v>112</v>
      </c>
      <c r="R102" s="696">
        <v>24691.91121</v>
      </c>
      <c r="S102" s="696">
        <v>20180.89852</v>
      </c>
      <c r="T102" s="697">
        <v>30201.16953</v>
      </c>
      <c r="V102" s="681" t="s">
        <v>32</v>
      </c>
      <c r="W102" s="682" t="s">
        <v>921</v>
      </c>
      <c r="X102" s="682" t="s">
        <v>915</v>
      </c>
      <c r="Y102" s="682" t="s">
        <v>927</v>
      </c>
      <c r="Z102" s="682">
        <v>2021.0</v>
      </c>
      <c r="AA102" s="682" t="s">
        <v>919</v>
      </c>
      <c r="AB102" s="685" t="s">
        <v>112</v>
      </c>
      <c r="AC102" s="686">
        <v>2755.42342</v>
      </c>
      <c r="AD102" s="686">
        <v>1512.459927</v>
      </c>
      <c r="AE102" s="687">
        <v>4765.432221</v>
      </c>
      <c r="AF102" s="669"/>
    </row>
    <row r="103">
      <c r="A103" s="675"/>
      <c r="B103" s="681" t="s">
        <v>56</v>
      </c>
      <c r="C103" s="682" t="s">
        <v>915</v>
      </c>
      <c r="D103" s="682" t="s">
        <v>926</v>
      </c>
      <c r="E103" s="682" t="s">
        <v>917</v>
      </c>
      <c r="F103" s="682">
        <v>2021.0</v>
      </c>
      <c r="G103" s="683">
        <v>0.056410043</v>
      </c>
      <c r="H103" s="683">
        <v>0.04438531</v>
      </c>
      <c r="I103" s="684">
        <v>0.071174545</v>
      </c>
      <c r="K103" s="693" t="s">
        <v>32</v>
      </c>
      <c r="L103" s="694" t="s">
        <v>917</v>
      </c>
      <c r="M103" s="694" t="s">
        <v>915</v>
      </c>
      <c r="N103" s="694" t="s">
        <v>926</v>
      </c>
      <c r="O103" s="694">
        <v>2021.0</v>
      </c>
      <c r="P103" s="694" t="s">
        <v>919</v>
      </c>
      <c r="Q103" s="695" t="s">
        <v>112</v>
      </c>
      <c r="R103" s="696">
        <v>109254.4512</v>
      </c>
      <c r="S103" s="696">
        <v>90144.78297</v>
      </c>
      <c r="T103" s="697">
        <v>132240.7154</v>
      </c>
      <c r="V103" s="681" t="s">
        <v>32</v>
      </c>
      <c r="W103" s="682" t="s">
        <v>921</v>
      </c>
      <c r="X103" s="682" t="s">
        <v>915</v>
      </c>
      <c r="Y103" s="682" t="s">
        <v>926</v>
      </c>
      <c r="Z103" s="682">
        <v>2021.0</v>
      </c>
      <c r="AA103" s="682" t="s">
        <v>919</v>
      </c>
      <c r="AB103" s="685" t="s">
        <v>112</v>
      </c>
      <c r="AC103" s="686">
        <v>5377.093494</v>
      </c>
      <c r="AD103" s="686">
        <v>2967.8956</v>
      </c>
      <c r="AE103" s="687">
        <v>8814.843002</v>
      </c>
      <c r="AF103" s="669"/>
    </row>
    <row r="104">
      <c r="A104" s="675"/>
      <c r="B104" s="681" t="s">
        <v>57</v>
      </c>
      <c r="C104" s="682" t="s">
        <v>915</v>
      </c>
      <c r="D104" s="682" t="s">
        <v>916</v>
      </c>
      <c r="E104" s="682" t="s">
        <v>917</v>
      </c>
      <c r="F104" s="682">
        <v>2021.0</v>
      </c>
      <c r="G104" s="683">
        <v>0.101897633</v>
      </c>
      <c r="H104" s="683">
        <v>0.081609965</v>
      </c>
      <c r="I104" s="684">
        <v>0.127996618</v>
      </c>
      <c r="K104" s="693" t="s">
        <v>33</v>
      </c>
      <c r="L104" s="694" t="s">
        <v>917</v>
      </c>
      <c r="M104" s="694" t="s">
        <v>915</v>
      </c>
      <c r="N104" s="694" t="s">
        <v>918</v>
      </c>
      <c r="O104" s="694">
        <v>2021.0</v>
      </c>
      <c r="P104" s="694" t="s">
        <v>919</v>
      </c>
      <c r="Q104" s="695" t="s">
        <v>112</v>
      </c>
      <c r="R104" s="696">
        <v>23731.24991</v>
      </c>
      <c r="S104" s="696">
        <v>19563.36223</v>
      </c>
      <c r="T104" s="697">
        <v>28802.37805</v>
      </c>
      <c r="V104" s="681" t="s">
        <v>33</v>
      </c>
      <c r="W104" s="682" t="s">
        <v>921</v>
      </c>
      <c r="X104" s="682" t="s">
        <v>915</v>
      </c>
      <c r="Y104" s="682" t="s">
        <v>918</v>
      </c>
      <c r="Z104" s="682">
        <v>2021.0</v>
      </c>
      <c r="AA104" s="682" t="s">
        <v>919</v>
      </c>
      <c r="AB104" s="685" t="s">
        <v>112</v>
      </c>
      <c r="AC104" s="686">
        <v>1653.367175</v>
      </c>
      <c r="AD104" s="686">
        <v>829.4799076</v>
      </c>
      <c r="AE104" s="687">
        <v>2807.429966</v>
      </c>
      <c r="AF104" s="669"/>
    </row>
    <row r="105">
      <c r="A105" s="350"/>
      <c r="B105" s="681" t="s">
        <v>57</v>
      </c>
      <c r="C105" s="682" t="s">
        <v>915</v>
      </c>
      <c r="D105" s="682" t="s">
        <v>922</v>
      </c>
      <c r="E105" s="682" t="s">
        <v>917</v>
      </c>
      <c r="F105" s="682">
        <v>2021.0</v>
      </c>
      <c r="G105" s="683">
        <v>0.495585481</v>
      </c>
      <c r="H105" s="683">
        <v>0.436624698</v>
      </c>
      <c r="I105" s="684">
        <v>0.568880658</v>
      </c>
      <c r="K105" s="693" t="s">
        <v>33</v>
      </c>
      <c r="L105" s="694" t="s">
        <v>917</v>
      </c>
      <c r="M105" s="694" t="s">
        <v>915</v>
      </c>
      <c r="N105" s="694" t="s">
        <v>923</v>
      </c>
      <c r="O105" s="694">
        <v>2021.0</v>
      </c>
      <c r="P105" s="694" t="s">
        <v>919</v>
      </c>
      <c r="Q105" s="695" t="s">
        <v>112</v>
      </c>
      <c r="R105" s="696">
        <v>13292.88063</v>
      </c>
      <c r="S105" s="696">
        <v>10781.89941</v>
      </c>
      <c r="T105" s="697">
        <v>16461.8554</v>
      </c>
      <c r="V105" s="681" t="s">
        <v>33</v>
      </c>
      <c r="W105" s="682" t="s">
        <v>921</v>
      </c>
      <c r="X105" s="682" t="s">
        <v>915</v>
      </c>
      <c r="Y105" s="682" t="s">
        <v>923</v>
      </c>
      <c r="Z105" s="682">
        <v>2021.0</v>
      </c>
      <c r="AA105" s="682" t="s">
        <v>919</v>
      </c>
      <c r="AB105" s="685" t="s">
        <v>112</v>
      </c>
      <c r="AC105" s="686">
        <v>88.0938199</v>
      </c>
      <c r="AD105" s="686">
        <v>39.83528069</v>
      </c>
      <c r="AE105" s="687">
        <v>143.4154318</v>
      </c>
      <c r="AF105" s="669"/>
    </row>
    <row r="106">
      <c r="A106" s="350"/>
      <c r="B106" s="681" t="s">
        <v>57</v>
      </c>
      <c r="C106" s="682" t="s">
        <v>915</v>
      </c>
      <c r="D106" s="682" t="s">
        <v>924</v>
      </c>
      <c r="E106" s="682" t="s">
        <v>917</v>
      </c>
      <c r="F106" s="682">
        <v>2021.0</v>
      </c>
      <c r="G106" s="683">
        <v>0.008983128</v>
      </c>
      <c r="H106" s="683">
        <v>0.007716454</v>
      </c>
      <c r="I106" s="684">
        <v>0.010658308</v>
      </c>
      <c r="K106" s="693" t="s">
        <v>33</v>
      </c>
      <c r="L106" s="694" t="s">
        <v>917</v>
      </c>
      <c r="M106" s="694" t="s">
        <v>915</v>
      </c>
      <c r="N106" s="694" t="s">
        <v>925</v>
      </c>
      <c r="O106" s="694">
        <v>2021.0</v>
      </c>
      <c r="P106" s="694" t="s">
        <v>919</v>
      </c>
      <c r="Q106" s="695" t="s">
        <v>112</v>
      </c>
      <c r="R106" s="696">
        <v>4319.116214</v>
      </c>
      <c r="S106" s="696">
        <v>3527.488581</v>
      </c>
      <c r="T106" s="697">
        <v>5228.817847</v>
      </c>
      <c r="V106" s="681" t="s">
        <v>33</v>
      </c>
      <c r="W106" s="682" t="s">
        <v>921</v>
      </c>
      <c r="X106" s="682" t="s">
        <v>915</v>
      </c>
      <c r="Y106" s="682" t="s">
        <v>925</v>
      </c>
      <c r="Z106" s="682">
        <v>2021.0</v>
      </c>
      <c r="AA106" s="682" t="s">
        <v>919</v>
      </c>
      <c r="AB106" s="685" t="s">
        <v>112</v>
      </c>
      <c r="AC106" s="686">
        <v>132.9720289</v>
      </c>
      <c r="AD106" s="686">
        <v>62.70985031</v>
      </c>
      <c r="AE106" s="687">
        <v>226.3272289</v>
      </c>
      <c r="AF106" s="669"/>
    </row>
    <row r="107">
      <c r="A107" s="675"/>
      <c r="B107" s="681" t="s">
        <v>57</v>
      </c>
      <c r="C107" s="682" t="s">
        <v>915</v>
      </c>
      <c r="D107" s="682" t="s">
        <v>926</v>
      </c>
      <c r="E107" s="682" t="s">
        <v>917</v>
      </c>
      <c r="F107" s="682">
        <v>2021.0</v>
      </c>
      <c r="G107" s="683">
        <v>0.074437746</v>
      </c>
      <c r="H107" s="683">
        <v>0.059189341</v>
      </c>
      <c r="I107" s="684">
        <v>0.090946163</v>
      </c>
      <c r="K107" s="693" t="s">
        <v>33</v>
      </c>
      <c r="L107" s="694" t="s">
        <v>917</v>
      </c>
      <c r="M107" s="694" t="s">
        <v>915</v>
      </c>
      <c r="N107" s="694" t="s">
        <v>927</v>
      </c>
      <c r="O107" s="694">
        <v>2021.0</v>
      </c>
      <c r="P107" s="694" t="s">
        <v>919</v>
      </c>
      <c r="Q107" s="695" t="s">
        <v>112</v>
      </c>
      <c r="R107" s="696">
        <v>14248.54637</v>
      </c>
      <c r="S107" s="696">
        <v>11517.49252</v>
      </c>
      <c r="T107" s="697">
        <v>17654.19802</v>
      </c>
      <c r="V107" s="681" t="s">
        <v>33</v>
      </c>
      <c r="W107" s="682" t="s">
        <v>921</v>
      </c>
      <c r="X107" s="682" t="s">
        <v>915</v>
      </c>
      <c r="Y107" s="682" t="s">
        <v>927</v>
      </c>
      <c r="Z107" s="682">
        <v>2021.0</v>
      </c>
      <c r="AA107" s="682" t="s">
        <v>919</v>
      </c>
      <c r="AB107" s="685" t="s">
        <v>112</v>
      </c>
      <c r="AC107" s="686">
        <v>1912.411613</v>
      </c>
      <c r="AD107" s="686">
        <v>1144.684086</v>
      </c>
      <c r="AE107" s="687">
        <v>3001.411142</v>
      </c>
      <c r="AF107" s="669"/>
    </row>
    <row r="108">
      <c r="A108" s="675"/>
      <c r="B108" s="681" t="s">
        <v>58</v>
      </c>
      <c r="C108" s="682" t="s">
        <v>915</v>
      </c>
      <c r="D108" s="682" t="s">
        <v>916</v>
      </c>
      <c r="E108" s="682" t="s">
        <v>917</v>
      </c>
      <c r="F108" s="682">
        <v>2021.0</v>
      </c>
      <c r="G108" s="683">
        <v>0.106782328</v>
      </c>
      <c r="H108" s="683">
        <v>0.083016693</v>
      </c>
      <c r="I108" s="684">
        <v>0.137755887</v>
      </c>
      <c r="K108" s="693" t="s">
        <v>33</v>
      </c>
      <c r="L108" s="694" t="s">
        <v>917</v>
      </c>
      <c r="M108" s="694" t="s">
        <v>915</v>
      </c>
      <c r="N108" s="694" t="s">
        <v>926</v>
      </c>
      <c r="O108" s="694">
        <v>2021.0</v>
      </c>
      <c r="P108" s="694" t="s">
        <v>919</v>
      </c>
      <c r="Q108" s="695" t="s">
        <v>112</v>
      </c>
      <c r="R108" s="696">
        <v>55591.79312</v>
      </c>
      <c r="S108" s="696">
        <v>45937.32956</v>
      </c>
      <c r="T108" s="697">
        <v>67248.79411</v>
      </c>
      <c r="V108" s="681" t="s">
        <v>33</v>
      </c>
      <c r="W108" s="682" t="s">
        <v>921</v>
      </c>
      <c r="X108" s="682" t="s">
        <v>915</v>
      </c>
      <c r="Y108" s="682" t="s">
        <v>926</v>
      </c>
      <c r="Z108" s="682">
        <v>2021.0</v>
      </c>
      <c r="AA108" s="682" t="s">
        <v>919</v>
      </c>
      <c r="AB108" s="685" t="s">
        <v>112</v>
      </c>
      <c r="AC108" s="686">
        <v>3786.844637</v>
      </c>
      <c r="AD108" s="686">
        <v>2327.765563</v>
      </c>
      <c r="AE108" s="687">
        <v>5706.227139</v>
      </c>
      <c r="AF108" s="669"/>
    </row>
    <row r="109">
      <c r="A109" s="675"/>
      <c r="B109" s="681" t="s">
        <v>58</v>
      </c>
      <c r="C109" s="682" t="s">
        <v>915</v>
      </c>
      <c r="D109" s="682" t="s">
        <v>922</v>
      </c>
      <c r="E109" s="682" t="s">
        <v>917</v>
      </c>
      <c r="F109" s="682">
        <v>2021.0</v>
      </c>
      <c r="G109" s="683">
        <v>0.512690201</v>
      </c>
      <c r="H109" s="683">
        <v>0.441715715</v>
      </c>
      <c r="I109" s="684">
        <v>0.600524226</v>
      </c>
      <c r="K109" s="693" t="s">
        <v>34</v>
      </c>
      <c r="L109" s="694" t="s">
        <v>917</v>
      </c>
      <c r="M109" s="694" t="s">
        <v>915</v>
      </c>
      <c r="N109" s="694" t="s">
        <v>918</v>
      </c>
      <c r="O109" s="694">
        <v>2021.0</v>
      </c>
      <c r="P109" s="694" t="s">
        <v>919</v>
      </c>
      <c r="Q109" s="695" t="s">
        <v>112</v>
      </c>
      <c r="R109" s="696">
        <v>11320.17924</v>
      </c>
      <c r="S109" s="696">
        <v>8827.737151</v>
      </c>
      <c r="T109" s="697">
        <v>14156.36136</v>
      </c>
      <c r="V109" s="681" t="s">
        <v>34</v>
      </c>
      <c r="W109" s="682" t="s">
        <v>921</v>
      </c>
      <c r="X109" s="682" t="s">
        <v>915</v>
      </c>
      <c r="Y109" s="682" t="s">
        <v>918</v>
      </c>
      <c r="Z109" s="682">
        <v>2021.0</v>
      </c>
      <c r="AA109" s="682" t="s">
        <v>919</v>
      </c>
      <c r="AB109" s="685" t="s">
        <v>112</v>
      </c>
      <c r="AC109" s="686">
        <v>833.7331683</v>
      </c>
      <c r="AD109" s="686">
        <v>454.2710795</v>
      </c>
      <c r="AE109" s="687">
        <v>1352.614757</v>
      </c>
      <c r="AF109" s="669"/>
    </row>
    <row r="110">
      <c r="A110" s="675"/>
      <c r="B110" s="681" t="s">
        <v>58</v>
      </c>
      <c r="C110" s="682" t="s">
        <v>915</v>
      </c>
      <c r="D110" s="682" t="s">
        <v>924</v>
      </c>
      <c r="E110" s="682" t="s">
        <v>917</v>
      </c>
      <c r="F110" s="682">
        <v>2021.0</v>
      </c>
      <c r="G110" s="683">
        <v>0.0103059</v>
      </c>
      <c r="H110" s="683">
        <v>0.008479835</v>
      </c>
      <c r="I110" s="684">
        <v>0.012632607</v>
      </c>
      <c r="K110" s="693" t="s">
        <v>34</v>
      </c>
      <c r="L110" s="694" t="s">
        <v>917</v>
      </c>
      <c r="M110" s="694" t="s">
        <v>915</v>
      </c>
      <c r="N110" s="694" t="s">
        <v>923</v>
      </c>
      <c r="O110" s="694">
        <v>2021.0</v>
      </c>
      <c r="P110" s="694" t="s">
        <v>919</v>
      </c>
      <c r="Q110" s="695" t="s">
        <v>112</v>
      </c>
      <c r="R110" s="696">
        <v>8196.515204</v>
      </c>
      <c r="S110" s="696">
        <v>7195.008567</v>
      </c>
      <c r="T110" s="697">
        <v>9262.363047</v>
      </c>
      <c r="V110" s="681" t="s">
        <v>34</v>
      </c>
      <c r="W110" s="682" t="s">
        <v>921</v>
      </c>
      <c r="X110" s="682" t="s">
        <v>915</v>
      </c>
      <c r="Y110" s="682" t="s">
        <v>923</v>
      </c>
      <c r="Z110" s="682">
        <v>2021.0</v>
      </c>
      <c r="AA110" s="682" t="s">
        <v>919</v>
      </c>
      <c r="AB110" s="685" t="s">
        <v>112</v>
      </c>
      <c r="AC110" s="686">
        <v>62.04717829</v>
      </c>
      <c r="AD110" s="686">
        <v>28.96511856</v>
      </c>
      <c r="AE110" s="687">
        <v>104.0672072</v>
      </c>
      <c r="AF110" s="669"/>
    </row>
    <row r="111">
      <c r="A111" s="675"/>
      <c r="B111" s="681" t="s">
        <v>58</v>
      </c>
      <c r="C111" s="682" t="s">
        <v>915</v>
      </c>
      <c r="D111" s="682" t="s">
        <v>926</v>
      </c>
      <c r="E111" s="682" t="s">
        <v>917</v>
      </c>
      <c r="F111" s="682">
        <v>2021.0</v>
      </c>
      <c r="G111" s="683">
        <v>0.087941889</v>
      </c>
      <c r="H111" s="683">
        <v>0.07189846</v>
      </c>
      <c r="I111" s="684">
        <v>0.107948305</v>
      </c>
      <c r="K111" s="693" t="s">
        <v>34</v>
      </c>
      <c r="L111" s="694" t="s">
        <v>917</v>
      </c>
      <c r="M111" s="694" t="s">
        <v>915</v>
      </c>
      <c r="N111" s="694" t="s">
        <v>925</v>
      </c>
      <c r="O111" s="694">
        <v>2021.0</v>
      </c>
      <c r="P111" s="694" t="s">
        <v>919</v>
      </c>
      <c r="Q111" s="695" t="s">
        <v>112</v>
      </c>
      <c r="R111" s="696">
        <v>1694.97129</v>
      </c>
      <c r="S111" s="696">
        <v>1467.848199</v>
      </c>
      <c r="T111" s="697">
        <v>1935.992836</v>
      </c>
      <c r="V111" s="681" t="s">
        <v>34</v>
      </c>
      <c r="W111" s="682" t="s">
        <v>921</v>
      </c>
      <c r="X111" s="682" t="s">
        <v>915</v>
      </c>
      <c r="Y111" s="682" t="s">
        <v>925</v>
      </c>
      <c r="Z111" s="682">
        <v>2021.0</v>
      </c>
      <c r="AA111" s="682" t="s">
        <v>919</v>
      </c>
      <c r="AB111" s="685" t="s">
        <v>112</v>
      </c>
      <c r="AC111" s="686">
        <v>53.28450667</v>
      </c>
      <c r="AD111" s="686">
        <v>26.35962979</v>
      </c>
      <c r="AE111" s="687">
        <v>88.17993144</v>
      </c>
      <c r="AF111" s="669"/>
    </row>
    <row r="112">
      <c r="A112" s="675"/>
      <c r="B112" s="681" t="s">
        <v>7</v>
      </c>
      <c r="C112" s="682" t="s">
        <v>915</v>
      </c>
      <c r="D112" s="682" t="s">
        <v>916</v>
      </c>
      <c r="E112" s="682" t="s">
        <v>917</v>
      </c>
      <c r="F112" s="682">
        <v>2021.0</v>
      </c>
      <c r="G112" s="683">
        <v>0.114662409</v>
      </c>
      <c r="H112" s="683">
        <v>0.098577494</v>
      </c>
      <c r="I112" s="684">
        <v>0.134173555</v>
      </c>
      <c r="K112" s="693" t="s">
        <v>34</v>
      </c>
      <c r="L112" s="694" t="s">
        <v>917</v>
      </c>
      <c r="M112" s="694" t="s">
        <v>915</v>
      </c>
      <c r="N112" s="694" t="s">
        <v>927</v>
      </c>
      <c r="O112" s="694">
        <v>2021.0</v>
      </c>
      <c r="P112" s="694" t="s">
        <v>919</v>
      </c>
      <c r="Q112" s="695" t="s">
        <v>112</v>
      </c>
      <c r="R112" s="696">
        <v>7940.123076</v>
      </c>
      <c r="S112" s="696">
        <v>6976.687657</v>
      </c>
      <c r="T112" s="697">
        <v>9034.455894</v>
      </c>
      <c r="V112" s="681" t="s">
        <v>34</v>
      </c>
      <c r="W112" s="682" t="s">
        <v>921</v>
      </c>
      <c r="X112" s="682" t="s">
        <v>915</v>
      </c>
      <c r="Y112" s="682" t="s">
        <v>927</v>
      </c>
      <c r="Z112" s="682">
        <v>2021.0</v>
      </c>
      <c r="AA112" s="682" t="s">
        <v>919</v>
      </c>
      <c r="AB112" s="685" t="s">
        <v>112</v>
      </c>
      <c r="AC112" s="686">
        <v>1142.180171</v>
      </c>
      <c r="AD112" s="686">
        <v>711.0117574</v>
      </c>
      <c r="AE112" s="687">
        <v>1687.150659</v>
      </c>
      <c r="AF112" s="669"/>
    </row>
    <row r="113">
      <c r="A113" s="675"/>
      <c r="B113" s="681" t="s">
        <v>7</v>
      </c>
      <c r="C113" s="682" t="s">
        <v>915</v>
      </c>
      <c r="D113" s="682" t="s">
        <v>922</v>
      </c>
      <c r="E113" s="682" t="s">
        <v>917</v>
      </c>
      <c r="F113" s="682">
        <v>2021.0</v>
      </c>
      <c r="G113" s="683">
        <v>0.502234677</v>
      </c>
      <c r="H113" s="683">
        <v>0.456511951</v>
      </c>
      <c r="I113" s="684">
        <v>0.555280119</v>
      </c>
      <c r="K113" s="693" t="s">
        <v>34</v>
      </c>
      <c r="L113" s="694" t="s">
        <v>917</v>
      </c>
      <c r="M113" s="694" t="s">
        <v>915</v>
      </c>
      <c r="N113" s="694" t="s">
        <v>926</v>
      </c>
      <c r="O113" s="694">
        <v>2021.0</v>
      </c>
      <c r="P113" s="694" t="s">
        <v>919</v>
      </c>
      <c r="Q113" s="695" t="s">
        <v>112</v>
      </c>
      <c r="R113" s="696">
        <v>29151.78881</v>
      </c>
      <c r="S113" s="696">
        <v>24519.90725</v>
      </c>
      <c r="T113" s="697">
        <v>34182.56169</v>
      </c>
      <c r="V113" s="681" t="s">
        <v>34</v>
      </c>
      <c r="W113" s="682" t="s">
        <v>921</v>
      </c>
      <c r="X113" s="682" t="s">
        <v>915</v>
      </c>
      <c r="Y113" s="682" t="s">
        <v>926</v>
      </c>
      <c r="Z113" s="682">
        <v>2021.0</v>
      </c>
      <c r="AA113" s="682" t="s">
        <v>919</v>
      </c>
      <c r="AB113" s="685" t="s">
        <v>112</v>
      </c>
      <c r="AC113" s="686">
        <v>2091.245025</v>
      </c>
      <c r="AD113" s="686">
        <v>1326.361389</v>
      </c>
      <c r="AE113" s="687">
        <v>3075.285998</v>
      </c>
      <c r="AF113" s="669"/>
    </row>
    <row r="114">
      <c r="A114" s="675"/>
      <c r="B114" s="681" t="s">
        <v>7</v>
      </c>
      <c r="C114" s="682" t="s">
        <v>915</v>
      </c>
      <c r="D114" s="682" t="s">
        <v>924</v>
      </c>
      <c r="E114" s="682" t="s">
        <v>917</v>
      </c>
      <c r="F114" s="682">
        <v>2021.0</v>
      </c>
      <c r="G114" s="683">
        <v>0.010442447</v>
      </c>
      <c r="H114" s="683">
        <v>0.009180918</v>
      </c>
      <c r="I114" s="684">
        <v>0.012158616</v>
      </c>
      <c r="K114" s="693" t="s">
        <v>54</v>
      </c>
      <c r="L114" s="694" t="s">
        <v>917</v>
      </c>
      <c r="M114" s="694" t="s">
        <v>915</v>
      </c>
      <c r="N114" s="694" t="s">
        <v>918</v>
      </c>
      <c r="O114" s="694">
        <v>2021.0</v>
      </c>
      <c r="P114" s="694" t="s">
        <v>919</v>
      </c>
      <c r="Q114" s="695" t="s">
        <v>112</v>
      </c>
      <c r="R114" s="696">
        <v>1570.294852</v>
      </c>
      <c r="S114" s="696">
        <v>1242.436691</v>
      </c>
      <c r="T114" s="697">
        <v>1994.702678</v>
      </c>
      <c r="V114" s="681" t="s">
        <v>54</v>
      </c>
      <c r="W114" s="682" t="s">
        <v>921</v>
      </c>
      <c r="X114" s="682" t="s">
        <v>915</v>
      </c>
      <c r="Y114" s="682" t="s">
        <v>918</v>
      </c>
      <c r="Z114" s="682">
        <v>2021.0</v>
      </c>
      <c r="AA114" s="682" t="s">
        <v>919</v>
      </c>
      <c r="AB114" s="685" t="s">
        <v>112</v>
      </c>
      <c r="AC114" s="686">
        <v>38.88911687</v>
      </c>
      <c r="AD114" s="686">
        <v>15.35913784</v>
      </c>
      <c r="AE114" s="687">
        <v>75.25248429</v>
      </c>
      <c r="AF114" s="669"/>
    </row>
    <row r="115">
      <c r="A115" s="675"/>
      <c r="B115" s="681" t="s">
        <v>7</v>
      </c>
      <c r="C115" s="682" t="s">
        <v>915</v>
      </c>
      <c r="D115" s="682" t="s">
        <v>926</v>
      </c>
      <c r="E115" s="682" t="s">
        <v>917</v>
      </c>
      <c r="F115" s="682">
        <v>2021.0</v>
      </c>
      <c r="G115" s="683">
        <v>0.096349615</v>
      </c>
      <c r="H115" s="683">
        <v>0.081792365</v>
      </c>
      <c r="I115" s="684">
        <v>0.113906903</v>
      </c>
      <c r="K115" s="693" t="s">
        <v>54</v>
      </c>
      <c r="L115" s="694" t="s">
        <v>917</v>
      </c>
      <c r="M115" s="694" t="s">
        <v>915</v>
      </c>
      <c r="N115" s="694" t="s">
        <v>923</v>
      </c>
      <c r="O115" s="694">
        <v>2021.0</v>
      </c>
      <c r="P115" s="694" t="s">
        <v>919</v>
      </c>
      <c r="Q115" s="695" t="s">
        <v>112</v>
      </c>
      <c r="R115" s="696">
        <v>1708.174999</v>
      </c>
      <c r="S115" s="696">
        <v>1403.252452</v>
      </c>
      <c r="T115" s="697">
        <v>2104.08582</v>
      </c>
      <c r="V115" s="681" t="s">
        <v>54</v>
      </c>
      <c r="W115" s="682" t="s">
        <v>921</v>
      </c>
      <c r="X115" s="682" t="s">
        <v>915</v>
      </c>
      <c r="Y115" s="682" t="s">
        <v>923</v>
      </c>
      <c r="Z115" s="682">
        <v>2021.0</v>
      </c>
      <c r="AA115" s="682" t="s">
        <v>919</v>
      </c>
      <c r="AB115" s="685" t="s">
        <v>112</v>
      </c>
      <c r="AC115" s="686">
        <v>5.643334207</v>
      </c>
      <c r="AD115" s="686">
        <v>3.033991204</v>
      </c>
      <c r="AE115" s="687">
        <v>9.570874636</v>
      </c>
      <c r="AF115" s="669"/>
    </row>
    <row r="116">
      <c r="A116" s="675"/>
      <c r="B116" s="681" t="s">
        <v>59</v>
      </c>
      <c r="C116" s="682" t="s">
        <v>915</v>
      </c>
      <c r="D116" s="682" t="s">
        <v>916</v>
      </c>
      <c r="E116" s="682" t="s">
        <v>917</v>
      </c>
      <c r="F116" s="682">
        <v>2021.0</v>
      </c>
      <c r="G116" s="683">
        <v>0.116735267</v>
      </c>
      <c r="H116" s="683">
        <v>0.090943664</v>
      </c>
      <c r="I116" s="684">
        <v>0.150407391</v>
      </c>
      <c r="K116" s="693" t="s">
        <v>54</v>
      </c>
      <c r="L116" s="694" t="s">
        <v>917</v>
      </c>
      <c r="M116" s="694" t="s">
        <v>915</v>
      </c>
      <c r="N116" s="694" t="s">
        <v>925</v>
      </c>
      <c r="O116" s="694">
        <v>2021.0</v>
      </c>
      <c r="P116" s="694" t="s">
        <v>919</v>
      </c>
      <c r="Q116" s="695" t="s">
        <v>112</v>
      </c>
      <c r="R116" s="696">
        <v>350.6290272</v>
      </c>
      <c r="S116" s="696">
        <v>292.0689453</v>
      </c>
      <c r="T116" s="697">
        <v>426.3295871</v>
      </c>
      <c r="V116" s="681" t="s">
        <v>54</v>
      </c>
      <c r="W116" s="682" t="s">
        <v>921</v>
      </c>
      <c r="X116" s="682" t="s">
        <v>915</v>
      </c>
      <c r="Y116" s="682" t="s">
        <v>925</v>
      </c>
      <c r="Z116" s="682">
        <v>2021.0</v>
      </c>
      <c r="AA116" s="682" t="s">
        <v>919</v>
      </c>
      <c r="AB116" s="685" t="s">
        <v>112</v>
      </c>
      <c r="AC116" s="686">
        <v>4.688631751</v>
      </c>
      <c r="AD116" s="686">
        <v>1.746194223</v>
      </c>
      <c r="AE116" s="687">
        <v>11.00859111</v>
      </c>
      <c r="AF116" s="669"/>
    </row>
    <row r="117">
      <c r="A117" s="675"/>
      <c r="B117" s="681" t="s">
        <v>59</v>
      </c>
      <c r="C117" s="682" t="s">
        <v>915</v>
      </c>
      <c r="D117" s="682" t="s">
        <v>922</v>
      </c>
      <c r="E117" s="682" t="s">
        <v>917</v>
      </c>
      <c r="F117" s="682">
        <v>2021.0</v>
      </c>
      <c r="G117" s="683">
        <v>0.461500562</v>
      </c>
      <c r="H117" s="683">
        <v>0.397325417</v>
      </c>
      <c r="I117" s="684">
        <v>0.533277817</v>
      </c>
      <c r="K117" s="693" t="s">
        <v>54</v>
      </c>
      <c r="L117" s="694" t="s">
        <v>917</v>
      </c>
      <c r="M117" s="694" t="s">
        <v>915</v>
      </c>
      <c r="N117" s="694" t="s">
        <v>927</v>
      </c>
      <c r="O117" s="694">
        <v>2021.0</v>
      </c>
      <c r="P117" s="694" t="s">
        <v>919</v>
      </c>
      <c r="Q117" s="695" t="s">
        <v>112</v>
      </c>
      <c r="R117" s="696">
        <v>1069.428514</v>
      </c>
      <c r="S117" s="696">
        <v>871.6295862</v>
      </c>
      <c r="T117" s="697">
        <v>1337.470611</v>
      </c>
      <c r="V117" s="681" t="s">
        <v>54</v>
      </c>
      <c r="W117" s="682" t="s">
        <v>921</v>
      </c>
      <c r="X117" s="682" t="s">
        <v>915</v>
      </c>
      <c r="Y117" s="682" t="s">
        <v>927</v>
      </c>
      <c r="Z117" s="682">
        <v>2021.0</v>
      </c>
      <c r="AA117" s="682" t="s">
        <v>919</v>
      </c>
      <c r="AB117" s="685" t="s">
        <v>112</v>
      </c>
      <c r="AC117" s="686">
        <v>52.96966266</v>
      </c>
      <c r="AD117" s="686">
        <v>22.87320408</v>
      </c>
      <c r="AE117" s="687">
        <v>98.95576201</v>
      </c>
      <c r="AF117" s="669"/>
    </row>
    <row r="118">
      <c r="A118" s="675"/>
      <c r="B118" s="681" t="s">
        <v>59</v>
      </c>
      <c r="C118" s="682" t="s">
        <v>915</v>
      </c>
      <c r="D118" s="682" t="s">
        <v>924</v>
      </c>
      <c r="E118" s="682" t="s">
        <v>917</v>
      </c>
      <c r="F118" s="682">
        <v>2021.0</v>
      </c>
      <c r="G118" s="683">
        <v>0.007956665</v>
      </c>
      <c r="H118" s="683">
        <v>0.006581265</v>
      </c>
      <c r="I118" s="684">
        <v>0.009759712</v>
      </c>
      <c r="K118" s="693" t="s">
        <v>54</v>
      </c>
      <c r="L118" s="694" t="s">
        <v>917</v>
      </c>
      <c r="M118" s="694" t="s">
        <v>915</v>
      </c>
      <c r="N118" s="694" t="s">
        <v>926</v>
      </c>
      <c r="O118" s="694">
        <v>2021.0</v>
      </c>
      <c r="P118" s="694" t="s">
        <v>919</v>
      </c>
      <c r="Q118" s="695" t="s">
        <v>112</v>
      </c>
      <c r="R118" s="696">
        <v>4698.527392</v>
      </c>
      <c r="S118" s="696">
        <v>3810.351538</v>
      </c>
      <c r="T118" s="697">
        <v>5830.854732</v>
      </c>
      <c r="V118" s="681" t="s">
        <v>54</v>
      </c>
      <c r="W118" s="682" t="s">
        <v>921</v>
      </c>
      <c r="X118" s="682" t="s">
        <v>915</v>
      </c>
      <c r="Y118" s="682" t="s">
        <v>926</v>
      </c>
      <c r="Z118" s="682">
        <v>2021.0</v>
      </c>
      <c r="AA118" s="682" t="s">
        <v>919</v>
      </c>
      <c r="AB118" s="685" t="s">
        <v>112</v>
      </c>
      <c r="AC118" s="686">
        <v>102.1907455</v>
      </c>
      <c r="AD118" s="686">
        <v>48.11889298</v>
      </c>
      <c r="AE118" s="687">
        <v>183.4190221</v>
      </c>
      <c r="AF118" s="669"/>
    </row>
    <row r="119">
      <c r="A119" s="675"/>
      <c r="B119" s="681" t="s">
        <v>59</v>
      </c>
      <c r="C119" s="682" t="s">
        <v>915</v>
      </c>
      <c r="D119" s="682" t="s">
        <v>926</v>
      </c>
      <c r="E119" s="682" t="s">
        <v>917</v>
      </c>
      <c r="F119" s="682">
        <v>2021.0</v>
      </c>
      <c r="G119" s="683">
        <v>0.06218455</v>
      </c>
      <c r="H119" s="683">
        <v>0.049363822</v>
      </c>
      <c r="I119" s="684">
        <v>0.078740163</v>
      </c>
      <c r="K119" s="693" t="s">
        <v>55</v>
      </c>
      <c r="L119" s="694" t="s">
        <v>917</v>
      </c>
      <c r="M119" s="694" t="s">
        <v>915</v>
      </c>
      <c r="N119" s="694" t="s">
        <v>918</v>
      </c>
      <c r="O119" s="694">
        <v>2021.0</v>
      </c>
      <c r="P119" s="694" t="s">
        <v>919</v>
      </c>
      <c r="Q119" s="695" t="s">
        <v>112</v>
      </c>
      <c r="R119" s="696">
        <v>1306.7656</v>
      </c>
      <c r="S119" s="696">
        <v>1023.596</v>
      </c>
      <c r="T119" s="697">
        <v>1690.077776</v>
      </c>
      <c r="V119" s="681" t="s">
        <v>55</v>
      </c>
      <c r="W119" s="682" t="s">
        <v>921</v>
      </c>
      <c r="X119" s="682" t="s">
        <v>915</v>
      </c>
      <c r="Y119" s="682" t="s">
        <v>918</v>
      </c>
      <c r="Z119" s="682">
        <v>2021.0</v>
      </c>
      <c r="AA119" s="682" t="s">
        <v>919</v>
      </c>
      <c r="AB119" s="685" t="s">
        <v>112</v>
      </c>
      <c r="AC119" s="686">
        <v>31.07009084</v>
      </c>
      <c r="AD119" s="686">
        <v>12.53043802</v>
      </c>
      <c r="AE119" s="687">
        <v>65.37223555</v>
      </c>
      <c r="AF119" s="669"/>
    </row>
    <row r="120">
      <c r="A120" s="675"/>
      <c r="B120" s="681" t="s">
        <v>60</v>
      </c>
      <c r="C120" s="682" t="s">
        <v>915</v>
      </c>
      <c r="D120" s="682" t="s">
        <v>916</v>
      </c>
      <c r="E120" s="682" t="s">
        <v>917</v>
      </c>
      <c r="F120" s="682">
        <v>2021.0</v>
      </c>
      <c r="G120" s="683">
        <v>0.095358956</v>
      </c>
      <c r="H120" s="683">
        <v>0.074176335</v>
      </c>
      <c r="I120" s="684">
        <v>0.121851017</v>
      </c>
      <c r="K120" s="693" t="s">
        <v>55</v>
      </c>
      <c r="L120" s="694" t="s">
        <v>917</v>
      </c>
      <c r="M120" s="694" t="s">
        <v>915</v>
      </c>
      <c r="N120" s="694" t="s">
        <v>923</v>
      </c>
      <c r="O120" s="694">
        <v>2021.0</v>
      </c>
      <c r="P120" s="694" t="s">
        <v>919</v>
      </c>
      <c r="Q120" s="695" t="s">
        <v>112</v>
      </c>
      <c r="R120" s="696">
        <v>1733.363681</v>
      </c>
      <c r="S120" s="696">
        <v>1365.047644</v>
      </c>
      <c r="T120" s="697">
        <v>2252.961799</v>
      </c>
      <c r="V120" s="681" t="s">
        <v>55</v>
      </c>
      <c r="W120" s="682" t="s">
        <v>921</v>
      </c>
      <c r="X120" s="682" t="s">
        <v>915</v>
      </c>
      <c r="Y120" s="682" t="s">
        <v>923</v>
      </c>
      <c r="Z120" s="682">
        <v>2021.0</v>
      </c>
      <c r="AA120" s="682" t="s">
        <v>919</v>
      </c>
      <c r="AB120" s="685" t="s">
        <v>112</v>
      </c>
      <c r="AC120" s="686">
        <v>6.095884171</v>
      </c>
      <c r="AD120" s="686">
        <v>3.268348811</v>
      </c>
      <c r="AE120" s="687">
        <v>10.98311046</v>
      </c>
      <c r="AF120" s="669"/>
    </row>
    <row r="121">
      <c r="A121" s="675"/>
      <c r="B121" s="681" t="s">
        <v>60</v>
      </c>
      <c r="C121" s="682" t="s">
        <v>915</v>
      </c>
      <c r="D121" s="682" t="s">
        <v>922</v>
      </c>
      <c r="E121" s="682" t="s">
        <v>917</v>
      </c>
      <c r="F121" s="682">
        <v>2021.0</v>
      </c>
      <c r="G121" s="683">
        <v>0.455801535</v>
      </c>
      <c r="H121" s="683">
        <v>0.396483212</v>
      </c>
      <c r="I121" s="684">
        <v>0.521771532</v>
      </c>
      <c r="K121" s="693" t="s">
        <v>55</v>
      </c>
      <c r="L121" s="694" t="s">
        <v>917</v>
      </c>
      <c r="M121" s="694" t="s">
        <v>915</v>
      </c>
      <c r="N121" s="694" t="s">
        <v>925</v>
      </c>
      <c r="O121" s="694">
        <v>2021.0</v>
      </c>
      <c r="P121" s="694" t="s">
        <v>919</v>
      </c>
      <c r="Q121" s="695" t="s">
        <v>112</v>
      </c>
      <c r="R121" s="696">
        <v>474.0162215</v>
      </c>
      <c r="S121" s="696">
        <v>379.9495828</v>
      </c>
      <c r="T121" s="697">
        <v>602.6093531</v>
      </c>
      <c r="V121" s="681" t="s">
        <v>55</v>
      </c>
      <c r="W121" s="682" t="s">
        <v>921</v>
      </c>
      <c r="X121" s="682" t="s">
        <v>915</v>
      </c>
      <c r="Y121" s="682" t="s">
        <v>925</v>
      </c>
      <c r="Z121" s="682">
        <v>2021.0</v>
      </c>
      <c r="AA121" s="682" t="s">
        <v>919</v>
      </c>
      <c r="AB121" s="685" t="s">
        <v>112</v>
      </c>
      <c r="AC121" s="686">
        <v>6.915606089</v>
      </c>
      <c r="AD121" s="686">
        <v>3.168267545</v>
      </c>
      <c r="AE121" s="687">
        <v>14.21280921</v>
      </c>
      <c r="AF121" s="669"/>
    </row>
    <row r="122">
      <c r="A122" s="675"/>
      <c r="B122" s="681" t="s">
        <v>60</v>
      </c>
      <c r="C122" s="682" t="s">
        <v>915</v>
      </c>
      <c r="D122" s="682" t="s">
        <v>924</v>
      </c>
      <c r="E122" s="682" t="s">
        <v>917</v>
      </c>
      <c r="F122" s="682">
        <v>2021.0</v>
      </c>
      <c r="G122" s="683">
        <v>0.008068375</v>
      </c>
      <c r="H122" s="683">
        <v>0.006742497</v>
      </c>
      <c r="I122" s="684">
        <v>0.009841477</v>
      </c>
      <c r="K122" s="693" t="s">
        <v>55</v>
      </c>
      <c r="L122" s="694" t="s">
        <v>917</v>
      </c>
      <c r="M122" s="694" t="s">
        <v>915</v>
      </c>
      <c r="N122" s="694" t="s">
        <v>927</v>
      </c>
      <c r="O122" s="694">
        <v>2021.0</v>
      </c>
      <c r="P122" s="694" t="s">
        <v>919</v>
      </c>
      <c r="Q122" s="695" t="s">
        <v>112</v>
      </c>
      <c r="R122" s="696">
        <v>1138.222125</v>
      </c>
      <c r="S122" s="696">
        <v>901.7112628</v>
      </c>
      <c r="T122" s="697">
        <v>1484.752047</v>
      </c>
      <c r="V122" s="681" t="s">
        <v>55</v>
      </c>
      <c r="W122" s="682" t="s">
        <v>921</v>
      </c>
      <c r="X122" s="682" t="s">
        <v>915</v>
      </c>
      <c r="Y122" s="682" t="s">
        <v>927</v>
      </c>
      <c r="Z122" s="682">
        <v>2021.0</v>
      </c>
      <c r="AA122" s="682" t="s">
        <v>919</v>
      </c>
      <c r="AB122" s="685" t="s">
        <v>112</v>
      </c>
      <c r="AC122" s="686">
        <v>63.8495019</v>
      </c>
      <c r="AD122" s="686">
        <v>27.79117645</v>
      </c>
      <c r="AE122" s="687">
        <v>111.3309213</v>
      </c>
      <c r="AF122" s="669"/>
    </row>
    <row r="123">
      <c r="A123" s="675"/>
      <c r="B123" s="681" t="s">
        <v>60</v>
      </c>
      <c r="C123" s="682" t="s">
        <v>915</v>
      </c>
      <c r="D123" s="682" t="s">
        <v>926</v>
      </c>
      <c r="E123" s="682" t="s">
        <v>917</v>
      </c>
      <c r="F123" s="682">
        <v>2021.0</v>
      </c>
      <c r="G123" s="683">
        <v>0.066857949</v>
      </c>
      <c r="H123" s="683">
        <v>0.053343557</v>
      </c>
      <c r="I123" s="684">
        <v>0.084605173</v>
      </c>
      <c r="K123" s="693" t="s">
        <v>55</v>
      </c>
      <c r="L123" s="694" t="s">
        <v>917</v>
      </c>
      <c r="M123" s="694" t="s">
        <v>915</v>
      </c>
      <c r="N123" s="694" t="s">
        <v>926</v>
      </c>
      <c r="O123" s="694">
        <v>2021.0</v>
      </c>
      <c r="P123" s="694" t="s">
        <v>919</v>
      </c>
      <c r="Q123" s="695" t="s">
        <v>112</v>
      </c>
      <c r="R123" s="696">
        <v>4652.367627</v>
      </c>
      <c r="S123" s="696">
        <v>3722.537945</v>
      </c>
      <c r="T123" s="697">
        <v>5921.637745</v>
      </c>
      <c r="V123" s="681" t="s">
        <v>55</v>
      </c>
      <c r="W123" s="682" t="s">
        <v>921</v>
      </c>
      <c r="X123" s="682" t="s">
        <v>915</v>
      </c>
      <c r="Y123" s="682" t="s">
        <v>926</v>
      </c>
      <c r="Z123" s="682">
        <v>2021.0</v>
      </c>
      <c r="AA123" s="682" t="s">
        <v>919</v>
      </c>
      <c r="AB123" s="685" t="s">
        <v>112</v>
      </c>
      <c r="AC123" s="686">
        <v>107.931083</v>
      </c>
      <c r="AD123" s="686">
        <v>52.46401233</v>
      </c>
      <c r="AE123" s="687">
        <v>188.7525002</v>
      </c>
      <c r="AF123" s="669"/>
    </row>
    <row r="124">
      <c r="A124" s="675"/>
      <c r="B124" s="681" t="s">
        <v>61</v>
      </c>
      <c r="C124" s="682" t="s">
        <v>915</v>
      </c>
      <c r="D124" s="682" t="s">
        <v>916</v>
      </c>
      <c r="E124" s="682" t="s">
        <v>917</v>
      </c>
      <c r="F124" s="682">
        <v>2021.0</v>
      </c>
      <c r="G124" s="683">
        <v>0.08614107</v>
      </c>
      <c r="H124" s="683">
        <v>0.068122583</v>
      </c>
      <c r="I124" s="684">
        <v>0.111930119</v>
      </c>
      <c r="K124" s="693" t="s">
        <v>56</v>
      </c>
      <c r="L124" s="694" t="s">
        <v>917</v>
      </c>
      <c r="M124" s="694" t="s">
        <v>915</v>
      </c>
      <c r="N124" s="694" t="s">
        <v>918</v>
      </c>
      <c r="O124" s="694">
        <v>2021.0</v>
      </c>
      <c r="P124" s="694" t="s">
        <v>919</v>
      </c>
      <c r="Q124" s="695" t="s">
        <v>112</v>
      </c>
      <c r="R124" s="696">
        <v>1599.297999</v>
      </c>
      <c r="S124" s="696">
        <v>1239.06366</v>
      </c>
      <c r="T124" s="697">
        <v>2090.650631</v>
      </c>
      <c r="V124" s="681" t="s">
        <v>56</v>
      </c>
      <c r="W124" s="682" t="s">
        <v>921</v>
      </c>
      <c r="X124" s="682" t="s">
        <v>915</v>
      </c>
      <c r="Y124" s="682" t="s">
        <v>918</v>
      </c>
      <c r="Z124" s="682">
        <v>2021.0</v>
      </c>
      <c r="AA124" s="682" t="s">
        <v>919</v>
      </c>
      <c r="AB124" s="685" t="s">
        <v>112</v>
      </c>
      <c r="AC124" s="686">
        <v>18.85479405</v>
      </c>
      <c r="AD124" s="686">
        <v>6.162305384</v>
      </c>
      <c r="AE124" s="687">
        <v>45.29575036</v>
      </c>
      <c r="AF124" s="669"/>
    </row>
    <row r="125">
      <c r="A125" s="675"/>
      <c r="B125" s="681" t="s">
        <v>61</v>
      </c>
      <c r="C125" s="682" t="s">
        <v>915</v>
      </c>
      <c r="D125" s="682" t="s">
        <v>922</v>
      </c>
      <c r="E125" s="682" t="s">
        <v>917</v>
      </c>
      <c r="F125" s="682">
        <v>2021.0</v>
      </c>
      <c r="G125" s="683">
        <v>0.429261387</v>
      </c>
      <c r="H125" s="683">
        <v>0.378882617</v>
      </c>
      <c r="I125" s="684">
        <v>0.493312821</v>
      </c>
      <c r="K125" s="693" t="s">
        <v>56</v>
      </c>
      <c r="L125" s="694" t="s">
        <v>917</v>
      </c>
      <c r="M125" s="694" t="s">
        <v>915</v>
      </c>
      <c r="N125" s="694" t="s">
        <v>923</v>
      </c>
      <c r="O125" s="694">
        <v>2021.0</v>
      </c>
      <c r="P125" s="694" t="s">
        <v>919</v>
      </c>
      <c r="Q125" s="695" t="s">
        <v>112</v>
      </c>
      <c r="R125" s="696">
        <v>3751.868104</v>
      </c>
      <c r="S125" s="696">
        <v>2933.972234</v>
      </c>
      <c r="T125" s="697">
        <v>4805.342844</v>
      </c>
      <c r="V125" s="681" t="s">
        <v>56</v>
      </c>
      <c r="W125" s="682" t="s">
        <v>921</v>
      </c>
      <c r="X125" s="682" t="s">
        <v>915</v>
      </c>
      <c r="Y125" s="682" t="s">
        <v>923</v>
      </c>
      <c r="Z125" s="682">
        <v>2021.0</v>
      </c>
      <c r="AA125" s="682" t="s">
        <v>919</v>
      </c>
      <c r="AB125" s="685" t="s">
        <v>112</v>
      </c>
      <c r="AC125" s="686">
        <v>8.754156649</v>
      </c>
      <c r="AD125" s="686">
        <v>3.639628477</v>
      </c>
      <c r="AE125" s="687">
        <v>17.59982681</v>
      </c>
      <c r="AF125" s="669"/>
    </row>
    <row r="126">
      <c r="A126" s="675"/>
      <c r="B126" s="681" t="s">
        <v>61</v>
      </c>
      <c r="C126" s="682" t="s">
        <v>915</v>
      </c>
      <c r="D126" s="682" t="s">
        <v>924</v>
      </c>
      <c r="E126" s="682" t="s">
        <v>917</v>
      </c>
      <c r="F126" s="682">
        <v>2021.0</v>
      </c>
      <c r="G126" s="683">
        <v>0.006152523</v>
      </c>
      <c r="H126" s="683">
        <v>0.005143511</v>
      </c>
      <c r="I126" s="684">
        <v>0.007514822</v>
      </c>
      <c r="K126" s="693" t="s">
        <v>56</v>
      </c>
      <c r="L126" s="694" t="s">
        <v>917</v>
      </c>
      <c r="M126" s="694" t="s">
        <v>915</v>
      </c>
      <c r="N126" s="694" t="s">
        <v>925</v>
      </c>
      <c r="O126" s="694">
        <v>2021.0</v>
      </c>
      <c r="P126" s="694" t="s">
        <v>919</v>
      </c>
      <c r="Q126" s="695" t="s">
        <v>112</v>
      </c>
      <c r="R126" s="696">
        <v>716.387314</v>
      </c>
      <c r="S126" s="696">
        <v>534.4433003</v>
      </c>
      <c r="T126" s="697">
        <v>975.3690369</v>
      </c>
      <c r="V126" s="681" t="s">
        <v>56</v>
      </c>
      <c r="W126" s="682" t="s">
        <v>921</v>
      </c>
      <c r="X126" s="682" t="s">
        <v>915</v>
      </c>
      <c r="Y126" s="682" t="s">
        <v>925</v>
      </c>
      <c r="Z126" s="682">
        <v>2021.0</v>
      </c>
      <c r="AA126" s="682" t="s">
        <v>919</v>
      </c>
      <c r="AB126" s="685" t="s">
        <v>112</v>
      </c>
      <c r="AC126" s="686">
        <v>8.469825947</v>
      </c>
      <c r="AD126" s="686">
        <v>2.707095228</v>
      </c>
      <c r="AE126" s="687">
        <v>21.61685529</v>
      </c>
      <c r="AF126" s="669"/>
    </row>
    <row r="127">
      <c r="A127" s="675"/>
      <c r="B127" s="681" t="s">
        <v>61</v>
      </c>
      <c r="C127" s="682" t="s">
        <v>915</v>
      </c>
      <c r="D127" s="682" t="s">
        <v>926</v>
      </c>
      <c r="E127" s="682" t="s">
        <v>917</v>
      </c>
      <c r="F127" s="682">
        <v>2021.0</v>
      </c>
      <c r="G127" s="683">
        <v>0.046340817</v>
      </c>
      <c r="H127" s="683">
        <v>0.037275461</v>
      </c>
      <c r="I127" s="684">
        <v>0.057604892</v>
      </c>
      <c r="K127" s="693" t="s">
        <v>56</v>
      </c>
      <c r="L127" s="694" t="s">
        <v>917</v>
      </c>
      <c r="M127" s="694" t="s">
        <v>915</v>
      </c>
      <c r="N127" s="694" t="s">
        <v>927</v>
      </c>
      <c r="O127" s="694">
        <v>2021.0</v>
      </c>
      <c r="P127" s="694" t="s">
        <v>919</v>
      </c>
      <c r="Q127" s="695" t="s">
        <v>112</v>
      </c>
      <c r="R127" s="696">
        <v>1700.282245</v>
      </c>
      <c r="S127" s="696">
        <v>1337.648385</v>
      </c>
      <c r="T127" s="697">
        <v>2141.431916</v>
      </c>
      <c r="V127" s="681" t="s">
        <v>56</v>
      </c>
      <c r="W127" s="682" t="s">
        <v>921</v>
      </c>
      <c r="X127" s="682" t="s">
        <v>915</v>
      </c>
      <c r="Y127" s="682" t="s">
        <v>927</v>
      </c>
      <c r="Z127" s="682">
        <v>2021.0</v>
      </c>
      <c r="AA127" s="682" t="s">
        <v>919</v>
      </c>
      <c r="AB127" s="685" t="s">
        <v>112</v>
      </c>
      <c r="AC127" s="686">
        <v>49.03068651</v>
      </c>
      <c r="AD127" s="686">
        <v>17.80546195</v>
      </c>
      <c r="AE127" s="687">
        <v>107.994289</v>
      </c>
      <c r="AF127" s="669"/>
    </row>
    <row r="128">
      <c r="A128" s="675"/>
      <c r="B128" s="681" t="s">
        <v>63</v>
      </c>
      <c r="C128" s="682" t="s">
        <v>915</v>
      </c>
      <c r="D128" s="682" t="s">
        <v>916</v>
      </c>
      <c r="E128" s="682" t="s">
        <v>917</v>
      </c>
      <c r="F128" s="682">
        <v>2021.0</v>
      </c>
      <c r="G128" s="683">
        <v>0.088906096</v>
      </c>
      <c r="H128" s="683">
        <v>0.071349927</v>
      </c>
      <c r="I128" s="684">
        <v>0.109988468</v>
      </c>
      <c r="K128" s="693" t="s">
        <v>56</v>
      </c>
      <c r="L128" s="694" t="s">
        <v>917</v>
      </c>
      <c r="M128" s="694" t="s">
        <v>915</v>
      </c>
      <c r="N128" s="694" t="s">
        <v>926</v>
      </c>
      <c r="O128" s="694">
        <v>2021.0</v>
      </c>
      <c r="P128" s="694" t="s">
        <v>919</v>
      </c>
      <c r="Q128" s="695" t="s">
        <v>112</v>
      </c>
      <c r="R128" s="696">
        <v>7767.835663</v>
      </c>
      <c r="S128" s="696">
        <v>6067.383912</v>
      </c>
      <c r="T128" s="697">
        <v>9875.875543</v>
      </c>
      <c r="V128" s="681" t="s">
        <v>56</v>
      </c>
      <c r="W128" s="682" t="s">
        <v>921</v>
      </c>
      <c r="X128" s="682" t="s">
        <v>915</v>
      </c>
      <c r="Y128" s="682" t="s">
        <v>926</v>
      </c>
      <c r="Z128" s="682">
        <v>2021.0</v>
      </c>
      <c r="AA128" s="682" t="s">
        <v>919</v>
      </c>
      <c r="AB128" s="685" t="s">
        <v>112</v>
      </c>
      <c r="AC128" s="686">
        <v>85.10946315</v>
      </c>
      <c r="AD128" s="686">
        <v>37.32284695</v>
      </c>
      <c r="AE128" s="687">
        <v>180.7425401</v>
      </c>
      <c r="AF128" s="669"/>
    </row>
    <row r="129">
      <c r="A129" s="675"/>
      <c r="B129" s="681" t="s">
        <v>63</v>
      </c>
      <c r="C129" s="682" t="s">
        <v>915</v>
      </c>
      <c r="D129" s="682" t="s">
        <v>922</v>
      </c>
      <c r="E129" s="682" t="s">
        <v>917</v>
      </c>
      <c r="F129" s="682">
        <v>2021.0</v>
      </c>
      <c r="G129" s="683">
        <v>0.460314831</v>
      </c>
      <c r="H129" s="683">
        <v>0.408472562</v>
      </c>
      <c r="I129" s="684">
        <v>0.523654064</v>
      </c>
      <c r="K129" s="693" t="s">
        <v>57</v>
      </c>
      <c r="L129" s="694" t="s">
        <v>917</v>
      </c>
      <c r="M129" s="694" t="s">
        <v>915</v>
      </c>
      <c r="N129" s="694" t="s">
        <v>918</v>
      </c>
      <c r="O129" s="694">
        <v>2021.0</v>
      </c>
      <c r="P129" s="694" t="s">
        <v>919</v>
      </c>
      <c r="Q129" s="695" t="s">
        <v>112</v>
      </c>
      <c r="R129" s="696">
        <v>4250.344382</v>
      </c>
      <c r="S129" s="696">
        <v>3065.758957</v>
      </c>
      <c r="T129" s="697">
        <v>5639.087772</v>
      </c>
      <c r="V129" s="681" t="s">
        <v>57</v>
      </c>
      <c r="W129" s="682" t="s">
        <v>921</v>
      </c>
      <c r="X129" s="682" t="s">
        <v>915</v>
      </c>
      <c r="Y129" s="682" t="s">
        <v>918</v>
      </c>
      <c r="Z129" s="682">
        <v>2021.0</v>
      </c>
      <c r="AA129" s="682" t="s">
        <v>919</v>
      </c>
      <c r="AB129" s="685" t="s">
        <v>112</v>
      </c>
      <c r="AC129" s="686">
        <v>147.4324682</v>
      </c>
      <c r="AD129" s="686">
        <v>68.2692875</v>
      </c>
      <c r="AE129" s="687">
        <v>283.1360418</v>
      </c>
      <c r="AF129" s="669"/>
    </row>
    <row r="130">
      <c r="A130" s="675"/>
      <c r="B130" s="681" t="s">
        <v>63</v>
      </c>
      <c r="C130" s="682" t="s">
        <v>915</v>
      </c>
      <c r="D130" s="682" t="s">
        <v>924</v>
      </c>
      <c r="E130" s="682" t="s">
        <v>917</v>
      </c>
      <c r="F130" s="682">
        <v>2021.0</v>
      </c>
      <c r="G130" s="683">
        <v>0.005984557</v>
      </c>
      <c r="H130" s="683">
        <v>0.005050275</v>
      </c>
      <c r="I130" s="684">
        <v>0.007130009</v>
      </c>
      <c r="K130" s="693" t="s">
        <v>57</v>
      </c>
      <c r="L130" s="694" t="s">
        <v>917</v>
      </c>
      <c r="M130" s="694" t="s">
        <v>915</v>
      </c>
      <c r="N130" s="694" t="s">
        <v>923</v>
      </c>
      <c r="O130" s="694">
        <v>2021.0</v>
      </c>
      <c r="P130" s="694" t="s">
        <v>919</v>
      </c>
      <c r="Q130" s="695" t="s">
        <v>112</v>
      </c>
      <c r="R130" s="696">
        <v>6417.408682</v>
      </c>
      <c r="S130" s="696">
        <v>5227.865794</v>
      </c>
      <c r="T130" s="697">
        <v>7685.156387</v>
      </c>
      <c r="V130" s="681" t="s">
        <v>57</v>
      </c>
      <c r="W130" s="682" t="s">
        <v>921</v>
      </c>
      <c r="X130" s="682" t="s">
        <v>915</v>
      </c>
      <c r="Y130" s="682" t="s">
        <v>923</v>
      </c>
      <c r="Z130" s="682">
        <v>2021.0</v>
      </c>
      <c r="AA130" s="682" t="s">
        <v>919</v>
      </c>
      <c r="AB130" s="685" t="s">
        <v>112</v>
      </c>
      <c r="AC130" s="686">
        <v>20.66530714</v>
      </c>
      <c r="AD130" s="686">
        <v>10.63107424</v>
      </c>
      <c r="AE130" s="687">
        <v>37.01310146</v>
      </c>
      <c r="AF130" s="669"/>
    </row>
    <row r="131">
      <c r="A131" s="675"/>
      <c r="B131" s="681" t="s">
        <v>63</v>
      </c>
      <c r="C131" s="682" t="s">
        <v>915</v>
      </c>
      <c r="D131" s="682" t="s">
        <v>926</v>
      </c>
      <c r="E131" s="682" t="s">
        <v>917</v>
      </c>
      <c r="F131" s="682">
        <v>2021.0</v>
      </c>
      <c r="G131" s="683">
        <v>0.045574158</v>
      </c>
      <c r="H131" s="683">
        <v>0.03611965</v>
      </c>
      <c r="I131" s="684">
        <v>0.057563225</v>
      </c>
      <c r="K131" s="693" t="s">
        <v>57</v>
      </c>
      <c r="L131" s="694" t="s">
        <v>917</v>
      </c>
      <c r="M131" s="694" t="s">
        <v>915</v>
      </c>
      <c r="N131" s="694" t="s">
        <v>925</v>
      </c>
      <c r="O131" s="694">
        <v>2021.0</v>
      </c>
      <c r="P131" s="694" t="s">
        <v>919</v>
      </c>
      <c r="Q131" s="695" t="s">
        <v>112</v>
      </c>
      <c r="R131" s="696">
        <v>1305.598514</v>
      </c>
      <c r="S131" s="696">
        <v>1049.746046</v>
      </c>
      <c r="T131" s="697">
        <v>1569.48729</v>
      </c>
      <c r="V131" s="681" t="s">
        <v>57</v>
      </c>
      <c r="W131" s="682" t="s">
        <v>921</v>
      </c>
      <c r="X131" s="682" t="s">
        <v>915</v>
      </c>
      <c r="Y131" s="682" t="s">
        <v>925</v>
      </c>
      <c r="Z131" s="682">
        <v>2021.0</v>
      </c>
      <c r="AA131" s="682" t="s">
        <v>919</v>
      </c>
      <c r="AB131" s="685" t="s">
        <v>112</v>
      </c>
      <c r="AC131" s="686">
        <v>21.54317609</v>
      </c>
      <c r="AD131" s="686">
        <v>10.72753726</v>
      </c>
      <c r="AE131" s="687">
        <v>40.21690132</v>
      </c>
      <c r="AF131" s="669"/>
    </row>
    <row r="132">
      <c r="A132" s="675"/>
      <c r="B132" s="681" t="s">
        <v>64</v>
      </c>
      <c r="C132" s="682" t="s">
        <v>915</v>
      </c>
      <c r="D132" s="682" t="s">
        <v>916</v>
      </c>
      <c r="E132" s="682" t="s">
        <v>917</v>
      </c>
      <c r="F132" s="682">
        <v>2021.0</v>
      </c>
      <c r="G132" s="683">
        <v>0.118146157</v>
      </c>
      <c r="H132" s="683">
        <v>0.091138501</v>
      </c>
      <c r="I132" s="684">
        <v>0.151539856</v>
      </c>
      <c r="K132" s="693" t="s">
        <v>57</v>
      </c>
      <c r="L132" s="694" t="s">
        <v>917</v>
      </c>
      <c r="M132" s="694" t="s">
        <v>915</v>
      </c>
      <c r="N132" s="694" t="s">
        <v>927</v>
      </c>
      <c r="O132" s="694">
        <v>2021.0</v>
      </c>
      <c r="P132" s="694" t="s">
        <v>919</v>
      </c>
      <c r="Q132" s="695" t="s">
        <v>112</v>
      </c>
      <c r="R132" s="696">
        <v>4035.029913</v>
      </c>
      <c r="S132" s="696">
        <v>3268.824659</v>
      </c>
      <c r="T132" s="697">
        <v>4839.595821</v>
      </c>
      <c r="V132" s="681" t="s">
        <v>57</v>
      </c>
      <c r="W132" s="682" t="s">
        <v>921</v>
      </c>
      <c r="X132" s="682" t="s">
        <v>915</v>
      </c>
      <c r="Y132" s="682" t="s">
        <v>927</v>
      </c>
      <c r="Z132" s="682">
        <v>2021.0</v>
      </c>
      <c r="AA132" s="682" t="s">
        <v>919</v>
      </c>
      <c r="AB132" s="685" t="s">
        <v>112</v>
      </c>
      <c r="AC132" s="686">
        <v>286.9267459</v>
      </c>
      <c r="AD132" s="686">
        <v>165.8389143</v>
      </c>
      <c r="AE132" s="687">
        <v>458.895474</v>
      </c>
      <c r="AF132" s="669"/>
    </row>
    <row r="133">
      <c r="A133" s="675"/>
      <c r="B133" s="681" t="s">
        <v>64</v>
      </c>
      <c r="C133" s="682" t="s">
        <v>915</v>
      </c>
      <c r="D133" s="682" t="s">
        <v>922</v>
      </c>
      <c r="E133" s="682" t="s">
        <v>917</v>
      </c>
      <c r="F133" s="682">
        <v>2021.0</v>
      </c>
      <c r="G133" s="683">
        <v>0.498857629</v>
      </c>
      <c r="H133" s="683">
        <v>0.433276559</v>
      </c>
      <c r="I133" s="684">
        <v>0.576138659</v>
      </c>
      <c r="K133" s="693" t="s">
        <v>57</v>
      </c>
      <c r="L133" s="694" t="s">
        <v>917</v>
      </c>
      <c r="M133" s="694" t="s">
        <v>915</v>
      </c>
      <c r="N133" s="694" t="s">
        <v>926</v>
      </c>
      <c r="O133" s="694">
        <v>2021.0</v>
      </c>
      <c r="P133" s="694" t="s">
        <v>919</v>
      </c>
      <c r="Q133" s="695" t="s">
        <v>112</v>
      </c>
      <c r="R133" s="696">
        <v>16008.38149</v>
      </c>
      <c r="S133" s="696">
        <v>12651.85913</v>
      </c>
      <c r="T133" s="697">
        <v>19703.19927</v>
      </c>
      <c r="V133" s="681" t="s">
        <v>57</v>
      </c>
      <c r="W133" s="682" t="s">
        <v>921</v>
      </c>
      <c r="X133" s="682" t="s">
        <v>915</v>
      </c>
      <c r="Y133" s="682" t="s">
        <v>926</v>
      </c>
      <c r="Z133" s="682">
        <v>2021.0</v>
      </c>
      <c r="AA133" s="682" t="s">
        <v>919</v>
      </c>
      <c r="AB133" s="685" t="s">
        <v>112</v>
      </c>
      <c r="AC133" s="686">
        <v>476.5676973</v>
      </c>
      <c r="AD133" s="686">
        <v>267.0004825</v>
      </c>
      <c r="AE133" s="687">
        <v>769.0290306</v>
      </c>
      <c r="AF133" s="669"/>
    </row>
    <row r="134">
      <c r="A134" s="675"/>
      <c r="B134" s="681" t="s">
        <v>64</v>
      </c>
      <c r="C134" s="682" t="s">
        <v>915</v>
      </c>
      <c r="D134" s="682" t="s">
        <v>924</v>
      </c>
      <c r="E134" s="682" t="s">
        <v>917</v>
      </c>
      <c r="F134" s="682">
        <v>2021.0</v>
      </c>
      <c r="G134" s="683">
        <v>0.008795416</v>
      </c>
      <c r="H134" s="683">
        <v>0.007277647</v>
      </c>
      <c r="I134" s="684">
        <v>0.010651385</v>
      </c>
      <c r="K134" s="693" t="s">
        <v>58</v>
      </c>
      <c r="L134" s="694" t="s">
        <v>917</v>
      </c>
      <c r="M134" s="694" t="s">
        <v>915</v>
      </c>
      <c r="N134" s="694" t="s">
        <v>918</v>
      </c>
      <c r="O134" s="694">
        <v>2021.0</v>
      </c>
      <c r="P134" s="694" t="s">
        <v>919</v>
      </c>
      <c r="Q134" s="695" t="s">
        <v>112</v>
      </c>
      <c r="R134" s="696">
        <v>13276.54495</v>
      </c>
      <c r="S134" s="696">
        <v>10659.25093</v>
      </c>
      <c r="T134" s="697">
        <v>16477.79685</v>
      </c>
      <c r="V134" s="681" t="s">
        <v>58</v>
      </c>
      <c r="W134" s="682" t="s">
        <v>921</v>
      </c>
      <c r="X134" s="682" t="s">
        <v>915</v>
      </c>
      <c r="Y134" s="682" t="s">
        <v>918</v>
      </c>
      <c r="Z134" s="682">
        <v>2021.0</v>
      </c>
      <c r="AA134" s="682" t="s">
        <v>919</v>
      </c>
      <c r="AB134" s="685" t="s">
        <v>112</v>
      </c>
      <c r="AC134" s="686">
        <v>715.1809892</v>
      </c>
      <c r="AD134" s="686">
        <v>348.1259279</v>
      </c>
      <c r="AE134" s="687">
        <v>1263.441249</v>
      </c>
      <c r="AF134" s="669"/>
    </row>
    <row r="135">
      <c r="A135" s="675"/>
      <c r="B135" s="681" t="s">
        <v>64</v>
      </c>
      <c r="C135" s="682" t="s">
        <v>915</v>
      </c>
      <c r="D135" s="682" t="s">
        <v>926</v>
      </c>
      <c r="E135" s="682" t="s">
        <v>917</v>
      </c>
      <c r="F135" s="682">
        <v>2021.0</v>
      </c>
      <c r="G135" s="683">
        <v>0.066384868</v>
      </c>
      <c r="H135" s="683">
        <v>0.052762792</v>
      </c>
      <c r="I135" s="684">
        <v>0.083242314</v>
      </c>
      <c r="K135" s="693" t="s">
        <v>58</v>
      </c>
      <c r="L135" s="694" t="s">
        <v>917</v>
      </c>
      <c r="M135" s="694" t="s">
        <v>915</v>
      </c>
      <c r="N135" s="694" t="s">
        <v>923</v>
      </c>
      <c r="O135" s="694">
        <v>2021.0</v>
      </c>
      <c r="P135" s="694" t="s">
        <v>919</v>
      </c>
      <c r="Q135" s="695" t="s">
        <v>112</v>
      </c>
      <c r="R135" s="696">
        <v>11943.90452</v>
      </c>
      <c r="S135" s="696">
        <v>9621.33889</v>
      </c>
      <c r="T135" s="697">
        <v>15056.60162</v>
      </c>
      <c r="V135" s="681" t="s">
        <v>58</v>
      </c>
      <c r="W135" s="682" t="s">
        <v>921</v>
      </c>
      <c r="X135" s="682" t="s">
        <v>915</v>
      </c>
      <c r="Y135" s="682" t="s">
        <v>923</v>
      </c>
      <c r="Z135" s="682">
        <v>2021.0</v>
      </c>
      <c r="AA135" s="682" t="s">
        <v>919</v>
      </c>
      <c r="AB135" s="685" t="s">
        <v>112</v>
      </c>
      <c r="AC135" s="686">
        <v>60.25987435</v>
      </c>
      <c r="AD135" s="686">
        <v>33.6643407</v>
      </c>
      <c r="AE135" s="687">
        <v>102.1218362</v>
      </c>
      <c r="AF135" s="669"/>
    </row>
    <row r="136">
      <c r="A136" s="675"/>
      <c r="B136" s="681" t="s">
        <v>65</v>
      </c>
      <c r="C136" s="682" t="s">
        <v>915</v>
      </c>
      <c r="D136" s="682" t="s">
        <v>916</v>
      </c>
      <c r="E136" s="682" t="s">
        <v>917</v>
      </c>
      <c r="F136" s="682">
        <v>2021.0</v>
      </c>
      <c r="G136" s="683">
        <v>0.11424899</v>
      </c>
      <c r="H136" s="683">
        <v>0.089616135</v>
      </c>
      <c r="I136" s="684">
        <v>0.145122838</v>
      </c>
      <c r="K136" s="693" t="s">
        <v>58</v>
      </c>
      <c r="L136" s="694" t="s">
        <v>917</v>
      </c>
      <c r="M136" s="694" t="s">
        <v>915</v>
      </c>
      <c r="N136" s="694" t="s">
        <v>925</v>
      </c>
      <c r="O136" s="694">
        <v>2021.0</v>
      </c>
      <c r="P136" s="694" t="s">
        <v>919</v>
      </c>
      <c r="Q136" s="695" t="s">
        <v>112</v>
      </c>
      <c r="R136" s="696">
        <v>3547.789904</v>
      </c>
      <c r="S136" s="696">
        <v>2864.159697</v>
      </c>
      <c r="T136" s="697">
        <v>4423.026919</v>
      </c>
      <c r="V136" s="681" t="s">
        <v>58</v>
      </c>
      <c r="W136" s="682" t="s">
        <v>921</v>
      </c>
      <c r="X136" s="682" t="s">
        <v>915</v>
      </c>
      <c r="Y136" s="682" t="s">
        <v>925</v>
      </c>
      <c r="Z136" s="682">
        <v>2021.0</v>
      </c>
      <c r="AA136" s="682" t="s">
        <v>919</v>
      </c>
      <c r="AB136" s="685" t="s">
        <v>112</v>
      </c>
      <c r="AC136" s="686">
        <v>86.34534535</v>
      </c>
      <c r="AD136" s="686">
        <v>46.09513965</v>
      </c>
      <c r="AE136" s="687">
        <v>151.5555519</v>
      </c>
      <c r="AF136" s="669"/>
    </row>
    <row r="137">
      <c r="A137" s="675"/>
      <c r="B137" s="681" t="s">
        <v>65</v>
      </c>
      <c r="C137" s="682" t="s">
        <v>915</v>
      </c>
      <c r="D137" s="682" t="s">
        <v>922</v>
      </c>
      <c r="E137" s="682" t="s">
        <v>917</v>
      </c>
      <c r="F137" s="682">
        <v>2021.0</v>
      </c>
      <c r="G137" s="683">
        <v>0.465329917</v>
      </c>
      <c r="H137" s="683">
        <v>0.405866316</v>
      </c>
      <c r="I137" s="684">
        <v>0.537458379</v>
      </c>
      <c r="K137" s="693" t="s">
        <v>58</v>
      </c>
      <c r="L137" s="694" t="s">
        <v>917</v>
      </c>
      <c r="M137" s="694" t="s">
        <v>915</v>
      </c>
      <c r="N137" s="694" t="s">
        <v>927</v>
      </c>
      <c r="O137" s="694">
        <v>2021.0</v>
      </c>
      <c r="P137" s="694" t="s">
        <v>919</v>
      </c>
      <c r="Q137" s="695" t="s">
        <v>112</v>
      </c>
      <c r="R137" s="696">
        <v>12404.7864</v>
      </c>
      <c r="S137" s="696">
        <v>9887.444231</v>
      </c>
      <c r="T137" s="697">
        <v>15567.40177</v>
      </c>
      <c r="V137" s="681" t="s">
        <v>58</v>
      </c>
      <c r="W137" s="682" t="s">
        <v>921</v>
      </c>
      <c r="X137" s="682" t="s">
        <v>915</v>
      </c>
      <c r="Y137" s="682" t="s">
        <v>927</v>
      </c>
      <c r="Z137" s="682">
        <v>2021.0</v>
      </c>
      <c r="AA137" s="682" t="s">
        <v>919</v>
      </c>
      <c r="AB137" s="685" t="s">
        <v>112</v>
      </c>
      <c r="AC137" s="686">
        <v>1315.541809</v>
      </c>
      <c r="AD137" s="686">
        <v>735.6813793</v>
      </c>
      <c r="AE137" s="687">
        <v>2084.302211</v>
      </c>
      <c r="AF137" s="669"/>
    </row>
    <row r="138">
      <c r="A138" s="675"/>
      <c r="B138" s="681" t="s">
        <v>65</v>
      </c>
      <c r="C138" s="682" t="s">
        <v>915</v>
      </c>
      <c r="D138" s="682" t="s">
        <v>924</v>
      </c>
      <c r="E138" s="682" t="s">
        <v>917</v>
      </c>
      <c r="F138" s="682">
        <v>2021.0</v>
      </c>
      <c r="G138" s="683">
        <v>0.008435197</v>
      </c>
      <c r="H138" s="683">
        <v>0.007153712</v>
      </c>
      <c r="I138" s="684">
        <v>0.010323893</v>
      </c>
      <c r="K138" s="693" t="s">
        <v>58</v>
      </c>
      <c r="L138" s="694" t="s">
        <v>917</v>
      </c>
      <c r="M138" s="694" t="s">
        <v>915</v>
      </c>
      <c r="N138" s="694" t="s">
        <v>926</v>
      </c>
      <c r="O138" s="694">
        <v>2021.0</v>
      </c>
      <c r="P138" s="694" t="s">
        <v>919</v>
      </c>
      <c r="Q138" s="695" t="s">
        <v>112</v>
      </c>
      <c r="R138" s="696">
        <v>41173.02578</v>
      </c>
      <c r="S138" s="696">
        <v>33414.91655</v>
      </c>
      <c r="T138" s="697">
        <v>51230.8086</v>
      </c>
      <c r="V138" s="681" t="s">
        <v>58</v>
      </c>
      <c r="W138" s="682" t="s">
        <v>921</v>
      </c>
      <c r="X138" s="682" t="s">
        <v>915</v>
      </c>
      <c r="Y138" s="682" t="s">
        <v>926</v>
      </c>
      <c r="Z138" s="682">
        <v>2021.0</v>
      </c>
      <c r="AA138" s="682" t="s">
        <v>919</v>
      </c>
      <c r="AB138" s="685" t="s">
        <v>112</v>
      </c>
      <c r="AC138" s="686">
        <v>2177.328018</v>
      </c>
      <c r="AD138" s="686">
        <v>1228.610367</v>
      </c>
      <c r="AE138" s="687">
        <v>3391.239915</v>
      </c>
      <c r="AF138" s="669"/>
    </row>
    <row r="139">
      <c r="A139" s="675"/>
      <c r="B139" s="681" t="s">
        <v>65</v>
      </c>
      <c r="C139" s="682" t="s">
        <v>915</v>
      </c>
      <c r="D139" s="682" t="s">
        <v>926</v>
      </c>
      <c r="E139" s="682" t="s">
        <v>917</v>
      </c>
      <c r="F139" s="682">
        <v>2021.0</v>
      </c>
      <c r="G139" s="683">
        <v>0.072072748</v>
      </c>
      <c r="H139" s="683">
        <v>0.057836905</v>
      </c>
      <c r="I139" s="684">
        <v>0.088399138</v>
      </c>
      <c r="K139" s="693" t="s">
        <v>7</v>
      </c>
      <c r="L139" s="694" t="s">
        <v>917</v>
      </c>
      <c r="M139" s="694" t="s">
        <v>915</v>
      </c>
      <c r="N139" s="694" t="s">
        <v>918</v>
      </c>
      <c r="O139" s="694">
        <v>2021.0</v>
      </c>
      <c r="P139" s="694" t="s">
        <v>919</v>
      </c>
      <c r="Q139" s="695" t="s">
        <v>112</v>
      </c>
      <c r="R139" s="696">
        <v>283464.8223</v>
      </c>
      <c r="S139" s="696">
        <v>235755.9554</v>
      </c>
      <c r="T139" s="697">
        <v>344718.7007</v>
      </c>
      <c r="V139" s="681" t="s">
        <v>7</v>
      </c>
      <c r="W139" s="682" t="s">
        <v>921</v>
      </c>
      <c r="X139" s="682" t="s">
        <v>915</v>
      </c>
      <c r="Y139" s="682" t="s">
        <v>918</v>
      </c>
      <c r="Z139" s="682">
        <v>2021.0</v>
      </c>
      <c r="AA139" s="682" t="s">
        <v>919</v>
      </c>
      <c r="AB139" s="685" t="s">
        <v>112</v>
      </c>
      <c r="AC139" s="686">
        <v>16115.38393</v>
      </c>
      <c r="AD139" s="686">
        <v>9003.069715</v>
      </c>
      <c r="AE139" s="687">
        <v>25229.72662</v>
      </c>
      <c r="AF139" s="669"/>
    </row>
    <row r="140">
      <c r="A140" s="675"/>
      <c r="B140" s="681" t="s">
        <v>35</v>
      </c>
      <c r="C140" s="682" t="s">
        <v>915</v>
      </c>
      <c r="D140" s="682" t="s">
        <v>916</v>
      </c>
      <c r="E140" s="682" t="s">
        <v>917</v>
      </c>
      <c r="F140" s="682">
        <v>2021.0</v>
      </c>
      <c r="G140" s="683">
        <v>0.143679139</v>
      </c>
      <c r="H140" s="683">
        <v>0.115682692</v>
      </c>
      <c r="I140" s="684">
        <v>0.179321174</v>
      </c>
      <c r="K140" s="693" t="s">
        <v>7</v>
      </c>
      <c r="L140" s="694" t="s">
        <v>917</v>
      </c>
      <c r="M140" s="694" t="s">
        <v>915</v>
      </c>
      <c r="N140" s="694" t="s">
        <v>923</v>
      </c>
      <c r="O140" s="694">
        <v>2021.0</v>
      </c>
      <c r="P140" s="694" t="s">
        <v>919</v>
      </c>
      <c r="Q140" s="695" t="s">
        <v>112</v>
      </c>
      <c r="R140" s="696">
        <v>240747.7533</v>
      </c>
      <c r="S140" s="696">
        <v>201426.5799</v>
      </c>
      <c r="T140" s="697">
        <v>289078.6841</v>
      </c>
      <c r="V140" s="681" t="s">
        <v>7</v>
      </c>
      <c r="W140" s="682" t="s">
        <v>921</v>
      </c>
      <c r="X140" s="682" t="s">
        <v>915</v>
      </c>
      <c r="Y140" s="682" t="s">
        <v>923</v>
      </c>
      <c r="Z140" s="682">
        <v>2021.0</v>
      </c>
      <c r="AA140" s="682" t="s">
        <v>919</v>
      </c>
      <c r="AB140" s="685" t="s">
        <v>112</v>
      </c>
      <c r="AC140" s="686">
        <v>1141.903065</v>
      </c>
      <c r="AD140" s="686">
        <v>737.5695554</v>
      </c>
      <c r="AE140" s="687">
        <v>1735.970444</v>
      </c>
      <c r="AF140" s="669"/>
    </row>
    <row r="141">
      <c r="A141" s="675"/>
      <c r="B141" s="681" t="s">
        <v>35</v>
      </c>
      <c r="C141" s="682" t="s">
        <v>915</v>
      </c>
      <c r="D141" s="682" t="s">
        <v>922</v>
      </c>
      <c r="E141" s="682" t="s">
        <v>917</v>
      </c>
      <c r="F141" s="682">
        <v>2021.0</v>
      </c>
      <c r="G141" s="683">
        <v>0.639547084</v>
      </c>
      <c r="H141" s="683">
        <v>0.560430316</v>
      </c>
      <c r="I141" s="684">
        <v>0.722058237</v>
      </c>
      <c r="K141" s="693" t="s">
        <v>7</v>
      </c>
      <c r="L141" s="694" t="s">
        <v>917</v>
      </c>
      <c r="M141" s="694" t="s">
        <v>915</v>
      </c>
      <c r="N141" s="694" t="s">
        <v>925</v>
      </c>
      <c r="O141" s="694">
        <v>2021.0</v>
      </c>
      <c r="P141" s="694" t="s">
        <v>919</v>
      </c>
      <c r="Q141" s="695" t="s">
        <v>112</v>
      </c>
      <c r="R141" s="696">
        <v>53997.21496</v>
      </c>
      <c r="S141" s="696">
        <v>45337.70687</v>
      </c>
      <c r="T141" s="697">
        <v>64753.08233</v>
      </c>
      <c r="V141" s="681" t="s">
        <v>7</v>
      </c>
      <c r="W141" s="682" t="s">
        <v>921</v>
      </c>
      <c r="X141" s="682" t="s">
        <v>915</v>
      </c>
      <c r="Y141" s="682" t="s">
        <v>925</v>
      </c>
      <c r="Z141" s="682">
        <v>2021.0</v>
      </c>
      <c r="AA141" s="682" t="s">
        <v>919</v>
      </c>
      <c r="AB141" s="685" t="s">
        <v>112</v>
      </c>
      <c r="AC141" s="686">
        <v>1313.497189</v>
      </c>
      <c r="AD141" s="686">
        <v>901.2332322</v>
      </c>
      <c r="AE141" s="687">
        <v>1946.112161</v>
      </c>
      <c r="AF141" s="669"/>
    </row>
    <row r="142">
      <c r="A142" s="675"/>
      <c r="B142" s="681" t="s">
        <v>35</v>
      </c>
      <c r="C142" s="682" t="s">
        <v>915</v>
      </c>
      <c r="D142" s="682" t="s">
        <v>924</v>
      </c>
      <c r="E142" s="682" t="s">
        <v>917</v>
      </c>
      <c r="F142" s="682">
        <v>2021.0</v>
      </c>
      <c r="G142" s="683">
        <v>0.016359419</v>
      </c>
      <c r="H142" s="683">
        <v>0.01372788</v>
      </c>
      <c r="I142" s="684">
        <v>0.019638556</v>
      </c>
      <c r="K142" s="693" t="s">
        <v>7</v>
      </c>
      <c r="L142" s="694" t="s">
        <v>917</v>
      </c>
      <c r="M142" s="694" t="s">
        <v>915</v>
      </c>
      <c r="N142" s="694" t="s">
        <v>927</v>
      </c>
      <c r="O142" s="694">
        <v>2021.0</v>
      </c>
      <c r="P142" s="694" t="s">
        <v>919</v>
      </c>
      <c r="Q142" s="695" t="s">
        <v>112</v>
      </c>
      <c r="R142" s="696">
        <v>208283.2065</v>
      </c>
      <c r="S142" s="696">
        <v>174979.3595</v>
      </c>
      <c r="T142" s="697">
        <v>249506.0297</v>
      </c>
      <c r="V142" s="681" t="s">
        <v>7</v>
      </c>
      <c r="W142" s="682" t="s">
        <v>921</v>
      </c>
      <c r="X142" s="682" t="s">
        <v>915</v>
      </c>
      <c r="Y142" s="682" t="s">
        <v>927</v>
      </c>
      <c r="Z142" s="682">
        <v>2021.0</v>
      </c>
      <c r="AA142" s="682" t="s">
        <v>919</v>
      </c>
      <c r="AB142" s="685" t="s">
        <v>112</v>
      </c>
      <c r="AC142" s="686">
        <v>21441.92686</v>
      </c>
      <c r="AD142" s="686">
        <v>14298.84712</v>
      </c>
      <c r="AE142" s="687">
        <v>30656.09199</v>
      </c>
      <c r="AF142" s="669"/>
    </row>
    <row r="143">
      <c r="A143" s="675"/>
      <c r="B143" s="681" t="s">
        <v>35</v>
      </c>
      <c r="C143" s="682" t="s">
        <v>915</v>
      </c>
      <c r="D143" s="682" t="s">
        <v>926</v>
      </c>
      <c r="E143" s="682" t="s">
        <v>917</v>
      </c>
      <c r="F143" s="682">
        <v>2021.0</v>
      </c>
      <c r="G143" s="683">
        <v>0.158421519</v>
      </c>
      <c r="H143" s="683">
        <v>0.133697378</v>
      </c>
      <c r="I143" s="684">
        <v>0.187330109</v>
      </c>
      <c r="K143" s="693" t="s">
        <v>7</v>
      </c>
      <c r="L143" s="694" t="s">
        <v>917</v>
      </c>
      <c r="M143" s="694" t="s">
        <v>915</v>
      </c>
      <c r="N143" s="694" t="s">
        <v>926</v>
      </c>
      <c r="O143" s="694">
        <v>2021.0</v>
      </c>
      <c r="P143" s="694" t="s">
        <v>919</v>
      </c>
      <c r="Q143" s="695" t="s">
        <v>112</v>
      </c>
      <c r="R143" s="696">
        <v>786492.9971</v>
      </c>
      <c r="S143" s="696">
        <v>661749.9813</v>
      </c>
      <c r="T143" s="697">
        <v>937811.1376</v>
      </c>
      <c r="V143" s="681" t="s">
        <v>7</v>
      </c>
      <c r="W143" s="682" t="s">
        <v>921</v>
      </c>
      <c r="X143" s="682" t="s">
        <v>915</v>
      </c>
      <c r="Y143" s="682" t="s">
        <v>926</v>
      </c>
      <c r="Z143" s="682">
        <v>2021.0</v>
      </c>
      <c r="AA143" s="682" t="s">
        <v>919</v>
      </c>
      <c r="AB143" s="685" t="s">
        <v>112</v>
      </c>
      <c r="AC143" s="686">
        <v>40012.71104</v>
      </c>
      <c r="AD143" s="686">
        <v>25987.24313</v>
      </c>
      <c r="AE143" s="687">
        <v>57513.14173</v>
      </c>
      <c r="AF143" s="669"/>
    </row>
    <row r="144">
      <c r="A144" s="675"/>
      <c r="B144" s="681" t="s">
        <v>66</v>
      </c>
      <c r="C144" s="682" t="s">
        <v>915</v>
      </c>
      <c r="D144" s="682" t="s">
        <v>916</v>
      </c>
      <c r="E144" s="682" t="s">
        <v>917</v>
      </c>
      <c r="F144" s="682">
        <v>2021.0</v>
      </c>
      <c r="G144" s="683">
        <v>0.138480883</v>
      </c>
      <c r="H144" s="683">
        <v>0.108121558</v>
      </c>
      <c r="I144" s="684">
        <v>0.176353788</v>
      </c>
      <c r="K144" s="693" t="s">
        <v>59</v>
      </c>
      <c r="L144" s="694" t="s">
        <v>917</v>
      </c>
      <c r="M144" s="694" t="s">
        <v>915</v>
      </c>
      <c r="N144" s="694" t="s">
        <v>918</v>
      </c>
      <c r="O144" s="694">
        <v>2021.0</v>
      </c>
      <c r="P144" s="694" t="s">
        <v>919</v>
      </c>
      <c r="Q144" s="695" t="s">
        <v>112</v>
      </c>
      <c r="R144" s="696">
        <v>6005.908253</v>
      </c>
      <c r="S144" s="696">
        <v>4673.431807</v>
      </c>
      <c r="T144" s="697">
        <v>7763.737476</v>
      </c>
      <c r="V144" s="681" t="s">
        <v>59</v>
      </c>
      <c r="W144" s="682" t="s">
        <v>921</v>
      </c>
      <c r="X144" s="682" t="s">
        <v>915</v>
      </c>
      <c r="Y144" s="682" t="s">
        <v>918</v>
      </c>
      <c r="Z144" s="682">
        <v>2021.0</v>
      </c>
      <c r="AA144" s="682" t="s">
        <v>919</v>
      </c>
      <c r="AB144" s="685" t="s">
        <v>112</v>
      </c>
      <c r="AC144" s="686">
        <v>137.7602998</v>
      </c>
      <c r="AD144" s="686">
        <v>58.17341059</v>
      </c>
      <c r="AE144" s="687">
        <v>302.7247824</v>
      </c>
      <c r="AF144" s="669"/>
    </row>
    <row r="145">
      <c r="A145" s="675"/>
      <c r="B145" s="681" t="s">
        <v>66</v>
      </c>
      <c r="C145" s="682" t="s">
        <v>915</v>
      </c>
      <c r="D145" s="682" t="s">
        <v>922</v>
      </c>
      <c r="E145" s="682" t="s">
        <v>917</v>
      </c>
      <c r="F145" s="682">
        <v>2021.0</v>
      </c>
      <c r="G145" s="683">
        <v>0.561777196</v>
      </c>
      <c r="H145" s="683">
        <v>0.48889249</v>
      </c>
      <c r="I145" s="684">
        <v>0.642721302</v>
      </c>
      <c r="K145" s="693" t="s">
        <v>59</v>
      </c>
      <c r="L145" s="694" t="s">
        <v>917</v>
      </c>
      <c r="M145" s="694" t="s">
        <v>915</v>
      </c>
      <c r="N145" s="694" t="s">
        <v>923</v>
      </c>
      <c r="O145" s="694">
        <v>2021.0</v>
      </c>
      <c r="P145" s="694" t="s">
        <v>919</v>
      </c>
      <c r="Q145" s="695" t="s">
        <v>112</v>
      </c>
      <c r="R145" s="696">
        <v>9263.452766</v>
      </c>
      <c r="S145" s="696">
        <v>7297.046035</v>
      </c>
      <c r="T145" s="697">
        <v>11976.33903</v>
      </c>
      <c r="V145" s="681" t="s">
        <v>59</v>
      </c>
      <c r="W145" s="682" t="s">
        <v>921</v>
      </c>
      <c r="X145" s="682" t="s">
        <v>915</v>
      </c>
      <c r="Y145" s="682" t="s">
        <v>923</v>
      </c>
      <c r="Z145" s="682">
        <v>2021.0</v>
      </c>
      <c r="AA145" s="682" t="s">
        <v>919</v>
      </c>
      <c r="AB145" s="685" t="s">
        <v>112</v>
      </c>
      <c r="AC145" s="686">
        <v>27.97002503</v>
      </c>
      <c r="AD145" s="686">
        <v>13.38152835</v>
      </c>
      <c r="AE145" s="687">
        <v>50.62965403</v>
      </c>
      <c r="AF145" s="669"/>
    </row>
    <row r="146">
      <c r="A146" s="675"/>
      <c r="B146" s="681" t="s">
        <v>66</v>
      </c>
      <c r="C146" s="682" t="s">
        <v>915</v>
      </c>
      <c r="D146" s="682" t="s">
        <v>924</v>
      </c>
      <c r="E146" s="682" t="s">
        <v>917</v>
      </c>
      <c r="F146" s="682">
        <v>2021.0</v>
      </c>
      <c r="G146" s="683">
        <v>0.012918967</v>
      </c>
      <c r="H146" s="683">
        <v>0.011058392</v>
      </c>
      <c r="I146" s="684">
        <v>0.015358128</v>
      </c>
      <c r="K146" s="693" t="s">
        <v>59</v>
      </c>
      <c r="L146" s="694" t="s">
        <v>917</v>
      </c>
      <c r="M146" s="694" t="s">
        <v>915</v>
      </c>
      <c r="N146" s="694" t="s">
        <v>925</v>
      </c>
      <c r="O146" s="694">
        <v>2021.0</v>
      </c>
      <c r="P146" s="694" t="s">
        <v>919</v>
      </c>
      <c r="Q146" s="695" t="s">
        <v>112</v>
      </c>
      <c r="R146" s="696">
        <v>2473.334697</v>
      </c>
      <c r="S146" s="696">
        <v>1956.406719</v>
      </c>
      <c r="T146" s="697">
        <v>3141.510865</v>
      </c>
      <c r="V146" s="681" t="s">
        <v>59</v>
      </c>
      <c r="W146" s="682" t="s">
        <v>921</v>
      </c>
      <c r="X146" s="682" t="s">
        <v>915</v>
      </c>
      <c r="Y146" s="682" t="s">
        <v>925</v>
      </c>
      <c r="Z146" s="682">
        <v>2021.0</v>
      </c>
      <c r="AA146" s="682" t="s">
        <v>919</v>
      </c>
      <c r="AB146" s="685" t="s">
        <v>112</v>
      </c>
      <c r="AC146" s="686">
        <v>34.02095421</v>
      </c>
      <c r="AD146" s="686">
        <v>15.87794447</v>
      </c>
      <c r="AE146" s="687">
        <v>70.50076011</v>
      </c>
      <c r="AF146" s="669"/>
    </row>
    <row r="147">
      <c r="A147" s="675"/>
      <c r="B147" s="681" t="s">
        <v>66</v>
      </c>
      <c r="C147" s="682" t="s">
        <v>915</v>
      </c>
      <c r="D147" s="682" t="s">
        <v>926</v>
      </c>
      <c r="E147" s="682" t="s">
        <v>917</v>
      </c>
      <c r="F147" s="682">
        <v>2021.0</v>
      </c>
      <c r="G147" s="683">
        <v>0.11497779</v>
      </c>
      <c r="H147" s="683">
        <v>0.092863819</v>
      </c>
      <c r="I147" s="684">
        <v>0.137419339</v>
      </c>
      <c r="K147" s="693" t="s">
        <v>59</v>
      </c>
      <c r="L147" s="694" t="s">
        <v>917</v>
      </c>
      <c r="M147" s="694" t="s">
        <v>915</v>
      </c>
      <c r="N147" s="694" t="s">
        <v>927</v>
      </c>
      <c r="O147" s="694">
        <v>2021.0</v>
      </c>
      <c r="P147" s="694" t="s">
        <v>919</v>
      </c>
      <c r="Q147" s="695" t="s">
        <v>112</v>
      </c>
      <c r="R147" s="696">
        <v>5316.974691</v>
      </c>
      <c r="S147" s="696">
        <v>4175.401235</v>
      </c>
      <c r="T147" s="697">
        <v>6863.146282</v>
      </c>
      <c r="V147" s="681" t="s">
        <v>59</v>
      </c>
      <c r="W147" s="682" t="s">
        <v>921</v>
      </c>
      <c r="X147" s="682" t="s">
        <v>915</v>
      </c>
      <c r="Y147" s="682" t="s">
        <v>927</v>
      </c>
      <c r="Z147" s="682">
        <v>2021.0</v>
      </c>
      <c r="AA147" s="682" t="s">
        <v>919</v>
      </c>
      <c r="AB147" s="685" t="s">
        <v>112</v>
      </c>
      <c r="AC147" s="686">
        <v>288.8556059</v>
      </c>
      <c r="AD147" s="686">
        <v>132.0672962</v>
      </c>
      <c r="AE147" s="687">
        <v>548.976656</v>
      </c>
      <c r="AF147" s="669"/>
    </row>
    <row r="148">
      <c r="A148" s="675"/>
      <c r="B148" s="681" t="s">
        <v>67</v>
      </c>
      <c r="C148" s="682" t="s">
        <v>915</v>
      </c>
      <c r="D148" s="682" t="s">
        <v>916</v>
      </c>
      <c r="E148" s="682" t="s">
        <v>917</v>
      </c>
      <c r="F148" s="682">
        <v>2021.0</v>
      </c>
      <c r="G148" s="683">
        <v>0.123232973</v>
      </c>
      <c r="H148" s="683">
        <v>0.098972599</v>
      </c>
      <c r="I148" s="684">
        <v>0.153843882</v>
      </c>
      <c r="K148" s="693" t="s">
        <v>59</v>
      </c>
      <c r="L148" s="694" t="s">
        <v>917</v>
      </c>
      <c r="M148" s="694" t="s">
        <v>915</v>
      </c>
      <c r="N148" s="694" t="s">
        <v>926</v>
      </c>
      <c r="O148" s="694">
        <v>2021.0</v>
      </c>
      <c r="P148" s="694" t="s">
        <v>919</v>
      </c>
      <c r="Q148" s="695" t="s">
        <v>112</v>
      </c>
      <c r="R148" s="696">
        <v>23059.67041</v>
      </c>
      <c r="S148" s="696">
        <v>18182.53697</v>
      </c>
      <c r="T148" s="697">
        <v>29484.01292</v>
      </c>
      <c r="V148" s="681" t="s">
        <v>59</v>
      </c>
      <c r="W148" s="682" t="s">
        <v>921</v>
      </c>
      <c r="X148" s="682" t="s">
        <v>915</v>
      </c>
      <c r="Y148" s="682" t="s">
        <v>926</v>
      </c>
      <c r="Z148" s="682">
        <v>2021.0</v>
      </c>
      <c r="AA148" s="682" t="s">
        <v>919</v>
      </c>
      <c r="AB148" s="685" t="s">
        <v>112</v>
      </c>
      <c r="AC148" s="686">
        <v>488.6068849</v>
      </c>
      <c r="AD148" s="686">
        <v>249.3638884</v>
      </c>
      <c r="AE148" s="687">
        <v>902.3504847</v>
      </c>
      <c r="AF148" s="669"/>
    </row>
    <row r="149">
      <c r="A149" s="675"/>
      <c r="B149" s="681" t="s">
        <v>67</v>
      </c>
      <c r="C149" s="682" t="s">
        <v>915</v>
      </c>
      <c r="D149" s="682" t="s">
        <v>922</v>
      </c>
      <c r="E149" s="682" t="s">
        <v>917</v>
      </c>
      <c r="F149" s="682">
        <v>2021.0</v>
      </c>
      <c r="G149" s="683">
        <v>0.589765254</v>
      </c>
      <c r="H149" s="683">
        <v>0.516416705</v>
      </c>
      <c r="I149" s="684">
        <v>0.670909632</v>
      </c>
      <c r="K149" s="693" t="s">
        <v>60</v>
      </c>
      <c r="L149" s="694" t="s">
        <v>917</v>
      </c>
      <c r="M149" s="694" t="s">
        <v>915</v>
      </c>
      <c r="N149" s="694" t="s">
        <v>918</v>
      </c>
      <c r="O149" s="694">
        <v>2021.0</v>
      </c>
      <c r="P149" s="694" t="s">
        <v>919</v>
      </c>
      <c r="Q149" s="695" t="s">
        <v>112</v>
      </c>
      <c r="R149" s="696">
        <v>2360.967059</v>
      </c>
      <c r="S149" s="696">
        <v>1831.581576</v>
      </c>
      <c r="T149" s="697">
        <v>3022.424573</v>
      </c>
      <c r="V149" s="681" t="s">
        <v>60</v>
      </c>
      <c r="W149" s="682" t="s">
        <v>921</v>
      </c>
      <c r="X149" s="682" t="s">
        <v>915</v>
      </c>
      <c r="Y149" s="682" t="s">
        <v>918</v>
      </c>
      <c r="Z149" s="682">
        <v>2021.0</v>
      </c>
      <c r="AA149" s="682" t="s">
        <v>919</v>
      </c>
      <c r="AB149" s="685" t="s">
        <v>112</v>
      </c>
      <c r="AC149" s="686">
        <v>49.04755489</v>
      </c>
      <c r="AD149" s="686">
        <v>20.81388015</v>
      </c>
      <c r="AE149" s="687">
        <v>102.5163192</v>
      </c>
      <c r="AF149" s="669"/>
    </row>
    <row r="150">
      <c r="A150" s="675"/>
      <c r="B150" s="681" t="s">
        <v>67</v>
      </c>
      <c r="C150" s="682" t="s">
        <v>915</v>
      </c>
      <c r="D150" s="682" t="s">
        <v>924</v>
      </c>
      <c r="E150" s="682" t="s">
        <v>917</v>
      </c>
      <c r="F150" s="682">
        <v>2021.0</v>
      </c>
      <c r="G150" s="683">
        <v>0.011536301</v>
      </c>
      <c r="H150" s="683">
        <v>0.009776942</v>
      </c>
      <c r="I150" s="684">
        <v>0.013524491</v>
      </c>
      <c r="K150" s="693" t="s">
        <v>60</v>
      </c>
      <c r="L150" s="694" t="s">
        <v>917</v>
      </c>
      <c r="M150" s="694" t="s">
        <v>915</v>
      </c>
      <c r="N150" s="694" t="s">
        <v>923</v>
      </c>
      <c r="O150" s="694">
        <v>2021.0</v>
      </c>
      <c r="P150" s="694" t="s">
        <v>919</v>
      </c>
      <c r="Q150" s="695" t="s">
        <v>112</v>
      </c>
      <c r="R150" s="696">
        <v>2706.423736</v>
      </c>
      <c r="S150" s="696">
        <v>2121.009718</v>
      </c>
      <c r="T150" s="697">
        <v>3470.965709</v>
      </c>
      <c r="V150" s="681" t="s">
        <v>60</v>
      </c>
      <c r="W150" s="682" t="s">
        <v>921</v>
      </c>
      <c r="X150" s="682" t="s">
        <v>915</v>
      </c>
      <c r="Y150" s="682" t="s">
        <v>923</v>
      </c>
      <c r="Z150" s="682">
        <v>2021.0</v>
      </c>
      <c r="AA150" s="682" t="s">
        <v>919</v>
      </c>
      <c r="AB150" s="685" t="s">
        <v>112</v>
      </c>
      <c r="AC150" s="686">
        <v>7.69293674</v>
      </c>
      <c r="AD150" s="686">
        <v>3.975876044</v>
      </c>
      <c r="AE150" s="687">
        <v>13.86534235</v>
      </c>
      <c r="AF150" s="669"/>
    </row>
    <row r="151">
      <c r="A151" s="675"/>
      <c r="B151" s="681" t="s">
        <v>67</v>
      </c>
      <c r="C151" s="682" t="s">
        <v>915</v>
      </c>
      <c r="D151" s="682" t="s">
        <v>926</v>
      </c>
      <c r="E151" s="682" t="s">
        <v>917</v>
      </c>
      <c r="F151" s="682">
        <v>2021.0</v>
      </c>
      <c r="G151" s="683">
        <v>0.099652549</v>
      </c>
      <c r="H151" s="683">
        <v>0.084266763</v>
      </c>
      <c r="I151" s="684">
        <v>0.116816147</v>
      </c>
      <c r="K151" s="693" t="s">
        <v>60</v>
      </c>
      <c r="L151" s="694" t="s">
        <v>917</v>
      </c>
      <c r="M151" s="694" t="s">
        <v>915</v>
      </c>
      <c r="N151" s="694" t="s">
        <v>925</v>
      </c>
      <c r="O151" s="694">
        <v>2021.0</v>
      </c>
      <c r="P151" s="694" t="s">
        <v>919</v>
      </c>
      <c r="Q151" s="695" t="s">
        <v>112</v>
      </c>
      <c r="R151" s="696">
        <v>507.2090571</v>
      </c>
      <c r="S151" s="696">
        <v>400.7942253</v>
      </c>
      <c r="T151" s="697">
        <v>644.3295101</v>
      </c>
      <c r="V151" s="681" t="s">
        <v>60</v>
      </c>
      <c r="W151" s="682" t="s">
        <v>921</v>
      </c>
      <c r="X151" s="682" t="s">
        <v>915</v>
      </c>
      <c r="Y151" s="682" t="s">
        <v>925</v>
      </c>
      <c r="Z151" s="682">
        <v>2021.0</v>
      </c>
      <c r="AA151" s="682" t="s">
        <v>919</v>
      </c>
      <c r="AB151" s="685" t="s">
        <v>112</v>
      </c>
      <c r="AC151" s="686">
        <v>6.59126176</v>
      </c>
      <c r="AD151" s="686">
        <v>2.949150263</v>
      </c>
      <c r="AE151" s="687">
        <v>14.68749077</v>
      </c>
      <c r="AF151" s="669"/>
    </row>
    <row r="152">
      <c r="A152" s="675"/>
      <c r="B152" s="681" t="s">
        <v>37</v>
      </c>
      <c r="C152" s="682" t="s">
        <v>915</v>
      </c>
      <c r="D152" s="682" t="s">
        <v>916</v>
      </c>
      <c r="E152" s="682" t="s">
        <v>917</v>
      </c>
      <c r="F152" s="682">
        <v>2021.0</v>
      </c>
      <c r="G152" s="683">
        <v>0.143277357</v>
      </c>
      <c r="H152" s="683">
        <v>0.114135126</v>
      </c>
      <c r="I152" s="684">
        <v>0.179901881</v>
      </c>
      <c r="K152" s="693" t="s">
        <v>60</v>
      </c>
      <c r="L152" s="694" t="s">
        <v>917</v>
      </c>
      <c r="M152" s="694" t="s">
        <v>915</v>
      </c>
      <c r="N152" s="694" t="s">
        <v>927</v>
      </c>
      <c r="O152" s="694">
        <v>2021.0</v>
      </c>
      <c r="P152" s="694" t="s">
        <v>919</v>
      </c>
      <c r="Q152" s="695" t="s">
        <v>112</v>
      </c>
      <c r="R152" s="696">
        <v>1307.402422</v>
      </c>
      <c r="S152" s="696">
        <v>1020.463691</v>
      </c>
      <c r="T152" s="697">
        <v>1694.609714</v>
      </c>
      <c r="V152" s="681" t="s">
        <v>60</v>
      </c>
      <c r="W152" s="682" t="s">
        <v>921</v>
      </c>
      <c r="X152" s="682" t="s">
        <v>915</v>
      </c>
      <c r="Y152" s="682" t="s">
        <v>927</v>
      </c>
      <c r="Z152" s="682">
        <v>2021.0</v>
      </c>
      <c r="AA152" s="682" t="s">
        <v>919</v>
      </c>
      <c r="AB152" s="685" t="s">
        <v>112</v>
      </c>
      <c r="AC152" s="686">
        <v>51.90932469</v>
      </c>
      <c r="AD152" s="686">
        <v>22.83052212</v>
      </c>
      <c r="AE152" s="687">
        <v>101.8510186</v>
      </c>
      <c r="AF152" s="669"/>
    </row>
    <row r="153">
      <c r="A153" s="675"/>
      <c r="B153" s="681" t="s">
        <v>37</v>
      </c>
      <c r="C153" s="682" t="s">
        <v>915</v>
      </c>
      <c r="D153" s="682" t="s">
        <v>922</v>
      </c>
      <c r="E153" s="682" t="s">
        <v>917</v>
      </c>
      <c r="F153" s="682">
        <v>2021.0</v>
      </c>
      <c r="G153" s="683">
        <v>0.629803242</v>
      </c>
      <c r="H153" s="683">
        <v>0.555090175</v>
      </c>
      <c r="I153" s="684">
        <v>0.710881482</v>
      </c>
      <c r="K153" s="693" t="s">
        <v>60</v>
      </c>
      <c r="L153" s="694" t="s">
        <v>917</v>
      </c>
      <c r="M153" s="694" t="s">
        <v>915</v>
      </c>
      <c r="N153" s="694" t="s">
        <v>926</v>
      </c>
      <c r="O153" s="694">
        <v>2021.0</v>
      </c>
      <c r="P153" s="694" t="s">
        <v>919</v>
      </c>
      <c r="Q153" s="695" t="s">
        <v>112</v>
      </c>
      <c r="R153" s="696">
        <v>6882.002275</v>
      </c>
      <c r="S153" s="696">
        <v>5446.976663</v>
      </c>
      <c r="T153" s="697">
        <v>8781.47916</v>
      </c>
      <c r="V153" s="681" t="s">
        <v>60</v>
      </c>
      <c r="W153" s="682" t="s">
        <v>921</v>
      </c>
      <c r="X153" s="682" t="s">
        <v>915</v>
      </c>
      <c r="Y153" s="682" t="s">
        <v>926</v>
      </c>
      <c r="Z153" s="682">
        <v>2021.0</v>
      </c>
      <c r="AA153" s="682" t="s">
        <v>919</v>
      </c>
      <c r="AB153" s="685" t="s">
        <v>112</v>
      </c>
      <c r="AC153" s="686">
        <v>115.2410781</v>
      </c>
      <c r="AD153" s="686">
        <v>57.22651611</v>
      </c>
      <c r="AE153" s="687">
        <v>210.3209409</v>
      </c>
      <c r="AF153" s="669"/>
    </row>
    <row r="154">
      <c r="A154" s="675"/>
      <c r="B154" s="681" t="s">
        <v>37</v>
      </c>
      <c r="C154" s="682" t="s">
        <v>915</v>
      </c>
      <c r="D154" s="682" t="s">
        <v>924</v>
      </c>
      <c r="E154" s="682" t="s">
        <v>917</v>
      </c>
      <c r="F154" s="682">
        <v>2021.0</v>
      </c>
      <c r="G154" s="683">
        <v>0.017262854</v>
      </c>
      <c r="H154" s="683">
        <v>0.014961377</v>
      </c>
      <c r="I154" s="684">
        <v>0.019968009</v>
      </c>
      <c r="K154" s="693" t="s">
        <v>61</v>
      </c>
      <c r="L154" s="694" t="s">
        <v>917</v>
      </c>
      <c r="M154" s="694" t="s">
        <v>915</v>
      </c>
      <c r="N154" s="694" t="s">
        <v>918</v>
      </c>
      <c r="O154" s="694">
        <v>2021.0</v>
      </c>
      <c r="P154" s="694" t="s">
        <v>919</v>
      </c>
      <c r="Q154" s="695" t="s">
        <v>112</v>
      </c>
      <c r="R154" s="696">
        <v>1347.772212</v>
      </c>
      <c r="S154" s="696">
        <v>1026.549698</v>
      </c>
      <c r="T154" s="697">
        <v>1735.007593</v>
      </c>
      <c r="V154" s="681" t="s">
        <v>61</v>
      </c>
      <c r="W154" s="682" t="s">
        <v>921</v>
      </c>
      <c r="X154" s="682" t="s">
        <v>915</v>
      </c>
      <c r="Y154" s="682" t="s">
        <v>918</v>
      </c>
      <c r="Z154" s="682">
        <v>2021.0</v>
      </c>
      <c r="AA154" s="682" t="s">
        <v>919</v>
      </c>
      <c r="AB154" s="685" t="s">
        <v>112</v>
      </c>
      <c r="AC154" s="686">
        <v>19.98773088</v>
      </c>
      <c r="AD154" s="686">
        <v>6.575180062</v>
      </c>
      <c r="AE154" s="687">
        <v>45.84688237</v>
      </c>
      <c r="AF154" s="669"/>
    </row>
    <row r="155">
      <c r="A155" s="675"/>
      <c r="B155" s="681" t="s">
        <v>37</v>
      </c>
      <c r="C155" s="682" t="s">
        <v>915</v>
      </c>
      <c r="D155" s="682" t="s">
        <v>926</v>
      </c>
      <c r="E155" s="682" t="s">
        <v>917</v>
      </c>
      <c r="F155" s="682">
        <v>2021.0</v>
      </c>
      <c r="G155" s="683">
        <v>0.173533394</v>
      </c>
      <c r="H155" s="683">
        <v>0.148710711</v>
      </c>
      <c r="I155" s="684">
        <v>0.199153955</v>
      </c>
      <c r="K155" s="693" t="s">
        <v>61</v>
      </c>
      <c r="L155" s="694" t="s">
        <v>917</v>
      </c>
      <c r="M155" s="694" t="s">
        <v>915</v>
      </c>
      <c r="N155" s="694" t="s">
        <v>923</v>
      </c>
      <c r="O155" s="694">
        <v>2021.0</v>
      </c>
      <c r="P155" s="694" t="s">
        <v>919</v>
      </c>
      <c r="Q155" s="695" t="s">
        <v>112</v>
      </c>
      <c r="R155" s="696">
        <v>2295.057576</v>
      </c>
      <c r="S155" s="696">
        <v>1849.855021</v>
      </c>
      <c r="T155" s="697">
        <v>2862.204822</v>
      </c>
      <c r="V155" s="681" t="s">
        <v>61</v>
      </c>
      <c r="W155" s="682" t="s">
        <v>921</v>
      </c>
      <c r="X155" s="682" t="s">
        <v>915</v>
      </c>
      <c r="Y155" s="682" t="s">
        <v>923</v>
      </c>
      <c r="Z155" s="682">
        <v>2021.0</v>
      </c>
      <c r="AA155" s="682" t="s">
        <v>919</v>
      </c>
      <c r="AB155" s="685" t="s">
        <v>112</v>
      </c>
      <c r="AC155" s="686">
        <v>6.283501683</v>
      </c>
      <c r="AD155" s="686">
        <v>3.014779983</v>
      </c>
      <c r="AE155" s="687">
        <v>12.75021173</v>
      </c>
      <c r="AF155" s="669"/>
    </row>
    <row r="156">
      <c r="A156" s="675"/>
      <c r="B156" s="681" t="s">
        <v>38</v>
      </c>
      <c r="C156" s="682" t="s">
        <v>915</v>
      </c>
      <c r="D156" s="682" t="s">
        <v>916</v>
      </c>
      <c r="E156" s="682" t="s">
        <v>944</v>
      </c>
      <c r="F156" s="682">
        <v>2021.0</v>
      </c>
      <c r="G156" s="683">
        <v>9.358E-4</v>
      </c>
      <c r="H156" s="683">
        <v>5.0974E-4</v>
      </c>
      <c r="I156" s="684">
        <v>0.001570655</v>
      </c>
      <c r="K156" s="693" t="s">
        <v>61</v>
      </c>
      <c r="L156" s="694" t="s">
        <v>917</v>
      </c>
      <c r="M156" s="694" t="s">
        <v>915</v>
      </c>
      <c r="N156" s="694" t="s">
        <v>925</v>
      </c>
      <c r="O156" s="694">
        <v>2021.0</v>
      </c>
      <c r="P156" s="694" t="s">
        <v>919</v>
      </c>
      <c r="Q156" s="695" t="s">
        <v>112</v>
      </c>
      <c r="R156" s="696">
        <v>587.0205651</v>
      </c>
      <c r="S156" s="696">
        <v>476.3683277</v>
      </c>
      <c r="T156" s="697">
        <v>721.1043307</v>
      </c>
      <c r="V156" s="681" t="s">
        <v>61</v>
      </c>
      <c r="W156" s="682" t="s">
        <v>921</v>
      </c>
      <c r="X156" s="682" t="s">
        <v>915</v>
      </c>
      <c r="Y156" s="682" t="s">
        <v>925</v>
      </c>
      <c r="Z156" s="682">
        <v>2021.0</v>
      </c>
      <c r="AA156" s="682" t="s">
        <v>919</v>
      </c>
      <c r="AB156" s="685" t="s">
        <v>112</v>
      </c>
      <c r="AC156" s="686">
        <v>6.517577825</v>
      </c>
      <c r="AD156" s="686">
        <v>2.564793008</v>
      </c>
      <c r="AE156" s="687">
        <v>14.62788856</v>
      </c>
      <c r="AF156" s="669"/>
    </row>
    <row r="157">
      <c r="A157" s="675"/>
      <c r="B157" s="681" t="s">
        <v>38</v>
      </c>
      <c r="C157" s="682" t="s">
        <v>915</v>
      </c>
      <c r="D157" s="682" t="s">
        <v>922</v>
      </c>
      <c r="E157" s="682" t="s">
        <v>944</v>
      </c>
      <c r="F157" s="682">
        <v>2021.0</v>
      </c>
      <c r="G157" s="683">
        <v>0.005661203</v>
      </c>
      <c r="H157" s="683">
        <v>0.002841357</v>
      </c>
      <c r="I157" s="684">
        <v>0.010206104</v>
      </c>
      <c r="K157" s="693" t="s">
        <v>61</v>
      </c>
      <c r="L157" s="694" t="s">
        <v>917</v>
      </c>
      <c r="M157" s="694" t="s">
        <v>915</v>
      </c>
      <c r="N157" s="694" t="s">
        <v>927</v>
      </c>
      <c r="O157" s="694">
        <v>2021.0</v>
      </c>
      <c r="P157" s="694" t="s">
        <v>919</v>
      </c>
      <c r="Q157" s="695" t="s">
        <v>112</v>
      </c>
      <c r="R157" s="696">
        <v>1215.805181</v>
      </c>
      <c r="S157" s="696">
        <v>974.4039909</v>
      </c>
      <c r="T157" s="697">
        <v>1509.689606</v>
      </c>
      <c r="V157" s="681" t="s">
        <v>61</v>
      </c>
      <c r="W157" s="682" t="s">
        <v>921</v>
      </c>
      <c r="X157" s="682" t="s">
        <v>915</v>
      </c>
      <c r="Y157" s="682" t="s">
        <v>927</v>
      </c>
      <c r="Z157" s="682">
        <v>2021.0</v>
      </c>
      <c r="AA157" s="682" t="s">
        <v>919</v>
      </c>
      <c r="AB157" s="685" t="s">
        <v>112</v>
      </c>
      <c r="AC157" s="686">
        <v>41.66792899</v>
      </c>
      <c r="AD157" s="686">
        <v>15.04435036</v>
      </c>
      <c r="AE157" s="687">
        <v>94.50376935</v>
      </c>
      <c r="AF157" s="669"/>
    </row>
    <row r="158">
      <c r="A158" s="675"/>
      <c r="B158" s="681" t="s">
        <v>38</v>
      </c>
      <c r="C158" s="682" t="s">
        <v>915</v>
      </c>
      <c r="D158" s="682" t="s">
        <v>924</v>
      </c>
      <c r="E158" s="682" t="s">
        <v>944</v>
      </c>
      <c r="F158" s="682">
        <v>2021.0</v>
      </c>
      <c r="G158" s="683">
        <v>3.23519E-4</v>
      </c>
      <c r="H158" s="683">
        <v>2.37386E-4</v>
      </c>
      <c r="I158" s="684">
        <v>4.5064E-4</v>
      </c>
      <c r="K158" s="693" t="s">
        <v>61</v>
      </c>
      <c r="L158" s="694" t="s">
        <v>917</v>
      </c>
      <c r="M158" s="694" t="s">
        <v>915</v>
      </c>
      <c r="N158" s="694" t="s">
        <v>926</v>
      </c>
      <c r="O158" s="694">
        <v>2021.0</v>
      </c>
      <c r="P158" s="694" t="s">
        <v>919</v>
      </c>
      <c r="Q158" s="695" t="s">
        <v>112</v>
      </c>
      <c r="R158" s="696">
        <v>5445.655534</v>
      </c>
      <c r="S158" s="696">
        <v>4357.317409</v>
      </c>
      <c r="T158" s="697">
        <v>6809.631234</v>
      </c>
      <c r="V158" s="681" t="s">
        <v>61</v>
      </c>
      <c r="W158" s="682" t="s">
        <v>921</v>
      </c>
      <c r="X158" s="682" t="s">
        <v>915</v>
      </c>
      <c r="Y158" s="682" t="s">
        <v>926</v>
      </c>
      <c r="Z158" s="682">
        <v>2021.0</v>
      </c>
      <c r="AA158" s="682" t="s">
        <v>919</v>
      </c>
      <c r="AB158" s="685" t="s">
        <v>112</v>
      </c>
      <c r="AC158" s="686">
        <v>74.45673938</v>
      </c>
      <c r="AD158" s="686">
        <v>30.90415682</v>
      </c>
      <c r="AE158" s="687">
        <v>160.3268185</v>
      </c>
      <c r="AF158" s="669"/>
    </row>
    <row r="159">
      <c r="A159" s="675"/>
      <c r="B159" s="681" t="s">
        <v>38</v>
      </c>
      <c r="C159" s="682" t="s">
        <v>915</v>
      </c>
      <c r="D159" s="682" t="s">
        <v>926</v>
      </c>
      <c r="E159" s="682" t="s">
        <v>944</v>
      </c>
      <c r="F159" s="682">
        <v>2021.0</v>
      </c>
      <c r="G159" s="683">
        <v>0.008317334</v>
      </c>
      <c r="H159" s="683">
        <v>0.00601682</v>
      </c>
      <c r="I159" s="684">
        <v>0.012737635</v>
      </c>
      <c r="K159" s="693" t="s">
        <v>63</v>
      </c>
      <c r="L159" s="694" t="s">
        <v>917</v>
      </c>
      <c r="M159" s="694" t="s">
        <v>915</v>
      </c>
      <c r="N159" s="694" t="s">
        <v>918</v>
      </c>
      <c r="O159" s="694">
        <v>2021.0</v>
      </c>
      <c r="P159" s="694" t="s">
        <v>919</v>
      </c>
      <c r="Q159" s="695" t="s">
        <v>112</v>
      </c>
      <c r="R159" s="696">
        <v>2490.859744</v>
      </c>
      <c r="S159" s="696">
        <v>1924.962321</v>
      </c>
      <c r="T159" s="697">
        <v>3208.796748</v>
      </c>
      <c r="V159" s="681" t="s">
        <v>63</v>
      </c>
      <c r="W159" s="682" t="s">
        <v>921</v>
      </c>
      <c r="X159" s="682" t="s">
        <v>915</v>
      </c>
      <c r="Y159" s="682" t="s">
        <v>918</v>
      </c>
      <c r="Z159" s="682">
        <v>2021.0</v>
      </c>
      <c r="AA159" s="682" t="s">
        <v>919</v>
      </c>
      <c r="AB159" s="685" t="s">
        <v>112</v>
      </c>
      <c r="AC159" s="686">
        <v>50.41707617</v>
      </c>
      <c r="AD159" s="686">
        <v>20.13047569</v>
      </c>
      <c r="AE159" s="687">
        <v>107.2545177</v>
      </c>
      <c r="AF159" s="669"/>
    </row>
    <row r="160">
      <c r="A160" s="675"/>
      <c r="B160" s="681" t="s">
        <v>39</v>
      </c>
      <c r="C160" s="682" t="s">
        <v>915</v>
      </c>
      <c r="D160" s="682" t="s">
        <v>916</v>
      </c>
      <c r="E160" s="682" t="s">
        <v>944</v>
      </c>
      <c r="F160" s="682">
        <v>2021.0</v>
      </c>
      <c r="G160" s="683">
        <v>0.002464247</v>
      </c>
      <c r="H160" s="683">
        <v>0.001316181</v>
      </c>
      <c r="I160" s="684">
        <v>0.004421899</v>
      </c>
      <c r="K160" s="693" t="s">
        <v>63</v>
      </c>
      <c r="L160" s="694" t="s">
        <v>917</v>
      </c>
      <c r="M160" s="694" t="s">
        <v>915</v>
      </c>
      <c r="N160" s="694" t="s">
        <v>923</v>
      </c>
      <c r="O160" s="694">
        <v>2021.0</v>
      </c>
      <c r="P160" s="694" t="s">
        <v>919</v>
      </c>
      <c r="Q160" s="695" t="s">
        <v>112</v>
      </c>
      <c r="R160" s="696">
        <v>3037.09677</v>
      </c>
      <c r="S160" s="696">
        <v>2358.663225</v>
      </c>
      <c r="T160" s="697">
        <v>3946.849963</v>
      </c>
      <c r="V160" s="681" t="s">
        <v>63</v>
      </c>
      <c r="W160" s="682" t="s">
        <v>921</v>
      </c>
      <c r="X160" s="682" t="s">
        <v>915</v>
      </c>
      <c r="Y160" s="682" t="s">
        <v>923</v>
      </c>
      <c r="Z160" s="682">
        <v>2021.0</v>
      </c>
      <c r="AA160" s="682" t="s">
        <v>919</v>
      </c>
      <c r="AB160" s="685" t="s">
        <v>112</v>
      </c>
      <c r="AC160" s="686">
        <v>8.293630658</v>
      </c>
      <c r="AD160" s="686">
        <v>3.949111182</v>
      </c>
      <c r="AE160" s="687">
        <v>15.9297066</v>
      </c>
      <c r="AF160" s="669"/>
    </row>
    <row r="161">
      <c r="A161" s="675"/>
      <c r="B161" s="681" t="s">
        <v>39</v>
      </c>
      <c r="C161" s="682" t="s">
        <v>915</v>
      </c>
      <c r="D161" s="682" t="s">
        <v>922</v>
      </c>
      <c r="E161" s="682" t="s">
        <v>944</v>
      </c>
      <c r="F161" s="682">
        <v>2021.0</v>
      </c>
      <c r="G161" s="683">
        <v>0.018103953</v>
      </c>
      <c r="H161" s="683">
        <v>0.009755202</v>
      </c>
      <c r="I161" s="684">
        <v>0.031532264</v>
      </c>
      <c r="K161" s="693" t="s">
        <v>63</v>
      </c>
      <c r="L161" s="694" t="s">
        <v>917</v>
      </c>
      <c r="M161" s="694" t="s">
        <v>915</v>
      </c>
      <c r="N161" s="694" t="s">
        <v>925</v>
      </c>
      <c r="O161" s="694">
        <v>2021.0</v>
      </c>
      <c r="P161" s="694" t="s">
        <v>919</v>
      </c>
      <c r="Q161" s="695" t="s">
        <v>112</v>
      </c>
      <c r="R161" s="696">
        <v>297.472422</v>
      </c>
      <c r="S161" s="696">
        <v>231.664449</v>
      </c>
      <c r="T161" s="697">
        <v>378.4942381</v>
      </c>
      <c r="V161" s="681" t="s">
        <v>63</v>
      </c>
      <c r="W161" s="682" t="s">
        <v>921</v>
      </c>
      <c r="X161" s="682" t="s">
        <v>915</v>
      </c>
      <c r="Y161" s="682" t="s">
        <v>925</v>
      </c>
      <c r="Z161" s="682">
        <v>2021.0</v>
      </c>
      <c r="AA161" s="682" t="s">
        <v>919</v>
      </c>
      <c r="AB161" s="685" t="s">
        <v>112</v>
      </c>
      <c r="AC161" s="686">
        <v>3.348123559</v>
      </c>
      <c r="AD161" s="686">
        <v>1.168885912</v>
      </c>
      <c r="AE161" s="687">
        <v>8.071010674</v>
      </c>
      <c r="AF161" s="669"/>
    </row>
    <row r="162">
      <c r="A162" s="675"/>
      <c r="B162" s="681" t="s">
        <v>39</v>
      </c>
      <c r="C162" s="682" t="s">
        <v>915</v>
      </c>
      <c r="D162" s="682" t="s">
        <v>924</v>
      </c>
      <c r="E162" s="682" t="s">
        <v>944</v>
      </c>
      <c r="F162" s="682">
        <v>2021.0</v>
      </c>
      <c r="G162" s="683">
        <v>7.24649E-4</v>
      </c>
      <c r="H162" s="683">
        <v>4.23736E-4</v>
      </c>
      <c r="I162" s="684">
        <v>0.001163075</v>
      </c>
      <c r="K162" s="693" t="s">
        <v>63</v>
      </c>
      <c r="L162" s="694" t="s">
        <v>917</v>
      </c>
      <c r="M162" s="694" t="s">
        <v>915</v>
      </c>
      <c r="N162" s="694" t="s">
        <v>927</v>
      </c>
      <c r="O162" s="694">
        <v>2021.0</v>
      </c>
      <c r="P162" s="694" t="s">
        <v>919</v>
      </c>
      <c r="Q162" s="695" t="s">
        <v>112</v>
      </c>
      <c r="R162" s="696">
        <v>1682.312413</v>
      </c>
      <c r="S162" s="696">
        <v>1286.640704</v>
      </c>
      <c r="T162" s="697">
        <v>2171.700574</v>
      </c>
      <c r="V162" s="681" t="s">
        <v>63</v>
      </c>
      <c r="W162" s="682" t="s">
        <v>921</v>
      </c>
      <c r="X162" s="682" t="s">
        <v>915</v>
      </c>
      <c r="Y162" s="682" t="s">
        <v>927</v>
      </c>
      <c r="Z162" s="682">
        <v>2021.0</v>
      </c>
      <c r="AA162" s="682" t="s">
        <v>919</v>
      </c>
      <c r="AB162" s="685" t="s">
        <v>112</v>
      </c>
      <c r="AC162" s="686">
        <v>72.89465277</v>
      </c>
      <c r="AD162" s="686">
        <v>28.93764953</v>
      </c>
      <c r="AE162" s="687">
        <v>146.7244724</v>
      </c>
      <c r="AF162" s="669"/>
    </row>
    <row r="163">
      <c r="A163" s="675"/>
      <c r="B163" s="681" t="s">
        <v>39</v>
      </c>
      <c r="C163" s="682" t="s">
        <v>915</v>
      </c>
      <c r="D163" s="682" t="s">
        <v>926</v>
      </c>
      <c r="E163" s="682" t="s">
        <v>944</v>
      </c>
      <c r="F163" s="682">
        <v>2021.0</v>
      </c>
      <c r="G163" s="683">
        <v>0.017929219</v>
      </c>
      <c r="H163" s="683">
        <v>0.01205915</v>
      </c>
      <c r="I163" s="684">
        <v>0.025556078</v>
      </c>
      <c r="K163" s="693" t="s">
        <v>63</v>
      </c>
      <c r="L163" s="694" t="s">
        <v>917</v>
      </c>
      <c r="M163" s="694" t="s">
        <v>915</v>
      </c>
      <c r="N163" s="694" t="s">
        <v>926</v>
      </c>
      <c r="O163" s="694">
        <v>2021.0</v>
      </c>
      <c r="P163" s="694" t="s">
        <v>919</v>
      </c>
      <c r="Q163" s="695" t="s">
        <v>112</v>
      </c>
      <c r="R163" s="696">
        <v>7507.741349</v>
      </c>
      <c r="S163" s="696">
        <v>5915.042942</v>
      </c>
      <c r="T163" s="697">
        <v>9539.617148</v>
      </c>
      <c r="V163" s="681" t="s">
        <v>63</v>
      </c>
      <c r="W163" s="682" t="s">
        <v>921</v>
      </c>
      <c r="X163" s="682" t="s">
        <v>915</v>
      </c>
      <c r="Y163" s="682" t="s">
        <v>926</v>
      </c>
      <c r="Z163" s="682">
        <v>2021.0</v>
      </c>
      <c r="AA163" s="682" t="s">
        <v>919</v>
      </c>
      <c r="AB163" s="685" t="s">
        <v>112</v>
      </c>
      <c r="AC163" s="686">
        <v>134.9534832</v>
      </c>
      <c r="AD163" s="686">
        <v>63.05993197</v>
      </c>
      <c r="AE163" s="687">
        <v>269.9162327</v>
      </c>
      <c r="AF163" s="669"/>
    </row>
    <row r="164">
      <c r="A164" s="675"/>
      <c r="B164" s="681" t="s">
        <v>40</v>
      </c>
      <c r="C164" s="682" t="s">
        <v>915</v>
      </c>
      <c r="D164" s="682" t="s">
        <v>916</v>
      </c>
      <c r="E164" s="682" t="s">
        <v>944</v>
      </c>
      <c r="F164" s="682">
        <v>2021.0</v>
      </c>
      <c r="G164" s="683">
        <v>9.56354E-4</v>
      </c>
      <c r="H164" s="683">
        <v>3.92492E-4</v>
      </c>
      <c r="I164" s="684">
        <v>0.001919092</v>
      </c>
      <c r="K164" s="693" t="s">
        <v>64</v>
      </c>
      <c r="L164" s="694" t="s">
        <v>917</v>
      </c>
      <c r="M164" s="694" t="s">
        <v>915</v>
      </c>
      <c r="N164" s="694" t="s">
        <v>918</v>
      </c>
      <c r="O164" s="694">
        <v>2021.0</v>
      </c>
      <c r="P164" s="694" t="s">
        <v>919</v>
      </c>
      <c r="Q164" s="695" t="s">
        <v>112</v>
      </c>
      <c r="R164" s="696">
        <v>6532.530172</v>
      </c>
      <c r="S164" s="696">
        <v>5104.460529</v>
      </c>
      <c r="T164" s="697">
        <v>8266.437472</v>
      </c>
      <c r="V164" s="681" t="s">
        <v>64</v>
      </c>
      <c r="W164" s="682" t="s">
        <v>921</v>
      </c>
      <c r="X164" s="682" t="s">
        <v>915</v>
      </c>
      <c r="Y164" s="682" t="s">
        <v>918</v>
      </c>
      <c r="Z164" s="682">
        <v>2021.0</v>
      </c>
      <c r="AA164" s="682" t="s">
        <v>919</v>
      </c>
      <c r="AB164" s="685" t="s">
        <v>112</v>
      </c>
      <c r="AC164" s="686">
        <v>184.5041437</v>
      </c>
      <c r="AD164" s="686">
        <v>78.72503921</v>
      </c>
      <c r="AE164" s="687">
        <v>340.986288</v>
      </c>
      <c r="AF164" s="669"/>
    </row>
    <row r="165">
      <c r="A165" s="675"/>
      <c r="B165" s="681" t="s">
        <v>40</v>
      </c>
      <c r="C165" s="682" t="s">
        <v>915</v>
      </c>
      <c r="D165" s="682" t="s">
        <v>922</v>
      </c>
      <c r="E165" s="682" t="s">
        <v>944</v>
      </c>
      <c r="F165" s="682">
        <v>2021.0</v>
      </c>
      <c r="G165" s="683">
        <v>0.006871675</v>
      </c>
      <c r="H165" s="683">
        <v>0.003177096</v>
      </c>
      <c r="I165" s="684">
        <v>0.013489925</v>
      </c>
      <c r="K165" s="693" t="s">
        <v>64</v>
      </c>
      <c r="L165" s="694" t="s">
        <v>917</v>
      </c>
      <c r="M165" s="694" t="s">
        <v>915</v>
      </c>
      <c r="N165" s="694" t="s">
        <v>923</v>
      </c>
      <c r="O165" s="694">
        <v>2021.0</v>
      </c>
      <c r="P165" s="694" t="s">
        <v>919</v>
      </c>
      <c r="Q165" s="695" t="s">
        <v>112</v>
      </c>
      <c r="R165" s="696">
        <v>10403.87439</v>
      </c>
      <c r="S165" s="696">
        <v>8130.670268</v>
      </c>
      <c r="T165" s="697">
        <v>13290.68444</v>
      </c>
      <c r="V165" s="681" t="s">
        <v>64</v>
      </c>
      <c r="W165" s="682" t="s">
        <v>921</v>
      </c>
      <c r="X165" s="682" t="s">
        <v>915</v>
      </c>
      <c r="Y165" s="682" t="s">
        <v>923</v>
      </c>
      <c r="Z165" s="682">
        <v>2021.0</v>
      </c>
      <c r="AA165" s="682" t="s">
        <v>919</v>
      </c>
      <c r="AB165" s="685" t="s">
        <v>112</v>
      </c>
      <c r="AC165" s="686">
        <v>37.95574115</v>
      </c>
      <c r="AD165" s="686">
        <v>19.02830245</v>
      </c>
      <c r="AE165" s="687">
        <v>64.7417019</v>
      </c>
      <c r="AF165" s="669"/>
    </row>
    <row r="166">
      <c r="A166" s="675"/>
      <c r="B166" s="681" t="s">
        <v>40</v>
      </c>
      <c r="C166" s="682" t="s">
        <v>915</v>
      </c>
      <c r="D166" s="682" t="s">
        <v>924</v>
      </c>
      <c r="E166" s="682" t="s">
        <v>944</v>
      </c>
      <c r="F166" s="682">
        <v>2021.0</v>
      </c>
      <c r="G166" s="683">
        <v>1.54387E-4</v>
      </c>
      <c r="H166" s="683">
        <v>5.46E-5</v>
      </c>
      <c r="I166" s="684">
        <v>3.00953E-4</v>
      </c>
      <c r="K166" s="693" t="s">
        <v>64</v>
      </c>
      <c r="L166" s="694" t="s">
        <v>917</v>
      </c>
      <c r="M166" s="694" t="s">
        <v>915</v>
      </c>
      <c r="N166" s="694" t="s">
        <v>925</v>
      </c>
      <c r="O166" s="694">
        <v>2021.0</v>
      </c>
      <c r="P166" s="694" t="s">
        <v>919</v>
      </c>
      <c r="Q166" s="695" t="s">
        <v>112</v>
      </c>
      <c r="R166" s="696">
        <v>2422.072358</v>
      </c>
      <c r="S166" s="696">
        <v>1903.790883</v>
      </c>
      <c r="T166" s="697">
        <v>3085.676033</v>
      </c>
      <c r="V166" s="681" t="s">
        <v>64</v>
      </c>
      <c r="W166" s="682" t="s">
        <v>921</v>
      </c>
      <c r="X166" s="682" t="s">
        <v>915</v>
      </c>
      <c r="Y166" s="682" t="s">
        <v>925</v>
      </c>
      <c r="Z166" s="682">
        <v>2021.0</v>
      </c>
      <c r="AA166" s="682" t="s">
        <v>919</v>
      </c>
      <c r="AB166" s="685" t="s">
        <v>112</v>
      </c>
      <c r="AC166" s="686">
        <v>46.4290133</v>
      </c>
      <c r="AD166" s="686">
        <v>24.14710636</v>
      </c>
      <c r="AE166" s="687">
        <v>79.31867296</v>
      </c>
      <c r="AF166" s="669"/>
    </row>
    <row r="167">
      <c r="A167" s="675"/>
      <c r="B167" s="681" t="s">
        <v>40</v>
      </c>
      <c r="C167" s="682" t="s">
        <v>915</v>
      </c>
      <c r="D167" s="682" t="s">
        <v>926</v>
      </c>
      <c r="E167" s="682" t="s">
        <v>944</v>
      </c>
      <c r="F167" s="682">
        <v>2021.0</v>
      </c>
      <c r="G167" s="683">
        <v>0.003771386</v>
      </c>
      <c r="H167" s="683">
        <v>0.001762172</v>
      </c>
      <c r="I167" s="684">
        <v>0.007933992</v>
      </c>
      <c r="K167" s="693" t="s">
        <v>64</v>
      </c>
      <c r="L167" s="694" t="s">
        <v>917</v>
      </c>
      <c r="M167" s="694" t="s">
        <v>915</v>
      </c>
      <c r="N167" s="694" t="s">
        <v>927</v>
      </c>
      <c r="O167" s="694">
        <v>2021.0</v>
      </c>
      <c r="P167" s="694" t="s">
        <v>919</v>
      </c>
      <c r="Q167" s="695" t="s">
        <v>112</v>
      </c>
      <c r="R167" s="696">
        <v>7928.83227</v>
      </c>
      <c r="S167" s="696">
        <v>6153.746557</v>
      </c>
      <c r="T167" s="697">
        <v>10141.16115</v>
      </c>
      <c r="V167" s="681" t="s">
        <v>64</v>
      </c>
      <c r="W167" s="682" t="s">
        <v>921</v>
      </c>
      <c r="X167" s="682" t="s">
        <v>915</v>
      </c>
      <c r="Y167" s="682" t="s">
        <v>927</v>
      </c>
      <c r="Z167" s="682">
        <v>2021.0</v>
      </c>
      <c r="AA167" s="682" t="s">
        <v>919</v>
      </c>
      <c r="AB167" s="685" t="s">
        <v>112</v>
      </c>
      <c r="AC167" s="686">
        <v>538.345908</v>
      </c>
      <c r="AD167" s="686">
        <v>281.7764135</v>
      </c>
      <c r="AE167" s="687">
        <v>921.6955326</v>
      </c>
      <c r="AF167" s="669"/>
    </row>
    <row r="168">
      <c r="A168" s="675"/>
      <c r="B168" s="681" t="s">
        <v>41</v>
      </c>
      <c r="C168" s="682" t="s">
        <v>915</v>
      </c>
      <c r="D168" s="682" t="s">
        <v>916</v>
      </c>
      <c r="E168" s="682" t="s">
        <v>944</v>
      </c>
      <c r="F168" s="682">
        <v>2021.0</v>
      </c>
      <c r="G168" s="683">
        <v>7.62501E-4</v>
      </c>
      <c r="H168" s="683">
        <v>2.84811E-4</v>
      </c>
      <c r="I168" s="684">
        <v>0.001490652</v>
      </c>
      <c r="K168" s="693" t="s">
        <v>64</v>
      </c>
      <c r="L168" s="694" t="s">
        <v>917</v>
      </c>
      <c r="M168" s="694" t="s">
        <v>915</v>
      </c>
      <c r="N168" s="694" t="s">
        <v>926</v>
      </c>
      <c r="O168" s="694">
        <v>2021.0</v>
      </c>
      <c r="P168" s="694" t="s">
        <v>919</v>
      </c>
      <c r="Q168" s="695" t="s">
        <v>112</v>
      </c>
      <c r="R168" s="696">
        <v>27287.30919</v>
      </c>
      <c r="S168" s="696">
        <v>21502.56242</v>
      </c>
      <c r="T168" s="697">
        <v>34526.53158</v>
      </c>
      <c r="V168" s="681" t="s">
        <v>64</v>
      </c>
      <c r="W168" s="682" t="s">
        <v>921</v>
      </c>
      <c r="X168" s="682" t="s">
        <v>915</v>
      </c>
      <c r="Y168" s="682" t="s">
        <v>926</v>
      </c>
      <c r="Z168" s="682">
        <v>2021.0</v>
      </c>
      <c r="AA168" s="682" t="s">
        <v>919</v>
      </c>
      <c r="AB168" s="685" t="s">
        <v>112</v>
      </c>
      <c r="AC168" s="686">
        <v>807.2348061</v>
      </c>
      <c r="AD168" s="686">
        <v>429.2722545</v>
      </c>
      <c r="AE168" s="687">
        <v>1355.136435</v>
      </c>
      <c r="AF168" s="669"/>
    </row>
    <row r="169">
      <c r="A169" s="675"/>
      <c r="B169" s="681" t="s">
        <v>41</v>
      </c>
      <c r="C169" s="682" t="s">
        <v>915</v>
      </c>
      <c r="D169" s="682" t="s">
        <v>922</v>
      </c>
      <c r="E169" s="682" t="s">
        <v>944</v>
      </c>
      <c r="F169" s="682">
        <v>2021.0</v>
      </c>
      <c r="G169" s="683">
        <v>0.004802819</v>
      </c>
      <c r="H169" s="683">
        <v>0.002052138</v>
      </c>
      <c r="I169" s="684">
        <v>0.009091607</v>
      </c>
      <c r="K169" s="693" t="s">
        <v>65</v>
      </c>
      <c r="L169" s="694" t="s">
        <v>917</v>
      </c>
      <c r="M169" s="694" t="s">
        <v>915</v>
      </c>
      <c r="N169" s="694" t="s">
        <v>918</v>
      </c>
      <c r="O169" s="694">
        <v>2021.0</v>
      </c>
      <c r="P169" s="694" t="s">
        <v>919</v>
      </c>
      <c r="Q169" s="695" t="s">
        <v>112</v>
      </c>
      <c r="R169" s="696">
        <v>2180.040938</v>
      </c>
      <c r="S169" s="696">
        <v>1590.009493</v>
      </c>
      <c r="T169" s="697">
        <v>2892.831199</v>
      </c>
      <c r="V169" s="681" t="s">
        <v>65</v>
      </c>
      <c r="W169" s="682" t="s">
        <v>921</v>
      </c>
      <c r="X169" s="682" t="s">
        <v>915</v>
      </c>
      <c r="Y169" s="682" t="s">
        <v>918</v>
      </c>
      <c r="Z169" s="682">
        <v>2021.0</v>
      </c>
      <c r="AA169" s="682" t="s">
        <v>919</v>
      </c>
      <c r="AB169" s="685" t="s">
        <v>112</v>
      </c>
      <c r="AC169" s="686">
        <v>43.52050686</v>
      </c>
      <c r="AD169" s="686">
        <v>15.57192928</v>
      </c>
      <c r="AE169" s="687">
        <v>99.85448303</v>
      </c>
      <c r="AF169" s="669"/>
    </row>
    <row r="170">
      <c r="A170" s="675"/>
      <c r="B170" s="681" t="s">
        <v>41</v>
      </c>
      <c r="C170" s="682" t="s">
        <v>915</v>
      </c>
      <c r="D170" s="682" t="s">
        <v>924</v>
      </c>
      <c r="E170" s="682" t="s">
        <v>944</v>
      </c>
      <c r="F170" s="682">
        <v>2021.0</v>
      </c>
      <c r="G170" s="683">
        <v>1.31084E-4</v>
      </c>
      <c r="H170" s="683">
        <v>4.15E-5</v>
      </c>
      <c r="I170" s="684">
        <v>2.63043E-4</v>
      </c>
      <c r="K170" s="693" t="s">
        <v>65</v>
      </c>
      <c r="L170" s="694" t="s">
        <v>917</v>
      </c>
      <c r="M170" s="694" t="s">
        <v>915</v>
      </c>
      <c r="N170" s="694" t="s">
        <v>923</v>
      </c>
      <c r="O170" s="694">
        <v>2021.0</v>
      </c>
      <c r="P170" s="694" t="s">
        <v>919</v>
      </c>
      <c r="Q170" s="695" t="s">
        <v>112</v>
      </c>
      <c r="R170" s="696">
        <v>2773.234238</v>
      </c>
      <c r="S170" s="696">
        <v>2264.907024</v>
      </c>
      <c r="T170" s="697">
        <v>3360.302611</v>
      </c>
      <c r="V170" s="681" t="s">
        <v>65</v>
      </c>
      <c r="W170" s="682" t="s">
        <v>921</v>
      </c>
      <c r="X170" s="682" t="s">
        <v>915</v>
      </c>
      <c r="Y170" s="682" t="s">
        <v>923</v>
      </c>
      <c r="Z170" s="682">
        <v>2021.0</v>
      </c>
      <c r="AA170" s="682" t="s">
        <v>919</v>
      </c>
      <c r="AB170" s="685" t="s">
        <v>112</v>
      </c>
      <c r="AC170" s="686">
        <v>7.313247348</v>
      </c>
      <c r="AD170" s="686">
        <v>3.594251209</v>
      </c>
      <c r="AE170" s="687">
        <v>14.52776377</v>
      </c>
      <c r="AF170" s="669"/>
    </row>
    <row r="171">
      <c r="A171" s="675"/>
      <c r="B171" s="681" t="s">
        <v>41</v>
      </c>
      <c r="C171" s="682" t="s">
        <v>915</v>
      </c>
      <c r="D171" s="682" t="s">
        <v>926</v>
      </c>
      <c r="E171" s="682" t="s">
        <v>944</v>
      </c>
      <c r="F171" s="682">
        <v>2021.0</v>
      </c>
      <c r="G171" s="683">
        <v>0.003005545</v>
      </c>
      <c r="H171" s="683">
        <v>0.001344175</v>
      </c>
      <c r="I171" s="684">
        <v>0.00614805</v>
      </c>
      <c r="K171" s="693" t="s">
        <v>65</v>
      </c>
      <c r="L171" s="694" t="s">
        <v>917</v>
      </c>
      <c r="M171" s="694" t="s">
        <v>915</v>
      </c>
      <c r="N171" s="694" t="s">
        <v>925</v>
      </c>
      <c r="O171" s="694">
        <v>2021.0</v>
      </c>
      <c r="P171" s="694" t="s">
        <v>919</v>
      </c>
      <c r="Q171" s="695" t="s">
        <v>112</v>
      </c>
      <c r="R171" s="696">
        <v>476.9227045</v>
      </c>
      <c r="S171" s="696">
        <v>386.9977984</v>
      </c>
      <c r="T171" s="697">
        <v>578.570547</v>
      </c>
      <c r="V171" s="681" t="s">
        <v>65</v>
      </c>
      <c r="W171" s="682" t="s">
        <v>921</v>
      </c>
      <c r="X171" s="682" t="s">
        <v>915</v>
      </c>
      <c r="Y171" s="682" t="s">
        <v>925</v>
      </c>
      <c r="Z171" s="682">
        <v>2021.0</v>
      </c>
      <c r="AA171" s="682" t="s">
        <v>919</v>
      </c>
      <c r="AB171" s="685" t="s">
        <v>112</v>
      </c>
      <c r="AC171" s="686">
        <v>5.946327088</v>
      </c>
      <c r="AD171" s="686">
        <v>2.205581101</v>
      </c>
      <c r="AE171" s="687">
        <v>12.58962941</v>
      </c>
      <c r="AF171" s="669"/>
    </row>
    <row r="172">
      <c r="A172" s="675"/>
      <c r="B172" s="681" t="s">
        <v>26</v>
      </c>
      <c r="C172" s="682" t="s">
        <v>915</v>
      </c>
      <c r="D172" s="682" t="s">
        <v>916</v>
      </c>
      <c r="E172" s="682" t="s">
        <v>944</v>
      </c>
      <c r="F172" s="682">
        <v>2021.0</v>
      </c>
      <c r="G172" s="683">
        <v>0.004800212</v>
      </c>
      <c r="H172" s="683">
        <v>0.002572426</v>
      </c>
      <c r="I172" s="684">
        <v>0.008766554</v>
      </c>
      <c r="K172" s="693" t="s">
        <v>65</v>
      </c>
      <c r="L172" s="694" t="s">
        <v>917</v>
      </c>
      <c r="M172" s="694" t="s">
        <v>915</v>
      </c>
      <c r="N172" s="694" t="s">
        <v>927</v>
      </c>
      <c r="O172" s="694">
        <v>2021.0</v>
      </c>
      <c r="P172" s="694" t="s">
        <v>919</v>
      </c>
      <c r="Q172" s="695" t="s">
        <v>112</v>
      </c>
      <c r="R172" s="696">
        <v>1722.93866</v>
      </c>
      <c r="S172" s="696">
        <v>1405.52161</v>
      </c>
      <c r="T172" s="697">
        <v>2079.307512</v>
      </c>
      <c r="V172" s="681" t="s">
        <v>65</v>
      </c>
      <c r="W172" s="682" t="s">
        <v>921</v>
      </c>
      <c r="X172" s="682" t="s">
        <v>915</v>
      </c>
      <c r="Y172" s="682" t="s">
        <v>927</v>
      </c>
      <c r="Z172" s="682">
        <v>2021.0</v>
      </c>
      <c r="AA172" s="682" t="s">
        <v>919</v>
      </c>
      <c r="AB172" s="685" t="s">
        <v>112</v>
      </c>
      <c r="AC172" s="686">
        <v>67.17829987</v>
      </c>
      <c r="AD172" s="686">
        <v>26.77694133</v>
      </c>
      <c r="AE172" s="687">
        <v>147.7167543</v>
      </c>
      <c r="AF172" s="669"/>
    </row>
    <row r="173">
      <c r="A173" s="675"/>
      <c r="B173" s="681" t="s">
        <v>26</v>
      </c>
      <c r="C173" s="682" t="s">
        <v>915</v>
      </c>
      <c r="D173" s="682" t="s">
        <v>922</v>
      </c>
      <c r="E173" s="682" t="s">
        <v>944</v>
      </c>
      <c r="F173" s="682">
        <v>2021.0</v>
      </c>
      <c r="G173" s="683">
        <v>0.036211497</v>
      </c>
      <c r="H173" s="683">
        <v>0.020763833</v>
      </c>
      <c r="I173" s="684">
        <v>0.06392371</v>
      </c>
      <c r="K173" s="693" t="s">
        <v>65</v>
      </c>
      <c r="L173" s="694" t="s">
        <v>917</v>
      </c>
      <c r="M173" s="694" t="s">
        <v>915</v>
      </c>
      <c r="N173" s="694" t="s">
        <v>926</v>
      </c>
      <c r="O173" s="694">
        <v>2021.0</v>
      </c>
      <c r="P173" s="694" t="s">
        <v>919</v>
      </c>
      <c r="Q173" s="695" t="s">
        <v>112</v>
      </c>
      <c r="R173" s="696">
        <v>7153.136541</v>
      </c>
      <c r="S173" s="696">
        <v>5689.600231</v>
      </c>
      <c r="T173" s="697">
        <v>8851.659501</v>
      </c>
      <c r="V173" s="681" t="s">
        <v>65</v>
      </c>
      <c r="W173" s="682" t="s">
        <v>921</v>
      </c>
      <c r="X173" s="682" t="s">
        <v>915</v>
      </c>
      <c r="Y173" s="682" t="s">
        <v>926</v>
      </c>
      <c r="Z173" s="682">
        <v>2021.0</v>
      </c>
      <c r="AA173" s="682" t="s">
        <v>919</v>
      </c>
      <c r="AB173" s="685" t="s">
        <v>112</v>
      </c>
      <c r="AC173" s="686">
        <v>123.9583812</v>
      </c>
      <c r="AD173" s="686">
        <v>57.28133493</v>
      </c>
      <c r="AE173" s="687">
        <v>253.765062</v>
      </c>
      <c r="AF173" s="669"/>
    </row>
    <row r="174">
      <c r="A174" s="675"/>
      <c r="B174" s="681" t="s">
        <v>26</v>
      </c>
      <c r="C174" s="682" t="s">
        <v>915</v>
      </c>
      <c r="D174" s="682" t="s">
        <v>924</v>
      </c>
      <c r="E174" s="682" t="s">
        <v>944</v>
      </c>
      <c r="F174" s="682">
        <v>2021.0</v>
      </c>
      <c r="G174" s="683">
        <v>0.001404528</v>
      </c>
      <c r="H174" s="683">
        <v>8.11271E-4</v>
      </c>
      <c r="I174" s="684">
        <v>0.002400864</v>
      </c>
      <c r="K174" s="693" t="s">
        <v>35</v>
      </c>
      <c r="L174" s="694" t="s">
        <v>917</v>
      </c>
      <c r="M174" s="694" t="s">
        <v>915</v>
      </c>
      <c r="N174" s="694" t="s">
        <v>918</v>
      </c>
      <c r="O174" s="694">
        <v>2021.0</v>
      </c>
      <c r="P174" s="694" t="s">
        <v>919</v>
      </c>
      <c r="Q174" s="695" t="s">
        <v>112</v>
      </c>
      <c r="R174" s="696">
        <v>24900.70184</v>
      </c>
      <c r="S174" s="696">
        <v>20738.55549</v>
      </c>
      <c r="T174" s="697">
        <v>29853.77512</v>
      </c>
      <c r="V174" s="681" t="s">
        <v>35</v>
      </c>
      <c r="W174" s="682" t="s">
        <v>921</v>
      </c>
      <c r="X174" s="682" t="s">
        <v>915</v>
      </c>
      <c r="Y174" s="682" t="s">
        <v>918</v>
      </c>
      <c r="Z174" s="682">
        <v>2021.0</v>
      </c>
      <c r="AA174" s="682" t="s">
        <v>919</v>
      </c>
      <c r="AB174" s="685" t="s">
        <v>112</v>
      </c>
      <c r="AC174" s="686">
        <v>2228.398787</v>
      </c>
      <c r="AD174" s="686">
        <v>1215.77421</v>
      </c>
      <c r="AE174" s="687">
        <v>3413.714339</v>
      </c>
      <c r="AF174" s="669"/>
    </row>
    <row r="175">
      <c r="A175" s="675"/>
      <c r="B175" s="681" t="s">
        <v>26</v>
      </c>
      <c r="C175" s="682" t="s">
        <v>915</v>
      </c>
      <c r="D175" s="682" t="s">
        <v>926</v>
      </c>
      <c r="E175" s="682" t="s">
        <v>944</v>
      </c>
      <c r="F175" s="682">
        <v>2021.0</v>
      </c>
      <c r="G175" s="683">
        <v>0.028953826</v>
      </c>
      <c r="H175" s="683">
        <v>0.01911026</v>
      </c>
      <c r="I175" s="684">
        <v>0.039951462</v>
      </c>
      <c r="K175" s="693" t="s">
        <v>35</v>
      </c>
      <c r="L175" s="694" t="s">
        <v>917</v>
      </c>
      <c r="M175" s="694" t="s">
        <v>915</v>
      </c>
      <c r="N175" s="694" t="s">
        <v>923</v>
      </c>
      <c r="O175" s="694">
        <v>2021.0</v>
      </c>
      <c r="P175" s="694" t="s">
        <v>919</v>
      </c>
      <c r="Q175" s="695" t="s">
        <v>112</v>
      </c>
      <c r="R175" s="696">
        <v>12170.67162</v>
      </c>
      <c r="S175" s="696">
        <v>9910.774202</v>
      </c>
      <c r="T175" s="697">
        <v>15018.50848</v>
      </c>
      <c r="V175" s="681" t="s">
        <v>35</v>
      </c>
      <c r="W175" s="682" t="s">
        <v>921</v>
      </c>
      <c r="X175" s="682" t="s">
        <v>915</v>
      </c>
      <c r="Y175" s="682" t="s">
        <v>923</v>
      </c>
      <c r="Z175" s="682">
        <v>2021.0</v>
      </c>
      <c r="AA175" s="682" t="s">
        <v>919</v>
      </c>
      <c r="AB175" s="685" t="s">
        <v>112</v>
      </c>
      <c r="AC175" s="686">
        <v>100.3682836</v>
      </c>
      <c r="AD175" s="686">
        <v>44.2204989</v>
      </c>
      <c r="AE175" s="687">
        <v>178.5081169</v>
      </c>
      <c r="AF175" s="669"/>
    </row>
    <row r="176">
      <c r="A176" s="675"/>
      <c r="B176" s="681" t="s">
        <v>42</v>
      </c>
      <c r="C176" s="682" t="s">
        <v>915</v>
      </c>
      <c r="D176" s="682" t="s">
        <v>916</v>
      </c>
      <c r="E176" s="682" t="s">
        <v>944</v>
      </c>
      <c r="F176" s="682">
        <v>2021.0</v>
      </c>
      <c r="G176" s="683">
        <v>0.002117225</v>
      </c>
      <c r="H176" s="683">
        <v>9.19251E-4</v>
      </c>
      <c r="I176" s="684">
        <v>0.003854153</v>
      </c>
      <c r="K176" s="693" t="s">
        <v>35</v>
      </c>
      <c r="L176" s="694" t="s">
        <v>917</v>
      </c>
      <c r="M176" s="694" t="s">
        <v>915</v>
      </c>
      <c r="N176" s="694" t="s">
        <v>925</v>
      </c>
      <c r="O176" s="694">
        <v>2021.0</v>
      </c>
      <c r="P176" s="694" t="s">
        <v>919</v>
      </c>
      <c r="Q176" s="695" t="s">
        <v>112</v>
      </c>
      <c r="R176" s="696">
        <v>3742.169412</v>
      </c>
      <c r="S176" s="696">
        <v>3086.087886</v>
      </c>
      <c r="T176" s="697">
        <v>4512.796507</v>
      </c>
      <c r="V176" s="681" t="s">
        <v>35</v>
      </c>
      <c r="W176" s="682" t="s">
        <v>921</v>
      </c>
      <c r="X176" s="682" t="s">
        <v>915</v>
      </c>
      <c r="Y176" s="682" t="s">
        <v>925</v>
      </c>
      <c r="Z176" s="682">
        <v>2021.0</v>
      </c>
      <c r="AA176" s="682" t="s">
        <v>919</v>
      </c>
      <c r="AB176" s="685" t="s">
        <v>112</v>
      </c>
      <c r="AC176" s="686">
        <v>124.715188</v>
      </c>
      <c r="AD176" s="686">
        <v>60.88082868</v>
      </c>
      <c r="AE176" s="687">
        <v>217.8538821</v>
      </c>
      <c r="AF176" s="669"/>
    </row>
    <row r="177">
      <c r="A177" s="675"/>
      <c r="B177" s="681" t="s">
        <v>42</v>
      </c>
      <c r="C177" s="682" t="s">
        <v>915</v>
      </c>
      <c r="D177" s="682" t="s">
        <v>922</v>
      </c>
      <c r="E177" s="682" t="s">
        <v>944</v>
      </c>
      <c r="F177" s="682">
        <v>2021.0</v>
      </c>
      <c r="G177" s="683">
        <v>0.013675997</v>
      </c>
      <c r="H177" s="683">
        <v>0.006662968</v>
      </c>
      <c r="I177" s="684">
        <v>0.024860031</v>
      </c>
      <c r="K177" s="693" t="s">
        <v>35</v>
      </c>
      <c r="L177" s="694" t="s">
        <v>917</v>
      </c>
      <c r="M177" s="694" t="s">
        <v>915</v>
      </c>
      <c r="N177" s="694" t="s">
        <v>927</v>
      </c>
      <c r="O177" s="694">
        <v>2021.0</v>
      </c>
      <c r="P177" s="694" t="s">
        <v>919</v>
      </c>
      <c r="Q177" s="695" t="s">
        <v>112</v>
      </c>
      <c r="R177" s="696">
        <v>14142.39292</v>
      </c>
      <c r="S177" s="696">
        <v>11440.22435</v>
      </c>
      <c r="T177" s="697">
        <v>17546.51464</v>
      </c>
      <c r="V177" s="681" t="s">
        <v>35</v>
      </c>
      <c r="W177" s="682" t="s">
        <v>921</v>
      </c>
      <c r="X177" s="682" t="s">
        <v>915</v>
      </c>
      <c r="Y177" s="682" t="s">
        <v>927</v>
      </c>
      <c r="Z177" s="682">
        <v>2021.0</v>
      </c>
      <c r="AA177" s="682" t="s">
        <v>919</v>
      </c>
      <c r="AB177" s="685" t="s">
        <v>112</v>
      </c>
      <c r="AC177" s="686">
        <v>2118.546003</v>
      </c>
      <c r="AD177" s="686">
        <v>1275.684393</v>
      </c>
      <c r="AE177" s="687">
        <v>3171.630843</v>
      </c>
      <c r="AF177" s="669"/>
    </row>
    <row r="178">
      <c r="A178" s="675"/>
      <c r="B178" s="681" t="s">
        <v>42</v>
      </c>
      <c r="C178" s="682" t="s">
        <v>915</v>
      </c>
      <c r="D178" s="682" t="s">
        <v>924</v>
      </c>
      <c r="E178" s="682" t="s">
        <v>944</v>
      </c>
      <c r="F178" s="682">
        <v>2021.0</v>
      </c>
      <c r="G178" s="683">
        <v>4.89032E-4</v>
      </c>
      <c r="H178" s="683">
        <v>2.85736E-4</v>
      </c>
      <c r="I178" s="684">
        <v>7.7303E-4</v>
      </c>
      <c r="K178" s="693" t="s">
        <v>35</v>
      </c>
      <c r="L178" s="694" t="s">
        <v>917</v>
      </c>
      <c r="M178" s="694" t="s">
        <v>915</v>
      </c>
      <c r="N178" s="694" t="s">
        <v>926</v>
      </c>
      <c r="O178" s="694">
        <v>2021.0</v>
      </c>
      <c r="P178" s="694" t="s">
        <v>919</v>
      </c>
      <c r="Q178" s="695" t="s">
        <v>112</v>
      </c>
      <c r="R178" s="696">
        <v>54955.9358</v>
      </c>
      <c r="S178" s="696">
        <v>45756.21078</v>
      </c>
      <c r="T178" s="697">
        <v>66134.20729</v>
      </c>
      <c r="V178" s="681" t="s">
        <v>35</v>
      </c>
      <c r="W178" s="682" t="s">
        <v>921</v>
      </c>
      <c r="X178" s="682" t="s">
        <v>915</v>
      </c>
      <c r="Y178" s="682" t="s">
        <v>926</v>
      </c>
      <c r="Z178" s="682">
        <v>2021.0</v>
      </c>
      <c r="AA178" s="682" t="s">
        <v>919</v>
      </c>
      <c r="AB178" s="685" t="s">
        <v>112</v>
      </c>
      <c r="AC178" s="686">
        <v>4572.028262</v>
      </c>
      <c r="AD178" s="686">
        <v>2787.372982</v>
      </c>
      <c r="AE178" s="687">
        <v>6784.20143</v>
      </c>
      <c r="AF178" s="669"/>
    </row>
    <row r="179">
      <c r="A179" s="675"/>
      <c r="B179" s="681" t="s">
        <v>42</v>
      </c>
      <c r="C179" s="682" t="s">
        <v>915</v>
      </c>
      <c r="D179" s="682" t="s">
        <v>926</v>
      </c>
      <c r="E179" s="682" t="s">
        <v>944</v>
      </c>
      <c r="F179" s="682">
        <v>2021.0</v>
      </c>
      <c r="G179" s="683">
        <v>0.008466792</v>
      </c>
      <c r="H179" s="683">
        <v>0.00616053</v>
      </c>
      <c r="I179" s="684">
        <v>0.011541339</v>
      </c>
      <c r="K179" s="693" t="s">
        <v>66</v>
      </c>
      <c r="L179" s="694" t="s">
        <v>917</v>
      </c>
      <c r="M179" s="694" t="s">
        <v>915</v>
      </c>
      <c r="N179" s="694" t="s">
        <v>918</v>
      </c>
      <c r="O179" s="694">
        <v>2021.0</v>
      </c>
      <c r="P179" s="694" t="s">
        <v>919</v>
      </c>
      <c r="Q179" s="695" t="s">
        <v>112</v>
      </c>
      <c r="R179" s="696">
        <v>12467.31744</v>
      </c>
      <c r="S179" s="696">
        <v>9160.717967</v>
      </c>
      <c r="T179" s="697">
        <v>16009.86601</v>
      </c>
      <c r="V179" s="681" t="s">
        <v>66</v>
      </c>
      <c r="W179" s="682" t="s">
        <v>921</v>
      </c>
      <c r="X179" s="682" t="s">
        <v>915</v>
      </c>
      <c r="Y179" s="682" t="s">
        <v>918</v>
      </c>
      <c r="Z179" s="682">
        <v>2021.0</v>
      </c>
      <c r="AA179" s="682" t="s">
        <v>919</v>
      </c>
      <c r="AB179" s="685" t="s">
        <v>112</v>
      </c>
      <c r="AC179" s="686">
        <v>729.886645</v>
      </c>
      <c r="AD179" s="686">
        <v>384.2807375</v>
      </c>
      <c r="AE179" s="687">
        <v>1185.037243</v>
      </c>
      <c r="AF179" s="669"/>
    </row>
    <row r="180">
      <c r="A180" s="675"/>
      <c r="B180" s="681" t="s">
        <v>44</v>
      </c>
      <c r="C180" s="682" t="s">
        <v>915</v>
      </c>
      <c r="D180" s="682" t="s">
        <v>916</v>
      </c>
      <c r="E180" s="682" t="s">
        <v>944</v>
      </c>
      <c r="F180" s="682">
        <v>2021.0</v>
      </c>
      <c r="G180" s="683">
        <v>0.002781602</v>
      </c>
      <c r="H180" s="683">
        <v>0.001368387</v>
      </c>
      <c r="I180" s="684">
        <v>0.005268786</v>
      </c>
      <c r="K180" s="693" t="s">
        <v>66</v>
      </c>
      <c r="L180" s="694" t="s">
        <v>917</v>
      </c>
      <c r="M180" s="694" t="s">
        <v>915</v>
      </c>
      <c r="N180" s="694" t="s">
        <v>923</v>
      </c>
      <c r="O180" s="694">
        <v>2021.0</v>
      </c>
      <c r="P180" s="694" t="s">
        <v>919</v>
      </c>
      <c r="Q180" s="695" t="s">
        <v>112</v>
      </c>
      <c r="R180" s="696">
        <v>10737.78893</v>
      </c>
      <c r="S180" s="696">
        <v>8902.49107</v>
      </c>
      <c r="T180" s="697">
        <v>12683.27141</v>
      </c>
      <c r="V180" s="681" t="s">
        <v>66</v>
      </c>
      <c r="W180" s="682" t="s">
        <v>921</v>
      </c>
      <c r="X180" s="682" t="s">
        <v>915</v>
      </c>
      <c r="Y180" s="682" t="s">
        <v>923</v>
      </c>
      <c r="Z180" s="682">
        <v>2021.0</v>
      </c>
      <c r="AA180" s="682" t="s">
        <v>919</v>
      </c>
      <c r="AB180" s="685" t="s">
        <v>112</v>
      </c>
      <c r="AC180" s="686">
        <v>53.52855002</v>
      </c>
      <c r="AD180" s="686">
        <v>25.01875156</v>
      </c>
      <c r="AE180" s="687">
        <v>87.6673425</v>
      </c>
      <c r="AF180" s="669"/>
    </row>
    <row r="181">
      <c r="A181" s="675"/>
      <c r="B181" s="681" t="s">
        <v>44</v>
      </c>
      <c r="C181" s="682" t="s">
        <v>915</v>
      </c>
      <c r="D181" s="682" t="s">
        <v>922</v>
      </c>
      <c r="E181" s="682" t="s">
        <v>944</v>
      </c>
      <c r="F181" s="682">
        <v>2021.0</v>
      </c>
      <c r="G181" s="683">
        <v>0.018155837</v>
      </c>
      <c r="H181" s="683">
        <v>0.00909916</v>
      </c>
      <c r="I181" s="684">
        <v>0.0328834</v>
      </c>
      <c r="K181" s="693" t="s">
        <v>66</v>
      </c>
      <c r="L181" s="694" t="s">
        <v>917</v>
      </c>
      <c r="M181" s="694" t="s">
        <v>915</v>
      </c>
      <c r="N181" s="694" t="s">
        <v>925</v>
      </c>
      <c r="O181" s="694">
        <v>2021.0</v>
      </c>
      <c r="P181" s="694" t="s">
        <v>919</v>
      </c>
      <c r="Q181" s="695" t="s">
        <v>112</v>
      </c>
      <c r="R181" s="696">
        <v>1991.789364</v>
      </c>
      <c r="S181" s="696">
        <v>1635.56547</v>
      </c>
      <c r="T181" s="697">
        <v>2358.948856</v>
      </c>
      <c r="V181" s="681" t="s">
        <v>66</v>
      </c>
      <c r="W181" s="682" t="s">
        <v>921</v>
      </c>
      <c r="X181" s="682" t="s">
        <v>915</v>
      </c>
      <c r="Y181" s="682" t="s">
        <v>925</v>
      </c>
      <c r="Z181" s="682">
        <v>2021.0</v>
      </c>
      <c r="AA181" s="682" t="s">
        <v>919</v>
      </c>
      <c r="AB181" s="685" t="s">
        <v>112</v>
      </c>
      <c r="AC181" s="686">
        <v>56.00350404</v>
      </c>
      <c r="AD181" s="686">
        <v>28.33815333</v>
      </c>
      <c r="AE181" s="687">
        <v>91.21694457</v>
      </c>
      <c r="AF181" s="669"/>
    </row>
    <row r="182">
      <c r="A182" s="675"/>
      <c r="B182" s="681" t="s">
        <v>44</v>
      </c>
      <c r="C182" s="682" t="s">
        <v>915</v>
      </c>
      <c r="D182" s="682" t="s">
        <v>924</v>
      </c>
      <c r="E182" s="682" t="s">
        <v>944</v>
      </c>
      <c r="F182" s="682">
        <v>2021.0</v>
      </c>
      <c r="G182" s="683">
        <v>7.11628E-4</v>
      </c>
      <c r="H182" s="683">
        <v>4.10172E-4</v>
      </c>
      <c r="I182" s="684">
        <v>0.001139467</v>
      </c>
      <c r="K182" s="693" t="s">
        <v>66</v>
      </c>
      <c r="L182" s="694" t="s">
        <v>917</v>
      </c>
      <c r="M182" s="694" t="s">
        <v>915</v>
      </c>
      <c r="N182" s="694" t="s">
        <v>927</v>
      </c>
      <c r="O182" s="694">
        <v>2021.0</v>
      </c>
      <c r="P182" s="694" t="s">
        <v>919</v>
      </c>
      <c r="Q182" s="695" t="s">
        <v>112</v>
      </c>
      <c r="R182" s="696">
        <v>13308.79278</v>
      </c>
      <c r="S182" s="696">
        <v>11139.64413</v>
      </c>
      <c r="T182" s="697">
        <v>15608.95038</v>
      </c>
      <c r="V182" s="681" t="s">
        <v>66</v>
      </c>
      <c r="W182" s="682" t="s">
        <v>921</v>
      </c>
      <c r="X182" s="682" t="s">
        <v>915</v>
      </c>
      <c r="Y182" s="682" t="s">
        <v>927</v>
      </c>
      <c r="Z182" s="682">
        <v>2021.0</v>
      </c>
      <c r="AA182" s="682" t="s">
        <v>919</v>
      </c>
      <c r="AB182" s="685" t="s">
        <v>112</v>
      </c>
      <c r="AC182" s="686">
        <v>1540.824337</v>
      </c>
      <c r="AD182" s="686">
        <v>975.2714633</v>
      </c>
      <c r="AE182" s="687">
        <v>2243.511239</v>
      </c>
      <c r="AF182" s="669"/>
    </row>
    <row r="183">
      <c r="A183" s="675"/>
      <c r="B183" s="681" t="s">
        <v>44</v>
      </c>
      <c r="C183" s="682" t="s">
        <v>915</v>
      </c>
      <c r="D183" s="682" t="s">
        <v>926</v>
      </c>
      <c r="E183" s="682" t="s">
        <v>944</v>
      </c>
      <c r="F183" s="682">
        <v>2021.0</v>
      </c>
      <c r="G183" s="683">
        <v>0.011690826</v>
      </c>
      <c r="H183" s="683">
        <v>0.008528543</v>
      </c>
      <c r="I183" s="684">
        <v>0.016209323</v>
      </c>
      <c r="K183" s="693" t="s">
        <v>66</v>
      </c>
      <c r="L183" s="694" t="s">
        <v>917</v>
      </c>
      <c r="M183" s="694" t="s">
        <v>915</v>
      </c>
      <c r="N183" s="694" t="s">
        <v>926</v>
      </c>
      <c r="O183" s="694">
        <v>2021.0</v>
      </c>
      <c r="P183" s="694" t="s">
        <v>919</v>
      </c>
      <c r="Q183" s="695" t="s">
        <v>112</v>
      </c>
      <c r="R183" s="696">
        <v>38505.68852</v>
      </c>
      <c r="S183" s="696">
        <v>30777.85442</v>
      </c>
      <c r="T183" s="697">
        <v>46459.8544</v>
      </c>
      <c r="V183" s="681" t="s">
        <v>66</v>
      </c>
      <c r="W183" s="682" t="s">
        <v>921</v>
      </c>
      <c r="X183" s="682" t="s">
        <v>915</v>
      </c>
      <c r="Y183" s="682" t="s">
        <v>926</v>
      </c>
      <c r="Z183" s="682">
        <v>2021.0</v>
      </c>
      <c r="AA183" s="682" t="s">
        <v>919</v>
      </c>
      <c r="AB183" s="685" t="s">
        <v>112</v>
      </c>
      <c r="AC183" s="686">
        <v>2380.243036</v>
      </c>
      <c r="AD183" s="686">
        <v>1531.75371</v>
      </c>
      <c r="AE183" s="687">
        <v>3507.359846</v>
      </c>
      <c r="AF183" s="669"/>
    </row>
    <row r="184">
      <c r="A184" s="675"/>
      <c r="B184" s="681" t="s">
        <v>45</v>
      </c>
      <c r="C184" s="682" t="s">
        <v>915</v>
      </c>
      <c r="D184" s="682" t="s">
        <v>916</v>
      </c>
      <c r="E184" s="682" t="s">
        <v>944</v>
      </c>
      <c r="F184" s="682">
        <v>2021.0</v>
      </c>
      <c r="G184" s="683">
        <v>0.002375827</v>
      </c>
      <c r="H184" s="683">
        <v>0.00120732</v>
      </c>
      <c r="I184" s="684">
        <v>0.004342634</v>
      </c>
      <c r="K184" s="693" t="s">
        <v>67</v>
      </c>
      <c r="L184" s="694" t="s">
        <v>917</v>
      </c>
      <c r="M184" s="694" t="s">
        <v>915</v>
      </c>
      <c r="N184" s="694" t="s">
        <v>918</v>
      </c>
      <c r="O184" s="694">
        <v>2021.0</v>
      </c>
      <c r="P184" s="694" t="s">
        <v>919</v>
      </c>
      <c r="Q184" s="695" t="s">
        <v>112</v>
      </c>
      <c r="R184" s="696">
        <v>6935.704783</v>
      </c>
      <c r="S184" s="696">
        <v>5386.7679</v>
      </c>
      <c r="T184" s="697">
        <v>8603.510726</v>
      </c>
      <c r="V184" s="681" t="s">
        <v>67</v>
      </c>
      <c r="W184" s="682" t="s">
        <v>921</v>
      </c>
      <c r="X184" s="682" t="s">
        <v>915</v>
      </c>
      <c r="Y184" s="682" t="s">
        <v>918</v>
      </c>
      <c r="Z184" s="682">
        <v>2021.0</v>
      </c>
      <c r="AA184" s="682" t="s">
        <v>919</v>
      </c>
      <c r="AB184" s="685" t="s">
        <v>112</v>
      </c>
      <c r="AC184" s="686">
        <v>468.6043738</v>
      </c>
      <c r="AD184" s="686">
        <v>241.5806697</v>
      </c>
      <c r="AE184" s="687">
        <v>748.254021</v>
      </c>
      <c r="AF184" s="669"/>
    </row>
    <row r="185">
      <c r="A185" s="675"/>
      <c r="B185" s="681" t="s">
        <v>45</v>
      </c>
      <c r="C185" s="682" t="s">
        <v>915</v>
      </c>
      <c r="D185" s="682" t="s">
        <v>922</v>
      </c>
      <c r="E185" s="682" t="s">
        <v>944</v>
      </c>
      <c r="F185" s="682">
        <v>2021.0</v>
      </c>
      <c r="G185" s="683">
        <v>0.019158209</v>
      </c>
      <c r="H185" s="683">
        <v>0.010390637</v>
      </c>
      <c r="I185" s="684">
        <v>0.033510985</v>
      </c>
      <c r="K185" s="693" t="s">
        <v>67</v>
      </c>
      <c r="L185" s="694" t="s">
        <v>917</v>
      </c>
      <c r="M185" s="694" t="s">
        <v>915</v>
      </c>
      <c r="N185" s="694" t="s">
        <v>923</v>
      </c>
      <c r="O185" s="694">
        <v>2021.0</v>
      </c>
      <c r="P185" s="694" t="s">
        <v>919</v>
      </c>
      <c r="Q185" s="695" t="s">
        <v>112</v>
      </c>
      <c r="R185" s="696">
        <v>6397.604617</v>
      </c>
      <c r="S185" s="696">
        <v>5513.890314</v>
      </c>
      <c r="T185" s="697">
        <v>7366.960564</v>
      </c>
      <c r="V185" s="681" t="s">
        <v>67</v>
      </c>
      <c r="W185" s="682" t="s">
        <v>921</v>
      </c>
      <c r="X185" s="682" t="s">
        <v>915</v>
      </c>
      <c r="Y185" s="682" t="s">
        <v>923</v>
      </c>
      <c r="Z185" s="682">
        <v>2021.0</v>
      </c>
      <c r="AA185" s="682" t="s">
        <v>919</v>
      </c>
      <c r="AB185" s="685" t="s">
        <v>112</v>
      </c>
      <c r="AC185" s="686">
        <v>44.82340316</v>
      </c>
      <c r="AD185" s="686">
        <v>19.23846612</v>
      </c>
      <c r="AE185" s="687">
        <v>71.46178546</v>
      </c>
      <c r="AF185" s="669"/>
    </row>
    <row r="186">
      <c r="A186" s="675"/>
      <c r="B186" s="681" t="s">
        <v>45</v>
      </c>
      <c r="C186" s="682" t="s">
        <v>915</v>
      </c>
      <c r="D186" s="682" t="s">
        <v>924</v>
      </c>
      <c r="E186" s="682" t="s">
        <v>944</v>
      </c>
      <c r="F186" s="682">
        <v>2021.0</v>
      </c>
      <c r="G186" s="683">
        <v>6.4437E-4</v>
      </c>
      <c r="H186" s="683">
        <v>3.40598E-4</v>
      </c>
      <c r="I186" s="684">
        <v>0.001086089</v>
      </c>
      <c r="K186" s="693" t="s">
        <v>67</v>
      </c>
      <c r="L186" s="694" t="s">
        <v>917</v>
      </c>
      <c r="M186" s="694" t="s">
        <v>915</v>
      </c>
      <c r="N186" s="694" t="s">
        <v>925</v>
      </c>
      <c r="O186" s="694">
        <v>2021.0</v>
      </c>
      <c r="P186" s="694" t="s">
        <v>919</v>
      </c>
      <c r="Q186" s="695" t="s">
        <v>112</v>
      </c>
      <c r="R186" s="696">
        <v>1030.971856</v>
      </c>
      <c r="S186" s="696">
        <v>883.9885175</v>
      </c>
      <c r="T186" s="697">
        <v>1183.503192</v>
      </c>
      <c r="V186" s="681" t="s">
        <v>67</v>
      </c>
      <c r="W186" s="682" t="s">
        <v>921</v>
      </c>
      <c r="X186" s="682" t="s">
        <v>915</v>
      </c>
      <c r="Y186" s="682" t="s">
        <v>925</v>
      </c>
      <c r="Z186" s="682">
        <v>2021.0</v>
      </c>
      <c r="AA186" s="682" t="s">
        <v>919</v>
      </c>
      <c r="AB186" s="685" t="s">
        <v>112</v>
      </c>
      <c r="AC186" s="686">
        <v>33.0291859</v>
      </c>
      <c r="AD186" s="686">
        <v>17.26538979</v>
      </c>
      <c r="AE186" s="687">
        <v>60.52823889</v>
      </c>
      <c r="AF186" s="669"/>
    </row>
    <row r="187">
      <c r="A187" s="675"/>
      <c r="B187" s="681" t="s">
        <v>45</v>
      </c>
      <c r="C187" s="682" t="s">
        <v>915</v>
      </c>
      <c r="D187" s="682" t="s">
        <v>926</v>
      </c>
      <c r="E187" s="682" t="s">
        <v>944</v>
      </c>
      <c r="F187" s="682">
        <v>2021.0</v>
      </c>
      <c r="G187" s="683">
        <v>0.009844375</v>
      </c>
      <c r="H187" s="683">
        <v>0.006903742</v>
      </c>
      <c r="I187" s="684">
        <v>0.013619455</v>
      </c>
      <c r="K187" s="693" t="s">
        <v>67</v>
      </c>
      <c r="L187" s="694" t="s">
        <v>917</v>
      </c>
      <c r="M187" s="694" t="s">
        <v>915</v>
      </c>
      <c r="N187" s="694" t="s">
        <v>927</v>
      </c>
      <c r="O187" s="694">
        <v>2021.0</v>
      </c>
      <c r="P187" s="694" t="s">
        <v>919</v>
      </c>
      <c r="Q187" s="695" t="s">
        <v>112</v>
      </c>
      <c r="R187" s="696">
        <v>4502.138065</v>
      </c>
      <c r="S187" s="696">
        <v>3915.378376</v>
      </c>
      <c r="T187" s="697">
        <v>5146.17458</v>
      </c>
      <c r="V187" s="681" t="s">
        <v>67</v>
      </c>
      <c r="W187" s="682" t="s">
        <v>921</v>
      </c>
      <c r="X187" s="682" t="s">
        <v>915</v>
      </c>
      <c r="Y187" s="682" t="s">
        <v>927</v>
      </c>
      <c r="Z187" s="682">
        <v>2021.0</v>
      </c>
      <c r="AA187" s="682" t="s">
        <v>919</v>
      </c>
      <c r="AB187" s="685" t="s">
        <v>112</v>
      </c>
      <c r="AC187" s="686">
        <v>570.5930366</v>
      </c>
      <c r="AD187" s="686">
        <v>344.1357616</v>
      </c>
      <c r="AE187" s="687">
        <v>872.8208912</v>
      </c>
      <c r="AF187" s="669"/>
    </row>
    <row r="188">
      <c r="A188" s="675"/>
      <c r="B188" s="681" t="s">
        <v>46</v>
      </c>
      <c r="C188" s="682" t="s">
        <v>915</v>
      </c>
      <c r="D188" s="682" t="s">
        <v>916</v>
      </c>
      <c r="E188" s="682" t="s">
        <v>944</v>
      </c>
      <c r="F188" s="682">
        <v>2021.0</v>
      </c>
      <c r="G188" s="683">
        <v>0.001715319</v>
      </c>
      <c r="H188" s="683">
        <v>7.12191E-4</v>
      </c>
      <c r="I188" s="684">
        <v>0.003145688</v>
      </c>
      <c r="K188" s="693" t="s">
        <v>67</v>
      </c>
      <c r="L188" s="694" t="s">
        <v>917</v>
      </c>
      <c r="M188" s="694" t="s">
        <v>915</v>
      </c>
      <c r="N188" s="694" t="s">
        <v>926</v>
      </c>
      <c r="O188" s="694">
        <v>2021.0</v>
      </c>
      <c r="P188" s="694" t="s">
        <v>919</v>
      </c>
      <c r="Q188" s="695" t="s">
        <v>112</v>
      </c>
      <c r="R188" s="696">
        <v>18866.41932</v>
      </c>
      <c r="S188" s="696">
        <v>15851.12369</v>
      </c>
      <c r="T188" s="697">
        <v>22282.44904</v>
      </c>
      <c r="V188" s="681" t="s">
        <v>67</v>
      </c>
      <c r="W188" s="682" t="s">
        <v>921</v>
      </c>
      <c r="X188" s="682" t="s">
        <v>915</v>
      </c>
      <c r="Y188" s="682" t="s">
        <v>926</v>
      </c>
      <c r="Z188" s="682">
        <v>2021.0</v>
      </c>
      <c r="AA188" s="682" t="s">
        <v>919</v>
      </c>
      <c r="AB188" s="685" t="s">
        <v>112</v>
      </c>
      <c r="AC188" s="686">
        <v>1117.05</v>
      </c>
      <c r="AD188" s="686">
        <v>693.3990102</v>
      </c>
      <c r="AE188" s="687">
        <v>1671.391733</v>
      </c>
      <c r="AF188" s="669"/>
    </row>
    <row r="189">
      <c r="A189" s="675"/>
      <c r="B189" s="681" t="s">
        <v>46</v>
      </c>
      <c r="C189" s="682" t="s">
        <v>915</v>
      </c>
      <c r="D189" s="682" t="s">
        <v>922</v>
      </c>
      <c r="E189" s="682" t="s">
        <v>944</v>
      </c>
      <c r="F189" s="682">
        <v>2021.0</v>
      </c>
      <c r="G189" s="683">
        <v>0.011142639</v>
      </c>
      <c r="H189" s="683">
        <v>0.005365727</v>
      </c>
      <c r="I189" s="684">
        <v>0.020710514</v>
      </c>
      <c r="K189" s="693" t="s">
        <v>37</v>
      </c>
      <c r="L189" s="694" t="s">
        <v>917</v>
      </c>
      <c r="M189" s="694" t="s">
        <v>915</v>
      </c>
      <c r="N189" s="694" t="s">
        <v>918</v>
      </c>
      <c r="O189" s="694">
        <v>2021.0</v>
      </c>
      <c r="P189" s="694" t="s">
        <v>919</v>
      </c>
      <c r="Q189" s="695" t="s">
        <v>112</v>
      </c>
      <c r="R189" s="696">
        <v>14559.85147</v>
      </c>
      <c r="S189" s="696">
        <v>11540.28721</v>
      </c>
      <c r="T189" s="697">
        <v>17862.48982</v>
      </c>
      <c r="V189" s="681" t="s">
        <v>37</v>
      </c>
      <c r="W189" s="682" t="s">
        <v>921</v>
      </c>
      <c r="X189" s="682" t="s">
        <v>915</v>
      </c>
      <c r="Y189" s="682" t="s">
        <v>918</v>
      </c>
      <c r="Z189" s="682">
        <v>2021.0</v>
      </c>
      <c r="AA189" s="682" t="s">
        <v>919</v>
      </c>
      <c r="AB189" s="685" t="s">
        <v>112</v>
      </c>
      <c r="AC189" s="686">
        <v>1414.559592</v>
      </c>
      <c r="AD189" s="686">
        <v>791.0007313</v>
      </c>
      <c r="AE189" s="687">
        <v>2272.009434</v>
      </c>
      <c r="AF189" s="669"/>
    </row>
    <row r="190">
      <c r="A190" s="675"/>
      <c r="B190" s="681" t="s">
        <v>46</v>
      </c>
      <c r="C190" s="682" t="s">
        <v>915</v>
      </c>
      <c r="D190" s="682" t="s">
        <v>924</v>
      </c>
      <c r="E190" s="682" t="s">
        <v>944</v>
      </c>
      <c r="F190" s="682">
        <v>2021.0</v>
      </c>
      <c r="G190" s="683">
        <v>3.05489E-4</v>
      </c>
      <c r="H190" s="683">
        <v>1.23549E-4</v>
      </c>
      <c r="I190" s="684">
        <v>5.76889E-4</v>
      </c>
      <c r="K190" s="693" t="s">
        <v>37</v>
      </c>
      <c r="L190" s="694" t="s">
        <v>917</v>
      </c>
      <c r="M190" s="694" t="s">
        <v>915</v>
      </c>
      <c r="N190" s="694" t="s">
        <v>923</v>
      </c>
      <c r="O190" s="694">
        <v>2021.0</v>
      </c>
      <c r="P190" s="694" t="s">
        <v>919</v>
      </c>
      <c r="Q190" s="695" t="s">
        <v>112</v>
      </c>
      <c r="R190" s="696">
        <v>6062.707572</v>
      </c>
      <c r="S190" s="696">
        <v>5347.394008</v>
      </c>
      <c r="T190" s="697">
        <v>6837.967987</v>
      </c>
      <c r="V190" s="681" t="s">
        <v>37</v>
      </c>
      <c r="W190" s="682" t="s">
        <v>921</v>
      </c>
      <c r="X190" s="682" t="s">
        <v>915</v>
      </c>
      <c r="Y190" s="682" t="s">
        <v>923</v>
      </c>
      <c r="Z190" s="682">
        <v>2021.0</v>
      </c>
      <c r="AA190" s="682" t="s">
        <v>919</v>
      </c>
      <c r="AB190" s="685" t="s">
        <v>112</v>
      </c>
      <c r="AC190" s="686">
        <v>45.55628334</v>
      </c>
      <c r="AD190" s="686">
        <v>21.88456269</v>
      </c>
      <c r="AE190" s="687">
        <v>75.84321446</v>
      </c>
      <c r="AF190" s="669"/>
    </row>
    <row r="191">
      <c r="A191" s="675"/>
      <c r="B191" s="681" t="s">
        <v>46</v>
      </c>
      <c r="C191" s="682" t="s">
        <v>915</v>
      </c>
      <c r="D191" s="682" t="s">
        <v>926</v>
      </c>
      <c r="E191" s="682" t="s">
        <v>944</v>
      </c>
      <c r="F191" s="682">
        <v>2021.0</v>
      </c>
      <c r="G191" s="683">
        <v>0.004539302</v>
      </c>
      <c r="H191" s="683">
        <v>0.002445781</v>
      </c>
      <c r="I191" s="684">
        <v>0.007432516</v>
      </c>
      <c r="K191" s="693" t="s">
        <v>37</v>
      </c>
      <c r="L191" s="694" t="s">
        <v>917</v>
      </c>
      <c r="M191" s="694" t="s">
        <v>915</v>
      </c>
      <c r="N191" s="694" t="s">
        <v>925</v>
      </c>
      <c r="O191" s="694">
        <v>2021.0</v>
      </c>
      <c r="P191" s="694" t="s">
        <v>919</v>
      </c>
      <c r="Q191" s="695" t="s">
        <v>112</v>
      </c>
      <c r="R191" s="696">
        <v>2192.167006</v>
      </c>
      <c r="S191" s="696">
        <v>1916.740368</v>
      </c>
      <c r="T191" s="697">
        <v>2485.781757</v>
      </c>
      <c r="V191" s="681" t="s">
        <v>37</v>
      </c>
      <c r="W191" s="682" t="s">
        <v>921</v>
      </c>
      <c r="X191" s="682" t="s">
        <v>915</v>
      </c>
      <c r="Y191" s="682" t="s">
        <v>925</v>
      </c>
      <c r="Z191" s="682">
        <v>2021.0</v>
      </c>
      <c r="AA191" s="682" t="s">
        <v>919</v>
      </c>
      <c r="AB191" s="685" t="s">
        <v>112</v>
      </c>
      <c r="AC191" s="686">
        <v>70.13753585</v>
      </c>
      <c r="AD191" s="686">
        <v>33.19062219</v>
      </c>
      <c r="AE191" s="687">
        <v>119.0079977</v>
      </c>
      <c r="AF191" s="669"/>
    </row>
    <row r="192">
      <c r="A192" s="675"/>
      <c r="B192" s="681" t="s">
        <v>47</v>
      </c>
      <c r="C192" s="682" t="s">
        <v>915</v>
      </c>
      <c r="D192" s="682" t="s">
        <v>916</v>
      </c>
      <c r="E192" s="682" t="s">
        <v>944</v>
      </c>
      <c r="F192" s="682">
        <v>2021.0</v>
      </c>
      <c r="G192" s="683">
        <v>9.67394E-4</v>
      </c>
      <c r="H192" s="683">
        <v>3.68334E-4</v>
      </c>
      <c r="I192" s="684">
        <v>0.001925942</v>
      </c>
      <c r="K192" s="693" t="s">
        <v>37</v>
      </c>
      <c r="L192" s="694" t="s">
        <v>917</v>
      </c>
      <c r="M192" s="694" t="s">
        <v>915</v>
      </c>
      <c r="N192" s="694" t="s">
        <v>927</v>
      </c>
      <c r="O192" s="694">
        <v>2021.0</v>
      </c>
      <c r="P192" s="694" t="s">
        <v>919</v>
      </c>
      <c r="Q192" s="695" t="s">
        <v>112</v>
      </c>
      <c r="R192" s="696">
        <v>9579.518068</v>
      </c>
      <c r="S192" s="696">
        <v>8507.240249</v>
      </c>
      <c r="T192" s="697">
        <v>10694.53541</v>
      </c>
      <c r="V192" s="681" t="s">
        <v>37</v>
      </c>
      <c r="W192" s="682" t="s">
        <v>921</v>
      </c>
      <c r="X192" s="682" t="s">
        <v>915</v>
      </c>
      <c r="Y192" s="682" t="s">
        <v>927</v>
      </c>
      <c r="Z192" s="682">
        <v>2021.0</v>
      </c>
      <c r="AA192" s="682" t="s">
        <v>919</v>
      </c>
      <c r="AB192" s="685" t="s">
        <v>112</v>
      </c>
      <c r="AC192" s="686">
        <v>1439.86721</v>
      </c>
      <c r="AD192" s="686">
        <v>876.9907901</v>
      </c>
      <c r="AE192" s="687">
        <v>2079.040106</v>
      </c>
      <c r="AF192" s="669"/>
    </row>
    <row r="193">
      <c r="A193" s="675"/>
      <c r="B193" s="681" t="s">
        <v>47</v>
      </c>
      <c r="C193" s="682" t="s">
        <v>915</v>
      </c>
      <c r="D193" s="682" t="s">
        <v>922</v>
      </c>
      <c r="E193" s="682" t="s">
        <v>944</v>
      </c>
      <c r="F193" s="682">
        <v>2021.0</v>
      </c>
      <c r="G193" s="683">
        <v>0.005654098</v>
      </c>
      <c r="H193" s="683">
        <v>0.002379225</v>
      </c>
      <c r="I193" s="684">
        <v>0.010601604</v>
      </c>
      <c r="K193" s="693" t="s">
        <v>37</v>
      </c>
      <c r="L193" s="694" t="s">
        <v>917</v>
      </c>
      <c r="M193" s="694" t="s">
        <v>915</v>
      </c>
      <c r="N193" s="694" t="s">
        <v>926</v>
      </c>
      <c r="O193" s="694">
        <v>2021.0</v>
      </c>
      <c r="P193" s="694" t="s">
        <v>919</v>
      </c>
      <c r="Q193" s="695" t="s">
        <v>112</v>
      </c>
      <c r="R193" s="696">
        <v>32394.24412</v>
      </c>
      <c r="S193" s="696">
        <v>27457.18425</v>
      </c>
      <c r="T193" s="697">
        <v>37602.69024</v>
      </c>
      <c r="V193" s="717" t="s">
        <v>37</v>
      </c>
      <c r="W193" s="718" t="s">
        <v>921</v>
      </c>
      <c r="X193" s="718" t="s">
        <v>915</v>
      </c>
      <c r="Y193" s="718" t="s">
        <v>926</v>
      </c>
      <c r="Z193" s="718">
        <v>2021.0</v>
      </c>
      <c r="AA193" s="718" t="s">
        <v>919</v>
      </c>
      <c r="AB193" s="719" t="s">
        <v>112</v>
      </c>
      <c r="AC193" s="720">
        <v>2970.120621</v>
      </c>
      <c r="AD193" s="720">
        <v>1941.229272</v>
      </c>
      <c r="AE193" s="721">
        <v>4323.458366</v>
      </c>
      <c r="AF193" s="669"/>
    </row>
    <row r="194">
      <c r="A194" s="675"/>
      <c r="B194" s="681" t="s">
        <v>47</v>
      </c>
      <c r="C194" s="682" t="s">
        <v>915</v>
      </c>
      <c r="D194" s="682" t="s">
        <v>924</v>
      </c>
      <c r="E194" s="682" t="s">
        <v>944</v>
      </c>
      <c r="F194" s="682">
        <v>2021.0</v>
      </c>
      <c r="G194" s="683">
        <v>1.76048E-4</v>
      </c>
      <c r="H194" s="683">
        <v>6.35E-5</v>
      </c>
      <c r="I194" s="684">
        <v>3.4964E-4</v>
      </c>
      <c r="K194" s="693" t="s">
        <v>38</v>
      </c>
      <c r="L194" s="694" t="s">
        <v>944</v>
      </c>
      <c r="M194" s="694" t="s">
        <v>915</v>
      </c>
      <c r="N194" s="694" t="s">
        <v>918</v>
      </c>
      <c r="O194" s="694">
        <v>2021.0</v>
      </c>
      <c r="P194" s="694" t="s">
        <v>919</v>
      </c>
      <c r="Q194" s="695" t="s">
        <v>112</v>
      </c>
      <c r="R194" s="696">
        <v>367.0642974</v>
      </c>
      <c r="S194" s="696">
        <v>222.8279985</v>
      </c>
      <c r="T194" s="697">
        <v>638.3720737</v>
      </c>
      <c r="AB194" s="722"/>
      <c r="AF194" s="669"/>
    </row>
    <row r="195">
      <c r="A195" s="675"/>
      <c r="B195" s="681" t="s">
        <v>47</v>
      </c>
      <c r="C195" s="682" t="s">
        <v>915</v>
      </c>
      <c r="D195" s="682" t="s">
        <v>926</v>
      </c>
      <c r="E195" s="682" t="s">
        <v>944</v>
      </c>
      <c r="F195" s="682">
        <v>2021.0</v>
      </c>
      <c r="G195" s="683">
        <v>0.00495511</v>
      </c>
      <c r="H195" s="683">
        <v>0.002387875</v>
      </c>
      <c r="I195" s="684">
        <v>0.009199775</v>
      </c>
      <c r="K195" s="693" t="s">
        <v>38</v>
      </c>
      <c r="L195" s="694" t="s">
        <v>944</v>
      </c>
      <c r="M195" s="694" t="s">
        <v>915</v>
      </c>
      <c r="N195" s="694" t="s">
        <v>923</v>
      </c>
      <c r="O195" s="694">
        <v>2021.0</v>
      </c>
      <c r="P195" s="694" t="s">
        <v>919</v>
      </c>
      <c r="Q195" s="695" t="s">
        <v>112</v>
      </c>
      <c r="R195" s="696">
        <v>26.36533527</v>
      </c>
      <c r="S195" s="696">
        <v>18.4999738</v>
      </c>
      <c r="T195" s="697">
        <v>41.07601426</v>
      </c>
      <c r="AB195" s="722"/>
      <c r="AF195" s="669"/>
    </row>
    <row r="196">
      <c r="A196" s="675"/>
      <c r="B196" s="681" t="s">
        <v>48</v>
      </c>
      <c r="C196" s="682" t="s">
        <v>915</v>
      </c>
      <c r="D196" s="682" t="s">
        <v>916</v>
      </c>
      <c r="E196" s="682" t="s">
        <v>944</v>
      </c>
      <c r="F196" s="682">
        <v>2021.0</v>
      </c>
      <c r="G196" s="683">
        <v>0.001784197</v>
      </c>
      <c r="H196" s="683">
        <v>6.64894E-4</v>
      </c>
      <c r="I196" s="684">
        <v>0.00340307</v>
      </c>
      <c r="K196" s="693" t="s">
        <v>38</v>
      </c>
      <c r="L196" s="694" t="s">
        <v>944</v>
      </c>
      <c r="M196" s="694" t="s">
        <v>915</v>
      </c>
      <c r="N196" s="694" t="s">
        <v>925</v>
      </c>
      <c r="O196" s="694">
        <v>2021.0</v>
      </c>
      <c r="P196" s="694" t="s">
        <v>919</v>
      </c>
      <c r="Q196" s="695" t="s">
        <v>112</v>
      </c>
      <c r="R196" s="696">
        <v>41.77445336</v>
      </c>
      <c r="S196" s="696">
        <v>33.31390118</v>
      </c>
      <c r="T196" s="697">
        <v>59.14183323</v>
      </c>
      <c r="AB196" s="722"/>
      <c r="AF196" s="669"/>
    </row>
    <row r="197">
      <c r="A197" s="675"/>
      <c r="B197" s="681" t="s">
        <v>48</v>
      </c>
      <c r="C197" s="682" t="s">
        <v>915</v>
      </c>
      <c r="D197" s="682" t="s">
        <v>922</v>
      </c>
      <c r="E197" s="682" t="s">
        <v>944</v>
      </c>
      <c r="F197" s="682">
        <v>2021.0</v>
      </c>
      <c r="G197" s="683">
        <v>0.012145436</v>
      </c>
      <c r="H197" s="683">
        <v>0.004914776</v>
      </c>
      <c r="I197" s="684">
        <v>0.022848546</v>
      </c>
      <c r="K197" s="693" t="s">
        <v>38</v>
      </c>
      <c r="L197" s="694" t="s">
        <v>944</v>
      </c>
      <c r="M197" s="694" t="s">
        <v>915</v>
      </c>
      <c r="N197" s="694" t="s">
        <v>927</v>
      </c>
      <c r="O197" s="694">
        <v>2021.0</v>
      </c>
      <c r="P197" s="694" t="s">
        <v>919</v>
      </c>
      <c r="Q197" s="695" t="s">
        <v>112</v>
      </c>
      <c r="R197" s="696">
        <v>723.746939</v>
      </c>
      <c r="S197" s="696">
        <v>532.4251713</v>
      </c>
      <c r="T197" s="697">
        <v>1092.811981</v>
      </c>
      <c r="AB197" s="722"/>
      <c r="AF197" s="669"/>
    </row>
    <row r="198">
      <c r="A198" s="675"/>
      <c r="B198" s="681" t="s">
        <v>48</v>
      </c>
      <c r="C198" s="682" t="s">
        <v>915</v>
      </c>
      <c r="D198" s="682" t="s">
        <v>924</v>
      </c>
      <c r="E198" s="682" t="s">
        <v>944</v>
      </c>
      <c r="F198" s="682">
        <v>2021.0</v>
      </c>
      <c r="G198" s="683">
        <v>3.81868E-4</v>
      </c>
      <c r="H198" s="683">
        <v>1.46101E-4</v>
      </c>
      <c r="I198" s="684">
        <v>7.27553E-4</v>
      </c>
      <c r="K198" s="693" t="s">
        <v>38</v>
      </c>
      <c r="L198" s="694" t="s">
        <v>944</v>
      </c>
      <c r="M198" s="694" t="s">
        <v>915</v>
      </c>
      <c r="N198" s="694" t="s">
        <v>926</v>
      </c>
      <c r="O198" s="694">
        <v>2021.0</v>
      </c>
      <c r="P198" s="694" t="s">
        <v>919</v>
      </c>
      <c r="Q198" s="695" t="s">
        <v>112</v>
      </c>
      <c r="R198" s="696">
        <v>1158.951025</v>
      </c>
      <c r="S198" s="696">
        <v>837.0377379</v>
      </c>
      <c r="T198" s="697">
        <v>1780.424191</v>
      </c>
      <c r="AB198" s="722"/>
      <c r="AF198" s="669"/>
    </row>
    <row r="199">
      <c r="A199" s="675"/>
      <c r="B199" s="681" t="s">
        <v>48</v>
      </c>
      <c r="C199" s="682" t="s">
        <v>915</v>
      </c>
      <c r="D199" s="682" t="s">
        <v>926</v>
      </c>
      <c r="E199" s="682" t="s">
        <v>944</v>
      </c>
      <c r="F199" s="682">
        <v>2021.0</v>
      </c>
      <c r="G199" s="683">
        <v>0.007927072</v>
      </c>
      <c r="H199" s="683">
        <v>0.004184523</v>
      </c>
      <c r="I199" s="684">
        <v>0.012823201</v>
      </c>
      <c r="K199" s="693" t="s">
        <v>39</v>
      </c>
      <c r="L199" s="694" t="s">
        <v>944</v>
      </c>
      <c r="M199" s="694" t="s">
        <v>915</v>
      </c>
      <c r="N199" s="694" t="s">
        <v>918</v>
      </c>
      <c r="O199" s="694">
        <v>2021.0</v>
      </c>
      <c r="P199" s="694" t="s">
        <v>919</v>
      </c>
      <c r="Q199" s="695" t="s">
        <v>112</v>
      </c>
      <c r="R199" s="696">
        <v>730.752069</v>
      </c>
      <c r="S199" s="696">
        <v>419.6253793</v>
      </c>
      <c r="T199" s="697">
        <v>1175.902617</v>
      </c>
      <c r="AB199" s="722"/>
      <c r="AF199" s="669"/>
    </row>
    <row r="200">
      <c r="A200" s="675"/>
      <c r="B200" s="681" t="s">
        <v>49</v>
      </c>
      <c r="C200" s="682" t="s">
        <v>915</v>
      </c>
      <c r="D200" s="682" t="s">
        <v>916</v>
      </c>
      <c r="E200" s="682" t="s">
        <v>944</v>
      </c>
      <c r="F200" s="682">
        <v>2021.0</v>
      </c>
      <c r="G200" s="683">
        <v>8.91718E-4</v>
      </c>
      <c r="H200" s="683">
        <v>3.39983E-4</v>
      </c>
      <c r="I200" s="684">
        <v>0.001780676</v>
      </c>
      <c r="K200" s="693" t="s">
        <v>39</v>
      </c>
      <c r="L200" s="694" t="s">
        <v>944</v>
      </c>
      <c r="M200" s="694" t="s">
        <v>915</v>
      </c>
      <c r="N200" s="694" t="s">
        <v>923</v>
      </c>
      <c r="O200" s="694">
        <v>2021.0</v>
      </c>
      <c r="P200" s="694" t="s">
        <v>919</v>
      </c>
      <c r="Q200" s="695" t="s">
        <v>112</v>
      </c>
      <c r="R200" s="696">
        <v>38.59544484</v>
      </c>
      <c r="S200" s="696">
        <v>23.98449784</v>
      </c>
      <c r="T200" s="697">
        <v>59.01531198</v>
      </c>
      <c r="AB200" s="722"/>
      <c r="AF200" s="669"/>
    </row>
    <row r="201">
      <c r="A201" s="675"/>
      <c r="B201" s="681" t="s">
        <v>49</v>
      </c>
      <c r="C201" s="682" t="s">
        <v>915</v>
      </c>
      <c r="D201" s="682" t="s">
        <v>922</v>
      </c>
      <c r="E201" s="682" t="s">
        <v>944</v>
      </c>
      <c r="F201" s="682">
        <v>2021.0</v>
      </c>
      <c r="G201" s="683">
        <v>0.004878092</v>
      </c>
      <c r="H201" s="683">
        <v>0.002104772</v>
      </c>
      <c r="I201" s="684">
        <v>0.00913</v>
      </c>
      <c r="K201" s="693" t="s">
        <v>39</v>
      </c>
      <c r="L201" s="694" t="s">
        <v>944</v>
      </c>
      <c r="M201" s="694" t="s">
        <v>915</v>
      </c>
      <c r="N201" s="694" t="s">
        <v>925</v>
      </c>
      <c r="O201" s="694">
        <v>2021.0</v>
      </c>
      <c r="P201" s="694" t="s">
        <v>919</v>
      </c>
      <c r="Q201" s="695" t="s">
        <v>112</v>
      </c>
      <c r="R201" s="696">
        <v>52.9198806</v>
      </c>
      <c r="S201" s="696">
        <v>37.06189759</v>
      </c>
      <c r="T201" s="697">
        <v>76.50074185</v>
      </c>
      <c r="AB201" s="722"/>
      <c r="AF201" s="669"/>
    </row>
    <row r="202">
      <c r="A202" s="675"/>
      <c r="B202" s="681" t="s">
        <v>49</v>
      </c>
      <c r="C202" s="682" t="s">
        <v>915</v>
      </c>
      <c r="D202" s="682" t="s">
        <v>924</v>
      </c>
      <c r="E202" s="682" t="s">
        <v>944</v>
      </c>
      <c r="F202" s="682">
        <v>2021.0</v>
      </c>
      <c r="G202" s="683">
        <v>1.47834E-4</v>
      </c>
      <c r="H202" s="683">
        <v>5.16E-5</v>
      </c>
      <c r="I202" s="684">
        <v>2.89208E-4</v>
      </c>
      <c r="K202" s="693" t="s">
        <v>39</v>
      </c>
      <c r="L202" s="694" t="s">
        <v>944</v>
      </c>
      <c r="M202" s="694" t="s">
        <v>915</v>
      </c>
      <c r="N202" s="694" t="s">
        <v>927</v>
      </c>
      <c r="O202" s="694">
        <v>2021.0</v>
      </c>
      <c r="P202" s="694" t="s">
        <v>919</v>
      </c>
      <c r="Q202" s="695" t="s">
        <v>112</v>
      </c>
      <c r="R202" s="696">
        <v>1217.180333</v>
      </c>
      <c r="S202" s="696">
        <v>832.9727409</v>
      </c>
      <c r="T202" s="697">
        <v>1723.585376</v>
      </c>
      <c r="AB202" s="722"/>
      <c r="AF202" s="669"/>
    </row>
    <row r="203">
      <c r="A203" s="675"/>
      <c r="B203" s="681" t="s">
        <v>49</v>
      </c>
      <c r="C203" s="682" t="s">
        <v>915</v>
      </c>
      <c r="D203" s="682" t="s">
        <v>926</v>
      </c>
      <c r="E203" s="682" t="s">
        <v>944</v>
      </c>
      <c r="F203" s="682">
        <v>2021.0</v>
      </c>
      <c r="G203" s="683">
        <v>0.004365989</v>
      </c>
      <c r="H203" s="683">
        <v>0.002019223</v>
      </c>
      <c r="I203" s="684">
        <v>0.008826493</v>
      </c>
      <c r="K203" s="693" t="s">
        <v>39</v>
      </c>
      <c r="L203" s="694" t="s">
        <v>944</v>
      </c>
      <c r="M203" s="694" t="s">
        <v>915</v>
      </c>
      <c r="N203" s="694" t="s">
        <v>926</v>
      </c>
      <c r="O203" s="694">
        <v>2021.0</v>
      </c>
      <c r="P203" s="694" t="s">
        <v>919</v>
      </c>
      <c r="Q203" s="695" t="s">
        <v>112</v>
      </c>
      <c r="R203" s="696">
        <v>2039.447727</v>
      </c>
      <c r="S203" s="696">
        <v>1366.043158</v>
      </c>
      <c r="T203" s="697">
        <v>2922.805178</v>
      </c>
      <c r="AB203" s="722"/>
      <c r="AF203" s="669"/>
    </row>
    <row r="204">
      <c r="A204" s="675"/>
      <c r="B204" s="681" t="s">
        <v>50</v>
      </c>
      <c r="C204" s="682" t="s">
        <v>915</v>
      </c>
      <c r="D204" s="682" t="s">
        <v>916</v>
      </c>
      <c r="E204" s="682" t="s">
        <v>944</v>
      </c>
      <c r="F204" s="682">
        <v>2021.0</v>
      </c>
      <c r="G204" s="683">
        <v>9.05281E-4</v>
      </c>
      <c r="H204" s="683">
        <v>3.26074E-4</v>
      </c>
      <c r="I204" s="684">
        <v>0.001792279</v>
      </c>
      <c r="K204" s="693" t="s">
        <v>40</v>
      </c>
      <c r="L204" s="694" t="s">
        <v>944</v>
      </c>
      <c r="M204" s="694" t="s">
        <v>915</v>
      </c>
      <c r="N204" s="694" t="s">
        <v>918</v>
      </c>
      <c r="O204" s="694">
        <v>2021.0</v>
      </c>
      <c r="P204" s="694" t="s">
        <v>919</v>
      </c>
      <c r="Q204" s="695" t="s">
        <v>112</v>
      </c>
      <c r="R204" s="696">
        <v>84.62821695</v>
      </c>
      <c r="S204" s="696">
        <v>34.5637329</v>
      </c>
      <c r="T204" s="697">
        <v>198.5864774</v>
      </c>
      <c r="AB204" s="722"/>
      <c r="AF204" s="669"/>
    </row>
    <row r="205">
      <c r="A205" s="675"/>
      <c r="B205" s="681" t="s">
        <v>50</v>
      </c>
      <c r="C205" s="682" t="s">
        <v>915</v>
      </c>
      <c r="D205" s="682" t="s">
        <v>922</v>
      </c>
      <c r="E205" s="682" t="s">
        <v>944</v>
      </c>
      <c r="F205" s="682">
        <v>2021.0</v>
      </c>
      <c r="G205" s="683">
        <v>0.005995222</v>
      </c>
      <c r="H205" s="683">
        <v>0.002467009</v>
      </c>
      <c r="I205" s="684">
        <v>0.01135072</v>
      </c>
      <c r="K205" s="693" t="s">
        <v>40</v>
      </c>
      <c r="L205" s="694" t="s">
        <v>944</v>
      </c>
      <c r="M205" s="694" t="s">
        <v>915</v>
      </c>
      <c r="N205" s="694" t="s">
        <v>923</v>
      </c>
      <c r="O205" s="694">
        <v>2021.0</v>
      </c>
      <c r="P205" s="694" t="s">
        <v>919</v>
      </c>
      <c r="Q205" s="695" t="s">
        <v>112</v>
      </c>
      <c r="R205" s="696">
        <v>7.802556959</v>
      </c>
      <c r="S205" s="696">
        <v>4.255449065</v>
      </c>
      <c r="T205" s="697">
        <v>14.04624439</v>
      </c>
      <c r="AB205" s="722"/>
      <c r="AF205" s="669"/>
    </row>
    <row r="206">
      <c r="A206" s="675"/>
      <c r="B206" s="681" t="s">
        <v>50</v>
      </c>
      <c r="C206" s="682" t="s">
        <v>915</v>
      </c>
      <c r="D206" s="682" t="s">
        <v>924</v>
      </c>
      <c r="E206" s="682" t="s">
        <v>944</v>
      </c>
      <c r="F206" s="682">
        <v>2021.0</v>
      </c>
      <c r="G206" s="683">
        <v>1.48033E-4</v>
      </c>
      <c r="H206" s="683">
        <v>4.84E-5</v>
      </c>
      <c r="I206" s="684">
        <v>3.09863E-4</v>
      </c>
      <c r="K206" s="693" t="s">
        <v>40</v>
      </c>
      <c r="L206" s="694" t="s">
        <v>944</v>
      </c>
      <c r="M206" s="694" t="s">
        <v>915</v>
      </c>
      <c r="N206" s="694" t="s">
        <v>925</v>
      </c>
      <c r="O206" s="694">
        <v>2021.0</v>
      </c>
      <c r="P206" s="694" t="s">
        <v>919</v>
      </c>
      <c r="Q206" s="695" t="s">
        <v>112</v>
      </c>
      <c r="R206" s="696">
        <v>7.020868349</v>
      </c>
      <c r="S206" s="696">
        <v>3.063387331</v>
      </c>
      <c r="T206" s="697">
        <v>16.21726821</v>
      </c>
      <c r="AB206" s="722"/>
      <c r="AF206" s="669"/>
    </row>
    <row r="207">
      <c r="A207" s="675"/>
      <c r="B207" s="681" t="s">
        <v>50</v>
      </c>
      <c r="C207" s="682" t="s">
        <v>915</v>
      </c>
      <c r="D207" s="682" t="s">
        <v>926</v>
      </c>
      <c r="E207" s="682" t="s">
        <v>944</v>
      </c>
      <c r="F207" s="682">
        <v>2021.0</v>
      </c>
      <c r="G207" s="683">
        <v>0.004120486</v>
      </c>
      <c r="H207" s="683">
        <v>0.001856085</v>
      </c>
      <c r="I207" s="684">
        <v>0.007806029</v>
      </c>
      <c r="K207" s="693" t="s">
        <v>40</v>
      </c>
      <c r="L207" s="694" t="s">
        <v>944</v>
      </c>
      <c r="M207" s="694" t="s">
        <v>915</v>
      </c>
      <c r="N207" s="694" t="s">
        <v>927</v>
      </c>
      <c r="O207" s="694">
        <v>2021.0</v>
      </c>
      <c r="P207" s="694" t="s">
        <v>919</v>
      </c>
      <c r="Q207" s="695" t="s">
        <v>112</v>
      </c>
      <c r="R207" s="696">
        <v>127.2569602</v>
      </c>
      <c r="S207" s="696">
        <v>59.52649099</v>
      </c>
      <c r="T207" s="697">
        <v>265.8079712</v>
      </c>
      <c r="AB207" s="722"/>
      <c r="AF207" s="669"/>
    </row>
    <row r="208">
      <c r="A208" s="675"/>
      <c r="B208" s="681" t="s">
        <v>51</v>
      </c>
      <c r="C208" s="682" t="s">
        <v>915</v>
      </c>
      <c r="D208" s="682" t="s">
        <v>916</v>
      </c>
      <c r="E208" s="682" t="s">
        <v>944</v>
      </c>
      <c r="F208" s="682">
        <v>2021.0</v>
      </c>
      <c r="G208" s="683">
        <v>0.001086224</v>
      </c>
      <c r="H208" s="683">
        <v>3.88877E-4</v>
      </c>
      <c r="I208" s="684">
        <v>0.002158988</v>
      </c>
      <c r="K208" s="693" t="s">
        <v>40</v>
      </c>
      <c r="L208" s="694" t="s">
        <v>944</v>
      </c>
      <c r="M208" s="694" t="s">
        <v>915</v>
      </c>
      <c r="N208" s="694" t="s">
        <v>926</v>
      </c>
      <c r="O208" s="694">
        <v>2021.0</v>
      </c>
      <c r="P208" s="694" t="s">
        <v>919</v>
      </c>
      <c r="Q208" s="695" t="s">
        <v>112</v>
      </c>
      <c r="R208" s="696">
        <v>226.7086025</v>
      </c>
      <c r="S208" s="696">
        <v>105.7799541</v>
      </c>
      <c r="T208" s="697">
        <v>478.3320096</v>
      </c>
      <c r="AB208" s="722"/>
      <c r="AF208" s="669"/>
    </row>
    <row r="209">
      <c r="A209" s="675"/>
      <c r="B209" s="681" t="s">
        <v>51</v>
      </c>
      <c r="C209" s="682" t="s">
        <v>915</v>
      </c>
      <c r="D209" s="682" t="s">
        <v>922</v>
      </c>
      <c r="E209" s="682" t="s">
        <v>944</v>
      </c>
      <c r="F209" s="682">
        <v>2021.0</v>
      </c>
      <c r="G209" s="683">
        <v>0.007440561</v>
      </c>
      <c r="H209" s="683">
        <v>0.003361368</v>
      </c>
      <c r="I209" s="684">
        <v>0.013572389</v>
      </c>
      <c r="K209" s="693" t="s">
        <v>41</v>
      </c>
      <c r="L209" s="694" t="s">
        <v>944</v>
      </c>
      <c r="M209" s="694" t="s">
        <v>915</v>
      </c>
      <c r="N209" s="694" t="s">
        <v>918</v>
      </c>
      <c r="O209" s="694">
        <v>2021.0</v>
      </c>
      <c r="P209" s="694" t="s">
        <v>919</v>
      </c>
      <c r="Q209" s="695" t="s">
        <v>112</v>
      </c>
      <c r="R209" s="696">
        <v>193.5140927</v>
      </c>
      <c r="S209" s="696">
        <v>72.32491708</v>
      </c>
      <c r="T209" s="697">
        <v>424.8390057</v>
      </c>
      <c r="AB209" s="722"/>
      <c r="AF209" s="669"/>
    </row>
    <row r="210">
      <c r="A210" s="675"/>
      <c r="B210" s="681" t="s">
        <v>51</v>
      </c>
      <c r="C210" s="682" t="s">
        <v>915</v>
      </c>
      <c r="D210" s="682" t="s">
        <v>924</v>
      </c>
      <c r="E210" s="682" t="s">
        <v>944</v>
      </c>
      <c r="F210" s="682">
        <v>2021.0</v>
      </c>
      <c r="G210" s="683">
        <v>1.81021E-4</v>
      </c>
      <c r="H210" s="683">
        <v>5.02E-5</v>
      </c>
      <c r="I210" s="684">
        <v>3.59717E-4</v>
      </c>
      <c r="K210" s="693" t="s">
        <v>41</v>
      </c>
      <c r="L210" s="694" t="s">
        <v>944</v>
      </c>
      <c r="M210" s="694" t="s">
        <v>915</v>
      </c>
      <c r="N210" s="694" t="s">
        <v>923</v>
      </c>
      <c r="O210" s="694">
        <v>2021.0</v>
      </c>
      <c r="P210" s="694" t="s">
        <v>919</v>
      </c>
      <c r="Q210" s="695" t="s">
        <v>112</v>
      </c>
      <c r="R210" s="696">
        <v>17.98321769</v>
      </c>
      <c r="S210" s="696">
        <v>9.277329482</v>
      </c>
      <c r="T210" s="697">
        <v>33.72846604</v>
      </c>
      <c r="AB210" s="722"/>
      <c r="AF210" s="669"/>
    </row>
    <row r="211">
      <c r="A211" s="675"/>
      <c r="B211" s="681" t="s">
        <v>51</v>
      </c>
      <c r="C211" s="682" t="s">
        <v>915</v>
      </c>
      <c r="D211" s="682" t="s">
        <v>926</v>
      </c>
      <c r="E211" s="682" t="s">
        <v>944</v>
      </c>
      <c r="F211" s="682">
        <v>2021.0</v>
      </c>
      <c r="G211" s="683">
        <v>0.00271251</v>
      </c>
      <c r="H211" s="683">
        <v>0.001161585</v>
      </c>
      <c r="I211" s="684">
        <v>0.004789694</v>
      </c>
      <c r="K211" s="693" t="s">
        <v>41</v>
      </c>
      <c r="L211" s="694" t="s">
        <v>944</v>
      </c>
      <c r="M211" s="694" t="s">
        <v>915</v>
      </c>
      <c r="N211" s="694" t="s">
        <v>925</v>
      </c>
      <c r="O211" s="694">
        <v>2021.0</v>
      </c>
      <c r="P211" s="694" t="s">
        <v>919</v>
      </c>
      <c r="Q211" s="695" t="s">
        <v>112</v>
      </c>
      <c r="R211" s="696">
        <v>16.24688371</v>
      </c>
      <c r="S211" s="696">
        <v>6.587533579</v>
      </c>
      <c r="T211" s="697">
        <v>36.58994447</v>
      </c>
      <c r="AB211" s="722"/>
      <c r="AF211" s="669"/>
    </row>
    <row r="212">
      <c r="A212" s="675"/>
      <c r="B212" s="681" t="s">
        <v>52</v>
      </c>
      <c r="C212" s="682" t="s">
        <v>915</v>
      </c>
      <c r="D212" s="682" t="s">
        <v>916</v>
      </c>
      <c r="E212" s="682" t="s">
        <v>944</v>
      </c>
      <c r="F212" s="682">
        <v>2021.0</v>
      </c>
      <c r="G212" s="683">
        <v>7.10434E-4</v>
      </c>
      <c r="H212" s="683">
        <v>2.45622E-4</v>
      </c>
      <c r="I212" s="684">
        <v>0.001430409</v>
      </c>
      <c r="K212" s="693" t="s">
        <v>41</v>
      </c>
      <c r="L212" s="694" t="s">
        <v>944</v>
      </c>
      <c r="M212" s="694" t="s">
        <v>915</v>
      </c>
      <c r="N212" s="694" t="s">
        <v>927</v>
      </c>
      <c r="O212" s="694">
        <v>2021.0</v>
      </c>
      <c r="P212" s="694" t="s">
        <v>919</v>
      </c>
      <c r="Q212" s="695" t="s">
        <v>112</v>
      </c>
      <c r="R212" s="696">
        <v>340.6728017</v>
      </c>
      <c r="S212" s="696">
        <v>154.5414112</v>
      </c>
      <c r="T212" s="697">
        <v>714.3891141</v>
      </c>
      <c r="AB212" s="722"/>
      <c r="AF212" s="669"/>
    </row>
    <row r="213">
      <c r="A213" s="675"/>
      <c r="B213" s="681" t="s">
        <v>52</v>
      </c>
      <c r="C213" s="682" t="s">
        <v>915</v>
      </c>
      <c r="D213" s="682" t="s">
        <v>922</v>
      </c>
      <c r="E213" s="682" t="s">
        <v>944</v>
      </c>
      <c r="F213" s="682">
        <v>2021.0</v>
      </c>
      <c r="G213" s="683">
        <v>0.003652784</v>
      </c>
      <c r="H213" s="683">
        <v>0.001389775</v>
      </c>
      <c r="I213" s="684">
        <v>0.007070995</v>
      </c>
      <c r="K213" s="693" t="s">
        <v>41</v>
      </c>
      <c r="L213" s="694" t="s">
        <v>944</v>
      </c>
      <c r="M213" s="694" t="s">
        <v>915</v>
      </c>
      <c r="N213" s="694" t="s">
        <v>926</v>
      </c>
      <c r="O213" s="694">
        <v>2021.0</v>
      </c>
      <c r="P213" s="694" t="s">
        <v>919</v>
      </c>
      <c r="Q213" s="695" t="s">
        <v>112</v>
      </c>
      <c r="R213" s="696">
        <v>568.4169959</v>
      </c>
      <c r="S213" s="696">
        <v>253.9181858</v>
      </c>
      <c r="T213" s="697">
        <v>1165.3052</v>
      </c>
      <c r="AB213" s="722"/>
      <c r="AF213" s="669"/>
    </row>
    <row r="214">
      <c r="A214" s="675"/>
      <c r="B214" s="681" t="s">
        <v>52</v>
      </c>
      <c r="C214" s="682" t="s">
        <v>915</v>
      </c>
      <c r="D214" s="682" t="s">
        <v>924</v>
      </c>
      <c r="E214" s="682" t="s">
        <v>944</v>
      </c>
      <c r="F214" s="682">
        <v>2021.0</v>
      </c>
      <c r="G214" s="683">
        <v>1.43824E-4</v>
      </c>
      <c r="H214" s="683">
        <v>4.81E-5</v>
      </c>
      <c r="I214" s="684">
        <v>2.83202E-4</v>
      </c>
      <c r="K214" s="693" t="s">
        <v>26</v>
      </c>
      <c r="L214" s="694" t="s">
        <v>944</v>
      </c>
      <c r="M214" s="694" t="s">
        <v>915</v>
      </c>
      <c r="N214" s="694" t="s">
        <v>918</v>
      </c>
      <c r="O214" s="694">
        <v>2021.0</v>
      </c>
      <c r="P214" s="694" t="s">
        <v>919</v>
      </c>
      <c r="Q214" s="695" t="s">
        <v>112</v>
      </c>
      <c r="R214" s="696">
        <v>4261.389712</v>
      </c>
      <c r="S214" s="696">
        <v>2487.27829</v>
      </c>
      <c r="T214" s="697">
        <v>6252.356213</v>
      </c>
      <c r="AB214" s="722"/>
      <c r="AF214" s="669"/>
    </row>
    <row r="215">
      <c r="A215" s="675"/>
      <c r="B215" s="681" t="s">
        <v>52</v>
      </c>
      <c r="C215" s="682" t="s">
        <v>915</v>
      </c>
      <c r="D215" s="682" t="s">
        <v>926</v>
      </c>
      <c r="E215" s="682" t="s">
        <v>944</v>
      </c>
      <c r="F215" s="682">
        <v>2021.0</v>
      </c>
      <c r="G215" s="683">
        <v>0.004333639</v>
      </c>
      <c r="H215" s="683">
        <v>0.001871946</v>
      </c>
      <c r="I215" s="684">
        <v>0.008731836</v>
      </c>
      <c r="K215" s="693" t="s">
        <v>26</v>
      </c>
      <c r="L215" s="694" t="s">
        <v>944</v>
      </c>
      <c r="M215" s="694" t="s">
        <v>915</v>
      </c>
      <c r="N215" s="694" t="s">
        <v>923</v>
      </c>
      <c r="O215" s="694">
        <v>2021.0</v>
      </c>
      <c r="P215" s="694" t="s">
        <v>919</v>
      </c>
      <c r="Q215" s="695" t="s">
        <v>112</v>
      </c>
      <c r="R215" s="696">
        <v>186.6601729</v>
      </c>
      <c r="S215" s="696">
        <v>86.95589907</v>
      </c>
      <c r="T215" s="697">
        <v>289.6012574</v>
      </c>
      <c r="AB215" s="722"/>
      <c r="AF215" s="669"/>
    </row>
    <row r="216">
      <c r="A216" s="675"/>
      <c r="B216" s="681" t="s">
        <v>28</v>
      </c>
      <c r="C216" s="682" t="s">
        <v>915</v>
      </c>
      <c r="D216" s="682" t="s">
        <v>916</v>
      </c>
      <c r="E216" s="682" t="s">
        <v>944</v>
      </c>
      <c r="F216" s="682">
        <v>2021.0</v>
      </c>
      <c r="G216" s="683">
        <v>0.002629884</v>
      </c>
      <c r="H216" s="683">
        <v>0.001327871</v>
      </c>
      <c r="I216" s="684">
        <v>0.005091133</v>
      </c>
      <c r="K216" s="693" t="s">
        <v>26</v>
      </c>
      <c r="L216" s="694" t="s">
        <v>944</v>
      </c>
      <c r="M216" s="694" t="s">
        <v>915</v>
      </c>
      <c r="N216" s="694" t="s">
        <v>925</v>
      </c>
      <c r="O216" s="694">
        <v>2021.0</v>
      </c>
      <c r="P216" s="694" t="s">
        <v>919</v>
      </c>
      <c r="Q216" s="695" t="s">
        <v>112</v>
      </c>
      <c r="R216" s="696">
        <v>192.0398033</v>
      </c>
      <c r="S216" s="696">
        <v>110.9759115</v>
      </c>
      <c r="T216" s="697">
        <v>289.968411</v>
      </c>
      <c r="AB216" s="722"/>
      <c r="AF216" s="669"/>
    </row>
    <row r="217">
      <c r="A217" s="675"/>
      <c r="B217" s="681" t="s">
        <v>28</v>
      </c>
      <c r="C217" s="682" t="s">
        <v>915</v>
      </c>
      <c r="D217" s="682" t="s">
        <v>922</v>
      </c>
      <c r="E217" s="682" t="s">
        <v>944</v>
      </c>
      <c r="F217" s="682">
        <v>2021.0</v>
      </c>
      <c r="G217" s="683">
        <v>0.026063001</v>
      </c>
      <c r="H217" s="683">
        <v>0.014494151</v>
      </c>
      <c r="I217" s="684">
        <v>0.047086828</v>
      </c>
      <c r="K217" s="693" t="s">
        <v>26</v>
      </c>
      <c r="L217" s="694" t="s">
        <v>944</v>
      </c>
      <c r="M217" s="694" t="s">
        <v>915</v>
      </c>
      <c r="N217" s="694" t="s">
        <v>927</v>
      </c>
      <c r="O217" s="694">
        <v>2021.0</v>
      </c>
      <c r="P217" s="694" t="s">
        <v>919</v>
      </c>
      <c r="Q217" s="695" t="s">
        <v>112</v>
      </c>
      <c r="R217" s="696">
        <v>3644.320264</v>
      </c>
      <c r="S217" s="696">
        <v>2471.425342</v>
      </c>
      <c r="T217" s="697">
        <v>5068.985586</v>
      </c>
      <c r="AB217" s="722"/>
      <c r="AF217" s="669"/>
    </row>
    <row r="218">
      <c r="A218" s="675"/>
      <c r="B218" s="681" t="s">
        <v>28</v>
      </c>
      <c r="C218" s="682" t="s">
        <v>915</v>
      </c>
      <c r="D218" s="682" t="s">
        <v>924</v>
      </c>
      <c r="E218" s="682" t="s">
        <v>944</v>
      </c>
      <c r="F218" s="682">
        <v>2021.0</v>
      </c>
      <c r="G218" s="683">
        <v>8.53859E-4</v>
      </c>
      <c r="H218" s="683">
        <v>4.25987E-4</v>
      </c>
      <c r="I218" s="684">
        <v>0.001538416</v>
      </c>
      <c r="K218" s="693" t="s">
        <v>26</v>
      </c>
      <c r="L218" s="694" t="s">
        <v>944</v>
      </c>
      <c r="M218" s="694" t="s">
        <v>915</v>
      </c>
      <c r="N218" s="694" t="s">
        <v>926</v>
      </c>
      <c r="O218" s="694">
        <v>2021.0</v>
      </c>
      <c r="P218" s="694" t="s">
        <v>919</v>
      </c>
      <c r="Q218" s="695" t="s">
        <v>112</v>
      </c>
      <c r="R218" s="696">
        <v>8284.409952</v>
      </c>
      <c r="S218" s="696">
        <v>5429.733159</v>
      </c>
      <c r="T218" s="697">
        <v>11521.63959</v>
      </c>
      <c r="AB218" s="722"/>
      <c r="AF218" s="669"/>
    </row>
    <row r="219">
      <c r="A219" s="675"/>
      <c r="B219" s="681" t="s">
        <v>28</v>
      </c>
      <c r="C219" s="682" t="s">
        <v>915</v>
      </c>
      <c r="D219" s="682" t="s">
        <v>926</v>
      </c>
      <c r="E219" s="682" t="s">
        <v>944</v>
      </c>
      <c r="F219" s="682">
        <v>2021.0</v>
      </c>
      <c r="G219" s="683">
        <v>0.019935049</v>
      </c>
      <c r="H219" s="683">
        <v>0.012648034</v>
      </c>
      <c r="I219" s="684">
        <v>0.027649716</v>
      </c>
      <c r="K219" s="693" t="s">
        <v>42</v>
      </c>
      <c r="L219" s="694" t="s">
        <v>944</v>
      </c>
      <c r="M219" s="694" t="s">
        <v>915</v>
      </c>
      <c r="N219" s="694" t="s">
        <v>918</v>
      </c>
      <c r="O219" s="694">
        <v>2021.0</v>
      </c>
      <c r="P219" s="694" t="s">
        <v>919</v>
      </c>
      <c r="Q219" s="695" t="s">
        <v>112</v>
      </c>
      <c r="R219" s="696">
        <v>63.77990939</v>
      </c>
      <c r="S219" s="696">
        <v>38.06418996</v>
      </c>
      <c r="T219" s="697">
        <v>101.280332</v>
      </c>
      <c r="AB219" s="722"/>
      <c r="AF219" s="669"/>
    </row>
    <row r="220">
      <c r="A220" s="675"/>
      <c r="B220" s="681" t="s">
        <v>53</v>
      </c>
      <c r="C220" s="682" t="s">
        <v>915</v>
      </c>
      <c r="D220" s="682" t="s">
        <v>916</v>
      </c>
      <c r="E220" s="682" t="s">
        <v>944</v>
      </c>
      <c r="F220" s="682">
        <v>2021.0</v>
      </c>
      <c r="G220" s="683">
        <v>6.83345E-4</v>
      </c>
      <c r="H220" s="683">
        <v>2.40168E-4</v>
      </c>
      <c r="I220" s="684">
        <v>0.001342899</v>
      </c>
      <c r="K220" s="693" t="s">
        <v>42</v>
      </c>
      <c r="L220" s="694" t="s">
        <v>944</v>
      </c>
      <c r="M220" s="694" t="s">
        <v>915</v>
      </c>
      <c r="N220" s="694" t="s">
        <v>923</v>
      </c>
      <c r="O220" s="694">
        <v>2021.0</v>
      </c>
      <c r="P220" s="694" t="s">
        <v>919</v>
      </c>
      <c r="Q220" s="695" t="s">
        <v>112</v>
      </c>
      <c r="R220" s="696">
        <v>4.36841713</v>
      </c>
      <c r="S220" s="696">
        <v>3.141077867</v>
      </c>
      <c r="T220" s="697">
        <v>6.237310479</v>
      </c>
      <c r="AB220" s="722"/>
      <c r="AF220" s="669"/>
    </row>
    <row r="221">
      <c r="A221" s="675"/>
      <c r="B221" s="681" t="s">
        <v>53</v>
      </c>
      <c r="C221" s="682" t="s">
        <v>915</v>
      </c>
      <c r="D221" s="682" t="s">
        <v>922</v>
      </c>
      <c r="E221" s="682" t="s">
        <v>944</v>
      </c>
      <c r="F221" s="682">
        <v>2021.0</v>
      </c>
      <c r="G221" s="683">
        <v>0.004392525</v>
      </c>
      <c r="H221" s="683">
        <v>0.001811165</v>
      </c>
      <c r="I221" s="684">
        <v>0.008566664</v>
      </c>
      <c r="K221" s="693" t="s">
        <v>42</v>
      </c>
      <c r="L221" s="694" t="s">
        <v>944</v>
      </c>
      <c r="M221" s="694" t="s">
        <v>915</v>
      </c>
      <c r="N221" s="694" t="s">
        <v>925</v>
      </c>
      <c r="O221" s="694">
        <v>2021.0</v>
      </c>
      <c r="P221" s="694" t="s">
        <v>919</v>
      </c>
      <c r="Q221" s="695" t="s">
        <v>112</v>
      </c>
      <c r="R221" s="696">
        <v>6.953033941</v>
      </c>
      <c r="S221" s="696">
        <v>5.631589906</v>
      </c>
      <c r="T221" s="697">
        <v>9.229218025</v>
      </c>
      <c r="AB221" s="722"/>
      <c r="AF221" s="669"/>
    </row>
    <row r="222">
      <c r="A222" s="675"/>
      <c r="B222" s="681" t="s">
        <v>53</v>
      </c>
      <c r="C222" s="682" t="s">
        <v>915</v>
      </c>
      <c r="D222" s="682" t="s">
        <v>924</v>
      </c>
      <c r="E222" s="682" t="s">
        <v>944</v>
      </c>
      <c r="F222" s="682">
        <v>2021.0</v>
      </c>
      <c r="G222" s="683">
        <v>1.19542E-4</v>
      </c>
      <c r="H222" s="683">
        <v>3.96E-5</v>
      </c>
      <c r="I222" s="684">
        <v>2.52963E-4</v>
      </c>
      <c r="K222" s="693" t="s">
        <v>42</v>
      </c>
      <c r="L222" s="694" t="s">
        <v>944</v>
      </c>
      <c r="M222" s="694" t="s">
        <v>915</v>
      </c>
      <c r="N222" s="694" t="s">
        <v>927</v>
      </c>
      <c r="O222" s="694">
        <v>2021.0</v>
      </c>
      <c r="P222" s="694" t="s">
        <v>919</v>
      </c>
      <c r="Q222" s="695" t="s">
        <v>112</v>
      </c>
      <c r="R222" s="696">
        <v>109.5316903</v>
      </c>
      <c r="S222" s="696">
        <v>83.52283728</v>
      </c>
      <c r="T222" s="697">
        <v>145.8456706</v>
      </c>
      <c r="AB222" s="722"/>
      <c r="AF222" s="669"/>
    </row>
    <row r="223">
      <c r="A223" s="675"/>
      <c r="B223" s="681" t="s">
        <v>53</v>
      </c>
      <c r="C223" s="682" t="s">
        <v>915</v>
      </c>
      <c r="D223" s="682" t="s">
        <v>926</v>
      </c>
      <c r="E223" s="682" t="s">
        <v>944</v>
      </c>
      <c r="F223" s="682">
        <v>2021.0</v>
      </c>
      <c r="G223" s="683">
        <v>0.002607964</v>
      </c>
      <c r="H223" s="683">
        <v>0.001205824</v>
      </c>
      <c r="I223" s="684">
        <v>0.005516925</v>
      </c>
      <c r="K223" s="693" t="s">
        <v>42</v>
      </c>
      <c r="L223" s="694" t="s">
        <v>944</v>
      </c>
      <c r="M223" s="694" t="s">
        <v>915</v>
      </c>
      <c r="N223" s="694" t="s">
        <v>926</v>
      </c>
      <c r="O223" s="694">
        <v>2021.0</v>
      </c>
      <c r="P223" s="694" t="s">
        <v>919</v>
      </c>
      <c r="Q223" s="695" t="s">
        <v>112</v>
      </c>
      <c r="R223" s="696">
        <v>184.6330508</v>
      </c>
      <c r="S223" s="696">
        <v>134.1232049</v>
      </c>
      <c r="T223" s="697">
        <v>252.2249229</v>
      </c>
      <c r="AB223" s="722"/>
      <c r="AF223" s="669"/>
    </row>
    <row r="224">
      <c r="A224" s="675"/>
      <c r="B224" s="681" t="s">
        <v>30</v>
      </c>
      <c r="C224" s="682" t="s">
        <v>915</v>
      </c>
      <c r="D224" s="682" t="s">
        <v>916</v>
      </c>
      <c r="E224" s="682" t="s">
        <v>944</v>
      </c>
      <c r="F224" s="682">
        <v>2021.0</v>
      </c>
      <c r="G224" s="683">
        <v>0.003693331</v>
      </c>
      <c r="H224" s="683">
        <v>0.001630453</v>
      </c>
      <c r="I224" s="684">
        <v>0.00691882</v>
      </c>
      <c r="K224" s="693" t="s">
        <v>44</v>
      </c>
      <c r="L224" s="694" t="s">
        <v>944</v>
      </c>
      <c r="M224" s="694" t="s">
        <v>915</v>
      </c>
      <c r="N224" s="694" t="s">
        <v>918</v>
      </c>
      <c r="O224" s="694">
        <v>2021.0</v>
      </c>
      <c r="P224" s="694" t="s">
        <v>919</v>
      </c>
      <c r="Q224" s="695" t="s">
        <v>112</v>
      </c>
      <c r="R224" s="696">
        <v>923.7504163</v>
      </c>
      <c r="S224" s="696">
        <v>576.2245212</v>
      </c>
      <c r="T224" s="697">
        <v>1381.749618</v>
      </c>
      <c r="AB224" s="722"/>
      <c r="AF224" s="669"/>
    </row>
    <row r="225">
      <c r="A225" s="675"/>
      <c r="B225" s="681" t="s">
        <v>30</v>
      </c>
      <c r="C225" s="682" t="s">
        <v>915</v>
      </c>
      <c r="D225" s="682" t="s">
        <v>922</v>
      </c>
      <c r="E225" s="682" t="s">
        <v>944</v>
      </c>
      <c r="F225" s="682">
        <v>2021.0</v>
      </c>
      <c r="G225" s="683">
        <v>0.025191224</v>
      </c>
      <c r="H225" s="683">
        <v>0.011631168</v>
      </c>
      <c r="I225" s="684">
        <v>0.045202505</v>
      </c>
      <c r="K225" s="693" t="s">
        <v>44</v>
      </c>
      <c r="L225" s="694" t="s">
        <v>944</v>
      </c>
      <c r="M225" s="694" t="s">
        <v>915</v>
      </c>
      <c r="N225" s="694" t="s">
        <v>923</v>
      </c>
      <c r="O225" s="694">
        <v>2021.0</v>
      </c>
      <c r="P225" s="694" t="s">
        <v>919</v>
      </c>
      <c r="Q225" s="695" t="s">
        <v>112</v>
      </c>
      <c r="R225" s="696">
        <v>104.8980371</v>
      </c>
      <c r="S225" s="696">
        <v>65.61653366</v>
      </c>
      <c r="T225" s="697">
        <v>160.1931937</v>
      </c>
      <c r="AB225" s="722"/>
      <c r="AF225" s="669"/>
    </row>
    <row r="226">
      <c r="A226" s="675"/>
      <c r="B226" s="681" t="s">
        <v>30</v>
      </c>
      <c r="C226" s="682" t="s">
        <v>915</v>
      </c>
      <c r="D226" s="682" t="s">
        <v>924</v>
      </c>
      <c r="E226" s="682" t="s">
        <v>944</v>
      </c>
      <c r="F226" s="682">
        <v>2021.0</v>
      </c>
      <c r="G226" s="683">
        <v>8.97047E-4</v>
      </c>
      <c r="H226" s="683">
        <v>3.74105E-4</v>
      </c>
      <c r="I226" s="684">
        <v>0.001590644</v>
      </c>
      <c r="K226" s="693" t="s">
        <v>44</v>
      </c>
      <c r="L226" s="694" t="s">
        <v>944</v>
      </c>
      <c r="M226" s="694" t="s">
        <v>915</v>
      </c>
      <c r="N226" s="694" t="s">
        <v>925</v>
      </c>
      <c r="O226" s="694">
        <v>2021.0</v>
      </c>
      <c r="P226" s="694" t="s">
        <v>919</v>
      </c>
      <c r="Q226" s="695" t="s">
        <v>112</v>
      </c>
      <c r="R226" s="696">
        <v>136.1277978</v>
      </c>
      <c r="S226" s="696">
        <v>98.54584268</v>
      </c>
      <c r="T226" s="697">
        <v>196.0214708</v>
      </c>
      <c r="AB226" s="722"/>
      <c r="AF226" s="669"/>
    </row>
    <row r="227">
      <c r="A227" s="675"/>
      <c r="B227" s="681" t="s">
        <v>30</v>
      </c>
      <c r="C227" s="682" t="s">
        <v>915</v>
      </c>
      <c r="D227" s="682" t="s">
        <v>926</v>
      </c>
      <c r="E227" s="682" t="s">
        <v>944</v>
      </c>
      <c r="F227" s="682">
        <v>2021.0</v>
      </c>
      <c r="G227" s="683">
        <v>0.023778119</v>
      </c>
      <c r="H227" s="683">
        <v>0.014758405</v>
      </c>
      <c r="I227" s="684">
        <v>0.034549635</v>
      </c>
      <c r="K227" s="693" t="s">
        <v>44</v>
      </c>
      <c r="L227" s="694" t="s">
        <v>944</v>
      </c>
      <c r="M227" s="694" t="s">
        <v>915</v>
      </c>
      <c r="N227" s="694" t="s">
        <v>927</v>
      </c>
      <c r="O227" s="694">
        <v>2021.0</v>
      </c>
      <c r="P227" s="694" t="s">
        <v>919</v>
      </c>
      <c r="Q227" s="695" t="s">
        <v>112</v>
      </c>
      <c r="R227" s="696">
        <v>2404.995029</v>
      </c>
      <c r="S227" s="696">
        <v>1788.138613</v>
      </c>
      <c r="T227" s="697">
        <v>3305.424808</v>
      </c>
      <c r="AB227" s="722"/>
      <c r="AF227" s="669"/>
    </row>
    <row r="228">
      <c r="A228" s="675"/>
      <c r="B228" s="681" t="s">
        <v>31</v>
      </c>
      <c r="C228" s="682" t="s">
        <v>915</v>
      </c>
      <c r="D228" s="682" t="s">
        <v>916</v>
      </c>
      <c r="E228" s="682" t="s">
        <v>944</v>
      </c>
      <c r="F228" s="682">
        <v>2021.0</v>
      </c>
      <c r="G228" s="683">
        <v>0.001387744</v>
      </c>
      <c r="H228" s="683">
        <v>5.92541E-4</v>
      </c>
      <c r="I228" s="684">
        <v>0.00262734</v>
      </c>
      <c r="K228" s="693" t="s">
        <v>44</v>
      </c>
      <c r="L228" s="694" t="s">
        <v>944</v>
      </c>
      <c r="M228" s="694" t="s">
        <v>915</v>
      </c>
      <c r="N228" s="694" t="s">
        <v>926</v>
      </c>
      <c r="O228" s="694">
        <v>2021.0</v>
      </c>
      <c r="P228" s="694" t="s">
        <v>919</v>
      </c>
      <c r="Q228" s="695" t="s">
        <v>112</v>
      </c>
      <c r="R228" s="696">
        <v>3569.77128</v>
      </c>
      <c r="S228" s="696">
        <v>2598.3749</v>
      </c>
      <c r="T228" s="697">
        <v>4965.320229</v>
      </c>
      <c r="AB228" s="722"/>
      <c r="AF228" s="669"/>
    </row>
    <row r="229">
      <c r="A229" s="675"/>
      <c r="B229" s="681" t="s">
        <v>31</v>
      </c>
      <c r="C229" s="682" t="s">
        <v>915</v>
      </c>
      <c r="D229" s="682" t="s">
        <v>922</v>
      </c>
      <c r="E229" s="682" t="s">
        <v>944</v>
      </c>
      <c r="F229" s="682">
        <v>2021.0</v>
      </c>
      <c r="G229" s="683">
        <v>0.009476781</v>
      </c>
      <c r="H229" s="683">
        <v>0.004614856</v>
      </c>
      <c r="I229" s="684">
        <v>0.016628238</v>
      </c>
      <c r="K229" s="693" t="s">
        <v>45</v>
      </c>
      <c r="L229" s="694" t="s">
        <v>944</v>
      </c>
      <c r="M229" s="694" t="s">
        <v>915</v>
      </c>
      <c r="N229" s="694" t="s">
        <v>918</v>
      </c>
      <c r="O229" s="694">
        <v>2021.0</v>
      </c>
      <c r="P229" s="694" t="s">
        <v>919</v>
      </c>
      <c r="Q229" s="695" t="s">
        <v>112</v>
      </c>
      <c r="R229" s="696">
        <v>540.7739729</v>
      </c>
      <c r="S229" s="696">
        <v>307.7620676</v>
      </c>
      <c r="T229" s="697">
        <v>874.6717563</v>
      </c>
      <c r="AB229" s="722"/>
      <c r="AF229" s="669"/>
    </row>
    <row r="230">
      <c r="A230" s="675"/>
      <c r="B230" s="681" t="s">
        <v>31</v>
      </c>
      <c r="C230" s="682" t="s">
        <v>915</v>
      </c>
      <c r="D230" s="682" t="s">
        <v>924</v>
      </c>
      <c r="E230" s="682" t="s">
        <v>944</v>
      </c>
      <c r="F230" s="682">
        <v>2021.0</v>
      </c>
      <c r="G230" s="683">
        <v>3.36525E-4</v>
      </c>
      <c r="H230" s="683">
        <v>1.40243E-4</v>
      </c>
      <c r="I230" s="684">
        <v>6.01068E-4</v>
      </c>
      <c r="K230" s="693" t="s">
        <v>45</v>
      </c>
      <c r="L230" s="694" t="s">
        <v>944</v>
      </c>
      <c r="M230" s="694" t="s">
        <v>915</v>
      </c>
      <c r="N230" s="694" t="s">
        <v>923</v>
      </c>
      <c r="O230" s="694">
        <v>2021.0</v>
      </c>
      <c r="P230" s="694" t="s">
        <v>919</v>
      </c>
      <c r="Q230" s="695" t="s">
        <v>112</v>
      </c>
      <c r="R230" s="696">
        <v>45.61202369</v>
      </c>
      <c r="S230" s="696">
        <v>28.64791012</v>
      </c>
      <c r="T230" s="697">
        <v>69.71062321</v>
      </c>
      <c r="AB230" s="722"/>
      <c r="AF230" s="669"/>
    </row>
    <row r="231">
      <c r="A231" s="675"/>
      <c r="B231" s="681" t="s">
        <v>31</v>
      </c>
      <c r="C231" s="682" t="s">
        <v>915</v>
      </c>
      <c r="D231" s="682" t="s">
        <v>926</v>
      </c>
      <c r="E231" s="682" t="s">
        <v>944</v>
      </c>
      <c r="F231" s="682">
        <v>2021.0</v>
      </c>
      <c r="G231" s="683">
        <v>0.01066086</v>
      </c>
      <c r="H231" s="683">
        <v>0.006407229</v>
      </c>
      <c r="I231" s="684">
        <v>0.017290162</v>
      </c>
      <c r="K231" s="693" t="s">
        <v>45</v>
      </c>
      <c r="L231" s="694" t="s">
        <v>944</v>
      </c>
      <c r="M231" s="694" t="s">
        <v>915</v>
      </c>
      <c r="N231" s="694" t="s">
        <v>925</v>
      </c>
      <c r="O231" s="694">
        <v>2021.0</v>
      </c>
      <c r="P231" s="694" t="s">
        <v>919</v>
      </c>
      <c r="Q231" s="695" t="s">
        <v>112</v>
      </c>
      <c r="R231" s="696">
        <v>63.77770076</v>
      </c>
      <c r="S231" s="696">
        <v>46.05161157</v>
      </c>
      <c r="T231" s="697">
        <v>90.85675368</v>
      </c>
      <c r="AB231" s="722"/>
      <c r="AF231" s="669"/>
    </row>
    <row r="232">
      <c r="A232" s="675"/>
      <c r="B232" s="681" t="s">
        <v>32</v>
      </c>
      <c r="C232" s="682" t="s">
        <v>915</v>
      </c>
      <c r="D232" s="682" t="s">
        <v>916</v>
      </c>
      <c r="E232" s="682" t="s">
        <v>944</v>
      </c>
      <c r="F232" s="682">
        <v>2021.0</v>
      </c>
      <c r="G232" s="683">
        <v>0.002059414</v>
      </c>
      <c r="H232" s="683">
        <v>9.79258E-4</v>
      </c>
      <c r="I232" s="684">
        <v>0.003880203</v>
      </c>
      <c r="K232" s="693" t="s">
        <v>45</v>
      </c>
      <c r="L232" s="694" t="s">
        <v>944</v>
      </c>
      <c r="M232" s="694" t="s">
        <v>915</v>
      </c>
      <c r="N232" s="694" t="s">
        <v>927</v>
      </c>
      <c r="O232" s="694">
        <v>2021.0</v>
      </c>
      <c r="P232" s="694" t="s">
        <v>919</v>
      </c>
      <c r="Q232" s="695" t="s">
        <v>112</v>
      </c>
      <c r="R232" s="696">
        <v>998.6377026</v>
      </c>
      <c r="S232" s="696">
        <v>703.6392396</v>
      </c>
      <c r="T232" s="697">
        <v>1334.765387</v>
      </c>
      <c r="AB232" s="722"/>
      <c r="AF232" s="669"/>
    </row>
    <row r="233">
      <c r="A233" s="675"/>
      <c r="B233" s="681" t="s">
        <v>32</v>
      </c>
      <c r="C233" s="682" t="s">
        <v>915</v>
      </c>
      <c r="D233" s="682" t="s">
        <v>922</v>
      </c>
      <c r="E233" s="682" t="s">
        <v>944</v>
      </c>
      <c r="F233" s="682">
        <v>2021.0</v>
      </c>
      <c r="G233" s="683">
        <v>0.01495977</v>
      </c>
      <c r="H233" s="683">
        <v>0.007857231</v>
      </c>
      <c r="I233" s="684">
        <v>0.026931402</v>
      </c>
      <c r="K233" s="693" t="s">
        <v>45</v>
      </c>
      <c r="L233" s="694" t="s">
        <v>944</v>
      </c>
      <c r="M233" s="694" t="s">
        <v>915</v>
      </c>
      <c r="N233" s="694" t="s">
        <v>926</v>
      </c>
      <c r="O233" s="694">
        <v>2021.0</v>
      </c>
      <c r="P233" s="694" t="s">
        <v>919</v>
      </c>
      <c r="Q233" s="695" t="s">
        <v>112</v>
      </c>
      <c r="R233" s="696">
        <v>1648.8014</v>
      </c>
      <c r="S233" s="696">
        <v>1153.892984</v>
      </c>
      <c r="T233" s="697">
        <v>2287.162847</v>
      </c>
      <c r="AB233" s="722"/>
      <c r="AF233" s="669"/>
    </row>
    <row r="234">
      <c r="A234" s="675"/>
      <c r="B234" s="681" t="s">
        <v>32</v>
      </c>
      <c r="C234" s="682" t="s">
        <v>915</v>
      </c>
      <c r="D234" s="682" t="s">
        <v>924</v>
      </c>
      <c r="E234" s="682" t="s">
        <v>944</v>
      </c>
      <c r="F234" s="682">
        <v>2021.0</v>
      </c>
      <c r="G234" s="683">
        <v>6.38931E-4</v>
      </c>
      <c r="H234" s="683">
        <v>3.24432E-4</v>
      </c>
      <c r="I234" s="684">
        <v>0.001108926</v>
      </c>
      <c r="K234" s="693" t="s">
        <v>46</v>
      </c>
      <c r="L234" s="694" t="s">
        <v>944</v>
      </c>
      <c r="M234" s="694" t="s">
        <v>915</v>
      </c>
      <c r="N234" s="694" t="s">
        <v>918</v>
      </c>
      <c r="O234" s="694">
        <v>2021.0</v>
      </c>
      <c r="P234" s="694" t="s">
        <v>919</v>
      </c>
      <c r="Q234" s="695" t="s">
        <v>112</v>
      </c>
      <c r="R234" s="696">
        <v>101.75073</v>
      </c>
      <c r="S234" s="696">
        <v>50.11356175</v>
      </c>
      <c r="T234" s="697">
        <v>178.9712147</v>
      </c>
      <c r="AB234" s="722"/>
      <c r="AF234" s="669"/>
    </row>
    <row r="235">
      <c r="A235" s="675"/>
      <c r="B235" s="681" t="s">
        <v>32</v>
      </c>
      <c r="C235" s="682" t="s">
        <v>915</v>
      </c>
      <c r="D235" s="682" t="s">
        <v>926</v>
      </c>
      <c r="E235" s="682" t="s">
        <v>944</v>
      </c>
      <c r="F235" s="682">
        <v>2021.0</v>
      </c>
      <c r="G235" s="683">
        <v>0.019142781</v>
      </c>
      <c r="H235" s="683">
        <v>0.010941368</v>
      </c>
      <c r="I235" s="684">
        <v>0.031755163</v>
      </c>
      <c r="K235" s="693" t="s">
        <v>46</v>
      </c>
      <c r="L235" s="694" t="s">
        <v>944</v>
      </c>
      <c r="M235" s="694" t="s">
        <v>915</v>
      </c>
      <c r="N235" s="694" t="s">
        <v>923</v>
      </c>
      <c r="O235" s="694">
        <v>2021.0</v>
      </c>
      <c r="P235" s="694" t="s">
        <v>919</v>
      </c>
      <c r="Q235" s="695" t="s">
        <v>112</v>
      </c>
      <c r="R235" s="696">
        <v>7.940290724</v>
      </c>
      <c r="S235" s="696">
        <v>4.473850771</v>
      </c>
      <c r="T235" s="697">
        <v>13.28167432</v>
      </c>
      <c r="AB235" s="722"/>
      <c r="AF235" s="669"/>
    </row>
    <row r="236">
      <c r="A236" s="675"/>
      <c r="B236" s="681" t="s">
        <v>33</v>
      </c>
      <c r="C236" s="682" t="s">
        <v>915</v>
      </c>
      <c r="D236" s="682" t="s">
        <v>916</v>
      </c>
      <c r="E236" s="682" t="s">
        <v>944</v>
      </c>
      <c r="F236" s="682">
        <v>2021.0</v>
      </c>
      <c r="G236" s="683">
        <v>0.003840535</v>
      </c>
      <c r="H236" s="683">
        <v>0.001901747</v>
      </c>
      <c r="I236" s="684">
        <v>0.007300036</v>
      </c>
      <c r="K236" s="693" t="s">
        <v>46</v>
      </c>
      <c r="L236" s="694" t="s">
        <v>944</v>
      </c>
      <c r="M236" s="694" t="s">
        <v>915</v>
      </c>
      <c r="N236" s="694" t="s">
        <v>925</v>
      </c>
      <c r="O236" s="694">
        <v>2021.0</v>
      </c>
      <c r="P236" s="694" t="s">
        <v>919</v>
      </c>
      <c r="Q236" s="695" t="s">
        <v>112</v>
      </c>
      <c r="R236" s="696">
        <v>7.864694379</v>
      </c>
      <c r="S236" s="696">
        <v>3.960526172</v>
      </c>
      <c r="T236" s="697">
        <v>14.15079097</v>
      </c>
      <c r="AB236" s="722"/>
      <c r="AF236" s="669"/>
    </row>
    <row r="237">
      <c r="A237" s="675"/>
      <c r="B237" s="681" t="s">
        <v>33</v>
      </c>
      <c r="C237" s="682" t="s">
        <v>915</v>
      </c>
      <c r="D237" s="682" t="s">
        <v>922</v>
      </c>
      <c r="E237" s="682" t="s">
        <v>944</v>
      </c>
      <c r="F237" s="682">
        <v>2021.0</v>
      </c>
      <c r="G237" s="683">
        <v>0.026991937</v>
      </c>
      <c r="H237" s="683">
        <v>0.014722087</v>
      </c>
      <c r="I237" s="684">
        <v>0.049356914</v>
      </c>
      <c r="K237" s="693" t="s">
        <v>46</v>
      </c>
      <c r="L237" s="694" t="s">
        <v>944</v>
      </c>
      <c r="M237" s="694" t="s">
        <v>915</v>
      </c>
      <c r="N237" s="694" t="s">
        <v>927</v>
      </c>
      <c r="O237" s="694">
        <v>2021.0</v>
      </c>
      <c r="P237" s="694" t="s">
        <v>919</v>
      </c>
      <c r="Q237" s="695" t="s">
        <v>112</v>
      </c>
      <c r="R237" s="696">
        <v>171.1173182</v>
      </c>
      <c r="S237" s="696">
        <v>92.93318804</v>
      </c>
      <c r="T237" s="697">
        <v>287.5249433</v>
      </c>
      <c r="AB237" s="722"/>
      <c r="AF237" s="669"/>
    </row>
    <row r="238">
      <c r="A238" s="675"/>
      <c r="B238" s="681" t="s">
        <v>33</v>
      </c>
      <c r="C238" s="682" t="s">
        <v>915</v>
      </c>
      <c r="D238" s="682" t="s">
        <v>924</v>
      </c>
      <c r="E238" s="682" t="s">
        <v>944</v>
      </c>
      <c r="F238" s="682">
        <v>2021.0</v>
      </c>
      <c r="G238" s="683">
        <v>9.30212E-4</v>
      </c>
      <c r="H238" s="683">
        <v>4.61936E-4</v>
      </c>
      <c r="I238" s="684">
        <v>0.001633782</v>
      </c>
      <c r="K238" s="693" t="s">
        <v>46</v>
      </c>
      <c r="L238" s="694" t="s">
        <v>944</v>
      </c>
      <c r="M238" s="694" t="s">
        <v>915</v>
      </c>
      <c r="N238" s="694" t="s">
        <v>926</v>
      </c>
      <c r="O238" s="694">
        <v>2021.0</v>
      </c>
      <c r="P238" s="694" t="s">
        <v>919</v>
      </c>
      <c r="Q238" s="695" t="s">
        <v>112</v>
      </c>
      <c r="R238" s="696">
        <v>288.6730333</v>
      </c>
      <c r="S238" s="696">
        <v>155.3090055</v>
      </c>
      <c r="T238" s="697">
        <v>473.6267038</v>
      </c>
      <c r="AB238" s="722"/>
      <c r="AF238" s="669"/>
    </row>
    <row r="239">
      <c r="A239" s="675"/>
      <c r="B239" s="681" t="s">
        <v>33</v>
      </c>
      <c r="C239" s="682" t="s">
        <v>915</v>
      </c>
      <c r="D239" s="682" t="s">
        <v>926</v>
      </c>
      <c r="E239" s="682" t="s">
        <v>944</v>
      </c>
      <c r="F239" s="682">
        <v>2021.0</v>
      </c>
      <c r="G239" s="683">
        <v>0.020195653</v>
      </c>
      <c r="H239" s="683">
        <v>0.012409475</v>
      </c>
      <c r="I239" s="684">
        <v>0.029662918</v>
      </c>
      <c r="K239" s="693" t="s">
        <v>47</v>
      </c>
      <c r="L239" s="694" t="s">
        <v>944</v>
      </c>
      <c r="M239" s="694" t="s">
        <v>915</v>
      </c>
      <c r="N239" s="694" t="s">
        <v>918</v>
      </c>
      <c r="O239" s="694">
        <v>2021.0</v>
      </c>
      <c r="P239" s="694" t="s">
        <v>919</v>
      </c>
      <c r="Q239" s="695" t="s">
        <v>112</v>
      </c>
      <c r="R239" s="696">
        <v>193.5623118</v>
      </c>
      <c r="S239" s="696">
        <v>77.1060033</v>
      </c>
      <c r="T239" s="697">
        <v>409.4009894</v>
      </c>
      <c r="AB239" s="722"/>
      <c r="AF239" s="669"/>
    </row>
    <row r="240">
      <c r="A240" s="675"/>
      <c r="B240" s="681" t="s">
        <v>34</v>
      </c>
      <c r="C240" s="682" t="s">
        <v>915</v>
      </c>
      <c r="D240" s="682" t="s">
        <v>916</v>
      </c>
      <c r="E240" s="682" t="s">
        <v>944</v>
      </c>
      <c r="F240" s="682">
        <v>2021.0</v>
      </c>
      <c r="G240" s="683">
        <v>0.004186265</v>
      </c>
      <c r="H240" s="683">
        <v>0.002130778</v>
      </c>
      <c r="I240" s="684">
        <v>0.008081397</v>
      </c>
      <c r="K240" s="693" t="s">
        <v>47</v>
      </c>
      <c r="L240" s="694" t="s">
        <v>944</v>
      </c>
      <c r="M240" s="694" t="s">
        <v>915</v>
      </c>
      <c r="N240" s="694" t="s">
        <v>923</v>
      </c>
      <c r="O240" s="694">
        <v>2021.0</v>
      </c>
      <c r="P240" s="694" t="s">
        <v>919</v>
      </c>
      <c r="Q240" s="695" t="s">
        <v>112</v>
      </c>
      <c r="R240" s="696">
        <v>18.73477951</v>
      </c>
      <c r="S240" s="696">
        <v>10.15915368</v>
      </c>
      <c r="T240" s="697">
        <v>33.31276317</v>
      </c>
      <c r="AB240" s="722"/>
      <c r="AF240" s="669"/>
    </row>
    <row r="241">
      <c r="A241" s="675"/>
      <c r="B241" s="681" t="s">
        <v>34</v>
      </c>
      <c r="C241" s="682" t="s">
        <v>915</v>
      </c>
      <c r="D241" s="682" t="s">
        <v>922</v>
      </c>
      <c r="E241" s="682" t="s">
        <v>944</v>
      </c>
      <c r="F241" s="682">
        <v>2021.0</v>
      </c>
      <c r="G241" s="683">
        <v>0.035335125</v>
      </c>
      <c r="H241" s="683">
        <v>0.02012624</v>
      </c>
      <c r="I241" s="684">
        <v>0.065872301</v>
      </c>
      <c r="K241" s="693" t="s">
        <v>47</v>
      </c>
      <c r="L241" s="694" t="s">
        <v>944</v>
      </c>
      <c r="M241" s="694" t="s">
        <v>915</v>
      </c>
      <c r="N241" s="694" t="s">
        <v>925</v>
      </c>
      <c r="O241" s="694">
        <v>2021.0</v>
      </c>
      <c r="P241" s="694" t="s">
        <v>919</v>
      </c>
      <c r="Q241" s="695" t="s">
        <v>112</v>
      </c>
      <c r="R241" s="696">
        <v>20.68238466</v>
      </c>
      <c r="S241" s="696">
        <v>8.994989264</v>
      </c>
      <c r="T241" s="697">
        <v>45.34762474</v>
      </c>
      <c r="AB241" s="722"/>
      <c r="AF241" s="669"/>
    </row>
    <row r="242">
      <c r="A242" s="675"/>
      <c r="B242" s="681" t="s">
        <v>34</v>
      </c>
      <c r="C242" s="682" t="s">
        <v>915</v>
      </c>
      <c r="D242" s="682" t="s">
        <v>924</v>
      </c>
      <c r="E242" s="682" t="s">
        <v>944</v>
      </c>
      <c r="F242" s="682">
        <v>2021.0</v>
      </c>
      <c r="G242" s="683">
        <v>0.001073511</v>
      </c>
      <c r="H242" s="683">
        <v>5.44029E-4</v>
      </c>
      <c r="I242" s="684">
        <v>0.001946328</v>
      </c>
      <c r="K242" s="693" t="s">
        <v>47</v>
      </c>
      <c r="L242" s="694" t="s">
        <v>944</v>
      </c>
      <c r="M242" s="694" t="s">
        <v>915</v>
      </c>
      <c r="N242" s="694" t="s">
        <v>927</v>
      </c>
      <c r="O242" s="694">
        <v>2021.0</v>
      </c>
      <c r="P242" s="694" t="s">
        <v>919</v>
      </c>
      <c r="Q242" s="695" t="s">
        <v>112</v>
      </c>
      <c r="R242" s="696">
        <v>362.7439319</v>
      </c>
      <c r="S242" s="696">
        <v>167.4689633</v>
      </c>
      <c r="T242" s="697">
        <v>692.481271</v>
      </c>
      <c r="AB242" s="722"/>
      <c r="AF242" s="669"/>
    </row>
    <row r="243">
      <c r="A243" s="675"/>
      <c r="B243" s="681" t="s">
        <v>34</v>
      </c>
      <c r="C243" s="682" t="s">
        <v>915</v>
      </c>
      <c r="D243" s="682" t="s">
        <v>926</v>
      </c>
      <c r="E243" s="682" t="s">
        <v>944</v>
      </c>
      <c r="F243" s="682">
        <v>2021.0</v>
      </c>
      <c r="G243" s="683">
        <v>0.022145719</v>
      </c>
      <c r="H243" s="683">
        <v>0.014538568</v>
      </c>
      <c r="I243" s="684">
        <v>0.030791932</v>
      </c>
      <c r="K243" s="693" t="s">
        <v>47</v>
      </c>
      <c r="L243" s="694" t="s">
        <v>944</v>
      </c>
      <c r="M243" s="694" t="s">
        <v>915</v>
      </c>
      <c r="N243" s="694" t="s">
        <v>926</v>
      </c>
      <c r="O243" s="694">
        <v>2021.0</v>
      </c>
      <c r="P243" s="694" t="s">
        <v>919</v>
      </c>
      <c r="Q243" s="695" t="s">
        <v>112</v>
      </c>
      <c r="R243" s="696">
        <v>595.7234079</v>
      </c>
      <c r="S243" s="696">
        <v>286.5632105</v>
      </c>
      <c r="T243" s="697">
        <v>1109.341844</v>
      </c>
      <c r="AB243" s="722"/>
      <c r="AF243" s="669"/>
    </row>
    <row r="244">
      <c r="A244" s="675"/>
      <c r="B244" s="681" t="s">
        <v>54</v>
      </c>
      <c r="C244" s="682" t="s">
        <v>915</v>
      </c>
      <c r="D244" s="682" t="s">
        <v>916</v>
      </c>
      <c r="E244" s="682" t="s">
        <v>944</v>
      </c>
      <c r="F244" s="682">
        <v>2021.0</v>
      </c>
      <c r="G244" s="683">
        <v>0.001335379</v>
      </c>
      <c r="H244" s="683">
        <v>4.70924E-4</v>
      </c>
      <c r="I244" s="684">
        <v>0.002580037</v>
      </c>
      <c r="K244" s="693" t="s">
        <v>48</v>
      </c>
      <c r="L244" s="694" t="s">
        <v>944</v>
      </c>
      <c r="M244" s="694" t="s">
        <v>915</v>
      </c>
      <c r="N244" s="694" t="s">
        <v>918</v>
      </c>
      <c r="O244" s="694">
        <v>2021.0</v>
      </c>
      <c r="P244" s="694" t="s">
        <v>919</v>
      </c>
      <c r="Q244" s="695" t="s">
        <v>112</v>
      </c>
      <c r="R244" s="696">
        <v>236.1997184</v>
      </c>
      <c r="S244" s="696">
        <v>103.9627256</v>
      </c>
      <c r="T244" s="697">
        <v>438.9321523</v>
      </c>
      <c r="AB244" s="722"/>
      <c r="AF244" s="669"/>
    </row>
    <row r="245">
      <c r="A245" s="675"/>
      <c r="B245" s="681" t="s">
        <v>54</v>
      </c>
      <c r="C245" s="682" t="s">
        <v>915</v>
      </c>
      <c r="D245" s="682" t="s">
        <v>922</v>
      </c>
      <c r="E245" s="682" t="s">
        <v>944</v>
      </c>
      <c r="F245" s="682">
        <v>2021.0</v>
      </c>
      <c r="G245" s="683">
        <v>0.009759322</v>
      </c>
      <c r="H245" s="683">
        <v>0.004475253</v>
      </c>
      <c r="I245" s="684">
        <v>0.018106342</v>
      </c>
      <c r="K245" s="693" t="s">
        <v>48</v>
      </c>
      <c r="L245" s="694" t="s">
        <v>944</v>
      </c>
      <c r="M245" s="694" t="s">
        <v>915</v>
      </c>
      <c r="N245" s="694" t="s">
        <v>923</v>
      </c>
      <c r="O245" s="694">
        <v>2021.0</v>
      </c>
      <c r="P245" s="694" t="s">
        <v>919</v>
      </c>
      <c r="Q245" s="695" t="s">
        <v>112</v>
      </c>
      <c r="R245" s="696">
        <v>27.87589643</v>
      </c>
      <c r="S245" s="696">
        <v>14.70944365</v>
      </c>
      <c r="T245" s="697">
        <v>47.71358288</v>
      </c>
      <c r="AB245" s="722"/>
      <c r="AF245" s="669"/>
    </row>
    <row r="246">
      <c r="A246" s="675"/>
      <c r="B246" s="681" t="s">
        <v>54</v>
      </c>
      <c r="C246" s="682" t="s">
        <v>915</v>
      </c>
      <c r="D246" s="682" t="s">
        <v>924</v>
      </c>
      <c r="E246" s="682" t="s">
        <v>944</v>
      </c>
      <c r="F246" s="682">
        <v>2021.0</v>
      </c>
      <c r="G246" s="683">
        <v>2.20572E-4</v>
      </c>
      <c r="H246" s="683">
        <v>6.99E-5</v>
      </c>
      <c r="I246" s="684">
        <v>4.4562E-4</v>
      </c>
      <c r="K246" s="693" t="s">
        <v>48</v>
      </c>
      <c r="L246" s="694" t="s">
        <v>944</v>
      </c>
      <c r="M246" s="694" t="s">
        <v>915</v>
      </c>
      <c r="N246" s="694" t="s">
        <v>925</v>
      </c>
      <c r="O246" s="694">
        <v>2021.0</v>
      </c>
      <c r="P246" s="694" t="s">
        <v>919</v>
      </c>
      <c r="Q246" s="695" t="s">
        <v>112</v>
      </c>
      <c r="R246" s="696">
        <v>24.91145495</v>
      </c>
      <c r="S246" s="696">
        <v>12.8207637</v>
      </c>
      <c r="T246" s="697">
        <v>46.3556119</v>
      </c>
      <c r="AB246" s="722"/>
      <c r="AF246" s="669"/>
    </row>
    <row r="247">
      <c r="A247" s="675"/>
      <c r="B247" s="681" t="s">
        <v>54</v>
      </c>
      <c r="C247" s="682" t="s">
        <v>915</v>
      </c>
      <c r="D247" s="682" t="s">
        <v>926</v>
      </c>
      <c r="E247" s="682" t="s">
        <v>944</v>
      </c>
      <c r="F247" s="682">
        <v>2021.0</v>
      </c>
      <c r="G247" s="683">
        <v>0.003592045</v>
      </c>
      <c r="H247" s="683">
        <v>0.001831537</v>
      </c>
      <c r="I247" s="684">
        <v>0.006027864</v>
      </c>
      <c r="K247" s="693" t="s">
        <v>48</v>
      </c>
      <c r="L247" s="694" t="s">
        <v>944</v>
      </c>
      <c r="M247" s="694" t="s">
        <v>915</v>
      </c>
      <c r="N247" s="694" t="s">
        <v>927</v>
      </c>
      <c r="O247" s="694">
        <v>2021.0</v>
      </c>
      <c r="P247" s="694" t="s">
        <v>919</v>
      </c>
      <c r="Q247" s="695" t="s">
        <v>112</v>
      </c>
      <c r="R247" s="696">
        <v>539.3413898</v>
      </c>
      <c r="S247" s="696">
        <v>291.8538436</v>
      </c>
      <c r="T247" s="697">
        <v>879.6690753</v>
      </c>
      <c r="AB247" s="722"/>
      <c r="AF247" s="669"/>
    </row>
    <row r="248">
      <c r="A248" s="675"/>
      <c r="B248" s="681" t="s">
        <v>55</v>
      </c>
      <c r="C248" s="682" t="s">
        <v>915</v>
      </c>
      <c r="D248" s="682" t="s">
        <v>916</v>
      </c>
      <c r="E248" s="682" t="s">
        <v>944</v>
      </c>
      <c r="F248" s="682">
        <v>2021.0</v>
      </c>
      <c r="G248" s="683">
        <v>0.001365595</v>
      </c>
      <c r="H248" s="683">
        <v>4.93209E-4</v>
      </c>
      <c r="I248" s="684">
        <v>0.002676195</v>
      </c>
      <c r="K248" s="693" t="s">
        <v>48</v>
      </c>
      <c r="L248" s="694" t="s">
        <v>944</v>
      </c>
      <c r="M248" s="694" t="s">
        <v>915</v>
      </c>
      <c r="N248" s="694" t="s">
        <v>926</v>
      </c>
      <c r="O248" s="694">
        <v>2021.0</v>
      </c>
      <c r="P248" s="694" t="s">
        <v>919</v>
      </c>
      <c r="Q248" s="695" t="s">
        <v>112</v>
      </c>
      <c r="R248" s="696">
        <v>828.3284596</v>
      </c>
      <c r="S248" s="696">
        <v>436.1070336</v>
      </c>
      <c r="T248" s="697">
        <v>1344.576548</v>
      </c>
      <c r="AB248" s="722"/>
      <c r="AF248" s="669"/>
    </row>
    <row r="249">
      <c r="A249" s="675"/>
      <c r="B249" s="681" t="s">
        <v>55</v>
      </c>
      <c r="C249" s="682" t="s">
        <v>915</v>
      </c>
      <c r="D249" s="682" t="s">
        <v>922</v>
      </c>
      <c r="E249" s="682" t="s">
        <v>944</v>
      </c>
      <c r="F249" s="682">
        <v>2021.0</v>
      </c>
      <c r="G249" s="683">
        <v>0.008120277</v>
      </c>
      <c r="H249" s="683">
        <v>0.003259531</v>
      </c>
      <c r="I249" s="684">
        <v>0.015379556</v>
      </c>
      <c r="K249" s="693" t="s">
        <v>49</v>
      </c>
      <c r="L249" s="694" t="s">
        <v>944</v>
      </c>
      <c r="M249" s="694" t="s">
        <v>915</v>
      </c>
      <c r="N249" s="694" t="s">
        <v>918</v>
      </c>
      <c r="O249" s="694">
        <v>2021.0</v>
      </c>
      <c r="P249" s="694" t="s">
        <v>919</v>
      </c>
      <c r="Q249" s="695" t="s">
        <v>112</v>
      </c>
      <c r="R249" s="696">
        <v>233.8117424</v>
      </c>
      <c r="S249" s="696">
        <v>106.6917351</v>
      </c>
      <c r="T249" s="697">
        <v>517.8141477</v>
      </c>
      <c r="AB249" s="722"/>
      <c r="AF249" s="669"/>
    </row>
    <row r="250">
      <c r="A250" s="675"/>
      <c r="B250" s="681" t="s">
        <v>55</v>
      </c>
      <c r="C250" s="682" t="s">
        <v>915</v>
      </c>
      <c r="D250" s="682" t="s">
        <v>924</v>
      </c>
      <c r="E250" s="682" t="s">
        <v>944</v>
      </c>
      <c r="F250" s="682">
        <v>2021.0</v>
      </c>
      <c r="G250" s="683">
        <v>1.88882E-4</v>
      </c>
      <c r="H250" s="683">
        <v>5.42E-5</v>
      </c>
      <c r="I250" s="684">
        <v>3.85012E-4</v>
      </c>
      <c r="K250" s="693" t="s">
        <v>49</v>
      </c>
      <c r="L250" s="694" t="s">
        <v>944</v>
      </c>
      <c r="M250" s="694" t="s">
        <v>915</v>
      </c>
      <c r="N250" s="694" t="s">
        <v>923</v>
      </c>
      <c r="O250" s="694">
        <v>2021.0</v>
      </c>
      <c r="P250" s="694" t="s">
        <v>919</v>
      </c>
      <c r="Q250" s="695" t="s">
        <v>112</v>
      </c>
      <c r="R250" s="696">
        <v>12.3771459</v>
      </c>
      <c r="S250" s="696">
        <v>6.668763737</v>
      </c>
      <c r="T250" s="697">
        <v>21.81858798</v>
      </c>
      <c r="AB250" s="722"/>
      <c r="AF250" s="669"/>
    </row>
    <row r="251">
      <c r="A251" s="675"/>
      <c r="B251" s="681" t="s">
        <v>55</v>
      </c>
      <c r="C251" s="682" t="s">
        <v>915</v>
      </c>
      <c r="D251" s="682" t="s">
        <v>926</v>
      </c>
      <c r="E251" s="682" t="s">
        <v>944</v>
      </c>
      <c r="F251" s="682">
        <v>2021.0</v>
      </c>
      <c r="G251" s="683">
        <v>0.002748778</v>
      </c>
      <c r="H251" s="683">
        <v>0.0014529</v>
      </c>
      <c r="I251" s="684">
        <v>0.00479396</v>
      </c>
      <c r="K251" s="693" t="s">
        <v>49</v>
      </c>
      <c r="L251" s="694" t="s">
        <v>944</v>
      </c>
      <c r="M251" s="694" t="s">
        <v>915</v>
      </c>
      <c r="N251" s="694" t="s">
        <v>925</v>
      </c>
      <c r="O251" s="694">
        <v>2021.0</v>
      </c>
      <c r="P251" s="694" t="s">
        <v>919</v>
      </c>
      <c r="Q251" s="695" t="s">
        <v>112</v>
      </c>
      <c r="R251" s="696">
        <v>12.00700166</v>
      </c>
      <c r="S251" s="696">
        <v>4.847296853</v>
      </c>
      <c r="T251" s="697">
        <v>27.37824055</v>
      </c>
      <c r="AB251" s="722"/>
      <c r="AF251" s="669"/>
    </row>
    <row r="252">
      <c r="A252" s="675"/>
      <c r="B252" s="681" t="s">
        <v>56</v>
      </c>
      <c r="C252" s="682" t="s">
        <v>915</v>
      </c>
      <c r="D252" s="682" t="s">
        <v>916</v>
      </c>
      <c r="E252" s="682" t="s">
        <v>944</v>
      </c>
      <c r="F252" s="682">
        <v>2021.0</v>
      </c>
      <c r="G252" s="683">
        <v>4.35125E-4</v>
      </c>
      <c r="H252" s="683">
        <v>1.38466E-4</v>
      </c>
      <c r="I252" s="684">
        <v>9.02471E-4</v>
      </c>
      <c r="K252" s="693" t="s">
        <v>49</v>
      </c>
      <c r="L252" s="694" t="s">
        <v>944</v>
      </c>
      <c r="M252" s="694" t="s">
        <v>915</v>
      </c>
      <c r="N252" s="694" t="s">
        <v>927</v>
      </c>
      <c r="O252" s="694">
        <v>2021.0</v>
      </c>
      <c r="P252" s="694" t="s">
        <v>919</v>
      </c>
      <c r="Q252" s="695" t="s">
        <v>112</v>
      </c>
      <c r="R252" s="696">
        <v>185.2863493</v>
      </c>
      <c r="S252" s="696">
        <v>68.40961283</v>
      </c>
      <c r="T252" s="697">
        <v>416.8052805</v>
      </c>
      <c r="AB252" s="722"/>
      <c r="AF252" s="669"/>
    </row>
    <row r="253">
      <c r="A253" s="675"/>
      <c r="B253" s="681" t="s">
        <v>56</v>
      </c>
      <c r="C253" s="682" t="s">
        <v>915</v>
      </c>
      <c r="D253" s="682" t="s">
        <v>922</v>
      </c>
      <c r="E253" s="682" t="s">
        <v>944</v>
      </c>
      <c r="F253" s="682">
        <v>2021.0</v>
      </c>
      <c r="G253" s="683">
        <v>0.002439656</v>
      </c>
      <c r="H253" s="683">
        <v>8.81132E-4</v>
      </c>
      <c r="I253" s="684">
        <v>0.004652932</v>
      </c>
      <c r="K253" s="693" t="s">
        <v>49</v>
      </c>
      <c r="L253" s="694" t="s">
        <v>944</v>
      </c>
      <c r="M253" s="694" t="s">
        <v>915</v>
      </c>
      <c r="N253" s="694" t="s">
        <v>926</v>
      </c>
      <c r="O253" s="694">
        <v>2021.0</v>
      </c>
      <c r="P253" s="694" t="s">
        <v>919</v>
      </c>
      <c r="Q253" s="695" t="s">
        <v>112</v>
      </c>
      <c r="R253" s="696">
        <v>443.4822393</v>
      </c>
      <c r="S253" s="696">
        <v>204.7683778</v>
      </c>
      <c r="T253" s="697">
        <v>899.3816559</v>
      </c>
      <c r="AB253" s="722"/>
      <c r="AF253" s="669"/>
    </row>
    <row r="254">
      <c r="A254" s="675"/>
      <c r="B254" s="681" t="s">
        <v>56</v>
      </c>
      <c r="C254" s="682" t="s">
        <v>915</v>
      </c>
      <c r="D254" s="682" t="s">
        <v>924</v>
      </c>
      <c r="E254" s="682" t="s">
        <v>944</v>
      </c>
      <c r="F254" s="682">
        <v>2021.0</v>
      </c>
      <c r="G254" s="683">
        <v>7.57E-5</v>
      </c>
      <c r="H254" s="683">
        <v>2.28E-5</v>
      </c>
      <c r="I254" s="684">
        <v>1.56494E-4</v>
      </c>
      <c r="K254" s="693" t="s">
        <v>50</v>
      </c>
      <c r="L254" s="694" t="s">
        <v>944</v>
      </c>
      <c r="M254" s="694" t="s">
        <v>915</v>
      </c>
      <c r="N254" s="694" t="s">
        <v>918</v>
      </c>
      <c r="O254" s="694">
        <v>2021.0</v>
      </c>
      <c r="P254" s="694" t="s">
        <v>919</v>
      </c>
      <c r="Q254" s="695" t="s">
        <v>112</v>
      </c>
      <c r="R254" s="696">
        <v>74.50548188</v>
      </c>
      <c r="S254" s="696">
        <v>28.65933687</v>
      </c>
      <c r="T254" s="697">
        <v>153.3179231</v>
      </c>
      <c r="AB254" s="722"/>
      <c r="AF254" s="669"/>
    </row>
    <row r="255">
      <c r="A255" s="675"/>
      <c r="B255" s="681" t="s">
        <v>56</v>
      </c>
      <c r="C255" s="682" t="s">
        <v>915</v>
      </c>
      <c r="D255" s="682" t="s">
        <v>926</v>
      </c>
      <c r="E255" s="682" t="s">
        <v>944</v>
      </c>
      <c r="F255" s="682">
        <v>2021.0</v>
      </c>
      <c r="G255" s="683">
        <v>0.002528933</v>
      </c>
      <c r="H255" s="683">
        <v>0.00114388</v>
      </c>
      <c r="I255" s="684">
        <v>0.005374772</v>
      </c>
      <c r="K255" s="693" t="s">
        <v>50</v>
      </c>
      <c r="L255" s="694" t="s">
        <v>944</v>
      </c>
      <c r="M255" s="694" t="s">
        <v>915</v>
      </c>
      <c r="N255" s="694" t="s">
        <v>923</v>
      </c>
      <c r="O255" s="694">
        <v>2021.0</v>
      </c>
      <c r="P255" s="694" t="s">
        <v>919</v>
      </c>
      <c r="Q255" s="695" t="s">
        <v>112</v>
      </c>
      <c r="R255" s="696">
        <v>6.997506342</v>
      </c>
      <c r="S255" s="696">
        <v>3.463230932</v>
      </c>
      <c r="T255" s="697">
        <v>12.25005397</v>
      </c>
      <c r="AB255" s="722"/>
      <c r="AF255" s="669"/>
    </row>
    <row r="256">
      <c r="A256" s="675"/>
      <c r="B256" s="681" t="s">
        <v>57</v>
      </c>
      <c r="C256" s="682" t="s">
        <v>915</v>
      </c>
      <c r="D256" s="682" t="s">
        <v>916</v>
      </c>
      <c r="E256" s="682" t="s">
        <v>944</v>
      </c>
      <c r="F256" s="682">
        <v>2021.0</v>
      </c>
      <c r="G256" s="683">
        <v>0.00190647</v>
      </c>
      <c r="H256" s="683">
        <v>8.44715E-4</v>
      </c>
      <c r="I256" s="684">
        <v>0.003537083</v>
      </c>
      <c r="K256" s="693" t="s">
        <v>50</v>
      </c>
      <c r="L256" s="694" t="s">
        <v>944</v>
      </c>
      <c r="M256" s="694" t="s">
        <v>915</v>
      </c>
      <c r="N256" s="694" t="s">
        <v>925</v>
      </c>
      <c r="O256" s="694">
        <v>2021.0</v>
      </c>
      <c r="P256" s="694" t="s">
        <v>919</v>
      </c>
      <c r="Q256" s="695" t="s">
        <v>112</v>
      </c>
      <c r="R256" s="696">
        <v>5.301157227</v>
      </c>
      <c r="S256" s="696">
        <v>2.150165761</v>
      </c>
      <c r="T256" s="697">
        <v>11.21589005</v>
      </c>
      <c r="AB256" s="722"/>
      <c r="AF256" s="669"/>
    </row>
    <row r="257">
      <c r="A257" s="675"/>
      <c r="B257" s="681" t="s">
        <v>57</v>
      </c>
      <c r="C257" s="682" t="s">
        <v>915</v>
      </c>
      <c r="D257" s="682" t="s">
        <v>922</v>
      </c>
      <c r="E257" s="682" t="s">
        <v>944</v>
      </c>
      <c r="F257" s="682">
        <v>2021.0</v>
      </c>
      <c r="G257" s="683">
        <v>0.00992103</v>
      </c>
      <c r="H257" s="683">
        <v>0.00502596</v>
      </c>
      <c r="I257" s="684">
        <v>0.017823451</v>
      </c>
      <c r="K257" s="693" t="s">
        <v>50</v>
      </c>
      <c r="L257" s="694" t="s">
        <v>944</v>
      </c>
      <c r="M257" s="694" t="s">
        <v>915</v>
      </c>
      <c r="N257" s="694" t="s">
        <v>927</v>
      </c>
      <c r="O257" s="694">
        <v>2021.0</v>
      </c>
      <c r="P257" s="694" t="s">
        <v>919</v>
      </c>
      <c r="Q257" s="695" t="s">
        <v>112</v>
      </c>
      <c r="R257" s="696">
        <v>100.2496916</v>
      </c>
      <c r="S257" s="696">
        <v>40.51569573</v>
      </c>
      <c r="T257" s="697">
        <v>196.8315786</v>
      </c>
      <c r="AB257" s="722"/>
      <c r="AF257" s="669"/>
    </row>
    <row r="258">
      <c r="A258" s="675"/>
      <c r="B258" s="681" t="s">
        <v>57</v>
      </c>
      <c r="C258" s="682" t="s">
        <v>915</v>
      </c>
      <c r="D258" s="682" t="s">
        <v>924</v>
      </c>
      <c r="E258" s="682" t="s">
        <v>944</v>
      </c>
      <c r="F258" s="682">
        <v>2021.0</v>
      </c>
      <c r="G258" s="683">
        <v>3.65466E-4</v>
      </c>
      <c r="H258" s="683">
        <v>1.53424E-4</v>
      </c>
      <c r="I258" s="684">
        <v>6.5197E-4</v>
      </c>
      <c r="K258" s="693" t="s">
        <v>50</v>
      </c>
      <c r="L258" s="694" t="s">
        <v>944</v>
      </c>
      <c r="M258" s="694" t="s">
        <v>915</v>
      </c>
      <c r="N258" s="694" t="s">
        <v>926</v>
      </c>
      <c r="O258" s="694">
        <v>2021.0</v>
      </c>
      <c r="P258" s="694" t="s">
        <v>919</v>
      </c>
      <c r="Q258" s="695" t="s">
        <v>112</v>
      </c>
      <c r="R258" s="696">
        <v>187.053837</v>
      </c>
      <c r="S258" s="696">
        <v>84.12520525</v>
      </c>
      <c r="T258" s="697">
        <v>355.2822122</v>
      </c>
      <c r="AB258" s="722"/>
      <c r="AF258" s="669"/>
    </row>
    <row r="259">
      <c r="A259" s="675"/>
      <c r="B259" s="681" t="s">
        <v>57</v>
      </c>
      <c r="C259" s="682" t="s">
        <v>915</v>
      </c>
      <c r="D259" s="682" t="s">
        <v>926</v>
      </c>
      <c r="E259" s="682" t="s">
        <v>944</v>
      </c>
      <c r="F259" s="682">
        <v>2021.0</v>
      </c>
      <c r="G259" s="683">
        <v>0.006564346</v>
      </c>
      <c r="H259" s="683">
        <v>0.003887666</v>
      </c>
      <c r="I259" s="684">
        <v>0.010094317</v>
      </c>
      <c r="K259" s="693" t="s">
        <v>51</v>
      </c>
      <c r="L259" s="694" t="s">
        <v>944</v>
      </c>
      <c r="M259" s="694" t="s">
        <v>915</v>
      </c>
      <c r="N259" s="694" t="s">
        <v>918</v>
      </c>
      <c r="O259" s="694">
        <v>2021.0</v>
      </c>
      <c r="P259" s="694" t="s">
        <v>919</v>
      </c>
      <c r="Q259" s="695" t="s">
        <v>112</v>
      </c>
      <c r="R259" s="696">
        <v>120.4548864</v>
      </c>
      <c r="S259" s="696">
        <v>45.60721665</v>
      </c>
      <c r="T259" s="697">
        <v>254.511179</v>
      </c>
      <c r="AB259" s="722"/>
      <c r="AF259" s="669"/>
    </row>
    <row r="260">
      <c r="A260" s="675"/>
      <c r="B260" s="681" t="s">
        <v>58</v>
      </c>
      <c r="C260" s="682" t="s">
        <v>915</v>
      </c>
      <c r="D260" s="682" t="s">
        <v>916</v>
      </c>
      <c r="E260" s="682" t="s">
        <v>944</v>
      </c>
      <c r="F260" s="682">
        <v>2021.0</v>
      </c>
      <c r="G260" s="683">
        <v>0.002810532</v>
      </c>
      <c r="H260" s="683">
        <v>0.001289866</v>
      </c>
      <c r="I260" s="684">
        <v>0.005489743</v>
      </c>
      <c r="K260" s="693" t="s">
        <v>51</v>
      </c>
      <c r="L260" s="694" t="s">
        <v>944</v>
      </c>
      <c r="M260" s="694" t="s">
        <v>915</v>
      </c>
      <c r="N260" s="694" t="s">
        <v>923</v>
      </c>
      <c r="O260" s="694">
        <v>2021.0</v>
      </c>
      <c r="P260" s="694" t="s">
        <v>919</v>
      </c>
      <c r="Q260" s="695" t="s">
        <v>112</v>
      </c>
      <c r="R260" s="696">
        <v>11.9632909</v>
      </c>
      <c r="S260" s="696">
        <v>6.479139225</v>
      </c>
      <c r="T260" s="697">
        <v>20.84975245</v>
      </c>
      <c r="AB260" s="722"/>
      <c r="AF260" s="669"/>
    </row>
    <row r="261">
      <c r="A261" s="675"/>
      <c r="B261" s="681" t="s">
        <v>58</v>
      </c>
      <c r="C261" s="682" t="s">
        <v>915</v>
      </c>
      <c r="D261" s="682" t="s">
        <v>922</v>
      </c>
      <c r="E261" s="682" t="s">
        <v>944</v>
      </c>
      <c r="F261" s="682">
        <v>2021.0</v>
      </c>
      <c r="G261" s="683">
        <v>0.019015231</v>
      </c>
      <c r="H261" s="683">
        <v>0.009850699</v>
      </c>
      <c r="I261" s="684">
        <v>0.035150433</v>
      </c>
      <c r="K261" s="693" t="s">
        <v>51</v>
      </c>
      <c r="L261" s="694" t="s">
        <v>944</v>
      </c>
      <c r="M261" s="694" t="s">
        <v>915</v>
      </c>
      <c r="N261" s="694" t="s">
        <v>925</v>
      </c>
      <c r="O261" s="694">
        <v>2021.0</v>
      </c>
      <c r="P261" s="694" t="s">
        <v>919</v>
      </c>
      <c r="Q261" s="695" t="s">
        <v>112</v>
      </c>
      <c r="R261" s="696">
        <v>14.91823057</v>
      </c>
      <c r="S261" s="696">
        <v>6.873926739</v>
      </c>
      <c r="T261" s="697">
        <v>30.14081858</v>
      </c>
      <c r="AB261" s="722"/>
      <c r="AF261" s="669"/>
    </row>
    <row r="262">
      <c r="A262" s="675"/>
      <c r="B262" s="681" t="s">
        <v>58</v>
      </c>
      <c r="C262" s="682" t="s">
        <v>915</v>
      </c>
      <c r="D262" s="682" t="s">
        <v>924</v>
      </c>
      <c r="E262" s="682" t="s">
        <v>944</v>
      </c>
      <c r="F262" s="682">
        <v>2021.0</v>
      </c>
      <c r="G262" s="683">
        <v>5.88147E-4</v>
      </c>
      <c r="H262" s="683">
        <v>2.54087E-4</v>
      </c>
      <c r="I262" s="684">
        <v>0.001079674</v>
      </c>
      <c r="K262" s="693" t="s">
        <v>51</v>
      </c>
      <c r="L262" s="694" t="s">
        <v>944</v>
      </c>
      <c r="M262" s="694" t="s">
        <v>915</v>
      </c>
      <c r="N262" s="694" t="s">
        <v>927</v>
      </c>
      <c r="O262" s="694">
        <v>2021.0</v>
      </c>
      <c r="P262" s="694" t="s">
        <v>919</v>
      </c>
      <c r="Q262" s="695" t="s">
        <v>112</v>
      </c>
      <c r="R262" s="696">
        <v>195.3981509</v>
      </c>
      <c r="S262" s="696">
        <v>79.00843957</v>
      </c>
      <c r="T262" s="697">
        <v>359.9944306</v>
      </c>
      <c r="AB262" s="722"/>
      <c r="AF262" s="669"/>
    </row>
    <row r="263">
      <c r="A263" s="675"/>
      <c r="B263" s="681" t="s">
        <v>58</v>
      </c>
      <c r="C263" s="682" t="s">
        <v>915</v>
      </c>
      <c r="D263" s="682" t="s">
        <v>926</v>
      </c>
      <c r="E263" s="682" t="s">
        <v>944</v>
      </c>
      <c r="F263" s="682">
        <v>2021.0</v>
      </c>
      <c r="G263" s="683">
        <v>0.011935639</v>
      </c>
      <c r="H263" s="683">
        <v>0.007037309</v>
      </c>
      <c r="I263" s="684">
        <v>0.018385673</v>
      </c>
      <c r="K263" s="693" t="s">
        <v>51</v>
      </c>
      <c r="L263" s="694" t="s">
        <v>944</v>
      </c>
      <c r="M263" s="694" t="s">
        <v>915</v>
      </c>
      <c r="N263" s="694" t="s">
        <v>926</v>
      </c>
      <c r="O263" s="694">
        <v>2021.0</v>
      </c>
      <c r="P263" s="694" t="s">
        <v>919</v>
      </c>
      <c r="Q263" s="695" t="s">
        <v>112</v>
      </c>
      <c r="R263" s="696">
        <v>342.7345588</v>
      </c>
      <c r="S263" s="696">
        <v>146.6106013</v>
      </c>
      <c r="T263" s="697">
        <v>606.0764384</v>
      </c>
      <c r="AB263" s="722"/>
      <c r="AF263" s="669"/>
    </row>
    <row r="264">
      <c r="A264" s="675"/>
      <c r="B264" s="681" t="s">
        <v>7</v>
      </c>
      <c r="C264" s="682" t="s">
        <v>915</v>
      </c>
      <c r="D264" s="682" t="s">
        <v>916</v>
      </c>
      <c r="E264" s="682" t="s">
        <v>944</v>
      </c>
      <c r="F264" s="682">
        <v>2021.0</v>
      </c>
      <c r="G264" s="683">
        <v>0.00202046</v>
      </c>
      <c r="H264" s="683">
        <v>0.001039217</v>
      </c>
      <c r="I264" s="684">
        <v>0.003676393</v>
      </c>
      <c r="K264" s="693" t="s">
        <v>52</v>
      </c>
      <c r="L264" s="694" t="s">
        <v>944</v>
      </c>
      <c r="M264" s="694" t="s">
        <v>915</v>
      </c>
      <c r="N264" s="694" t="s">
        <v>918</v>
      </c>
      <c r="O264" s="694">
        <v>2021.0</v>
      </c>
      <c r="P264" s="694" t="s">
        <v>919</v>
      </c>
      <c r="Q264" s="695" t="s">
        <v>112</v>
      </c>
      <c r="R264" s="696">
        <v>250.4904494</v>
      </c>
      <c r="S264" s="696">
        <v>85.4108749</v>
      </c>
      <c r="T264" s="697">
        <v>586.4825964</v>
      </c>
      <c r="AB264" s="722"/>
      <c r="AF264" s="669"/>
    </row>
    <row r="265">
      <c r="A265" s="675"/>
      <c r="B265" s="681" t="s">
        <v>7</v>
      </c>
      <c r="C265" s="682" t="s">
        <v>915</v>
      </c>
      <c r="D265" s="682" t="s">
        <v>922</v>
      </c>
      <c r="E265" s="682" t="s">
        <v>944</v>
      </c>
      <c r="F265" s="682">
        <v>2021.0</v>
      </c>
      <c r="G265" s="683">
        <v>0.013077473</v>
      </c>
      <c r="H265" s="683">
        <v>0.007374384</v>
      </c>
      <c r="I265" s="684">
        <v>0.022779247</v>
      </c>
      <c r="K265" s="693" t="s">
        <v>52</v>
      </c>
      <c r="L265" s="694" t="s">
        <v>944</v>
      </c>
      <c r="M265" s="694" t="s">
        <v>915</v>
      </c>
      <c r="N265" s="694" t="s">
        <v>923</v>
      </c>
      <c r="O265" s="694">
        <v>2021.0</v>
      </c>
      <c r="P265" s="694" t="s">
        <v>919</v>
      </c>
      <c r="Q265" s="695" t="s">
        <v>112</v>
      </c>
      <c r="R265" s="696">
        <v>27.78061384</v>
      </c>
      <c r="S265" s="696">
        <v>13.22298275</v>
      </c>
      <c r="T265" s="697">
        <v>55.33952695</v>
      </c>
      <c r="AB265" s="722"/>
      <c r="AF265" s="669"/>
    </row>
    <row r="266">
      <c r="A266" s="675"/>
      <c r="B266" s="681" t="s">
        <v>7</v>
      </c>
      <c r="C266" s="682" t="s">
        <v>915</v>
      </c>
      <c r="D266" s="682" t="s">
        <v>924</v>
      </c>
      <c r="E266" s="682" t="s">
        <v>944</v>
      </c>
      <c r="F266" s="682">
        <v>2021.0</v>
      </c>
      <c r="G266" s="683">
        <v>5.46182E-4</v>
      </c>
      <c r="H266" s="683">
        <v>3.04159E-4</v>
      </c>
      <c r="I266" s="684">
        <v>9.22987E-4</v>
      </c>
      <c r="K266" s="693" t="s">
        <v>52</v>
      </c>
      <c r="L266" s="694" t="s">
        <v>944</v>
      </c>
      <c r="M266" s="694" t="s">
        <v>915</v>
      </c>
      <c r="N266" s="694" t="s">
        <v>925</v>
      </c>
      <c r="O266" s="694">
        <v>2021.0</v>
      </c>
      <c r="P266" s="694" t="s">
        <v>919</v>
      </c>
      <c r="Q266" s="695" t="s">
        <v>112</v>
      </c>
      <c r="R266" s="696">
        <v>24.13717641</v>
      </c>
      <c r="S266" s="696">
        <v>8.963630508</v>
      </c>
      <c r="T266" s="697">
        <v>58.66109647</v>
      </c>
      <c r="AB266" s="722"/>
      <c r="AF266" s="669"/>
    </row>
    <row r="267">
      <c r="A267" s="675"/>
      <c r="B267" s="681" t="s">
        <v>7</v>
      </c>
      <c r="C267" s="682" t="s">
        <v>915</v>
      </c>
      <c r="D267" s="682" t="s">
        <v>926</v>
      </c>
      <c r="E267" s="682" t="s">
        <v>944</v>
      </c>
      <c r="F267" s="682">
        <v>2021.0</v>
      </c>
      <c r="G267" s="683">
        <v>0.013026466</v>
      </c>
      <c r="H267" s="683">
        <v>0.008707754</v>
      </c>
      <c r="I267" s="684">
        <v>0.018152464</v>
      </c>
      <c r="K267" s="693" t="s">
        <v>52</v>
      </c>
      <c r="L267" s="694" t="s">
        <v>944</v>
      </c>
      <c r="M267" s="694" t="s">
        <v>915</v>
      </c>
      <c r="N267" s="694" t="s">
        <v>927</v>
      </c>
      <c r="O267" s="694">
        <v>2021.0</v>
      </c>
      <c r="P267" s="694" t="s">
        <v>919</v>
      </c>
      <c r="Q267" s="695" t="s">
        <v>112</v>
      </c>
      <c r="R267" s="696">
        <v>502.6624657</v>
      </c>
      <c r="S267" s="696">
        <v>205.7401731</v>
      </c>
      <c r="T267" s="697">
        <v>969.8808952</v>
      </c>
      <c r="AB267" s="722"/>
      <c r="AF267" s="669"/>
    </row>
    <row r="268">
      <c r="A268" s="675"/>
      <c r="B268" s="681" t="s">
        <v>59</v>
      </c>
      <c r="C268" s="682" t="s">
        <v>915</v>
      </c>
      <c r="D268" s="682" t="s">
        <v>916</v>
      </c>
      <c r="E268" s="682" t="s">
        <v>944</v>
      </c>
      <c r="F268" s="682">
        <v>2021.0</v>
      </c>
      <c r="G268" s="683">
        <v>0.001056943</v>
      </c>
      <c r="H268" s="683">
        <v>4.25639E-4</v>
      </c>
      <c r="I268" s="684">
        <v>0.0020456</v>
      </c>
      <c r="K268" s="693" t="s">
        <v>52</v>
      </c>
      <c r="L268" s="694" t="s">
        <v>944</v>
      </c>
      <c r="M268" s="694" t="s">
        <v>915</v>
      </c>
      <c r="N268" s="694" t="s">
        <v>926</v>
      </c>
      <c r="O268" s="694">
        <v>2021.0</v>
      </c>
      <c r="P268" s="694" t="s">
        <v>919</v>
      </c>
      <c r="Q268" s="695" t="s">
        <v>112</v>
      </c>
      <c r="R268" s="696">
        <v>805.0707054</v>
      </c>
      <c r="S268" s="696">
        <v>347.1560076</v>
      </c>
      <c r="T268" s="697">
        <v>1627.159378</v>
      </c>
      <c r="AB268" s="722"/>
      <c r="AF268" s="669"/>
    </row>
    <row r="269">
      <c r="A269" s="675"/>
      <c r="B269" s="681" t="s">
        <v>59</v>
      </c>
      <c r="C269" s="682" t="s">
        <v>915</v>
      </c>
      <c r="D269" s="682" t="s">
        <v>922</v>
      </c>
      <c r="E269" s="682" t="s">
        <v>944</v>
      </c>
      <c r="F269" s="682">
        <v>2021.0</v>
      </c>
      <c r="G269" s="683">
        <v>0.007177345</v>
      </c>
      <c r="H269" s="683">
        <v>0.003024824</v>
      </c>
      <c r="I269" s="684">
        <v>0.014020115</v>
      </c>
      <c r="K269" s="693" t="s">
        <v>28</v>
      </c>
      <c r="L269" s="694" t="s">
        <v>944</v>
      </c>
      <c r="M269" s="694" t="s">
        <v>915</v>
      </c>
      <c r="N269" s="694" t="s">
        <v>918</v>
      </c>
      <c r="O269" s="694">
        <v>2021.0</v>
      </c>
      <c r="P269" s="694" t="s">
        <v>919</v>
      </c>
      <c r="Q269" s="695" t="s">
        <v>112</v>
      </c>
      <c r="R269" s="696">
        <v>1291.260746</v>
      </c>
      <c r="S269" s="696">
        <v>725.9696681</v>
      </c>
      <c r="T269" s="697">
        <v>1992.016618</v>
      </c>
      <c r="AB269" s="722"/>
      <c r="AF269" s="669"/>
    </row>
    <row r="270">
      <c r="A270" s="675"/>
      <c r="B270" s="681" t="s">
        <v>59</v>
      </c>
      <c r="C270" s="682" t="s">
        <v>915</v>
      </c>
      <c r="D270" s="682" t="s">
        <v>924</v>
      </c>
      <c r="E270" s="682" t="s">
        <v>944</v>
      </c>
      <c r="F270" s="682">
        <v>2021.0</v>
      </c>
      <c r="G270" s="683">
        <v>1.72906E-4</v>
      </c>
      <c r="H270" s="683">
        <v>5.86E-5</v>
      </c>
      <c r="I270" s="684">
        <v>3.24966E-4</v>
      </c>
      <c r="K270" s="693" t="s">
        <v>28</v>
      </c>
      <c r="L270" s="694" t="s">
        <v>944</v>
      </c>
      <c r="M270" s="694" t="s">
        <v>915</v>
      </c>
      <c r="N270" s="694" t="s">
        <v>923</v>
      </c>
      <c r="O270" s="694">
        <v>2021.0</v>
      </c>
      <c r="P270" s="694" t="s">
        <v>919</v>
      </c>
      <c r="Q270" s="695" t="s">
        <v>112</v>
      </c>
      <c r="R270" s="696">
        <v>55.6352953</v>
      </c>
      <c r="S270" s="696">
        <v>26.93633408</v>
      </c>
      <c r="T270" s="697">
        <v>86.78409642</v>
      </c>
      <c r="AB270" s="722"/>
      <c r="AF270" s="669"/>
    </row>
    <row r="271">
      <c r="A271" s="675"/>
      <c r="B271" s="681" t="s">
        <v>59</v>
      </c>
      <c r="C271" s="682" t="s">
        <v>915</v>
      </c>
      <c r="D271" s="682" t="s">
        <v>926</v>
      </c>
      <c r="E271" s="682" t="s">
        <v>944</v>
      </c>
      <c r="F271" s="682">
        <v>2021.0</v>
      </c>
      <c r="G271" s="683">
        <v>0.00391545</v>
      </c>
      <c r="H271" s="683">
        <v>0.002113845</v>
      </c>
      <c r="I271" s="684">
        <v>0.00730071</v>
      </c>
      <c r="K271" s="693" t="s">
        <v>28</v>
      </c>
      <c r="L271" s="694" t="s">
        <v>944</v>
      </c>
      <c r="M271" s="694" t="s">
        <v>915</v>
      </c>
      <c r="N271" s="694" t="s">
        <v>925</v>
      </c>
      <c r="O271" s="694">
        <v>2021.0</v>
      </c>
      <c r="P271" s="694" t="s">
        <v>919</v>
      </c>
      <c r="Q271" s="695" t="s">
        <v>112</v>
      </c>
      <c r="R271" s="696">
        <v>50.88867629</v>
      </c>
      <c r="S271" s="696">
        <v>26.91391908</v>
      </c>
      <c r="T271" s="697">
        <v>86.65184659</v>
      </c>
      <c r="AB271" s="722"/>
      <c r="AF271" s="669"/>
    </row>
    <row r="272">
      <c r="A272" s="675"/>
      <c r="B272" s="681" t="s">
        <v>60</v>
      </c>
      <c r="C272" s="682" t="s">
        <v>915</v>
      </c>
      <c r="D272" s="682" t="s">
        <v>916</v>
      </c>
      <c r="E272" s="682" t="s">
        <v>944</v>
      </c>
      <c r="F272" s="682">
        <v>2021.0</v>
      </c>
      <c r="G272" s="683">
        <v>0.001194849</v>
      </c>
      <c r="H272" s="683">
        <v>4.77003E-4</v>
      </c>
      <c r="I272" s="684">
        <v>0.002330659</v>
      </c>
      <c r="K272" s="693" t="s">
        <v>28</v>
      </c>
      <c r="L272" s="694" t="s">
        <v>944</v>
      </c>
      <c r="M272" s="694" t="s">
        <v>915</v>
      </c>
      <c r="N272" s="694" t="s">
        <v>927</v>
      </c>
      <c r="O272" s="694">
        <v>2021.0</v>
      </c>
      <c r="P272" s="694" t="s">
        <v>919</v>
      </c>
      <c r="Q272" s="695" t="s">
        <v>112</v>
      </c>
      <c r="R272" s="696">
        <v>1242.554837</v>
      </c>
      <c r="S272" s="696">
        <v>816.6161769</v>
      </c>
      <c r="T272" s="697">
        <v>1805.138368</v>
      </c>
      <c r="AB272" s="722"/>
      <c r="AF272" s="669"/>
    </row>
    <row r="273">
      <c r="A273" s="675"/>
      <c r="B273" s="681" t="s">
        <v>60</v>
      </c>
      <c r="C273" s="682" t="s">
        <v>915</v>
      </c>
      <c r="D273" s="682" t="s">
        <v>922</v>
      </c>
      <c r="E273" s="682" t="s">
        <v>944</v>
      </c>
      <c r="F273" s="682">
        <v>2021.0</v>
      </c>
      <c r="G273" s="683">
        <v>0.008441165</v>
      </c>
      <c r="H273" s="683">
        <v>0.003830678</v>
      </c>
      <c r="I273" s="684">
        <v>0.015612292</v>
      </c>
      <c r="K273" s="693" t="s">
        <v>28</v>
      </c>
      <c r="L273" s="694" t="s">
        <v>944</v>
      </c>
      <c r="M273" s="694" t="s">
        <v>915</v>
      </c>
      <c r="N273" s="694" t="s">
        <v>926</v>
      </c>
      <c r="O273" s="694">
        <v>2021.0</v>
      </c>
      <c r="P273" s="694" t="s">
        <v>919</v>
      </c>
      <c r="Q273" s="695" t="s">
        <v>112</v>
      </c>
      <c r="R273" s="696">
        <v>2640.339554</v>
      </c>
      <c r="S273" s="696">
        <v>1666.574186</v>
      </c>
      <c r="T273" s="697">
        <v>3682.29165</v>
      </c>
      <c r="AB273" s="722"/>
      <c r="AF273" s="669"/>
    </row>
    <row r="274">
      <c r="A274" s="675"/>
      <c r="B274" s="681" t="s">
        <v>60</v>
      </c>
      <c r="C274" s="682" t="s">
        <v>915</v>
      </c>
      <c r="D274" s="682" t="s">
        <v>924</v>
      </c>
      <c r="E274" s="682" t="s">
        <v>944</v>
      </c>
      <c r="F274" s="682">
        <v>2021.0</v>
      </c>
      <c r="G274" s="683">
        <v>2.21703E-4</v>
      </c>
      <c r="H274" s="683">
        <v>8.54E-5</v>
      </c>
      <c r="I274" s="684">
        <v>4.23476E-4</v>
      </c>
      <c r="K274" s="693" t="s">
        <v>53</v>
      </c>
      <c r="L274" s="694" t="s">
        <v>944</v>
      </c>
      <c r="M274" s="694" t="s">
        <v>915</v>
      </c>
      <c r="N274" s="694" t="s">
        <v>918</v>
      </c>
      <c r="O274" s="694">
        <v>2021.0</v>
      </c>
      <c r="P274" s="694" t="s">
        <v>919</v>
      </c>
      <c r="Q274" s="695" t="s">
        <v>112</v>
      </c>
      <c r="R274" s="696">
        <v>291.0317261</v>
      </c>
      <c r="S274" s="696">
        <v>111.4266655</v>
      </c>
      <c r="T274" s="697">
        <v>662.9276632</v>
      </c>
      <c r="AB274" s="722"/>
      <c r="AF274" s="669"/>
    </row>
    <row r="275">
      <c r="A275" s="675"/>
      <c r="B275" s="681" t="s">
        <v>60</v>
      </c>
      <c r="C275" s="682" t="s">
        <v>915</v>
      </c>
      <c r="D275" s="682" t="s">
        <v>926</v>
      </c>
      <c r="E275" s="682" t="s">
        <v>944</v>
      </c>
      <c r="F275" s="682">
        <v>2021.0</v>
      </c>
      <c r="G275" s="683">
        <v>0.004007555</v>
      </c>
      <c r="H275" s="683">
        <v>0.002019441</v>
      </c>
      <c r="I275" s="684">
        <v>0.007347138</v>
      </c>
      <c r="K275" s="693" t="s">
        <v>53</v>
      </c>
      <c r="L275" s="694" t="s">
        <v>944</v>
      </c>
      <c r="M275" s="694" t="s">
        <v>915</v>
      </c>
      <c r="N275" s="694" t="s">
        <v>923</v>
      </c>
      <c r="O275" s="694">
        <v>2021.0</v>
      </c>
      <c r="P275" s="694" t="s">
        <v>919</v>
      </c>
      <c r="Q275" s="695" t="s">
        <v>112</v>
      </c>
      <c r="R275" s="696">
        <v>32.80596957</v>
      </c>
      <c r="S275" s="696">
        <v>16.25663674</v>
      </c>
      <c r="T275" s="697">
        <v>68.49889824</v>
      </c>
      <c r="AB275" s="722"/>
      <c r="AF275" s="669"/>
    </row>
    <row r="276">
      <c r="A276" s="675"/>
      <c r="B276" s="681" t="s">
        <v>61</v>
      </c>
      <c r="C276" s="682" t="s">
        <v>915</v>
      </c>
      <c r="D276" s="682" t="s">
        <v>916</v>
      </c>
      <c r="E276" s="682" t="s">
        <v>944</v>
      </c>
      <c r="F276" s="682">
        <v>2021.0</v>
      </c>
      <c r="G276" s="683">
        <v>6.74307E-4</v>
      </c>
      <c r="H276" s="683">
        <v>2.26677E-4</v>
      </c>
      <c r="I276" s="684">
        <v>0.001323677</v>
      </c>
      <c r="K276" s="693" t="s">
        <v>53</v>
      </c>
      <c r="L276" s="694" t="s">
        <v>944</v>
      </c>
      <c r="M276" s="694" t="s">
        <v>915</v>
      </c>
      <c r="N276" s="694" t="s">
        <v>925</v>
      </c>
      <c r="O276" s="694">
        <v>2021.0</v>
      </c>
      <c r="P276" s="694" t="s">
        <v>919</v>
      </c>
      <c r="Q276" s="695" t="s">
        <v>112</v>
      </c>
      <c r="R276" s="696">
        <v>17.96206441</v>
      </c>
      <c r="S276" s="696">
        <v>7.043393721</v>
      </c>
      <c r="T276" s="697">
        <v>44.50179475</v>
      </c>
      <c r="AB276" s="722"/>
      <c r="AF276" s="669"/>
    </row>
    <row r="277">
      <c r="A277" s="675"/>
      <c r="B277" s="681" t="s">
        <v>61</v>
      </c>
      <c r="C277" s="682" t="s">
        <v>915</v>
      </c>
      <c r="D277" s="682" t="s">
        <v>922</v>
      </c>
      <c r="E277" s="682" t="s">
        <v>944</v>
      </c>
      <c r="F277" s="682">
        <v>2021.0</v>
      </c>
      <c r="G277" s="683">
        <v>0.0051643</v>
      </c>
      <c r="H277" s="683">
        <v>0.002197624</v>
      </c>
      <c r="I277" s="684">
        <v>0.009826906</v>
      </c>
      <c r="K277" s="693" t="s">
        <v>53</v>
      </c>
      <c r="L277" s="694" t="s">
        <v>944</v>
      </c>
      <c r="M277" s="694" t="s">
        <v>915</v>
      </c>
      <c r="N277" s="694" t="s">
        <v>927</v>
      </c>
      <c r="O277" s="694">
        <v>2021.0</v>
      </c>
      <c r="P277" s="694" t="s">
        <v>919</v>
      </c>
      <c r="Q277" s="695" t="s">
        <v>112</v>
      </c>
      <c r="R277" s="696">
        <v>463.6661752</v>
      </c>
      <c r="S277" s="696">
        <v>198.0545931</v>
      </c>
      <c r="T277" s="697">
        <v>1061.678784</v>
      </c>
      <c r="AB277" s="722"/>
      <c r="AF277" s="669"/>
    </row>
    <row r="278">
      <c r="A278" s="675"/>
      <c r="B278" s="681" t="s">
        <v>61</v>
      </c>
      <c r="C278" s="682" t="s">
        <v>915</v>
      </c>
      <c r="D278" s="682" t="s">
        <v>924</v>
      </c>
      <c r="E278" s="682" t="s">
        <v>944</v>
      </c>
      <c r="F278" s="682">
        <v>2021.0</v>
      </c>
      <c r="G278" s="683">
        <v>1.05538E-4</v>
      </c>
      <c r="H278" s="683">
        <v>2.96E-5</v>
      </c>
      <c r="I278" s="684">
        <v>2.26795E-4</v>
      </c>
      <c r="K278" s="693" t="s">
        <v>53</v>
      </c>
      <c r="L278" s="694" t="s">
        <v>944</v>
      </c>
      <c r="M278" s="694" t="s">
        <v>915</v>
      </c>
      <c r="N278" s="694" t="s">
        <v>926</v>
      </c>
      <c r="O278" s="694">
        <v>2021.0</v>
      </c>
      <c r="P278" s="694" t="s">
        <v>919</v>
      </c>
      <c r="Q278" s="695" t="s">
        <v>112</v>
      </c>
      <c r="R278" s="696">
        <v>805.4659353</v>
      </c>
      <c r="S278" s="696">
        <v>372.0510621</v>
      </c>
      <c r="T278" s="697">
        <v>1707.377175</v>
      </c>
      <c r="AB278" s="722"/>
      <c r="AF278" s="669"/>
    </row>
    <row r="279">
      <c r="A279" s="675"/>
      <c r="B279" s="681" t="s">
        <v>61</v>
      </c>
      <c r="C279" s="682" t="s">
        <v>915</v>
      </c>
      <c r="D279" s="682" t="s">
        <v>926</v>
      </c>
      <c r="E279" s="682" t="s">
        <v>944</v>
      </c>
      <c r="F279" s="682">
        <v>2021.0</v>
      </c>
      <c r="G279" s="683">
        <v>0.002237864</v>
      </c>
      <c r="H279" s="683">
        <v>9.72993E-4</v>
      </c>
      <c r="I279" s="684">
        <v>0.004363954</v>
      </c>
      <c r="K279" s="693" t="s">
        <v>30</v>
      </c>
      <c r="L279" s="694" t="s">
        <v>944</v>
      </c>
      <c r="M279" s="694" t="s">
        <v>915</v>
      </c>
      <c r="N279" s="694" t="s">
        <v>918</v>
      </c>
      <c r="O279" s="694">
        <v>2021.0</v>
      </c>
      <c r="P279" s="694" t="s">
        <v>919</v>
      </c>
      <c r="Q279" s="695" t="s">
        <v>112</v>
      </c>
      <c r="R279" s="696">
        <v>2853.790551</v>
      </c>
      <c r="S279" s="696">
        <v>1494.817198</v>
      </c>
      <c r="T279" s="697">
        <v>4789.031678</v>
      </c>
      <c r="AB279" s="722"/>
      <c r="AF279" s="669"/>
    </row>
    <row r="280">
      <c r="A280" s="675"/>
      <c r="B280" s="681" t="s">
        <v>63</v>
      </c>
      <c r="C280" s="682" t="s">
        <v>915</v>
      </c>
      <c r="D280" s="682" t="s">
        <v>916</v>
      </c>
      <c r="E280" s="682" t="s">
        <v>944</v>
      </c>
      <c r="F280" s="682">
        <v>2021.0</v>
      </c>
      <c r="G280" s="683">
        <v>0.001094594</v>
      </c>
      <c r="H280" s="683">
        <v>3.82943E-4</v>
      </c>
      <c r="I280" s="684">
        <v>0.001930017</v>
      </c>
      <c r="K280" s="693" t="s">
        <v>30</v>
      </c>
      <c r="L280" s="694" t="s">
        <v>944</v>
      </c>
      <c r="M280" s="694" t="s">
        <v>915</v>
      </c>
      <c r="N280" s="694" t="s">
        <v>923</v>
      </c>
      <c r="O280" s="694">
        <v>2021.0</v>
      </c>
      <c r="P280" s="694" t="s">
        <v>919</v>
      </c>
      <c r="Q280" s="695" t="s">
        <v>112</v>
      </c>
      <c r="R280" s="696">
        <v>97.71658596</v>
      </c>
      <c r="S280" s="696">
        <v>50.74220173</v>
      </c>
      <c r="T280" s="697">
        <v>159.08257</v>
      </c>
      <c r="AB280" s="722"/>
      <c r="AF280" s="669"/>
    </row>
    <row r="281">
      <c r="A281" s="675"/>
      <c r="B281" s="681" t="s">
        <v>63</v>
      </c>
      <c r="C281" s="682" t="s">
        <v>915</v>
      </c>
      <c r="D281" s="682" t="s">
        <v>922</v>
      </c>
      <c r="E281" s="682" t="s">
        <v>944</v>
      </c>
      <c r="F281" s="682">
        <v>2021.0</v>
      </c>
      <c r="G281" s="683">
        <v>0.007085762</v>
      </c>
      <c r="H281" s="683">
        <v>0.002966282</v>
      </c>
      <c r="I281" s="684">
        <v>0.012206792</v>
      </c>
      <c r="K281" s="693" t="s">
        <v>30</v>
      </c>
      <c r="L281" s="694" t="s">
        <v>944</v>
      </c>
      <c r="M281" s="694" t="s">
        <v>915</v>
      </c>
      <c r="N281" s="694" t="s">
        <v>925</v>
      </c>
      <c r="O281" s="694">
        <v>2021.0</v>
      </c>
      <c r="P281" s="694" t="s">
        <v>919</v>
      </c>
      <c r="Q281" s="695" t="s">
        <v>112</v>
      </c>
      <c r="R281" s="696">
        <v>94.64718327</v>
      </c>
      <c r="S281" s="696">
        <v>52.12011476</v>
      </c>
      <c r="T281" s="697">
        <v>160.5857747</v>
      </c>
      <c r="AB281" s="722"/>
      <c r="AF281" s="669"/>
    </row>
    <row r="282">
      <c r="A282" s="675"/>
      <c r="B282" s="681" t="s">
        <v>63</v>
      </c>
      <c r="C282" s="682" t="s">
        <v>915</v>
      </c>
      <c r="D282" s="682" t="s">
        <v>924</v>
      </c>
      <c r="E282" s="682" t="s">
        <v>944</v>
      </c>
      <c r="F282" s="682">
        <v>2021.0</v>
      </c>
      <c r="G282" s="683">
        <v>1.68951E-4</v>
      </c>
      <c r="H282" s="683">
        <v>5.17E-5</v>
      </c>
      <c r="I282" s="684">
        <v>3.17417E-4</v>
      </c>
      <c r="K282" s="693" t="s">
        <v>30</v>
      </c>
      <c r="L282" s="694" t="s">
        <v>944</v>
      </c>
      <c r="M282" s="694" t="s">
        <v>915</v>
      </c>
      <c r="N282" s="694" t="s">
        <v>927</v>
      </c>
      <c r="O282" s="694">
        <v>2021.0</v>
      </c>
      <c r="P282" s="694" t="s">
        <v>919</v>
      </c>
      <c r="Q282" s="695" t="s">
        <v>112</v>
      </c>
      <c r="R282" s="696">
        <v>2513.916636</v>
      </c>
      <c r="S282" s="696">
        <v>1627.587058</v>
      </c>
      <c r="T282" s="697">
        <v>3634.836006</v>
      </c>
      <c r="AB282" s="722"/>
      <c r="AF282" s="669"/>
    </row>
    <row r="283">
      <c r="A283" s="675"/>
      <c r="B283" s="681" t="s">
        <v>63</v>
      </c>
      <c r="C283" s="682" t="s">
        <v>915</v>
      </c>
      <c r="D283" s="682" t="s">
        <v>926</v>
      </c>
      <c r="E283" s="682" t="s">
        <v>944</v>
      </c>
      <c r="F283" s="682">
        <v>2021.0</v>
      </c>
      <c r="G283" s="683">
        <v>0.002368033</v>
      </c>
      <c r="H283" s="683">
        <v>0.00107813</v>
      </c>
      <c r="I283" s="684">
        <v>0.004668966</v>
      </c>
      <c r="K283" s="693" t="s">
        <v>30</v>
      </c>
      <c r="L283" s="694" t="s">
        <v>944</v>
      </c>
      <c r="M283" s="694" t="s">
        <v>915</v>
      </c>
      <c r="N283" s="694" t="s">
        <v>926</v>
      </c>
      <c r="O283" s="694">
        <v>2021.0</v>
      </c>
      <c r="P283" s="694" t="s">
        <v>919</v>
      </c>
      <c r="Q283" s="695" t="s">
        <v>112</v>
      </c>
      <c r="R283" s="696">
        <v>5560.070956</v>
      </c>
      <c r="S283" s="696">
        <v>3428.962304</v>
      </c>
      <c r="T283" s="697">
        <v>8141.214103</v>
      </c>
      <c r="AB283" s="722"/>
      <c r="AF283" s="669"/>
    </row>
    <row r="284">
      <c r="A284" s="675"/>
      <c r="B284" s="681" t="s">
        <v>64</v>
      </c>
      <c r="C284" s="682" t="s">
        <v>915</v>
      </c>
      <c r="D284" s="682" t="s">
        <v>916</v>
      </c>
      <c r="E284" s="682" t="s">
        <v>944</v>
      </c>
      <c r="F284" s="682">
        <v>2021.0</v>
      </c>
      <c r="G284" s="683">
        <v>0.002257257</v>
      </c>
      <c r="H284" s="683">
        <v>0.001033502</v>
      </c>
      <c r="I284" s="684">
        <v>0.004350457</v>
      </c>
      <c r="K284" s="693" t="s">
        <v>31</v>
      </c>
      <c r="L284" s="694" t="s">
        <v>944</v>
      </c>
      <c r="M284" s="694" t="s">
        <v>915</v>
      </c>
      <c r="N284" s="694" t="s">
        <v>918</v>
      </c>
      <c r="O284" s="694">
        <v>2021.0</v>
      </c>
      <c r="P284" s="694" t="s">
        <v>919</v>
      </c>
      <c r="Q284" s="695" t="s">
        <v>112</v>
      </c>
      <c r="R284" s="696">
        <v>1332.324102</v>
      </c>
      <c r="S284" s="696">
        <v>627.9171883</v>
      </c>
      <c r="T284" s="697">
        <v>2494.230499</v>
      </c>
      <c r="AB284" s="722"/>
      <c r="AF284" s="669"/>
    </row>
    <row r="285">
      <c r="A285" s="675"/>
      <c r="B285" s="681" t="s">
        <v>64</v>
      </c>
      <c r="C285" s="682" t="s">
        <v>915</v>
      </c>
      <c r="D285" s="682" t="s">
        <v>922</v>
      </c>
      <c r="E285" s="682" t="s">
        <v>944</v>
      </c>
      <c r="F285" s="682">
        <v>2021.0</v>
      </c>
      <c r="G285" s="683">
        <v>0.011590778</v>
      </c>
      <c r="H285" s="683">
        <v>0.005722948</v>
      </c>
      <c r="I285" s="684">
        <v>0.02103342</v>
      </c>
      <c r="K285" s="693" t="s">
        <v>31</v>
      </c>
      <c r="L285" s="694" t="s">
        <v>944</v>
      </c>
      <c r="M285" s="694" t="s">
        <v>915</v>
      </c>
      <c r="N285" s="694" t="s">
        <v>923</v>
      </c>
      <c r="O285" s="694">
        <v>2021.0</v>
      </c>
      <c r="P285" s="694" t="s">
        <v>919</v>
      </c>
      <c r="Q285" s="695" t="s">
        <v>112</v>
      </c>
      <c r="R285" s="696">
        <v>81.31101787</v>
      </c>
      <c r="S285" s="696">
        <v>46.3627355</v>
      </c>
      <c r="T285" s="697">
        <v>136.47702</v>
      </c>
      <c r="AB285" s="722"/>
      <c r="AF285" s="669"/>
    </row>
    <row r="286">
      <c r="A286" s="675"/>
      <c r="B286" s="681" t="s">
        <v>64</v>
      </c>
      <c r="C286" s="682" t="s">
        <v>915</v>
      </c>
      <c r="D286" s="682" t="s">
        <v>924</v>
      </c>
      <c r="E286" s="682" t="s">
        <v>944</v>
      </c>
      <c r="F286" s="682">
        <v>2021.0</v>
      </c>
      <c r="G286" s="683">
        <v>4.18418E-4</v>
      </c>
      <c r="H286" s="683">
        <v>1.77591E-4</v>
      </c>
      <c r="I286" s="684">
        <v>7.46913E-4</v>
      </c>
      <c r="K286" s="693" t="s">
        <v>31</v>
      </c>
      <c r="L286" s="694" t="s">
        <v>944</v>
      </c>
      <c r="M286" s="694" t="s">
        <v>915</v>
      </c>
      <c r="N286" s="694" t="s">
        <v>925</v>
      </c>
      <c r="O286" s="694">
        <v>2021.0</v>
      </c>
      <c r="P286" s="694" t="s">
        <v>919</v>
      </c>
      <c r="Q286" s="695" t="s">
        <v>112</v>
      </c>
      <c r="R286" s="696">
        <v>98.46007408</v>
      </c>
      <c r="S286" s="696">
        <v>52.26387563</v>
      </c>
      <c r="T286" s="697">
        <v>185.9256395</v>
      </c>
      <c r="AB286" s="722"/>
      <c r="AF286" s="669"/>
    </row>
    <row r="287">
      <c r="A287" s="675"/>
      <c r="B287" s="681" t="s">
        <v>64</v>
      </c>
      <c r="C287" s="682" t="s">
        <v>915</v>
      </c>
      <c r="D287" s="682" t="s">
        <v>926</v>
      </c>
      <c r="E287" s="682" t="s">
        <v>944</v>
      </c>
      <c r="F287" s="682">
        <v>2021.0</v>
      </c>
      <c r="G287" s="683">
        <v>0.005945687</v>
      </c>
      <c r="H287" s="683">
        <v>0.00332429</v>
      </c>
      <c r="I287" s="684">
        <v>0.009219144</v>
      </c>
      <c r="K287" s="693" t="s">
        <v>31</v>
      </c>
      <c r="L287" s="694" t="s">
        <v>944</v>
      </c>
      <c r="M287" s="694" t="s">
        <v>915</v>
      </c>
      <c r="N287" s="694" t="s">
        <v>927</v>
      </c>
      <c r="O287" s="694">
        <v>2021.0</v>
      </c>
      <c r="P287" s="694" t="s">
        <v>919</v>
      </c>
      <c r="Q287" s="695" t="s">
        <v>112</v>
      </c>
      <c r="R287" s="696">
        <v>2680.773149</v>
      </c>
      <c r="S287" s="696">
        <v>1595.8623</v>
      </c>
      <c r="T287" s="697">
        <v>4545.314793</v>
      </c>
      <c r="AB287" s="722"/>
      <c r="AF287" s="669"/>
    </row>
    <row r="288">
      <c r="A288" s="675"/>
      <c r="B288" s="681" t="s">
        <v>65</v>
      </c>
      <c r="C288" s="682" t="s">
        <v>915</v>
      </c>
      <c r="D288" s="682" t="s">
        <v>916</v>
      </c>
      <c r="E288" s="682" t="s">
        <v>944</v>
      </c>
      <c r="F288" s="682">
        <v>2021.0</v>
      </c>
      <c r="G288" s="683">
        <v>8.24424E-4</v>
      </c>
      <c r="H288" s="683">
        <v>3.01163E-4</v>
      </c>
      <c r="I288" s="684">
        <v>0.001649591</v>
      </c>
      <c r="K288" s="693" t="s">
        <v>31</v>
      </c>
      <c r="L288" s="694" t="s">
        <v>944</v>
      </c>
      <c r="M288" s="694" t="s">
        <v>915</v>
      </c>
      <c r="N288" s="694" t="s">
        <v>926</v>
      </c>
      <c r="O288" s="694">
        <v>2021.0</v>
      </c>
      <c r="P288" s="694" t="s">
        <v>919</v>
      </c>
      <c r="Q288" s="695" t="s">
        <v>112</v>
      </c>
      <c r="R288" s="696">
        <v>4192.868343</v>
      </c>
      <c r="S288" s="696">
        <v>2512.397497</v>
      </c>
      <c r="T288" s="697">
        <v>6832.08611</v>
      </c>
      <c r="AB288" s="722"/>
      <c r="AF288" s="669"/>
    </row>
    <row r="289">
      <c r="A289" s="675"/>
      <c r="B289" s="681" t="s">
        <v>65</v>
      </c>
      <c r="C289" s="682" t="s">
        <v>915</v>
      </c>
      <c r="D289" s="682" t="s">
        <v>922</v>
      </c>
      <c r="E289" s="682" t="s">
        <v>944</v>
      </c>
      <c r="F289" s="682">
        <v>2021.0</v>
      </c>
      <c r="G289" s="683">
        <v>0.005148075</v>
      </c>
      <c r="H289" s="683">
        <v>0.002079677</v>
      </c>
      <c r="I289" s="684">
        <v>0.01007704</v>
      </c>
      <c r="K289" s="693" t="s">
        <v>32</v>
      </c>
      <c r="L289" s="694" t="s">
        <v>944</v>
      </c>
      <c r="M289" s="694" t="s">
        <v>915</v>
      </c>
      <c r="N289" s="694" t="s">
        <v>918</v>
      </c>
      <c r="O289" s="694">
        <v>2021.0</v>
      </c>
      <c r="P289" s="694" t="s">
        <v>919</v>
      </c>
      <c r="Q289" s="695" t="s">
        <v>112</v>
      </c>
      <c r="R289" s="696">
        <v>6264.491804</v>
      </c>
      <c r="S289" s="696">
        <v>3108.434211</v>
      </c>
      <c r="T289" s="697">
        <v>10971.05371</v>
      </c>
      <c r="AB289" s="722"/>
      <c r="AF289" s="669"/>
    </row>
    <row r="290">
      <c r="A290" s="675"/>
      <c r="B290" s="681" t="s">
        <v>65</v>
      </c>
      <c r="C290" s="682" t="s">
        <v>915</v>
      </c>
      <c r="D290" s="682" t="s">
        <v>924</v>
      </c>
      <c r="E290" s="682" t="s">
        <v>944</v>
      </c>
      <c r="F290" s="682">
        <v>2021.0</v>
      </c>
      <c r="G290" s="683">
        <v>1.42167E-4</v>
      </c>
      <c r="H290" s="683">
        <v>4.55E-5</v>
      </c>
      <c r="I290" s="684">
        <v>2.8057E-4</v>
      </c>
      <c r="K290" s="693" t="s">
        <v>32</v>
      </c>
      <c r="L290" s="694" t="s">
        <v>944</v>
      </c>
      <c r="M290" s="694" t="s">
        <v>915</v>
      </c>
      <c r="N290" s="694" t="s">
        <v>923</v>
      </c>
      <c r="O290" s="694">
        <v>2021.0</v>
      </c>
      <c r="P290" s="694" t="s">
        <v>919</v>
      </c>
      <c r="Q290" s="695" t="s">
        <v>112</v>
      </c>
      <c r="R290" s="696">
        <v>280.5732459</v>
      </c>
      <c r="S290" s="696">
        <v>156.942707</v>
      </c>
      <c r="T290" s="697">
        <v>443.059518</v>
      </c>
      <c r="AB290" s="722"/>
      <c r="AF290" s="669"/>
    </row>
    <row r="291">
      <c r="A291" s="675"/>
      <c r="B291" s="681" t="s">
        <v>65</v>
      </c>
      <c r="C291" s="682" t="s">
        <v>915</v>
      </c>
      <c r="D291" s="682" t="s">
        <v>926</v>
      </c>
      <c r="E291" s="682" t="s">
        <v>944</v>
      </c>
      <c r="F291" s="682">
        <v>2021.0</v>
      </c>
      <c r="G291" s="683">
        <v>0.004619085</v>
      </c>
      <c r="H291" s="683">
        <v>0.002027052</v>
      </c>
      <c r="I291" s="684">
        <v>0.009044706</v>
      </c>
      <c r="K291" s="693" t="s">
        <v>32</v>
      </c>
      <c r="L291" s="694" t="s">
        <v>944</v>
      </c>
      <c r="M291" s="694" t="s">
        <v>915</v>
      </c>
      <c r="N291" s="694" t="s">
        <v>925</v>
      </c>
      <c r="O291" s="694">
        <v>2021.0</v>
      </c>
      <c r="P291" s="694" t="s">
        <v>919</v>
      </c>
      <c r="Q291" s="695" t="s">
        <v>112</v>
      </c>
      <c r="R291" s="696">
        <v>330.3397102</v>
      </c>
      <c r="S291" s="696">
        <v>186.6342095</v>
      </c>
      <c r="T291" s="697">
        <v>547.039663</v>
      </c>
      <c r="AB291" s="722"/>
      <c r="AF291" s="669"/>
    </row>
    <row r="292">
      <c r="A292" s="675"/>
      <c r="B292" s="681" t="s">
        <v>35</v>
      </c>
      <c r="C292" s="682" t="s">
        <v>915</v>
      </c>
      <c r="D292" s="682" t="s">
        <v>916</v>
      </c>
      <c r="E292" s="682" t="s">
        <v>944</v>
      </c>
      <c r="F292" s="682">
        <v>2021.0</v>
      </c>
      <c r="G292" s="683">
        <v>0.005418147</v>
      </c>
      <c r="H292" s="683">
        <v>0.002947956</v>
      </c>
      <c r="I292" s="684">
        <v>0.010330858</v>
      </c>
      <c r="K292" s="693" t="s">
        <v>32</v>
      </c>
      <c r="L292" s="694" t="s">
        <v>944</v>
      </c>
      <c r="M292" s="694" t="s">
        <v>915</v>
      </c>
      <c r="N292" s="694" t="s">
        <v>927</v>
      </c>
      <c r="O292" s="694">
        <v>2021.0</v>
      </c>
      <c r="P292" s="694" t="s">
        <v>919</v>
      </c>
      <c r="Q292" s="695" t="s">
        <v>112</v>
      </c>
      <c r="R292" s="696">
        <v>6366.741881</v>
      </c>
      <c r="S292" s="696">
        <v>3523.674395</v>
      </c>
      <c r="T292" s="697">
        <v>10826.32475</v>
      </c>
      <c r="AB292" s="722"/>
      <c r="AF292" s="669"/>
    </row>
    <row r="293">
      <c r="A293" s="675"/>
      <c r="B293" s="681" t="s">
        <v>35</v>
      </c>
      <c r="C293" s="682" t="s">
        <v>915</v>
      </c>
      <c r="D293" s="682" t="s">
        <v>922</v>
      </c>
      <c r="E293" s="682" t="s">
        <v>944</v>
      </c>
      <c r="F293" s="682">
        <v>2021.0</v>
      </c>
      <c r="G293" s="683">
        <v>0.033801047</v>
      </c>
      <c r="H293" s="683">
        <v>0.018229184</v>
      </c>
      <c r="I293" s="684">
        <v>0.062237917</v>
      </c>
      <c r="K293" s="693" t="s">
        <v>32</v>
      </c>
      <c r="L293" s="694" t="s">
        <v>944</v>
      </c>
      <c r="M293" s="694" t="s">
        <v>915</v>
      </c>
      <c r="N293" s="694" t="s">
        <v>926</v>
      </c>
      <c r="O293" s="694">
        <v>2021.0</v>
      </c>
      <c r="P293" s="694" t="s">
        <v>919</v>
      </c>
      <c r="Q293" s="695" t="s">
        <v>112</v>
      </c>
      <c r="R293" s="696">
        <v>13242.14664</v>
      </c>
      <c r="S293" s="696">
        <v>7524.976848</v>
      </c>
      <c r="T293" s="697">
        <v>22165.19343</v>
      </c>
      <c r="AB293" s="722"/>
      <c r="AF293" s="669"/>
    </row>
    <row r="294">
      <c r="A294" s="675"/>
      <c r="B294" s="681" t="s">
        <v>35</v>
      </c>
      <c r="C294" s="682" t="s">
        <v>915</v>
      </c>
      <c r="D294" s="682" t="s">
        <v>924</v>
      </c>
      <c r="E294" s="682" t="s">
        <v>944</v>
      </c>
      <c r="F294" s="682">
        <v>2021.0</v>
      </c>
      <c r="G294" s="683">
        <v>0.001322957</v>
      </c>
      <c r="H294" s="683">
        <v>7.31386E-4</v>
      </c>
      <c r="I294" s="684">
        <v>0.002381467</v>
      </c>
      <c r="K294" s="693" t="s">
        <v>33</v>
      </c>
      <c r="L294" s="694" t="s">
        <v>944</v>
      </c>
      <c r="M294" s="694" t="s">
        <v>915</v>
      </c>
      <c r="N294" s="694" t="s">
        <v>918</v>
      </c>
      <c r="O294" s="694">
        <v>2021.0</v>
      </c>
      <c r="P294" s="694" t="s">
        <v>919</v>
      </c>
      <c r="Q294" s="695" t="s">
        <v>112</v>
      </c>
      <c r="R294" s="696">
        <v>4078.499637</v>
      </c>
      <c r="S294" s="696">
        <v>2132.395313</v>
      </c>
      <c r="T294" s="697">
        <v>6459.038828</v>
      </c>
      <c r="AB294" s="722"/>
      <c r="AF294" s="669"/>
    </row>
    <row r="295">
      <c r="A295" s="675"/>
      <c r="B295" s="681" t="s">
        <v>35</v>
      </c>
      <c r="C295" s="682" t="s">
        <v>915</v>
      </c>
      <c r="D295" s="682" t="s">
        <v>926</v>
      </c>
      <c r="E295" s="682" t="s">
        <v>944</v>
      </c>
      <c r="F295" s="682">
        <v>2021.0</v>
      </c>
      <c r="G295" s="683">
        <v>0.03220683</v>
      </c>
      <c r="H295" s="683">
        <v>0.021165913</v>
      </c>
      <c r="I295" s="684">
        <v>0.043565401</v>
      </c>
      <c r="K295" s="693" t="s">
        <v>33</v>
      </c>
      <c r="L295" s="694" t="s">
        <v>944</v>
      </c>
      <c r="M295" s="694" t="s">
        <v>915</v>
      </c>
      <c r="N295" s="694" t="s">
        <v>923</v>
      </c>
      <c r="O295" s="694">
        <v>2021.0</v>
      </c>
      <c r="P295" s="694" t="s">
        <v>919</v>
      </c>
      <c r="Q295" s="695" t="s">
        <v>112</v>
      </c>
      <c r="R295" s="696">
        <v>170.9802828</v>
      </c>
      <c r="S295" s="696">
        <v>80.71141507</v>
      </c>
      <c r="T295" s="697">
        <v>268.9544389</v>
      </c>
      <c r="AB295" s="722"/>
      <c r="AF295" s="669"/>
    </row>
    <row r="296">
      <c r="A296" s="675"/>
      <c r="B296" s="681" t="s">
        <v>66</v>
      </c>
      <c r="C296" s="682" t="s">
        <v>915</v>
      </c>
      <c r="D296" s="682" t="s">
        <v>916</v>
      </c>
      <c r="E296" s="682" t="s">
        <v>944</v>
      </c>
      <c r="F296" s="682">
        <v>2021.0</v>
      </c>
      <c r="G296" s="683">
        <v>0.003444727</v>
      </c>
      <c r="H296" s="683">
        <v>0.001740355</v>
      </c>
      <c r="I296" s="684">
        <v>0.006803668</v>
      </c>
      <c r="K296" s="693" t="s">
        <v>33</v>
      </c>
      <c r="L296" s="694" t="s">
        <v>944</v>
      </c>
      <c r="M296" s="694" t="s">
        <v>915</v>
      </c>
      <c r="N296" s="694" t="s">
        <v>925</v>
      </c>
      <c r="O296" s="694">
        <v>2021.0</v>
      </c>
      <c r="P296" s="694" t="s">
        <v>919</v>
      </c>
      <c r="Q296" s="695" t="s">
        <v>112</v>
      </c>
      <c r="R296" s="696">
        <v>258.344721</v>
      </c>
      <c r="S296" s="696">
        <v>126.544462</v>
      </c>
      <c r="T296" s="697">
        <v>410.3503091</v>
      </c>
      <c r="AB296" s="722"/>
      <c r="AF296" s="669"/>
    </row>
    <row r="297">
      <c r="A297" s="675"/>
      <c r="B297" s="681" t="s">
        <v>66</v>
      </c>
      <c r="C297" s="682" t="s">
        <v>915</v>
      </c>
      <c r="D297" s="682" t="s">
        <v>922</v>
      </c>
      <c r="E297" s="682" t="s">
        <v>944</v>
      </c>
      <c r="F297" s="682">
        <v>2021.0</v>
      </c>
      <c r="G297" s="683">
        <v>0.018454295</v>
      </c>
      <c r="H297" s="683">
        <v>0.009929494</v>
      </c>
      <c r="I297" s="684">
        <v>0.035460172</v>
      </c>
      <c r="K297" s="693" t="s">
        <v>33</v>
      </c>
      <c r="L297" s="694" t="s">
        <v>944</v>
      </c>
      <c r="M297" s="694" t="s">
        <v>915</v>
      </c>
      <c r="N297" s="694" t="s">
        <v>927</v>
      </c>
      <c r="O297" s="694">
        <v>2021.0</v>
      </c>
      <c r="P297" s="694" t="s">
        <v>919</v>
      </c>
      <c r="Q297" s="695" t="s">
        <v>112</v>
      </c>
      <c r="R297" s="696">
        <v>4109.563376</v>
      </c>
      <c r="S297" s="696">
        <v>2614.457557</v>
      </c>
      <c r="T297" s="697">
        <v>6189.715086</v>
      </c>
      <c r="AB297" s="722"/>
      <c r="AF297" s="669"/>
    </row>
    <row r="298">
      <c r="A298" s="675"/>
      <c r="B298" s="681" t="s">
        <v>66</v>
      </c>
      <c r="C298" s="682" t="s">
        <v>915</v>
      </c>
      <c r="D298" s="682" t="s">
        <v>924</v>
      </c>
      <c r="E298" s="682" t="s">
        <v>944</v>
      </c>
      <c r="F298" s="682">
        <v>2021.0</v>
      </c>
      <c r="G298" s="683">
        <v>8.45421E-4</v>
      </c>
      <c r="H298" s="683">
        <v>4.30579E-4</v>
      </c>
      <c r="I298" s="684">
        <v>0.001511679</v>
      </c>
      <c r="K298" s="693" t="s">
        <v>33</v>
      </c>
      <c r="L298" s="694" t="s">
        <v>944</v>
      </c>
      <c r="M298" s="694" t="s">
        <v>915</v>
      </c>
      <c r="N298" s="694" t="s">
        <v>926</v>
      </c>
      <c r="O298" s="694">
        <v>2021.0</v>
      </c>
      <c r="P298" s="694" t="s">
        <v>919</v>
      </c>
      <c r="Q298" s="695" t="s">
        <v>112</v>
      </c>
      <c r="R298" s="696">
        <v>8617.388016</v>
      </c>
      <c r="S298" s="696">
        <v>5265.950559</v>
      </c>
      <c r="T298" s="697">
        <v>12742.68216</v>
      </c>
      <c r="AB298" s="722"/>
      <c r="AF298" s="669"/>
    </row>
    <row r="299">
      <c r="A299" s="675"/>
      <c r="B299" s="681" t="s">
        <v>66</v>
      </c>
      <c r="C299" s="682" t="s">
        <v>915</v>
      </c>
      <c r="D299" s="682" t="s">
        <v>926</v>
      </c>
      <c r="E299" s="682" t="s">
        <v>944</v>
      </c>
      <c r="F299" s="682">
        <v>2021.0</v>
      </c>
      <c r="G299" s="683">
        <v>0.019506681</v>
      </c>
      <c r="H299" s="683">
        <v>0.013297387</v>
      </c>
      <c r="I299" s="684">
        <v>0.026898203</v>
      </c>
      <c r="K299" s="693" t="s">
        <v>34</v>
      </c>
      <c r="L299" s="694" t="s">
        <v>944</v>
      </c>
      <c r="M299" s="694" t="s">
        <v>915</v>
      </c>
      <c r="N299" s="694" t="s">
        <v>918</v>
      </c>
      <c r="O299" s="694">
        <v>2021.0</v>
      </c>
      <c r="P299" s="694" t="s">
        <v>919</v>
      </c>
      <c r="Q299" s="695" t="s">
        <v>112</v>
      </c>
      <c r="R299" s="696">
        <v>1939.693629</v>
      </c>
      <c r="S299" s="696">
        <v>1069.390851</v>
      </c>
      <c r="T299" s="697">
        <v>3016.679352</v>
      </c>
      <c r="AB299" s="722"/>
      <c r="AF299" s="669"/>
    </row>
    <row r="300">
      <c r="A300" s="675"/>
      <c r="B300" s="681" t="s">
        <v>67</v>
      </c>
      <c r="C300" s="682" t="s">
        <v>915</v>
      </c>
      <c r="D300" s="682" t="s">
        <v>916</v>
      </c>
      <c r="E300" s="682" t="s">
        <v>944</v>
      </c>
      <c r="F300" s="682">
        <v>2021.0</v>
      </c>
      <c r="G300" s="683">
        <v>0.004175441</v>
      </c>
      <c r="H300" s="683">
        <v>0.002096143</v>
      </c>
      <c r="I300" s="684">
        <v>0.007969725</v>
      </c>
      <c r="K300" s="693" t="s">
        <v>34</v>
      </c>
      <c r="L300" s="694" t="s">
        <v>944</v>
      </c>
      <c r="M300" s="694" t="s">
        <v>915</v>
      </c>
      <c r="N300" s="694" t="s">
        <v>923</v>
      </c>
      <c r="O300" s="694">
        <v>2021.0</v>
      </c>
      <c r="P300" s="694" t="s">
        <v>919</v>
      </c>
      <c r="Q300" s="695" t="s">
        <v>112</v>
      </c>
      <c r="R300" s="696">
        <v>120.5220324</v>
      </c>
      <c r="S300" s="696">
        <v>56.29795371</v>
      </c>
      <c r="T300" s="697">
        <v>187.1241882</v>
      </c>
      <c r="AB300" s="722"/>
      <c r="AF300" s="669"/>
    </row>
    <row r="301">
      <c r="A301" s="675"/>
      <c r="B301" s="681" t="s">
        <v>67</v>
      </c>
      <c r="C301" s="682" t="s">
        <v>915</v>
      </c>
      <c r="D301" s="682" t="s">
        <v>922</v>
      </c>
      <c r="E301" s="682" t="s">
        <v>944</v>
      </c>
      <c r="F301" s="682">
        <v>2021.0</v>
      </c>
      <c r="G301" s="683">
        <v>0.030197009</v>
      </c>
      <c r="H301" s="683">
        <v>0.015995333</v>
      </c>
      <c r="I301" s="684">
        <v>0.054682806</v>
      </c>
      <c r="K301" s="693" t="s">
        <v>34</v>
      </c>
      <c r="L301" s="694" t="s">
        <v>944</v>
      </c>
      <c r="M301" s="694" t="s">
        <v>915</v>
      </c>
      <c r="N301" s="694" t="s">
        <v>925</v>
      </c>
      <c r="O301" s="694">
        <v>2021.0</v>
      </c>
      <c r="P301" s="694" t="s">
        <v>919</v>
      </c>
      <c r="Q301" s="695" t="s">
        <v>112</v>
      </c>
      <c r="R301" s="696">
        <v>103.1314378</v>
      </c>
      <c r="S301" s="696">
        <v>53.32720294</v>
      </c>
      <c r="T301" s="697">
        <v>171.7877075</v>
      </c>
      <c r="AB301" s="722"/>
      <c r="AF301" s="669"/>
    </row>
    <row r="302">
      <c r="A302" s="675"/>
      <c r="B302" s="681" t="s">
        <v>67</v>
      </c>
      <c r="C302" s="682" t="s">
        <v>915</v>
      </c>
      <c r="D302" s="682" t="s">
        <v>924</v>
      </c>
      <c r="E302" s="682" t="s">
        <v>944</v>
      </c>
      <c r="F302" s="682">
        <v>2021.0</v>
      </c>
      <c r="G302" s="683">
        <v>9.59022E-4</v>
      </c>
      <c r="H302" s="683">
        <v>4.45364E-4</v>
      </c>
      <c r="I302" s="684">
        <v>0.001724097</v>
      </c>
      <c r="K302" s="693" t="s">
        <v>34</v>
      </c>
      <c r="L302" s="694" t="s">
        <v>944</v>
      </c>
      <c r="M302" s="694" t="s">
        <v>915</v>
      </c>
      <c r="N302" s="694" t="s">
        <v>927</v>
      </c>
      <c r="O302" s="694">
        <v>2021.0</v>
      </c>
      <c r="P302" s="694" t="s">
        <v>919</v>
      </c>
      <c r="Q302" s="695" t="s">
        <v>112</v>
      </c>
      <c r="R302" s="696">
        <v>2319.33864</v>
      </c>
      <c r="S302" s="696">
        <v>1531.127805</v>
      </c>
      <c r="T302" s="697">
        <v>3212.863828</v>
      </c>
      <c r="AB302" s="722"/>
      <c r="AF302" s="669"/>
    </row>
    <row r="303">
      <c r="A303" s="675"/>
      <c r="B303" s="681" t="s">
        <v>67</v>
      </c>
      <c r="C303" s="682" t="s">
        <v>915</v>
      </c>
      <c r="D303" s="682" t="s">
        <v>926</v>
      </c>
      <c r="E303" s="682" t="s">
        <v>944</v>
      </c>
      <c r="F303" s="682">
        <v>2021.0</v>
      </c>
      <c r="G303" s="683">
        <v>0.014523595</v>
      </c>
      <c r="H303" s="683">
        <v>0.009481371</v>
      </c>
      <c r="I303" s="684">
        <v>0.02057516</v>
      </c>
      <c r="K303" s="693" t="s">
        <v>34</v>
      </c>
      <c r="L303" s="694" t="s">
        <v>944</v>
      </c>
      <c r="M303" s="694" t="s">
        <v>915</v>
      </c>
      <c r="N303" s="694" t="s">
        <v>926</v>
      </c>
      <c r="O303" s="694">
        <v>2021.0</v>
      </c>
      <c r="P303" s="694" t="s">
        <v>919</v>
      </c>
      <c r="Q303" s="695" t="s">
        <v>112</v>
      </c>
      <c r="R303" s="696">
        <v>4482.685739</v>
      </c>
      <c r="S303" s="696">
        <v>2927.031601</v>
      </c>
      <c r="T303" s="697">
        <v>6271.386552</v>
      </c>
      <c r="AB303" s="722"/>
      <c r="AF303" s="669"/>
    </row>
    <row r="304">
      <c r="A304" s="675"/>
      <c r="B304" s="681" t="s">
        <v>37</v>
      </c>
      <c r="C304" s="682" t="s">
        <v>915</v>
      </c>
      <c r="D304" s="682" t="s">
        <v>916</v>
      </c>
      <c r="E304" s="682" t="s">
        <v>944</v>
      </c>
      <c r="F304" s="682">
        <v>2021.0</v>
      </c>
      <c r="G304" s="683">
        <v>0.004713418</v>
      </c>
      <c r="H304" s="683">
        <v>0.002372194</v>
      </c>
      <c r="I304" s="684">
        <v>0.009235257</v>
      </c>
      <c r="K304" s="693" t="s">
        <v>54</v>
      </c>
      <c r="L304" s="694" t="s">
        <v>944</v>
      </c>
      <c r="M304" s="694" t="s">
        <v>915</v>
      </c>
      <c r="N304" s="694" t="s">
        <v>918</v>
      </c>
      <c r="O304" s="694">
        <v>2021.0</v>
      </c>
      <c r="P304" s="694" t="s">
        <v>919</v>
      </c>
      <c r="Q304" s="695" t="s">
        <v>112</v>
      </c>
      <c r="R304" s="696">
        <v>130.8900125</v>
      </c>
      <c r="S304" s="696">
        <v>57.36114903</v>
      </c>
      <c r="T304" s="697">
        <v>241.4273328</v>
      </c>
      <c r="AB304" s="722"/>
      <c r="AF304" s="669"/>
    </row>
    <row r="305">
      <c r="A305" s="675"/>
      <c r="B305" s="681" t="s">
        <v>37</v>
      </c>
      <c r="C305" s="682" t="s">
        <v>915</v>
      </c>
      <c r="D305" s="682" t="s">
        <v>922</v>
      </c>
      <c r="E305" s="682" t="s">
        <v>944</v>
      </c>
      <c r="F305" s="682">
        <v>2021.0</v>
      </c>
      <c r="G305" s="683">
        <v>0.040274929</v>
      </c>
      <c r="H305" s="683">
        <v>0.022136497</v>
      </c>
      <c r="I305" s="684">
        <v>0.073138386</v>
      </c>
      <c r="K305" s="693" t="s">
        <v>54</v>
      </c>
      <c r="L305" s="694" t="s">
        <v>944</v>
      </c>
      <c r="M305" s="694" t="s">
        <v>915</v>
      </c>
      <c r="N305" s="694" t="s">
        <v>923</v>
      </c>
      <c r="O305" s="694">
        <v>2021.0</v>
      </c>
      <c r="P305" s="694" t="s">
        <v>919</v>
      </c>
      <c r="Q305" s="695" t="s">
        <v>112</v>
      </c>
      <c r="R305" s="696">
        <v>10.95262137</v>
      </c>
      <c r="S305" s="696">
        <v>5.907843303</v>
      </c>
      <c r="T305" s="697">
        <v>18.45002612</v>
      </c>
      <c r="AB305" s="722"/>
      <c r="AF305" s="669"/>
    </row>
    <row r="306">
      <c r="A306" s="675"/>
      <c r="B306" s="681" t="s">
        <v>37</v>
      </c>
      <c r="C306" s="682" t="s">
        <v>915</v>
      </c>
      <c r="D306" s="682" t="s">
        <v>924</v>
      </c>
      <c r="E306" s="682" t="s">
        <v>944</v>
      </c>
      <c r="F306" s="682">
        <v>2021.0</v>
      </c>
      <c r="G306" s="683">
        <v>0.001353697</v>
      </c>
      <c r="H306" s="683">
        <v>6.94111E-4</v>
      </c>
      <c r="I306" s="684">
        <v>0.002504799</v>
      </c>
      <c r="K306" s="693" t="s">
        <v>54</v>
      </c>
      <c r="L306" s="694" t="s">
        <v>944</v>
      </c>
      <c r="M306" s="694" t="s">
        <v>915</v>
      </c>
      <c r="N306" s="694" t="s">
        <v>925</v>
      </c>
      <c r="O306" s="694">
        <v>2021.0</v>
      </c>
      <c r="P306" s="694" t="s">
        <v>919</v>
      </c>
      <c r="Q306" s="695" t="s">
        <v>112</v>
      </c>
      <c r="R306" s="696">
        <v>9.01224181</v>
      </c>
      <c r="S306" s="696">
        <v>3.651342997</v>
      </c>
      <c r="T306" s="697">
        <v>21.20666288</v>
      </c>
      <c r="AB306" s="722"/>
      <c r="AF306" s="669"/>
    </row>
    <row r="307">
      <c r="A307" s="675"/>
      <c r="B307" s="681" t="s">
        <v>37</v>
      </c>
      <c r="C307" s="682" t="s">
        <v>915</v>
      </c>
      <c r="D307" s="682" t="s">
        <v>926</v>
      </c>
      <c r="E307" s="682" t="s">
        <v>944</v>
      </c>
      <c r="F307" s="682">
        <v>2021.0</v>
      </c>
      <c r="G307" s="683">
        <v>0.038689546</v>
      </c>
      <c r="H307" s="683">
        <v>0.02703802</v>
      </c>
      <c r="I307" s="684">
        <v>0.052132698</v>
      </c>
      <c r="K307" s="693" t="s">
        <v>54</v>
      </c>
      <c r="L307" s="694" t="s">
        <v>944</v>
      </c>
      <c r="M307" s="694" t="s">
        <v>915</v>
      </c>
      <c r="N307" s="694" t="s">
        <v>927</v>
      </c>
      <c r="O307" s="694">
        <v>2021.0</v>
      </c>
      <c r="P307" s="694" t="s">
        <v>919</v>
      </c>
      <c r="Q307" s="695" t="s">
        <v>112</v>
      </c>
      <c r="R307" s="696">
        <v>150.418911</v>
      </c>
      <c r="S307" s="696">
        <v>72.28415793</v>
      </c>
      <c r="T307" s="697">
        <v>263.0414328</v>
      </c>
      <c r="AB307" s="722"/>
      <c r="AF307" s="669"/>
    </row>
    <row r="308">
      <c r="A308" s="675"/>
      <c r="B308" s="681" t="s">
        <v>38</v>
      </c>
      <c r="C308" s="682" t="s">
        <v>915</v>
      </c>
      <c r="D308" s="682" t="s">
        <v>916</v>
      </c>
      <c r="E308" s="682" t="s">
        <v>215</v>
      </c>
      <c r="F308" s="682">
        <v>2021.0</v>
      </c>
      <c r="G308" s="683">
        <v>1.33E-6</v>
      </c>
      <c r="H308" s="683">
        <v>5.93E-7</v>
      </c>
      <c r="I308" s="684">
        <v>2.42E-6</v>
      </c>
      <c r="K308" s="693" t="s">
        <v>54</v>
      </c>
      <c r="L308" s="694" t="s">
        <v>944</v>
      </c>
      <c r="M308" s="694" t="s">
        <v>915</v>
      </c>
      <c r="N308" s="694" t="s">
        <v>926</v>
      </c>
      <c r="O308" s="694">
        <v>2021.0</v>
      </c>
      <c r="P308" s="694" t="s">
        <v>919</v>
      </c>
      <c r="Q308" s="695" t="s">
        <v>112</v>
      </c>
      <c r="R308" s="696">
        <v>301.2737867</v>
      </c>
      <c r="S308" s="696">
        <v>153.4260722</v>
      </c>
      <c r="T308" s="697">
        <v>506.4377444</v>
      </c>
      <c r="AB308" s="722"/>
      <c r="AF308" s="669"/>
    </row>
    <row r="309">
      <c r="A309" s="675"/>
      <c r="B309" s="681" t="s">
        <v>38</v>
      </c>
      <c r="C309" s="682" t="s">
        <v>915</v>
      </c>
      <c r="D309" s="682" t="s">
        <v>922</v>
      </c>
      <c r="E309" s="682" t="s">
        <v>215</v>
      </c>
      <c r="F309" s="682">
        <v>2021.0</v>
      </c>
      <c r="G309" s="683">
        <v>1.62E-6</v>
      </c>
      <c r="H309" s="683">
        <v>3.98E-7</v>
      </c>
      <c r="I309" s="684">
        <v>3.75E-6</v>
      </c>
      <c r="K309" s="693" t="s">
        <v>55</v>
      </c>
      <c r="L309" s="694" t="s">
        <v>944</v>
      </c>
      <c r="M309" s="694" t="s">
        <v>915</v>
      </c>
      <c r="N309" s="694" t="s">
        <v>918</v>
      </c>
      <c r="O309" s="694">
        <v>2021.0</v>
      </c>
      <c r="P309" s="694" t="s">
        <v>919</v>
      </c>
      <c r="Q309" s="695" t="s">
        <v>112</v>
      </c>
      <c r="R309" s="696">
        <v>83.3526728</v>
      </c>
      <c r="S309" s="696">
        <v>37.38462236</v>
      </c>
      <c r="T309" s="697">
        <v>166.4808031</v>
      </c>
      <c r="AB309" s="722"/>
      <c r="AF309" s="669"/>
    </row>
    <row r="310">
      <c r="A310" s="675"/>
      <c r="B310" s="681" t="s">
        <v>38</v>
      </c>
      <c r="C310" s="682" t="s">
        <v>915</v>
      </c>
      <c r="D310" s="682" t="s">
        <v>924</v>
      </c>
      <c r="E310" s="682" t="s">
        <v>215</v>
      </c>
      <c r="F310" s="682">
        <v>2021.0</v>
      </c>
      <c r="G310" s="683">
        <v>1.73E-6</v>
      </c>
      <c r="H310" s="683">
        <v>3.99E-7</v>
      </c>
      <c r="I310" s="684">
        <v>4.47E-6</v>
      </c>
      <c r="K310" s="693" t="s">
        <v>55</v>
      </c>
      <c r="L310" s="694" t="s">
        <v>944</v>
      </c>
      <c r="M310" s="694" t="s">
        <v>915</v>
      </c>
      <c r="N310" s="694" t="s">
        <v>923</v>
      </c>
      <c r="O310" s="694">
        <v>2021.0</v>
      </c>
      <c r="P310" s="694" t="s">
        <v>919</v>
      </c>
      <c r="Q310" s="695" t="s">
        <v>112</v>
      </c>
      <c r="R310" s="696">
        <v>10.28972327</v>
      </c>
      <c r="S310" s="696">
        <v>5.268504774</v>
      </c>
      <c r="T310" s="697">
        <v>17.85296924</v>
      </c>
      <c r="AB310" s="722"/>
      <c r="AF310" s="669"/>
    </row>
    <row r="311">
      <c r="A311" s="675"/>
      <c r="B311" s="681" t="s">
        <v>38</v>
      </c>
      <c r="C311" s="682" t="s">
        <v>915</v>
      </c>
      <c r="D311" s="682" t="s">
        <v>926</v>
      </c>
      <c r="E311" s="682" t="s">
        <v>215</v>
      </c>
      <c r="F311" s="682">
        <v>2021.0</v>
      </c>
      <c r="G311" s="683">
        <v>8.6E-6</v>
      </c>
      <c r="H311" s="683">
        <v>2.87E-6</v>
      </c>
      <c r="I311" s="684">
        <v>1.93E-5</v>
      </c>
      <c r="K311" s="693" t="s">
        <v>55</v>
      </c>
      <c r="L311" s="694" t="s">
        <v>944</v>
      </c>
      <c r="M311" s="694" t="s">
        <v>915</v>
      </c>
      <c r="N311" s="694" t="s">
        <v>925</v>
      </c>
      <c r="O311" s="694">
        <v>2021.0</v>
      </c>
      <c r="P311" s="694" t="s">
        <v>919</v>
      </c>
      <c r="Q311" s="695" t="s">
        <v>112</v>
      </c>
      <c r="R311" s="696">
        <v>11.69385697</v>
      </c>
      <c r="S311" s="696">
        <v>5.359528883</v>
      </c>
      <c r="T311" s="697">
        <v>24.2109281</v>
      </c>
      <c r="AB311" s="722"/>
      <c r="AF311" s="669"/>
    </row>
    <row r="312">
      <c r="A312" s="675"/>
      <c r="B312" s="681" t="s">
        <v>39</v>
      </c>
      <c r="C312" s="682" t="s">
        <v>915</v>
      </c>
      <c r="D312" s="682" t="s">
        <v>916</v>
      </c>
      <c r="E312" s="682" t="s">
        <v>215</v>
      </c>
      <c r="F312" s="682">
        <v>2021.0</v>
      </c>
      <c r="G312" s="683">
        <v>5.37E-6</v>
      </c>
      <c r="H312" s="683">
        <v>2.5E-6</v>
      </c>
      <c r="I312" s="684">
        <v>9.81E-6</v>
      </c>
      <c r="K312" s="693" t="s">
        <v>55</v>
      </c>
      <c r="L312" s="694" t="s">
        <v>944</v>
      </c>
      <c r="M312" s="694" t="s">
        <v>915</v>
      </c>
      <c r="N312" s="694" t="s">
        <v>927</v>
      </c>
      <c r="O312" s="694">
        <v>2021.0</v>
      </c>
      <c r="P312" s="694" t="s">
        <v>919</v>
      </c>
      <c r="Q312" s="695" t="s">
        <v>112</v>
      </c>
      <c r="R312" s="696">
        <v>146.7326603</v>
      </c>
      <c r="S312" s="696">
        <v>73.67798901</v>
      </c>
      <c r="T312" s="697">
        <v>257.9589222</v>
      </c>
      <c r="AB312" s="722"/>
      <c r="AF312" s="669"/>
    </row>
    <row r="313">
      <c r="A313" s="675"/>
      <c r="B313" s="681" t="s">
        <v>39</v>
      </c>
      <c r="C313" s="682" t="s">
        <v>915</v>
      </c>
      <c r="D313" s="682" t="s">
        <v>922</v>
      </c>
      <c r="E313" s="682" t="s">
        <v>215</v>
      </c>
      <c r="F313" s="682">
        <v>2021.0</v>
      </c>
      <c r="G313" s="683">
        <v>6.74E-6</v>
      </c>
      <c r="H313" s="683">
        <v>1.81E-6</v>
      </c>
      <c r="I313" s="684">
        <v>1.56E-5</v>
      </c>
      <c r="K313" s="693" t="s">
        <v>55</v>
      </c>
      <c r="L313" s="694" t="s">
        <v>944</v>
      </c>
      <c r="M313" s="694" t="s">
        <v>915</v>
      </c>
      <c r="N313" s="694" t="s">
        <v>926</v>
      </c>
      <c r="O313" s="694">
        <v>2021.0</v>
      </c>
      <c r="P313" s="694" t="s">
        <v>919</v>
      </c>
      <c r="Q313" s="695" t="s">
        <v>112</v>
      </c>
      <c r="R313" s="696">
        <v>252.0689133</v>
      </c>
      <c r="S313" s="696">
        <v>133.1131068</v>
      </c>
      <c r="T313" s="697">
        <v>440.2480538</v>
      </c>
      <c r="AB313" s="722"/>
      <c r="AF313" s="669"/>
    </row>
    <row r="314">
      <c r="A314" s="675"/>
      <c r="B314" s="681" t="s">
        <v>39</v>
      </c>
      <c r="C314" s="682" t="s">
        <v>915</v>
      </c>
      <c r="D314" s="682" t="s">
        <v>924</v>
      </c>
      <c r="E314" s="682" t="s">
        <v>215</v>
      </c>
      <c r="F314" s="682">
        <v>2021.0</v>
      </c>
      <c r="G314" s="683">
        <v>1.08E-5</v>
      </c>
      <c r="H314" s="683">
        <v>2.52E-6</v>
      </c>
      <c r="I314" s="684">
        <v>2.65E-5</v>
      </c>
      <c r="K314" s="693" t="s">
        <v>56</v>
      </c>
      <c r="L314" s="694" t="s">
        <v>944</v>
      </c>
      <c r="M314" s="694" t="s">
        <v>915</v>
      </c>
      <c r="N314" s="694" t="s">
        <v>918</v>
      </c>
      <c r="O314" s="694">
        <v>2021.0</v>
      </c>
      <c r="P314" s="694" t="s">
        <v>919</v>
      </c>
      <c r="Q314" s="695" t="s">
        <v>112</v>
      </c>
      <c r="R314" s="696">
        <v>97.74649543</v>
      </c>
      <c r="S314" s="696">
        <v>32.9566141</v>
      </c>
      <c r="T314" s="697">
        <v>236.8997817</v>
      </c>
      <c r="AB314" s="722"/>
      <c r="AF314" s="669"/>
    </row>
    <row r="315">
      <c r="A315" s="675"/>
      <c r="B315" s="681" t="s">
        <v>39</v>
      </c>
      <c r="C315" s="682" t="s">
        <v>915</v>
      </c>
      <c r="D315" s="682" t="s">
        <v>926</v>
      </c>
      <c r="E315" s="682" t="s">
        <v>215</v>
      </c>
      <c r="F315" s="682">
        <v>2021.0</v>
      </c>
      <c r="G315" s="683">
        <v>6.78E-5</v>
      </c>
      <c r="H315" s="683">
        <v>2.28E-5</v>
      </c>
      <c r="I315" s="684">
        <v>1.38339E-4</v>
      </c>
      <c r="K315" s="693" t="s">
        <v>56</v>
      </c>
      <c r="L315" s="694" t="s">
        <v>944</v>
      </c>
      <c r="M315" s="694" t="s">
        <v>915</v>
      </c>
      <c r="N315" s="694" t="s">
        <v>923</v>
      </c>
      <c r="O315" s="694">
        <v>2021.0</v>
      </c>
      <c r="P315" s="694" t="s">
        <v>919</v>
      </c>
      <c r="Q315" s="695" t="s">
        <v>112</v>
      </c>
      <c r="R315" s="696">
        <v>16.89501024</v>
      </c>
      <c r="S315" s="696">
        <v>7.254864116</v>
      </c>
      <c r="T315" s="697">
        <v>33.20194839</v>
      </c>
      <c r="AB315" s="722"/>
      <c r="AF315" s="669"/>
    </row>
    <row r="316">
      <c r="A316" s="675"/>
      <c r="B316" s="681" t="s">
        <v>40</v>
      </c>
      <c r="C316" s="682" t="s">
        <v>915</v>
      </c>
      <c r="D316" s="682" t="s">
        <v>916</v>
      </c>
      <c r="E316" s="682" t="s">
        <v>215</v>
      </c>
      <c r="F316" s="682">
        <v>2021.0</v>
      </c>
      <c r="G316" s="683">
        <v>1.61E-6</v>
      </c>
      <c r="H316" s="683">
        <v>6.96E-7</v>
      </c>
      <c r="I316" s="684">
        <v>3.11E-6</v>
      </c>
      <c r="K316" s="693" t="s">
        <v>56</v>
      </c>
      <c r="L316" s="694" t="s">
        <v>944</v>
      </c>
      <c r="M316" s="694" t="s">
        <v>915</v>
      </c>
      <c r="N316" s="694" t="s">
        <v>925</v>
      </c>
      <c r="O316" s="694">
        <v>2021.0</v>
      </c>
      <c r="P316" s="694" t="s">
        <v>919</v>
      </c>
      <c r="Q316" s="695" t="s">
        <v>112</v>
      </c>
      <c r="R316" s="696">
        <v>16.35667984</v>
      </c>
      <c r="S316" s="696">
        <v>5.353872258</v>
      </c>
      <c r="T316" s="697">
        <v>38.56141397</v>
      </c>
      <c r="AB316" s="722"/>
      <c r="AF316" s="669"/>
    </row>
    <row r="317">
      <c r="A317" s="675"/>
      <c r="B317" s="681" t="s">
        <v>40</v>
      </c>
      <c r="C317" s="682" t="s">
        <v>915</v>
      </c>
      <c r="D317" s="682" t="s">
        <v>922</v>
      </c>
      <c r="E317" s="682" t="s">
        <v>215</v>
      </c>
      <c r="F317" s="682">
        <v>2021.0</v>
      </c>
      <c r="G317" s="683">
        <v>1.93E-6</v>
      </c>
      <c r="H317" s="683">
        <v>4.89E-7</v>
      </c>
      <c r="I317" s="684">
        <v>4.8E-6</v>
      </c>
      <c r="K317" s="693" t="s">
        <v>56</v>
      </c>
      <c r="L317" s="694" t="s">
        <v>944</v>
      </c>
      <c r="M317" s="694" t="s">
        <v>915</v>
      </c>
      <c r="N317" s="694" t="s">
        <v>927</v>
      </c>
      <c r="O317" s="694">
        <v>2021.0</v>
      </c>
      <c r="P317" s="694" t="s">
        <v>919</v>
      </c>
      <c r="Q317" s="695" t="s">
        <v>112</v>
      </c>
      <c r="R317" s="696">
        <v>207.9934017</v>
      </c>
      <c r="S317" s="696">
        <v>81.45297057</v>
      </c>
      <c r="T317" s="697">
        <v>435.4847987</v>
      </c>
      <c r="AB317" s="722"/>
      <c r="AF317" s="669"/>
    </row>
    <row r="318">
      <c r="A318" s="675"/>
      <c r="B318" s="681" t="s">
        <v>40</v>
      </c>
      <c r="C318" s="682" t="s">
        <v>915</v>
      </c>
      <c r="D318" s="682" t="s">
        <v>924</v>
      </c>
      <c r="E318" s="682" t="s">
        <v>215</v>
      </c>
      <c r="F318" s="682">
        <v>2021.0</v>
      </c>
      <c r="G318" s="683">
        <v>1.72E-6</v>
      </c>
      <c r="H318" s="683">
        <v>3.48E-7</v>
      </c>
      <c r="I318" s="684">
        <v>4.48E-6</v>
      </c>
      <c r="K318" s="693" t="s">
        <v>56</v>
      </c>
      <c r="L318" s="694" t="s">
        <v>944</v>
      </c>
      <c r="M318" s="694" t="s">
        <v>915</v>
      </c>
      <c r="N318" s="694" t="s">
        <v>926</v>
      </c>
      <c r="O318" s="694">
        <v>2021.0</v>
      </c>
      <c r="P318" s="694" t="s">
        <v>919</v>
      </c>
      <c r="Q318" s="695" t="s">
        <v>112</v>
      </c>
      <c r="R318" s="696">
        <v>338.9915872</v>
      </c>
      <c r="S318" s="696">
        <v>153.1829842</v>
      </c>
      <c r="T318" s="697">
        <v>721.9037334</v>
      </c>
      <c r="AB318" s="722"/>
      <c r="AF318" s="669"/>
    </row>
    <row r="319">
      <c r="A319" s="675"/>
      <c r="B319" s="681" t="s">
        <v>40</v>
      </c>
      <c r="C319" s="682" t="s">
        <v>915</v>
      </c>
      <c r="D319" s="682" t="s">
        <v>926</v>
      </c>
      <c r="E319" s="682" t="s">
        <v>215</v>
      </c>
      <c r="F319" s="682">
        <v>2021.0</v>
      </c>
      <c r="G319" s="683">
        <v>6.75E-6</v>
      </c>
      <c r="H319" s="683">
        <v>1.9E-6</v>
      </c>
      <c r="I319" s="684">
        <v>1.62E-5</v>
      </c>
      <c r="K319" s="693" t="s">
        <v>57</v>
      </c>
      <c r="L319" s="694" t="s">
        <v>944</v>
      </c>
      <c r="M319" s="694" t="s">
        <v>915</v>
      </c>
      <c r="N319" s="694" t="s">
        <v>918</v>
      </c>
      <c r="O319" s="694">
        <v>2021.0</v>
      </c>
      <c r="P319" s="694" t="s">
        <v>919</v>
      </c>
      <c r="Q319" s="695" t="s">
        <v>112</v>
      </c>
      <c r="R319" s="696">
        <v>449.3351542</v>
      </c>
      <c r="S319" s="696">
        <v>224.610043</v>
      </c>
      <c r="T319" s="697">
        <v>805.3612997</v>
      </c>
      <c r="AB319" s="722"/>
      <c r="AF319" s="669"/>
    </row>
    <row r="320">
      <c r="A320" s="675"/>
      <c r="B320" s="681" t="s">
        <v>41</v>
      </c>
      <c r="C320" s="682" t="s">
        <v>915</v>
      </c>
      <c r="D320" s="682" t="s">
        <v>916</v>
      </c>
      <c r="E320" s="682" t="s">
        <v>215</v>
      </c>
      <c r="F320" s="682">
        <v>2021.0</v>
      </c>
      <c r="G320" s="683">
        <v>9.81E-7</v>
      </c>
      <c r="H320" s="683">
        <v>4.37E-7</v>
      </c>
      <c r="I320" s="684">
        <v>1.82E-6</v>
      </c>
      <c r="K320" s="693" t="s">
        <v>57</v>
      </c>
      <c r="L320" s="694" t="s">
        <v>944</v>
      </c>
      <c r="M320" s="694" t="s">
        <v>915</v>
      </c>
      <c r="N320" s="694" t="s">
        <v>923</v>
      </c>
      <c r="O320" s="694">
        <v>2021.0</v>
      </c>
      <c r="P320" s="694" t="s">
        <v>919</v>
      </c>
      <c r="Q320" s="695" t="s">
        <v>112</v>
      </c>
      <c r="R320" s="696">
        <v>39.98148502</v>
      </c>
      <c r="S320" s="696">
        <v>23.18181758</v>
      </c>
      <c r="T320" s="697">
        <v>66.59121971</v>
      </c>
      <c r="AB320" s="722"/>
      <c r="AF320" s="669"/>
    </row>
    <row r="321">
      <c r="A321" s="675"/>
      <c r="B321" s="681" t="s">
        <v>41</v>
      </c>
      <c r="C321" s="682" t="s">
        <v>915</v>
      </c>
      <c r="D321" s="682" t="s">
        <v>922</v>
      </c>
      <c r="E321" s="682" t="s">
        <v>215</v>
      </c>
      <c r="F321" s="682">
        <v>2021.0</v>
      </c>
      <c r="G321" s="683">
        <v>1.22E-6</v>
      </c>
      <c r="H321" s="683">
        <v>3.19E-7</v>
      </c>
      <c r="I321" s="684">
        <v>2.94E-6</v>
      </c>
      <c r="K321" s="693" t="s">
        <v>57</v>
      </c>
      <c r="L321" s="694" t="s">
        <v>944</v>
      </c>
      <c r="M321" s="694" t="s">
        <v>915</v>
      </c>
      <c r="N321" s="694" t="s">
        <v>925</v>
      </c>
      <c r="O321" s="694">
        <v>2021.0</v>
      </c>
      <c r="P321" s="694" t="s">
        <v>919</v>
      </c>
      <c r="Q321" s="695" t="s">
        <v>112</v>
      </c>
      <c r="R321" s="696">
        <v>41.66667585</v>
      </c>
      <c r="S321" s="696">
        <v>23.25976038</v>
      </c>
      <c r="T321" s="697">
        <v>73.61658642</v>
      </c>
      <c r="AB321" s="722"/>
      <c r="AF321" s="669"/>
    </row>
    <row r="322">
      <c r="A322" s="675"/>
      <c r="B322" s="681" t="s">
        <v>41</v>
      </c>
      <c r="C322" s="682" t="s">
        <v>915</v>
      </c>
      <c r="D322" s="682" t="s">
        <v>924</v>
      </c>
      <c r="E322" s="682" t="s">
        <v>215</v>
      </c>
      <c r="F322" s="682">
        <v>2021.0</v>
      </c>
      <c r="G322" s="683">
        <v>1.09E-6</v>
      </c>
      <c r="H322" s="683">
        <v>2.29E-7</v>
      </c>
      <c r="I322" s="684">
        <v>2.68E-6</v>
      </c>
      <c r="K322" s="693" t="s">
        <v>57</v>
      </c>
      <c r="L322" s="694" t="s">
        <v>944</v>
      </c>
      <c r="M322" s="694" t="s">
        <v>915</v>
      </c>
      <c r="N322" s="694" t="s">
        <v>927</v>
      </c>
      <c r="O322" s="694">
        <v>2021.0</v>
      </c>
      <c r="P322" s="694" t="s">
        <v>919</v>
      </c>
      <c r="Q322" s="695" t="s">
        <v>112</v>
      </c>
      <c r="R322" s="696">
        <v>755.6070103</v>
      </c>
      <c r="S322" s="696">
        <v>453.0837173</v>
      </c>
      <c r="T322" s="697">
        <v>1181.284388</v>
      </c>
      <c r="AB322" s="722"/>
      <c r="AF322" s="669"/>
    </row>
    <row r="323">
      <c r="A323" s="675"/>
      <c r="B323" s="681" t="s">
        <v>41</v>
      </c>
      <c r="C323" s="682" t="s">
        <v>915</v>
      </c>
      <c r="D323" s="682" t="s">
        <v>926</v>
      </c>
      <c r="E323" s="682" t="s">
        <v>215</v>
      </c>
      <c r="F323" s="682">
        <v>2021.0</v>
      </c>
      <c r="G323" s="683">
        <v>3.9E-6</v>
      </c>
      <c r="H323" s="683">
        <v>1.03E-6</v>
      </c>
      <c r="I323" s="684">
        <v>8.85E-6</v>
      </c>
      <c r="K323" s="693" t="s">
        <v>57</v>
      </c>
      <c r="L323" s="694" t="s">
        <v>944</v>
      </c>
      <c r="M323" s="694" t="s">
        <v>915</v>
      </c>
      <c r="N323" s="694" t="s">
        <v>926</v>
      </c>
      <c r="O323" s="694">
        <v>2021.0</v>
      </c>
      <c r="P323" s="694" t="s">
        <v>919</v>
      </c>
      <c r="Q323" s="695" t="s">
        <v>112</v>
      </c>
      <c r="R323" s="696">
        <v>1286.590325</v>
      </c>
      <c r="S323" s="696">
        <v>760.5382548</v>
      </c>
      <c r="T323" s="697">
        <v>1983.376545</v>
      </c>
      <c r="AB323" s="722"/>
      <c r="AF323" s="669"/>
    </row>
    <row r="324">
      <c r="A324" s="675"/>
      <c r="B324" s="681" t="s">
        <v>26</v>
      </c>
      <c r="C324" s="682" t="s">
        <v>915</v>
      </c>
      <c r="D324" s="682" t="s">
        <v>916</v>
      </c>
      <c r="E324" s="682" t="s">
        <v>215</v>
      </c>
      <c r="F324" s="682">
        <v>2021.0</v>
      </c>
      <c r="G324" s="683">
        <v>2.77E-5</v>
      </c>
      <c r="H324" s="683">
        <v>1.14E-5</v>
      </c>
      <c r="I324" s="684">
        <v>5.17E-5</v>
      </c>
      <c r="K324" s="693" t="s">
        <v>58</v>
      </c>
      <c r="L324" s="694" t="s">
        <v>944</v>
      </c>
      <c r="M324" s="694" t="s">
        <v>915</v>
      </c>
      <c r="N324" s="694" t="s">
        <v>918</v>
      </c>
      <c r="O324" s="694">
        <v>2021.0</v>
      </c>
      <c r="P324" s="694" t="s">
        <v>919</v>
      </c>
      <c r="Q324" s="695" t="s">
        <v>112</v>
      </c>
      <c r="R324" s="696">
        <v>1830.670213</v>
      </c>
      <c r="S324" s="696">
        <v>938.2006187</v>
      </c>
      <c r="T324" s="697">
        <v>3100.536482</v>
      </c>
      <c r="AB324" s="722"/>
      <c r="AF324" s="669"/>
    </row>
    <row r="325">
      <c r="A325" s="675"/>
      <c r="B325" s="681" t="s">
        <v>26</v>
      </c>
      <c r="C325" s="682" t="s">
        <v>915</v>
      </c>
      <c r="D325" s="682" t="s">
        <v>922</v>
      </c>
      <c r="E325" s="682" t="s">
        <v>215</v>
      </c>
      <c r="F325" s="682">
        <v>2021.0</v>
      </c>
      <c r="G325" s="683">
        <v>4.12E-5</v>
      </c>
      <c r="H325" s="683">
        <v>1.02E-5</v>
      </c>
      <c r="I325" s="684">
        <v>9.41E-5</v>
      </c>
      <c r="K325" s="693" t="s">
        <v>58</v>
      </c>
      <c r="L325" s="694" t="s">
        <v>944</v>
      </c>
      <c r="M325" s="694" t="s">
        <v>915</v>
      </c>
      <c r="N325" s="694" t="s">
        <v>923</v>
      </c>
      <c r="O325" s="694">
        <v>2021.0</v>
      </c>
      <c r="P325" s="694" t="s">
        <v>919</v>
      </c>
      <c r="Q325" s="695" t="s">
        <v>112</v>
      </c>
      <c r="R325" s="696">
        <v>116.7900938</v>
      </c>
      <c r="S325" s="696">
        <v>67.22285957</v>
      </c>
      <c r="T325" s="697">
        <v>187.6870217</v>
      </c>
      <c r="AB325" s="722"/>
      <c r="AF325" s="669"/>
    </row>
    <row r="326">
      <c r="A326" s="675"/>
      <c r="B326" s="681" t="s">
        <v>26</v>
      </c>
      <c r="C326" s="682" t="s">
        <v>915</v>
      </c>
      <c r="D326" s="682" t="s">
        <v>924</v>
      </c>
      <c r="E326" s="682" t="s">
        <v>215</v>
      </c>
      <c r="F326" s="682">
        <v>2021.0</v>
      </c>
      <c r="G326" s="683">
        <v>5.88E-5</v>
      </c>
      <c r="H326" s="683">
        <v>1.46E-5</v>
      </c>
      <c r="I326" s="684">
        <v>1.60087E-4</v>
      </c>
      <c r="K326" s="693" t="s">
        <v>58</v>
      </c>
      <c r="L326" s="694" t="s">
        <v>944</v>
      </c>
      <c r="M326" s="694" t="s">
        <v>915</v>
      </c>
      <c r="N326" s="694" t="s">
        <v>925</v>
      </c>
      <c r="O326" s="694">
        <v>2021.0</v>
      </c>
      <c r="P326" s="694" t="s">
        <v>919</v>
      </c>
      <c r="Q326" s="695" t="s">
        <v>112</v>
      </c>
      <c r="R326" s="696">
        <v>166.9785541</v>
      </c>
      <c r="S326" s="696">
        <v>89.90641662</v>
      </c>
      <c r="T326" s="697">
        <v>283.4990569</v>
      </c>
      <c r="AB326" s="722"/>
      <c r="AF326" s="669"/>
    </row>
    <row r="327">
      <c r="A327" s="675"/>
      <c r="B327" s="681" t="s">
        <v>26</v>
      </c>
      <c r="C327" s="682" t="s">
        <v>915</v>
      </c>
      <c r="D327" s="682" t="s">
        <v>926</v>
      </c>
      <c r="E327" s="682" t="s">
        <v>215</v>
      </c>
      <c r="F327" s="682">
        <v>2021.0</v>
      </c>
      <c r="G327" s="683">
        <v>5.01357E-4</v>
      </c>
      <c r="H327" s="683">
        <v>1.36199E-4</v>
      </c>
      <c r="I327" s="684">
        <v>0.001155441</v>
      </c>
      <c r="K327" s="693" t="s">
        <v>58</v>
      </c>
      <c r="L327" s="694" t="s">
        <v>944</v>
      </c>
      <c r="M327" s="694" t="s">
        <v>915</v>
      </c>
      <c r="N327" s="694" t="s">
        <v>927</v>
      </c>
      <c r="O327" s="694">
        <v>2021.0</v>
      </c>
      <c r="P327" s="694" t="s">
        <v>919</v>
      </c>
      <c r="Q327" s="695" t="s">
        <v>112</v>
      </c>
      <c r="R327" s="696">
        <v>2959.923915</v>
      </c>
      <c r="S327" s="696">
        <v>1726.143318</v>
      </c>
      <c r="T327" s="697">
        <v>4636.143713</v>
      </c>
      <c r="AB327" s="722"/>
      <c r="AF327" s="669"/>
    </row>
    <row r="328">
      <c r="A328" s="675"/>
      <c r="B328" s="681" t="s">
        <v>42</v>
      </c>
      <c r="C328" s="682" t="s">
        <v>915</v>
      </c>
      <c r="D328" s="682" t="s">
        <v>916</v>
      </c>
      <c r="E328" s="682" t="s">
        <v>215</v>
      </c>
      <c r="F328" s="682">
        <v>2021.0</v>
      </c>
      <c r="G328" s="683">
        <v>3.66E-6</v>
      </c>
      <c r="H328" s="683">
        <v>1.66E-6</v>
      </c>
      <c r="I328" s="684">
        <v>6.8E-6</v>
      </c>
      <c r="K328" s="693" t="s">
        <v>58</v>
      </c>
      <c r="L328" s="694" t="s">
        <v>944</v>
      </c>
      <c r="M328" s="694" t="s">
        <v>915</v>
      </c>
      <c r="N328" s="694" t="s">
        <v>926</v>
      </c>
      <c r="O328" s="694">
        <v>2021.0</v>
      </c>
      <c r="P328" s="694" t="s">
        <v>919</v>
      </c>
      <c r="Q328" s="695" t="s">
        <v>112</v>
      </c>
      <c r="R328" s="696">
        <v>5074.362776</v>
      </c>
      <c r="S328" s="696">
        <v>2981.558955</v>
      </c>
      <c r="T328" s="697">
        <v>7852.307092</v>
      </c>
      <c r="AB328" s="722"/>
      <c r="AF328" s="669"/>
    </row>
    <row r="329">
      <c r="A329" s="675"/>
      <c r="B329" s="681" t="s">
        <v>42</v>
      </c>
      <c r="C329" s="682" t="s">
        <v>915</v>
      </c>
      <c r="D329" s="682" t="s">
        <v>922</v>
      </c>
      <c r="E329" s="682" t="s">
        <v>215</v>
      </c>
      <c r="F329" s="682">
        <v>2021.0</v>
      </c>
      <c r="G329" s="683">
        <v>3.89E-6</v>
      </c>
      <c r="H329" s="683">
        <v>9.13E-7</v>
      </c>
      <c r="I329" s="684">
        <v>9.25E-6</v>
      </c>
      <c r="K329" s="693" t="s">
        <v>7</v>
      </c>
      <c r="L329" s="694" t="s">
        <v>944</v>
      </c>
      <c r="M329" s="694" t="s">
        <v>915</v>
      </c>
      <c r="N329" s="694" t="s">
        <v>918</v>
      </c>
      <c r="O329" s="694">
        <v>2021.0</v>
      </c>
      <c r="P329" s="694" t="s">
        <v>919</v>
      </c>
      <c r="Q329" s="695" t="s">
        <v>112</v>
      </c>
      <c r="R329" s="696">
        <v>42100.94723</v>
      </c>
      <c r="S329" s="696">
        <v>24514.77276</v>
      </c>
      <c r="T329" s="697">
        <v>61470.33589</v>
      </c>
      <c r="AB329" s="722"/>
      <c r="AF329" s="669"/>
    </row>
    <row r="330">
      <c r="A330" s="675"/>
      <c r="B330" s="681" t="s">
        <v>42</v>
      </c>
      <c r="C330" s="682" t="s">
        <v>915</v>
      </c>
      <c r="D330" s="682" t="s">
        <v>924</v>
      </c>
      <c r="E330" s="682" t="s">
        <v>215</v>
      </c>
      <c r="F330" s="682">
        <v>2021.0</v>
      </c>
      <c r="G330" s="683">
        <v>3.69E-6</v>
      </c>
      <c r="H330" s="683">
        <v>8.34E-7</v>
      </c>
      <c r="I330" s="684">
        <v>9.71E-6</v>
      </c>
      <c r="K330" s="693" t="s">
        <v>7</v>
      </c>
      <c r="L330" s="694" t="s">
        <v>944</v>
      </c>
      <c r="M330" s="694" t="s">
        <v>915</v>
      </c>
      <c r="N330" s="694" t="s">
        <v>923</v>
      </c>
      <c r="O330" s="694">
        <v>2021.0</v>
      </c>
      <c r="P330" s="694" t="s">
        <v>919</v>
      </c>
      <c r="Q330" s="695" t="s">
        <v>112</v>
      </c>
      <c r="R330" s="696">
        <v>2239.334801</v>
      </c>
      <c r="S330" s="696">
        <v>1513.205177</v>
      </c>
      <c r="T330" s="697">
        <v>3229.328105</v>
      </c>
      <c r="AB330" s="722"/>
      <c r="AF330" s="669"/>
    </row>
    <row r="331">
      <c r="A331" s="675"/>
      <c r="B331" s="681" t="s">
        <v>42</v>
      </c>
      <c r="C331" s="682" t="s">
        <v>915</v>
      </c>
      <c r="D331" s="682" t="s">
        <v>926</v>
      </c>
      <c r="E331" s="682" t="s">
        <v>215</v>
      </c>
      <c r="F331" s="682">
        <v>2021.0</v>
      </c>
      <c r="G331" s="683">
        <v>1.97E-5</v>
      </c>
      <c r="H331" s="683">
        <v>5.47E-6</v>
      </c>
      <c r="I331" s="684">
        <v>4.7E-5</v>
      </c>
      <c r="K331" s="693" t="s">
        <v>7</v>
      </c>
      <c r="L331" s="694" t="s">
        <v>944</v>
      </c>
      <c r="M331" s="694" t="s">
        <v>915</v>
      </c>
      <c r="N331" s="694" t="s">
        <v>925</v>
      </c>
      <c r="O331" s="694">
        <v>2021.0</v>
      </c>
      <c r="P331" s="694" t="s">
        <v>919</v>
      </c>
      <c r="Q331" s="695" t="s">
        <v>112</v>
      </c>
      <c r="R331" s="696">
        <v>2576.226884</v>
      </c>
      <c r="S331" s="696">
        <v>1879.497686</v>
      </c>
      <c r="T331" s="697">
        <v>3451.528281</v>
      </c>
      <c r="AB331" s="722"/>
      <c r="AF331" s="669"/>
    </row>
    <row r="332">
      <c r="A332" s="675"/>
      <c r="B332" s="681" t="s">
        <v>44</v>
      </c>
      <c r="C332" s="682" t="s">
        <v>915</v>
      </c>
      <c r="D332" s="682" t="s">
        <v>916</v>
      </c>
      <c r="E332" s="682" t="s">
        <v>215</v>
      </c>
      <c r="F332" s="682">
        <v>2021.0</v>
      </c>
      <c r="G332" s="683">
        <v>3.95E-6</v>
      </c>
      <c r="H332" s="683">
        <v>1.71E-6</v>
      </c>
      <c r="I332" s="684">
        <v>7.64E-6</v>
      </c>
      <c r="K332" s="693" t="s">
        <v>7</v>
      </c>
      <c r="L332" s="694" t="s">
        <v>944</v>
      </c>
      <c r="M332" s="694" t="s">
        <v>915</v>
      </c>
      <c r="N332" s="694" t="s">
        <v>927</v>
      </c>
      <c r="O332" s="694">
        <v>2021.0</v>
      </c>
      <c r="P332" s="694" t="s">
        <v>919</v>
      </c>
      <c r="Q332" s="695" t="s">
        <v>112</v>
      </c>
      <c r="R332" s="696">
        <v>50676.2547</v>
      </c>
      <c r="S332" s="696">
        <v>35687.98152</v>
      </c>
      <c r="T332" s="697">
        <v>70196.40738</v>
      </c>
      <c r="AB332" s="722"/>
      <c r="AF332" s="669"/>
    </row>
    <row r="333">
      <c r="A333" s="675"/>
      <c r="B333" s="681" t="s">
        <v>44</v>
      </c>
      <c r="C333" s="682" t="s">
        <v>915</v>
      </c>
      <c r="D333" s="682" t="s">
        <v>922</v>
      </c>
      <c r="E333" s="682" t="s">
        <v>215</v>
      </c>
      <c r="F333" s="682">
        <v>2021.0</v>
      </c>
      <c r="G333" s="683">
        <v>4.12E-6</v>
      </c>
      <c r="H333" s="683">
        <v>1.08E-6</v>
      </c>
      <c r="I333" s="684">
        <v>1.03E-5</v>
      </c>
      <c r="K333" s="693" t="s">
        <v>7</v>
      </c>
      <c r="L333" s="694" t="s">
        <v>944</v>
      </c>
      <c r="M333" s="694" t="s">
        <v>915</v>
      </c>
      <c r="N333" s="694" t="s">
        <v>926</v>
      </c>
      <c r="O333" s="694">
        <v>2021.0</v>
      </c>
      <c r="P333" s="694" t="s">
        <v>919</v>
      </c>
      <c r="Q333" s="695" t="s">
        <v>112</v>
      </c>
      <c r="R333" s="696">
        <v>97592.76361</v>
      </c>
      <c r="S333" s="696">
        <v>65039.05246</v>
      </c>
      <c r="T333" s="697">
        <v>136490.408</v>
      </c>
      <c r="AB333" s="722"/>
      <c r="AF333" s="669"/>
    </row>
    <row r="334">
      <c r="A334" s="675"/>
      <c r="B334" s="681" t="s">
        <v>44</v>
      </c>
      <c r="C334" s="682" t="s">
        <v>915</v>
      </c>
      <c r="D334" s="682" t="s">
        <v>924</v>
      </c>
      <c r="E334" s="682" t="s">
        <v>215</v>
      </c>
      <c r="F334" s="682">
        <v>2021.0</v>
      </c>
      <c r="G334" s="683">
        <v>5.81E-6</v>
      </c>
      <c r="H334" s="683">
        <v>1.28E-6</v>
      </c>
      <c r="I334" s="684">
        <v>1.58E-5</v>
      </c>
      <c r="K334" s="693" t="s">
        <v>59</v>
      </c>
      <c r="L334" s="694" t="s">
        <v>944</v>
      </c>
      <c r="M334" s="694" t="s">
        <v>915</v>
      </c>
      <c r="N334" s="694" t="s">
        <v>918</v>
      </c>
      <c r="O334" s="694">
        <v>2021.0</v>
      </c>
      <c r="P334" s="694" t="s">
        <v>919</v>
      </c>
      <c r="Q334" s="695" t="s">
        <v>112</v>
      </c>
      <c r="R334" s="696">
        <v>439.0425063</v>
      </c>
      <c r="S334" s="696">
        <v>196.2934385</v>
      </c>
      <c r="T334" s="697">
        <v>958.9339133</v>
      </c>
      <c r="AB334" s="722"/>
      <c r="AF334" s="669"/>
    </row>
    <row r="335">
      <c r="A335" s="675"/>
      <c r="B335" s="681" t="s">
        <v>44</v>
      </c>
      <c r="C335" s="682" t="s">
        <v>915</v>
      </c>
      <c r="D335" s="682" t="s">
        <v>926</v>
      </c>
      <c r="E335" s="682" t="s">
        <v>215</v>
      </c>
      <c r="F335" s="682">
        <v>2021.0</v>
      </c>
      <c r="G335" s="683">
        <v>1.97E-5</v>
      </c>
      <c r="H335" s="683">
        <v>7.08E-6</v>
      </c>
      <c r="I335" s="684">
        <v>4.45E-5</v>
      </c>
      <c r="K335" s="693" t="s">
        <v>59</v>
      </c>
      <c r="L335" s="694" t="s">
        <v>944</v>
      </c>
      <c r="M335" s="694" t="s">
        <v>915</v>
      </c>
      <c r="N335" s="694" t="s">
        <v>923</v>
      </c>
      <c r="O335" s="694">
        <v>2021.0</v>
      </c>
      <c r="P335" s="694" t="s">
        <v>919</v>
      </c>
      <c r="Q335" s="695" t="s">
        <v>112</v>
      </c>
      <c r="R335" s="696">
        <v>54.05414163</v>
      </c>
      <c r="S335" s="696">
        <v>27.42108425</v>
      </c>
      <c r="T335" s="697">
        <v>98.67548394</v>
      </c>
      <c r="AB335" s="722"/>
      <c r="AF335" s="669"/>
    </row>
    <row r="336">
      <c r="A336" s="675"/>
      <c r="B336" s="681" t="s">
        <v>45</v>
      </c>
      <c r="C336" s="682" t="s">
        <v>915</v>
      </c>
      <c r="D336" s="682" t="s">
        <v>916</v>
      </c>
      <c r="E336" s="682" t="s">
        <v>215</v>
      </c>
      <c r="F336" s="682">
        <v>2021.0</v>
      </c>
      <c r="G336" s="683">
        <v>8.26E-6</v>
      </c>
      <c r="H336" s="683">
        <v>3.53E-6</v>
      </c>
      <c r="I336" s="684">
        <v>1.53E-5</v>
      </c>
      <c r="K336" s="693" t="s">
        <v>59</v>
      </c>
      <c r="L336" s="694" t="s">
        <v>944</v>
      </c>
      <c r="M336" s="694" t="s">
        <v>915</v>
      </c>
      <c r="N336" s="694" t="s">
        <v>925</v>
      </c>
      <c r="O336" s="694">
        <v>2021.0</v>
      </c>
      <c r="P336" s="694" t="s">
        <v>919</v>
      </c>
      <c r="Q336" s="695" t="s">
        <v>112</v>
      </c>
      <c r="R336" s="696">
        <v>65.92991123</v>
      </c>
      <c r="S336" s="696">
        <v>30.71386944</v>
      </c>
      <c r="T336" s="697">
        <v>133.9822265</v>
      </c>
      <c r="AB336" s="722"/>
      <c r="AF336" s="669"/>
    </row>
    <row r="337">
      <c r="A337" s="675"/>
      <c r="B337" s="681" t="s">
        <v>45</v>
      </c>
      <c r="C337" s="682" t="s">
        <v>915</v>
      </c>
      <c r="D337" s="682" t="s">
        <v>922</v>
      </c>
      <c r="E337" s="682" t="s">
        <v>215</v>
      </c>
      <c r="F337" s="682">
        <v>2021.0</v>
      </c>
      <c r="G337" s="683">
        <v>1.26E-5</v>
      </c>
      <c r="H337" s="683">
        <v>3.13E-6</v>
      </c>
      <c r="I337" s="684">
        <v>2.96E-5</v>
      </c>
      <c r="K337" s="693" t="s">
        <v>59</v>
      </c>
      <c r="L337" s="694" t="s">
        <v>944</v>
      </c>
      <c r="M337" s="694" t="s">
        <v>915</v>
      </c>
      <c r="N337" s="694" t="s">
        <v>927</v>
      </c>
      <c r="O337" s="694">
        <v>2021.0</v>
      </c>
      <c r="P337" s="694" t="s">
        <v>919</v>
      </c>
      <c r="Q337" s="695" t="s">
        <v>112</v>
      </c>
      <c r="R337" s="696">
        <v>794.3815585</v>
      </c>
      <c r="S337" s="696">
        <v>381.6618148</v>
      </c>
      <c r="T337" s="697">
        <v>1519.556134</v>
      </c>
      <c r="AB337" s="722"/>
      <c r="AF337" s="669"/>
    </row>
    <row r="338">
      <c r="A338" s="675"/>
      <c r="B338" s="681" t="s">
        <v>45</v>
      </c>
      <c r="C338" s="682" t="s">
        <v>915</v>
      </c>
      <c r="D338" s="682" t="s">
        <v>924</v>
      </c>
      <c r="E338" s="682" t="s">
        <v>215</v>
      </c>
      <c r="F338" s="682">
        <v>2021.0</v>
      </c>
      <c r="G338" s="683">
        <v>1.11E-5</v>
      </c>
      <c r="H338" s="683">
        <v>2.61E-6</v>
      </c>
      <c r="I338" s="684">
        <v>2.81E-5</v>
      </c>
      <c r="K338" s="693" t="s">
        <v>59</v>
      </c>
      <c r="L338" s="694" t="s">
        <v>944</v>
      </c>
      <c r="M338" s="694" t="s">
        <v>915</v>
      </c>
      <c r="N338" s="694" t="s">
        <v>926</v>
      </c>
      <c r="O338" s="694">
        <v>2021.0</v>
      </c>
      <c r="P338" s="694" t="s">
        <v>919</v>
      </c>
      <c r="Q338" s="695" t="s">
        <v>112</v>
      </c>
      <c r="R338" s="696">
        <v>1353.408118</v>
      </c>
      <c r="S338" s="696">
        <v>729.7454801</v>
      </c>
      <c r="T338" s="697">
        <v>2529.562145</v>
      </c>
      <c r="AB338" s="722"/>
      <c r="AF338" s="669"/>
    </row>
    <row r="339">
      <c r="A339" s="675"/>
      <c r="B339" s="681" t="s">
        <v>45</v>
      </c>
      <c r="C339" s="682" t="s">
        <v>915</v>
      </c>
      <c r="D339" s="682" t="s">
        <v>926</v>
      </c>
      <c r="E339" s="682" t="s">
        <v>215</v>
      </c>
      <c r="F339" s="682">
        <v>2021.0</v>
      </c>
      <c r="G339" s="683">
        <v>4.71E-5</v>
      </c>
      <c r="H339" s="683">
        <v>1.47E-5</v>
      </c>
      <c r="I339" s="684">
        <v>1.01853E-4</v>
      </c>
      <c r="K339" s="693" t="s">
        <v>60</v>
      </c>
      <c r="L339" s="694" t="s">
        <v>944</v>
      </c>
      <c r="M339" s="694" t="s">
        <v>915</v>
      </c>
      <c r="N339" s="694" t="s">
        <v>918</v>
      </c>
      <c r="O339" s="694">
        <v>2021.0</v>
      </c>
      <c r="P339" s="694" t="s">
        <v>919</v>
      </c>
      <c r="Q339" s="695" t="s">
        <v>112</v>
      </c>
      <c r="R339" s="696">
        <v>193.1882431</v>
      </c>
      <c r="S339" s="696">
        <v>87.20108579</v>
      </c>
      <c r="T339" s="697">
        <v>370.1823213</v>
      </c>
      <c r="AB339" s="722"/>
      <c r="AF339" s="669"/>
    </row>
    <row r="340">
      <c r="A340" s="675"/>
      <c r="B340" s="681" t="s">
        <v>46</v>
      </c>
      <c r="C340" s="682" t="s">
        <v>915</v>
      </c>
      <c r="D340" s="682" t="s">
        <v>916</v>
      </c>
      <c r="E340" s="682" t="s">
        <v>215</v>
      </c>
      <c r="F340" s="682">
        <v>2021.0</v>
      </c>
      <c r="G340" s="683">
        <v>1.75E-6</v>
      </c>
      <c r="H340" s="683">
        <v>8.3E-7</v>
      </c>
      <c r="I340" s="684">
        <v>3.23E-6</v>
      </c>
      <c r="K340" s="693" t="s">
        <v>60</v>
      </c>
      <c r="L340" s="694" t="s">
        <v>944</v>
      </c>
      <c r="M340" s="694" t="s">
        <v>915</v>
      </c>
      <c r="N340" s="694" t="s">
        <v>923</v>
      </c>
      <c r="O340" s="694">
        <v>2021.0</v>
      </c>
      <c r="P340" s="694" t="s">
        <v>919</v>
      </c>
      <c r="Q340" s="695" t="s">
        <v>112</v>
      </c>
      <c r="R340" s="696">
        <v>14.90727946</v>
      </c>
      <c r="S340" s="696">
        <v>8.034312713</v>
      </c>
      <c r="T340" s="697">
        <v>25.69225078</v>
      </c>
      <c r="AB340" s="722"/>
      <c r="AF340" s="669"/>
    </row>
    <row r="341">
      <c r="A341" s="675"/>
      <c r="B341" s="681" t="s">
        <v>46</v>
      </c>
      <c r="C341" s="682" t="s">
        <v>915</v>
      </c>
      <c r="D341" s="682" t="s">
        <v>922</v>
      </c>
      <c r="E341" s="682" t="s">
        <v>215</v>
      </c>
      <c r="F341" s="682">
        <v>2021.0</v>
      </c>
      <c r="G341" s="683">
        <v>1.97E-6</v>
      </c>
      <c r="H341" s="683">
        <v>5.78E-7</v>
      </c>
      <c r="I341" s="684">
        <v>4.34E-6</v>
      </c>
      <c r="K341" s="693" t="s">
        <v>60</v>
      </c>
      <c r="L341" s="694" t="s">
        <v>944</v>
      </c>
      <c r="M341" s="694" t="s">
        <v>915</v>
      </c>
      <c r="N341" s="694" t="s">
        <v>925</v>
      </c>
      <c r="O341" s="694">
        <v>2021.0</v>
      </c>
      <c r="P341" s="694" t="s">
        <v>919</v>
      </c>
      <c r="Q341" s="695" t="s">
        <v>112</v>
      </c>
      <c r="R341" s="696">
        <v>12.73943317</v>
      </c>
      <c r="S341" s="696">
        <v>6.053173965</v>
      </c>
      <c r="T341" s="697">
        <v>26.54279196</v>
      </c>
      <c r="AB341" s="722"/>
      <c r="AF341" s="669"/>
    </row>
    <row r="342">
      <c r="A342" s="675"/>
      <c r="B342" s="681" t="s">
        <v>46</v>
      </c>
      <c r="C342" s="682" t="s">
        <v>915</v>
      </c>
      <c r="D342" s="682" t="s">
        <v>924</v>
      </c>
      <c r="E342" s="682" t="s">
        <v>215</v>
      </c>
      <c r="F342" s="682">
        <v>2021.0</v>
      </c>
      <c r="G342" s="683">
        <v>1.8E-6</v>
      </c>
      <c r="H342" s="683">
        <v>4.59E-7</v>
      </c>
      <c r="I342" s="684">
        <v>4.26E-6</v>
      </c>
      <c r="K342" s="693" t="s">
        <v>60</v>
      </c>
      <c r="L342" s="694" t="s">
        <v>944</v>
      </c>
      <c r="M342" s="694" t="s">
        <v>915</v>
      </c>
      <c r="N342" s="694" t="s">
        <v>927</v>
      </c>
      <c r="O342" s="694">
        <v>2021.0</v>
      </c>
      <c r="P342" s="694" t="s">
        <v>919</v>
      </c>
      <c r="Q342" s="695" t="s">
        <v>112</v>
      </c>
      <c r="R342" s="696">
        <v>173.1987703</v>
      </c>
      <c r="S342" s="696">
        <v>79.03389233</v>
      </c>
      <c r="T342" s="697">
        <v>322.2302488</v>
      </c>
      <c r="AB342" s="722"/>
      <c r="AF342" s="669"/>
    </row>
    <row r="343">
      <c r="A343" s="675"/>
      <c r="B343" s="681" t="s">
        <v>46</v>
      </c>
      <c r="C343" s="682" t="s">
        <v>915</v>
      </c>
      <c r="D343" s="682" t="s">
        <v>926</v>
      </c>
      <c r="E343" s="682" t="s">
        <v>215</v>
      </c>
      <c r="F343" s="682">
        <v>2021.0</v>
      </c>
      <c r="G343" s="683">
        <v>6.97E-6</v>
      </c>
      <c r="H343" s="683">
        <v>2.32E-6</v>
      </c>
      <c r="I343" s="684">
        <v>1.55E-5</v>
      </c>
      <c r="K343" s="693" t="s">
        <v>60</v>
      </c>
      <c r="L343" s="694" t="s">
        <v>944</v>
      </c>
      <c r="M343" s="694" t="s">
        <v>915</v>
      </c>
      <c r="N343" s="694" t="s">
        <v>926</v>
      </c>
      <c r="O343" s="694">
        <v>2021.0</v>
      </c>
      <c r="P343" s="694" t="s">
        <v>919</v>
      </c>
      <c r="Q343" s="695" t="s">
        <v>112</v>
      </c>
      <c r="R343" s="696">
        <v>394.033726</v>
      </c>
      <c r="S343" s="696">
        <v>198.2801578</v>
      </c>
      <c r="T343" s="697">
        <v>724.0880345</v>
      </c>
      <c r="AB343" s="722"/>
      <c r="AF343" s="669"/>
    </row>
    <row r="344">
      <c r="A344" s="675"/>
      <c r="B344" s="681" t="s">
        <v>47</v>
      </c>
      <c r="C344" s="682" t="s">
        <v>915</v>
      </c>
      <c r="D344" s="682" t="s">
        <v>916</v>
      </c>
      <c r="E344" s="682" t="s">
        <v>215</v>
      </c>
      <c r="F344" s="682">
        <v>2021.0</v>
      </c>
      <c r="G344" s="683">
        <v>1.85E-6</v>
      </c>
      <c r="H344" s="683">
        <v>8.29E-7</v>
      </c>
      <c r="I344" s="684">
        <v>3.43E-6</v>
      </c>
      <c r="K344" s="693" t="s">
        <v>61</v>
      </c>
      <c r="L344" s="694" t="s">
        <v>944</v>
      </c>
      <c r="M344" s="694" t="s">
        <v>915</v>
      </c>
      <c r="N344" s="694" t="s">
        <v>918</v>
      </c>
      <c r="O344" s="694">
        <v>2021.0</v>
      </c>
      <c r="P344" s="694" t="s">
        <v>919</v>
      </c>
      <c r="Q344" s="695" t="s">
        <v>112</v>
      </c>
      <c r="R344" s="696">
        <v>83.1756413</v>
      </c>
      <c r="S344" s="696">
        <v>30.21112554</v>
      </c>
      <c r="T344" s="697">
        <v>186.8261342</v>
      </c>
      <c r="AB344" s="722"/>
      <c r="AF344" s="669"/>
    </row>
    <row r="345">
      <c r="A345" s="675"/>
      <c r="B345" s="681" t="s">
        <v>47</v>
      </c>
      <c r="C345" s="682" t="s">
        <v>915</v>
      </c>
      <c r="D345" s="682" t="s">
        <v>922</v>
      </c>
      <c r="E345" s="682" t="s">
        <v>215</v>
      </c>
      <c r="F345" s="682">
        <v>2021.0</v>
      </c>
      <c r="G345" s="683">
        <v>2.21E-6</v>
      </c>
      <c r="H345" s="683">
        <v>5.48E-7</v>
      </c>
      <c r="I345" s="684">
        <v>5.5E-6</v>
      </c>
      <c r="K345" s="693" t="s">
        <v>61</v>
      </c>
      <c r="L345" s="694" t="s">
        <v>944</v>
      </c>
      <c r="M345" s="694" t="s">
        <v>915</v>
      </c>
      <c r="N345" s="694" t="s">
        <v>923</v>
      </c>
      <c r="O345" s="694">
        <v>2021.0</v>
      </c>
      <c r="P345" s="694" t="s">
        <v>919</v>
      </c>
      <c r="Q345" s="695" t="s">
        <v>112</v>
      </c>
      <c r="R345" s="696">
        <v>12.16089506</v>
      </c>
      <c r="S345" s="696">
        <v>6.155956654</v>
      </c>
      <c r="T345" s="697">
        <v>22.45303949</v>
      </c>
      <c r="AB345" s="722"/>
      <c r="AF345" s="669"/>
    </row>
    <row r="346">
      <c r="A346" s="675"/>
      <c r="B346" s="681" t="s">
        <v>47</v>
      </c>
      <c r="C346" s="682" t="s">
        <v>915</v>
      </c>
      <c r="D346" s="682" t="s">
        <v>924</v>
      </c>
      <c r="E346" s="682" t="s">
        <v>215</v>
      </c>
      <c r="F346" s="682">
        <v>2021.0</v>
      </c>
      <c r="G346" s="683">
        <v>2.39E-6</v>
      </c>
      <c r="H346" s="683">
        <v>5.24E-7</v>
      </c>
      <c r="I346" s="684">
        <v>6.17E-6</v>
      </c>
      <c r="K346" s="693" t="s">
        <v>61</v>
      </c>
      <c r="L346" s="694" t="s">
        <v>944</v>
      </c>
      <c r="M346" s="694" t="s">
        <v>915</v>
      </c>
      <c r="N346" s="694" t="s">
        <v>925</v>
      </c>
      <c r="O346" s="694">
        <v>2021.0</v>
      </c>
      <c r="P346" s="694" t="s">
        <v>919</v>
      </c>
      <c r="Q346" s="695" t="s">
        <v>112</v>
      </c>
      <c r="R346" s="696">
        <v>12.63519598</v>
      </c>
      <c r="S346" s="696">
        <v>5.166341938</v>
      </c>
      <c r="T346" s="697">
        <v>27.04239087</v>
      </c>
      <c r="AB346" s="722"/>
      <c r="AF346" s="669"/>
    </row>
    <row r="347">
      <c r="A347" s="675"/>
      <c r="B347" s="681" t="s">
        <v>47</v>
      </c>
      <c r="C347" s="682" t="s">
        <v>915</v>
      </c>
      <c r="D347" s="682" t="s">
        <v>926</v>
      </c>
      <c r="E347" s="682" t="s">
        <v>215</v>
      </c>
      <c r="F347" s="682">
        <v>2021.0</v>
      </c>
      <c r="G347" s="683">
        <v>9.24E-6</v>
      </c>
      <c r="H347" s="683">
        <v>2.68E-6</v>
      </c>
      <c r="I347" s="684">
        <v>2.18E-5</v>
      </c>
      <c r="K347" s="693" t="s">
        <v>61</v>
      </c>
      <c r="L347" s="694" t="s">
        <v>944</v>
      </c>
      <c r="M347" s="694" t="s">
        <v>915</v>
      </c>
      <c r="N347" s="694" t="s">
        <v>927</v>
      </c>
      <c r="O347" s="694">
        <v>2021.0</v>
      </c>
      <c r="P347" s="694" t="s">
        <v>919</v>
      </c>
      <c r="Q347" s="695" t="s">
        <v>112</v>
      </c>
      <c r="R347" s="696">
        <v>145.3329797</v>
      </c>
      <c r="S347" s="696">
        <v>56.87465078</v>
      </c>
      <c r="T347" s="697">
        <v>302.9505358</v>
      </c>
      <c r="AB347" s="722"/>
      <c r="AF347" s="669"/>
    </row>
    <row r="348">
      <c r="A348" s="675"/>
      <c r="B348" s="681" t="s">
        <v>48</v>
      </c>
      <c r="C348" s="682" t="s">
        <v>915</v>
      </c>
      <c r="D348" s="682" t="s">
        <v>916</v>
      </c>
      <c r="E348" s="682" t="s">
        <v>215</v>
      </c>
      <c r="F348" s="682">
        <v>2021.0</v>
      </c>
      <c r="G348" s="683">
        <v>2.24E-6</v>
      </c>
      <c r="H348" s="683">
        <v>1.03E-6</v>
      </c>
      <c r="I348" s="684">
        <v>4.14E-6</v>
      </c>
      <c r="K348" s="693" t="s">
        <v>61</v>
      </c>
      <c r="L348" s="694" t="s">
        <v>944</v>
      </c>
      <c r="M348" s="694" t="s">
        <v>915</v>
      </c>
      <c r="N348" s="694" t="s">
        <v>926</v>
      </c>
      <c r="O348" s="694">
        <v>2021.0</v>
      </c>
      <c r="P348" s="694" t="s">
        <v>919</v>
      </c>
      <c r="Q348" s="695" t="s">
        <v>112</v>
      </c>
      <c r="R348" s="696">
        <v>253.304712</v>
      </c>
      <c r="S348" s="696">
        <v>110.0359399</v>
      </c>
      <c r="T348" s="697">
        <v>494.6951401</v>
      </c>
      <c r="AB348" s="722"/>
      <c r="AF348" s="669"/>
    </row>
    <row r="349">
      <c r="A349" s="675"/>
      <c r="B349" s="681" t="s">
        <v>48</v>
      </c>
      <c r="C349" s="682" t="s">
        <v>915</v>
      </c>
      <c r="D349" s="682" t="s">
        <v>922</v>
      </c>
      <c r="E349" s="682" t="s">
        <v>215</v>
      </c>
      <c r="F349" s="682">
        <v>2021.0</v>
      </c>
      <c r="G349" s="683">
        <v>2.4E-6</v>
      </c>
      <c r="H349" s="683">
        <v>6.81E-7</v>
      </c>
      <c r="I349" s="684">
        <v>5.75E-6</v>
      </c>
      <c r="K349" s="693" t="s">
        <v>63</v>
      </c>
      <c r="L349" s="694" t="s">
        <v>944</v>
      </c>
      <c r="M349" s="694" t="s">
        <v>915</v>
      </c>
      <c r="N349" s="694" t="s">
        <v>918</v>
      </c>
      <c r="O349" s="694">
        <v>2021.0</v>
      </c>
      <c r="P349" s="694" t="s">
        <v>919</v>
      </c>
      <c r="Q349" s="695" t="s">
        <v>112</v>
      </c>
      <c r="R349" s="696">
        <v>157.8546296</v>
      </c>
      <c r="S349" s="696">
        <v>65.76456341</v>
      </c>
      <c r="T349" s="697">
        <v>328.1961703</v>
      </c>
      <c r="AB349" s="722"/>
      <c r="AF349" s="669"/>
    </row>
    <row r="350">
      <c r="A350" s="675"/>
      <c r="B350" s="681" t="s">
        <v>48</v>
      </c>
      <c r="C350" s="682" t="s">
        <v>915</v>
      </c>
      <c r="D350" s="682" t="s">
        <v>924</v>
      </c>
      <c r="E350" s="682" t="s">
        <v>215</v>
      </c>
      <c r="F350" s="682">
        <v>2021.0</v>
      </c>
      <c r="G350" s="683">
        <v>3.31E-6</v>
      </c>
      <c r="H350" s="683">
        <v>7.88E-7</v>
      </c>
      <c r="I350" s="684">
        <v>8.12E-6</v>
      </c>
      <c r="K350" s="693" t="s">
        <v>63</v>
      </c>
      <c r="L350" s="694" t="s">
        <v>944</v>
      </c>
      <c r="M350" s="694" t="s">
        <v>915</v>
      </c>
      <c r="N350" s="694" t="s">
        <v>923</v>
      </c>
      <c r="O350" s="694">
        <v>2021.0</v>
      </c>
      <c r="P350" s="694" t="s">
        <v>919</v>
      </c>
      <c r="Q350" s="695" t="s">
        <v>112</v>
      </c>
      <c r="R350" s="696">
        <v>16.02194237</v>
      </c>
      <c r="S350" s="696">
        <v>8.015733467</v>
      </c>
      <c r="T350" s="697">
        <v>28.79902204</v>
      </c>
      <c r="AB350" s="722"/>
      <c r="AF350" s="669"/>
    </row>
    <row r="351">
      <c r="A351" s="675"/>
      <c r="B351" s="681" t="s">
        <v>48</v>
      </c>
      <c r="C351" s="682" t="s">
        <v>915</v>
      </c>
      <c r="D351" s="682" t="s">
        <v>926</v>
      </c>
      <c r="E351" s="682" t="s">
        <v>215</v>
      </c>
      <c r="F351" s="682">
        <v>2021.0</v>
      </c>
      <c r="G351" s="683">
        <v>1.09E-5</v>
      </c>
      <c r="H351" s="683">
        <v>3.62E-6</v>
      </c>
      <c r="I351" s="684">
        <v>2.37E-5</v>
      </c>
      <c r="K351" s="693" t="s">
        <v>63</v>
      </c>
      <c r="L351" s="694" t="s">
        <v>944</v>
      </c>
      <c r="M351" s="694" t="s">
        <v>915</v>
      </c>
      <c r="N351" s="694" t="s">
        <v>925</v>
      </c>
      <c r="O351" s="694">
        <v>2021.0</v>
      </c>
      <c r="P351" s="694" t="s">
        <v>919</v>
      </c>
      <c r="Q351" s="695" t="s">
        <v>112</v>
      </c>
      <c r="R351" s="696">
        <v>6.490274099</v>
      </c>
      <c r="S351" s="696">
        <v>2.360600043</v>
      </c>
      <c r="T351" s="697">
        <v>15.60879597</v>
      </c>
      <c r="AB351" s="722"/>
      <c r="AF351" s="669"/>
    </row>
    <row r="352">
      <c r="A352" s="675"/>
      <c r="B352" s="681" t="s">
        <v>49</v>
      </c>
      <c r="C352" s="682" t="s">
        <v>915</v>
      </c>
      <c r="D352" s="682" t="s">
        <v>916</v>
      </c>
      <c r="E352" s="682" t="s">
        <v>215</v>
      </c>
      <c r="F352" s="682">
        <v>2021.0</v>
      </c>
      <c r="G352" s="683">
        <v>1.15E-6</v>
      </c>
      <c r="H352" s="683">
        <v>5.0E-7</v>
      </c>
      <c r="I352" s="684">
        <v>2.16E-6</v>
      </c>
      <c r="K352" s="693" t="s">
        <v>63</v>
      </c>
      <c r="L352" s="694" t="s">
        <v>944</v>
      </c>
      <c r="M352" s="694" t="s">
        <v>915</v>
      </c>
      <c r="N352" s="694" t="s">
        <v>927</v>
      </c>
      <c r="O352" s="694">
        <v>2021.0</v>
      </c>
      <c r="P352" s="694" t="s">
        <v>919</v>
      </c>
      <c r="Q352" s="695" t="s">
        <v>112</v>
      </c>
      <c r="R352" s="696">
        <v>195.178049</v>
      </c>
      <c r="S352" s="696">
        <v>84.38416845</v>
      </c>
      <c r="T352" s="697">
        <v>400.8110494</v>
      </c>
      <c r="AB352" s="722"/>
      <c r="AF352" s="669"/>
    </row>
    <row r="353">
      <c r="A353" s="675"/>
      <c r="B353" s="681" t="s">
        <v>49</v>
      </c>
      <c r="C353" s="682" t="s">
        <v>915</v>
      </c>
      <c r="D353" s="682" t="s">
        <v>922</v>
      </c>
      <c r="E353" s="682" t="s">
        <v>215</v>
      </c>
      <c r="F353" s="682">
        <v>2021.0</v>
      </c>
      <c r="G353" s="683">
        <v>1.45E-6</v>
      </c>
      <c r="H353" s="683">
        <v>3.68E-7</v>
      </c>
      <c r="I353" s="684">
        <v>3.43E-6</v>
      </c>
      <c r="K353" s="693" t="s">
        <v>63</v>
      </c>
      <c r="L353" s="694" t="s">
        <v>944</v>
      </c>
      <c r="M353" s="694" t="s">
        <v>915</v>
      </c>
      <c r="N353" s="694" t="s">
        <v>926</v>
      </c>
      <c r="O353" s="694">
        <v>2021.0</v>
      </c>
      <c r="P353" s="694" t="s">
        <v>919</v>
      </c>
      <c r="Q353" s="695" t="s">
        <v>112</v>
      </c>
      <c r="R353" s="696">
        <v>375.5448951</v>
      </c>
      <c r="S353" s="696">
        <v>170.8254939</v>
      </c>
      <c r="T353" s="697">
        <v>741.645039</v>
      </c>
      <c r="AB353" s="722"/>
      <c r="AF353" s="669"/>
    </row>
    <row r="354">
      <c r="A354" s="675"/>
      <c r="B354" s="681" t="s">
        <v>49</v>
      </c>
      <c r="C354" s="682" t="s">
        <v>915</v>
      </c>
      <c r="D354" s="682" t="s">
        <v>924</v>
      </c>
      <c r="E354" s="682" t="s">
        <v>215</v>
      </c>
      <c r="F354" s="682">
        <v>2021.0</v>
      </c>
      <c r="G354" s="683">
        <v>1.29E-6</v>
      </c>
      <c r="H354" s="683">
        <v>3.13E-7</v>
      </c>
      <c r="I354" s="684">
        <v>3.09E-6</v>
      </c>
      <c r="K354" s="693" t="s">
        <v>64</v>
      </c>
      <c r="L354" s="694" t="s">
        <v>944</v>
      </c>
      <c r="M354" s="694" t="s">
        <v>915</v>
      </c>
      <c r="N354" s="694" t="s">
        <v>918</v>
      </c>
      <c r="O354" s="694">
        <v>2021.0</v>
      </c>
      <c r="P354" s="694" t="s">
        <v>919</v>
      </c>
      <c r="Q354" s="695" t="s">
        <v>112</v>
      </c>
      <c r="R354" s="696">
        <v>609.7215139</v>
      </c>
      <c r="S354" s="696">
        <v>273.4731537</v>
      </c>
      <c r="T354" s="697">
        <v>1105.096453</v>
      </c>
      <c r="AB354" s="722"/>
      <c r="AF354" s="669"/>
    </row>
    <row r="355">
      <c r="A355" s="675"/>
      <c r="B355" s="681" t="s">
        <v>49</v>
      </c>
      <c r="C355" s="682" t="s">
        <v>915</v>
      </c>
      <c r="D355" s="682" t="s">
        <v>926</v>
      </c>
      <c r="E355" s="682" t="s">
        <v>215</v>
      </c>
      <c r="F355" s="682">
        <v>2021.0</v>
      </c>
      <c r="G355" s="683">
        <v>7.59E-6</v>
      </c>
      <c r="H355" s="683">
        <v>2.17E-6</v>
      </c>
      <c r="I355" s="684">
        <v>1.86E-5</v>
      </c>
      <c r="K355" s="693" t="s">
        <v>64</v>
      </c>
      <c r="L355" s="694" t="s">
        <v>944</v>
      </c>
      <c r="M355" s="694" t="s">
        <v>915</v>
      </c>
      <c r="N355" s="694" t="s">
        <v>923</v>
      </c>
      <c r="O355" s="694">
        <v>2021.0</v>
      </c>
      <c r="P355" s="694" t="s">
        <v>919</v>
      </c>
      <c r="Q355" s="695" t="s">
        <v>112</v>
      </c>
      <c r="R355" s="696">
        <v>73.49630531</v>
      </c>
      <c r="S355" s="696">
        <v>40.99093414</v>
      </c>
      <c r="T355" s="697">
        <v>124.7733568</v>
      </c>
      <c r="AB355" s="722"/>
      <c r="AF355" s="669"/>
    </row>
    <row r="356">
      <c r="A356" s="675"/>
      <c r="B356" s="681" t="s">
        <v>50</v>
      </c>
      <c r="C356" s="682" t="s">
        <v>915</v>
      </c>
      <c r="D356" s="682" t="s">
        <v>916</v>
      </c>
      <c r="E356" s="682" t="s">
        <v>215</v>
      </c>
      <c r="F356" s="682">
        <v>2021.0</v>
      </c>
      <c r="G356" s="683">
        <v>8.56E-7</v>
      </c>
      <c r="H356" s="683">
        <v>3.55E-7</v>
      </c>
      <c r="I356" s="684">
        <v>1.68E-6</v>
      </c>
      <c r="K356" s="693" t="s">
        <v>64</v>
      </c>
      <c r="L356" s="694" t="s">
        <v>944</v>
      </c>
      <c r="M356" s="694" t="s">
        <v>915</v>
      </c>
      <c r="N356" s="694" t="s">
        <v>925</v>
      </c>
      <c r="O356" s="694">
        <v>2021.0</v>
      </c>
      <c r="P356" s="694" t="s">
        <v>919</v>
      </c>
      <c r="Q356" s="695" t="s">
        <v>112</v>
      </c>
      <c r="R356" s="696">
        <v>90.22663128</v>
      </c>
      <c r="S356" s="696">
        <v>47.0826663</v>
      </c>
      <c r="T356" s="697">
        <v>148.9219208</v>
      </c>
      <c r="AB356" s="722"/>
      <c r="AF356" s="669"/>
    </row>
    <row r="357">
      <c r="A357" s="675"/>
      <c r="B357" s="681" t="s">
        <v>50</v>
      </c>
      <c r="C357" s="682" t="s">
        <v>915</v>
      </c>
      <c r="D357" s="682" t="s">
        <v>922</v>
      </c>
      <c r="E357" s="682" t="s">
        <v>215</v>
      </c>
      <c r="F357" s="682">
        <v>2021.0</v>
      </c>
      <c r="G357" s="683">
        <v>9.39E-7</v>
      </c>
      <c r="H357" s="683">
        <v>2.65E-7</v>
      </c>
      <c r="I357" s="684">
        <v>2.14E-6</v>
      </c>
      <c r="K357" s="693" t="s">
        <v>64</v>
      </c>
      <c r="L357" s="694" t="s">
        <v>944</v>
      </c>
      <c r="M357" s="694" t="s">
        <v>915</v>
      </c>
      <c r="N357" s="694" t="s">
        <v>927</v>
      </c>
      <c r="O357" s="694">
        <v>2021.0</v>
      </c>
      <c r="P357" s="694" t="s">
        <v>919</v>
      </c>
      <c r="Q357" s="695" t="s">
        <v>112</v>
      </c>
      <c r="R357" s="696">
        <v>1540.42804</v>
      </c>
      <c r="S357" s="696">
        <v>864.5426363</v>
      </c>
      <c r="T357" s="697">
        <v>2403.35041</v>
      </c>
      <c r="AB357" s="722"/>
      <c r="AF357" s="669"/>
    </row>
    <row r="358">
      <c r="A358" s="675"/>
      <c r="B358" s="681" t="s">
        <v>50</v>
      </c>
      <c r="C358" s="682" t="s">
        <v>915</v>
      </c>
      <c r="D358" s="682" t="s">
        <v>924</v>
      </c>
      <c r="E358" s="682" t="s">
        <v>215</v>
      </c>
      <c r="F358" s="682">
        <v>2021.0</v>
      </c>
      <c r="G358" s="683">
        <v>9.22E-7</v>
      </c>
      <c r="H358" s="683">
        <v>1.96E-7</v>
      </c>
      <c r="I358" s="684">
        <v>2.36E-6</v>
      </c>
      <c r="K358" s="693" t="s">
        <v>64</v>
      </c>
      <c r="L358" s="694" t="s">
        <v>944</v>
      </c>
      <c r="M358" s="694" t="s">
        <v>915</v>
      </c>
      <c r="N358" s="694" t="s">
        <v>926</v>
      </c>
      <c r="O358" s="694">
        <v>2021.0</v>
      </c>
      <c r="P358" s="694" t="s">
        <v>919</v>
      </c>
      <c r="Q358" s="695" t="s">
        <v>112</v>
      </c>
      <c r="R358" s="696">
        <v>2313.872491</v>
      </c>
      <c r="S358" s="696">
        <v>1291.328608</v>
      </c>
      <c r="T358" s="697">
        <v>3596.07242</v>
      </c>
      <c r="AB358" s="722"/>
      <c r="AF358" s="669"/>
    </row>
    <row r="359">
      <c r="A359" s="675"/>
      <c r="B359" s="681" t="s">
        <v>50</v>
      </c>
      <c r="C359" s="682" t="s">
        <v>915</v>
      </c>
      <c r="D359" s="682" t="s">
        <v>926</v>
      </c>
      <c r="E359" s="682" t="s">
        <v>215</v>
      </c>
      <c r="F359" s="682">
        <v>2021.0</v>
      </c>
      <c r="G359" s="683">
        <v>4.02E-6</v>
      </c>
      <c r="H359" s="683">
        <v>1.09E-6</v>
      </c>
      <c r="I359" s="684">
        <v>9.49E-6</v>
      </c>
      <c r="K359" s="693" t="s">
        <v>65</v>
      </c>
      <c r="L359" s="694" t="s">
        <v>944</v>
      </c>
      <c r="M359" s="694" t="s">
        <v>915</v>
      </c>
      <c r="N359" s="694" t="s">
        <v>918</v>
      </c>
      <c r="O359" s="694">
        <v>2021.0</v>
      </c>
      <c r="P359" s="694" t="s">
        <v>919</v>
      </c>
      <c r="Q359" s="695" t="s">
        <v>112</v>
      </c>
      <c r="R359" s="696">
        <v>183.1503538</v>
      </c>
      <c r="S359" s="696">
        <v>67.34293458</v>
      </c>
      <c r="T359" s="697">
        <v>405.7774293</v>
      </c>
      <c r="AB359" s="722"/>
      <c r="AF359" s="669"/>
    </row>
    <row r="360">
      <c r="A360" s="675"/>
      <c r="B360" s="681" t="s">
        <v>51</v>
      </c>
      <c r="C360" s="682" t="s">
        <v>915</v>
      </c>
      <c r="D360" s="682" t="s">
        <v>916</v>
      </c>
      <c r="E360" s="682" t="s">
        <v>215</v>
      </c>
      <c r="F360" s="682">
        <v>2021.0</v>
      </c>
      <c r="G360" s="683">
        <v>1.27E-6</v>
      </c>
      <c r="H360" s="683">
        <v>4.96E-7</v>
      </c>
      <c r="I360" s="684">
        <v>2.47E-6</v>
      </c>
      <c r="K360" s="693" t="s">
        <v>65</v>
      </c>
      <c r="L360" s="694" t="s">
        <v>944</v>
      </c>
      <c r="M360" s="694" t="s">
        <v>915</v>
      </c>
      <c r="N360" s="694" t="s">
        <v>923</v>
      </c>
      <c r="O360" s="694">
        <v>2021.0</v>
      </c>
      <c r="P360" s="694" t="s">
        <v>919</v>
      </c>
      <c r="Q360" s="695" t="s">
        <v>112</v>
      </c>
      <c r="R360" s="696">
        <v>14.11847333</v>
      </c>
      <c r="S360" s="696">
        <v>7.320002124</v>
      </c>
      <c r="T360" s="697">
        <v>26.5556111</v>
      </c>
      <c r="AB360" s="722"/>
      <c r="AF360" s="669"/>
    </row>
    <row r="361">
      <c r="A361" s="675"/>
      <c r="B361" s="681" t="s">
        <v>51</v>
      </c>
      <c r="C361" s="682" t="s">
        <v>915</v>
      </c>
      <c r="D361" s="682" t="s">
        <v>922</v>
      </c>
      <c r="E361" s="682" t="s">
        <v>215</v>
      </c>
      <c r="F361" s="682">
        <v>2021.0</v>
      </c>
      <c r="G361" s="683">
        <v>1.53E-6</v>
      </c>
      <c r="H361" s="683">
        <v>3.79E-7</v>
      </c>
      <c r="I361" s="684">
        <v>3.6E-6</v>
      </c>
      <c r="K361" s="693" t="s">
        <v>65</v>
      </c>
      <c r="L361" s="694" t="s">
        <v>944</v>
      </c>
      <c r="M361" s="694" t="s">
        <v>915</v>
      </c>
      <c r="N361" s="694" t="s">
        <v>925</v>
      </c>
      <c r="O361" s="694">
        <v>2021.0</v>
      </c>
      <c r="P361" s="694" t="s">
        <v>919</v>
      </c>
      <c r="Q361" s="695" t="s">
        <v>112</v>
      </c>
      <c r="R361" s="696">
        <v>11.50997047</v>
      </c>
      <c r="S361" s="696">
        <v>4.511481482</v>
      </c>
      <c r="T361" s="697">
        <v>24.7688945</v>
      </c>
      <c r="AB361" s="722"/>
      <c r="AF361" s="669"/>
    </row>
    <row r="362">
      <c r="A362" s="675"/>
      <c r="B362" s="681" t="s">
        <v>51</v>
      </c>
      <c r="C362" s="682" t="s">
        <v>915</v>
      </c>
      <c r="D362" s="682" t="s">
        <v>924</v>
      </c>
      <c r="E362" s="682" t="s">
        <v>215</v>
      </c>
      <c r="F362" s="682">
        <v>2021.0</v>
      </c>
      <c r="G362" s="683">
        <v>1.21E-6</v>
      </c>
      <c r="H362" s="683">
        <v>3.11E-7</v>
      </c>
      <c r="I362" s="684">
        <v>2.76E-6</v>
      </c>
      <c r="K362" s="693" t="s">
        <v>65</v>
      </c>
      <c r="L362" s="694" t="s">
        <v>944</v>
      </c>
      <c r="M362" s="694" t="s">
        <v>915</v>
      </c>
      <c r="N362" s="694" t="s">
        <v>927</v>
      </c>
      <c r="O362" s="694">
        <v>2021.0</v>
      </c>
      <c r="P362" s="694" t="s">
        <v>919</v>
      </c>
      <c r="Q362" s="695" t="s">
        <v>112</v>
      </c>
      <c r="R362" s="696">
        <v>237.8964504</v>
      </c>
      <c r="S362" s="696">
        <v>106.9550446</v>
      </c>
      <c r="T362" s="697">
        <v>483.4811833</v>
      </c>
      <c r="AB362" s="722"/>
      <c r="AF362" s="669"/>
    </row>
    <row r="363">
      <c r="A363" s="675"/>
      <c r="B363" s="681" t="s">
        <v>51</v>
      </c>
      <c r="C363" s="682" t="s">
        <v>915</v>
      </c>
      <c r="D363" s="682" t="s">
        <v>926</v>
      </c>
      <c r="E363" s="682" t="s">
        <v>215</v>
      </c>
      <c r="F363" s="682">
        <v>2021.0</v>
      </c>
      <c r="G363" s="683">
        <v>3.45E-6</v>
      </c>
      <c r="H363" s="683">
        <v>8.58E-7</v>
      </c>
      <c r="I363" s="684">
        <v>7.78E-6</v>
      </c>
      <c r="K363" s="693" t="s">
        <v>65</v>
      </c>
      <c r="L363" s="694" t="s">
        <v>944</v>
      </c>
      <c r="M363" s="694" t="s">
        <v>915</v>
      </c>
      <c r="N363" s="694" t="s">
        <v>926</v>
      </c>
      <c r="O363" s="694">
        <v>2021.0</v>
      </c>
      <c r="P363" s="694" t="s">
        <v>919</v>
      </c>
      <c r="Q363" s="695" t="s">
        <v>112</v>
      </c>
      <c r="R363" s="696">
        <v>446.675248</v>
      </c>
      <c r="S363" s="696">
        <v>195.6639856</v>
      </c>
      <c r="T363" s="697">
        <v>877.3689594</v>
      </c>
      <c r="AB363" s="722"/>
      <c r="AF363" s="669"/>
    </row>
    <row r="364">
      <c r="A364" s="675"/>
      <c r="B364" s="681" t="s">
        <v>52</v>
      </c>
      <c r="C364" s="682" t="s">
        <v>915</v>
      </c>
      <c r="D364" s="682" t="s">
        <v>916</v>
      </c>
      <c r="E364" s="682" t="s">
        <v>215</v>
      </c>
      <c r="F364" s="682">
        <v>2021.0</v>
      </c>
      <c r="G364" s="683">
        <v>1.5E-6</v>
      </c>
      <c r="H364" s="683">
        <v>5.9E-7</v>
      </c>
      <c r="I364" s="684">
        <v>2.74E-6</v>
      </c>
      <c r="K364" s="693" t="s">
        <v>35</v>
      </c>
      <c r="L364" s="694" t="s">
        <v>944</v>
      </c>
      <c r="M364" s="694" t="s">
        <v>915</v>
      </c>
      <c r="N364" s="694" t="s">
        <v>918</v>
      </c>
      <c r="O364" s="694">
        <v>2021.0</v>
      </c>
      <c r="P364" s="694" t="s">
        <v>919</v>
      </c>
      <c r="Q364" s="695" t="s">
        <v>112</v>
      </c>
      <c r="R364" s="696">
        <v>5074.224557</v>
      </c>
      <c r="S364" s="696">
        <v>3045.055542</v>
      </c>
      <c r="T364" s="697">
        <v>7363.826908</v>
      </c>
      <c r="AB364" s="722"/>
      <c r="AF364" s="669"/>
    </row>
    <row r="365">
      <c r="A365" s="675"/>
      <c r="B365" s="681" t="s">
        <v>52</v>
      </c>
      <c r="C365" s="682" t="s">
        <v>915</v>
      </c>
      <c r="D365" s="682" t="s">
        <v>922</v>
      </c>
      <c r="E365" s="682" t="s">
        <v>215</v>
      </c>
      <c r="F365" s="682">
        <v>2021.0</v>
      </c>
      <c r="G365" s="683">
        <v>2.1E-6</v>
      </c>
      <c r="H365" s="683">
        <v>5.12E-7</v>
      </c>
      <c r="I365" s="684">
        <v>5.11E-6</v>
      </c>
      <c r="K365" s="693" t="s">
        <v>35</v>
      </c>
      <c r="L365" s="694" t="s">
        <v>944</v>
      </c>
      <c r="M365" s="694" t="s">
        <v>915</v>
      </c>
      <c r="N365" s="694" t="s">
        <v>923</v>
      </c>
      <c r="O365" s="694">
        <v>2021.0</v>
      </c>
      <c r="P365" s="694" t="s">
        <v>919</v>
      </c>
      <c r="Q365" s="695" t="s">
        <v>112</v>
      </c>
      <c r="R365" s="696">
        <v>194.8961882</v>
      </c>
      <c r="S365" s="696">
        <v>85.31501968</v>
      </c>
      <c r="T365" s="697">
        <v>322.1784936</v>
      </c>
      <c r="AB365" s="722"/>
      <c r="AF365" s="669"/>
    </row>
    <row r="366">
      <c r="A366" s="675"/>
      <c r="B366" s="681" t="s">
        <v>52</v>
      </c>
      <c r="C366" s="682" t="s">
        <v>915</v>
      </c>
      <c r="D366" s="682" t="s">
        <v>924</v>
      </c>
      <c r="E366" s="682" t="s">
        <v>215</v>
      </c>
      <c r="F366" s="682">
        <v>2021.0</v>
      </c>
      <c r="G366" s="683">
        <v>2.29E-6</v>
      </c>
      <c r="H366" s="683">
        <v>5.21E-7</v>
      </c>
      <c r="I366" s="684">
        <v>5.54E-6</v>
      </c>
      <c r="K366" s="693" t="s">
        <v>35</v>
      </c>
      <c r="L366" s="694" t="s">
        <v>944</v>
      </c>
      <c r="M366" s="694" t="s">
        <v>915</v>
      </c>
      <c r="N366" s="694" t="s">
        <v>925</v>
      </c>
      <c r="O366" s="694">
        <v>2021.0</v>
      </c>
      <c r="P366" s="694" t="s">
        <v>919</v>
      </c>
      <c r="Q366" s="695" t="s">
        <v>112</v>
      </c>
      <c r="R366" s="696">
        <v>241.8041695</v>
      </c>
      <c r="S366" s="696">
        <v>117.3287304</v>
      </c>
      <c r="T366" s="697">
        <v>388.6253459</v>
      </c>
      <c r="AB366" s="722"/>
      <c r="AF366" s="669"/>
    </row>
    <row r="367">
      <c r="A367" s="675"/>
      <c r="B367" s="681" t="s">
        <v>52</v>
      </c>
      <c r="C367" s="682" t="s">
        <v>915</v>
      </c>
      <c r="D367" s="682" t="s">
        <v>926</v>
      </c>
      <c r="E367" s="682" t="s">
        <v>215</v>
      </c>
      <c r="F367" s="682">
        <v>2021.0</v>
      </c>
      <c r="G367" s="683">
        <v>7.94E-6</v>
      </c>
      <c r="H367" s="683">
        <v>2.12E-6</v>
      </c>
      <c r="I367" s="684">
        <v>1.82E-5</v>
      </c>
      <c r="K367" s="693" t="s">
        <v>35</v>
      </c>
      <c r="L367" s="694" t="s">
        <v>944</v>
      </c>
      <c r="M367" s="694" t="s">
        <v>915</v>
      </c>
      <c r="N367" s="694" t="s">
        <v>927</v>
      </c>
      <c r="O367" s="694">
        <v>2021.0</v>
      </c>
      <c r="P367" s="694" t="s">
        <v>919</v>
      </c>
      <c r="Q367" s="695" t="s">
        <v>112</v>
      </c>
      <c r="R367" s="696">
        <v>4268.877147</v>
      </c>
      <c r="S367" s="696">
        <v>2763.432322</v>
      </c>
      <c r="T367" s="697">
        <v>6148.546252</v>
      </c>
      <c r="AB367" s="722"/>
      <c r="AF367" s="669"/>
    </row>
    <row r="368">
      <c r="A368" s="675"/>
      <c r="B368" s="681" t="s">
        <v>28</v>
      </c>
      <c r="C368" s="682" t="s">
        <v>915</v>
      </c>
      <c r="D368" s="682" t="s">
        <v>916</v>
      </c>
      <c r="E368" s="682" t="s">
        <v>215</v>
      </c>
      <c r="F368" s="682">
        <v>2021.0</v>
      </c>
      <c r="G368" s="683">
        <v>2.01E-5</v>
      </c>
      <c r="H368" s="683">
        <v>8.74E-6</v>
      </c>
      <c r="I368" s="684">
        <v>3.9E-5</v>
      </c>
      <c r="K368" s="693" t="s">
        <v>35</v>
      </c>
      <c r="L368" s="694" t="s">
        <v>944</v>
      </c>
      <c r="M368" s="694" t="s">
        <v>915</v>
      </c>
      <c r="N368" s="694" t="s">
        <v>926</v>
      </c>
      <c r="O368" s="694">
        <v>2021.0</v>
      </c>
      <c r="P368" s="694" t="s">
        <v>919</v>
      </c>
      <c r="Q368" s="695" t="s">
        <v>112</v>
      </c>
      <c r="R368" s="696">
        <v>9779.802062</v>
      </c>
      <c r="S368" s="696">
        <v>6376.739262</v>
      </c>
      <c r="T368" s="697">
        <v>13337.39345</v>
      </c>
      <c r="AB368" s="722"/>
      <c r="AF368" s="669"/>
    </row>
    <row r="369">
      <c r="A369" s="675"/>
      <c r="B369" s="681" t="s">
        <v>28</v>
      </c>
      <c r="C369" s="682" t="s">
        <v>915</v>
      </c>
      <c r="D369" s="682" t="s">
        <v>922</v>
      </c>
      <c r="E369" s="682" t="s">
        <v>215</v>
      </c>
      <c r="F369" s="682">
        <v>2021.0</v>
      </c>
      <c r="G369" s="683">
        <v>3.15E-5</v>
      </c>
      <c r="H369" s="683">
        <v>8.43E-6</v>
      </c>
      <c r="I369" s="684">
        <v>7.29E-5</v>
      </c>
      <c r="K369" s="693" t="s">
        <v>66</v>
      </c>
      <c r="L369" s="694" t="s">
        <v>944</v>
      </c>
      <c r="M369" s="694" t="s">
        <v>915</v>
      </c>
      <c r="N369" s="694" t="s">
        <v>918</v>
      </c>
      <c r="O369" s="694">
        <v>2021.0</v>
      </c>
      <c r="P369" s="694" t="s">
        <v>919</v>
      </c>
      <c r="Q369" s="695" t="s">
        <v>112</v>
      </c>
      <c r="R369" s="696">
        <v>1983.667433</v>
      </c>
      <c r="S369" s="696">
        <v>1121.866868</v>
      </c>
      <c r="T369" s="697">
        <v>3127.373556</v>
      </c>
      <c r="AB369" s="722"/>
      <c r="AF369" s="669"/>
    </row>
    <row r="370">
      <c r="A370" s="675"/>
      <c r="B370" s="681" t="s">
        <v>28</v>
      </c>
      <c r="C370" s="682" t="s">
        <v>915</v>
      </c>
      <c r="D370" s="682" t="s">
        <v>924</v>
      </c>
      <c r="E370" s="682" t="s">
        <v>215</v>
      </c>
      <c r="F370" s="682">
        <v>2021.0</v>
      </c>
      <c r="G370" s="683">
        <v>4.39E-5</v>
      </c>
      <c r="H370" s="683">
        <v>1.03E-5</v>
      </c>
      <c r="I370" s="684">
        <v>1.17449E-4</v>
      </c>
      <c r="K370" s="693" t="s">
        <v>66</v>
      </c>
      <c r="L370" s="694" t="s">
        <v>944</v>
      </c>
      <c r="M370" s="694" t="s">
        <v>915</v>
      </c>
      <c r="N370" s="694" t="s">
        <v>923</v>
      </c>
      <c r="O370" s="694">
        <v>2021.0</v>
      </c>
      <c r="P370" s="694" t="s">
        <v>919</v>
      </c>
      <c r="Q370" s="695" t="s">
        <v>112</v>
      </c>
      <c r="R370" s="696">
        <v>103.6475582</v>
      </c>
      <c r="S370" s="696">
        <v>51.3141118</v>
      </c>
      <c r="T370" s="697">
        <v>164.6426582</v>
      </c>
      <c r="AB370" s="722"/>
      <c r="AF370" s="669"/>
    </row>
    <row r="371">
      <c r="A371" s="675"/>
      <c r="B371" s="681" t="s">
        <v>28</v>
      </c>
      <c r="C371" s="682" t="s">
        <v>915</v>
      </c>
      <c r="D371" s="682" t="s">
        <v>926</v>
      </c>
      <c r="E371" s="682" t="s">
        <v>215</v>
      </c>
      <c r="F371" s="682">
        <v>2021.0</v>
      </c>
      <c r="G371" s="683">
        <v>3.47103E-4</v>
      </c>
      <c r="H371" s="683">
        <v>1.02552E-4</v>
      </c>
      <c r="I371" s="684">
        <v>7.59076E-4</v>
      </c>
      <c r="K371" s="693" t="s">
        <v>66</v>
      </c>
      <c r="L371" s="694" t="s">
        <v>944</v>
      </c>
      <c r="M371" s="694" t="s">
        <v>915</v>
      </c>
      <c r="N371" s="694" t="s">
        <v>925</v>
      </c>
      <c r="O371" s="694">
        <v>2021.0</v>
      </c>
      <c r="P371" s="694" t="s">
        <v>919</v>
      </c>
      <c r="Q371" s="695" t="s">
        <v>112</v>
      </c>
      <c r="R371" s="696">
        <v>108.768648</v>
      </c>
      <c r="S371" s="696">
        <v>57.60049407</v>
      </c>
      <c r="T371" s="697">
        <v>179.930495</v>
      </c>
      <c r="AB371" s="722"/>
      <c r="AF371" s="669"/>
    </row>
    <row r="372">
      <c r="A372" s="675"/>
      <c r="B372" s="681" t="s">
        <v>53</v>
      </c>
      <c r="C372" s="682" t="s">
        <v>915</v>
      </c>
      <c r="D372" s="682" t="s">
        <v>916</v>
      </c>
      <c r="E372" s="682" t="s">
        <v>215</v>
      </c>
      <c r="F372" s="682">
        <v>2021.0</v>
      </c>
      <c r="G372" s="683">
        <v>1.01E-6</v>
      </c>
      <c r="H372" s="683">
        <v>4.06E-7</v>
      </c>
      <c r="I372" s="684">
        <v>2.03E-6</v>
      </c>
      <c r="K372" s="693" t="s">
        <v>66</v>
      </c>
      <c r="L372" s="694" t="s">
        <v>944</v>
      </c>
      <c r="M372" s="694" t="s">
        <v>915</v>
      </c>
      <c r="N372" s="694" t="s">
        <v>927</v>
      </c>
      <c r="O372" s="694">
        <v>2021.0</v>
      </c>
      <c r="P372" s="694" t="s">
        <v>919</v>
      </c>
      <c r="Q372" s="695" t="s">
        <v>112</v>
      </c>
      <c r="R372" s="696">
        <v>3646.676429</v>
      </c>
      <c r="S372" s="696">
        <v>2433.362322</v>
      </c>
      <c r="T372" s="697">
        <v>5091.851561</v>
      </c>
      <c r="AB372" s="722"/>
      <c r="AF372" s="669"/>
    </row>
    <row r="373">
      <c r="A373" s="675"/>
      <c r="B373" s="681" t="s">
        <v>53</v>
      </c>
      <c r="C373" s="682" t="s">
        <v>915</v>
      </c>
      <c r="D373" s="682" t="s">
        <v>922</v>
      </c>
      <c r="E373" s="682" t="s">
        <v>215</v>
      </c>
      <c r="F373" s="682">
        <v>2021.0</v>
      </c>
      <c r="G373" s="683">
        <v>1.21E-6</v>
      </c>
      <c r="H373" s="683">
        <v>3.03E-7</v>
      </c>
      <c r="I373" s="684">
        <v>2.96E-6</v>
      </c>
      <c r="K373" s="693" t="s">
        <v>66</v>
      </c>
      <c r="L373" s="694" t="s">
        <v>944</v>
      </c>
      <c r="M373" s="694" t="s">
        <v>915</v>
      </c>
      <c r="N373" s="694" t="s">
        <v>926</v>
      </c>
      <c r="O373" s="694">
        <v>2021.0</v>
      </c>
      <c r="P373" s="694" t="s">
        <v>919</v>
      </c>
      <c r="Q373" s="695" t="s">
        <v>112</v>
      </c>
      <c r="R373" s="696">
        <v>5842.760068</v>
      </c>
      <c r="S373" s="696">
        <v>3965.440109</v>
      </c>
      <c r="T373" s="697">
        <v>8099.199799</v>
      </c>
      <c r="AB373" s="722"/>
      <c r="AF373" s="669"/>
    </row>
    <row r="374">
      <c r="A374" s="675"/>
      <c r="B374" s="681" t="s">
        <v>53</v>
      </c>
      <c r="C374" s="682" t="s">
        <v>915</v>
      </c>
      <c r="D374" s="682" t="s">
        <v>924</v>
      </c>
      <c r="E374" s="682" t="s">
        <v>215</v>
      </c>
      <c r="F374" s="682">
        <v>2021.0</v>
      </c>
      <c r="G374" s="683">
        <v>1.1E-6</v>
      </c>
      <c r="H374" s="683">
        <v>2.55E-7</v>
      </c>
      <c r="I374" s="684">
        <v>2.64E-6</v>
      </c>
      <c r="K374" s="693" t="s">
        <v>67</v>
      </c>
      <c r="L374" s="694" t="s">
        <v>944</v>
      </c>
      <c r="M374" s="694" t="s">
        <v>915</v>
      </c>
      <c r="N374" s="694" t="s">
        <v>918</v>
      </c>
      <c r="O374" s="694">
        <v>2021.0</v>
      </c>
      <c r="P374" s="694" t="s">
        <v>919</v>
      </c>
      <c r="Q374" s="695" t="s">
        <v>112</v>
      </c>
      <c r="R374" s="696">
        <v>1134.858032</v>
      </c>
      <c r="S374" s="696">
        <v>613.4377626</v>
      </c>
      <c r="T374" s="697">
        <v>1762.138802</v>
      </c>
      <c r="AB374" s="722"/>
      <c r="AF374" s="669"/>
    </row>
    <row r="375">
      <c r="A375" s="675"/>
      <c r="B375" s="681" t="s">
        <v>53</v>
      </c>
      <c r="C375" s="682" t="s">
        <v>915</v>
      </c>
      <c r="D375" s="682" t="s">
        <v>926</v>
      </c>
      <c r="E375" s="682" t="s">
        <v>215</v>
      </c>
      <c r="F375" s="682">
        <v>2021.0</v>
      </c>
      <c r="G375" s="683">
        <v>3.61E-6</v>
      </c>
      <c r="H375" s="683">
        <v>1.02E-6</v>
      </c>
      <c r="I375" s="684">
        <v>9.04E-6</v>
      </c>
      <c r="K375" s="693" t="s">
        <v>67</v>
      </c>
      <c r="L375" s="694" t="s">
        <v>944</v>
      </c>
      <c r="M375" s="694" t="s">
        <v>915</v>
      </c>
      <c r="N375" s="694" t="s">
        <v>923</v>
      </c>
      <c r="O375" s="694">
        <v>2021.0</v>
      </c>
      <c r="P375" s="694" t="s">
        <v>919</v>
      </c>
      <c r="Q375" s="695" t="s">
        <v>112</v>
      </c>
      <c r="R375" s="696">
        <v>87.2097434</v>
      </c>
      <c r="S375" s="696">
        <v>38.83804515</v>
      </c>
      <c r="T375" s="697">
        <v>135.7066733</v>
      </c>
      <c r="AB375" s="722"/>
      <c r="AF375" s="669"/>
    </row>
    <row r="376">
      <c r="A376" s="675"/>
      <c r="B376" s="681" t="s">
        <v>30</v>
      </c>
      <c r="C376" s="682" t="s">
        <v>915</v>
      </c>
      <c r="D376" s="682" t="s">
        <v>916</v>
      </c>
      <c r="E376" s="682" t="s">
        <v>215</v>
      </c>
      <c r="F376" s="682">
        <v>2021.0</v>
      </c>
      <c r="G376" s="683">
        <v>3.52E-5</v>
      </c>
      <c r="H376" s="683">
        <v>1.68E-5</v>
      </c>
      <c r="I376" s="684">
        <v>6.44E-5</v>
      </c>
      <c r="K376" s="693" t="s">
        <v>67</v>
      </c>
      <c r="L376" s="694" t="s">
        <v>944</v>
      </c>
      <c r="M376" s="694" t="s">
        <v>915</v>
      </c>
      <c r="N376" s="694" t="s">
        <v>925</v>
      </c>
      <c r="O376" s="694">
        <v>2021.0</v>
      </c>
      <c r="P376" s="694" t="s">
        <v>919</v>
      </c>
      <c r="Q376" s="695" t="s">
        <v>112</v>
      </c>
      <c r="R376" s="696">
        <v>63.8773908</v>
      </c>
      <c r="S376" s="696">
        <v>36.12015229</v>
      </c>
      <c r="T376" s="697">
        <v>111.2137076</v>
      </c>
      <c r="AB376" s="722"/>
      <c r="AF376" s="669"/>
    </row>
    <row r="377">
      <c r="A377" s="675"/>
      <c r="B377" s="681" t="s">
        <v>30</v>
      </c>
      <c r="C377" s="682" t="s">
        <v>915</v>
      </c>
      <c r="D377" s="682" t="s">
        <v>922</v>
      </c>
      <c r="E377" s="682" t="s">
        <v>215</v>
      </c>
      <c r="F377" s="682">
        <v>2021.0</v>
      </c>
      <c r="G377" s="683">
        <v>4.55E-5</v>
      </c>
      <c r="H377" s="683">
        <v>1.17E-5</v>
      </c>
      <c r="I377" s="684">
        <v>1.09711E-4</v>
      </c>
      <c r="K377" s="693" t="s">
        <v>67</v>
      </c>
      <c r="L377" s="694" t="s">
        <v>944</v>
      </c>
      <c r="M377" s="694" t="s">
        <v>915</v>
      </c>
      <c r="N377" s="694" t="s">
        <v>927</v>
      </c>
      <c r="O377" s="694">
        <v>2021.0</v>
      </c>
      <c r="P377" s="694" t="s">
        <v>919</v>
      </c>
      <c r="Q377" s="695" t="s">
        <v>112</v>
      </c>
      <c r="R377" s="696">
        <v>1209.776729</v>
      </c>
      <c r="S377" s="696">
        <v>798.010836</v>
      </c>
      <c r="T377" s="697">
        <v>1720.806938</v>
      </c>
      <c r="AB377" s="722"/>
      <c r="AF377" s="669"/>
    </row>
    <row r="378">
      <c r="A378" s="675"/>
      <c r="B378" s="681" t="s">
        <v>30</v>
      </c>
      <c r="C378" s="682" t="s">
        <v>915</v>
      </c>
      <c r="D378" s="682" t="s">
        <v>924</v>
      </c>
      <c r="E378" s="682" t="s">
        <v>215</v>
      </c>
      <c r="F378" s="682">
        <v>2021.0</v>
      </c>
      <c r="G378" s="683">
        <v>6.71E-5</v>
      </c>
      <c r="H378" s="683">
        <v>1.47E-5</v>
      </c>
      <c r="I378" s="684">
        <v>1.68084E-4</v>
      </c>
      <c r="K378" s="693" t="s">
        <v>67</v>
      </c>
      <c r="L378" s="694" t="s">
        <v>944</v>
      </c>
      <c r="M378" s="694" t="s">
        <v>915</v>
      </c>
      <c r="N378" s="694" t="s">
        <v>926</v>
      </c>
      <c r="O378" s="694">
        <v>2021.0</v>
      </c>
      <c r="P378" s="694" t="s">
        <v>919</v>
      </c>
      <c r="Q378" s="695" t="s">
        <v>112</v>
      </c>
      <c r="R378" s="696">
        <v>2495.721895</v>
      </c>
      <c r="S378" s="696">
        <v>1623.481545</v>
      </c>
      <c r="T378" s="697">
        <v>3550.813753</v>
      </c>
      <c r="AB378" s="722"/>
      <c r="AF378" s="669"/>
    </row>
    <row r="379">
      <c r="A379" s="675"/>
      <c r="B379" s="681" t="s">
        <v>30</v>
      </c>
      <c r="C379" s="682" t="s">
        <v>915</v>
      </c>
      <c r="D379" s="682" t="s">
        <v>926</v>
      </c>
      <c r="E379" s="682" t="s">
        <v>215</v>
      </c>
      <c r="F379" s="682">
        <v>2021.0</v>
      </c>
      <c r="G379" s="683">
        <v>5.79052E-4</v>
      </c>
      <c r="H379" s="683">
        <v>1.67976E-4</v>
      </c>
      <c r="I379" s="684">
        <v>0.001330104</v>
      </c>
      <c r="K379" s="693" t="s">
        <v>37</v>
      </c>
      <c r="L379" s="694" t="s">
        <v>944</v>
      </c>
      <c r="M379" s="694" t="s">
        <v>915</v>
      </c>
      <c r="N379" s="694" t="s">
        <v>918</v>
      </c>
      <c r="O379" s="694">
        <v>2021.0</v>
      </c>
      <c r="P379" s="694" t="s">
        <v>919</v>
      </c>
      <c r="Q379" s="695" t="s">
        <v>112</v>
      </c>
      <c r="R379" s="696">
        <v>3222.549571</v>
      </c>
      <c r="S379" s="696">
        <v>2000.39836</v>
      </c>
      <c r="T379" s="697">
        <v>4781.305929</v>
      </c>
      <c r="AB379" s="722"/>
      <c r="AF379" s="669"/>
    </row>
    <row r="380">
      <c r="A380" s="675"/>
      <c r="B380" s="681" t="s">
        <v>31</v>
      </c>
      <c r="C380" s="682" t="s">
        <v>915</v>
      </c>
      <c r="D380" s="682" t="s">
        <v>916</v>
      </c>
      <c r="E380" s="682" t="s">
        <v>215</v>
      </c>
      <c r="F380" s="682">
        <v>2021.0</v>
      </c>
      <c r="G380" s="683">
        <v>1.12E-5</v>
      </c>
      <c r="H380" s="683">
        <v>4.85E-6</v>
      </c>
      <c r="I380" s="684">
        <v>2.15E-5</v>
      </c>
      <c r="K380" s="693" t="s">
        <v>37</v>
      </c>
      <c r="L380" s="694" t="s">
        <v>944</v>
      </c>
      <c r="M380" s="694" t="s">
        <v>915</v>
      </c>
      <c r="N380" s="694" t="s">
        <v>923</v>
      </c>
      <c r="O380" s="694">
        <v>2021.0</v>
      </c>
      <c r="P380" s="694" t="s">
        <v>919</v>
      </c>
      <c r="Q380" s="695" t="s">
        <v>112</v>
      </c>
      <c r="R380" s="696">
        <v>88.41418118</v>
      </c>
      <c r="S380" s="696">
        <v>42.10245222</v>
      </c>
      <c r="T380" s="697">
        <v>140.4930278</v>
      </c>
      <c r="AB380" s="722"/>
      <c r="AF380" s="669"/>
    </row>
    <row r="381">
      <c r="A381" s="675"/>
      <c r="B381" s="681" t="s">
        <v>31</v>
      </c>
      <c r="C381" s="682" t="s">
        <v>915</v>
      </c>
      <c r="D381" s="682" t="s">
        <v>922</v>
      </c>
      <c r="E381" s="682" t="s">
        <v>215</v>
      </c>
      <c r="F381" s="682">
        <v>2021.0</v>
      </c>
      <c r="G381" s="683">
        <v>1.6E-5</v>
      </c>
      <c r="H381" s="683">
        <v>4.55E-6</v>
      </c>
      <c r="I381" s="684">
        <v>3.72E-5</v>
      </c>
      <c r="K381" s="693" t="s">
        <v>37</v>
      </c>
      <c r="L381" s="694" t="s">
        <v>944</v>
      </c>
      <c r="M381" s="694" t="s">
        <v>915</v>
      </c>
      <c r="N381" s="694" t="s">
        <v>925</v>
      </c>
      <c r="O381" s="694">
        <v>2021.0</v>
      </c>
      <c r="P381" s="694" t="s">
        <v>919</v>
      </c>
      <c r="Q381" s="695" t="s">
        <v>112</v>
      </c>
      <c r="R381" s="696">
        <v>136.0808621</v>
      </c>
      <c r="S381" s="696">
        <v>64.15750442</v>
      </c>
      <c r="T381" s="697">
        <v>217.3847821</v>
      </c>
      <c r="AB381" s="722"/>
      <c r="AF381" s="669"/>
    </row>
    <row r="382">
      <c r="A382" s="675"/>
      <c r="B382" s="681" t="s">
        <v>31</v>
      </c>
      <c r="C382" s="682" t="s">
        <v>915</v>
      </c>
      <c r="D382" s="682" t="s">
        <v>924</v>
      </c>
      <c r="E382" s="682" t="s">
        <v>215</v>
      </c>
      <c r="F382" s="682">
        <v>2021.0</v>
      </c>
      <c r="G382" s="683">
        <v>1.99E-5</v>
      </c>
      <c r="H382" s="683">
        <v>4.65E-6</v>
      </c>
      <c r="I382" s="684">
        <v>5.18E-5</v>
      </c>
      <c r="K382" s="693" t="s">
        <v>37</v>
      </c>
      <c r="L382" s="694" t="s">
        <v>944</v>
      </c>
      <c r="M382" s="694" t="s">
        <v>915</v>
      </c>
      <c r="N382" s="694" t="s">
        <v>927</v>
      </c>
      <c r="O382" s="694">
        <v>2021.0</v>
      </c>
      <c r="P382" s="694" t="s">
        <v>919</v>
      </c>
      <c r="Q382" s="695" t="s">
        <v>112</v>
      </c>
      <c r="R382" s="696">
        <v>2924.136936</v>
      </c>
      <c r="S382" s="696">
        <v>2020.730644</v>
      </c>
      <c r="T382" s="697">
        <v>4047.864816</v>
      </c>
      <c r="AB382" s="722"/>
      <c r="AF382" s="669"/>
    </row>
    <row r="383">
      <c r="A383" s="675"/>
      <c r="B383" s="681" t="s">
        <v>31</v>
      </c>
      <c r="C383" s="682" t="s">
        <v>915</v>
      </c>
      <c r="D383" s="682" t="s">
        <v>926</v>
      </c>
      <c r="E383" s="682" t="s">
        <v>215</v>
      </c>
      <c r="F383" s="682">
        <v>2021.0</v>
      </c>
      <c r="G383" s="683">
        <v>1.05863E-4</v>
      </c>
      <c r="H383" s="683">
        <v>3.35E-5</v>
      </c>
      <c r="I383" s="684">
        <v>2.33019E-4</v>
      </c>
      <c r="K383" s="693" t="s">
        <v>37</v>
      </c>
      <c r="L383" s="694" t="s">
        <v>944</v>
      </c>
      <c r="M383" s="694" t="s">
        <v>915</v>
      </c>
      <c r="N383" s="694" t="s">
        <v>926</v>
      </c>
      <c r="O383" s="694">
        <v>2021.0</v>
      </c>
      <c r="P383" s="694" t="s">
        <v>919</v>
      </c>
      <c r="Q383" s="695" t="s">
        <v>112</v>
      </c>
      <c r="R383" s="696">
        <v>6371.181551</v>
      </c>
      <c r="S383" s="696">
        <v>4415.457127</v>
      </c>
      <c r="T383" s="697">
        <v>8668.771514</v>
      </c>
      <c r="AB383" s="722"/>
      <c r="AF383" s="669"/>
    </row>
    <row r="384">
      <c r="A384" s="675"/>
      <c r="B384" s="681" t="s">
        <v>32</v>
      </c>
      <c r="C384" s="682" t="s">
        <v>915</v>
      </c>
      <c r="D384" s="682" t="s">
        <v>916</v>
      </c>
      <c r="E384" s="682" t="s">
        <v>215</v>
      </c>
      <c r="F384" s="682">
        <v>2021.0</v>
      </c>
      <c r="G384" s="683">
        <v>1.33E-5</v>
      </c>
      <c r="H384" s="683">
        <v>5.9E-6</v>
      </c>
      <c r="I384" s="684">
        <v>2.46E-5</v>
      </c>
      <c r="K384" s="693" t="s">
        <v>38</v>
      </c>
      <c r="L384" s="694" t="s">
        <v>215</v>
      </c>
      <c r="M384" s="694" t="s">
        <v>915</v>
      </c>
      <c r="N384" s="694" t="s">
        <v>918</v>
      </c>
      <c r="O384" s="694">
        <v>2021.0</v>
      </c>
      <c r="P384" s="694" t="s">
        <v>919</v>
      </c>
      <c r="Q384" s="695" t="s">
        <v>112</v>
      </c>
      <c r="R384" s="696">
        <v>0.8183963</v>
      </c>
      <c r="S384" s="696">
        <v>0.208228649</v>
      </c>
      <c r="T384" s="697">
        <v>2.002141564</v>
      </c>
      <c r="AB384" s="722"/>
      <c r="AF384" s="669"/>
    </row>
    <row r="385">
      <c r="A385" s="675"/>
      <c r="B385" s="681" t="s">
        <v>32</v>
      </c>
      <c r="C385" s="682" t="s">
        <v>915</v>
      </c>
      <c r="D385" s="682" t="s">
        <v>922</v>
      </c>
      <c r="E385" s="682" t="s">
        <v>215</v>
      </c>
      <c r="F385" s="682">
        <v>2021.0</v>
      </c>
      <c r="G385" s="683">
        <v>2.15E-5</v>
      </c>
      <c r="H385" s="683">
        <v>5.23E-6</v>
      </c>
      <c r="I385" s="684">
        <v>5.07E-5</v>
      </c>
      <c r="K385" s="693" t="s">
        <v>38</v>
      </c>
      <c r="L385" s="694" t="s">
        <v>215</v>
      </c>
      <c r="M385" s="694" t="s">
        <v>915</v>
      </c>
      <c r="N385" s="694" t="s">
        <v>923</v>
      </c>
      <c r="O385" s="694">
        <v>2021.0</v>
      </c>
      <c r="P385" s="694" t="s">
        <v>919</v>
      </c>
      <c r="Q385" s="695" t="s">
        <v>112</v>
      </c>
      <c r="R385" s="696">
        <v>0.0</v>
      </c>
      <c r="S385" s="696">
        <v>0.0</v>
      </c>
      <c r="T385" s="697">
        <v>0.0</v>
      </c>
      <c r="AB385" s="722"/>
      <c r="AF385" s="669"/>
    </row>
    <row r="386">
      <c r="A386" s="675"/>
      <c r="B386" s="681" t="s">
        <v>32</v>
      </c>
      <c r="C386" s="682" t="s">
        <v>915</v>
      </c>
      <c r="D386" s="682" t="s">
        <v>924</v>
      </c>
      <c r="E386" s="682" t="s">
        <v>215</v>
      </c>
      <c r="F386" s="682">
        <v>2021.0</v>
      </c>
      <c r="G386" s="683">
        <v>3.53E-5</v>
      </c>
      <c r="H386" s="683">
        <v>8.06E-6</v>
      </c>
      <c r="I386" s="684">
        <v>9.07E-5</v>
      </c>
      <c r="K386" s="693" t="s">
        <v>38</v>
      </c>
      <c r="L386" s="694" t="s">
        <v>215</v>
      </c>
      <c r="M386" s="694" t="s">
        <v>915</v>
      </c>
      <c r="N386" s="694" t="s">
        <v>925</v>
      </c>
      <c r="O386" s="694">
        <v>2021.0</v>
      </c>
      <c r="P386" s="694" t="s">
        <v>919</v>
      </c>
      <c r="Q386" s="695" t="s">
        <v>112</v>
      </c>
      <c r="R386" s="696">
        <v>0.0</v>
      </c>
      <c r="S386" s="696">
        <v>0.0</v>
      </c>
      <c r="T386" s="697">
        <v>0.0</v>
      </c>
      <c r="AB386" s="722"/>
      <c r="AF386" s="669"/>
    </row>
    <row r="387">
      <c r="A387" s="675"/>
      <c r="B387" s="681" t="s">
        <v>32</v>
      </c>
      <c r="C387" s="682" t="s">
        <v>915</v>
      </c>
      <c r="D387" s="682" t="s">
        <v>926</v>
      </c>
      <c r="E387" s="682" t="s">
        <v>215</v>
      </c>
      <c r="F387" s="682">
        <v>2021.0</v>
      </c>
      <c r="G387" s="683">
        <v>2.47733E-4</v>
      </c>
      <c r="H387" s="683">
        <v>7.08E-5</v>
      </c>
      <c r="I387" s="684">
        <v>6.1883E-4</v>
      </c>
      <c r="K387" s="693" t="s">
        <v>38</v>
      </c>
      <c r="L387" s="694" t="s">
        <v>215</v>
      </c>
      <c r="M387" s="694" t="s">
        <v>915</v>
      </c>
      <c r="N387" s="694" t="s">
        <v>927</v>
      </c>
      <c r="O387" s="694">
        <v>2021.0</v>
      </c>
      <c r="P387" s="694" t="s">
        <v>919</v>
      </c>
      <c r="Q387" s="695" t="s">
        <v>112</v>
      </c>
      <c r="R387" s="696">
        <v>0.372585776</v>
      </c>
      <c r="S387" s="696">
        <v>0.069754804</v>
      </c>
      <c r="T387" s="697">
        <v>1.069043112</v>
      </c>
      <c r="AB387" s="722"/>
      <c r="AF387" s="669"/>
    </row>
    <row r="388">
      <c r="A388" s="675"/>
      <c r="B388" s="681" t="s">
        <v>33</v>
      </c>
      <c r="C388" s="682" t="s">
        <v>915</v>
      </c>
      <c r="D388" s="682" t="s">
        <v>916</v>
      </c>
      <c r="E388" s="682" t="s">
        <v>215</v>
      </c>
      <c r="F388" s="682">
        <v>2021.0</v>
      </c>
      <c r="G388" s="683">
        <v>2.68E-5</v>
      </c>
      <c r="H388" s="683">
        <v>1.19E-5</v>
      </c>
      <c r="I388" s="684">
        <v>4.94E-5</v>
      </c>
      <c r="K388" s="693" t="s">
        <v>38</v>
      </c>
      <c r="L388" s="694" t="s">
        <v>215</v>
      </c>
      <c r="M388" s="694" t="s">
        <v>915</v>
      </c>
      <c r="N388" s="694" t="s">
        <v>926</v>
      </c>
      <c r="O388" s="694">
        <v>2021.0</v>
      </c>
      <c r="P388" s="694" t="s">
        <v>919</v>
      </c>
      <c r="Q388" s="695" t="s">
        <v>112</v>
      </c>
      <c r="R388" s="696">
        <v>1.190982076</v>
      </c>
      <c r="S388" s="696">
        <v>0.397953467</v>
      </c>
      <c r="T388" s="697">
        <v>2.669369069</v>
      </c>
      <c r="AB388" s="722"/>
      <c r="AF388" s="669"/>
    </row>
    <row r="389">
      <c r="A389" s="675"/>
      <c r="B389" s="681" t="s">
        <v>33</v>
      </c>
      <c r="C389" s="682" t="s">
        <v>915</v>
      </c>
      <c r="D389" s="682" t="s">
        <v>922</v>
      </c>
      <c r="E389" s="682" t="s">
        <v>215</v>
      </c>
      <c r="F389" s="682">
        <v>2021.0</v>
      </c>
      <c r="G389" s="683">
        <v>3.93E-5</v>
      </c>
      <c r="H389" s="683">
        <v>1.07E-5</v>
      </c>
      <c r="I389" s="684">
        <v>8.95E-5</v>
      </c>
      <c r="K389" s="693" t="s">
        <v>39</v>
      </c>
      <c r="L389" s="694" t="s">
        <v>215</v>
      </c>
      <c r="M389" s="694" t="s">
        <v>915</v>
      </c>
      <c r="N389" s="694" t="s">
        <v>918</v>
      </c>
      <c r="O389" s="694">
        <v>2021.0</v>
      </c>
      <c r="P389" s="694" t="s">
        <v>919</v>
      </c>
      <c r="Q389" s="695" t="s">
        <v>112</v>
      </c>
      <c r="R389" s="696">
        <v>5.768313821</v>
      </c>
      <c r="S389" s="696">
        <v>1.487816344</v>
      </c>
      <c r="T389" s="697">
        <v>13.57410092</v>
      </c>
      <c r="AB389" s="722"/>
      <c r="AF389" s="669"/>
    </row>
    <row r="390">
      <c r="A390" s="675"/>
      <c r="B390" s="681" t="s">
        <v>33</v>
      </c>
      <c r="C390" s="682" t="s">
        <v>915</v>
      </c>
      <c r="D390" s="682" t="s">
        <v>924</v>
      </c>
      <c r="E390" s="682" t="s">
        <v>215</v>
      </c>
      <c r="F390" s="682">
        <v>2021.0</v>
      </c>
      <c r="G390" s="683">
        <v>4.59E-5</v>
      </c>
      <c r="H390" s="683">
        <v>1.05E-5</v>
      </c>
      <c r="I390" s="684">
        <v>1.16247E-4</v>
      </c>
      <c r="K390" s="693" t="s">
        <v>39</v>
      </c>
      <c r="L390" s="694" t="s">
        <v>215</v>
      </c>
      <c r="M390" s="694" t="s">
        <v>915</v>
      </c>
      <c r="N390" s="694" t="s">
        <v>923</v>
      </c>
      <c r="O390" s="694">
        <v>2021.0</v>
      </c>
      <c r="P390" s="694" t="s">
        <v>919</v>
      </c>
      <c r="Q390" s="695" t="s">
        <v>112</v>
      </c>
      <c r="R390" s="696">
        <v>0.0</v>
      </c>
      <c r="S390" s="696">
        <v>0.0</v>
      </c>
      <c r="T390" s="697">
        <v>0.0</v>
      </c>
      <c r="AB390" s="722"/>
      <c r="AF390" s="669"/>
    </row>
    <row r="391">
      <c r="A391" s="675"/>
      <c r="B391" s="681" t="s">
        <v>33</v>
      </c>
      <c r="C391" s="682" t="s">
        <v>915</v>
      </c>
      <c r="D391" s="682" t="s">
        <v>926</v>
      </c>
      <c r="E391" s="682" t="s">
        <v>215</v>
      </c>
      <c r="F391" s="682">
        <v>2021.0</v>
      </c>
      <c r="G391" s="683">
        <v>3.80731E-4</v>
      </c>
      <c r="H391" s="683">
        <v>1.1312E-4</v>
      </c>
      <c r="I391" s="684">
        <v>9.21548E-4</v>
      </c>
      <c r="K391" s="693" t="s">
        <v>39</v>
      </c>
      <c r="L391" s="694" t="s">
        <v>215</v>
      </c>
      <c r="M391" s="694" t="s">
        <v>915</v>
      </c>
      <c r="N391" s="694" t="s">
        <v>925</v>
      </c>
      <c r="O391" s="694">
        <v>2021.0</v>
      </c>
      <c r="P391" s="694" t="s">
        <v>919</v>
      </c>
      <c r="Q391" s="695" t="s">
        <v>112</v>
      </c>
      <c r="R391" s="696">
        <v>0.0</v>
      </c>
      <c r="S391" s="696">
        <v>0.0</v>
      </c>
      <c r="T391" s="697">
        <v>0.0</v>
      </c>
      <c r="AB391" s="722"/>
      <c r="AF391" s="669"/>
    </row>
    <row r="392">
      <c r="A392" s="675"/>
      <c r="B392" s="681" t="s">
        <v>34</v>
      </c>
      <c r="C392" s="682" t="s">
        <v>915</v>
      </c>
      <c r="D392" s="682" t="s">
        <v>916</v>
      </c>
      <c r="E392" s="682" t="s">
        <v>215</v>
      </c>
      <c r="F392" s="682">
        <v>2021.0</v>
      </c>
      <c r="G392" s="683">
        <v>5.9E-5</v>
      </c>
      <c r="H392" s="683">
        <v>2.67E-5</v>
      </c>
      <c r="I392" s="684">
        <v>1.08358E-4</v>
      </c>
      <c r="K392" s="693" t="s">
        <v>39</v>
      </c>
      <c r="L392" s="694" t="s">
        <v>215</v>
      </c>
      <c r="M392" s="694" t="s">
        <v>915</v>
      </c>
      <c r="N392" s="694" t="s">
        <v>927</v>
      </c>
      <c r="O392" s="694">
        <v>2021.0</v>
      </c>
      <c r="P392" s="694" t="s">
        <v>919</v>
      </c>
      <c r="Q392" s="695" t="s">
        <v>112</v>
      </c>
      <c r="R392" s="696">
        <v>1.846267923</v>
      </c>
      <c r="S392" s="696">
        <v>0.372080603</v>
      </c>
      <c r="T392" s="697">
        <v>5.218176939</v>
      </c>
      <c r="AB392" s="722"/>
      <c r="AF392" s="669"/>
    </row>
    <row r="393">
      <c r="A393" s="675"/>
      <c r="B393" s="681" t="s">
        <v>34</v>
      </c>
      <c r="C393" s="682" t="s">
        <v>915</v>
      </c>
      <c r="D393" s="682" t="s">
        <v>922</v>
      </c>
      <c r="E393" s="682" t="s">
        <v>215</v>
      </c>
      <c r="F393" s="682">
        <v>2021.0</v>
      </c>
      <c r="G393" s="683">
        <v>8.1E-5</v>
      </c>
      <c r="H393" s="683">
        <v>2.04E-5</v>
      </c>
      <c r="I393" s="684">
        <v>1.9258E-4</v>
      </c>
      <c r="K393" s="693" t="s">
        <v>39</v>
      </c>
      <c r="L393" s="694" t="s">
        <v>215</v>
      </c>
      <c r="M393" s="694" t="s">
        <v>915</v>
      </c>
      <c r="N393" s="694" t="s">
        <v>926</v>
      </c>
      <c r="O393" s="694">
        <v>2021.0</v>
      </c>
      <c r="P393" s="694" t="s">
        <v>919</v>
      </c>
      <c r="Q393" s="695" t="s">
        <v>112</v>
      </c>
      <c r="R393" s="696">
        <v>7.614581744</v>
      </c>
      <c r="S393" s="696">
        <v>2.564571096</v>
      </c>
      <c r="T393" s="697">
        <v>15.5400644</v>
      </c>
      <c r="AB393" s="722"/>
      <c r="AF393" s="669"/>
    </row>
    <row r="394">
      <c r="A394" s="675"/>
      <c r="B394" s="681" t="s">
        <v>34</v>
      </c>
      <c r="C394" s="682" t="s">
        <v>915</v>
      </c>
      <c r="D394" s="682" t="s">
        <v>924</v>
      </c>
      <c r="E394" s="682" t="s">
        <v>215</v>
      </c>
      <c r="F394" s="682">
        <v>2021.0</v>
      </c>
      <c r="G394" s="683">
        <v>1.09744E-4</v>
      </c>
      <c r="H394" s="683">
        <v>2.63E-5</v>
      </c>
      <c r="I394" s="684">
        <v>2.6435E-4</v>
      </c>
      <c r="K394" s="693" t="s">
        <v>40</v>
      </c>
      <c r="L394" s="694" t="s">
        <v>215</v>
      </c>
      <c r="M394" s="694" t="s">
        <v>915</v>
      </c>
      <c r="N394" s="694" t="s">
        <v>918</v>
      </c>
      <c r="O394" s="694">
        <v>2021.0</v>
      </c>
      <c r="P394" s="694" t="s">
        <v>919</v>
      </c>
      <c r="Q394" s="695" t="s">
        <v>112</v>
      </c>
      <c r="R394" s="696">
        <v>0.310083423</v>
      </c>
      <c r="S394" s="696">
        <v>0.057732682</v>
      </c>
      <c r="T394" s="697">
        <v>0.834974897</v>
      </c>
      <c r="AB394" s="722"/>
      <c r="AF394" s="669"/>
    </row>
    <row r="395">
      <c r="A395" s="675"/>
      <c r="B395" s="681" t="s">
        <v>34</v>
      </c>
      <c r="C395" s="682" t="s">
        <v>915</v>
      </c>
      <c r="D395" s="682" t="s">
        <v>926</v>
      </c>
      <c r="E395" s="682" t="s">
        <v>215</v>
      </c>
      <c r="F395" s="682">
        <v>2021.0</v>
      </c>
      <c r="G395" s="683">
        <v>7.28763E-4</v>
      </c>
      <c r="H395" s="683">
        <v>2.43366E-4</v>
      </c>
      <c r="I395" s="684">
        <v>0.00170639</v>
      </c>
      <c r="K395" s="693" t="s">
        <v>40</v>
      </c>
      <c r="L395" s="694" t="s">
        <v>215</v>
      </c>
      <c r="M395" s="694" t="s">
        <v>915</v>
      </c>
      <c r="N395" s="694" t="s">
        <v>923</v>
      </c>
      <c r="O395" s="694">
        <v>2021.0</v>
      </c>
      <c r="P395" s="694" t="s">
        <v>919</v>
      </c>
      <c r="Q395" s="695" t="s">
        <v>112</v>
      </c>
      <c r="R395" s="696">
        <v>0.0</v>
      </c>
      <c r="S395" s="696">
        <v>0.0</v>
      </c>
      <c r="T395" s="697">
        <v>0.0</v>
      </c>
      <c r="AB395" s="722"/>
      <c r="AF395" s="669"/>
    </row>
    <row r="396">
      <c r="A396" s="675"/>
      <c r="B396" s="681" t="s">
        <v>54</v>
      </c>
      <c r="C396" s="682" t="s">
        <v>915</v>
      </c>
      <c r="D396" s="682" t="s">
        <v>916</v>
      </c>
      <c r="E396" s="682" t="s">
        <v>215</v>
      </c>
      <c r="F396" s="682">
        <v>2021.0</v>
      </c>
      <c r="G396" s="683">
        <v>2.62E-6</v>
      </c>
      <c r="H396" s="683">
        <v>1.14E-6</v>
      </c>
      <c r="I396" s="684">
        <v>4.78E-6</v>
      </c>
      <c r="K396" s="693" t="s">
        <v>40</v>
      </c>
      <c r="L396" s="694" t="s">
        <v>215</v>
      </c>
      <c r="M396" s="694" t="s">
        <v>915</v>
      </c>
      <c r="N396" s="694" t="s">
        <v>925</v>
      </c>
      <c r="O396" s="694">
        <v>2021.0</v>
      </c>
      <c r="P396" s="694" t="s">
        <v>919</v>
      </c>
      <c r="Q396" s="695" t="s">
        <v>112</v>
      </c>
      <c r="R396" s="696">
        <v>0.0</v>
      </c>
      <c r="S396" s="696">
        <v>0.0</v>
      </c>
      <c r="T396" s="697">
        <v>0.0</v>
      </c>
      <c r="AB396" s="722"/>
      <c r="AF396" s="669"/>
    </row>
    <row r="397">
      <c r="A397" s="675"/>
      <c r="B397" s="681" t="s">
        <v>54</v>
      </c>
      <c r="C397" s="682" t="s">
        <v>915</v>
      </c>
      <c r="D397" s="682" t="s">
        <v>922</v>
      </c>
      <c r="E397" s="682" t="s">
        <v>215</v>
      </c>
      <c r="F397" s="682">
        <v>2021.0</v>
      </c>
      <c r="G397" s="683">
        <v>2.93E-6</v>
      </c>
      <c r="H397" s="683">
        <v>7.46E-7</v>
      </c>
      <c r="I397" s="684">
        <v>6.83E-6</v>
      </c>
      <c r="K397" s="693" t="s">
        <v>40</v>
      </c>
      <c r="L397" s="694" t="s">
        <v>215</v>
      </c>
      <c r="M397" s="694" t="s">
        <v>915</v>
      </c>
      <c r="N397" s="694" t="s">
        <v>927</v>
      </c>
      <c r="O397" s="694">
        <v>2021.0</v>
      </c>
      <c r="P397" s="694" t="s">
        <v>919</v>
      </c>
      <c r="Q397" s="695" t="s">
        <v>112</v>
      </c>
      <c r="R397" s="696">
        <v>0.09461251</v>
      </c>
      <c r="S397" s="696">
        <v>0.022248407</v>
      </c>
      <c r="T397" s="697">
        <v>0.250873992</v>
      </c>
      <c r="AB397" s="722"/>
      <c r="AF397" s="669"/>
    </row>
    <row r="398">
      <c r="A398" s="675"/>
      <c r="B398" s="681" t="s">
        <v>54</v>
      </c>
      <c r="C398" s="682" t="s">
        <v>915</v>
      </c>
      <c r="D398" s="682" t="s">
        <v>924</v>
      </c>
      <c r="E398" s="682" t="s">
        <v>215</v>
      </c>
      <c r="F398" s="682">
        <v>2021.0</v>
      </c>
      <c r="G398" s="683">
        <v>2.65E-6</v>
      </c>
      <c r="H398" s="683">
        <v>6.73E-7</v>
      </c>
      <c r="I398" s="684">
        <v>6.7E-6</v>
      </c>
      <c r="K398" s="693" t="s">
        <v>40</v>
      </c>
      <c r="L398" s="694" t="s">
        <v>215</v>
      </c>
      <c r="M398" s="694" t="s">
        <v>915</v>
      </c>
      <c r="N398" s="694" t="s">
        <v>926</v>
      </c>
      <c r="O398" s="694">
        <v>2021.0</v>
      </c>
      <c r="P398" s="694" t="s">
        <v>919</v>
      </c>
      <c r="Q398" s="695" t="s">
        <v>112</v>
      </c>
      <c r="R398" s="696">
        <v>0.404695933</v>
      </c>
      <c r="S398" s="696">
        <v>0.113926165</v>
      </c>
      <c r="T398" s="697">
        <v>0.971989861</v>
      </c>
      <c r="AB398" s="722"/>
      <c r="AF398" s="669"/>
    </row>
    <row r="399">
      <c r="A399" s="675"/>
      <c r="B399" s="681" t="s">
        <v>54</v>
      </c>
      <c r="C399" s="682" t="s">
        <v>915</v>
      </c>
      <c r="D399" s="682" t="s">
        <v>926</v>
      </c>
      <c r="E399" s="682" t="s">
        <v>215</v>
      </c>
      <c r="F399" s="682">
        <v>2021.0</v>
      </c>
      <c r="G399" s="683">
        <v>1.13E-5</v>
      </c>
      <c r="H399" s="683">
        <v>3.08E-6</v>
      </c>
      <c r="I399" s="684">
        <v>2.73E-5</v>
      </c>
      <c r="K399" s="693" t="s">
        <v>41</v>
      </c>
      <c r="L399" s="694" t="s">
        <v>215</v>
      </c>
      <c r="M399" s="694" t="s">
        <v>915</v>
      </c>
      <c r="N399" s="694" t="s">
        <v>918</v>
      </c>
      <c r="O399" s="694">
        <v>2021.0</v>
      </c>
      <c r="P399" s="694" t="s">
        <v>919</v>
      </c>
      <c r="Q399" s="695" t="s">
        <v>112</v>
      </c>
      <c r="R399" s="696">
        <v>0.509761962</v>
      </c>
      <c r="S399" s="696">
        <v>0.095936388</v>
      </c>
      <c r="T399" s="697">
        <v>1.300507292</v>
      </c>
      <c r="AB399" s="722"/>
      <c r="AF399" s="669"/>
    </row>
    <row r="400">
      <c r="A400" s="675"/>
      <c r="B400" s="681" t="s">
        <v>55</v>
      </c>
      <c r="C400" s="682" t="s">
        <v>915</v>
      </c>
      <c r="D400" s="682" t="s">
        <v>916</v>
      </c>
      <c r="E400" s="682" t="s">
        <v>215</v>
      </c>
      <c r="F400" s="682">
        <v>2021.0</v>
      </c>
      <c r="G400" s="683">
        <v>2.66E-6</v>
      </c>
      <c r="H400" s="683">
        <v>1.17E-6</v>
      </c>
      <c r="I400" s="684">
        <v>5.25E-6</v>
      </c>
      <c r="K400" s="693" t="s">
        <v>41</v>
      </c>
      <c r="L400" s="694" t="s">
        <v>215</v>
      </c>
      <c r="M400" s="694" t="s">
        <v>915</v>
      </c>
      <c r="N400" s="694" t="s">
        <v>923</v>
      </c>
      <c r="O400" s="694">
        <v>2021.0</v>
      </c>
      <c r="P400" s="694" t="s">
        <v>919</v>
      </c>
      <c r="Q400" s="695" t="s">
        <v>112</v>
      </c>
      <c r="R400" s="696">
        <v>0.0</v>
      </c>
      <c r="S400" s="696">
        <v>0.0</v>
      </c>
      <c r="T400" s="697">
        <v>0.0</v>
      </c>
      <c r="AB400" s="722"/>
      <c r="AF400" s="669"/>
    </row>
    <row r="401">
      <c r="A401" s="675"/>
      <c r="B401" s="681" t="s">
        <v>55</v>
      </c>
      <c r="C401" s="682" t="s">
        <v>915</v>
      </c>
      <c r="D401" s="682" t="s">
        <v>922</v>
      </c>
      <c r="E401" s="682" t="s">
        <v>215</v>
      </c>
      <c r="F401" s="682">
        <v>2021.0</v>
      </c>
      <c r="G401" s="683">
        <v>3.27E-6</v>
      </c>
      <c r="H401" s="683">
        <v>8.34E-7</v>
      </c>
      <c r="I401" s="684">
        <v>7.95E-6</v>
      </c>
      <c r="K401" s="693" t="s">
        <v>41</v>
      </c>
      <c r="L401" s="694" t="s">
        <v>215</v>
      </c>
      <c r="M401" s="694" t="s">
        <v>915</v>
      </c>
      <c r="N401" s="694" t="s">
        <v>925</v>
      </c>
      <c r="O401" s="694">
        <v>2021.0</v>
      </c>
      <c r="P401" s="694" t="s">
        <v>919</v>
      </c>
      <c r="Q401" s="695" t="s">
        <v>112</v>
      </c>
      <c r="R401" s="696">
        <v>0.0</v>
      </c>
      <c r="S401" s="696">
        <v>0.0</v>
      </c>
      <c r="T401" s="697">
        <v>0.0</v>
      </c>
      <c r="AB401" s="722"/>
      <c r="AF401" s="669"/>
    </row>
    <row r="402">
      <c r="A402" s="675"/>
      <c r="B402" s="681" t="s">
        <v>55</v>
      </c>
      <c r="C402" s="682" t="s">
        <v>915</v>
      </c>
      <c r="D402" s="682" t="s">
        <v>924</v>
      </c>
      <c r="E402" s="682" t="s">
        <v>215</v>
      </c>
      <c r="F402" s="682">
        <v>2021.0</v>
      </c>
      <c r="G402" s="683">
        <v>2.12E-6</v>
      </c>
      <c r="H402" s="683">
        <v>3.83E-7</v>
      </c>
      <c r="I402" s="684">
        <v>5.32E-6</v>
      </c>
      <c r="K402" s="693" t="s">
        <v>41</v>
      </c>
      <c r="L402" s="694" t="s">
        <v>215</v>
      </c>
      <c r="M402" s="694" t="s">
        <v>915</v>
      </c>
      <c r="N402" s="694" t="s">
        <v>927</v>
      </c>
      <c r="O402" s="694">
        <v>2021.0</v>
      </c>
      <c r="P402" s="694" t="s">
        <v>919</v>
      </c>
      <c r="Q402" s="695" t="s">
        <v>112</v>
      </c>
      <c r="R402" s="696">
        <v>0.226625696</v>
      </c>
      <c r="S402" s="696">
        <v>0.042421262</v>
      </c>
      <c r="T402" s="697">
        <v>0.664167914</v>
      </c>
      <c r="AB402" s="722"/>
      <c r="AF402" s="669"/>
    </row>
    <row r="403">
      <c r="A403" s="675"/>
      <c r="B403" s="681" t="s">
        <v>55</v>
      </c>
      <c r="C403" s="682" t="s">
        <v>915</v>
      </c>
      <c r="D403" s="682" t="s">
        <v>926</v>
      </c>
      <c r="E403" s="682" t="s">
        <v>215</v>
      </c>
      <c r="F403" s="682">
        <v>2021.0</v>
      </c>
      <c r="G403" s="683">
        <v>6.94E-6</v>
      </c>
      <c r="H403" s="683">
        <v>2.2E-6</v>
      </c>
      <c r="I403" s="684">
        <v>1.6E-5</v>
      </c>
      <c r="K403" s="693" t="s">
        <v>41</v>
      </c>
      <c r="L403" s="694" t="s">
        <v>215</v>
      </c>
      <c r="M403" s="694" t="s">
        <v>915</v>
      </c>
      <c r="N403" s="694" t="s">
        <v>926</v>
      </c>
      <c r="O403" s="694">
        <v>2021.0</v>
      </c>
      <c r="P403" s="694" t="s">
        <v>919</v>
      </c>
      <c r="Q403" s="695" t="s">
        <v>112</v>
      </c>
      <c r="R403" s="696">
        <v>0.736387658</v>
      </c>
      <c r="S403" s="696">
        <v>0.193486942</v>
      </c>
      <c r="T403" s="697">
        <v>1.670544306</v>
      </c>
      <c r="AB403" s="722"/>
      <c r="AF403" s="669"/>
    </row>
    <row r="404">
      <c r="A404" s="675"/>
      <c r="B404" s="681" t="s">
        <v>56</v>
      </c>
      <c r="C404" s="682" t="s">
        <v>915</v>
      </c>
      <c r="D404" s="682" t="s">
        <v>916</v>
      </c>
      <c r="E404" s="682" t="s">
        <v>215</v>
      </c>
      <c r="F404" s="682">
        <v>2021.0</v>
      </c>
      <c r="G404" s="683">
        <v>5.6E-7</v>
      </c>
      <c r="H404" s="683">
        <v>2.47E-7</v>
      </c>
      <c r="I404" s="684">
        <v>1.05E-6</v>
      </c>
      <c r="K404" s="693" t="s">
        <v>26</v>
      </c>
      <c r="L404" s="694" t="s">
        <v>215</v>
      </c>
      <c r="M404" s="694" t="s">
        <v>915</v>
      </c>
      <c r="N404" s="694" t="s">
        <v>918</v>
      </c>
      <c r="O404" s="694">
        <v>2021.0</v>
      </c>
      <c r="P404" s="694" t="s">
        <v>919</v>
      </c>
      <c r="Q404" s="695" t="s">
        <v>112</v>
      </c>
      <c r="R404" s="696">
        <v>122.8566374</v>
      </c>
      <c r="S404" s="696">
        <v>26.84347419</v>
      </c>
      <c r="T404" s="697">
        <v>304.5761768</v>
      </c>
      <c r="AB404" s="722"/>
      <c r="AF404" s="669"/>
    </row>
    <row r="405">
      <c r="A405" s="675"/>
      <c r="B405" s="681" t="s">
        <v>56</v>
      </c>
      <c r="C405" s="682" t="s">
        <v>915</v>
      </c>
      <c r="D405" s="682" t="s">
        <v>922</v>
      </c>
      <c r="E405" s="682" t="s">
        <v>215</v>
      </c>
      <c r="F405" s="682">
        <v>2021.0</v>
      </c>
      <c r="G405" s="683">
        <v>8.27E-7</v>
      </c>
      <c r="H405" s="683">
        <v>1.89E-7</v>
      </c>
      <c r="I405" s="684">
        <v>1.95E-6</v>
      </c>
      <c r="K405" s="693" t="s">
        <v>26</v>
      </c>
      <c r="L405" s="694" t="s">
        <v>215</v>
      </c>
      <c r="M405" s="694" t="s">
        <v>915</v>
      </c>
      <c r="N405" s="694" t="s">
        <v>923</v>
      </c>
      <c r="O405" s="694">
        <v>2021.0</v>
      </c>
      <c r="P405" s="694" t="s">
        <v>919</v>
      </c>
      <c r="Q405" s="695" t="s">
        <v>112</v>
      </c>
      <c r="R405" s="696">
        <v>0.0</v>
      </c>
      <c r="S405" s="696">
        <v>0.0</v>
      </c>
      <c r="T405" s="697">
        <v>0.0</v>
      </c>
      <c r="AB405" s="722"/>
      <c r="AF405" s="669"/>
    </row>
    <row r="406">
      <c r="A406" s="675"/>
      <c r="B406" s="681" t="s">
        <v>56</v>
      </c>
      <c r="C406" s="682" t="s">
        <v>915</v>
      </c>
      <c r="D406" s="682" t="s">
        <v>924</v>
      </c>
      <c r="E406" s="682" t="s">
        <v>215</v>
      </c>
      <c r="F406" s="682">
        <v>2021.0</v>
      </c>
      <c r="G406" s="683">
        <v>7.23E-7</v>
      </c>
      <c r="H406" s="683">
        <v>1.69E-7</v>
      </c>
      <c r="I406" s="684">
        <v>1.75E-6</v>
      </c>
      <c r="K406" s="693" t="s">
        <v>26</v>
      </c>
      <c r="L406" s="694" t="s">
        <v>215</v>
      </c>
      <c r="M406" s="694" t="s">
        <v>915</v>
      </c>
      <c r="N406" s="694" t="s">
        <v>925</v>
      </c>
      <c r="O406" s="694">
        <v>2021.0</v>
      </c>
      <c r="P406" s="694" t="s">
        <v>919</v>
      </c>
      <c r="Q406" s="695" t="s">
        <v>112</v>
      </c>
      <c r="R406" s="696">
        <v>0.0</v>
      </c>
      <c r="S406" s="696">
        <v>0.0</v>
      </c>
      <c r="T406" s="697">
        <v>0.0</v>
      </c>
      <c r="AB406" s="722"/>
      <c r="AF406" s="669"/>
    </row>
    <row r="407">
      <c r="A407" s="675"/>
      <c r="B407" s="681" t="s">
        <v>56</v>
      </c>
      <c r="C407" s="682" t="s">
        <v>915</v>
      </c>
      <c r="D407" s="682" t="s">
        <v>926</v>
      </c>
      <c r="E407" s="682" t="s">
        <v>215</v>
      </c>
      <c r="F407" s="682">
        <v>2021.0</v>
      </c>
      <c r="G407" s="683">
        <v>1.67E-6</v>
      </c>
      <c r="H407" s="683">
        <v>4.72E-7</v>
      </c>
      <c r="I407" s="684">
        <v>3.65E-6</v>
      </c>
      <c r="K407" s="693" t="s">
        <v>26</v>
      </c>
      <c r="L407" s="694" t="s">
        <v>215</v>
      </c>
      <c r="M407" s="694" t="s">
        <v>915</v>
      </c>
      <c r="N407" s="694" t="s">
        <v>927</v>
      </c>
      <c r="O407" s="694">
        <v>2021.0</v>
      </c>
      <c r="P407" s="694" t="s">
        <v>919</v>
      </c>
      <c r="Q407" s="695" t="s">
        <v>112</v>
      </c>
      <c r="R407" s="696">
        <v>17.73593433</v>
      </c>
      <c r="S407" s="696">
        <v>3.930902069</v>
      </c>
      <c r="T407" s="697">
        <v>46.54249962</v>
      </c>
      <c r="AB407" s="722"/>
      <c r="AF407" s="669"/>
    </row>
    <row r="408">
      <c r="A408" s="675"/>
      <c r="B408" s="681" t="s">
        <v>57</v>
      </c>
      <c r="C408" s="682" t="s">
        <v>915</v>
      </c>
      <c r="D408" s="682" t="s">
        <v>916</v>
      </c>
      <c r="E408" s="682" t="s">
        <v>215</v>
      </c>
      <c r="F408" s="682">
        <v>2021.0</v>
      </c>
      <c r="G408" s="683">
        <v>5.77E-6</v>
      </c>
      <c r="H408" s="683">
        <v>2.78E-6</v>
      </c>
      <c r="I408" s="684">
        <v>1.01E-5</v>
      </c>
      <c r="K408" s="693" t="s">
        <v>26</v>
      </c>
      <c r="L408" s="694" t="s">
        <v>215</v>
      </c>
      <c r="M408" s="694" t="s">
        <v>915</v>
      </c>
      <c r="N408" s="694" t="s">
        <v>926</v>
      </c>
      <c r="O408" s="694">
        <v>2021.0</v>
      </c>
      <c r="P408" s="694" t="s">
        <v>919</v>
      </c>
      <c r="Q408" s="695" t="s">
        <v>112</v>
      </c>
      <c r="R408" s="696">
        <v>140.5925717</v>
      </c>
      <c r="S408" s="696">
        <v>38.18374632</v>
      </c>
      <c r="T408" s="697">
        <v>324.1620891</v>
      </c>
      <c r="AB408" s="722"/>
      <c r="AF408" s="669"/>
    </row>
    <row r="409">
      <c r="A409" s="675"/>
      <c r="B409" s="681" t="s">
        <v>57</v>
      </c>
      <c r="C409" s="682" t="s">
        <v>915</v>
      </c>
      <c r="D409" s="682" t="s">
        <v>922</v>
      </c>
      <c r="E409" s="682" t="s">
        <v>215</v>
      </c>
      <c r="F409" s="682">
        <v>2021.0</v>
      </c>
      <c r="G409" s="683">
        <v>6.82E-6</v>
      </c>
      <c r="H409" s="683">
        <v>1.76E-6</v>
      </c>
      <c r="I409" s="684">
        <v>1.51E-5</v>
      </c>
      <c r="K409" s="693" t="s">
        <v>42</v>
      </c>
      <c r="L409" s="694" t="s">
        <v>215</v>
      </c>
      <c r="M409" s="694" t="s">
        <v>915</v>
      </c>
      <c r="N409" s="694" t="s">
        <v>918</v>
      </c>
      <c r="O409" s="694">
        <v>2021.0</v>
      </c>
      <c r="P409" s="694" t="s">
        <v>919</v>
      </c>
      <c r="Q409" s="695" t="s">
        <v>112</v>
      </c>
      <c r="R409" s="696">
        <v>0.344827021</v>
      </c>
      <c r="S409" s="696">
        <v>0.071574587</v>
      </c>
      <c r="T409" s="697">
        <v>0.90166613</v>
      </c>
      <c r="AB409" s="722"/>
      <c r="AF409" s="669"/>
    </row>
    <row r="410">
      <c r="A410" s="675"/>
      <c r="B410" s="681" t="s">
        <v>57</v>
      </c>
      <c r="C410" s="682" t="s">
        <v>915</v>
      </c>
      <c r="D410" s="682" t="s">
        <v>924</v>
      </c>
      <c r="E410" s="682" t="s">
        <v>215</v>
      </c>
      <c r="F410" s="682">
        <v>2021.0</v>
      </c>
      <c r="G410" s="683">
        <v>7.4E-6</v>
      </c>
      <c r="H410" s="683">
        <v>1.94E-6</v>
      </c>
      <c r="I410" s="684">
        <v>1.78E-5</v>
      </c>
      <c r="K410" s="693" t="s">
        <v>42</v>
      </c>
      <c r="L410" s="694" t="s">
        <v>215</v>
      </c>
      <c r="M410" s="694" t="s">
        <v>915</v>
      </c>
      <c r="N410" s="694" t="s">
        <v>923</v>
      </c>
      <c r="O410" s="694">
        <v>2021.0</v>
      </c>
      <c r="P410" s="694" t="s">
        <v>919</v>
      </c>
      <c r="Q410" s="695" t="s">
        <v>112</v>
      </c>
      <c r="R410" s="696">
        <v>0.0</v>
      </c>
      <c r="S410" s="696">
        <v>0.0</v>
      </c>
      <c r="T410" s="697">
        <v>0.0</v>
      </c>
      <c r="AB410" s="722"/>
      <c r="AF410" s="669"/>
    </row>
    <row r="411">
      <c r="A411" s="675"/>
      <c r="B411" s="681" t="s">
        <v>57</v>
      </c>
      <c r="C411" s="682" t="s">
        <v>915</v>
      </c>
      <c r="D411" s="682" t="s">
        <v>926</v>
      </c>
      <c r="E411" s="682" t="s">
        <v>215</v>
      </c>
      <c r="F411" s="682">
        <v>2021.0</v>
      </c>
      <c r="G411" s="683">
        <v>3.13E-5</v>
      </c>
      <c r="H411" s="683">
        <v>1.04E-5</v>
      </c>
      <c r="I411" s="684">
        <v>7.28E-5</v>
      </c>
      <c r="K411" s="693" t="s">
        <v>42</v>
      </c>
      <c r="L411" s="694" t="s">
        <v>215</v>
      </c>
      <c r="M411" s="694" t="s">
        <v>915</v>
      </c>
      <c r="N411" s="694" t="s">
        <v>925</v>
      </c>
      <c r="O411" s="694">
        <v>2021.0</v>
      </c>
      <c r="P411" s="694" t="s">
        <v>919</v>
      </c>
      <c r="Q411" s="695" t="s">
        <v>112</v>
      </c>
      <c r="R411" s="696">
        <v>0.0</v>
      </c>
      <c r="S411" s="696">
        <v>0.0</v>
      </c>
      <c r="T411" s="697">
        <v>0.0</v>
      </c>
      <c r="AB411" s="722"/>
      <c r="AF411" s="669"/>
    </row>
    <row r="412">
      <c r="A412" s="675"/>
      <c r="B412" s="681" t="s">
        <v>58</v>
      </c>
      <c r="C412" s="682" t="s">
        <v>915</v>
      </c>
      <c r="D412" s="682" t="s">
        <v>916</v>
      </c>
      <c r="E412" s="682" t="s">
        <v>215</v>
      </c>
      <c r="F412" s="682">
        <v>2021.0</v>
      </c>
      <c r="G412" s="683">
        <v>1.63E-5</v>
      </c>
      <c r="H412" s="683">
        <v>7.32E-6</v>
      </c>
      <c r="I412" s="684">
        <v>3.03E-5</v>
      </c>
      <c r="K412" s="693" t="s">
        <v>42</v>
      </c>
      <c r="L412" s="694" t="s">
        <v>215</v>
      </c>
      <c r="M412" s="694" t="s">
        <v>915</v>
      </c>
      <c r="N412" s="694" t="s">
        <v>927</v>
      </c>
      <c r="O412" s="694">
        <v>2021.0</v>
      </c>
      <c r="P412" s="694" t="s">
        <v>919</v>
      </c>
      <c r="Q412" s="695" t="s">
        <v>112</v>
      </c>
      <c r="R412" s="696">
        <v>0.082234531</v>
      </c>
      <c r="S412" s="696">
        <v>0.01692474</v>
      </c>
      <c r="T412" s="697">
        <v>0.227355643</v>
      </c>
      <c r="AB412" s="722"/>
      <c r="AF412" s="669"/>
    </row>
    <row r="413">
      <c r="A413" s="675"/>
      <c r="B413" s="681" t="s">
        <v>58</v>
      </c>
      <c r="C413" s="682" t="s">
        <v>915</v>
      </c>
      <c r="D413" s="682" t="s">
        <v>922</v>
      </c>
      <c r="E413" s="682" t="s">
        <v>215</v>
      </c>
      <c r="F413" s="682">
        <v>2021.0</v>
      </c>
      <c r="G413" s="683">
        <v>2.05E-5</v>
      </c>
      <c r="H413" s="683">
        <v>6.27E-6</v>
      </c>
      <c r="I413" s="684">
        <v>4.71E-5</v>
      </c>
      <c r="K413" s="693" t="s">
        <v>42</v>
      </c>
      <c r="L413" s="694" t="s">
        <v>215</v>
      </c>
      <c r="M413" s="694" t="s">
        <v>915</v>
      </c>
      <c r="N413" s="694" t="s">
        <v>926</v>
      </c>
      <c r="O413" s="694">
        <v>2021.0</v>
      </c>
      <c r="P413" s="694" t="s">
        <v>919</v>
      </c>
      <c r="Q413" s="695" t="s">
        <v>112</v>
      </c>
      <c r="R413" s="696">
        <v>0.427061552</v>
      </c>
      <c r="S413" s="696">
        <v>0.118484694</v>
      </c>
      <c r="T413" s="697">
        <v>1.018904139</v>
      </c>
      <c r="AB413" s="722"/>
      <c r="AF413" s="669"/>
    </row>
    <row r="414">
      <c r="A414" s="675"/>
      <c r="B414" s="681" t="s">
        <v>58</v>
      </c>
      <c r="C414" s="682" t="s">
        <v>915</v>
      </c>
      <c r="D414" s="682" t="s">
        <v>924</v>
      </c>
      <c r="E414" s="682" t="s">
        <v>215</v>
      </c>
      <c r="F414" s="682">
        <v>2021.0</v>
      </c>
      <c r="G414" s="683">
        <v>2.42E-5</v>
      </c>
      <c r="H414" s="683">
        <v>5.36E-6</v>
      </c>
      <c r="I414" s="684">
        <v>5.54E-5</v>
      </c>
      <c r="K414" s="693" t="s">
        <v>44</v>
      </c>
      <c r="L414" s="694" t="s">
        <v>215</v>
      </c>
      <c r="M414" s="694" t="s">
        <v>915</v>
      </c>
      <c r="N414" s="694" t="s">
        <v>918</v>
      </c>
      <c r="O414" s="694">
        <v>2021.0</v>
      </c>
      <c r="P414" s="694" t="s">
        <v>919</v>
      </c>
      <c r="Q414" s="695" t="s">
        <v>112</v>
      </c>
      <c r="R414" s="696">
        <v>3.706751873</v>
      </c>
      <c r="S414" s="696">
        <v>0.899084715</v>
      </c>
      <c r="T414" s="697">
        <v>9.440467974</v>
      </c>
      <c r="AB414" s="722"/>
      <c r="AF414" s="669"/>
    </row>
    <row r="415">
      <c r="A415" s="675"/>
      <c r="B415" s="681" t="s">
        <v>58</v>
      </c>
      <c r="C415" s="682" t="s">
        <v>915</v>
      </c>
      <c r="D415" s="682" t="s">
        <v>926</v>
      </c>
      <c r="E415" s="682" t="s">
        <v>215</v>
      </c>
      <c r="F415" s="682">
        <v>2021.0</v>
      </c>
      <c r="G415" s="683">
        <v>1.1796E-4</v>
      </c>
      <c r="H415" s="683">
        <v>4.04E-5</v>
      </c>
      <c r="I415" s="684">
        <v>2.53544E-4</v>
      </c>
      <c r="K415" s="693" t="s">
        <v>44</v>
      </c>
      <c r="L415" s="694" t="s">
        <v>215</v>
      </c>
      <c r="M415" s="694" t="s">
        <v>915</v>
      </c>
      <c r="N415" s="694" t="s">
        <v>923</v>
      </c>
      <c r="O415" s="694">
        <v>2021.0</v>
      </c>
      <c r="P415" s="694" t="s">
        <v>919</v>
      </c>
      <c r="Q415" s="695" t="s">
        <v>112</v>
      </c>
      <c r="R415" s="696">
        <v>0.0</v>
      </c>
      <c r="S415" s="696">
        <v>0.0</v>
      </c>
      <c r="T415" s="697">
        <v>0.0</v>
      </c>
      <c r="AB415" s="722"/>
      <c r="AF415" s="669"/>
    </row>
    <row r="416">
      <c r="A416" s="675"/>
      <c r="B416" s="681" t="s">
        <v>7</v>
      </c>
      <c r="C416" s="682" t="s">
        <v>915</v>
      </c>
      <c r="D416" s="682" t="s">
        <v>916</v>
      </c>
      <c r="E416" s="682" t="s">
        <v>215</v>
      </c>
      <c r="F416" s="682">
        <v>2021.0</v>
      </c>
      <c r="G416" s="683">
        <v>1.21E-5</v>
      </c>
      <c r="H416" s="683">
        <v>7.94E-6</v>
      </c>
      <c r="I416" s="684">
        <v>1.74E-5</v>
      </c>
      <c r="K416" s="693" t="s">
        <v>44</v>
      </c>
      <c r="L416" s="694" t="s">
        <v>215</v>
      </c>
      <c r="M416" s="694" t="s">
        <v>915</v>
      </c>
      <c r="N416" s="694" t="s">
        <v>925</v>
      </c>
      <c r="O416" s="694">
        <v>2021.0</v>
      </c>
      <c r="P416" s="694" t="s">
        <v>919</v>
      </c>
      <c r="Q416" s="695" t="s">
        <v>112</v>
      </c>
      <c r="R416" s="696">
        <v>0.0</v>
      </c>
      <c r="S416" s="696">
        <v>0.0</v>
      </c>
      <c r="T416" s="697">
        <v>0.0</v>
      </c>
      <c r="AB416" s="722"/>
      <c r="AF416" s="669"/>
    </row>
    <row r="417">
      <c r="A417" s="675"/>
      <c r="B417" s="681" t="s">
        <v>7</v>
      </c>
      <c r="C417" s="682" t="s">
        <v>915</v>
      </c>
      <c r="D417" s="682" t="s">
        <v>922</v>
      </c>
      <c r="E417" s="682" t="s">
        <v>215</v>
      </c>
      <c r="F417" s="682">
        <v>2021.0</v>
      </c>
      <c r="G417" s="683">
        <v>1.47E-5</v>
      </c>
      <c r="H417" s="683">
        <v>9.27E-6</v>
      </c>
      <c r="I417" s="684">
        <v>2.2E-5</v>
      </c>
      <c r="K417" s="693" t="s">
        <v>44</v>
      </c>
      <c r="L417" s="694" t="s">
        <v>215</v>
      </c>
      <c r="M417" s="694" t="s">
        <v>915</v>
      </c>
      <c r="N417" s="694" t="s">
        <v>927</v>
      </c>
      <c r="O417" s="694">
        <v>2021.0</v>
      </c>
      <c r="P417" s="694" t="s">
        <v>919</v>
      </c>
      <c r="Q417" s="695" t="s">
        <v>112</v>
      </c>
      <c r="R417" s="696">
        <v>2.270374832</v>
      </c>
      <c r="S417" s="696">
        <v>0.446909914</v>
      </c>
      <c r="T417" s="697">
        <v>6.32718312</v>
      </c>
      <c r="AB417" s="722"/>
      <c r="AF417" s="669"/>
    </row>
    <row r="418">
      <c r="A418" s="675"/>
      <c r="B418" s="681" t="s">
        <v>7</v>
      </c>
      <c r="C418" s="682" t="s">
        <v>915</v>
      </c>
      <c r="D418" s="682" t="s">
        <v>924</v>
      </c>
      <c r="E418" s="682" t="s">
        <v>215</v>
      </c>
      <c r="F418" s="682">
        <v>2021.0</v>
      </c>
      <c r="G418" s="683">
        <v>2.85E-5</v>
      </c>
      <c r="H418" s="683">
        <v>1.76E-5</v>
      </c>
      <c r="I418" s="684">
        <v>4.48E-5</v>
      </c>
      <c r="K418" s="693" t="s">
        <v>44</v>
      </c>
      <c r="L418" s="694" t="s">
        <v>215</v>
      </c>
      <c r="M418" s="694" t="s">
        <v>915</v>
      </c>
      <c r="N418" s="694" t="s">
        <v>926</v>
      </c>
      <c r="O418" s="694">
        <v>2021.0</v>
      </c>
      <c r="P418" s="694" t="s">
        <v>919</v>
      </c>
      <c r="Q418" s="695" t="s">
        <v>112</v>
      </c>
      <c r="R418" s="696">
        <v>5.977126705</v>
      </c>
      <c r="S418" s="696">
        <v>2.143782943</v>
      </c>
      <c r="T418" s="697">
        <v>13.46465966</v>
      </c>
      <c r="AB418" s="722"/>
      <c r="AF418" s="669"/>
    </row>
    <row r="419">
      <c r="A419" s="675"/>
      <c r="B419" s="681" t="s">
        <v>7</v>
      </c>
      <c r="C419" s="682" t="s">
        <v>915</v>
      </c>
      <c r="D419" s="682" t="s">
        <v>926</v>
      </c>
      <c r="E419" s="682" t="s">
        <v>215</v>
      </c>
      <c r="F419" s="682">
        <v>2021.0</v>
      </c>
      <c r="G419" s="683">
        <v>2.29297E-4</v>
      </c>
      <c r="H419" s="683">
        <v>1.21955E-4</v>
      </c>
      <c r="I419" s="684">
        <v>3.67912E-4</v>
      </c>
      <c r="K419" s="693" t="s">
        <v>45</v>
      </c>
      <c r="L419" s="694" t="s">
        <v>215</v>
      </c>
      <c r="M419" s="694" t="s">
        <v>915</v>
      </c>
      <c r="N419" s="694" t="s">
        <v>918</v>
      </c>
      <c r="O419" s="694">
        <v>2021.0</v>
      </c>
      <c r="P419" s="694" t="s">
        <v>919</v>
      </c>
      <c r="Q419" s="695" t="s">
        <v>112</v>
      </c>
      <c r="R419" s="696">
        <v>5.757578823</v>
      </c>
      <c r="S419" s="696">
        <v>1.378798423</v>
      </c>
      <c r="T419" s="697">
        <v>14.0047814</v>
      </c>
      <c r="AB419" s="722"/>
      <c r="AF419" s="669"/>
    </row>
    <row r="420">
      <c r="A420" s="675"/>
      <c r="B420" s="681" t="s">
        <v>59</v>
      </c>
      <c r="C420" s="682" t="s">
        <v>915</v>
      </c>
      <c r="D420" s="682" t="s">
        <v>916</v>
      </c>
      <c r="E420" s="682" t="s">
        <v>215</v>
      </c>
      <c r="F420" s="682">
        <v>2021.0</v>
      </c>
      <c r="G420" s="683">
        <v>3.58E-6</v>
      </c>
      <c r="H420" s="683">
        <v>1.61E-6</v>
      </c>
      <c r="I420" s="684">
        <v>6.73E-6</v>
      </c>
      <c r="K420" s="693" t="s">
        <v>45</v>
      </c>
      <c r="L420" s="694" t="s">
        <v>215</v>
      </c>
      <c r="M420" s="694" t="s">
        <v>915</v>
      </c>
      <c r="N420" s="694" t="s">
        <v>923</v>
      </c>
      <c r="O420" s="694">
        <v>2021.0</v>
      </c>
      <c r="P420" s="694" t="s">
        <v>919</v>
      </c>
      <c r="Q420" s="695" t="s">
        <v>112</v>
      </c>
      <c r="R420" s="696">
        <v>0.0</v>
      </c>
      <c r="S420" s="696">
        <v>0.0</v>
      </c>
      <c r="T420" s="697">
        <v>0.0</v>
      </c>
      <c r="AB420" s="722"/>
      <c r="AF420" s="669"/>
    </row>
    <row r="421">
      <c r="A421" s="675"/>
      <c r="B421" s="681" t="s">
        <v>59</v>
      </c>
      <c r="C421" s="682" t="s">
        <v>915</v>
      </c>
      <c r="D421" s="682" t="s">
        <v>922</v>
      </c>
      <c r="E421" s="682" t="s">
        <v>215</v>
      </c>
      <c r="F421" s="682">
        <v>2021.0</v>
      </c>
      <c r="G421" s="683">
        <v>4.03E-6</v>
      </c>
      <c r="H421" s="683">
        <v>1.16E-6</v>
      </c>
      <c r="I421" s="684">
        <v>9.41E-6</v>
      </c>
      <c r="K421" s="693" t="s">
        <v>45</v>
      </c>
      <c r="L421" s="694" t="s">
        <v>215</v>
      </c>
      <c r="M421" s="694" t="s">
        <v>915</v>
      </c>
      <c r="N421" s="694" t="s">
        <v>925</v>
      </c>
      <c r="O421" s="694">
        <v>2021.0</v>
      </c>
      <c r="P421" s="694" t="s">
        <v>919</v>
      </c>
      <c r="Q421" s="695" t="s">
        <v>112</v>
      </c>
      <c r="R421" s="696">
        <v>0.0</v>
      </c>
      <c r="S421" s="696">
        <v>0.0</v>
      </c>
      <c r="T421" s="697">
        <v>0.0</v>
      </c>
      <c r="AB421" s="722"/>
      <c r="AF421" s="669"/>
    </row>
    <row r="422">
      <c r="A422" s="675"/>
      <c r="B422" s="681" t="s">
        <v>59</v>
      </c>
      <c r="C422" s="682" t="s">
        <v>915</v>
      </c>
      <c r="D422" s="682" t="s">
        <v>924</v>
      </c>
      <c r="E422" s="682" t="s">
        <v>215</v>
      </c>
      <c r="F422" s="682">
        <v>2021.0</v>
      </c>
      <c r="G422" s="683">
        <v>3.91E-6</v>
      </c>
      <c r="H422" s="683">
        <v>8.94E-7</v>
      </c>
      <c r="I422" s="684">
        <v>1.05E-5</v>
      </c>
      <c r="K422" s="693" t="s">
        <v>45</v>
      </c>
      <c r="L422" s="694" t="s">
        <v>215</v>
      </c>
      <c r="M422" s="694" t="s">
        <v>915</v>
      </c>
      <c r="N422" s="694" t="s">
        <v>927</v>
      </c>
      <c r="O422" s="694">
        <v>2021.0</v>
      </c>
      <c r="P422" s="694" t="s">
        <v>919</v>
      </c>
      <c r="Q422" s="695" t="s">
        <v>112</v>
      </c>
      <c r="R422" s="696">
        <v>2.079454236</v>
      </c>
      <c r="S422" s="696">
        <v>0.409789629</v>
      </c>
      <c r="T422" s="697">
        <v>5.70992436</v>
      </c>
      <c r="AB422" s="722"/>
      <c r="AF422" s="669"/>
    </row>
    <row r="423">
      <c r="A423" s="675"/>
      <c r="B423" s="681" t="s">
        <v>59</v>
      </c>
      <c r="C423" s="682" t="s">
        <v>915</v>
      </c>
      <c r="D423" s="682" t="s">
        <v>926</v>
      </c>
      <c r="E423" s="682" t="s">
        <v>215</v>
      </c>
      <c r="F423" s="682">
        <v>2021.0</v>
      </c>
      <c r="G423" s="683">
        <v>1.32E-5</v>
      </c>
      <c r="H423" s="683">
        <v>4.05E-6</v>
      </c>
      <c r="I423" s="684">
        <v>2.91E-5</v>
      </c>
      <c r="K423" s="693" t="s">
        <v>45</v>
      </c>
      <c r="L423" s="694" t="s">
        <v>215</v>
      </c>
      <c r="M423" s="694" t="s">
        <v>915</v>
      </c>
      <c r="N423" s="694" t="s">
        <v>926</v>
      </c>
      <c r="O423" s="694">
        <v>2021.0</v>
      </c>
      <c r="P423" s="694" t="s">
        <v>919</v>
      </c>
      <c r="Q423" s="695" t="s">
        <v>112</v>
      </c>
      <c r="R423" s="696">
        <v>7.83703306</v>
      </c>
      <c r="S423" s="696">
        <v>2.452266861</v>
      </c>
      <c r="T423" s="697">
        <v>16.94262421</v>
      </c>
      <c r="AB423" s="722"/>
      <c r="AF423" s="669"/>
    </row>
    <row r="424">
      <c r="A424" s="675"/>
      <c r="B424" s="681" t="s">
        <v>60</v>
      </c>
      <c r="C424" s="682" t="s">
        <v>915</v>
      </c>
      <c r="D424" s="682" t="s">
        <v>916</v>
      </c>
      <c r="E424" s="682" t="s">
        <v>215</v>
      </c>
      <c r="F424" s="682">
        <v>2021.0</v>
      </c>
      <c r="G424" s="683">
        <v>1.37E-6</v>
      </c>
      <c r="H424" s="683">
        <v>6.07E-7</v>
      </c>
      <c r="I424" s="684">
        <v>2.48E-6</v>
      </c>
      <c r="K424" s="693" t="s">
        <v>46</v>
      </c>
      <c r="L424" s="694" t="s">
        <v>215</v>
      </c>
      <c r="M424" s="694" t="s">
        <v>915</v>
      </c>
      <c r="N424" s="694" t="s">
        <v>918</v>
      </c>
      <c r="O424" s="694">
        <v>2021.0</v>
      </c>
      <c r="P424" s="694" t="s">
        <v>919</v>
      </c>
      <c r="Q424" s="695" t="s">
        <v>112</v>
      </c>
      <c r="R424" s="696">
        <v>0.333871726</v>
      </c>
      <c r="S424" s="696">
        <v>0.082626163</v>
      </c>
      <c r="T424" s="697">
        <v>0.809183084</v>
      </c>
      <c r="AB424" s="722"/>
      <c r="AF424" s="669"/>
    </row>
    <row r="425">
      <c r="A425" s="675"/>
      <c r="B425" s="681" t="s">
        <v>60</v>
      </c>
      <c r="C425" s="682" t="s">
        <v>915</v>
      </c>
      <c r="D425" s="682" t="s">
        <v>922</v>
      </c>
      <c r="E425" s="682" t="s">
        <v>215</v>
      </c>
      <c r="F425" s="682">
        <v>2021.0</v>
      </c>
      <c r="G425" s="683">
        <v>1.48E-6</v>
      </c>
      <c r="H425" s="683">
        <v>3.72E-7</v>
      </c>
      <c r="I425" s="684">
        <v>3.62E-6</v>
      </c>
      <c r="K425" s="693" t="s">
        <v>46</v>
      </c>
      <c r="L425" s="694" t="s">
        <v>215</v>
      </c>
      <c r="M425" s="694" t="s">
        <v>915</v>
      </c>
      <c r="N425" s="694" t="s">
        <v>923</v>
      </c>
      <c r="O425" s="694">
        <v>2021.0</v>
      </c>
      <c r="P425" s="694" t="s">
        <v>919</v>
      </c>
      <c r="Q425" s="695" t="s">
        <v>112</v>
      </c>
      <c r="R425" s="696">
        <v>0.0</v>
      </c>
      <c r="S425" s="696">
        <v>0.0</v>
      </c>
      <c r="T425" s="697">
        <v>0.0</v>
      </c>
      <c r="AB425" s="722"/>
      <c r="AF425" s="669"/>
    </row>
    <row r="426">
      <c r="A426" s="675"/>
      <c r="B426" s="681" t="s">
        <v>60</v>
      </c>
      <c r="C426" s="682" t="s">
        <v>915</v>
      </c>
      <c r="D426" s="682" t="s">
        <v>924</v>
      </c>
      <c r="E426" s="682" t="s">
        <v>215</v>
      </c>
      <c r="F426" s="682">
        <v>2021.0</v>
      </c>
      <c r="G426" s="683">
        <v>1.75E-6</v>
      </c>
      <c r="H426" s="683">
        <v>4.41E-7</v>
      </c>
      <c r="I426" s="684">
        <v>4.35E-6</v>
      </c>
      <c r="K426" s="693" t="s">
        <v>46</v>
      </c>
      <c r="L426" s="694" t="s">
        <v>215</v>
      </c>
      <c r="M426" s="694" t="s">
        <v>915</v>
      </c>
      <c r="N426" s="694" t="s">
        <v>925</v>
      </c>
      <c r="O426" s="694">
        <v>2021.0</v>
      </c>
      <c r="P426" s="694" t="s">
        <v>919</v>
      </c>
      <c r="Q426" s="695" t="s">
        <v>112</v>
      </c>
      <c r="R426" s="696">
        <v>0.0</v>
      </c>
      <c r="S426" s="696">
        <v>0.0</v>
      </c>
      <c r="T426" s="697">
        <v>0.0</v>
      </c>
      <c r="AB426" s="722"/>
      <c r="AF426" s="669"/>
    </row>
    <row r="427">
      <c r="A427" s="675"/>
      <c r="B427" s="681" t="s">
        <v>60</v>
      </c>
      <c r="C427" s="682" t="s">
        <v>915</v>
      </c>
      <c r="D427" s="682" t="s">
        <v>926</v>
      </c>
      <c r="E427" s="682" t="s">
        <v>215</v>
      </c>
      <c r="F427" s="682">
        <v>2021.0</v>
      </c>
      <c r="G427" s="683">
        <v>7.03E-6</v>
      </c>
      <c r="H427" s="683">
        <v>2.0E-6</v>
      </c>
      <c r="I427" s="684">
        <v>1.62E-5</v>
      </c>
      <c r="K427" s="693" t="s">
        <v>46</v>
      </c>
      <c r="L427" s="694" t="s">
        <v>215</v>
      </c>
      <c r="M427" s="694" t="s">
        <v>915</v>
      </c>
      <c r="N427" s="694" t="s">
        <v>927</v>
      </c>
      <c r="O427" s="694">
        <v>2021.0</v>
      </c>
      <c r="P427" s="694" t="s">
        <v>919</v>
      </c>
      <c r="Q427" s="695" t="s">
        <v>112</v>
      </c>
      <c r="R427" s="696">
        <v>0.108272675</v>
      </c>
      <c r="S427" s="696">
        <v>0.026732926</v>
      </c>
      <c r="T427" s="697">
        <v>0.267128004</v>
      </c>
      <c r="AB427" s="722"/>
      <c r="AF427" s="669"/>
    </row>
    <row r="428">
      <c r="A428" s="675"/>
      <c r="B428" s="681" t="s">
        <v>61</v>
      </c>
      <c r="C428" s="682" t="s">
        <v>915</v>
      </c>
      <c r="D428" s="682" t="s">
        <v>916</v>
      </c>
      <c r="E428" s="682" t="s">
        <v>215</v>
      </c>
      <c r="F428" s="682">
        <v>2021.0</v>
      </c>
      <c r="G428" s="683">
        <v>7.63E-7</v>
      </c>
      <c r="H428" s="683">
        <v>3.06E-7</v>
      </c>
      <c r="I428" s="684">
        <v>1.52E-6</v>
      </c>
      <c r="K428" s="693" t="s">
        <v>46</v>
      </c>
      <c r="L428" s="694" t="s">
        <v>215</v>
      </c>
      <c r="M428" s="694" t="s">
        <v>915</v>
      </c>
      <c r="N428" s="694" t="s">
        <v>926</v>
      </c>
      <c r="O428" s="694">
        <v>2021.0</v>
      </c>
      <c r="P428" s="694" t="s">
        <v>919</v>
      </c>
      <c r="Q428" s="695" t="s">
        <v>112</v>
      </c>
      <c r="R428" s="696">
        <v>0.442144401</v>
      </c>
      <c r="S428" s="696">
        <v>0.146907131</v>
      </c>
      <c r="T428" s="697">
        <v>0.984133391</v>
      </c>
      <c r="AB428" s="722"/>
      <c r="AF428" s="669"/>
    </row>
    <row r="429">
      <c r="A429" s="675"/>
      <c r="B429" s="681" t="s">
        <v>61</v>
      </c>
      <c r="C429" s="682" t="s">
        <v>915</v>
      </c>
      <c r="D429" s="682" t="s">
        <v>922</v>
      </c>
      <c r="E429" s="682" t="s">
        <v>215</v>
      </c>
      <c r="F429" s="682">
        <v>2021.0</v>
      </c>
      <c r="G429" s="683">
        <v>9.36E-7</v>
      </c>
      <c r="H429" s="683">
        <v>2.3E-7</v>
      </c>
      <c r="I429" s="684">
        <v>2.13E-6</v>
      </c>
      <c r="K429" s="693" t="s">
        <v>47</v>
      </c>
      <c r="L429" s="694" t="s">
        <v>215</v>
      </c>
      <c r="M429" s="694" t="s">
        <v>915</v>
      </c>
      <c r="N429" s="694" t="s">
        <v>918</v>
      </c>
      <c r="O429" s="694">
        <v>2021.0</v>
      </c>
      <c r="P429" s="694" t="s">
        <v>919</v>
      </c>
      <c r="Q429" s="695" t="s">
        <v>112</v>
      </c>
      <c r="R429" s="696">
        <v>0.790470442</v>
      </c>
      <c r="S429" s="696">
        <v>0.154758267</v>
      </c>
      <c r="T429" s="697">
        <v>2.054276431</v>
      </c>
      <c r="AB429" s="722"/>
      <c r="AF429" s="669"/>
    </row>
    <row r="430">
      <c r="A430" s="675"/>
      <c r="B430" s="681" t="s">
        <v>61</v>
      </c>
      <c r="C430" s="682" t="s">
        <v>915</v>
      </c>
      <c r="D430" s="682" t="s">
        <v>924</v>
      </c>
      <c r="E430" s="682" t="s">
        <v>215</v>
      </c>
      <c r="F430" s="682">
        <v>2021.0</v>
      </c>
      <c r="G430" s="683">
        <v>7.36E-7</v>
      </c>
      <c r="H430" s="683">
        <v>1.67E-7</v>
      </c>
      <c r="I430" s="684">
        <v>1.87E-6</v>
      </c>
      <c r="K430" s="693" t="s">
        <v>47</v>
      </c>
      <c r="L430" s="694" t="s">
        <v>215</v>
      </c>
      <c r="M430" s="694" t="s">
        <v>915</v>
      </c>
      <c r="N430" s="694" t="s">
        <v>923</v>
      </c>
      <c r="O430" s="694">
        <v>2021.0</v>
      </c>
      <c r="P430" s="694" t="s">
        <v>919</v>
      </c>
      <c r="Q430" s="695" t="s">
        <v>112</v>
      </c>
      <c r="R430" s="696">
        <v>0.0</v>
      </c>
      <c r="S430" s="696">
        <v>0.0</v>
      </c>
      <c r="T430" s="697">
        <v>0.0</v>
      </c>
      <c r="AB430" s="722"/>
      <c r="AF430" s="669"/>
    </row>
    <row r="431">
      <c r="A431" s="675"/>
      <c r="B431" s="681" t="s">
        <v>61</v>
      </c>
      <c r="C431" s="682" t="s">
        <v>915</v>
      </c>
      <c r="D431" s="682" t="s">
        <v>926</v>
      </c>
      <c r="E431" s="682" t="s">
        <v>215</v>
      </c>
      <c r="F431" s="682">
        <v>2021.0</v>
      </c>
      <c r="G431" s="683">
        <v>2.14E-6</v>
      </c>
      <c r="H431" s="683">
        <v>5.68E-7</v>
      </c>
      <c r="I431" s="684">
        <v>5.18E-6</v>
      </c>
      <c r="K431" s="693" t="s">
        <v>47</v>
      </c>
      <c r="L431" s="694" t="s">
        <v>215</v>
      </c>
      <c r="M431" s="694" t="s">
        <v>915</v>
      </c>
      <c r="N431" s="694" t="s">
        <v>925</v>
      </c>
      <c r="O431" s="694">
        <v>2021.0</v>
      </c>
      <c r="P431" s="694" t="s">
        <v>919</v>
      </c>
      <c r="Q431" s="695" t="s">
        <v>112</v>
      </c>
      <c r="R431" s="696">
        <v>0.0</v>
      </c>
      <c r="S431" s="696">
        <v>0.0</v>
      </c>
      <c r="T431" s="697">
        <v>0.0</v>
      </c>
      <c r="AB431" s="722"/>
      <c r="AF431" s="669"/>
    </row>
    <row r="432">
      <c r="A432" s="675"/>
      <c r="B432" s="681" t="s">
        <v>63</v>
      </c>
      <c r="C432" s="682" t="s">
        <v>915</v>
      </c>
      <c r="D432" s="682" t="s">
        <v>916</v>
      </c>
      <c r="E432" s="682" t="s">
        <v>215</v>
      </c>
      <c r="F432" s="682">
        <v>2021.0</v>
      </c>
      <c r="G432" s="683">
        <v>2.52E-6</v>
      </c>
      <c r="H432" s="683">
        <v>1.09E-6</v>
      </c>
      <c r="I432" s="684">
        <v>4.77E-6</v>
      </c>
      <c r="K432" s="693" t="s">
        <v>47</v>
      </c>
      <c r="L432" s="694" t="s">
        <v>215</v>
      </c>
      <c r="M432" s="694" t="s">
        <v>915</v>
      </c>
      <c r="N432" s="694" t="s">
        <v>927</v>
      </c>
      <c r="O432" s="694">
        <v>2021.0</v>
      </c>
      <c r="P432" s="694" t="s">
        <v>919</v>
      </c>
      <c r="Q432" s="695" t="s">
        <v>112</v>
      </c>
      <c r="R432" s="696">
        <v>0.316802014</v>
      </c>
      <c r="S432" s="696">
        <v>0.06238145</v>
      </c>
      <c r="T432" s="697">
        <v>0.856615716</v>
      </c>
      <c r="AB432" s="722"/>
      <c r="AF432" s="669"/>
    </row>
    <row r="433">
      <c r="A433" s="675"/>
      <c r="B433" s="681" t="s">
        <v>63</v>
      </c>
      <c r="C433" s="682" t="s">
        <v>915</v>
      </c>
      <c r="D433" s="682" t="s">
        <v>922</v>
      </c>
      <c r="E433" s="682" t="s">
        <v>215</v>
      </c>
      <c r="F433" s="682">
        <v>2021.0</v>
      </c>
      <c r="G433" s="683">
        <v>3.23E-6</v>
      </c>
      <c r="H433" s="683">
        <v>7.82E-7</v>
      </c>
      <c r="I433" s="684">
        <v>7.61E-6</v>
      </c>
      <c r="K433" s="693" t="s">
        <v>47</v>
      </c>
      <c r="L433" s="694" t="s">
        <v>215</v>
      </c>
      <c r="M433" s="694" t="s">
        <v>915</v>
      </c>
      <c r="N433" s="694" t="s">
        <v>926</v>
      </c>
      <c r="O433" s="694">
        <v>2021.0</v>
      </c>
      <c r="P433" s="694" t="s">
        <v>919</v>
      </c>
      <c r="Q433" s="695" t="s">
        <v>112</v>
      </c>
      <c r="R433" s="696">
        <v>1.107272456</v>
      </c>
      <c r="S433" s="696">
        <v>0.320827536</v>
      </c>
      <c r="T433" s="697">
        <v>2.610213527</v>
      </c>
      <c r="AB433" s="722"/>
      <c r="AF433" s="669"/>
    </row>
    <row r="434">
      <c r="A434" s="675"/>
      <c r="B434" s="681" t="s">
        <v>63</v>
      </c>
      <c r="C434" s="682" t="s">
        <v>915</v>
      </c>
      <c r="D434" s="682" t="s">
        <v>924</v>
      </c>
      <c r="E434" s="682" t="s">
        <v>215</v>
      </c>
      <c r="F434" s="682">
        <v>2021.0</v>
      </c>
      <c r="G434" s="683">
        <v>2.21E-6</v>
      </c>
      <c r="H434" s="683">
        <v>5.17E-7</v>
      </c>
      <c r="I434" s="684">
        <v>5.46E-6</v>
      </c>
      <c r="K434" s="693" t="s">
        <v>48</v>
      </c>
      <c r="L434" s="694" t="s">
        <v>215</v>
      </c>
      <c r="M434" s="694" t="s">
        <v>915</v>
      </c>
      <c r="N434" s="694" t="s">
        <v>918</v>
      </c>
      <c r="O434" s="694">
        <v>2021.0</v>
      </c>
      <c r="P434" s="694" t="s">
        <v>919</v>
      </c>
      <c r="Q434" s="695" t="s">
        <v>112</v>
      </c>
      <c r="R434" s="696">
        <v>0.686980404</v>
      </c>
      <c r="S434" s="696">
        <v>0.148654736</v>
      </c>
      <c r="T434" s="697">
        <v>1.72785857</v>
      </c>
      <c r="AB434" s="722"/>
      <c r="AF434" s="669"/>
    </row>
    <row r="435">
      <c r="A435" s="675"/>
      <c r="B435" s="681" t="s">
        <v>63</v>
      </c>
      <c r="C435" s="682" t="s">
        <v>915</v>
      </c>
      <c r="D435" s="682" t="s">
        <v>926</v>
      </c>
      <c r="E435" s="682" t="s">
        <v>215</v>
      </c>
      <c r="F435" s="682">
        <v>2021.0</v>
      </c>
      <c r="G435" s="683">
        <v>9.46E-6</v>
      </c>
      <c r="H435" s="683">
        <v>2.81E-6</v>
      </c>
      <c r="I435" s="684">
        <v>2.28E-5</v>
      </c>
      <c r="K435" s="693" t="s">
        <v>48</v>
      </c>
      <c r="L435" s="694" t="s">
        <v>215</v>
      </c>
      <c r="M435" s="694" t="s">
        <v>915</v>
      </c>
      <c r="N435" s="694" t="s">
        <v>923</v>
      </c>
      <c r="O435" s="694">
        <v>2021.0</v>
      </c>
      <c r="P435" s="694" t="s">
        <v>919</v>
      </c>
      <c r="Q435" s="695" t="s">
        <v>112</v>
      </c>
      <c r="R435" s="696">
        <v>0.0</v>
      </c>
      <c r="S435" s="696">
        <v>0.0</v>
      </c>
      <c r="T435" s="697">
        <v>0.0</v>
      </c>
      <c r="AB435" s="722"/>
      <c r="AF435" s="669"/>
    </row>
    <row r="436">
      <c r="A436" s="675"/>
      <c r="B436" s="681" t="s">
        <v>64</v>
      </c>
      <c r="C436" s="682" t="s">
        <v>915</v>
      </c>
      <c r="D436" s="682" t="s">
        <v>916</v>
      </c>
      <c r="E436" s="682" t="s">
        <v>215</v>
      </c>
      <c r="F436" s="682">
        <v>2021.0</v>
      </c>
      <c r="G436" s="683">
        <v>3.35E-6</v>
      </c>
      <c r="H436" s="683">
        <v>1.52E-6</v>
      </c>
      <c r="I436" s="684">
        <v>6.16E-6</v>
      </c>
      <c r="K436" s="693" t="s">
        <v>48</v>
      </c>
      <c r="L436" s="694" t="s">
        <v>215</v>
      </c>
      <c r="M436" s="694" t="s">
        <v>915</v>
      </c>
      <c r="N436" s="694" t="s">
        <v>925</v>
      </c>
      <c r="O436" s="694">
        <v>2021.0</v>
      </c>
      <c r="P436" s="694" t="s">
        <v>919</v>
      </c>
      <c r="Q436" s="695" t="s">
        <v>112</v>
      </c>
      <c r="R436" s="696">
        <v>0.0</v>
      </c>
      <c r="S436" s="696">
        <v>0.0</v>
      </c>
      <c r="T436" s="697">
        <v>0.0</v>
      </c>
      <c r="AB436" s="722"/>
      <c r="AF436" s="669"/>
    </row>
    <row r="437">
      <c r="A437" s="675"/>
      <c r="B437" s="681" t="s">
        <v>64</v>
      </c>
      <c r="C437" s="682" t="s">
        <v>915</v>
      </c>
      <c r="D437" s="682" t="s">
        <v>922</v>
      </c>
      <c r="E437" s="682" t="s">
        <v>215</v>
      </c>
      <c r="F437" s="682">
        <v>2021.0</v>
      </c>
      <c r="G437" s="683">
        <v>4.25E-6</v>
      </c>
      <c r="H437" s="683">
        <v>1.24E-6</v>
      </c>
      <c r="I437" s="684">
        <v>9.99E-6</v>
      </c>
      <c r="K437" s="693" t="s">
        <v>48</v>
      </c>
      <c r="L437" s="694" t="s">
        <v>215</v>
      </c>
      <c r="M437" s="694" t="s">
        <v>915</v>
      </c>
      <c r="N437" s="694" t="s">
        <v>927</v>
      </c>
      <c r="O437" s="694">
        <v>2021.0</v>
      </c>
      <c r="P437" s="694" t="s">
        <v>919</v>
      </c>
      <c r="Q437" s="695" t="s">
        <v>112</v>
      </c>
      <c r="R437" s="696">
        <v>0.44419353</v>
      </c>
      <c r="S437" s="696">
        <v>0.092409481</v>
      </c>
      <c r="T437" s="697">
        <v>1.277336979</v>
      </c>
      <c r="AB437" s="722"/>
      <c r="AF437" s="669"/>
    </row>
    <row r="438">
      <c r="A438" s="675"/>
      <c r="B438" s="681" t="s">
        <v>64</v>
      </c>
      <c r="C438" s="682" t="s">
        <v>915</v>
      </c>
      <c r="D438" s="682" t="s">
        <v>924</v>
      </c>
      <c r="E438" s="682" t="s">
        <v>215</v>
      </c>
      <c r="F438" s="682">
        <v>2021.0</v>
      </c>
      <c r="G438" s="683">
        <v>4.13E-6</v>
      </c>
      <c r="H438" s="683">
        <v>9.6E-7</v>
      </c>
      <c r="I438" s="684">
        <v>1.04E-5</v>
      </c>
      <c r="K438" s="693" t="s">
        <v>48</v>
      </c>
      <c r="L438" s="694" t="s">
        <v>215</v>
      </c>
      <c r="M438" s="694" t="s">
        <v>915</v>
      </c>
      <c r="N438" s="694" t="s">
        <v>926</v>
      </c>
      <c r="O438" s="694">
        <v>2021.0</v>
      </c>
      <c r="P438" s="694" t="s">
        <v>919</v>
      </c>
      <c r="Q438" s="695" t="s">
        <v>112</v>
      </c>
      <c r="R438" s="696">
        <v>1.131173934</v>
      </c>
      <c r="S438" s="696">
        <v>0.375870849</v>
      </c>
      <c r="T438" s="697">
        <v>2.462506813</v>
      </c>
      <c r="AB438" s="722"/>
      <c r="AF438" s="669"/>
    </row>
    <row r="439">
      <c r="A439" s="675"/>
      <c r="B439" s="681" t="s">
        <v>64</v>
      </c>
      <c r="C439" s="682" t="s">
        <v>915</v>
      </c>
      <c r="D439" s="682" t="s">
        <v>926</v>
      </c>
      <c r="E439" s="682" t="s">
        <v>215</v>
      </c>
      <c r="F439" s="682">
        <v>2021.0</v>
      </c>
      <c r="G439" s="683">
        <v>1.22E-5</v>
      </c>
      <c r="H439" s="683">
        <v>3.53E-6</v>
      </c>
      <c r="I439" s="684">
        <v>2.98E-5</v>
      </c>
      <c r="K439" s="693" t="s">
        <v>49</v>
      </c>
      <c r="L439" s="694" t="s">
        <v>215</v>
      </c>
      <c r="M439" s="694" t="s">
        <v>915</v>
      </c>
      <c r="N439" s="694" t="s">
        <v>918</v>
      </c>
      <c r="O439" s="694">
        <v>2021.0</v>
      </c>
      <c r="P439" s="694" t="s">
        <v>919</v>
      </c>
      <c r="Q439" s="695" t="s">
        <v>112</v>
      </c>
      <c r="R439" s="696">
        <v>0.654922869</v>
      </c>
      <c r="S439" s="696">
        <v>0.143782906</v>
      </c>
      <c r="T439" s="697">
        <v>1.770549163</v>
      </c>
      <c r="AB439" s="722"/>
      <c r="AF439" s="669"/>
    </row>
    <row r="440">
      <c r="A440" s="675"/>
      <c r="B440" s="681" t="s">
        <v>65</v>
      </c>
      <c r="C440" s="682" t="s">
        <v>915</v>
      </c>
      <c r="D440" s="682" t="s">
        <v>916</v>
      </c>
      <c r="E440" s="682" t="s">
        <v>215</v>
      </c>
      <c r="F440" s="682">
        <v>2021.0</v>
      </c>
      <c r="G440" s="683">
        <v>1.33E-6</v>
      </c>
      <c r="H440" s="683">
        <v>5.64E-7</v>
      </c>
      <c r="I440" s="684">
        <v>2.65E-6</v>
      </c>
      <c r="K440" s="693" t="s">
        <v>49</v>
      </c>
      <c r="L440" s="694" t="s">
        <v>215</v>
      </c>
      <c r="M440" s="694" t="s">
        <v>915</v>
      </c>
      <c r="N440" s="694" t="s">
        <v>923</v>
      </c>
      <c r="O440" s="694">
        <v>2021.0</v>
      </c>
      <c r="P440" s="694" t="s">
        <v>919</v>
      </c>
      <c r="Q440" s="695" t="s">
        <v>112</v>
      </c>
      <c r="R440" s="696">
        <v>0.0</v>
      </c>
      <c r="S440" s="696">
        <v>0.0</v>
      </c>
      <c r="T440" s="697">
        <v>0.0</v>
      </c>
      <c r="AB440" s="722"/>
      <c r="AF440" s="669"/>
    </row>
    <row r="441">
      <c r="A441" s="675"/>
      <c r="B441" s="681" t="s">
        <v>65</v>
      </c>
      <c r="C441" s="682" t="s">
        <v>915</v>
      </c>
      <c r="D441" s="682" t="s">
        <v>922</v>
      </c>
      <c r="E441" s="682" t="s">
        <v>215</v>
      </c>
      <c r="F441" s="682">
        <v>2021.0</v>
      </c>
      <c r="G441" s="683">
        <v>1.58E-6</v>
      </c>
      <c r="H441" s="683">
        <v>4.52E-7</v>
      </c>
      <c r="I441" s="684">
        <v>3.65E-6</v>
      </c>
      <c r="K441" s="693" t="s">
        <v>49</v>
      </c>
      <c r="L441" s="694" t="s">
        <v>215</v>
      </c>
      <c r="M441" s="694" t="s">
        <v>915</v>
      </c>
      <c r="N441" s="694" t="s">
        <v>925</v>
      </c>
      <c r="O441" s="694">
        <v>2021.0</v>
      </c>
      <c r="P441" s="694" t="s">
        <v>919</v>
      </c>
      <c r="Q441" s="695" t="s">
        <v>112</v>
      </c>
      <c r="R441" s="696">
        <v>0.0</v>
      </c>
      <c r="S441" s="696">
        <v>0.0</v>
      </c>
      <c r="T441" s="697">
        <v>0.0</v>
      </c>
      <c r="AB441" s="722"/>
      <c r="AF441" s="669"/>
    </row>
    <row r="442">
      <c r="A442" s="675"/>
      <c r="B442" s="681" t="s">
        <v>65</v>
      </c>
      <c r="C442" s="682" t="s">
        <v>915</v>
      </c>
      <c r="D442" s="682" t="s">
        <v>924</v>
      </c>
      <c r="E442" s="682" t="s">
        <v>215</v>
      </c>
      <c r="F442" s="682">
        <v>2021.0</v>
      </c>
      <c r="G442" s="683">
        <v>1.64E-6</v>
      </c>
      <c r="H442" s="683">
        <v>3.7E-7</v>
      </c>
      <c r="I442" s="684">
        <v>4.08E-6</v>
      </c>
      <c r="K442" s="693" t="s">
        <v>49</v>
      </c>
      <c r="L442" s="694" t="s">
        <v>215</v>
      </c>
      <c r="M442" s="694" t="s">
        <v>915</v>
      </c>
      <c r="N442" s="694" t="s">
        <v>927</v>
      </c>
      <c r="O442" s="694">
        <v>2021.0</v>
      </c>
      <c r="P442" s="694" t="s">
        <v>919</v>
      </c>
      <c r="Q442" s="695" t="s">
        <v>112</v>
      </c>
      <c r="R442" s="696">
        <v>0.113344909</v>
      </c>
      <c r="S442" s="696">
        <v>0.01990054</v>
      </c>
      <c r="T442" s="697">
        <v>0.310338866</v>
      </c>
      <c r="AB442" s="722"/>
      <c r="AF442" s="669"/>
    </row>
    <row r="443">
      <c r="A443" s="675"/>
      <c r="B443" s="681" t="s">
        <v>65</v>
      </c>
      <c r="C443" s="682" t="s">
        <v>915</v>
      </c>
      <c r="D443" s="682" t="s">
        <v>926</v>
      </c>
      <c r="E443" s="682" t="s">
        <v>215</v>
      </c>
      <c r="F443" s="682">
        <v>2021.0</v>
      </c>
      <c r="G443" s="683">
        <v>7.55E-6</v>
      </c>
      <c r="H443" s="683">
        <v>2.07E-6</v>
      </c>
      <c r="I443" s="684">
        <v>1.73E-5</v>
      </c>
      <c r="K443" s="693" t="s">
        <v>49</v>
      </c>
      <c r="L443" s="694" t="s">
        <v>215</v>
      </c>
      <c r="M443" s="694" t="s">
        <v>915</v>
      </c>
      <c r="N443" s="694" t="s">
        <v>926</v>
      </c>
      <c r="O443" s="694">
        <v>2021.0</v>
      </c>
      <c r="P443" s="694" t="s">
        <v>919</v>
      </c>
      <c r="Q443" s="695" t="s">
        <v>112</v>
      </c>
      <c r="R443" s="696">
        <v>0.768267778</v>
      </c>
      <c r="S443" s="696">
        <v>0.220137201</v>
      </c>
      <c r="T443" s="697">
        <v>1.883759665</v>
      </c>
      <c r="AB443" s="722"/>
      <c r="AF443" s="669"/>
    </row>
    <row r="444">
      <c r="A444" s="675"/>
      <c r="B444" s="681" t="s">
        <v>35</v>
      </c>
      <c r="C444" s="682" t="s">
        <v>915</v>
      </c>
      <c r="D444" s="682" t="s">
        <v>916</v>
      </c>
      <c r="E444" s="682" t="s">
        <v>215</v>
      </c>
      <c r="F444" s="682">
        <v>2021.0</v>
      </c>
      <c r="G444" s="683">
        <v>9.35E-5</v>
      </c>
      <c r="H444" s="683">
        <v>4.17E-5</v>
      </c>
      <c r="I444" s="684">
        <v>1.73096E-4</v>
      </c>
      <c r="K444" s="693" t="s">
        <v>50</v>
      </c>
      <c r="L444" s="694" t="s">
        <v>215</v>
      </c>
      <c r="M444" s="694" t="s">
        <v>915</v>
      </c>
      <c r="N444" s="694" t="s">
        <v>918</v>
      </c>
      <c r="O444" s="694">
        <v>2021.0</v>
      </c>
      <c r="P444" s="694" t="s">
        <v>919</v>
      </c>
      <c r="Q444" s="695" t="s">
        <v>112</v>
      </c>
      <c r="R444" s="696">
        <v>0.137566905</v>
      </c>
      <c r="S444" s="696">
        <v>0.030025505</v>
      </c>
      <c r="T444" s="697">
        <v>0.349825728</v>
      </c>
      <c r="AB444" s="722"/>
      <c r="AF444" s="669"/>
    </row>
    <row r="445">
      <c r="A445" s="675"/>
      <c r="B445" s="681" t="s">
        <v>35</v>
      </c>
      <c r="C445" s="682" t="s">
        <v>915</v>
      </c>
      <c r="D445" s="682" t="s">
        <v>922</v>
      </c>
      <c r="E445" s="682" t="s">
        <v>215</v>
      </c>
      <c r="F445" s="682">
        <v>2021.0</v>
      </c>
      <c r="G445" s="683">
        <v>1.27981E-4</v>
      </c>
      <c r="H445" s="683">
        <v>3.24E-5</v>
      </c>
      <c r="I445" s="684">
        <v>2.89055E-4</v>
      </c>
      <c r="K445" s="693" t="s">
        <v>50</v>
      </c>
      <c r="L445" s="694" t="s">
        <v>215</v>
      </c>
      <c r="M445" s="694" t="s">
        <v>915</v>
      </c>
      <c r="N445" s="694" t="s">
        <v>923</v>
      </c>
      <c r="O445" s="694">
        <v>2021.0</v>
      </c>
      <c r="P445" s="694" t="s">
        <v>919</v>
      </c>
      <c r="Q445" s="695" t="s">
        <v>112</v>
      </c>
      <c r="R445" s="696">
        <v>0.0</v>
      </c>
      <c r="S445" s="696">
        <v>0.0</v>
      </c>
      <c r="T445" s="697">
        <v>0.0</v>
      </c>
      <c r="AB445" s="722"/>
      <c r="AF445" s="669"/>
    </row>
    <row r="446">
      <c r="A446" s="675"/>
      <c r="B446" s="681" t="s">
        <v>35</v>
      </c>
      <c r="C446" s="682" t="s">
        <v>915</v>
      </c>
      <c r="D446" s="682" t="s">
        <v>924</v>
      </c>
      <c r="E446" s="682" t="s">
        <v>215</v>
      </c>
      <c r="F446" s="682">
        <v>2021.0</v>
      </c>
      <c r="G446" s="683">
        <v>1.81069E-4</v>
      </c>
      <c r="H446" s="683">
        <v>3.77E-5</v>
      </c>
      <c r="I446" s="684">
        <v>4.61766E-4</v>
      </c>
      <c r="K446" s="693" t="s">
        <v>50</v>
      </c>
      <c r="L446" s="694" t="s">
        <v>215</v>
      </c>
      <c r="M446" s="694" t="s">
        <v>915</v>
      </c>
      <c r="N446" s="694" t="s">
        <v>925</v>
      </c>
      <c r="O446" s="694">
        <v>2021.0</v>
      </c>
      <c r="P446" s="694" t="s">
        <v>919</v>
      </c>
      <c r="Q446" s="695" t="s">
        <v>112</v>
      </c>
      <c r="R446" s="696">
        <v>0.0</v>
      </c>
      <c r="S446" s="696">
        <v>0.0</v>
      </c>
      <c r="T446" s="697">
        <v>0.0</v>
      </c>
      <c r="AB446" s="722"/>
      <c r="AF446" s="669"/>
    </row>
    <row r="447">
      <c r="A447" s="675"/>
      <c r="B447" s="681" t="s">
        <v>35</v>
      </c>
      <c r="C447" s="682" t="s">
        <v>915</v>
      </c>
      <c r="D447" s="682" t="s">
        <v>926</v>
      </c>
      <c r="E447" s="682" t="s">
        <v>215</v>
      </c>
      <c r="F447" s="682">
        <v>2021.0</v>
      </c>
      <c r="G447" s="683">
        <v>0.001418658</v>
      </c>
      <c r="H447" s="683">
        <v>5.09108E-4</v>
      </c>
      <c r="I447" s="684">
        <v>0.003105753</v>
      </c>
      <c r="K447" s="693" t="s">
        <v>50</v>
      </c>
      <c r="L447" s="694" t="s">
        <v>215</v>
      </c>
      <c r="M447" s="694" t="s">
        <v>915</v>
      </c>
      <c r="N447" s="694" t="s">
        <v>927</v>
      </c>
      <c r="O447" s="694">
        <v>2021.0</v>
      </c>
      <c r="P447" s="694" t="s">
        <v>919</v>
      </c>
      <c r="Q447" s="695" t="s">
        <v>112</v>
      </c>
      <c r="R447" s="696">
        <v>0.044328215</v>
      </c>
      <c r="S447" s="696">
        <v>0.00787332</v>
      </c>
      <c r="T447" s="697">
        <v>0.124366599</v>
      </c>
      <c r="AB447" s="722"/>
      <c r="AF447" s="669"/>
    </row>
    <row r="448">
      <c r="A448" s="675"/>
      <c r="B448" s="681" t="s">
        <v>66</v>
      </c>
      <c r="C448" s="682" t="s">
        <v>915</v>
      </c>
      <c r="D448" s="682" t="s">
        <v>916</v>
      </c>
      <c r="E448" s="682" t="s">
        <v>215</v>
      </c>
      <c r="F448" s="682">
        <v>2021.0</v>
      </c>
      <c r="G448" s="683">
        <v>1.36E-5</v>
      </c>
      <c r="H448" s="683">
        <v>6.36E-6</v>
      </c>
      <c r="I448" s="684">
        <v>2.56E-5</v>
      </c>
      <c r="K448" s="693" t="s">
        <v>50</v>
      </c>
      <c r="L448" s="694" t="s">
        <v>215</v>
      </c>
      <c r="M448" s="694" t="s">
        <v>915</v>
      </c>
      <c r="N448" s="694" t="s">
        <v>926</v>
      </c>
      <c r="O448" s="694">
        <v>2021.0</v>
      </c>
      <c r="P448" s="694" t="s">
        <v>919</v>
      </c>
      <c r="Q448" s="695" t="s">
        <v>112</v>
      </c>
      <c r="R448" s="696">
        <v>0.18189512</v>
      </c>
      <c r="S448" s="696">
        <v>0.049193809</v>
      </c>
      <c r="T448" s="697">
        <v>0.429681129</v>
      </c>
      <c r="AB448" s="722"/>
      <c r="AF448" s="669"/>
    </row>
    <row r="449">
      <c r="A449" s="675"/>
      <c r="B449" s="681" t="s">
        <v>66</v>
      </c>
      <c r="C449" s="682" t="s">
        <v>915</v>
      </c>
      <c r="D449" s="682" t="s">
        <v>922</v>
      </c>
      <c r="E449" s="682" t="s">
        <v>215</v>
      </c>
      <c r="F449" s="682">
        <v>2021.0</v>
      </c>
      <c r="G449" s="683">
        <v>2.03E-5</v>
      </c>
      <c r="H449" s="683">
        <v>5.56E-6</v>
      </c>
      <c r="I449" s="684">
        <v>4.75E-5</v>
      </c>
      <c r="K449" s="693" t="s">
        <v>51</v>
      </c>
      <c r="L449" s="694" t="s">
        <v>215</v>
      </c>
      <c r="M449" s="694" t="s">
        <v>915</v>
      </c>
      <c r="N449" s="694" t="s">
        <v>918</v>
      </c>
      <c r="O449" s="694">
        <v>2021.0</v>
      </c>
      <c r="P449" s="694" t="s">
        <v>919</v>
      </c>
      <c r="Q449" s="695" t="s">
        <v>112</v>
      </c>
      <c r="R449" s="696">
        <v>0.301561286</v>
      </c>
      <c r="S449" s="696">
        <v>0.055022897</v>
      </c>
      <c r="T449" s="697">
        <v>0.7711519</v>
      </c>
      <c r="AB449" s="722"/>
      <c r="AF449" s="669"/>
    </row>
    <row r="450">
      <c r="A450" s="675"/>
      <c r="B450" s="681" t="s">
        <v>66</v>
      </c>
      <c r="C450" s="682" t="s">
        <v>915</v>
      </c>
      <c r="D450" s="682" t="s">
        <v>924</v>
      </c>
      <c r="E450" s="682" t="s">
        <v>215</v>
      </c>
      <c r="F450" s="682">
        <v>2021.0</v>
      </c>
      <c r="G450" s="683">
        <v>2.6E-5</v>
      </c>
      <c r="H450" s="683">
        <v>6.42E-6</v>
      </c>
      <c r="I450" s="684">
        <v>7.0E-5</v>
      </c>
      <c r="K450" s="693" t="s">
        <v>51</v>
      </c>
      <c r="L450" s="694" t="s">
        <v>215</v>
      </c>
      <c r="M450" s="694" t="s">
        <v>915</v>
      </c>
      <c r="N450" s="694" t="s">
        <v>923</v>
      </c>
      <c r="O450" s="694">
        <v>2021.0</v>
      </c>
      <c r="P450" s="694" t="s">
        <v>919</v>
      </c>
      <c r="Q450" s="695" t="s">
        <v>112</v>
      </c>
      <c r="R450" s="696">
        <v>0.0</v>
      </c>
      <c r="S450" s="696">
        <v>0.0</v>
      </c>
      <c r="T450" s="697">
        <v>0.0</v>
      </c>
      <c r="AB450" s="722"/>
      <c r="AF450" s="669"/>
    </row>
    <row r="451">
      <c r="A451" s="675"/>
      <c r="B451" s="681" t="s">
        <v>66</v>
      </c>
      <c r="C451" s="682" t="s">
        <v>915</v>
      </c>
      <c r="D451" s="682" t="s">
        <v>926</v>
      </c>
      <c r="E451" s="682" t="s">
        <v>215</v>
      </c>
      <c r="F451" s="682">
        <v>2021.0</v>
      </c>
      <c r="G451" s="683">
        <v>1.40862E-4</v>
      </c>
      <c r="H451" s="683">
        <v>4.78E-5</v>
      </c>
      <c r="I451" s="684">
        <v>2.99391E-4</v>
      </c>
      <c r="K451" s="693" t="s">
        <v>51</v>
      </c>
      <c r="L451" s="694" t="s">
        <v>215</v>
      </c>
      <c r="M451" s="694" t="s">
        <v>915</v>
      </c>
      <c r="N451" s="694" t="s">
        <v>925</v>
      </c>
      <c r="O451" s="694">
        <v>2021.0</v>
      </c>
      <c r="P451" s="694" t="s">
        <v>919</v>
      </c>
      <c r="Q451" s="695" t="s">
        <v>112</v>
      </c>
      <c r="R451" s="696">
        <v>0.0</v>
      </c>
      <c r="S451" s="696">
        <v>0.0</v>
      </c>
      <c r="T451" s="697">
        <v>0.0</v>
      </c>
      <c r="AB451" s="722"/>
      <c r="AF451" s="669"/>
    </row>
    <row r="452">
      <c r="A452" s="675"/>
      <c r="B452" s="681" t="s">
        <v>67</v>
      </c>
      <c r="C452" s="682" t="s">
        <v>915</v>
      </c>
      <c r="D452" s="682" t="s">
        <v>916</v>
      </c>
      <c r="E452" s="682" t="s">
        <v>215</v>
      </c>
      <c r="F452" s="682">
        <v>2021.0</v>
      </c>
      <c r="G452" s="683">
        <v>3.04E-5</v>
      </c>
      <c r="H452" s="683">
        <v>1.33E-5</v>
      </c>
      <c r="I452" s="684">
        <v>5.52E-5</v>
      </c>
      <c r="K452" s="693" t="s">
        <v>51</v>
      </c>
      <c r="L452" s="694" t="s">
        <v>215</v>
      </c>
      <c r="M452" s="694" t="s">
        <v>915</v>
      </c>
      <c r="N452" s="694" t="s">
        <v>927</v>
      </c>
      <c r="O452" s="694">
        <v>2021.0</v>
      </c>
      <c r="P452" s="694" t="s">
        <v>919</v>
      </c>
      <c r="Q452" s="695" t="s">
        <v>112</v>
      </c>
      <c r="R452" s="696">
        <v>0.134094899</v>
      </c>
      <c r="S452" s="696">
        <v>0.021892299</v>
      </c>
      <c r="T452" s="697">
        <v>0.389768927</v>
      </c>
      <c r="AB452" s="722"/>
      <c r="AF452" s="669"/>
    </row>
    <row r="453">
      <c r="A453" s="675"/>
      <c r="B453" s="681" t="s">
        <v>67</v>
      </c>
      <c r="C453" s="682" t="s">
        <v>915</v>
      </c>
      <c r="D453" s="682" t="s">
        <v>922</v>
      </c>
      <c r="E453" s="682" t="s">
        <v>215</v>
      </c>
      <c r="F453" s="682">
        <v>2021.0</v>
      </c>
      <c r="G453" s="683">
        <v>4.25E-5</v>
      </c>
      <c r="H453" s="683">
        <v>1.18E-5</v>
      </c>
      <c r="I453" s="684">
        <v>9.71E-5</v>
      </c>
      <c r="K453" s="693" t="s">
        <v>51</v>
      </c>
      <c r="L453" s="694" t="s">
        <v>215</v>
      </c>
      <c r="M453" s="694" t="s">
        <v>915</v>
      </c>
      <c r="N453" s="694" t="s">
        <v>926</v>
      </c>
      <c r="O453" s="694">
        <v>2021.0</v>
      </c>
      <c r="P453" s="694" t="s">
        <v>919</v>
      </c>
      <c r="Q453" s="695" t="s">
        <v>112</v>
      </c>
      <c r="R453" s="696">
        <v>0.435656185</v>
      </c>
      <c r="S453" s="696">
        <v>0.108166601</v>
      </c>
      <c r="T453" s="697">
        <v>0.981383982</v>
      </c>
      <c r="AB453" s="722"/>
      <c r="AF453" s="669"/>
    </row>
    <row r="454">
      <c r="A454" s="675"/>
      <c r="B454" s="681" t="s">
        <v>67</v>
      </c>
      <c r="C454" s="682" t="s">
        <v>915</v>
      </c>
      <c r="D454" s="682" t="s">
        <v>924</v>
      </c>
      <c r="E454" s="682" t="s">
        <v>215</v>
      </c>
      <c r="F454" s="682">
        <v>2021.0</v>
      </c>
      <c r="G454" s="683">
        <v>4.46E-5</v>
      </c>
      <c r="H454" s="683">
        <v>1.32E-5</v>
      </c>
      <c r="I454" s="684">
        <v>1.09355E-4</v>
      </c>
      <c r="K454" s="693" t="s">
        <v>52</v>
      </c>
      <c r="L454" s="694" t="s">
        <v>215</v>
      </c>
      <c r="M454" s="694" t="s">
        <v>915</v>
      </c>
      <c r="N454" s="694" t="s">
        <v>918</v>
      </c>
      <c r="O454" s="694">
        <v>2021.0</v>
      </c>
      <c r="P454" s="694" t="s">
        <v>919</v>
      </c>
      <c r="Q454" s="695" t="s">
        <v>112</v>
      </c>
      <c r="R454" s="696">
        <v>0.989255131</v>
      </c>
      <c r="S454" s="696">
        <v>0.191508373</v>
      </c>
      <c r="T454" s="697">
        <v>2.635361047</v>
      </c>
      <c r="AB454" s="722"/>
      <c r="AF454" s="669"/>
    </row>
    <row r="455">
      <c r="A455" s="675"/>
      <c r="B455" s="681" t="s">
        <v>67</v>
      </c>
      <c r="C455" s="682" t="s">
        <v>915</v>
      </c>
      <c r="D455" s="682" t="s">
        <v>926</v>
      </c>
      <c r="E455" s="682" t="s">
        <v>215</v>
      </c>
      <c r="F455" s="682">
        <v>2021.0</v>
      </c>
      <c r="G455" s="683">
        <v>2.57334E-4</v>
      </c>
      <c r="H455" s="683">
        <v>8.02E-5</v>
      </c>
      <c r="I455" s="684">
        <v>5.96198E-4</v>
      </c>
      <c r="K455" s="693" t="s">
        <v>52</v>
      </c>
      <c r="L455" s="694" t="s">
        <v>215</v>
      </c>
      <c r="M455" s="694" t="s">
        <v>915</v>
      </c>
      <c r="N455" s="694" t="s">
        <v>923</v>
      </c>
      <c r="O455" s="694">
        <v>2021.0</v>
      </c>
      <c r="P455" s="694" t="s">
        <v>919</v>
      </c>
      <c r="Q455" s="695" t="s">
        <v>112</v>
      </c>
      <c r="R455" s="696">
        <v>0.0</v>
      </c>
      <c r="S455" s="696">
        <v>0.0</v>
      </c>
      <c r="T455" s="697">
        <v>0.0</v>
      </c>
      <c r="AB455" s="722"/>
      <c r="AF455" s="669"/>
    </row>
    <row r="456">
      <c r="A456" s="675"/>
      <c r="B456" s="681" t="s">
        <v>37</v>
      </c>
      <c r="C456" s="682" t="s">
        <v>915</v>
      </c>
      <c r="D456" s="682" t="s">
        <v>916</v>
      </c>
      <c r="E456" s="682" t="s">
        <v>215</v>
      </c>
      <c r="F456" s="682">
        <v>2021.0</v>
      </c>
      <c r="G456" s="683">
        <v>8.01E-5</v>
      </c>
      <c r="H456" s="683">
        <v>3.53E-5</v>
      </c>
      <c r="I456" s="684">
        <v>1.49845E-4</v>
      </c>
      <c r="K456" s="693" t="s">
        <v>52</v>
      </c>
      <c r="L456" s="694" t="s">
        <v>215</v>
      </c>
      <c r="M456" s="694" t="s">
        <v>915</v>
      </c>
      <c r="N456" s="694" t="s">
        <v>925</v>
      </c>
      <c r="O456" s="694">
        <v>2021.0</v>
      </c>
      <c r="P456" s="694" t="s">
        <v>919</v>
      </c>
      <c r="Q456" s="695" t="s">
        <v>112</v>
      </c>
      <c r="R456" s="696">
        <v>0.0</v>
      </c>
      <c r="S456" s="696">
        <v>0.0</v>
      </c>
      <c r="T456" s="697">
        <v>0.0</v>
      </c>
      <c r="AB456" s="722"/>
      <c r="AF456" s="669"/>
    </row>
    <row r="457">
      <c r="A457" s="675"/>
      <c r="B457" s="681" t="s">
        <v>37</v>
      </c>
      <c r="C457" s="682" t="s">
        <v>915</v>
      </c>
      <c r="D457" s="682" t="s">
        <v>922</v>
      </c>
      <c r="E457" s="682" t="s">
        <v>215</v>
      </c>
      <c r="F457" s="682">
        <v>2021.0</v>
      </c>
      <c r="G457" s="683">
        <v>1.12303E-4</v>
      </c>
      <c r="H457" s="683">
        <v>2.97E-5</v>
      </c>
      <c r="I457" s="684">
        <v>2.7057E-4</v>
      </c>
      <c r="K457" s="693" t="s">
        <v>52</v>
      </c>
      <c r="L457" s="694" t="s">
        <v>215</v>
      </c>
      <c r="M457" s="694" t="s">
        <v>915</v>
      </c>
      <c r="N457" s="694" t="s">
        <v>927</v>
      </c>
      <c r="O457" s="694">
        <v>2021.0</v>
      </c>
      <c r="P457" s="694" t="s">
        <v>919</v>
      </c>
      <c r="Q457" s="695" t="s">
        <v>112</v>
      </c>
      <c r="R457" s="696">
        <v>0.481958407</v>
      </c>
      <c r="S457" s="696">
        <v>0.093242906</v>
      </c>
      <c r="T457" s="697">
        <v>1.319634577</v>
      </c>
      <c r="AB457" s="722"/>
      <c r="AF457" s="669"/>
    </row>
    <row r="458">
      <c r="A458" s="675"/>
      <c r="B458" s="681" t="s">
        <v>37</v>
      </c>
      <c r="C458" s="682" t="s">
        <v>915</v>
      </c>
      <c r="D458" s="682" t="s">
        <v>924</v>
      </c>
      <c r="E458" s="682" t="s">
        <v>215</v>
      </c>
      <c r="F458" s="682">
        <v>2021.0</v>
      </c>
      <c r="G458" s="683">
        <v>1.77977E-4</v>
      </c>
      <c r="H458" s="683">
        <v>4.38E-5</v>
      </c>
      <c r="I458" s="684">
        <v>4.24433E-4</v>
      </c>
      <c r="K458" s="693" t="s">
        <v>52</v>
      </c>
      <c r="L458" s="694" t="s">
        <v>215</v>
      </c>
      <c r="M458" s="694" t="s">
        <v>915</v>
      </c>
      <c r="N458" s="694" t="s">
        <v>926</v>
      </c>
      <c r="O458" s="694">
        <v>2021.0</v>
      </c>
      <c r="P458" s="694" t="s">
        <v>919</v>
      </c>
      <c r="Q458" s="695" t="s">
        <v>112</v>
      </c>
      <c r="R458" s="696">
        <v>1.471213539</v>
      </c>
      <c r="S458" s="696">
        <v>0.393238944</v>
      </c>
      <c r="T458" s="697">
        <v>3.379833198</v>
      </c>
      <c r="AB458" s="722"/>
      <c r="AF458" s="669"/>
    </row>
    <row r="459">
      <c r="A459" s="675"/>
      <c r="B459" s="681" t="s">
        <v>37</v>
      </c>
      <c r="C459" s="682" t="s">
        <v>915</v>
      </c>
      <c r="D459" s="682" t="s">
        <v>926</v>
      </c>
      <c r="E459" s="682" t="s">
        <v>215</v>
      </c>
      <c r="F459" s="682">
        <v>2021.0</v>
      </c>
      <c r="G459" s="683">
        <v>0.001618551</v>
      </c>
      <c r="H459" s="683">
        <v>5.20333E-4</v>
      </c>
      <c r="I459" s="684">
        <v>0.00354602</v>
      </c>
      <c r="K459" s="693" t="s">
        <v>28</v>
      </c>
      <c r="L459" s="694" t="s">
        <v>215</v>
      </c>
      <c r="M459" s="694" t="s">
        <v>915</v>
      </c>
      <c r="N459" s="694" t="s">
        <v>918</v>
      </c>
      <c r="O459" s="694">
        <v>2021.0</v>
      </c>
      <c r="P459" s="694" t="s">
        <v>919</v>
      </c>
      <c r="Q459" s="695" t="s">
        <v>112</v>
      </c>
      <c r="R459" s="696">
        <v>37.99682142</v>
      </c>
      <c r="S459" s="696">
        <v>8.590459871</v>
      </c>
      <c r="T459" s="697">
        <v>91.37720934</v>
      </c>
      <c r="AB459" s="722"/>
      <c r="AF459" s="669"/>
    </row>
    <row r="460">
      <c r="A460" s="675"/>
      <c r="B460" s="681" t="s">
        <v>38</v>
      </c>
      <c r="C460" s="682" t="s">
        <v>915</v>
      </c>
      <c r="D460" s="682" t="s">
        <v>916</v>
      </c>
      <c r="E460" s="682" t="s">
        <v>352</v>
      </c>
      <c r="F460" s="682">
        <v>2021.0</v>
      </c>
      <c r="G460" s="683">
        <v>0.001764135</v>
      </c>
      <c r="H460" s="683">
        <v>9.88616E-4</v>
      </c>
      <c r="I460" s="684">
        <v>0.002940067</v>
      </c>
      <c r="K460" s="693" t="s">
        <v>28</v>
      </c>
      <c r="L460" s="694" t="s">
        <v>215</v>
      </c>
      <c r="M460" s="694" t="s">
        <v>915</v>
      </c>
      <c r="N460" s="694" t="s">
        <v>923</v>
      </c>
      <c r="O460" s="694">
        <v>2021.0</v>
      </c>
      <c r="P460" s="694" t="s">
        <v>919</v>
      </c>
      <c r="Q460" s="695" t="s">
        <v>112</v>
      </c>
      <c r="R460" s="696">
        <v>0.0</v>
      </c>
      <c r="S460" s="696">
        <v>0.0</v>
      </c>
      <c r="T460" s="697">
        <v>0.0</v>
      </c>
      <c r="AB460" s="722"/>
      <c r="AF460" s="669"/>
    </row>
    <row r="461">
      <c r="A461" s="675"/>
      <c r="B461" s="681" t="s">
        <v>38</v>
      </c>
      <c r="C461" s="682" t="s">
        <v>915</v>
      </c>
      <c r="D461" s="682" t="s">
        <v>922</v>
      </c>
      <c r="E461" s="682" t="s">
        <v>352</v>
      </c>
      <c r="F461" s="682">
        <v>2021.0</v>
      </c>
      <c r="G461" s="683">
        <v>0.015782545</v>
      </c>
      <c r="H461" s="683">
        <v>0.010099495</v>
      </c>
      <c r="I461" s="684">
        <v>0.024389997</v>
      </c>
      <c r="K461" s="693" t="s">
        <v>28</v>
      </c>
      <c r="L461" s="694" t="s">
        <v>215</v>
      </c>
      <c r="M461" s="694" t="s">
        <v>915</v>
      </c>
      <c r="N461" s="694" t="s">
        <v>925</v>
      </c>
      <c r="O461" s="694">
        <v>2021.0</v>
      </c>
      <c r="P461" s="694" t="s">
        <v>919</v>
      </c>
      <c r="Q461" s="695" t="s">
        <v>112</v>
      </c>
      <c r="R461" s="696">
        <v>0.0</v>
      </c>
      <c r="S461" s="696">
        <v>0.0</v>
      </c>
      <c r="T461" s="697">
        <v>0.0</v>
      </c>
      <c r="AB461" s="722"/>
      <c r="AF461" s="669"/>
    </row>
    <row r="462">
      <c r="A462" s="675"/>
      <c r="B462" s="681" t="s">
        <v>38</v>
      </c>
      <c r="C462" s="682" t="s">
        <v>915</v>
      </c>
      <c r="D462" s="682" t="s">
        <v>924</v>
      </c>
      <c r="E462" s="682" t="s">
        <v>352</v>
      </c>
      <c r="F462" s="682">
        <v>2021.0</v>
      </c>
      <c r="G462" s="683">
        <v>5.4279E-4</v>
      </c>
      <c r="H462" s="683">
        <v>2.67851E-4</v>
      </c>
      <c r="I462" s="684">
        <v>9.34404E-4</v>
      </c>
      <c r="K462" s="693" t="s">
        <v>28</v>
      </c>
      <c r="L462" s="694" t="s">
        <v>215</v>
      </c>
      <c r="M462" s="694" t="s">
        <v>915</v>
      </c>
      <c r="N462" s="694" t="s">
        <v>927</v>
      </c>
      <c r="O462" s="694">
        <v>2021.0</v>
      </c>
      <c r="P462" s="694" t="s">
        <v>919</v>
      </c>
      <c r="Q462" s="695" t="s">
        <v>112</v>
      </c>
      <c r="R462" s="696">
        <v>7.34543864</v>
      </c>
      <c r="S462" s="696">
        <v>1.624334154</v>
      </c>
      <c r="T462" s="697">
        <v>19.18124868</v>
      </c>
      <c r="AB462" s="722"/>
      <c r="AF462" s="669"/>
    </row>
    <row r="463">
      <c r="A463" s="675"/>
      <c r="B463" s="681" t="s">
        <v>38</v>
      </c>
      <c r="C463" s="682" t="s">
        <v>915</v>
      </c>
      <c r="D463" s="682" t="s">
        <v>926</v>
      </c>
      <c r="E463" s="682" t="s">
        <v>352</v>
      </c>
      <c r="F463" s="682">
        <v>2021.0</v>
      </c>
      <c r="G463" s="683">
        <v>0.008631043</v>
      </c>
      <c r="H463" s="683">
        <v>0.005060317</v>
      </c>
      <c r="I463" s="684">
        <v>0.01298828</v>
      </c>
      <c r="K463" s="693" t="s">
        <v>28</v>
      </c>
      <c r="L463" s="694" t="s">
        <v>215</v>
      </c>
      <c r="M463" s="694" t="s">
        <v>915</v>
      </c>
      <c r="N463" s="694" t="s">
        <v>926</v>
      </c>
      <c r="O463" s="694">
        <v>2021.0</v>
      </c>
      <c r="P463" s="694" t="s">
        <v>919</v>
      </c>
      <c r="Q463" s="695" t="s">
        <v>112</v>
      </c>
      <c r="R463" s="696">
        <v>45.34226006</v>
      </c>
      <c r="S463" s="696">
        <v>13.3941637</v>
      </c>
      <c r="T463" s="697">
        <v>99.18716661</v>
      </c>
      <c r="AB463" s="722"/>
      <c r="AF463" s="669"/>
    </row>
    <row r="464">
      <c r="A464" s="675"/>
      <c r="B464" s="681" t="s">
        <v>39</v>
      </c>
      <c r="C464" s="682" t="s">
        <v>915</v>
      </c>
      <c r="D464" s="682" t="s">
        <v>916</v>
      </c>
      <c r="E464" s="682" t="s">
        <v>352</v>
      </c>
      <c r="F464" s="682">
        <v>2021.0</v>
      </c>
      <c r="G464" s="683">
        <v>0.002444501</v>
      </c>
      <c r="H464" s="683">
        <v>0.001502234</v>
      </c>
      <c r="I464" s="684">
        <v>0.003616412</v>
      </c>
      <c r="K464" s="693" t="s">
        <v>53</v>
      </c>
      <c r="L464" s="694" t="s">
        <v>215</v>
      </c>
      <c r="M464" s="694" t="s">
        <v>915</v>
      </c>
      <c r="N464" s="694" t="s">
        <v>918</v>
      </c>
      <c r="O464" s="694">
        <v>2021.0</v>
      </c>
      <c r="P464" s="694" t="s">
        <v>919</v>
      </c>
      <c r="Q464" s="695" t="s">
        <v>112</v>
      </c>
      <c r="R464" s="696">
        <v>0.786824861</v>
      </c>
      <c r="S464" s="696">
        <v>0.165390807</v>
      </c>
      <c r="T464" s="697">
        <v>2.125589515</v>
      </c>
      <c r="AB464" s="722"/>
      <c r="AF464" s="669"/>
    </row>
    <row r="465">
      <c r="A465" s="675"/>
      <c r="B465" s="681" t="s">
        <v>39</v>
      </c>
      <c r="C465" s="682" t="s">
        <v>915</v>
      </c>
      <c r="D465" s="682" t="s">
        <v>922</v>
      </c>
      <c r="E465" s="682" t="s">
        <v>352</v>
      </c>
      <c r="F465" s="682">
        <v>2021.0</v>
      </c>
      <c r="G465" s="683">
        <v>0.023351116</v>
      </c>
      <c r="H465" s="683">
        <v>0.016496407</v>
      </c>
      <c r="I465" s="684">
        <v>0.032414178</v>
      </c>
      <c r="K465" s="693" t="s">
        <v>53</v>
      </c>
      <c r="L465" s="694" t="s">
        <v>215</v>
      </c>
      <c r="M465" s="694" t="s">
        <v>915</v>
      </c>
      <c r="N465" s="694" t="s">
        <v>923</v>
      </c>
      <c r="O465" s="694">
        <v>2021.0</v>
      </c>
      <c r="P465" s="694" t="s">
        <v>919</v>
      </c>
      <c r="Q465" s="695" t="s">
        <v>112</v>
      </c>
      <c r="R465" s="696">
        <v>0.0</v>
      </c>
      <c r="S465" s="696">
        <v>0.0</v>
      </c>
      <c r="T465" s="697">
        <v>0.0</v>
      </c>
      <c r="AB465" s="722"/>
      <c r="AF465" s="669"/>
    </row>
    <row r="466">
      <c r="A466" s="675"/>
      <c r="B466" s="681" t="s">
        <v>39</v>
      </c>
      <c r="C466" s="682" t="s">
        <v>915</v>
      </c>
      <c r="D466" s="682" t="s">
        <v>924</v>
      </c>
      <c r="E466" s="682" t="s">
        <v>352</v>
      </c>
      <c r="F466" s="682">
        <v>2021.0</v>
      </c>
      <c r="G466" s="683">
        <v>0.001159606</v>
      </c>
      <c r="H466" s="683">
        <v>7.19827E-4</v>
      </c>
      <c r="I466" s="684">
        <v>0.001709246</v>
      </c>
      <c r="K466" s="693" t="s">
        <v>53</v>
      </c>
      <c r="L466" s="694" t="s">
        <v>215</v>
      </c>
      <c r="M466" s="694" t="s">
        <v>915</v>
      </c>
      <c r="N466" s="694" t="s">
        <v>925</v>
      </c>
      <c r="O466" s="694">
        <v>2021.0</v>
      </c>
      <c r="P466" s="694" t="s">
        <v>919</v>
      </c>
      <c r="Q466" s="695" t="s">
        <v>112</v>
      </c>
      <c r="R466" s="696">
        <v>0.0</v>
      </c>
      <c r="S466" s="696">
        <v>0.0</v>
      </c>
      <c r="T466" s="697">
        <v>0.0</v>
      </c>
      <c r="AB466" s="722"/>
      <c r="AF466" s="669"/>
    </row>
    <row r="467">
      <c r="A467" s="675"/>
      <c r="B467" s="681" t="s">
        <v>39</v>
      </c>
      <c r="C467" s="682" t="s">
        <v>915</v>
      </c>
      <c r="D467" s="682" t="s">
        <v>926</v>
      </c>
      <c r="E467" s="682" t="s">
        <v>352</v>
      </c>
      <c r="F467" s="682">
        <v>2021.0</v>
      </c>
      <c r="G467" s="683">
        <v>0.017692972</v>
      </c>
      <c r="H467" s="683">
        <v>0.011466141</v>
      </c>
      <c r="I467" s="684">
        <v>0.02568941</v>
      </c>
      <c r="K467" s="693" t="s">
        <v>53</v>
      </c>
      <c r="L467" s="694" t="s">
        <v>215</v>
      </c>
      <c r="M467" s="694" t="s">
        <v>915</v>
      </c>
      <c r="N467" s="694" t="s">
        <v>927</v>
      </c>
      <c r="O467" s="694">
        <v>2021.0</v>
      </c>
      <c r="P467" s="694" t="s">
        <v>919</v>
      </c>
      <c r="Q467" s="695" t="s">
        <v>112</v>
      </c>
      <c r="R467" s="696">
        <v>0.325161876</v>
      </c>
      <c r="S467" s="696">
        <v>0.05707939</v>
      </c>
      <c r="T467" s="697">
        <v>0.970449736</v>
      </c>
      <c r="AB467" s="722"/>
      <c r="AF467" s="669"/>
    </row>
    <row r="468">
      <c r="A468" s="675"/>
      <c r="B468" s="681" t="s">
        <v>40</v>
      </c>
      <c r="C468" s="682" t="s">
        <v>915</v>
      </c>
      <c r="D468" s="682" t="s">
        <v>916</v>
      </c>
      <c r="E468" s="682" t="s">
        <v>352</v>
      </c>
      <c r="F468" s="682">
        <v>2021.0</v>
      </c>
      <c r="G468" s="683">
        <v>0.001880042</v>
      </c>
      <c r="H468" s="683">
        <v>0.001019863</v>
      </c>
      <c r="I468" s="684">
        <v>0.003105527</v>
      </c>
      <c r="K468" s="693" t="s">
        <v>53</v>
      </c>
      <c r="L468" s="694" t="s">
        <v>215</v>
      </c>
      <c r="M468" s="694" t="s">
        <v>915</v>
      </c>
      <c r="N468" s="694" t="s">
        <v>926</v>
      </c>
      <c r="O468" s="694">
        <v>2021.0</v>
      </c>
      <c r="P468" s="694" t="s">
        <v>919</v>
      </c>
      <c r="Q468" s="695" t="s">
        <v>112</v>
      </c>
      <c r="R468" s="696">
        <v>1.111986737</v>
      </c>
      <c r="S468" s="696">
        <v>0.315157616</v>
      </c>
      <c r="T468" s="697">
        <v>2.78549326</v>
      </c>
      <c r="AB468" s="722"/>
      <c r="AF468" s="669"/>
    </row>
    <row r="469">
      <c r="A469" s="675"/>
      <c r="B469" s="681" t="s">
        <v>40</v>
      </c>
      <c r="C469" s="682" t="s">
        <v>915</v>
      </c>
      <c r="D469" s="682" t="s">
        <v>922</v>
      </c>
      <c r="E469" s="682" t="s">
        <v>352</v>
      </c>
      <c r="F469" s="682">
        <v>2021.0</v>
      </c>
      <c r="G469" s="683">
        <v>0.017447023</v>
      </c>
      <c r="H469" s="683">
        <v>0.011457022</v>
      </c>
      <c r="I469" s="684">
        <v>0.027266799</v>
      </c>
      <c r="K469" s="693" t="s">
        <v>30</v>
      </c>
      <c r="L469" s="694" t="s">
        <v>215</v>
      </c>
      <c r="M469" s="694" t="s">
        <v>915</v>
      </c>
      <c r="N469" s="694" t="s">
        <v>918</v>
      </c>
      <c r="O469" s="694">
        <v>2021.0</v>
      </c>
      <c r="P469" s="694" t="s">
        <v>919</v>
      </c>
      <c r="Q469" s="695" t="s">
        <v>112</v>
      </c>
      <c r="R469" s="696">
        <v>115.5780373</v>
      </c>
      <c r="S469" s="696">
        <v>26.20304012</v>
      </c>
      <c r="T469" s="697">
        <v>282.9426992</v>
      </c>
      <c r="AB469" s="722"/>
      <c r="AF469" s="669"/>
    </row>
    <row r="470">
      <c r="A470" s="675"/>
      <c r="B470" s="681" t="s">
        <v>40</v>
      </c>
      <c r="C470" s="682" t="s">
        <v>915</v>
      </c>
      <c r="D470" s="682" t="s">
        <v>924</v>
      </c>
      <c r="E470" s="682" t="s">
        <v>352</v>
      </c>
      <c r="F470" s="682">
        <v>2021.0</v>
      </c>
      <c r="G470" s="683">
        <v>4.38313E-4</v>
      </c>
      <c r="H470" s="683">
        <v>2.12364E-4</v>
      </c>
      <c r="I470" s="684">
        <v>7.50607E-4</v>
      </c>
      <c r="K470" s="693" t="s">
        <v>30</v>
      </c>
      <c r="L470" s="694" t="s">
        <v>215</v>
      </c>
      <c r="M470" s="694" t="s">
        <v>915</v>
      </c>
      <c r="N470" s="694" t="s">
        <v>923</v>
      </c>
      <c r="O470" s="694">
        <v>2021.0</v>
      </c>
      <c r="P470" s="694" t="s">
        <v>919</v>
      </c>
      <c r="Q470" s="695" t="s">
        <v>112</v>
      </c>
      <c r="R470" s="696">
        <v>0.0</v>
      </c>
      <c r="S470" s="696">
        <v>0.0</v>
      </c>
      <c r="T470" s="697">
        <v>0.0</v>
      </c>
      <c r="AB470" s="722"/>
      <c r="AF470" s="669"/>
    </row>
    <row r="471">
      <c r="A471" s="675"/>
      <c r="B471" s="681" t="s">
        <v>40</v>
      </c>
      <c r="C471" s="682" t="s">
        <v>915</v>
      </c>
      <c r="D471" s="682" t="s">
        <v>926</v>
      </c>
      <c r="E471" s="682" t="s">
        <v>352</v>
      </c>
      <c r="F471" s="682">
        <v>2021.0</v>
      </c>
      <c r="G471" s="683">
        <v>0.006290583</v>
      </c>
      <c r="H471" s="683">
        <v>0.00374491</v>
      </c>
      <c r="I471" s="684">
        <v>0.009386941</v>
      </c>
      <c r="K471" s="693" t="s">
        <v>30</v>
      </c>
      <c r="L471" s="694" t="s">
        <v>215</v>
      </c>
      <c r="M471" s="694" t="s">
        <v>915</v>
      </c>
      <c r="N471" s="694" t="s">
        <v>925</v>
      </c>
      <c r="O471" s="694">
        <v>2021.0</v>
      </c>
      <c r="P471" s="694" t="s">
        <v>919</v>
      </c>
      <c r="Q471" s="695" t="s">
        <v>112</v>
      </c>
      <c r="R471" s="696">
        <v>0.0</v>
      </c>
      <c r="S471" s="696">
        <v>0.0</v>
      </c>
      <c r="T471" s="697">
        <v>0.0</v>
      </c>
      <c r="AB471" s="722"/>
      <c r="AF471" s="669"/>
    </row>
    <row r="472">
      <c r="A472" s="675"/>
      <c r="B472" s="681" t="s">
        <v>41</v>
      </c>
      <c r="C472" s="682" t="s">
        <v>915</v>
      </c>
      <c r="D472" s="682" t="s">
        <v>916</v>
      </c>
      <c r="E472" s="682" t="s">
        <v>352</v>
      </c>
      <c r="F472" s="682">
        <v>2021.0</v>
      </c>
      <c r="G472" s="683">
        <v>0.001957972</v>
      </c>
      <c r="H472" s="683">
        <v>0.001162587</v>
      </c>
      <c r="I472" s="684">
        <v>0.003176228</v>
      </c>
      <c r="K472" s="693" t="s">
        <v>30</v>
      </c>
      <c r="L472" s="694" t="s">
        <v>215</v>
      </c>
      <c r="M472" s="694" t="s">
        <v>915</v>
      </c>
      <c r="N472" s="694" t="s">
        <v>927</v>
      </c>
      <c r="O472" s="694">
        <v>2021.0</v>
      </c>
      <c r="P472" s="694" t="s">
        <v>919</v>
      </c>
      <c r="Q472" s="695" t="s">
        <v>112</v>
      </c>
      <c r="R472" s="696">
        <v>17.62269744</v>
      </c>
      <c r="S472" s="696">
        <v>4.308912025</v>
      </c>
      <c r="T472" s="697">
        <v>41.43610991</v>
      </c>
      <c r="AB472" s="722"/>
      <c r="AF472" s="669"/>
    </row>
    <row r="473">
      <c r="A473" s="675"/>
      <c r="B473" s="681" t="s">
        <v>41</v>
      </c>
      <c r="C473" s="682" t="s">
        <v>915</v>
      </c>
      <c r="D473" s="682" t="s">
        <v>922</v>
      </c>
      <c r="E473" s="682" t="s">
        <v>352</v>
      </c>
      <c r="F473" s="682">
        <v>2021.0</v>
      </c>
      <c r="G473" s="683">
        <v>0.016405116</v>
      </c>
      <c r="H473" s="683">
        <v>0.011057874</v>
      </c>
      <c r="I473" s="684">
        <v>0.024625716</v>
      </c>
      <c r="K473" s="693" t="s">
        <v>30</v>
      </c>
      <c r="L473" s="694" t="s">
        <v>215</v>
      </c>
      <c r="M473" s="694" t="s">
        <v>915</v>
      </c>
      <c r="N473" s="694" t="s">
        <v>926</v>
      </c>
      <c r="O473" s="694">
        <v>2021.0</v>
      </c>
      <c r="P473" s="694" t="s">
        <v>919</v>
      </c>
      <c r="Q473" s="695" t="s">
        <v>112</v>
      </c>
      <c r="R473" s="696">
        <v>133.2007348</v>
      </c>
      <c r="S473" s="696">
        <v>38.62890274</v>
      </c>
      <c r="T473" s="697">
        <v>306.1283899</v>
      </c>
      <c r="AB473" s="722"/>
      <c r="AF473" s="669"/>
    </row>
    <row r="474">
      <c r="A474" s="675"/>
      <c r="B474" s="681" t="s">
        <v>41</v>
      </c>
      <c r="C474" s="682" t="s">
        <v>915</v>
      </c>
      <c r="D474" s="682" t="s">
        <v>924</v>
      </c>
      <c r="E474" s="682" t="s">
        <v>352</v>
      </c>
      <c r="F474" s="682">
        <v>2021.0</v>
      </c>
      <c r="G474" s="683">
        <v>4.77036E-4</v>
      </c>
      <c r="H474" s="683">
        <v>2.33393E-4</v>
      </c>
      <c r="I474" s="684">
        <v>7.80398E-4</v>
      </c>
      <c r="K474" s="693" t="s">
        <v>31</v>
      </c>
      <c r="L474" s="694" t="s">
        <v>215</v>
      </c>
      <c r="M474" s="694" t="s">
        <v>915</v>
      </c>
      <c r="N474" s="694" t="s">
        <v>918</v>
      </c>
      <c r="O474" s="694">
        <v>2021.0</v>
      </c>
      <c r="P474" s="694" t="s">
        <v>919</v>
      </c>
      <c r="Q474" s="695" t="s">
        <v>112</v>
      </c>
      <c r="R474" s="696">
        <v>30.87107349</v>
      </c>
      <c r="S474" s="696">
        <v>7.128249854</v>
      </c>
      <c r="T474" s="697">
        <v>80.20294568</v>
      </c>
      <c r="AB474" s="722"/>
      <c r="AF474" s="669"/>
    </row>
    <row r="475">
      <c r="A475" s="675"/>
      <c r="B475" s="681" t="s">
        <v>41</v>
      </c>
      <c r="C475" s="682" t="s">
        <v>915</v>
      </c>
      <c r="D475" s="682" t="s">
        <v>926</v>
      </c>
      <c r="E475" s="682" t="s">
        <v>352</v>
      </c>
      <c r="F475" s="682">
        <v>2021.0</v>
      </c>
      <c r="G475" s="683">
        <v>0.007369406</v>
      </c>
      <c r="H475" s="683">
        <v>0.004167678</v>
      </c>
      <c r="I475" s="684">
        <v>0.011204581</v>
      </c>
      <c r="K475" s="693" t="s">
        <v>31</v>
      </c>
      <c r="L475" s="694" t="s">
        <v>215</v>
      </c>
      <c r="M475" s="694" t="s">
        <v>915</v>
      </c>
      <c r="N475" s="694" t="s">
        <v>923</v>
      </c>
      <c r="O475" s="694">
        <v>2021.0</v>
      </c>
      <c r="P475" s="694" t="s">
        <v>919</v>
      </c>
      <c r="Q475" s="695" t="s">
        <v>112</v>
      </c>
      <c r="R475" s="696">
        <v>0.0</v>
      </c>
      <c r="S475" s="696">
        <v>0.0</v>
      </c>
      <c r="T475" s="697">
        <v>0.0</v>
      </c>
      <c r="AB475" s="722"/>
      <c r="AF475" s="669"/>
    </row>
    <row r="476">
      <c r="A476" s="675"/>
      <c r="B476" s="681" t="s">
        <v>26</v>
      </c>
      <c r="C476" s="682" t="s">
        <v>915</v>
      </c>
      <c r="D476" s="682" t="s">
        <v>916</v>
      </c>
      <c r="E476" s="682" t="s">
        <v>352</v>
      </c>
      <c r="F476" s="682">
        <v>2021.0</v>
      </c>
      <c r="G476" s="683">
        <v>0.002586005</v>
      </c>
      <c r="H476" s="683">
        <v>0.001705049</v>
      </c>
      <c r="I476" s="684">
        <v>0.003759731</v>
      </c>
      <c r="K476" s="693" t="s">
        <v>31</v>
      </c>
      <c r="L476" s="694" t="s">
        <v>215</v>
      </c>
      <c r="M476" s="694" t="s">
        <v>915</v>
      </c>
      <c r="N476" s="694" t="s">
        <v>925</v>
      </c>
      <c r="O476" s="694">
        <v>2021.0</v>
      </c>
      <c r="P476" s="694" t="s">
        <v>919</v>
      </c>
      <c r="Q476" s="695" t="s">
        <v>112</v>
      </c>
      <c r="R476" s="696">
        <v>0.0</v>
      </c>
      <c r="S476" s="696">
        <v>0.0</v>
      </c>
      <c r="T476" s="697">
        <v>0.0</v>
      </c>
      <c r="AB476" s="722"/>
      <c r="AF476" s="669"/>
    </row>
    <row r="477">
      <c r="A477" s="675"/>
      <c r="B477" s="681" t="s">
        <v>26</v>
      </c>
      <c r="C477" s="682" t="s">
        <v>915</v>
      </c>
      <c r="D477" s="682" t="s">
        <v>922</v>
      </c>
      <c r="E477" s="682" t="s">
        <v>352</v>
      </c>
      <c r="F477" s="682">
        <v>2021.0</v>
      </c>
      <c r="G477" s="683">
        <v>0.023849512</v>
      </c>
      <c r="H477" s="683">
        <v>0.016411105</v>
      </c>
      <c r="I477" s="684">
        <v>0.03301705</v>
      </c>
      <c r="K477" s="693" t="s">
        <v>31</v>
      </c>
      <c r="L477" s="694" t="s">
        <v>215</v>
      </c>
      <c r="M477" s="694" t="s">
        <v>915</v>
      </c>
      <c r="N477" s="694" t="s">
        <v>927</v>
      </c>
      <c r="O477" s="694">
        <v>2021.0</v>
      </c>
      <c r="P477" s="694" t="s">
        <v>919</v>
      </c>
      <c r="Q477" s="695" t="s">
        <v>112</v>
      </c>
      <c r="R477" s="696">
        <v>10.45679282</v>
      </c>
      <c r="S477" s="696">
        <v>2.466370016</v>
      </c>
      <c r="T477" s="697">
        <v>27.04865344</v>
      </c>
      <c r="AB477" s="722"/>
      <c r="AF477" s="669"/>
    </row>
    <row r="478">
      <c r="A478" s="675"/>
      <c r="B478" s="681" t="s">
        <v>26</v>
      </c>
      <c r="C478" s="682" t="s">
        <v>915</v>
      </c>
      <c r="D478" s="682" t="s">
        <v>924</v>
      </c>
      <c r="E478" s="682" t="s">
        <v>352</v>
      </c>
      <c r="F478" s="682">
        <v>2021.0</v>
      </c>
      <c r="G478" s="683">
        <v>0.001298445</v>
      </c>
      <c r="H478" s="683">
        <v>8.77547E-4</v>
      </c>
      <c r="I478" s="684">
        <v>0.001846634</v>
      </c>
      <c r="K478" s="693" t="s">
        <v>31</v>
      </c>
      <c r="L478" s="694" t="s">
        <v>215</v>
      </c>
      <c r="M478" s="694" t="s">
        <v>915</v>
      </c>
      <c r="N478" s="694" t="s">
        <v>926</v>
      </c>
      <c r="O478" s="694">
        <v>2021.0</v>
      </c>
      <c r="P478" s="694" t="s">
        <v>919</v>
      </c>
      <c r="Q478" s="695" t="s">
        <v>112</v>
      </c>
      <c r="R478" s="696">
        <v>41.32786631</v>
      </c>
      <c r="S478" s="696">
        <v>13.08156082</v>
      </c>
      <c r="T478" s="697">
        <v>90.97629761</v>
      </c>
      <c r="AB478" s="722"/>
      <c r="AF478" s="669"/>
    </row>
    <row r="479">
      <c r="A479" s="675"/>
      <c r="B479" s="681" t="s">
        <v>26</v>
      </c>
      <c r="C479" s="682" t="s">
        <v>915</v>
      </c>
      <c r="D479" s="682" t="s">
        <v>926</v>
      </c>
      <c r="E479" s="682" t="s">
        <v>352</v>
      </c>
      <c r="F479" s="682">
        <v>2021.0</v>
      </c>
      <c r="G479" s="683">
        <v>0.023390685</v>
      </c>
      <c r="H479" s="683">
        <v>0.015969066</v>
      </c>
      <c r="I479" s="684">
        <v>0.033883165</v>
      </c>
      <c r="K479" s="693" t="s">
        <v>32</v>
      </c>
      <c r="L479" s="694" t="s">
        <v>215</v>
      </c>
      <c r="M479" s="694" t="s">
        <v>915</v>
      </c>
      <c r="N479" s="694" t="s">
        <v>918</v>
      </c>
      <c r="O479" s="694">
        <v>2021.0</v>
      </c>
      <c r="P479" s="694" t="s">
        <v>919</v>
      </c>
      <c r="Q479" s="695" t="s">
        <v>112</v>
      </c>
      <c r="R479" s="696">
        <v>144.7369394</v>
      </c>
      <c r="S479" s="696">
        <v>34.48691577</v>
      </c>
      <c r="T479" s="697">
        <v>388.9993655</v>
      </c>
      <c r="AB479" s="722"/>
      <c r="AF479" s="669"/>
    </row>
    <row r="480">
      <c r="A480" s="675"/>
      <c r="B480" s="681" t="s">
        <v>42</v>
      </c>
      <c r="C480" s="682" t="s">
        <v>915</v>
      </c>
      <c r="D480" s="682" t="s">
        <v>916</v>
      </c>
      <c r="E480" s="682" t="s">
        <v>352</v>
      </c>
      <c r="F480" s="682">
        <v>2021.0</v>
      </c>
      <c r="G480" s="683">
        <v>0.002082136</v>
      </c>
      <c r="H480" s="683">
        <v>0.001215328</v>
      </c>
      <c r="I480" s="684">
        <v>0.003185856</v>
      </c>
      <c r="K480" s="693" t="s">
        <v>32</v>
      </c>
      <c r="L480" s="694" t="s">
        <v>215</v>
      </c>
      <c r="M480" s="694" t="s">
        <v>915</v>
      </c>
      <c r="N480" s="694" t="s">
        <v>923</v>
      </c>
      <c r="O480" s="694">
        <v>2021.0</v>
      </c>
      <c r="P480" s="694" t="s">
        <v>919</v>
      </c>
      <c r="Q480" s="695" t="s">
        <v>112</v>
      </c>
      <c r="R480" s="696">
        <v>0.0</v>
      </c>
      <c r="S480" s="696">
        <v>0.0</v>
      </c>
      <c r="T480" s="697">
        <v>0.0</v>
      </c>
      <c r="AB480" s="722"/>
      <c r="AF480" s="669"/>
    </row>
    <row r="481">
      <c r="A481" s="675"/>
      <c r="B481" s="681" t="s">
        <v>42</v>
      </c>
      <c r="C481" s="682" t="s">
        <v>915</v>
      </c>
      <c r="D481" s="682" t="s">
        <v>922</v>
      </c>
      <c r="E481" s="682" t="s">
        <v>352</v>
      </c>
      <c r="F481" s="682">
        <v>2021.0</v>
      </c>
      <c r="G481" s="683">
        <v>0.019350304</v>
      </c>
      <c r="H481" s="683">
        <v>0.013119732</v>
      </c>
      <c r="I481" s="684">
        <v>0.028013765</v>
      </c>
      <c r="K481" s="693" t="s">
        <v>32</v>
      </c>
      <c r="L481" s="694" t="s">
        <v>215</v>
      </c>
      <c r="M481" s="694" t="s">
        <v>915</v>
      </c>
      <c r="N481" s="694" t="s">
        <v>925</v>
      </c>
      <c r="O481" s="694">
        <v>2021.0</v>
      </c>
      <c r="P481" s="694" t="s">
        <v>919</v>
      </c>
      <c r="Q481" s="695" t="s">
        <v>112</v>
      </c>
      <c r="R481" s="696">
        <v>0.0</v>
      </c>
      <c r="S481" s="696">
        <v>0.0</v>
      </c>
      <c r="T481" s="697">
        <v>0.0</v>
      </c>
      <c r="AB481" s="722"/>
      <c r="AF481" s="669"/>
    </row>
    <row r="482">
      <c r="A482" s="675"/>
      <c r="B482" s="681" t="s">
        <v>42</v>
      </c>
      <c r="C482" s="682" t="s">
        <v>915</v>
      </c>
      <c r="D482" s="682" t="s">
        <v>924</v>
      </c>
      <c r="E482" s="682" t="s">
        <v>352</v>
      </c>
      <c r="F482" s="682">
        <v>2021.0</v>
      </c>
      <c r="G482" s="683">
        <v>4.61053E-4</v>
      </c>
      <c r="H482" s="683">
        <v>2.4183E-4</v>
      </c>
      <c r="I482" s="684">
        <v>7.18571E-4</v>
      </c>
      <c r="K482" s="693" t="s">
        <v>32</v>
      </c>
      <c r="L482" s="694" t="s">
        <v>215</v>
      </c>
      <c r="M482" s="694" t="s">
        <v>915</v>
      </c>
      <c r="N482" s="694" t="s">
        <v>927</v>
      </c>
      <c r="O482" s="694">
        <v>2021.0</v>
      </c>
      <c r="P482" s="694" t="s">
        <v>919</v>
      </c>
      <c r="Q482" s="695" t="s">
        <v>112</v>
      </c>
      <c r="R482" s="696">
        <v>24.367067</v>
      </c>
      <c r="S482" s="696">
        <v>5.239576748</v>
      </c>
      <c r="T482" s="697">
        <v>65.13385054</v>
      </c>
      <c r="AB482" s="722"/>
      <c r="AF482" s="669"/>
    </row>
    <row r="483">
      <c r="A483" s="675"/>
      <c r="B483" s="681" t="s">
        <v>42</v>
      </c>
      <c r="C483" s="682" t="s">
        <v>915</v>
      </c>
      <c r="D483" s="682" t="s">
        <v>926</v>
      </c>
      <c r="E483" s="682" t="s">
        <v>352</v>
      </c>
      <c r="F483" s="682">
        <v>2021.0</v>
      </c>
      <c r="G483" s="683">
        <v>0.00733338</v>
      </c>
      <c r="H483" s="683">
        <v>0.004204496</v>
      </c>
      <c r="I483" s="684">
        <v>0.010820956</v>
      </c>
      <c r="K483" s="693" t="s">
        <v>32</v>
      </c>
      <c r="L483" s="694" t="s">
        <v>215</v>
      </c>
      <c r="M483" s="694" t="s">
        <v>915</v>
      </c>
      <c r="N483" s="694" t="s">
        <v>926</v>
      </c>
      <c r="O483" s="694">
        <v>2021.0</v>
      </c>
      <c r="P483" s="694" t="s">
        <v>919</v>
      </c>
      <c r="Q483" s="695" t="s">
        <v>112</v>
      </c>
      <c r="R483" s="696">
        <v>169.1040064</v>
      </c>
      <c r="S483" s="696">
        <v>48.31002102</v>
      </c>
      <c r="T483" s="697">
        <v>422.5264494</v>
      </c>
      <c r="AB483" s="722"/>
      <c r="AF483" s="669"/>
    </row>
    <row r="484">
      <c r="A484" s="675"/>
      <c r="B484" s="681" t="s">
        <v>44</v>
      </c>
      <c r="C484" s="682" t="s">
        <v>915</v>
      </c>
      <c r="D484" s="682" t="s">
        <v>916</v>
      </c>
      <c r="E484" s="682" t="s">
        <v>352</v>
      </c>
      <c r="F484" s="682">
        <v>2021.0</v>
      </c>
      <c r="G484" s="683">
        <v>0.002509839</v>
      </c>
      <c r="H484" s="683">
        <v>0.001426272</v>
      </c>
      <c r="I484" s="684">
        <v>0.004182439</v>
      </c>
      <c r="K484" s="693" t="s">
        <v>33</v>
      </c>
      <c r="L484" s="694" t="s">
        <v>215</v>
      </c>
      <c r="M484" s="694" t="s">
        <v>915</v>
      </c>
      <c r="N484" s="694" t="s">
        <v>918</v>
      </c>
      <c r="O484" s="694">
        <v>2021.0</v>
      </c>
      <c r="P484" s="694" t="s">
        <v>919</v>
      </c>
      <c r="Q484" s="695" t="s">
        <v>112</v>
      </c>
      <c r="R484" s="696">
        <v>131.0307597</v>
      </c>
      <c r="S484" s="696">
        <v>29.44754321</v>
      </c>
      <c r="T484" s="697">
        <v>357.9081185</v>
      </c>
      <c r="AB484" s="722"/>
      <c r="AF484" s="669"/>
    </row>
    <row r="485">
      <c r="A485" s="675"/>
      <c r="B485" s="681" t="s">
        <v>44</v>
      </c>
      <c r="C485" s="682" t="s">
        <v>915</v>
      </c>
      <c r="D485" s="682" t="s">
        <v>922</v>
      </c>
      <c r="E485" s="682" t="s">
        <v>352</v>
      </c>
      <c r="F485" s="682">
        <v>2021.0</v>
      </c>
      <c r="G485" s="683">
        <v>0.021737143</v>
      </c>
      <c r="H485" s="683">
        <v>0.014217358</v>
      </c>
      <c r="I485" s="684">
        <v>0.032292074</v>
      </c>
      <c r="K485" s="693" t="s">
        <v>33</v>
      </c>
      <c r="L485" s="694" t="s">
        <v>215</v>
      </c>
      <c r="M485" s="694" t="s">
        <v>915</v>
      </c>
      <c r="N485" s="694" t="s">
        <v>923</v>
      </c>
      <c r="O485" s="694">
        <v>2021.0</v>
      </c>
      <c r="P485" s="694" t="s">
        <v>919</v>
      </c>
      <c r="Q485" s="695" t="s">
        <v>112</v>
      </c>
      <c r="R485" s="696">
        <v>0.0</v>
      </c>
      <c r="S485" s="696">
        <v>0.0</v>
      </c>
      <c r="T485" s="697">
        <v>0.0</v>
      </c>
      <c r="AB485" s="722"/>
      <c r="AF485" s="669"/>
    </row>
    <row r="486">
      <c r="A486" s="675"/>
      <c r="B486" s="681" t="s">
        <v>44</v>
      </c>
      <c r="C486" s="682" t="s">
        <v>915</v>
      </c>
      <c r="D486" s="682" t="s">
        <v>924</v>
      </c>
      <c r="E486" s="682" t="s">
        <v>352</v>
      </c>
      <c r="F486" s="682">
        <v>2021.0</v>
      </c>
      <c r="G486" s="683">
        <v>8.39495E-4</v>
      </c>
      <c r="H486" s="683">
        <v>5.08893E-4</v>
      </c>
      <c r="I486" s="684">
        <v>0.001288065</v>
      </c>
      <c r="K486" s="693" t="s">
        <v>33</v>
      </c>
      <c r="L486" s="694" t="s">
        <v>215</v>
      </c>
      <c r="M486" s="694" t="s">
        <v>915</v>
      </c>
      <c r="N486" s="694" t="s">
        <v>925</v>
      </c>
      <c r="O486" s="694">
        <v>2021.0</v>
      </c>
      <c r="P486" s="694" t="s">
        <v>919</v>
      </c>
      <c r="Q486" s="695" t="s">
        <v>112</v>
      </c>
      <c r="R486" s="696">
        <v>0.0</v>
      </c>
      <c r="S486" s="696">
        <v>0.0</v>
      </c>
      <c r="T486" s="697">
        <v>0.0</v>
      </c>
      <c r="AB486" s="722"/>
      <c r="AF486" s="669"/>
    </row>
    <row r="487">
      <c r="A487" s="675"/>
      <c r="B487" s="681" t="s">
        <v>44</v>
      </c>
      <c r="C487" s="682" t="s">
        <v>915</v>
      </c>
      <c r="D487" s="682" t="s">
        <v>926</v>
      </c>
      <c r="E487" s="682" t="s">
        <v>352</v>
      </c>
      <c r="F487" s="682">
        <v>2021.0</v>
      </c>
      <c r="G487" s="683">
        <v>0.010914292</v>
      </c>
      <c r="H487" s="683">
        <v>0.00741759</v>
      </c>
      <c r="I487" s="684">
        <v>0.015526221</v>
      </c>
      <c r="K487" s="693" t="s">
        <v>33</v>
      </c>
      <c r="L487" s="694" t="s">
        <v>215</v>
      </c>
      <c r="M487" s="694" t="s">
        <v>915</v>
      </c>
      <c r="N487" s="694" t="s">
        <v>927</v>
      </c>
      <c r="O487" s="694">
        <v>2021.0</v>
      </c>
      <c r="P487" s="694" t="s">
        <v>919</v>
      </c>
      <c r="Q487" s="695" t="s">
        <v>112</v>
      </c>
      <c r="R487" s="696">
        <v>29.1714306</v>
      </c>
      <c r="S487" s="696">
        <v>5.826211719</v>
      </c>
      <c r="T487" s="697">
        <v>77.79016506</v>
      </c>
      <c r="AB487" s="722"/>
      <c r="AF487" s="669"/>
    </row>
    <row r="488">
      <c r="A488" s="675"/>
      <c r="B488" s="681" t="s">
        <v>45</v>
      </c>
      <c r="C488" s="682" t="s">
        <v>915</v>
      </c>
      <c r="D488" s="682" t="s">
        <v>916</v>
      </c>
      <c r="E488" s="682" t="s">
        <v>352</v>
      </c>
      <c r="F488" s="682">
        <v>2021.0</v>
      </c>
      <c r="G488" s="683">
        <v>0.00181658</v>
      </c>
      <c r="H488" s="683">
        <v>0.001030309</v>
      </c>
      <c r="I488" s="684">
        <v>0.002781211</v>
      </c>
      <c r="K488" s="693" t="s">
        <v>33</v>
      </c>
      <c r="L488" s="694" t="s">
        <v>215</v>
      </c>
      <c r="M488" s="694" t="s">
        <v>915</v>
      </c>
      <c r="N488" s="694" t="s">
        <v>926</v>
      </c>
      <c r="O488" s="694">
        <v>2021.0</v>
      </c>
      <c r="P488" s="694" t="s">
        <v>919</v>
      </c>
      <c r="Q488" s="695" t="s">
        <v>112</v>
      </c>
      <c r="R488" s="696">
        <v>160.2021903</v>
      </c>
      <c r="S488" s="696">
        <v>47.58903698</v>
      </c>
      <c r="T488" s="697">
        <v>387.9114826</v>
      </c>
      <c r="AB488" s="722"/>
      <c r="AF488" s="669"/>
    </row>
    <row r="489">
      <c r="A489" s="675"/>
      <c r="B489" s="681" t="s">
        <v>45</v>
      </c>
      <c r="C489" s="682" t="s">
        <v>915</v>
      </c>
      <c r="D489" s="682" t="s">
        <v>922</v>
      </c>
      <c r="E489" s="682" t="s">
        <v>352</v>
      </c>
      <c r="F489" s="682">
        <v>2021.0</v>
      </c>
      <c r="G489" s="683">
        <v>0.019471301</v>
      </c>
      <c r="H489" s="683">
        <v>0.013115318</v>
      </c>
      <c r="I489" s="684">
        <v>0.028193327</v>
      </c>
      <c r="K489" s="693" t="s">
        <v>34</v>
      </c>
      <c r="L489" s="694" t="s">
        <v>215</v>
      </c>
      <c r="M489" s="694" t="s">
        <v>915</v>
      </c>
      <c r="N489" s="694" t="s">
        <v>918</v>
      </c>
      <c r="O489" s="694">
        <v>2021.0</v>
      </c>
      <c r="P489" s="694" t="s">
        <v>919</v>
      </c>
      <c r="Q489" s="695" t="s">
        <v>112</v>
      </c>
      <c r="R489" s="696">
        <v>119.295166</v>
      </c>
      <c r="S489" s="696">
        <v>29.13374482</v>
      </c>
      <c r="T489" s="697">
        <v>306.1617078</v>
      </c>
      <c r="AB489" s="722"/>
      <c r="AF489" s="669"/>
    </row>
    <row r="490">
      <c r="A490" s="675"/>
      <c r="B490" s="681" t="s">
        <v>45</v>
      </c>
      <c r="C490" s="682" t="s">
        <v>915</v>
      </c>
      <c r="D490" s="682" t="s">
        <v>924</v>
      </c>
      <c r="E490" s="682" t="s">
        <v>352</v>
      </c>
      <c r="F490" s="682">
        <v>2021.0</v>
      </c>
      <c r="G490" s="683">
        <v>6.04129E-4</v>
      </c>
      <c r="H490" s="683">
        <v>3.77019E-4</v>
      </c>
      <c r="I490" s="684">
        <v>8.79023E-4</v>
      </c>
      <c r="K490" s="693" t="s">
        <v>34</v>
      </c>
      <c r="L490" s="694" t="s">
        <v>215</v>
      </c>
      <c r="M490" s="694" t="s">
        <v>915</v>
      </c>
      <c r="N490" s="694" t="s">
        <v>923</v>
      </c>
      <c r="O490" s="694">
        <v>2021.0</v>
      </c>
      <c r="P490" s="694" t="s">
        <v>919</v>
      </c>
      <c r="Q490" s="695" t="s">
        <v>112</v>
      </c>
      <c r="R490" s="696">
        <v>0.0</v>
      </c>
      <c r="S490" s="696">
        <v>0.0</v>
      </c>
      <c r="T490" s="697">
        <v>0.0</v>
      </c>
      <c r="AB490" s="722"/>
      <c r="AF490" s="669"/>
    </row>
    <row r="491">
      <c r="A491" s="675"/>
      <c r="B491" s="681" t="s">
        <v>45</v>
      </c>
      <c r="C491" s="682" t="s">
        <v>915</v>
      </c>
      <c r="D491" s="682" t="s">
        <v>926</v>
      </c>
      <c r="E491" s="682" t="s">
        <v>352</v>
      </c>
      <c r="F491" s="682">
        <v>2021.0</v>
      </c>
      <c r="G491" s="683">
        <v>0.007233136</v>
      </c>
      <c r="H491" s="683">
        <v>0.004632401</v>
      </c>
      <c r="I491" s="684">
        <v>0.010245767</v>
      </c>
      <c r="K491" s="693" t="s">
        <v>34</v>
      </c>
      <c r="L491" s="694" t="s">
        <v>215</v>
      </c>
      <c r="M491" s="694" t="s">
        <v>915</v>
      </c>
      <c r="N491" s="694" t="s">
        <v>925</v>
      </c>
      <c r="O491" s="694">
        <v>2021.0</v>
      </c>
      <c r="P491" s="694" t="s">
        <v>919</v>
      </c>
      <c r="Q491" s="695" t="s">
        <v>112</v>
      </c>
      <c r="R491" s="696">
        <v>0.0</v>
      </c>
      <c r="S491" s="696">
        <v>0.0</v>
      </c>
      <c r="T491" s="697">
        <v>0.0</v>
      </c>
      <c r="AB491" s="722"/>
      <c r="AF491" s="669"/>
    </row>
    <row r="492">
      <c r="A492" s="675"/>
      <c r="B492" s="681" t="s">
        <v>46</v>
      </c>
      <c r="C492" s="682" t="s">
        <v>915</v>
      </c>
      <c r="D492" s="682" t="s">
        <v>916</v>
      </c>
      <c r="E492" s="682" t="s">
        <v>352</v>
      </c>
      <c r="F492" s="682">
        <v>2021.0</v>
      </c>
      <c r="G492" s="683">
        <v>0.003680809</v>
      </c>
      <c r="H492" s="683">
        <v>0.001862582</v>
      </c>
      <c r="I492" s="684">
        <v>0.005515478</v>
      </c>
      <c r="K492" s="693" t="s">
        <v>34</v>
      </c>
      <c r="L492" s="694" t="s">
        <v>215</v>
      </c>
      <c r="M492" s="694" t="s">
        <v>915</v>
      </c>
      <c r="N492" s="694" t="s">
        <v>927</v>
      </c>
      <c r="O492" s="694">
        <v>2021.0</v>
      </c>
      <c r="P492" s="694" t="s">
        <v>919</v>
      </c>
      <c r="Q492" s="695" t="s">
        <v>112</v>
      </c>
      <c r="R492" s="696">
        <v>26.00676359</v>
      </c>
      <c r="S492" s="696">
        <v>6.081789248</v>
      </c>
      <c r="T492" s="697">
        <v>66.93057704</v>
      </c>
      <c r="AB492" s="722"/>
      <c r="AF492" s="669"/>
    </row>
    <row r="493">
      <c r="A493" s="675"/>
      <c r="B493" s="681" t="s">
        <v>46</v>
      </c>
      <c r="C493" s="682" t="s">
        <v>915</v>
      </c>
      <c r="D493" s="682" t="s">
        <v>922</v>
      </c>
      <c r="E493" s="682" t="s">
        <v>352</v>
      </c>
      <c r="F493" s="682">
        <v>2021.0</v>
      </c>
      <c r="G493" s="683">
        <v>0.032955525</v>
      </c>
      <c r="H493" s="683">
        <v>0.018619951</v>
      </c>
      <c r="I493" s="684">
        <v>0.045504122</v>
      </c>
      <c r="K493" s="693" t="s">
        <v>34</v>
      </c>
      <c r="L493" s="694" t="s">
        <v>215</v>
      </c>
      <c r="M493" s="694" t="s">
        <v>915</v>
      </c>
      <c r="N493" s="694" t="s">
        <v>926</v>
      </c>
      <c r="O493" s="694">
        <v>2021.0</v>
      </c>
      <c r="P493" s="694" t="s">
        <v>919</v>
      </c>
      <c r="Q493" s="695" t="s">
        <v>112</v>
      </c>
      <c r="R493" s="696">
        <v>145.3019295</v>
      </c>
      <c r="S493" s="696">
        <v>48.50619365</v>
      </c>
      <c r="T493" s="697">
        <v>340.4558052</v>
      </c>
      <c r="AB493" s="722"/>
      <c r="AF493" s="669"/>
    </row>
    <row r="494">
      <c r="A494" s="675"/>
      <c r="B494" s="681" t="s">
        <v>46</v>
      </c>
      <c r="C494" s="682" t="s">
        <v>915</v>
      </c>
      <c r="D494" s="682" t="s">
        <v>924</v>
      </c>
      <c r="E494" s="682" t="s">
        <v>352</v>
      </c>
      <c r="F494" s="682">
        <v>2021.0</v>
      </c>
      <c r="G494" s="683">
        <v>7.21752E-4</v>
      </c>
      <c r="H494" s="683">
        <v>3.72887E-4</v>
      </c>
      <c r="I494" s="684">
        <v>0.00104604</v>
      </c>
      <c r="K494" s="693" t="s">
        <v>54</v>
      </c>
      <c r="L494" s="694" t="s">
        <v>215</v>
      </c>
      <c r="M494" s="694" t="s">
        <v>915</v>
      </c>
      <c r="N494" s="694" t="s">
        <v>918</v>
      </c>
      <c r="O494" s="694">
        <v>2021.0</v>
      </c>
      <c r="P494" s="694" t="s">
        <v>919</v>
      </c>
      <c r="Q494" s="695" t="s">
        <v>112</v>
      </c>
      <c r="R494" s="696">
        <v>0.777919242</v>
      </c>
      <c r="S494" s="696">
        <v>0.161834979</v>
      </c>
      <c r="T494" s="697">
        <v>2.087950445</v>
      </c>
      <c r="AB494" s="722"/>
      <c r="AF494" s="669"/>
    </row>
    <row r="495">
      <c r="A495" s="675"/>
      <c r="B495" s="681" t="s">
        <v>46</v>
      </c>
      <c r="C495" s="682" t="s">
        <v>915</v>
      </c>
      <c r="D495" s="682" t="s">
        <v>926</v>
      </c>
      <c r="E495" s="682" t="s">
        <v>352</v>
      </c>
      <c r="F495" s="682">
        <v>2021.0</v>
      </c>
      <c r="G495" s="683">
        <v>0.00653061</v>
      </c>
      <c r="H495" s="683">
        <v>0.003993786</v>
      </c>
      <c r="I495" s="684">
        <v>0.009305214</v>
      </c>
      <c r="K495" s="693" t="s">
        <v>54</v>
      </c>
      <c r="L495" s="694" t="s">
        <v>215</v>
      </c>
      <c r="M495" s="694" t="s">
        <v>915</v>
      </c>
      <c r="N495" s="694" t="s">
        <v>923</v>
      </c>
      <c r="O495" s="694">
        <v>2021.0</v>
      </c>
      <c r="P495" s="694" t="s">
        <v>919</v>
      </c>
      <c r="Q495" s="695" t="s">
        <v>112</v>
      </c>
      <c r="R495" s="696">
        <v>0.0</v>
      </c>
      <c r="S495" s="696">
        <v>0.0</v>
      </c>
      <c r="T495" s="697">
        <v>0.0</v>
      </c>
      <c r="AB495" s="722"/>
      <c r="AF495" s="669"/>
    </row>
    <row r="496">
      <c r="A496" s="675"/>
      <c r="B496" s="681" t="s">
        <v>47</v>
      </c>
      <c r="C496" s="682" t="s">
        <v>915</v>
      </c>
      <c r="D496" s="682" t="s">
        <v>916</v>
      </c>
      <c r="E496" s="682" t="s">
        <v>352</v>
      </c>
      <c r="F496" s="682">
        <v>2021.0</v>
      </c>
      <c r="G496" s="683">
        <v>0.00207159</v>
      </c>
      <c r="H496" s="683">
        <v>0.001203659</v>
      </c>
      <c r="I496" s="684">
        <v>0.003301783</v>
      </c>
      <c r="K496" s="693" t="s">
        <v>54</v>
      </c>
      <c r="L496" s="694" t="s">
        <v>215</v>
      </c>
      <c r="M496" s="694" t="s">
        <v>915</v>
      </c>
      <c r="N496" s="694" t="s">
        <v>925</v>
      </c>
      <c r="O496" s="694">
        <v>2021.0</v>
      </c>
      <c r="P496" s="694" t="s">
        <v>919</v>
      </c>
      <c r="Q496" s="695" t="s">
        <v>112</v>
      </c>
      <c r="R496" s="696">
        <v>0.0</v>
      </c>
      <c r="S496" s="696">
        <v>0.0</v>
      </c>
      <c r="T496" s="697">
        <v>0.0</v>
      </c>
      <c r="AB496" s="722"/>
      <c r="AF496" s="669"/>
    </row>
    <row r="497">
      <c r="A497" s="675"/>
      <c r="B497" s="681" t="s">
        <v>47</v>
      </c>
      <c r="C497" s="682" t="s">
        <v>915</v>
      </c>
      <c r="D497" s="682" t="s">
        <v>922</v>
      </c>
      <c r="E497" s="682" t="s">
        <v>352</v>
      </c>
      <c r="F497" s="682">
        <v>2021.0</v>
      </c>
      <c r="G497" s="683">
        <v>0.015790436</v>
      </c>
      <c r="H497" s="683">
        <v>0.010437</v>
      </c>
      <c r="I497" s="684">
        <v>0.023255709</v>
      </c>
      <c r="K497" s="693" t="s">
        <v>54</v>
      </c>
      <c r="L497" s="694" t="s">
        <v>215</v>
      </c>
      <c r="M497" s="694" t="s">
        <v>915</v>
      </c>
      <c r="N497" s="694" t="s">
        <v>927</v>
      </c>
      <c r="O497" s="694">
        <v>2021.0</v>
      </c>
      <c r="P497" s="694" t="s">
        <v>919</v>
      </c>
      <c r="Q497" s="695" t="s">
        <v>112</v>
      </c>
      <c r="R497" s="696">
        <v>0.168110394</v>
      </c>
      <c r="S497" s="696">
        <v>0.034269828</v>
      </c>
      <c r="T497" s="697">
        <v>0.45241231</v>
      </c>
      <c r="AB497" s="722"/>
      <c r="AF497" s="669"/>
    </row>
    <row r="498">
      <c r="A498" s="675"/>
      <c r="B498" s="681" t="s">
        <v>47</v>
      </c>
      <c r="C498" s="682" t="s">
        <v>915</v>
      </c>
      <c r="D498" s="682" t="s">
        <v>924</v>
      </c>
      <c r="E498" s="682" t="s">
        <v>352</v>
      </c>
      <c r="F498" s="682">
        <v>2021.0</v>
      </c>
      <c r="G498" s="683">
        <v>6.01201E-4</v>
      </c>
      <c r="H498" s="683">
        <v>2.92637E-4</v>
      </c>
      <c r="I498" s="684">
        <v>9.9432E-4</v>
      </c>
      <c r="K498" s="693" t="s">
        <v>54</v>
      </c>
      <c r="L498" s="694" t="s">
        <v>215</v>
      </c>
      <c r="M498" s="694" t="s">
        <v>915</v>
      </c>
      <c r="N498" s="694" t="s">
        <v>926</v>
      </c>
      <c r="O498" s="694">
        <v>2021.0</v>
      </c>
      <c r="P498" s="694" t="s">
        <v>919</v>
      </c>
      <c r="Q498" s="695" t="s">
        <v>112</v>
      </c>
      <c r="R498" s="696">
        <v>0.946029637</v>
      </c>
      <c r="S498" s="696">
        <v>0.257713577</v>
      </c>
      <c r="T498" s="697">
        <v>2.280911537</v>
      </c>
      <c r="AB498" s="722"/>
      <c r="AF498" s="669"/>
    </row>
    <row r="499">
      <c r="A499" s="675"/>
      <c r="B499" s="681" t="s">
        <v>47</v>
      </c>
      <c r="C499" s="682" t="s">
        <v>915</v>
      </c>
      <c r="D499" s="682" t="s">
        <v>926</v>
      </c>
      <c r="E499" s="682" t="s">
        <v>352</v>
      </c>
      <c r="F499" s="682">
        <v>2021.0</v>
      </c>
      <c r="G499" s="683">
        <v>0.008807684</v>
      </c>
      <c r="H499" s="683">
        <v>0.005105743</v>
      </c>
      <c r="I499" s="684">
        <v>0.012518155</v>
      </c>
      <c r="K499" s="693" t="s">
        <v>55</v>
      </c>
      <c r="L499" s="694" t="s">
        <v>215</v>
      </c>
      <c r="M499" s="694" t="s">
        <v>915</v>
      </c>
      <c r="N499" s="694" t="s">
        <v>918</v>
      </c>
      <c r="O499" s="694">
        <v>2021.0</v>
      </c>
      <c r="P499" s="694" t="s">
        <v>919</v>
      </c>
      <c r="Q499" s="695" t="s">
        <v>112</v>
      </c>
      <c r="R499" s="696">
        <v>0.470825254</v>
      </c>
      <c r="S499" s="696">
        <v>0.10660652</v>
      </c>
      <c r="T499" s="697">
        <v>1.222166729</v>
      </c>
      <c r="AB499" s="722"/>
      <c r="AF499" s="669"/>
    </row>
    <row r="500">
      <c r="A500" s="675"/>
      <c r="B500" s="681" t="s">
        <v>48</v>
      </c>
      <c r="C500" s="682" t="s">
        <v>915</v>
      </c>
      <c r="D500" s="682" t="s">
        <v>916</v>
      </c>
      <c r="E500" s="682" t="s">
        <v>352</v>
      </c>
      <c r="F500" s="682">
        <v>2021.0</v>
      </c>
      <c r="G500" s="683">
        <v>0.002309895</v>
      </c>
      <c r="H500" s="683">
        <v>0.001339891</v>
      </c>
      <c r="I500" s="684">
        <v>0.003644658</v>
      </c>
      <c r="K500" s="693" t="s">
        <v>55</v>
      </c>
      <c r="L500" s="694" t="s">
        <v>215</v>
      </c>
      <c r="M500" s="694" t="s">
        <v>915</v>
      </c>
      <c r="N500" s="694" t="s">
        <v>923</v>
      </c>
      <c r="O500" s="694">
        <v>2021.0</v>
      </c>
      <c r="P500" s="694" t="s">
        <v>919</v>
      </c>
      <c r="Q500" s="695" t="s">
        <v>112</v>
      </c>
      <c r="R500" s="696">
        <v>0.0</v>
      </c>
      <c r="S500" s="696">
        <v>0.0</v>
      </c>
      <c r="T500" s="697">
        <v>0.0</v>
      </c>
      <c r="AB500" s="722"/>
      <c r="AF500" s="669"/>
    </row>
    <row r="501">
      <c r="A501" s="675"/>
      <c r="B501" s="681" t="s">
        <v>48</v>
      </c>
      <c r="C501" s="682" t="s">
        <v>915</v>
      </c>
      <c r="D501" s="682" t="s">
        <v>922</v>
      </c>
      <c r="E501" s="682" t="s">
        <v>352</v>
      </c>
      <c r="F501" s="682">
        <v>2021.0</v>
      </c>
      <c r="G501" s="683">
        <v>0.019875108</v>
      </c>
      <c r="H501" s="683">
        <v>0.013272836</v>
      </c>
      <c r="I501" s="684">
        <v>0.027969584</v>
      </c>
      <c r="K501" s="693" t="s">
        <v>55</v>
      </c>
      <c r="L501" s="694" t="s">
        <v>215</v>
      </c>
      <c r="M501" s="694" t="s">
        <v>915</v>
      </c>
      <c r="N501" s="694" t="s">
        <v>925</v>
      </c>
      <c r="O501" s="694">
        <v>2021.0</v>
      </c>
      <c r="P501" s="694" t="s">
        <v>919</v>
      </c>
      <c r="Q501" s="695" t="s">
        <v>112</v>
      </c>
      <c r="R501" s="696">
        <v>0.0</v>
      </c>
      <c r="S501" s="696">
        <v>0.0</v>
      </c>
      <c r="T501" s="697">
        <v>0.0</v>
      </c>
      <c r="AB501" s="722"/>
      <c r="AF501" s="669"/>
    </row>
    <row r="502">
      <c r="A502" s="675"/>
      <c r="B502" s="681" t="s">
        <v>48</v>
      </c>
      <c r="C502" s="682" t="s">
        <v>915</v>
      </c>
      <c r="D502" s="682" t="s">
        <v>924</v>
      </c>
      <c r="E502" s="682" t="s">
        <v>352</v>
      </c>
      <c r="F502" s="682">
        <v>2021.0</v>
      </c>
      <c r="G502" s="683">
        <v>8.18631E-4</v>
      </c>
      <c r="H502" s="683">
        <v>4.37183E-4</v>
      </c>
      <c r="I502" s="684">
        <v>0.001247804</v>
      </c>
      <c r="K502" s="693" t="s">
        <v>55</v>
      </c>
      <c r="L502" s="694" t="s">
        <v>215</v>
      </c>
      <c r="M502" s="694" t="s">
        <v>915</v>
      </c>
      <c r="N502" s="694" t="s">
        <v>927</v>
      </c>
      <c r="O502" s="694">
        <v>2021.0</v>
      </c>
      <c r="P502" s="694" t="s">
        <v>919</v>
      </c>
      <c r="Q502" s="695" t="s">
        <v>112</v>
      </c>
      <c r="R502" s="696">
        <v>0.164143709</v>
      </c>
      <c r="S502" s="696">
        <v>0.036268432</v>
      </c>
      <c r="T502" s="697">
        <v>0.443196132</v>
      </c>
      <c r="AB502" s="722"/>
      <c r="AF502" s="669"/>
    </row>
    <row r="503">
      <c r="A503" s="675"/>
      <c r="B503" s="681" t="s">
        <v>48</v>
      </c>
      <c r="C503" s="682" t="s">
        <v>915</v>
      </c>
      <c r="D503" s="682" t="s">
        <v>926</v>
      </c>
      <c r="E503" s="682" t="s">
        <v>352</v>
      </c>
      <c r="F503" s="682">
        <v>2021.0</v>
      </c>
      <c r="G503" s="683">
        <v>0.011309457</v>
      </c>
      <c r="H503" s="683">
        <v>0.006884005</v>
      </c>
      <c r="I503" s="684">
        <v>0.016290851</v>
      </c>
      <c r="K503" s="693" t="s">
        <v>55</v>
      </c>
      <c r="L503" s="694" t="s">
        <v>215</v>
      </c>
      <c r="M503" s="694" t="s">
        <v>915</v>
      </c>
      <c r="N503" s="694" t="s">
        <v>926</v>
      </c>
      <c r="O503" s="694">
        <v>2021.0</v>
      </c>
      <c r="P503" s="694" t="s">
        <v>919</v>
      </c>
      <c r="Q503" s="695" t="s">
        <v>112</v>
      </c>
      <c r="R503" s="696">
        <v>0.634968963</v>
      </c>
      <c r="S503" s="696">
        <v>0.201005172</v>
      </c>
      <c r="T503" s="697">
        <v>1.467741145</v>
      </c>
      <c r="AB503" s="722"/>
      <c r="AF503" s="669"/>
    </row>
    <row r="504">
      <c r="A504" s="675"/>
      <c r="B504" s="681" t="s">
        <v>49</v>
      </c>
      <c r="C504" s="682" t="s">
        <v>915</v>
      </c>
      <c r="D504" s="682" t="s">
        <v>916</v>
      </c>
      <c r="E504" s="682" t="s">
        <v>352</v>
      </c>
      <c r="F504" s="682">
        <v>2021.0</v>
      </c>
      <c r="G504" s="683">
        <v>0.002007432</v>
      </c>
      <c r="H504" s="683">
        <v>0.0011616</v>
      </c>
      <c r="I504" s="684">
        <v>0.003242205</v>
      </c>
      <c r="K504" s="693" t="s">
        <v>56</v>
      </c>
      <c r="L504" s="694" t="s">
        <v>215</v>
      </c>
      <c r="M504" s="694" t="s">
        <v>915</v>
      </c>
      <c r="N504" s="694" t="s">
        <v>918</v>
      </c>
      <c r="O504" s="694">
        <v>2021.0</v>
      </c>
      <c r="P504" s="694" t="s">
        <v>919</v>
      </c>
      <c r="Q504" s="695" t="s">
        <v>112</v>
      </c>
      <c r="R504" s="696">
        <v>0.147789105</v>
      </c>
      <c r="S504" s="696">
        <v>0.030128844</v>
      </c>
      <c r="T504" s="697">
        <v>0.38926884</v>
      </c>
      <c r="AB504" s="722"/>
      <c r="AF504" s="669"/>
    </row>
    <row r="505">
      <c r="A505" s="675"/>
      <c r="B505" s="681" t="s">
        <v>49</v>
      </c>
      <c r="C505" s="682" t="s">
        <v>915</v>
      </c>
      <c r="D505" s="682" t="s">
        <v>922</v>
      </c>
      <c r="E505" s="682" t="s">
        <v>352</v>
      </c>
      <c r="F505" s="682">
        <v>2021.0</v>
      </c>
      <c r="G505" s="683">
        <v>0.014327169</v>
      </c>
      <c r="H505" s="683">
        <v>0.009297755</v>
      </c>
      <c r="I505" s="684">
        <v>0.020932751</v>
      </c>
      <c r="K505" s="693" t="s">
        <v>56</v>
      </c>
      <c r="L505" s="694" t="s">
        <v>215</v>
      </c>
      <c r="M505" s="694" t="s">
        <v>915</v>
      </c>
      <c r="N505" s="694" t="s">
        <v>923</v>
      </c>
      <c r="O505" s="694">
        <v>2021.0</v>
      </c>
      <c r="P505" s="694" t="s">
        <v>919</v>
      </c>
      <c r="Q505" s="695" t="s">
        <v>112</v>
      </c>
      <c r="R505" s="696">
        <v>0.0</v>
      </c>
      <c r="S505" s="696">
        <v>0.0</v>
      </c>
      <c r="T505" s="697">
        <v>0.0</v>
      </c>
      <c r="AB505" s="722"/>
      <c r="AF505" s="669"/>
    </row>
    <row r="506">
      <c r="A506" s="675"/>
      <c r="B506" s="681" t="s">
        <v>49</v>
      </c>
      <c r="C506" s="682" t="s">
        <v>915</v>
      </c>
      <c r="D506" s="682" t="s">
        <v>924</v>
      </c>
      <c r="E506" s="682" t="s">
        <v>352</v>
      </c>
      <c r="F506" s="682">
        <v>2021.0</v>
      </c>
      <c r="G506" s="683">
        <v>4.92514E-4</v>
      </c>
      <c r="H506" s="683">
        <v>2.36429E-4</v>
      </c>
      <c r="I506" s="684">
        <v>8.14302E-4</v>
      </c>
      <c r="K506" s="693" t="s">
        <v>56</v>
      </c>
      <c r="L506" s="694" t="s">
        <v>215</v>
      </c>
      <c r="M506" s="694" t="s">
        <v>915</v>
      </c>
      <c r="N506" s="694" t="s">
        <v>925</v>
      </c>
      <c r="O506" s="694">
        <v>2021.0</v>
      </c>
      <c r="P506" s="694" t="s">
        <v>919</v>
      </c>
      <c r="Q506" s="695" t="s">
        <v>112</v>
      </c>
      <c r="R506" s="696">
        <v>0.0</v>
      </c>
      <c r="S506" s="696">
        <v>0.0</v>
      </c>
      <c r="T506" s="697">
        <v>0.0</v>
      </c>
      <c r="AB506" s="722"/>
      <c r="AF506" s="669"/>
    </row>
    <row r="507">
      <c r="A507" s="675"/>
      <c r="B507" s="681" t="s">
        <v>49</v>
      </c>
      <c r="C507" s="682" t="s">
        <v>915</v>
      </c>
      <c r="D507" s="682" t="s">
        <v>926</v>
      </c>
      <c r="E507" s="682" t="s">
        <v>352</v>
      </c>
      <c r="F507" s="682">
        <v>2021.0</v>
      </c>
      <c r="G507" s="683">
        <v>0.008648343</v>
      </c>
      <c r="H507" s="683">
        <v>0.005014334</v>
      </c>
      <c r="I507" s="684">
        <v>0.012722124</v>
      </c>
      <c r="K507" s="693" t="s">
        <v>56</v>
      </c>
      <c r="L507" s="694" t="s">
        <v>215</v>
      </c>
      <c r="M507" s="694" t="s">
        <v>915</v>
      </c>
      <c r="N507" s="694" t="s">
        <v>927</v>
      </c>
      <c r="O507" s="694">
        <v>2021.0</v>
      </c>
      <c r="P507" s="694" t="s">
        <v>919</v>
      </c>
      <c r="Q507" s="695" t="s">
        <v>112</v>
      </c>
      <c r="R507" s="696">
        <v>0.075080269</v>
      </c>
      <c r="S507" s="696">
        <v>0.01608638</v>
      </c>
      <c r="T507" s="697">
        <v>0.20463329</v>
      </c>
      <c r="AB507" s="722"/>
      <c r="AF507" s="669"/>
    </row>
    <row r="508">
      <c r="A508" s="675"/>
      <c r="B508" s="681" t="s">
        <v>50</v>
      </c>
      <c r="C508" s="682" t="s">
        <v>915</v>
      </c>
      <c r="D508" s="682" t="s">
        <v>916</v>
      </c>
      <c r="E508" s="682" t="s">
        <v>352</v>
      </c>
      <c r="F508" s="682">
        <v>2021.0</v>
      </c>
      <c r="G508" s="683">
        <v>0.001824262</v>
      </c>
      <c r="H508" s="683">
        <v>9.89127E-4</v>
      </c>
      <c r="I508" s="684">
        <v>0.003024277</v>
      </c>
      <c r="K508" s="693" t="s">
        <v>56</v>
      </c>
      <c r="L508" s="694" t="s">
        <v>215</v>
      </c>
      <c r="M508" s="694" t="s">
        <v>915</v>
      </c>
      <c r="N508" s="694" t="s">
        <v>926</v>
      </c>
      <c r="O508" s="694">
        <v>2021.0</v>
      </c>
      <c r="P508" s="694" t="s">
        <v>919</v>
      </c>
      <c r="Q508" s="695" t="s">
        <v>112</v>
      </c>
      <c r="R508" s="696">
        <v>0.222869375</v>
      </c>
      <c r="S508" s="696">
        <v>0.063134514</v>
      </c>
      <c r="T508" s="697">
        <v>0.488795338</v>
      </c>
      <c r="AB508" s="722"/>
      <c r="AF508" s="669"/>
    </row>
    <row r="509">
      <c r="A509" s="675"/>
      <c r="B509" s="681" t="s">
        <v>50</v>
      </c>
      <c r="C509" s="682" t="s">
        <v>915</v>
      </c>
      <c r="D509" s="682" t="s">
        <v>922</v>
      </c>
      <c r="E509" s="682" t="s">
        <v>352</v>
      </c>
      <c r="F509" s="682">
        <v>2021.0</v>
      </c>
      <c r="G509" s="683">
        <v>0.015967831</v>
      </c>
      <c r="H509" s="683">
        <v>0.010522227</v>
      </c>
      <c r="I509" s="684">
        <v>0.023133136</v>
      </c>
      <c r="K509" s="693" t="s">
        <v>57</v>
      </c>
      <c r="L509" s="694" t="s">
        <v>215</v>
      </c>
      <c r="M509" s="694" t="s">
        <v>915</v>
      </c>
      <c r="N509" s="694" t="s">
        <v>918</v>
      </c>
      <c r="O509" s="694">
        <v>2021.0</v>
      </c>
      <c r="P509" s="694" t="s">
        <v>919</v>
      </c>
      <c r="Q509" s="695" t="s">
        <v>112</v>
      </c>
      <c r="R509" s="696">
        <v>4.452064964</v>
      </c>
      <c r="S509" s="696">
        <v>0.99545252</v>
      </c>
      <c r="T509" s="697">
        <v>11.68246589</v>
      </c>
      <c r="AB509" s="722"/>
      <c r="AF509" s="669"/>
    </row>
    <row r="510">
      <c r="A510" s="675"/>
      <c r="B510" s="681" t="s">
        <v>50</v>
      </c>
      <c r="C510" s="682" t="s">
        <v>915</v>
      </c>
      <c r="D510" s="682" t="s">
        <v>924</v>
      </c>
      <c r="E510" s="682" t="s">
        <v>352</v>
      </c>
      <c r="F510" s="682">
        <v>2021.0</v>
      </c>
      <c r="G510" s="683">
        <v>4.65323E-4</v>
      </c>
      <c r="H510" s="683">
        <v>1.95808E-4</v>
      </c>
      <c r="I510" s="684">
        <v>8.21717E-4</v>
      </c>
      <c r="K510" s="693" t="s">
        <v>57</v>
      </c>
      <c r="L510" s="694" t="s">
        <v>215</v>
      </c>
      <c r="M510" s="694" t="s">
        <v>915</v>
      </c>
      <c r="N510" s="694" t="s">
        <v>923</v>
      </c>
      <c r="O510" s="694">
        <v>2021.0</v>
      </c>
      <c r="P510" s="694" t="s">
        <v>919</v>
      </c>
      <c r="Q510" s="695" t="s">
        <v>112</v>
      </c>
      <c r="R510" s="696">
        <v>0.0</v>
      </c>
      <c r="S510" s="696">
        <v>0.0</v>
      </c>
      <c r="T510" s="697">
        <v>0.0</v>
      </c>
      <c r="AB510" s="722"/>
      <c r="AF510" s="669"/>
    </row>
    <row r="511">
      <c r="A511" s="675"/>
      <c r="B511" s="681" t="s">
        <v>50</v>
      </c>
      <c r="C511" s="682" t="s">
        <v>915</v>
      </c>
      <c r="D511" s="682" t="s">
        <v>926</v>
      </c>
      <c r="E511" s="682" t="s">
        <v>352</v>
      </c>
      <c r="F511" s="682">
        <v>2021.0</v>
      </c>
      <c r="G511" s="683">
        <v>0.007752461</v>
      </c>
      <c r="H511" s="683">
        <v>0.004520871</v>
      </c>
      <c r="I511" s="684">
        <v>0.011734843</v>
      </c>
      <c r="K511" s="693" t="s">
        <v>57</v>
      </c>
      <c r="L511" s="694" t="s">
        <v>215</v>
      </c>
      <c r="M511" s="694" t="s">
        <v>915</v>
      </c>
      <c r="N511" s="694" t="s">
        <v>925</v>
      </c>
      <c r="O511" s="694">
        <v>2021.0</v>
      </c>
      <c r="P511" s="694" t="s">
        <v>919</v>
      </c>
      <c r="Q511" s="695" t="s">
        <v>112</v>
      </c>
      <c r="R511" s="696">
        <v>0.0</v>
      </c>
      <c r="S511" s="696">
        <v>0.0</v>
      </c>
      <c r="T511" s="697">
        <v>0.0</v>
      </c>
      <c r="AB511" s="722"/>
      <c r="AF511" s="669"/>
    </row>
    <row r="512">
      <c r="A512" s="675"/>
      <c r="B512" s="681" t="s">
        <v>51</v>
      </c>
      <c r="C512" s="682" t="s">
        <v>915</v>
      </c>
      <c r="D512" s="682" t="s">
        <v>916</v>
      </c>
      <c r="E512" s="682" t="s">
        <v>352</v>
      </c>
      <c r="F512" s="682">
        <v>2021.0</v>
      </c>
      <c r="G512" s="683">
        <v>0.00182818</v>
      </c>
      <c r="H512" s="683">
        <v>9.9804E-4</v>
      </c>
      <c r="I512" s="684">
        <v>0.002945859</v>
      </c>
      <c r="K512" s="693" t="s">
        <v>57</v>
      </c>
      <c r="L512" s="694" t="s">
        <v>215</v>
      </c>
      <c r="M512" s="694" t="s">
        <v>915</v>
      </c>
      <c r="N512" s="694" t="s">
        <v>927</v>
      </c>
      <c r="O512" s="694">
        <v>2021.0</v>
      </c>
      <c r="P512" s="694" t="s">
        <v>919</v>
      </c>
      <c r="Q512" s="695" t="s">
        <v>112</v>
      </c>
      <c r="R512" s="696">
        <v>1.656832671</v>
      </c>
      <c r="S512" s="696">
        <v>0.321774304</v>
      </c>
      <c r="T512" s="697">
        <v>4.374195874</v>
      </c>
      <c r="AB512" s="722"/>
      <c r="AF512" s="669"/>
    </row>
    <row r="513">
      <c r="A513" s="675"/>
      <c r="B513" s="681" t="s">
        <v>51</v>
      </c>
      <c r="C513" s="682" t="s">
        <v>915</v>
      </c>
      <c r="D513" s="682" t="s">
        <v>922</v>
      </c>
      <c r="E513" s="682" t="s">
        <v>352</v>
      </c>
      <c r="F513" s="682">
        <v>2021.0</v>
      </c>
      <c r="G513" s="683">
        <v>0.017175346</v>
      </c>
      <c r="H513" s="683">
        <v>0.011623852</v>
      </c>
      <c r="I513" s="684">
        <v>0.025641267</v>
      </c>
      <c r="K513" s="693" t="s">
        <v>57</v>
      </c>
      <c r="L513" s="694" t="s">
        <v>215</v>
      </c>
      <c r="M513" s="694" t="s">
        <v>915</v>
      </c>
      <c r="N513" s="694" t="s">
        <v>926</v>
      </c>
      <c r="O513" s="694">
        <v>2021.0</v>
      </c>
      <c r="P513" s="694" t="s">
        <v>919</v>
      </c>
      <c r="Q513" s="695" t="s">
        <v>112</v>
      </c>
      <c r="R513" s="696">
        <v>6.108897635</v>
      </c>
      <c r="S513" s="696">
        <v>2.031997769</v>
      </c>
      <c r="T513" s="697">
        <v>14.20340039</v>
      </c>
      <c r="AB513" s="722"/>
      <c r="AF513" s="669"/>
    </row>
    <row r="514">
      <c r="A514" s="675"/>
      <c r="B514" s="681" t="s">
        <v>51</v>
      </c>
      <c r="C514" s="682" t="s">
        <v>915</v>
      </c>
      <c r="D514" s="682" t="s">
        <v>924</v>
      </c>
      <c r="E514" s="682" t="s">
        <v>352</v>
      </c>
      <c r="F514" s="682">
        <v>2021.0</v>
      </c>
      <c r="G514" s="683">
        <v>3.94427E-4</v>
      </c>
      <c r="H514" s="683">
        <v>1.93112E-4</v>
      </c>
      <c r="I514" s="684">
        <v>6.36071E-4</v>
      </c>
      <c r="K514" s="693" t="s">
        <v>58</v>
      </c>
      <c r="L514" s="694" t="s">
        <v>215</v>
      </c>
      <c r="M514" s="694" t="s">
        <v>915</v>
      </c>
      <c r="N514" s="694" t="s">
        <v>918</v>
      </c>
      <c r="O514" s="694">
        <v>2021.0</v>
      </c>
      <c r="P514" s="694" t="s">
        <v>919</v>
      </c>
      <c r="Q514" s="695" t="s">
        <v>112</v>
      </c>
      <c r="R514" s="696">
        <v>37.02016247</v>
      </c>
      <c r="S514" s="696">
        <v>8.61145241</v>
      </c>
      <c r="T514" s="697">
        <v>90.66074157</v>
      </c>
      <c r="AB514" s="722"/>
      <c r="AF514" s="669"/>
    </row>
    <row r="515">
      <c r="A515" s="675"/>
      <c r="B515" s="681" t="s">
        <v>51</v>
      </c>
      <c r="C515" s="682" t="s">
        <v>915</v>
      </c>
      <c r="D515" s="682" t="s">
        <v>926</v>
      </c>
      <c r="E515" s="682" t="s">
        <v>352</v>
      </c>
      <c r="F515" s="682">
        <v>2021.0</v>
      </c>
      <c r="G515" s="683">
        <v>0.004975645</v>
      </c>
      <c r="H515" s="683">
        <v>0.002877808</v>
      </c>
      <c r="I515" s="684">
        <v>0.007104203</v>
      </c>
      <c r="K515" s="693" t="s">
        <v>58</v>
      </c>
      <c r="L515" s="694" t="s">
        <v>215</v>
      </c>
      <c r="M515" s="694" t="s">
        <v>915</v>
      </c>
      <c r="N515" s="694" t="s">
        <v>923</v>
      </c>
      <c r="O515" s="694">
        <v>2021.0</v>
      </c>
      <c r="P515" s="694" t="s">
        <v>919</v>
      </c>
      <c r="Q515" s="695" t="s">
        <v>112</v>
      </c>
      <c r="R515" s="696">
        <v>0.0</v>
      </c>
      <c r="S515" s="696">
        <v>0.0</v>
      </c>
      <c r="T515" s="697">
        <v>0.0</v>
      </c>
      <c r="AB515" s="722"/>
      <c r="AF515" s="669"/>
    </row>
    <row r="516">
      <c r="A516" s="675"/>
      <c r="B516" s="681" t="s">
        <v>52</v>
      </c>
      <c r="C516" s="682" t="s">
        <v>915</v>
      </c>
      <c r="D516" s="682" t="s">
        <v>916</v>
      </c>
      <c r="E516" s="682" t="s">
        <v>352</v>
      </c>
      <c r="F516" s="682">
        <v>2021.0</v>
      </c>
      <c r="G516" s="683">
        <v>0.001742828</v>
      </c>
      <c r="H516" s="683">
        <v>8.61779E-4</v>
      </c>
      <c r="I516" s="684">
        <v>0.002842257</v>
      </c>
      <c r="K516" s="693" t="s">
        <v>58</v>
      </c>
      <c r="L516" s="694" t="s">
        <v>215</v>
      </c>
      <c r="M516" s="694" t="s">
        <v>915</v>
      </c>
      <c r="N516" s="694" t="s">
        <v>925</v>
      </c>
      <c r="O516" s="694">
        <v>2021.0</v>
      </c>
      <c r="P516" s="694" t="s">
        <v>919</v>
      </c>
      <c r="Q516" s="695" t="s">
        <v>112</v>
      </c>
      <c r="R516" s="696">
        <v>0.0</v>
      </c>
      <c r="S516" s="696">
        <v>0.0</v>
      </c>
      <c r="T516" s="697">
        <v>0.0</v>
      </c>
      <c r="AB516" s="722"/>
      <c r="AF516" s="669"/>
    </row>
    <row r="517">
      <c r="A517" s="675"/>
      <c r="B517" s="681" t="s">
        <v>52</v>
      </c>
      <c r="C517" s="682" t="s">
        <v>915</v>
      </c>
      <c r="D517" s="682" t="s">
        <v>922</v>
      </c>
      <c r="E517" s="682" t="s">
        <v>352</v>
      </c>
      <c r="F517" s="682">
        <v>2021.0</v>
      </c>
      <c r="G517" s="683">
        <v>0.011371433</v>
      </c>
      <c r="H517" s="683">
        <v>0.007088496</v>
      </c>
      <c r="I517" s="684">
        <v>0.017111913</v>
      </c>
      <c r="K517" s="693" t="s">
        <v>58</v>
      </c>
      <c r="L517" s="694" t="s">
        <v>215</v>
      </c>
      <c r="M517" s="694" t="s">
        <v>915</v>
      </c>
      <c r="N517" s="694" t="s">
        <v>927</v>
      </c>
      <c r="O517" s="694">
        <v>2021.0</v>
      </c>
      <c r="P517" s="694" t="s">
        <v>919</v>
      </c>
      <c r="Q517" s="695" t="s">
        <v>112</v>
      </c>
      <c r="R517" s="696">
        <v>12.71493864</v>
      </c>
      <c r="S517" s="696">
        <v>3.045266917</v>
      </c>
      <c r="T517" s="697">
        <v>33.72913901</v>
      </c>
      <c r="AB517" s="722"/>
      <c r="AF517" s="669"/>
    </row>
    <row r="518">
      <c r="A518" s="675"/>
      <c r="B518" s="681" t="s">
        <v>52</v>
      </c>
      <c r="C518" s="682" t="s">
        <v>915</v>
      </c>
      <c r="D518" s="682" t="s">
        <v>924</v>
      </c>
      <c r="E518" s="682" t="s">
        <v>352</v>
      </c>
      <c r="F518" s="682">
        <v>2021.0</v>
      </c>
      <c r="G518" s="683">
        <v>6.0762E-4</v>
      </c>
      <c r="H518" s="683">
        <v>2.78114E-4</v>
      </c>
      <c r="I518" s="684">
        <v>9.87039E-4</v>
      </c>
      <c r="K518" s="693" t="s">
        <v>58</v>
      </c>
      <c r="L518" s="694" t="s">
        <v>215</v>
      </c>
      <c r="M518" s="694" t="s">
        <v>915</v>
      </c>
      <c r="N518" s="694" t="s">
        <v>926</v>
      </c>
      <c r="O518" s="694">
        <v>2021.0</v>
      </c>
      <c r="P518" s="694" t="s">
        <v>919</v>
      </c>
      <c r="Q518" s="695" t="s">
        <v>112</v>
      </c>
      <c r="R518" s="696">
        <v>49.73510111</v>
      </c>
      <c r="S518" s="696">
        <v>17.04946891</v>
      </c>
      <c r="T518" s="697">
        <v>106.9111376</v>
      </c>
      <c r="AB518" s="722"/>
      <c r="AF518" s="669"/>
    </row>
    <row r="519">
      <c r="A519" s="675"/>
      <c r="B519" s="681" t="s">
        <v>52</v>
      </c>
      <c r="C519" s="682" t="s">
        <v>915</v>
      </c>
      <c r="D519" s="682" t="s">
        <v>926</v>
      </c>
      <c r="E519" s="682" t="s">
        <v>352</v>
      </c>
      <c r="F519" s="682">
        <v>2021.0</v>
      </c>
      <c r="G519" s="683">
        <v>0.008219573</v>
      </c>
      <c r="H519" s="683">
        <v>0.004884309</v>
      </c>
      <c r="I519" s="684">
        <v>0.011684779</v>
      </c>
      <c r="K519" s="693" t="s">
        <v>7</v>
      </c>
      <c r="L519" s="694" t="s">
        <v>215</v>
      </c>
      <c r="M519" s="694" t="s">
        <v>915</v>
      </c>
      <c r="N519" s="694" t="s">
        <v>918</v>
      </c>
      <c r="O519" s="694">
        <v>2021.0</v>
      </c>
      <c r="P519" s="694" t="s">
        <v>919</v>
      </c>
      <c r="Q519" s="695" t="s">
        <v>112</v>
      </c>
      <c r="R519" s="696">
        <v>1415.775785</v>
      </c>
      <c r="S519" s="696">
        <v>702.6822599</v>
      </c>
      <c r="T519" s="697">
        <v>2367.242317</v>
      </c>
      <c r="AB519" s="722"/>
      <c r="AF519" s="669"/>
    </row>
    <row r="520">
      <c r="A520" s="675"/>
      <c r="B520" s="681" t="s">
        <v>28</v>
      </c>
      <c r="C520" s="682" t="s">
        <v>915</v>
      </c>
      <c r="D520" s="682" t="s">
        <v>916</v>
      </c>
      <c r="E520" s="682" t="s">
        <v>352</v>
      </c>
      <c r="F520" s="682">
        <v>2021.0</v>
      </c>
      <c r="G520" s="683">
        <v>0.00203186</v>
      </c>
      <c r="H520" s="683">
        <v>0.001282033</v>
      </c>
      <c r="I520" s="684">
        <v>0.002982043</v>
      </c>
      <c r="K520" s="693" t="s">
        <v>7</v>
      </c>
      <c r="L520" s="694" t="s">
        <v>215</v>
      </c>
      <c r="M520" s="694" t="s">
        <v>915</v>
      </c>
      <c r="N520" s="694" t="s">
        <v>923</v>
      </c>
      <c r="O520" s="694">
        <v>2021.0</v>
      </c>
      <c r="P520" s="694" t="s">
        <v>919</v>
      </c>
      <c r="Q520" s="695" t="s">
        <v>112</v>
      </c>
      <c r="R520" s="696">
        <v>0.0</v>
      </c>
      <c r="S520" s="696">
        <v>0.0</v>
      </c>
      <c r="T520" s="697">
        <v>0.0</v>
      </c>
      <c r="AB520" s="722"/>
      <c r="AF520" s="669"/>
    </row>
    <row r="521">
      <c r="A521" s="675"/>
      <c r="B521" s="681" t="s">
        <v>28</v>
      </c>
      <c r="C521" s="682" t="s">
        <v>915</v>
      </c>
      <c r="D521" s="682" t="s">
        <v>922</v>
      </c>
      <c r="E521" s="682" t="s">
        <v>352</v>
      </c>
      <c r="F521" s="682">
        <v>2021.0</v>
      </c>
      <c r="G521" s="683">
        <v>0.02352892</v>
      </c>
      <c r="H521" s="683">
        <v>0.016715472</v>
      </c>
      <c r="I521" s="684">
        <v>0.032509788</v>
      </c>
      <c r="K521" s="693" t="s">
        <v>7</v>
      </c>
      <c r="L521" s="694" t="s">
        <v>215</v>
      </c>
      <c r="M521" s="694" t="s">
        <v>915</v>
      </c>
      <c r="N521" s="694" t="s">
        <v>925</v>
      </c>
      <c r="O521" s="694">
        <v>2021.0</v>
      </c>
      <c r="P521" s="694" t="s">
        <v>919</v>
      </c>
      <c r="Q521" s="695" t="s">
        <v>112</v>
      </c>
      <c r="R521" s="696">
        <v>0.0</v>
      </c>
      <c r="S521" s="696">
        <v>0.0</v>
      </c>
      <c r="T521" s="697">
        <v>0.0</v>
      </c>
      <c r="AB521" s="722"/>
      <c r="AF521" s="669"/>
    </row>
    <row r="522">
      <c r="A522" s="675"/>
      <c r="B522" s="681" t="s">
        <v>28</v>
      </c>
      <c r="C522" s="682" t="s">
        <v>915</v>
      </c>
      <c r="D522" s="682" t="s">
        <v>924</v>
      </c>
      <c r="E522" s="682" t="s">
        <v>352</v>
      </c>
      <c r="F522" s="682">
        <v>2021.0</v>
      </c>
      <c r="G522" s="683">
        <v>0.001136902</v>
      </c>
      <c r="H522" s="683">
        <v>7.08434E-4</v>
      </c>
      <c r="I522" s="684">
        <v>0.001598212</v>
      </c>
      <c r="K522" s="693" t="s">
        <v>7</v>
      </c>
      <c r="L522" s="694" t="s">
        <v>215</v>
      </c>
      <c r="M522" s="694" t="s">
        <v>915</v>
      </c>
      <c r="N522" s="694" t="s">
        <v>927</v>
      </c>
      <c r="O522" s="694">
        <v>2021.0</v>
      </c>
      <c r="P522" s="694" t="s">
        <v>919</v>
      </c>
      <c r="Q522" s="695" t="s">
        <v>112</v>
      </c>
      <c r="R522" s="696">
        <v>286.701984</v>
      </c>
      <c r="S522" s="696">
        <v>162.8002599</v>
      </c>
      <c r="T522" s="697">
        <v>460.737278</v>
      </c>
      <c r="AB522" s="722"/>
      <c r="AF522" s="669"/>
    </row>
    <row r="523">
      <c r="A523" s="675"/>
      <c r="B523" s="681" t="s">
        <v>28</v>
      </c>
      <c r="C523" s="682" t="s">
        <v>915</v>
      </c>
      <c r="D523" s="682" t="s">
        <v>926</v>
      </c>
      <c r="E523" s="682" t="s">
        <v>352</v>
      </c>
      <c r="F523" s="682">
        <v>2021.0</v>
      </c>
      <c r="G523" s="683">
        <v>0.018787823</v>
      </c>
      <c r="H523" s="683">
        <v>0.012433214</v>
      </c>
      <c r="I523" s="684">
        <v>0.02684378</v>
      </c>
      <c r="K523" s="693" t="s">
        <v>7</v>
      </c>
      <c r="L523" s="694" t="s">
        <v>215</v>
      </c>
      <c r="M523" s="694" t="s">
        <v>915</v>
      </c>
      <c r="N523" s="694" t="s">
        <v>926</v>
      </c>
      <c r="O523" s="694">
        <v>2021.0</v>
      </c>
      <c r="P523" s="694" t="s">
        <v>919</v>
      </c>
      <c r="Q523" s="695" t="s">
        <v>112</v>
      </c>
      <c r="R523" s="696">
        <v>1702.477769</v>
      </c>
      <c r="S523" s="696">
        <v>905.4194286</v>
      </c>
      <c r="T523" s="697">
        <v>2731.920146</v>
      </c>
      <c r="AB523" s="722"/>
      <c r="AF523" s="669"/>
    </row>
    <row r="524">
      <c r="A524" s="675"/>
      <c r="B524" s="681" t="s">
        <v>53</v>
      </c>
      <c r="C524" s="682" t="s">
        <v>915</v>
      </c>
      <c r="D524" s="682" t="s">
        <v>916</v>
      </c>
      <c r="E524" s="682" t="s">
        <v>352</v>
      </c>
      <c r="F524" s="682">
        <v>2021.0</v>
      </c>
      <c r="G524" s="683">
        <v>0.001739745</v>
      </c>
      <c r="H524" s="683">
        <v>9.26891E-4</v>
      </c>
      <c r="I524" s="684">
        <v>0.002920443</v>
      </c>
      <c r="K524" s="693" t="s">
        <v>59</v>
      </c>
      <c r="L524" s="694" t="s">
        <v>215</v>
      </c>
      <c r="M524" s="694" t="s">
        <v>915</v>
      </c>
      <c r="N524" s="694" t="s">
        <v>918</v>
      </c>
      <c r="O524" s="694">
        <v>2021.0</v>
      </c>
      <c r="P524" s="694" t="s">
        <v>919</v>
      </c>
      <c r="Q524" s="695" t="s">
        <v>112</v>
      </c>
      <c r="R524" s="696">
        <v>3.410421406</v>
      </c>
      <c r="S524" s="696">
        <v>0.755513526</v>
      </c>
      <c r="T524" s="697">
        <v>8.41483435</v>
      </c>
      <c r="AB524" s="722"/>
      <c r="AF524" s="669"/>
    </row>
    <row r="525">
      <c r="A525" s="675"/>
      <c r="B525" s="681" t="s">
        <v>53</v>
      </c>
      <c r="C525" s="682" t="s">
        <v>915</v>
      </c>
      <c r="D525" s="682" t="s">
        <v>922</v>
      </c>
      <c r="E525" s="682" t="s">
        <v>352</v>
      </c>
      <c r="F525" s="682">
        <v>2021.0</v>
      </c>
      <c r="G525" s="683">
        <v>0.014655234</v>
      </c>
      <c r="H525" s="683">
        <v>0.009211541</v>
      </c>
      <c r="I525" s="684">
        <v>0.022915053</v>
      </c>
      <c r="K525" s="693" t="s">
        <v>59</v>
      </c>
      <c r="L525" s="694" t="s">
        <v>215</v>
      </c>
      <c r="M525" s="694" t="s">
        <v>915</v>
      </c>
      <c r="N525" s="694" t="s">
        <v>923</v>
      </c>
      <c r="O525" s="694">
        <v>2021.0</v>
      </c>
      <c r="P525" s="694" t="s">
        <v>919</v>
      </c>
      <c r="Q525" s="695" t="s">
        <v>112</v>
      </c>
      <c r="R525" s="696">
        <v>0.0</v>
      </c>
      <c r="S525" s="696">
        <v>0.0</v>
      </c>
      <c r="T525" s="697">
        <v>0.0</v>
      </c>
      <c r="AB525" s="722"/>
      <c r="AF525" s="669"/>
    </row>
    <row r="526">
      <c r="A526" s="675"/>
      <c r="B526" s="681" t="s">
        <v>53</v>
      </c>
      <c r="C526" s="682" t="s">
        <v>915</v>
      </c>
      <c r="D526" s="682" t="s">
        <v>924</v>
      </c>
      <c r="E526" s="682" t="s">
        <v>352</v>
      </c>
      <c r="F526" s="682">
        <v>2021.0</v>
      </c>
      <c r="G526" s="683">
        <v>4.2438E-4</v>
      </c>
      <c r="H526" s="683">
        <v>1.95897E-4</v>
      </c>
      <c r="I526" s="684">
        <v>7.35992E-4</v>
      </c>
      <c r="K526" s="693" t="s">
        <v>59</v>
      </c>
      <c r="L526" s="694" t="s">
        <v>215</v>
      </c>
      <c r="M526" s="694" t="s">
        <v>915</v>
      </c>
      <c r="N526" s="694" t="s">
        <v>925</v>
      </c>
      <c r="O526" s="694">
        <v>2021.0</v>
      </c>
      <c r="P526" s="694" t="s">
        <v>919</v>
      </c>
      <c r="Q526" s="695" t="s">
        <v>112</v>
      </c>
      <c r="R526" s="696">
        <v>0.0</v>
      </c>
      <c r="S526" s="696">
        <v>0.0</v>
      </c>
      <c r="T526" s="697">
        <v>0.0</v>
      </c>
      <c r="AB526" s="722"/>
      <c r="AF526" s="669"/>
    </row>
    <row r="527">
      <c r="A527" s="675"/>
      <c r="B527" s="681" t="s">
        <v>53</v>
      </c>
      <c r="C527" s="682" t="s">
        <v>915</v>
      </c>
      <c r="D527" s="682" t="s">
        <v>926</v>
      </c>
      <c r="E527" s="682" t="s">
        <v>352</v>
      </c>
      <c r="F527" s="682">
        <v>2021.0</v>
      </c>
      <c r="G527" s="683">
        <v>0.005635233</v>
      </c>
      <c r="H527" s="683">
        <v>0.003365702</v>
      </c>
      <c r="I527" s="684">
        <v>0.008563577</v>
      </c>
      <c r="K527" s="693" t="s">
        <v>59</v>
      </c>
      <c r="L527" s="694" t="s">
        <v>215</v>
      </c>
      <c r="M527" s="694" t="s">
        <v>915</v>
      </c>
      <c r="N527" s="694" t="s">
        <v>927</v>
      </c>
      <c r="O527" s="694">
        <v>2021.0</v>
      </c>
      <c r="P527" s="694" t="s">
        <v>919</v>
      </c>
      <c r="Q527" s="695" t="s">
        <v>112</v>
      </c>
      <c r="R527" s="696">
        <v>1.144057378</v>
      </c>
      <c r="S527" s="696">
        <v>0.268937911</v>
      </c>
      <c r="T527" s="697">
        <v>3.069523981</v>
      </c>
      <c r="AB527" s="722"/>
      <c r="AF527" s="669"/>
    </row>
    <row r="528">
      <c r="A528" s="675"/>
      <c r="B528" s="681" t="s">
        <v>30</v>
      </c>
      <c r="C528" s="682" t="s">
        <v>915</v>
      </c>
      <c r="D528" s="682" t="s">
        <v>916</v>
      </c>
      <c r="E528" s="682" t="s">
        <v>352</v>
      </c>
      <c r="F528" s="682">
        <v>2021.0</v>
      </c>
      <c r="G528" s="683">
        <v>0.003081885</v>
      </c>
      <c r="H528" s="683">
        <v>0.001950239</v>
      </c>
      <c r="I528" s="684">
        <v>0.004404159</v>
      </c>
      <c r="K528" s="693" t="s">
        <v>59</v>
      </c>
      <c r="L528" s="694" t="s">
        <v>215</v>
      </c>
      <c r="M528" s="694" t="s">
        <v>915</v>
      </c>
      <c r="N528" s="694" t="s">
        <v>926</v>
      </c>
      <c r="O528" s="694">
        <v>2021.0</v>
      </c>
      <c r="P528" s="694" t="s">
        <v>919</v>
      </c>
      <c r="Q528" s="695" t="s">
        <v>112</v>
      </c>
      <c r="R528" s="696">
        <v>4.554478784</v>
      </c>
      <c r="S528" s="696">
        <v>1.396495737</v>
      </c>
      <c r="T528" s="697">
        <v>10.01722692</v>
      </c>
      <c r="AB528" s="722"/>
      <c r="AF528" s="669"/>
    </row>
    <row r="529">
      <c r="A529" s="675"/>
      <c r="B529" s="681" t="s">
        <v>30</v>
      </c>
      <c r="C529" s="682" t="s">
        <v>915</v>
      </c>
      <c r="D529" s="682" t="s">
        <v>922</v>
      </c>
      <c r="E529" s="682" t="s">
        <v>352</v>
      </c>
      <c r="F529" s="682">
        <v>2021.0</v>
      </c>
      <c r="G529" s="683">
        <v>0.024494371</v>
      </c>
      <c r="H529" s="683">
        <v>0.016770274</v>
      </c>
      <c r="I529" s="684">
        <v>0.034484473</v>
      </c>
      <c r="K529" s="693" t="s">
        <v>60</v>
      </c>
      <c r="L529" s="694" t="s">
        <v>215</v>
      </c>
      <c r="M529" s="694" t="s">
        <v>915</v>
      </c>
      <c r="N529" s="694" t="s">
        <v>918</v>
      </c>
      <c r="O529" s="694">
        <v>2021.0</v>
      </c>
      <c r="P529" s="694" t="s">
        <v>919</v>
      </c>
      <c r="Q529" s="695" t="s">
        <v>112</v>
      </c>
      <c r="R529" s="696">
        <v>0.605515682</v>
      </c>
      <c r="S529" s="696">
        <v>0.14326136</v>
      </c>
      <c r="T529" s="697">
        <v>1.500201863</v>
      </c>
      <c r="AB529" s="722"/>
      <c r="AF529" s="669"/>
    </row>
    <row r="530">
      <c r="A530" s="675"/>
      <c r="B530" s="681" t="s">
        <v>30</v>
      </c>
      <c r="C530" s="682" t="s">
        <v>915</v>
      </c>
      <c r="D530" s="682" t="s">
        <v>924</v>
      </c>
      <c r="E530" s="682" t="s">
        <v>352</v>
      </c>
      <c r="F530" s="682">
        <v>2021.0</v>
      </c>
      <c r="G530" s="683">
        <v>0.001358999</v>
      </c>
      <c r="H530" s="683">
        <v>8.90928E-4</v>
      </c>
      <c r="I530" s="684">
        <v>0.001901138</v>
      </c>
      <c r="K530" s="693" t="s">
        <v>60</v>
      </c>
      <c r="L530" s="694" t="s">
        <v>215</v>
      </c>
      <c r="M530" s="694" t="s">
        <v>915</v>
      </c>
      <c r="N530" s="694" t="s">
        <v>923</v>
      </c>
      <c r="O530" s="694">
        <v>2021.0</v>
      </c>
      <c r="P530" s="694" t="s">
        <v>919</v>
      </c>
      <c r="Q530" s="695" t="s">
        <v>112</v>
      </c>
      <c r="R530" s="696">
        <v>0.0</v>
      </c>
      <c r="S530" s="696">
        <v>0.0</v>
      </c>
      <c r="T530" s="697">
        <v>0.0</v>
      </c>
      <c r="AB530" s="722"/>
      <c r="AF530" s="669"/>
    </row>
    <row r="531">
      <c r="A531" s="675"/>
      <c r="B531" s="681" t="s">
        <v>30</v>
      </c>
      <c r="C531" s="682" t="s">
        <v>915</v>
      </c>
      <c r="D531" s="682" t="s">
        <v>926</v>
      </c>
      <c r="E531" s="682" t="s">
        <v>352</v>
      </c>
      <c r="F531" s="682">
        <v>2021.0</v>
      </c>
      <c r="G531" s="683">
        <v>0.023068706</v>
      </c>
      <c r="H531" s="683">
        <v>0.014995993</v>
      </c>
      <c r="I531" s="684">
        <v>0.032794292</v>
      </c>
      <c r="K531" s="693" t="s">
        <v>60</v>
      </c>
      <c r="L531" s="694" t="s">
        <v>215</v>
      </c>
      <c r="M531" s="694" t="s">
        <v>915</v>
      </c>
      <c r="N531" s="694" t="s">
        <v>925</v>
      </c>
      <c r="O531" s="694">
        <v>2021.0</v>
      </c>
      <c r="P531" s="694" t="s">
        <v>919</v>
      </c>
      <c r="Q531" s="695" t="s">
        <v>112</v>
      </c>
      <c r="R531" s="696">
        <v>0.0</v>
      </c>
      <c r="S531" s="696">
        <v>0.0</v>
      </c>
      <c r="T531" s="697">
        <v>0.0</v>
      </c>
      <c r="AB531" s="722"/>
      <c r="AF531" s="669"/>
    </row>
    <row r="532">
      <c r="A532" s="675"/>
      <c r="B532" s="681" t="s">
        <v>31</v>
      </c>
      <c r="C532" s="682" t="s">
        <v>915</v>
      </c>
      <c r="D532" s="682" t="s">
        <v>916</v>
      </c>
      <c r="E532" s="682" t="s">
        <v>352</v>
      </c>
      <c r="F532" s="682">
        <v>2021.0</v>
      </c>
      <c r="G532" s="683">
        <v>0.002004393</v>
      </c>
      <c r="H532" s="683">
        <v>0.001131502</v>
      </c>
      <c r="I532" s="684">
        <v>0.003113615</v>
      </c>
      <c r="K532" s="693" t="s">
        <v>60</v>
      </c>
      <c r="L532" s="694" t="s">
        <v>215</v>
      </c>
      <c r="M532" s="694" t="s">
        <v>915</v>
      </c>
      <c r="N532" s="694" t="s">
        <v>927</v>
      </c>
      <c r="O532" s="694">
        <v>2021.0</v>
      </c>
      <c r="P532" s="694" t="s">
        <v>919</v>
      </c>
      <c r="Q532" s="695" t="s">
        <v>112</v>
      </c>
      <c r="R532" s="696">
        <v>0.084029561</v>
      </c>
      <c r="S532" s="696">
        <v>0.017127045</v>
      </c>
      <c r="T532" s="697">
        <v>0.230873108</v>
      </c>
      <c r="AB532" s="722"/>
      <c r="AF532" s="669"/>
    </row>
    <row r="533">
      <c r="A533" s="675"/>
      <c r="B533" s="681" t="s">
        <v>31</v>
      </c>
      <c r="C533" s="682" t="s">
        <v>915</v>
      </c>
      <c r="D533" s="682" t="s">
        <v>922</v>
      </c>
      <c r="E533" s="682" t="s">
        <v>352</v>
      </c>
      <c r="F533" s="682">
        <v>2021.0</v>
      </c>
      <c r="G533" s="683">
        <v>0.016803436</v>
      </c>
      <c r="H533" s="683">
        <v>0.010879753</v>
      </c>
      <c r="I533" s="684">
        <v>0.02430045</v>
      </c>
      <c r="K533" s="693" t="s">
        <v>60</v>
      </c>
      <c r="L533" s="694" t="s">
        <v>215</v>
      </c>
      <c r="M533" s="694" t="s">
        <v>915</v>
      </c>
      <c r="N533" s="694" t="s">
        <v>926</v>
      </c>
      <c r="O533" s="694">
        <v>2021.0</v>
      </c>
      <c r="P533" s="694" t="s">
        <v>919</v>
      </c>
      <c r="Q533" s="695" t="s">
        <v>112</v>
      </c>
      <c r="R533" s="696">
        <v>0.689545242</v>
      </c>
      <c r="S533" s="696">
        <v>0.196542733</v>
      </c>
      <c r="T533" s="697">
        <v>1.5902893</v>
      </c>
      <c r="AB533" s="722"/>
      <c r="AF533" s="669"/>
    </row>
    <row r="534">
      <c r="A534" s="675"/>
      <c r="B534" s="681" t="s">
        <v>31</v>
      </c>
      <c r="C534" s="682" t="s">
        <v>915</v>
      </c>
      <c r="D534" s="682" t="s">
        <v>924</v>
      </c>
      <c r="E534" s="682" t="s">
        <v>352</v>
      </c>
      <c r="F534" s="682">
        <v>2021.0</v>
      </c>
      <c r="G534" s="683">
        <v>8.48418E-4</v>
      </c>
      <c r="H534" s="683">
        <v>4.7836E-4</v>
      </c>
      <c r="I534" s="684">
        <v>0.001313654</v>
      </c>
      <c r="K534" s="693" t="s">
        <v>61</v>
      </c>
      <c r="L534" s="694" t="s">
        <v>215</v>
      </c>
      <c r="M534" s="694" t="s">
        <v>915</v>
      </c>
      <c r="N534" s="694" t="s">
        <v>918</v>
      </c>
      <c r="O534" s="694">
        <v>2021.0</v>
      </c>
      <c r="P534" s="694" t="s">
        <v>919</v>
      </c>
      <c r="Q534" s="695" t="s">
        <v>112</v>
      </c>
      <c r="R534" s="696">
        <v>0.175366462</v>
      </c>
      <c r="S534" s="696">
        <v>0.035594561</v>
      </c>
      <c r="T534" s="697">
        <v>0.477176818</v>
      </c>
      <c r="AB534" s="722"/>
      <c r="AF534" s="669"/>
    </row>
    <row r="535">
      <c r="A535" s="675"/>
      <c r="B535" s="681" t="s">
        <v>31</v>
      </c>
      <c r="C535" s="682" t="s">
        <v>915</v>
      </c>
      <c r="D535" s="682" t="s">
        <v>926</v>
      </c>
      <c r="E535" s="682" t="s">
        <v>352</v>
      </c>
      <c r="F535" s="682">
        <v>2021.0</v>
      </c>
      <c r="G535" s="683">
        <v>0.01387223</v>
      </c>
      <c r="H535" s="683">
        <v>0.009092737</v>
      </c>
      <c r="I535" s="684">
        <v>0.019552701</v>
      </c>
      <c r="K535" s="693" t="s">
        <v>61</v>
      </c>
      <c r="L535" s="694" t="s">
        <v>215</v>
      </c>
      <c r="M535" s="694" t="s">
        <v>915</v>
      </c>
      <c r="N535" s="694" t="s">
        <v>923</v>
      </c>
      <c r="O535" s="694">
        <v>2021.0</v>
      </c>
      <c r="P535" s="694" t="s">
        <v>919</v>
      </c>
      <c r="Q535" s="695" t="s">
        <v>112</v>
      </c>
      <c r="R535" s="696">
        <v>0.0</v>
      </c>
      <c r="S535" s="696">
        <v>0.0</v>
      </c>
      <c r="T535" s="697">
        <v>0.0</v>
      </c>
      <c r="AB535" s="722"/>
      <c r="AF535" s="669"/>
    </row>
    <row r="536">
      <c r="A536" s="675"/>
      <c r="B536" s="681" t="s">
        <v>32</v>
      </c>
      <c r="C536" s="682" t="s">
        <v>915</v>
      </c>
      <c r="D536" s="682" t="s">
        <v>916</v>
      </c>
      <c r="E536" s="682" t="s">
        <v>352</v>
      </c>
      <c r="F536" s="682">
        <v>2021.0</v>
      </c>
      <c r="G536" s="683">
        <v>0.002148469</v>
      </c>
      <c r="H536" s="683">
        <v>0.001288526</v>
      </c>
      <c r="I536" s="684">
        <v>0.003208876</v>
      </c>
      <c r="K536" s="693" t="s">
        <v>61</v>
      </c>
      <c r="L536" s="694" t="s">
        <v>215</v>
      </c>
      <c r="M536" s="694" t="s">
        <v>915</v>
      </c>
      <c r="N536" s="694" t="s">
        <v>925</v>
      </c>
      <c r="O536" s="694">
        <v>2021.0</v>
      </c>
      <c r="P536" s="694" t="s">
        <v>919</v>
      </c>
      <c r="Q536" s="695" t="s">
        <v>112</v>
      </c>
      <c r="R536" s="696">
        <v>0.0</v>
      </c>
      <c r="S536" s="696">
        <v>0.0</v>
      </c>
      <c r="T536" s="697">
        <v>0.0</v>
      </c>
      <c r="AB536" s="722"/>
      <c r="AF536" s="669"/>
    </row>
    <row r="537">
      <c r="A537" s="675"/>
      <c r="B537" s="681" t="s">
        <v>32</v>
      </c>
      <c r="C537" s="682" t="s">
        <v>915</v>
      </c>
      <c r="D537" s="682" t="s">
        <v>922</v>
      </c>
      <c r="E537" s="682" t="s">
        <v>352</v>
      </c>
      <c r="F537" s="682">
        <v>2021.0</v>
      </c>
      <c r="G537" s="683">
        <v>0.018501934</v>
      </c>
      <c r="H537" s="683">
        <v>0.012303501</v>
      </c>
      <c r="I537" s="684">
        <v>0.026831625</v>
      </c>
      <c r="K537" s="693" t="s">
        <v>61</v>
      </c>
      <c r="L537" s="694" t="s">
        <v>215</v>
      </c>
      <c r="M537" s="694" t="s">
        <v>915</v>
      </c>
      <c r="N537" s="694" t="s">
        <v>927</v>
      </c>
      <c r="O537" s="694">
        <v>2021.0</v>
      </c>
      <c r="P537" s="694" t="s">
        <v>919</v>
      </c>
      <c r="Q537" s="695" t="s">
        <v>112</v>
      </c>
      <c r="R537" s="696">
        <v>0.066767652</v>
      </c>
      <c r="S537" s="696">
        <v>0.012444134</v>
      </c>
      <c r="T537" s="697">
        <v>0.188836107</v>
      </c>
      <c r="AB537" s="722"/>
      <c r="AF537" s="669"/>
    </row>
    <row r="538">
      <c r="A538" s="675"/>
      <c r="B538" s="681" t="s">
        <v>32</v>
      </c>
      <c r="C538" s="682" t="s">
        <v>915</v>
      </c>
      <c r="D538" s="682" t="s">
        <v>924</v>
      </c>
      <c r="E538" s="682" t="s">
        <v>352</v>
      </c>
      <c r="F538" s="682">
        <v>2021.0</v>
      </c>
      <c r="G538" s="683">
        <v>0.001325756</v>
      </c>
      <c r="H538" s="683">
        <v>7.78969E-4</v>
      </c>
      <c r="I538" s="684">
        <v>0.001999597</v>
      </c>
      <c r="K538" s="693" t="s">
        <v>61</v>
      </c>
      <c r="L538" s="694" t="s">
        <v>215</v>
      </c>
      <c r="M538" s="694" t="s">
        <v>915</v>
      </c>
      <c r="N538" s="694" t="s">
        <v>926</v>
      </c>
      <c r="O538" s="694">
        <v>2021.0</v>
      </c>
      <c r="P538" s="694" t="s">
        <v>919</v>
      </c>
      <c r="Q538" s="695" t="s">
        <v>112</v>
      </c>
      <c r="R538" s="696">
        <v>0.242134115</v>
      </c>
      <c r="S538" s="696">
        <v>0.06419308</v>
      </c>
      <c r="T538" s="697">
        <v>0.585933933</v>
      </c>
      <c r="AB538" s="722"/>
      <c r="AF538" s="669"/>
    </row>
    <row r="539">
      <c r="A539" s="675"/>
      <c r="B539" s="681" t="s">
        <v>32</v>
      </c>
      <c r="C539" s="682" t="s">
        <v>915</v>
      </c>
      <c r="D539" s="682" t="s">
        <v>926</v>
      </c>
      <c r="E539" s="682" t="s">
        <v>352</v>
      </c>
      <c r="F539" s="682">
        <v>2021.0</v>
      </c>
      <c r="G539" s="683">
        <v>0.021079399</v>
      </c>
      <c r="H539" s="683">
        <v>0.013249841</v>
      </c>
      <c r="I539" s="684">
        <v>0.030338707</v>
      </c>
      <c r="K539" s="693" t="s">
        <v>63</v>
      </c>
      <c r="L539" s="694" t="s">
        <v>215</v>
      </c>
      <c r="M539" s="694" t="s">
        <v>915</v>
      </c>
      <c r="N539" s="694" t="s">
        <v>918</v>
      </c>
      <c r="O539" s="694">
        <v>2021.0</v>
      </c>
      <c r="P539" s="694" t="s">
        <v>919</v>
      </c>
      <c r="Q539" s="695" t="s">
        <v>112</v>
      </c>
      <c r="R539" s="696">
        <v>1.208837736</v>
      </c>
      <c r="S539" s="696">
        <v>0.30034464</v>
      </c>
      <c r="T539" s="697">
        <v>3.002757221</v>
      </c>
      <c r="AB539" s="722"/>
      <c r="AF539" s="669"/>
    </row>
    <row r="540">
      <c r="A540" s="675"/>
      <c r="B540" s="681" t="s">
        <v>33</v>
      </c>
      <c r="C540" s="682" t="s">
        <v>915</v>
      </c>
      <c r="D540" s="682" t="s">
        <v>916</v>
      </c>
      <c r="E540" s="682" t="s">
        <v>352</v>
      </c>
      <c r="F540" s="682">
        <v>2021.0</v>
      </c>
      <c r="G540" s="683">
        <v>0.002520287</v>
      </c>
      <c r="H540" s="683">
        <v>0.001607119</v>
      </c>
      <c r="I540" s="684">
        <v>0.003640644</v>
      </c>
      <c r="K540" s="693" t="s">
        <v>63</v>
      </c>
      <c r="L540" s="694" t="s">
        <v>215</v>
      </c>
      <c r="M540" s="694" t="s">
        <v>915</v>
      </c>
      <c r="N540" s="694" t="s">
        <v>923</v>
      </c>
      <c r="O540" s="694">
        <v>2021.0</v>
      </c>
      <c r="P540" s="694" t="s">
        <v>919</v>
      </c>
      <c r="Q540" s="695" t="s">
        <v>112</v>
      </c>
      <c r="R540" s="696">
        <v>0.0</v>
      </c>
      <c r="S540" s="696">
        <v>0.0</v>
      </c>
      <c r="T540" s="697">
        <v>0.0</v>
      </c>
      <c r="AB540" s="722"/>
      <c r="AF540" s="669"/>
    </row>
    <row r="541">
      <c r="A541" s="675"/>
      <c r="B541" s="681" t="s">
        <v>33</v>
      </c>
      <c r="C541" s="682" t="s">
        <v>915</v>
      </c>
      <c r="D541" s="682" t="s">
        <v>922</v>
      </c>
      <c r="E541" s="682" t="s">
        <v>352</v>
      </c>
      <c r="F541" s="682">
        <v>2021.0</v>
      </c>
      <c r="G541" s="683">
        <v>0.02109105</v>
      </c>
      <c r="H541" s="683">
        <v>0.014694764</v>
      </c>
      <c r="I541" s="684">
        <v>0.029600739</v>
      </c>
      <c r="K541" s="693" t="s">
        <v>63</v>
      </c>
      <c r="L541" s="694" t="s">
        <v>215</v>
      </c>
      <c r="M541" s="694" t="s">
        <v>915</v>
      </c>
      <c r="N541" s="694" t="s">
        <v>925</v>
      </c>
      <c r="O541" s="694">
        <v>2021.0</v>
      </c>
      <c r="P541" s="694" t="s">
        <v>919</v>
      </c>
      <c r="Q541" s="695" t="s">
        <v>112</v>
      </c>
      <c r="R541" s="696">
        <v>0.0</v>
      </c>
      <c r="S541" s="696">
        <v>0.0</v>
      </c>
      <c r="T541" s="697">
        <v>0.0</v>
      </c>
      <c r="AB541" s="722"/>
      <c r="AF541" s="669"/>
    </row>
    <row r="542">
      <c r="A542" s="675"/>
      <c r="B542" s="681" t="s">
        <v>33</v>
      </c>
      <c r="C542" s="682" t="s">
        <v>915</v>
      </c>
      <c r="D542" s="682" t="s">
        <v>924</v>
      </c>
      <c r="E542" s="682" t="s">
        <v>352</v>
      </c>
      <c r="F542" s="682">
        <v>2021.0</v>
      </c>
      <c r="G542" s="683">
        <v>0.001052452</v>
      </c>
      <c r="H542" s="683">
        <v>6.73461E-4</v>
      </c>
      <c r="I542" s="684">
        <v>0.001501815</v>
      </c>
      <c r="K542" s="693" t="s">
        <v>63</v>
      </c>
      <c r="L542" s="694" t="s">
        <v>215</v>
      </c>
      <c r="M542" s="694" t="s">
        <v>915</v>
      </c>
      <c r="N542" s="694" t="s">
        <v>927</v>
      </c>
      <c r="O542" s="694">
        <v>2021.0</v>
      </c>
      <c r="P542" s="694" t="s">
        <v>919</v>
      </c>
      <c r="Q542" s="695" t="s">
        <v>112</v>
      </c>
      <c r="R542" s="696">
        <v>0.288561387</v>
      </c>
      <c r="S542" s="696">
        <v>0.052434615</v>
      </c>
      <c r="T542" s="697">
        <v>0.825878551</v>
      </c>
      <c r="AB542" s="722"/>
      <c r="AF542" s="669"/>
    </row>
    <row r="543">
      <c r="A543" s="675"/>
      <c r="B543" s="681" t="s">
        <v>33</v>
      </c>
      <c r="C543" s="682" t="s">
        <v>915</v>
      </c>
      <c r="D543" s="682" t="s">
        <v>926</v>
      </c>
      <c r="E543" s="682" t="s">
        <v>352</v>
      </c>
      <c r="F543" s="682">
        <v>2021.0</v>
      </c>
      <c r="G543" s="683">
        <v>0.01695616</v>
      </c>
      <c r="H543" s="683">
        <v>0.011141582</v>
      </c>
      <c r="I543" s="684">
        <v>0.024035393</v>
      </c>
      <c r="K543" s="693" t="s">
        <v>63</v>
      </c>
      <c r="L543" s="694" t="s">
        <v>215</v>
      </c>
      <c r="M543" s="694" t="s">
        <v>915</v>
      </c>
      <c r="N543" s="694" t="s">
        <v>926</v>
      </c>
      <c r="O543" s="694">
        <v>2021.0</v>
      </c>
      <c r="P543" s="694" t="s">
        <v>919</v>
      </c>
      <c r="Q543" s="695" t="s">
        <v>112</v>
      </c>
      <c r="R543" s="696">
        <v>1.497399123</v>
      </c>
      <c r="S543" s="696">
        <v>0.445218329</v>
      </c>
      <c r="T543" s="697">
        <v>3.609966716</v>
      </c>
      <c r="AB543" s="722"/>
      <c r="AF543" s="669"/>
    </row>
    <row r="544">
      <c r="A544" s="675"/>
      <c r="B544" s="681" t="s">
        <v>34</v>
      </c>
      <c r="C544" s="682" t="s">
        <v>915</v>
      </c>
      <c r="D544" s="682" t="s">
        <v>916</v>
      </c>
      <c r="E544" s="682" t="s">
        <v>352</v>
      </c>
      <c r="F544" s="682">
        <v>2021.0</v>
      </c>
      <c r="G544" s="683">
        <v>0.002528167</v>
      </c>
      <c r="H544" s="683">
        <v>0.001635241</v>
      </c>
      <c r="I544" s="684">
        <v>0.003591065</v>
      </c>
      <c r="K544" s="693" t="s">
        <v>64</v>
      </c>
      <c r="L544" s="694" t="s">
        <v>215</v>
      </c>
      <c r="M544" s="694" t="s">
        <v>915</v>
      </c>
      <c r="N544" s="694" t="s">
        <v>918</v>
      </c>
      <c r="O544" s="694">
        <v>2021.0</v>
      </c>
      <c r="P544" s="694" t="s">
        <v>919</v>
      </c>
      <c r="Q544" s="695" t="s">
        <v>112</v>
      </c>
      <c r="R544" s="696">
        <v>2.989142547</v>
      </c>
      <c r="S544" s="696">
        <v>0.576754706</v>
      </c>
      <c r="T544" s="697">
        <v>8.272805786</v>
      </c>
      <c r="AB544" s="722"/>
      <c r="AF544" s="669"/>
    </row>
    <row r="545">
      <c r="A545" s="675"/>
      <c r="B545" s="681" t="s">
        <v>34</v>
      </c>
      <c r="C545" s="682" t="s">
        <v>915</v>
      </c>
      <c r="D545" s="682" t="s">
        <v>922</v>
      </c>
      <c r="E545" s="682" t="s">
        <v>352</v>
      </c>
      <c r="F545" s="682">
        <v>2021.0</v>
      </c>
      <c r="G545" s="683">
        <v>0.025109776</v>
      </c>
      <c r="H545" s="683">
        <v>0.017823754</v>
      </c>
      <c r="I545" s="684">
        <v>0.03481246</v>
      </c>
      <c r="K545" s="693" t="s">
        <v>64</v>
      </c>
      <c r="L545" s="694" t="s">
        <v>215</v>
      </c>
      <c r="M545" s="694" t="s">
        <v>915</v>
      </c>
      <c r="N545" s="694" t="s">
        <v>923</v>
      </c>
      <c r="O545" s="694">
        <v>2021.0</v>
      </c>
      <c r="P545" s="694" t="s">
        <v>919</v>
      </c>
      <c r="Q545" s="695" t="s">
        <v>112</v>
      </c>
      <c r="R545" s="696">
        <v>0.0</v>
      </c>
      <c r="S545" s="696">
        <v>0.0</v>
      </c>
      <c r="T545" s="697">
        <v>0.0</v>
      </c>
      <c r="AB545" s="722"/>
      <c r="AF545" s="669"/>
    </row>
    <row r="546">
      <c r="A546" s="675"/>
      <c r="B546" s="681" t="s">
        <v>34</v>
      </c>
      <c r="C546" s="682" t="s">
        <v>915</v>
      </c>
      <c r="D546" s="682" t="s">
        <v>924</v>
      </c>
      <c r="E546" s="682" t="s">
        <v>352</v>
      </c>
      <c r="F546" s="682">
        <v>2021.0</v>
      </c>
      <c r="G546" s="683">
        <v>0.001083798</v>
      </c>
      <c r="H546" s="683">
        <v>7.2059E-4</v>
      </c>
      <c r="I546" s="684">
        <v>0.001493952</v>
      </c>
      <c r="K546" s="693" t="s">
        <v>64</v>
      </c>
      <c r="L546" s="694" t="s">
        <v>215</v>
      </c>
      <c r="M546" s="694" t="s">
        <v>915</v>
      </c>
      <c r="N546" s="694" t="s">
        <v>925</v>
      </c>
      <c r="O546" s="694">
        <v>2021.0</v>
      </c>
      <c r="P546" s="694" t="s">
        <v>919</v>
      </c>
      <c r="Q546" s="695" t="s">
        <v>112</v>
      </c>
      <c r="R546" s="696">
        <v>0.0</v>
      </c>
      <c r="S546" s="696">
        <v>0.0</v>
      </c>
      <c r="T546" s="697">
        <v>0.0</v>
      </c>
      <c r="AB546" s="722"/>
      <c r="AF546" s="669"/>
    </row>
    <row r="547">
      <c r="A547" s="675"/>
      <c r="B547" s="681" t="s">
        <v>34</v>
      </c>
      <c r="C547" s="682" t="s">
        <v>915</v>
      </c>
      <c r="D547" s="682" t="s">
        <v>926</v>
      </c>
      <c r="E547" s="682" t="s">
        <v>352</v>
      </c>
      <c r="F547" s="682">
        <v>2021.0</v>
      </c>
      <c r="G547" s="683">
        <v>0.018438313</v>
      </c>
      <c r="H547" s="683">
        <v>0.013093</v>
      </c>
      <c r="I547" s="684">
        <v>0.025249354</v>
      </c>
      <c r="K547" s="693" t="s">
        <v>64</v>
      </c>
      <c r="L547" s="694" t="s">
        <v>215</v>
      </c>
      <c r="M547" s="694" t="s">
        <v>915</v>
      </c>
      <c r="N547" s="694" t="s">
        <v>927</v>
      </c>
      <c r="O547" s="694">
        <v>2021.0</v>
      </c>
      <c r="P547" s="694" t="s">
        <v>919</v>
      </c>
      <c r="Q547" s="695" t="s">
        <v>112</v>
      </c>
      <c r="R547" s="696">
        <v>1.722023852</v>
      </c>
      <c r="S547" s="696">
        <v>0.323117965</v>
      </c>
      <c r="T547" s="697">
        <v>4.875493431</v>
      </c>
      <c r="AB547" s="722"/>
      <c r="AF547" s="669"/>
    </row>
    <row r="548">
      <c r="A548" s="675"/>
      <c r="B548" s="681" t="s">
        <v>54</v>
      </c>
      <c r="C548" s="682" t="s">
        <v>915</v>
      </c>
      <c r="D548" s="682" t="s">
        <v>916</v>
      </c>
      <c r="E548" s="682" t="s">
        <v>352</v>
      </c>
      <c r="F548" s="682">
        <v>2021.0</v>
      </c>
      <c r="G548" s="683">
        <v>0.001960957</v>
      </c>
      <c r="H548" s="683">
        <v>0.001074831</v>
      </c>
      <c r="I548" s="684">
        <v>0.003071402</v>
      </c>
      <c r="K548" s="693" t="s">
        <v>64</v>
      </c>
      <c r="L548" s="694" t="s">
        <v>215</v>
      </c>
      <c r="M548" s="694" t="s">
        <v>915</v>
      </c>
      <c r="N548" s="694" t="s">
        <v>926</v>
      </c>
      <c r="O548" s="694">
        <v>2021.0</v>
      </c>
      <c r="P548" s="694" t="s">
        <v>919</v>
      </c>
      <c r="Q548" s="695" t="s">
        <v>112</v>
      </c>
      <c r="R548" s="696">
        <v>4.711166399</v>
      </c>
      <c r="S548" s="696">
        <v>1.367064029</v>
      </c>
      <c r="T548" s="697">
        <v>11.53641606</v>
      </c>
      <c r="AB548" s="722"/>
      <c r="AF548" s="669"/>
    </row>
    <row r="549">
      <c r="A549" s="675"/>
      <c r="B549" s="681" t="s">
        <v>54</v>
      </c>
      <c r="C549" s="682" t="s">
        <v>915</v>
      </c>
      <c r="D549" s="682" t="s">
        <v>922</v>
      </c>
      <c r="E549" s="682" t="s">
        <v>352</v>
      </c>
      <c r="F549" s="682">
        <v>2021.0</v>
      </c>
      <c r="G549" s="683">
        <v>0.019361124</v>
      </c>
      <c r="H549" s="683">
        <v>0.013532188</v>
      </c>
      <c r="I549" s="684">
        <v>0.026797571</v>
      </c>
      <c r="K549" s="693" t="s">
        <v>65</v>
      </c>
      <c r="L549" s="694" t="s">
        <v>215</v>
      </c>
      <c r="M549" s="694" t="s">
        <v>915</v>
      </c>
      <c r="N549" s="694" t="s">
        <v>918</v>
      </c>
      <c r="O549" s="694">
        <v>2021.0</v>
      </c>
      <c r="P549" s="694" t="s">
        <v>919</v>
      </c>
      <c r="Q549" s="695" t="s">
        <v>112</v>
      </c>
      <c r="R549" s="696">
        <v>0.531868461</v>
      </c>
      <c r="S549" s="696">
        <v>0.112010927</v>
      </c>
      <c r="T549" s="697">
        <v>1.363739009</v>
      </c>
      <c r="AB549" s="722"/>
      <c r="AF549" s="669"/>
    </row>
    <row r="550">
      <c r="A550" s="675"/>
      <c r="B550" s="681" t="s">
        <v>54</v>
      </c>
      <c r="C550" s="682" t="s">
        <v>915</v>
      </c>
      <c r="D550" s="682" t="s">
        <v>924</v>
      </c>
      <c r="E550" s="682" t="s">
        <v>352</v>
      </c>
      <c r="F550" s="682">
        <v>2021.0</v>
      </c>
      <c r="G550" s="683">
        <v>4.43956E-4</v>
      </c>
      <c r="H550" s="683">
        <v>2.18728E-4</v>
      </c>
      <c r="I550" s="684">
        <v>6.87472E-4</v>
      </c>
      <c r="K550" s="693" t="s">
        <v>65</v>
      </c>
      <c r="L550" s="694" t="s">
        <v>215</v>
      </c>
      <c r="M550" s="694" t="s">
        <v>915</v>
      </c>
      <c r="N550" s="694" t="s">
        <v>923</v>
      </c>
      <c r="O550" s="694">
        <v>2021.0</v>
      </c>
      <c r="P550" s="694" t="s">
        <v>919</v>
      </c>
      <c r="Q550" s="695" t="s">
        <v>112</v>
      </c>
      <c r="R550" s="696">
        <v>0.0</v>
      </c>
      <c r="S550" s="696">
        <v>0.0</v>
      </c>
      <c r="T550" s="697">
        <v>0.0</v>
      </c>
      <c r="AB550" s="722"/>
      <c r="AF550" s="669"/>
    </row>
    <row r="551">
      <c r="A551" s="675"/>
      <c r="B551" s="681" t="s">
        <v>54</v>
      </c>
      <c r="C551" s="682" t="s">
        <v>915</v>
      </c>
      <c r="D551" s="682" t="s">
        <v>926</v>
      </c>
      <c r="E551" s="682" t="s">
        <v>352</v>
      </c>
      <c r="F551" s="682">
        <v>2021.0</v>
      </c>
      <c r="G551" s="683">
        <v>0.006925311</v>
      </c>
      <c r="H551" s="683">
        <v>0.004296713</v>
      </c>
      <c r="I551" s="684">
        <v>0.010092998</v>
      </c>
      <c r="K551" s="693" t="s">
        <v>65</v>
      </c>
      <c r="L551" s="694" t="s">
        <v>215</v>
      </c>
      <c r="M551" s="694" t="s">
        <v>915</v>
      </c>
      <c r="N551" s="694" t="s">
        <v>925</v>
      </c>
      <c r="O551" s="694">
        <v>2021.0</v>
      </c>
      <c r="P551" s="694" t="s">
        <v>919</v>
      </c>
      <c r="Q551" s="695" t="s">
        <v>112</v>
      </c>
      <c r="R551" s="696">
        <v>0.0</v>
      </c>
      <c r="S551" s="696">
        <v>0.0</v>
      </c>
      <c r="T551" s="697">
        <v>0.0</v>
      </c>
      <c r="AB551" s="722"/>
      <c r="AF551" s="669"/>
    </row>
    <row r="552">
      <c r="A552" s="675"/>
      <c r="B552" s="681" t="s">
        <v>55</v>
      </c>
      <c r="C552" s="682" t="s">
        <v>915</v>
      </c>
      <c r="D552" s="682" t="s">
        <v>916</v>
      </c>
      <c r="E552" s="682" t="s">
        <v>352</v>
      </c>
      <c r="F552" s="682">
        <v>2021.0</v>
      </c>
      <c r="G552" s="683">
        <v>0.002123181</v>
      </c>
      <c r="H552" s="683">
        <v>0.001268774</v>
      </c>
      <c r="I552" s="684">
        <v>0.003312078</v>
      </c>
      <c r="K552" s="693" t="s">
        <v>65</v>
      </c>
      <c r="L552" s="694" t="s">
        <v>215</v>
      </c>
      <c r="M552" s="694" t="s">
        <v>915</v>
      </c>
      <c r="N552" s="694" t="s">
        <v>927</v>
      </c>
      <c r="O552" s="694">
        <v>2021.0</v>
      </c>
      <c r="P552" s="694" t="s">
        <v>919</v>
      </c>
      <c r="Q552" s="695" t="s">
        <v>112</v>
      </c>
      <c r="R552" s="696">
        <v>0.195401276</v>
      </c>
      <c r="S552" s="696">
        <v>0.033964245</v>
      </c>
      <c r="T552" s="697">
        <v>0.593189736</v>
      </c>
      <c r="AB552" s="722"/>
      <c r="AF552" s="669"/>
    </row>
    <row r="553">
      <c r="A553" s="675"/>
      <c r="B553" s="681" t="s">
        <v>55</v>
      </c>
      <c r="C553" s="682" t="s">
        <v>915</v>
      </c>
      <c r="D553" s="682" t="s">
        <v>922</v>
      </c>
      <c r="E553" s="682" t="s">
        <v>352</v>
      </c>
      <c r="F553" s="682">
        <v>2021.0</v>
      </c>
      <c r="G553" s="683">
        <v>0.016970364</v>
      </c>
      <c r="H553" s="683">
        <v>0.01174171</v>
      </c>
      <c r="I553" s="684">
        <v>0.024915095</v>
      </c>
      <c r="K553" s="693" t="s">
        <v>65</v>
      </c>
      <c r="L553" s="694" t="s">
        <v>215</v>
      </c>
      <c r="M553" s="694" t="s">
        <v>915</v>
      </c>
      <c r="N553" s="694" t="s">
        <v>926</v>
      </c>
      <c r="O553" s="694">
        <v>2021.0</v>
      </c>
      <c r="P553" s="694" t="s">
        <v>919</v>
      </c>
      <c r="Q553" s="695" t="s">
        <v>112</v>
      </c>
      <c r="R553" s="696">
        <v>0.727269737</v>
      </c>
      <c r="S553" s="696">
        <v>0.199626394</v>
      </c>
      <c r="T553" s="697">
        <v>1.664015527</v>
      </c>
      <c r="AB553" s="722"/>
      <c r="AF553" s="669"/>
    </row>
    <row r="554">
      <c r="A554" s="675"/>
      <c r="B554" s="681" t="s">
        <v>55</v>
      </c>
      <c r="C554" s="682" t="s">
        <v>915</v>
      </c>
      <c r="D554" s="682" t="s">
        <v>924</v>
      </c>
      <c r="E554" s="682" t="s">
        <v>352</v>
      </c>
      <c r="F554" s="682">
        <v>2021.0</v>
      </c>
      <c r="G554" s="683">
        <v>3.88867E-4</v>
      </c>
      <c r="H554" s="683">
        <v>2.09862E-4</v>
      </c>
      <c r="I554" s="684">
        <v>6.43869E-4</v>
      </c>
      <c r="K554" s="693" t="s">
        <v>35</v>
      </c>
      <c r="L554" s="694" t="s">
        <v>215</v>
      </c>
      <c r="M554" s="694" t="s">
        <v>915</v>
      </c>
      <c r="N554" s="694" t="s">
        <v>918</v>
      </c>
      <c r="O554" s="694">
        <v>2021.0</v>
      </c>
      <c r="P554" s="694" t="s">
        <v>919</v>
      </c>
      <c r="Q554" s="695" t="s">
        <v>112</v>
      </c>
      <c r="R554" s="696">
        <v>358.4508391</v>
      </c>
      <c r="S554" s="696">
        <v>96.35160518</v>
      </c>
      <c r="T554" s="697">
        <v>849.554887</v>
      </c>
      <c r="AB554" s="722"/>
      <c r="AF554" s="669"/>
    </row>
    <row r="555">
      <c r="A555" s="675"/>
      <c r="B555" s="681" t="s">
        <v>55</v>
      </c>
      <c r="C555" s="682" t="s">
        <v>915</v>
      </c>
      <c r="D555" s="682" t="s">
        <v>926</v>
      </c>
      <c r="E555" s="682" t="s">
        <v>352</v>
      </c>
      <c r="F555" s="682">
        <v>2021.0</v>
      </c>
      <c r="G555" s="683">
        <v>0.005374371</v>
      </c>
      <c r="H555" s="683">
        <v>0.003451976</v>
      </c>
      <c r="I555" s="684">
        <v>0.007625823</v>
      </c>
      <c r="K555" s="693" t="s">
        <v>35</v>
      </c>
      <c r="L555" s="694" t="s">
        <v>215</v>
      </c>
      <c r="M555" s="694" t="s">
        <v>915</v>
      </c>
      <c r="N555" s="694" t="s">
        <v>923</v>
      </c>
      <c r="O555" s="694">
        <v>2021.0</v>
      </c>
      <c r="P555" s="694" t="s">
        <v>919</v>
      </c>
      <c r="Q555" s="695" t="s">
        <v>112</v>
      </c>
      <c r="R555" s="696">
        <v>0.0</v>
      </c>
      <c r="S555" s="696">
        <v>0.0</v>
      </c>
      <c r="T555" s="697">
        <v>0.0</v>
      </c>
      <c r="AB555" s="722"/>
      <c r="AF555" s="669"/>
    </row>
    <row r="556">
      <c r="A556" s="675"/>
      <c r="B556" s="681" t="s">
        <v>56</v>
      </c>
      <c r="C556" s="682" t="s">
        <v>915</v>
      </c>
      <c r="D556" s="682" t="s">
        <v>916</v>
      </c>
      <c r="E556" s="682" t="s">
        <v>352</v>
      </c>
      <c r="F556" s="682">
        <v>2021.0</v>
      </c>
      <c r="G556" s="683">
        <v>0.001496856</v>
      </c>
      <c r="H556" s="683">
        <v>8.35749E-4</v>
      </c>
      <c r="I556" s="684">
        <v>0.002417496</v>
      </c>
      <c r="K556" s="693" t="s">
        <v>35</v>
      </c>
      <c r="L556" s="694" t="s">
        <v>215</v>
      </c>
      <c r="M556" s="694" t="s">
        <v>915</v>
      </c>
      <c r="N556" s="694" t="s">
        <v>925</v>
      </c>
      <c r="O556" s="694">
        <v>2021.0</v>
      </c>
      <c r="P556" s="694" t="s">
        <v>919</v>
      </c>
      <c r="Q556" s="695" t="s">
        <v>112</v>
      </c>
      <c r="R556" s="696">
        <v>0.0</v>
      </c>
      <c r="S556" s="696">
        <v>0.0</v>
      </c>
      <c r="T556" s="697">
        <v>0.0</v>
      </c>
      <c r="AB556" s="722"/>
      <c r="AF556" s="669"/>
    </row>
    <row r="557">
      <c r="A557" s="675"/>
      <c r="B557" s="681" t="s">
        <v>56</v>
      </c>
      <c r="C557" s="682" t="s">
        <v>915</v>
      </c>
      <c r="D557" s="682" t="s">
        <v>922</v>
      </c>
      <c r="E557" s="682" t="s">
        <v>352</v>
      </c>
      <c r="F557" s="682">
        <v>2021.0</v>
      </c>
      <c r="G557" s="683">
        <v>0.011549145</v>
      </c>
      <c r="H557" s="683">
        <v>0.006947182</v>
      </c>
      <c r="I557" s="684">
        <v>0.017485331</v>
      </c>
      <c r="K557" s="693" t="s">
        <v>35</v>
      </c>
      <c r="L557" s="694" t="s">
        <v>215</v>
      </c>
      <c r="M557" s="694" t="s">
        <v>915</v>
      </c>
      <c r="N557" s="694" t="s">
        <v>927</v>
      </c>
      <c r="O557" s="694">
        <v>2021.0</v>
      </c>
      <c r="P557" s="694" t="s">
        <v>919</v>
      </c>
      <c r="Q557" s="695" t="s">
        <v>112</v>
      </c>
      <c r="R557" s="696">
        <v>63.04011149</v>
      </c>
      <c r="S557" s="696">
        <v>12.16108103</v>
      </c>
      <c r="T557" s="697">
        <v>170.9261823</v>
      </c>
      <c r="AB557" s="722"/>
      <c r="AF557" s="669"/>
    </row>
    <row r="558">
      <c r="A558" s="675"/>
      <c r="B558" s="681" t="s">
        <v>56</v>
      </c>
      <c r="C558" s="682" t="s">
        <v>915</v>
      </c>
      <c r="D558" s="682" t="s">
        <v>924</v>
      </c>
      <c r="E558" s="682" t="s">
        <v>352</v>
      </c>
      <c r="F558" s="682">
        <v>2021.0</v>
      </c>
      <c r="G558" s="683">
        <v>4.20064E-4</v>
      </c>
      <c r="H558" s="683">
        <v>1.94066E-4</v>
      </c>
      <c r="I558" s="684">
        <v>7.19786E-4</v>
      </c>
      <c r="K558" s="693" t="s">
        <v>35</v>
      </c>
      <c r="L558" s="694" t="s">
        <v>215</v>
      </c>
      <c r="M558" s="694" t="s">
        <v>915</v>
      </c>
      <c r="N558" s="694" t="s">
        <v>926</v>
      </c>
      <c r="O558" s="694">
        <v>2021.0</v>
      </c>
      <c r="P558" s="694" t="s">
        <v>919</v>
      </c>
      <c r="Q558" s="695" t="s">
        <v>112</v>
      </c>
      <c r="R558" s="696">
        <v>421.4909505</v>
      </c>
      <c r="S558" s="696">
        <v>151.1623121</v>
      </c>
      <c r="T558" s="697">
        <v>923.8279976</v>
      </c>
      <c r="AB558" s="722"/>
      <c r="AF558" s="669"/>
    </row>
    <row r="559">
      <c r="A559" s="675"/>
      <c r="B559" s="681" t="s">
        <v>56</v>
      </c>
      <c r="C559" s="682" t="s">
        <v>915</v>
      </c>
      <c r="D559" s="682" t="s">
        <v>926</v>
      </c>
      <c r="E559" s="682" t="s">
        <v>352</v>
      </c>
      <c r="F559" s="682">
        <v>2021.0</v>
      </c>
      <c r="G559" s="683">
        <v>0.005648216</v>
      </c>
      <c r="H559" s="683">
        <v>0.003545763</v>
      </c>
      <c r="I559" s="684">
        <v>0.008198162</v>
      </c>
      <c r="K559" s="693" t="s">
        <v>66</v>
      </c>
      <c r="L559" s="694" t="s">
        <v>215</v>
      </c>
      <c r="M559" s="694" t="s">
        <v>915</v>
      </c>
      <c r="N559" s="694" t="s">
        <v>918</v>
      </c>
      <c r="O559" s="694">
        <v>2021.0</v>
      </c>
      <c r="P559" s="694" t="s">
        <v>919</v>
      </c>
      <c r="Q559" s="695" t="s">
        <v>112</v>
      </c>
      <c r="R559" s="696">
        <v>31.18554203</v>
      </c>
      <c r="S559" s="696">
        <v>7.159978268</v>
      </c>
      <c r="T559" s="697">
        <v>74.88746739</v>
      </c>
      <c r="AB559" s="722"/>
      <c r="AF559" s="669"/>
    </row>
    <row r="560">
      <c r="A560" s="675"/>
      <c r="B560" s="681" t="s">
        <v>57</v>
      </c>
      <c r="C560" s="682" t="s">
        <v>915</v>
      </c>
      <c r="D560" s="682" t="s">
        <v>916</v>
      </c>
      <c r="E560" s="682" t="s">
        <v>352</v>
      </c>
      <c r="F560" s="682">
        <v>2021.0</v>
      </c>
      <c r="G560" s="683">
        <v>0.002433635</v>
      </c>
      <c r="H560" s="683">
        <v>0.001539196</v>
      </c>
      <c r="I560" s="684">
        <v>0.003704498</v>
      </c>
      <c r="K560" s="693" t="s">
        <v>66</v>
      </c>
      <c r="L560" s="694" t="s">
        <v>215</v>
      </c>
      <c r="M560" s="694" t="s">
        <v>915</v>
      </c>
      <c r="N560" s="694" t="s">
        <v>923</v>
      </c>
      <c r="O560" s="694">
        <v>2021.0</v>
      </c>
      <c r="P560" s="694" t="s">
        <v>919</v>
      </c>
      <c r="Q560" s="695" t="s">
        <v>112</v>
      </c>
      <c r="R560" s="696">
        <v>0.0</v>
      </c>
      <c r="S560" s="696">
        <v>0.0</v>
      </c>
      <c r="T560" s="697">
        <v>0.0</v>
      </c>
      <c r="AB560" s="722"/>
      <c r="AF560" s="669"/>
    </row>
    <row r="561">
      <c r="A561" s="675"/>
      <c r="B561" s="681" t="s">
        <v>57</v>
      </c>
      <c r="C561" s="682" t="s">
        <v>915</v>
      </c>
      <c r="D561" s="682" t="s">
        <v>922</v>
      </c>
      <c r="E561" s="682" t="s">
        <v>352</v>
      </c>
      <c r="F561" s="682">
        <v>2021.0</v>
      </c>
      <c r="G561" s="683">
        <v>0.015653005</v>
      </c>
      <c r="H561" s="683">
        <v>0.011049615</v>
      </c>
      <c r="I561" s="684">
        <v>0.022747959</v>
      </c>
      <c r="K561" s="693" t="s">
        <v>66</v>
      </c>
      <c r="L561" s="694" t="s">
        <v>215</v>
      </c>
      <c r="M561" s="694" t="s">
        <v>915</v>
      </c>
      <c r="N561" s="694" t="s">
        <v>925</v>
      </c>
      <c r="O561" s="694">
        <v>2021.0</v>
      </c>
      <c r="P561" s="694" t="s">
        <v>919</v>
      </c>
      <c r="Q561" s="695" t="s">
        <v>112</v>
      </c>
      <c r="R561" s="696">
        <v>0.0</v>
      </c>
      <c r="S561" s="696">
        <v>0.0</v>
      </c>
      <c r="T561" s="697">
        <v>0.0</v>
      </c>
      <c r="AB561" s="722"/>
      <c r="AF561" s="669"/>
    </row>
    <row r="562">
      <c r="A562" s="675"/>
      <c r="B562" s="681" t="s">
        <v>57</v>
      </c>
      <c r="C562" s="682" t="s">
        <v>915</v>
      </c>
      <c r="D562" s="682" t="s">
        <v>924</v>
      </c>
      <c r="E562" s="682" t="s">
        <v>352</v>
      </c>
      <c r="F562" s="682">
        <v>2021.0</v>
      </c>
      <c r="G562" s="683">
        <v>7.53327E-4</v>
      </c>
      <c r="H562" s="683">
        <v>4.56752E-4</v>
      </c>
      <c r="I562" s="684">
        <v>0.001099762</v>
      </c>
      <c r="K562" s="693" t="s">
        <v>66</v>
      </c>
      <c r="L562" s="694" t="s">
        <v>215</v>
      </c>
      <c r="M562" s="694" t="s">
        <v>915</v>
      </c>
      <c r="N562" s="694" t="s">
        <v>927</v>
      </c>
      <c r="O562" s="694">
        <v>2021.0</v>
      </c>
      <c r="P562" s="694" t="s">
        <v>919</v>
      </c>
      <c r="Q562" s="695" t="s">
        <v>112</v>
      </c>
      <c r="R562" s="696">
        <v>10.43434373</v>
      </c>
      <c r="S562" s="696">
        <v>2.527597111</v>
      </c>
      <c r="T562" s="697">
        <v>26.04133496</v>
      </c>
      <c r="AB562" s="722"/>
      <c r="AF562" s="669"/>
    </row>
    <row r="563">
      <c r="A563" s="675"/>
      <c r="B563" s="681" t="s">
        <v>57</v>
      </c>
      <c r="C563" s="682" t="s">
        <v>915</v>
      </c>
      <c r="D563" s="682" t="s">
        <v>926</v>
      </c>
      <c r="E563" s="682" t="s">
        <v>352</v>
      </c>
      <c r="F563" s="682">
        <v>2021.0</v>
      </c>
      <c r="G563" s="683">
        <v>0.009993866</v>
      </c>
      <c r="H563" s="683">
        <v>0.006528683</v>
      </c>
      <c r="I563" s="684">
        <v>0.013860794</v>
      </c>
      <c r="K563" s="693" t="s">
        <v>66</v>
      </c>
      <c r="L563" s="694" t="s">
        <v>215</v>
      </c>
      <c r="M563" s="694" t="s">
        <v>915</v>
      </c>
      <c r="N563" s="694" t="s">
        <v>926</v>
      </c>
      <c r="O563" s="694">
        <v>2021.0</v>
      </c>
      <c r="P563" s="694" t="s">
        <v>919</v>
      </c>
      <c r="Q563" s="695" t="s">
        <v>112</v>
      </c>
      <c r="R563" s="696">
        <v>41.61988576</v>
      </c>
      <c r="S563" s="696">
        <v>14.11692971</v>
      </c>
      <c r="T563" s="697">
        <v>88.46955706</v>
      </c>
      <c r="AB563" s="722"/>
      <c r="AF563" s="669"/>
    </row>
    <row r="564">
      <c r="A564" s="675"/>
      <c r="B564" s="681" t="s">
        <v>58</v>
      </c>
      <c r="C564" s="682" t="s">
        <v>915</v>
      </c>
      <c r="D564" s="682" t="s">
        <v>916</v>
      </c>
      <c r="E564" s="682" t="s">
        <v>352</v>
      </c>
      <c r="F564" s="682">
        <v>2021.0</v>
      </c>
      <c r="G564" s="683">
        <v>0.002520823</v>
      </c>
      <c r="H564" s="683">
        <v>0.00150558</v>
      </c>
      <c r="I564" s="684">
        <v>0.003743989</v>
      </c>
      <c r="K564" s="693" t="s">
        <v>67</v>
      </c>
      <c r="L564" s="694" t="s">
        <v>215</v>
      </c>
      <c r="M564" s="694" t="s">
        <v>915</v>
      </c>
      <c r="N564" s="694" t="s">
        <v>918</v>
      </c>
      <c r="O564" s="694">
        <v>2021.0</v>
      </c>
      <c r="P564" s="694" t="s">
        <v>919</v>
      </c>
      <c r="Q564" s="695" t="s">
        <v>112</v>
      </c>
      <c r="R564" s="696">
        <v>35.95831196</v>
      </c>
      <c r="S564" s="696">
        <v>8.177612519</v>
      </c>
      <c r="T564" s="697">
        <v>91.32071862</v>
      </c>
      <c r="AB564" s="722"/>
      <c r="AF564" s="669"/>
    </row>
    <row r="565">
      <c r="A565" s="675"/>
      <c r="B565" s="681" t="s">
        <v>58</v>
      </c>
      <c r="C565" s="682" t="s">
        <v>915</v>
      </c>
      <c r="D565" s="682" t="s">
        <v>922</v>
      </c>
      <c r="E565" s="682" t="s">
        <v>352</v>
      </c>
      <c r="F565" s="682">
        <v>2021.0</v>
      </c>
      <c r="G565" s="683">
        <v>0.020421233</v>
      </c>
      <c r="H565" s="683">
        <v>0.014047484</v>
      </c>
      <c r="I565" s="684">
        <v>0.029326968</v>
      </c>
      <c r="K565" s="693" t="s">
        <v>67</v>
      </c>
      <c r="L565" s="694" t="s">
        <v>215</v>
      </c>
      <c r="M565" s="694" t="s">
        <v>915</v>
      </c>
      <c r="N565" s="694" t="s">
        <v>923</v>
      </c>
      <c r="O565" s="694">
        <v>2021.0</v>
      </c>
      <c r="P565" s="694" t="s">
        <v>919</v>
      </c>
      <c r="Q565" s="695" t="s">
        <v>112</v>
      </c>
      <c r="R565" s="696">
        <v>0.0</v>
      </c>
      <c r="S565" s="696">
        <v>0.0</v>
      </c>
      <c r="T565" s="697">
        <v>0.0</v>
      </c>
      <c r="AB565" s="722"/>
      <c r="AF565" s="669"/>
    </row>
    <row r="566">
      <c r="A566" s="675"/>
      <c r="B566" s="681" t="s">
        <v>58</v>
      </c>
      <c r="C566" s="682" t="s">
        <v>915</v>
      </c>
      <c r="D566" s="682" t="s">
        <v>924</v>
      </c>
      <c r="E566" s="682" t="s">
        <v>352</v>
      </c>
      <c r="F566" s="682">
        <v>2021.0</v>
      </c>
      <c r="G566" s="683">
        <v>8.57672E-4</v>
      </c>
      <c r="H566" s="683">
        <v>5.23276E-4</v>
      </c>
      <c r="I566" s="684">
        <v>0.001247831</v>
      </c>
      <c r="K566" s="693" t="s">
        <v>67</v>
      </c>
      <c r="L566" s="694" t="s">
        <v>215</v>
      </c>
      <c r="M566" s="694" t="s">
        <v>915</v>
      </c>
      <c r="N566" s="694" t="s">
        <v>925</v>
      </c>
      <c r="O566" s="694">
        <v>2021.0</v>
      </c>
      <c r="P566" s="694" t="s">
        <v>919</v>
      </c>
      <c r="Q566" s="695" t="s">
        <v>112</v>
      </c>
      <c r="R566" s="696">
        <v>0.0</v>
      </c>
      <c r="S566" s="696">
        <v>0.0</v>
      </c>
      <c r="T566" s="697">
        <v>0.0</v>
      </c>
      <c r="AB566" s="722"/>
      <c r="AF566" s="669"/>
    </row>
    <row r="567">
      <c r="A567" s="675"/>
      <c r="B567" s="681" t="s">
        <v>58</v>
      </c>
      <c r="C567" s="682" t="s">
        <v>915</v>
      </c>
      <c r="D567" s="682" t="s">
        <v>926</v>
      </c>
      <c r="E567" s="682" t="s">
        <v>352</v>
      </c>
      <c r="F567" s="682">
        <v>2021.0</v>
      </c>
      <c r="G567" s="683">
        <v>0.012652618</v>
      </c>
      <c r="H567" s="683">
        <v>0.008536146</v>
      </c>
      <c r="I567" s="684">
        <v>0.017370693</v>
      </c>
      <c r="K567" s="693" t="s">
        <v>67</v>
      </c>
      <c r="L567" s="694" t="s">
        <v>215</v>
      </c>
      <c r="M567" s="694" t="s">
        <v>915</v>
      </c>
      <c r="N567" s="694" t="s">
        <v>927</v>
      </c>
      <c r="O567" s="694">
        <v>2021.0</v>
      </c>
      <c r="P567" s="694" t="s">
        <v>919</v>
      </c>
      <c r="Q567" s="695" t="s">
        <v>112</v>
      </c>
      <c r="R567" s="696">
        <v>7.820044894</v>
      </c>
      <c r="S567" s="696">
        <v>1.826622961</v>
      </c>
      <c r="T567" s="697">
        <v>20.20789844</v>
      </c>
      <c r="AB567" s="722"/>
      <c r="AF567" s="669"/>
    </row>
    <row r="568">
      <c r="A568" s="675"/>
      <c r="B568" s="681" t="s">
        <v>7</v>
      </c>
      <c r="C568" s="682" t="s">
        <v>915</v>
      </c>
      <c r="D568" s="682" t="s">
        <v>916</v>
      </c>
      <c r="E568" s="682" t="s">
        <v>352</v>
      </c>
      <c r="F568" s="682">
        <v>2021.0</v>
      </c>
      <c r="G568" s="683">
        <v>0.002207429</v>
      </c>
      <c r="H568" s="683">
        <v>0.001428191</v>
      </c>
      <c r="I568" s="684">
        <v>0.003151421</v>
      </c>
      <c r="K568" s="693" t="s">
        <v>67</v>
      </c>
      <c r="L568" s="694" t="s">
        <v>215</v>
      </c>
      <c r="M568" s="694" t="s">
        <v>915</v>
      </c>
      <c r="N568" s="694" t="s">
        <v>926</v>
      </c>
      <c r="O568" s="694">
        <v>2021.0</v>
      </c>
      <c r="P568" s="694" t="s">
        <v>919</v>
      </c>
      <c r="Q568" s="695" t="s">
        <v>112</v>
      </c>
      <c r="R568" s="696">
        <v>43.77835685</v>
      </c>
      <c r="S568" s="696">
        <v>13.6404833</v>
      </c>
      <c r="T568" s="697">
        <v>101.4508798</v>
      </c>
      <c r="AB568" s="722"/>
      <c r="AF568" s="669"/>
    </row>
    <row r="569">
      <c r="A569" s="675"/>
      <c r="B569" s="681" t="s">
        <v>7</v>
      </c>
      <c r="C569" s="682" t="s">
        <v>915</v>
      </c>
      <c r="D569" s="682" t="s">
        <v>922</v>
      </c>
      <c r="E569" s="682" t="s">
        <v>352</v>
      </c>
      <c r="F569" s="682">
        <v>2021.0</v>
      </c>
      <c r="G569" s="683">
        <v>0.018286228</v>
      </c>
      <c r="H569" s="683">
        <v>0.013535059</v>
      </c>
      <c r="I569" s="684">
        <v>0.024363134</v>
      </c>
      <c r="K569" s="693" t="s">
        <v>37</v>
      </c>
      <c r="L569" s="694" t="s">
        <v>215</v>
      </c>
      <c r="M569" s="694" t="s">
        <v>915</v>
      </c>
      <c r="N569" s="694" t="s">
        <v>918</v>
      </c>
      <c r="O569" s="694">
        <v>2021.0</v>
      </c>
      <c r="P569" s="694" t="s">
        <v>919</v>
      </c>
      <c r="Q569" s="695" t="s">
        <v>112</v>
      </c>
      <c r="R569" s="696">
        <v>214.1285771</v>
      </c>
      <c r="S569" s="696">
        <v>52.55582261</v>
      </c>
      <c r="T569" s="697">
        <v>521.8046809</v>
      </c>
      <c r="AB569" s="722"/>
      <c r="AF569" s="669"/>
    </row>
    <row r="570">
      <c r="A570" s="675"/>
      <c r="B570" s="681" t="s">
        <v>7</v>
      </c>
      <c r="C570" s="682" t="s">
        <v>915</v>
      </c>
      <c r="D570" s="682" t="s">
        <v>924</v>
      </c>
      <c r="E570" s="682" t="s">
        <v>352</v>
      </c>
      <c r="F570" s="682">
        <v>2021.0</v>
      </c>
      <c r="G570" s="683">
        <v>8.42417E-4</v>
      </c>
      <c r="H570" s="683">
        <v>5.41254E-4</v>
      </c>
      <c r="I570" s="684">
        <v>0.001143721</v>
      </c>
      <c r="K570" s="693" t="s">
        <v>37</v>
      </c>
      <c r="L570" s="694" t="s">
        <v>215</v>
      </c>
      <c r="M570" s="694" t="s">
        <v>915</v>
      </c>
      <c r="N570" s="694" t="s">
        <v>923</v>
      </c>
      <c r="O570" s="694">
        <v>2021.0</v>
      </c>
      <c r="P570" s="694" t="s">
        <v>919</v>
      </c>
      <c r="Q570" s="695" t="s">
        <v>112</v>
      </c>
      <c r="R570" s="696">
        <v>0.0</v>
      </c>
      <c r="S570" s="696">
        <v>0.0</v>
      </c>
      <c r="T570" s="697">
        <v>0.0</v>
      </c>
      <c r="AB570" s="722"/>
      <c r="AF570" s="669"/>
    </row>
    <row r="571">
      <c r="A571" s="675"/>
      <c r="B571" s="681" t="s">
        <v>7</v>
      </c>
      <c r="C571" s="682" t="s">
        <v>915</v>
      </c>
      <c r="D571" s="682" t="s">
        <v>926</v>
      </c>
      <c r="E571" s="682" t="s">
        <v>352</v>
      </c>
      <c r="F571" s="682">
        <v>2021.0</v>
      </c>
      <c r="G571" s="683">
        <v>0.013374416</v>
      </c>
      <c r="H571" s="683">
        <v>0.009316604</v>
      </c>
      <c r="I571" s="684">
        <v>0.018512566</v>
      </c>
      <c r="K571" s="693" t="s">
        <v>37</v>
      </c>
      <c r="L571" s="694" t="s">
        <v>215</v>
      </c>
      <c r="M571" s="694" t="s">
        <v>915</v>
      </c>
      <c r="N571" s="694" t="s">
        <v>925</v>
      </c>
      <c r="O571" s="694">
        <v>2021.0</v>
      </c>
      <c r="P571" s="694" t="s">
        <v>919</v>
      </c>
      <c r="Q571" s="695" t="s">
        <v>112</v>
      </c>
      <c r="R571" s="696">
        <v>0.0</v>
      </c>
      <c r="S571" s="696">
        <v>0.0</v>
      </c>
      <c r="T571" s="697">
        <v>0.0</v>
      </c>
      <c r="AB571" s="722"/>
      <c r="AF571" s="669"/>
    </row>
    <row r="572">
      <c r="A572" s="675"/>
      <c r="B572" s="681" t="s">
        <v>59</v>
      </c>
      <c r="C572" s="682" t="s">
        <v>915</v>
      </c>
      <c r="D572" s="682" t="s">
        <v>916</v>
      </c>
      <c r="E572" s="682" t="s">
        <v>352</v>
      </c>
      <c r="F572" s="682">
        <v>2021.0</v>
      </c>
      <c r="G572" s="683">
        <v>0.002077252</v>
      </c>
      <c r="H572" s="683">
        <v>0.001206219</v>
      </c>
      <c r="I572" s="684">
        <v>0.003265577</v>
      </c>
      <c r="K572" s="693" t="s">
        <v>37</v>
      </c>
      <c r="L572" s="694" t="s">
        <v>215</v>
      </c>
      <c r="M572" s="694" t="s">
        <v>915</v>
      </c>
      <c r="N572" s="694" t="s">
        <v>927</v>
      </c>
      <c r="O572" s="694">
        <v>2021.0</v>
      </c>
      <c r="P572" s="694" t="s">
        <v>919</v>
      </c>
      <c r="Q572" s="695" t="s">
        <v>112</v>
      </c>
      <c r="R572" s="696">
        <v>45.4811006</v>
      </c>
      <c r="S572" s="696">
        <v>9.950064326</v>
      </c>
      <c r="T572" s="697">
        <v>125.3574956</v>
      </c>
      <c r="AB572" s="722"/>
      <c r="AF572" s="669"/>
    </row>
    <row r="573">
      <c r="A573" s="675"/>
      <c r="B573" s="681" t="s">
        <v>59</v>
      </c>
      <c r="C573" s="682" t="s">
        <v>915</v>
      </c>
      <c r="D573" s="682" t="s">
        <v>922</v>
      </c>
      <c r="E573" s="682" t="s">
        <v>352</v>
      </c>
      <c r="F573" s="682">
        <v>2021.0</v>
      </c>
      <c r="G573" s="683">
        <v>0.018129064</v>
      </c>
      <c r="H573" s="683">
        <v>0.012044615</v>
      </c>
      <c r="I573" s="684">
        <v>0.026710706</v>
      </c>
      <c r="K573" s="693" t="s">
        <v>37</v>
      </c>
      <c r="L573" s="694" t="s">
        <v>215</v>
      </c>
      <c r="M573" s="694" t="s">
        <v>915</v>
      </c>
      <c r="N573" s="694" t="s">
        <v>926</v>
      </c>
      <c r="O573" s="694">
        <v>2021.0</v>
      </c>
      <c r="P573" s="694" t="s">
        <v>919</v>
      </c>
      <c r="Q573" s="695" t="s">
        <v>112</v>
      </c>
      <c r="R573" s="696">
        <v>259.6096777</v>
      </c>
      <c r="S573" s="696">
        <v>83.39530469</v>
      </c>
      <c r="T573" s="697">
        <v>569.5381658</v>
      </c>
      <c r="AB573" s="722"/>
      <c r="AF573" s="669"/>
    </row>
    <row r="574">
      <c r="A574" s="675"/>
      <c r="B574" s="681" t="s">
        <v>59</v>
      </c>
      <c r="C574" s="682" t="s">
        <v>915</v>
      </c>
      <c r="D574" s="682" t="s">
        <v>924</v>
      </c>
      <c r="E574" s="682" t="s">
        <v>352</v>
      </c>
      <c r="F574" s="682">
        <v>2021.0</v>
      </c>
      <c r="G574" s="683">
        <v>5.02423E-4</v>
      </c>
      <c r="H574" s="683">
        <v>2.90901E-4</v>
      </c>
      <c r="I574" s="684">
        <v>7.79126E-4</v>
      </c>
      <c r="K574" s="693" t="s">
        <v>38</v>
      </c>
      <c r="L574" s="694" t="s">
        <v>352</v>
      </c>
      <c r="M574" s="694" t="s">
        <v>915</v>
      </c>
      <c r="N574" s="694" t="s">
        <v>918</v>
      </c>
      <c r="O574" s="694">
        <v>2021.0</v>
      </c>
      <c r="P574" s="694" t="s">
        <v>919</v>
      </c>
      <c r="Q574" s="695" t="s">
        <v>112</v>
      </c>
      <c r="R574" s="696">
        <v>469.8973494</v>
      </c>
      <c r="S574" s="696">
        <v>217.0326662</v>
      </c>
      <c r="T574" s="697">
        <v>787.9362474</v>
      </c>
      <c r="AB574" s="722"/>
      <c r="AF574" s="669"/>
    </row>
    <row r="575">
      <c r="A575" s="675"/>
      <c r="B575" s="681" t="s">
        <v>59</v>
      </c>
      <c r="C575" s="682" t="s">
        <v>915</v>
      </c>
      <c r="D575" s="682" t="s">
        <v>926</v>
      </c>
      <c r="E575" s="682" t="s">
        <v>352</v>
      </c>
      <c r="F575" s="682">
        <v>2021.0</v>
      </c>
      <c r="G575" s="683">
        <v>0.007272124</v>
      </c>
      <c r="H575" s="683">
        <v>0.004779477</v>
      </c>
      <c r="I575" s="684">
        <v>0.010296035</v>
      </c>
      <c r="K575" s="693" t="s">
        <v>38</v>
      </c>
      <c r="L575" s="694" t="s">
        <v>352</v>
      </c>
      <c r="M575" s="694" t="s">
        <v>915</v>
      </c>
      <c r="N575" s="694" t="s">
        <v>923</v>
      </c>
      <c r="O575" s="694">
        <v>2021.0</v>
      </c>
      <c r="P575" s="694" t="s">
        <v>919</v>
      </c>
      <c r="Q575" s="695" t="s">
        <v>112</v>
      </c>
      <c r="R575" s="696">
        <v>273.658547</v>
      </c>
      <c r="S575" s="696">
        <v>179.154869</v>
      </c>
      <c r="T575" s="697">
        <v>411.4635371</v>
      </c>
      <c r="AB575" s="722"/>
      <c r="AF575" s="669"/>
    </row>
    <row r="576">
      <c r="A576" s="675"/>
      <c r="B576" s="681" t="s">
        <v>60</v>
      </c>
      <c r="C576" s="682" t="s">
        <v>915</v>
      </c>
      <c r="D576" s="682" t="s">
        <v>916</v>
      </c>
      <c r="E576" s="682" t="s">
        <v>352</v>
      </c>
      <c r="F576" s="682">
        <v>2021.0</v>
      </c>
      <c r="G576" s="683">
        <v>0.001965618</v>
      </c>
      <c r="H576" s="683">
        <v>0.001181101</v>
      </c>
      <c r="I576" s="684">
        <v>0.003123507</v>
      </c>
      <c r="K576" s="693" t="s">
        <v>38</v>
      </c>
      <c r="L576" s="694" t="s">
        <v>352</v>
      </c>
      <c r="M576" s="694" t="s">
        <v>915</v>
      </c>
      <c r="N576" s="694" t="s">
        <v>925</v>
      </c>
      <c r="O576" s="694">
        <v>2021.0</v>
      </c>
      <c r="P576" s="694" t="s">
        <v>919</v>
      </c>
      <c r="Q576" s="695" t="s">
        <v>112</v>
      </c>
      <c r="R576" s="696">
        <v>95.28330604</v>
      </c>
      <c r="S576" s="696">
        <v>46.744491</v>
      </c>
      <c r="T576" s="697">
        <v>155.5266598</v>
      </c>
      <c r="AB576" s="722"/>
      <c r="AF576" s="669"/>
    </row>
    <row r="577">
      <c r="A577" s="675"/>
      <c r="B577" s="681" t="s">
        <v>60</v>
      </c>
      <c r="C577" s="682" t="s">
        <v>915</v>
      </c>
      <c r="D577" s="682" t="s">
        <v>922</v>
      </c>
      <c r="E577" s="682" t="s">
        <v>352</v>
      </c>
      <c r="F577" s="682">
        <v>2021.0</v>
      </c>
      <c r="G577" s="683">
        <v>0.018137271</v>
      </c>
      <c r="H577" s="683">
        <v>0.012458718</v>
      </c>
      <c r="I577" s="684">
        <v>0.025766624</v>
      </c>
      <c r="K577" s="693" t="s">
        <v>38</v>
      </c>
      <c r="L577" s="694" t="s">
        <v>352</v>
      </c>
      <c r="M577" s="694" t="s">
        <v>915</v>
      </c>
      <c r="N577" s="694" t="s">
        <v>927</v>
      </c>
      <c r="O577" s="694">
        <v>2021.0</v>
      </c>
      <c r="P577" s="694" t="s">
        <v>919</v>
      </c>
      <c r="Q577" s="695" t="s">
        <v>112</v>
      </c>
      <c r="R577" s="696">
        <v>364.0901675</v>
      </c>
      <c r="S577" s="696">
        <v>180.0766472</v>
      </c>
      <c r="T577" s="697">
        <v>582.7711568</v>
      </c>
      <c r="AB577" s="722"/>
      <c r="AF577" s="669"/>
    </row>
    <row r="578">
      <c r="A578" s="675"/>
      <c r="B578" s="681" t="s">
        <v>60</v>
      </c>
      <c r="C578" s="682" t="s">
        <v>915</v>
      </c>
      <c r="D578" s="682" t="s">
        <v>924</v>
      </c>
      <c r="E578" s="682" t="s">
        <v>352</v>
      </c>
      <c r="F578" s="682">
        <v>2021.0</v>
      </c>
      <c r="G578" s="683">
        <v>5.80734E-4</v>
      </c>
      <c r="H578" s="683">
        <v>3.02362E-4</v>
      </c>
      <c r="I578" s="684">
        <v>9.28366E-4</v>
      </c>
      <c r="K578" s="693" t="s">
        <v>38</v>
      </c>
      <c r="L578" s="694" t="s">
        <v>352</v>
      </c>
      <c r="M578" s="694" t="s">
        <v>915</v>
      </c>
      <c r="N578" s="694" t="s">
        <v>926</v>
      </c>
      <c r="O578" s="694">
        <v>2021.0</v>
      </c>
      <c r="P578" s="694" t="s">
        <v>919</v>
      </c>
      <c r="Q578" s="695" t="s">
        <v>112</v>
      </c>
      <c r="R578" s="696">
        <v>1202.92937</v>
      </c>
      <c r="S578" s="696">
        <v>703.4995163</v>
      </c>
      <c r="T578" s="697">
        <v>1815.780009</v>
      </c>
      <c r="AB578" s="722"/>
      <c r="AF578" s="669"/>
    </row>
    <row r="579">
      <c r="A579" s="675"/>
      <c r="B579" s="681" t="s">
        <v>60</v>
      </c>
      <c r="C579" s="682" t="s">
        <v>915</v>
      </c>
      <c r="D579" s="682" t="s">
        <v>926</v>
      </c>
      <c r="E579" s="682" t="s">
        <v>352</v>
      </c>
      <c r="F579" s="682">
        <v>2021.0</v>
      </c>
      <c r="G579" s="683">
        <v>0.00799731</v>
      </c>
      <c r="H579" s="683">
        <v>0.004921797</v>
      </c>
      <c r="I579" s="684">
        <v>0.011441223</v>
      </c>
      <c r="K579" s="693" t="s">
        <v>39</v>
      </c>
      <c r="L579" s="694" t="s">
        <v>352</v>
      </c>
      <c r="M579" s="694" t="s">
        <v>915</v>
      </c>
      <c r="N579" s="694" t="s">
        <v>918</v>
      </c>
      <c r="O579" s="694">
        <v>2021.0</v>
      </c>
      <c r="P579" s="694" t="s">
        <v>919</v>
      </c>
      <c r="Q579" s="695" t="s">
        <v>112</v>
      </c>
      <c r="R579" s="696">
        <v>881.8721742</v>
      </c>
      <c r="S579" s="696">
        <v>463.4960651</v>
      </c>
      <c r="T579" s="697">
        <v>1381.508428</v>
      </c>
      <c r="AB579" s="722"/>
      <c r="AF579" s="669"/>
    </row>
    <row r="580">
      <c r="A580" s="675"/>
      <c r="B580" s="681" t="s">
        <v>61</v>
      </c>
      <c r="C580" s="682" t="s">
        <v>915</v>
      </c>
      <c r="D580" s="682" t="s">
        <v>916</v>
      </c>
      <c r="E580" s="682" t="s">
        <v>352</v>
      </c>
      <c r="F580" s="682">
        <v>2021.0</v>
      </c>
      <c r="G580" s="683">
        <v>0.001386363</v>
      </c>
      <c r="H580" s="683">
        <v>6.7614E-4</v>
      </c>
      <c r="I580" s="684">
        <v>0.002423469</v>
      </c>
      <c r="K580" s="693" t="s">
        <v>39</v>
      </c>
      <c r="L580" s="694" t="s">
        <v>352</v>
      </c>
      <c r="M580" s="694" t="s">
        <v>915</v>
      </c>
      <c r="N580" s="694" t="s">
        <v>923</v>
      </c>
      <c r="O580" s="694">
        <v>2021.0</v>
      </c>
      <c r="P580" s="694" t="s">
        <v>919</v>
      </c>
      <c r="Q580" s="695" t="s">
        <v>112</v>
      </c>
      <c r="R580" s="696">
        <v>319.0969645</v>
      </c>
      <c r="S580" s="696">
        <v>199.8206349</v>
      </c>
      <c r="T580" s="697">
        <v>479.8094892</v>
      </c>
      <c r="AB580" s="722"/>
      <c r="AF580" s="669"/>
    </row>
    <row r="581">
      <c r="A581" s="675"/>
      <c r="B581" s="681" t="s">
        <v>61</v>
      </c>
      <c r="C581" s="682" t="s">
        <v>915</v>
      </c>
      <c r="D581" s="682" t="s">
        <v>922</v>
      </c>
      <c r="E581" s="682" t="s">
        <v>352</v>
      </c>
      <c r="F581" s="682">
        <v>2021.0</v>
      </c>
      <c r="G581" s="683">
        <v>0.014733298</v>
      </c>
      <c r="H581" s="683">
        <v>0.009130292</v>
      </c>
      <c r="I581" s="684">
        <v>0.022829228</v>
      </c>
      <c r="K581" s="693" t="s">
        <v>39</v>
      </c>
      <c r="L581" s="694" t="s">
        <v>352</v>
      </c>
      <c r="M581" s="694" t="s">
        <v>915</v>
      </c>
      <c r="N581" s="694" t="s">
        <v>925</v>
      </c>
      <c r="O581" s="694">
        <v>2021.0</v>
      </c>
      <c r="P581" s="694" t="s">
        <v>919</v>
      </c>
      <c r="Q581" s="695" t="s">
        <v>112</v>
      </c>
      <c r="R581" s="696">
        <v>157.2835257</v>
      </c>
      <c r="S581" s="696">
        <v>102.9401304</v>
      </c>
      <c r="T581" s="697">
        <v>230.4339795</v>
      </c>
      <c r="AB581" s="722"/>
      <c r="AF581" s="669"/>
    </row>
    <row r="582">
      <c r="A582" s="675"/>
      <c r="B582" s="681" t="s">
        <v>61</v>
      </c>
      <c r="C582" s="682" t="s">
        <v>915</v>
      </c>
      <c r="D582" s="682" t="s">
        <v>924</v>
      </c>
      <c r="E582" s="682" t="s">
        <v>352</v>
      </c>
      <c r="F582" s="682">
        <v>2021.0</v>
      </c>
      <c r="G582" s="683">
        <v>3.03436E-4</v>
      </c>
      <c r="H582" s="683">
        <v>1.31492E-4</v>
      </c>
      <c r="I582" s="684">
        <v>5.37979E-4</v>
      </c>
      <c r="K582" s="693" t="s">
        <v>39</v>
      </c>
      <c r="L582" s="694" t="s">
        <v>352</v>
      </c>
      <c r="M582" s="694" t="s">
        <v>915</v>
      </c>
      <c r="N582" s="694" t="s">
        <v>927</v>
      </c>
      <c r="O582" s="694">
        <v>2021.0</v>
      </c>
      <c r="P582" s="694" t="s">
        <v>919</v>
      </c>
      <c r="Q582" s="695" t="s">
        <v>112</v>
      </c>
      <c r="R582" s="696">
        <v>653.9849214</v>
      </c>
      <c r="S582" s="696">
        <v>405.0705385</v>
      </c>
      <c r="T582" s="697">
        <v>996.8651094</v>
      </c>
      <c r="AB582" s="722"/>
      <c r="AF582" s="669"/>
    </row>
    <row r="583">
      <c r="A583" s="675"/>
      <c r="B583" s="681" t="s">
        <v>61</v>
      </c>
      <c r="C583" s="682" t="s">
        <v>915</v>
      </c>
      <c r="D583" s="682" t="s">
        <v>926</v>
      </c>
      <c r="E583" s="682" t="s">
        <v>352</v>
      </c>
      <c r="F583" s="682">
        <v>2021.0</v>
      </c>
      <c r="G583" s="683">
        <v>0.004606194</v>
      </c>
      <c r="H583" s="683">
        <v>0.002887882</v>
      </c>
      <c r="I583" s="684">
        <v>0.006537817</v>
      </c>
      <c r="K583" s="693" t="s">
        <v>39</v>
      </c>
      <c r="L583" s="694" t="s">
        <v>352</v>
      </c>
      <c r="M583" s="694" t="s">
        <v>915</v>
      </c>
      <c r="N583" s="694" t="s">
        <v>926</v>
      </c>
      <c r="O583" s="694">
        <v>2021.0</v>
      </c>
      <c r="P583" s="694" t="s">
        <v>919</v>
      </c>
      <c r="Q583" s="695" t="s">
        <v>112</v>
      </c>
      <c r="R583" s="696">
        <v>2012.237586</v>
      </c>
      <c r="S583" s="696">
        <v>1298.32442</v>
      </c>
      <c r="T583" s="697">
        <v>2938.3333</v>
      </c>
      <c r="AB583" s="722"/>
      <c r="AF583" s="669"/>
    </row>
    <row r="584">
      <c r="A584" s="675"/>
      <c r="B584" s="681" t="s">
        <v>63</v>
      </c>
      <c r="C584" s="682" t="s">
        <v>915</v>
      </c>
      <c r="D584" s="682" t="s">
        <v>916</v>
      </c>
      <c r="E584" s="682" t="s">
        <v>352</v>
      </c>
      <c r="F584" s="682">
        <v>2021.0</v>
      </c>
      <c r="G584" s="683">
        <v>0.001585732</v>
      </c>
      <c r="H584" s="683">
        <v>9.0774E-4</v>
      </c>
      <c r="I584" s="684">
        <v>0.002504304</v>
      </c>
      <c r="K584" s="693" t="s">
        <v>40</v>
      </c>
      <c r="L584" s="694" t="s">
        <v>352</v>
      </c>
      <c r="M584" s="694" t="s">
        <v>915</v>
      </c>
      <c r="N584" s="694" t="s">
        <v>918</v>
      </c>
      <c r="O584" s="694">
        <v>2021.0</v>
      </c>
      <c r="P584" s="694" t="s">
        <v>919</v>
      </c>
      <c r="Q584" s="695" t="s">
        <v>112</v>
      </c>
      <c r="R584" s="696">
        <v>125.466506</v>
      </c>
      <c r="S584" s="696">
        <v>55.75657551</v>
      </c>
      <c r="T584" s="697">
        <v>214.8773764</v>
      </c>
      <c r="AB584" s="722"/>
      <c r="AF584" s="669"/>
    </row>
    <row r="585">
      <c r="A585" s="675"/>
      <c r="B585" s="681" t="s">
        <v>63</v>
      </c>
      <c r="C585" s="682" t="s">
        <v>915</v>
      </c>
      <c r="D585" s="682" t="s">
        <v>922</v>
      </c>
      <c r="E585" s="682" t="s">
        <v>352</v>
      </c>
      <c r="F585" s="682">
        <v>2021.0</v>
      </c>
      <c r="G585" s="683">
        <v>0.014182152</v>
      </c>
      <c r="H585" s="683">
        <v>0.009523543</v>
      </c>
      <c r="I585" s="684">
        <v>0.020524004</v>
      </c>
      <c r="K585" s="693" t="s">
        <v>40</v>
      </c>
      <c r="L585" s="694" t="s">
        <v>352</v>
      </c>
      <c r="M585" s="694" t="s">
        <v>915</v>
      </c>
      <c r="N585" s="694" t="s">
        <v>923</v>
      </c>
      <c r="O585" s="694">
        <v>2021.0</v>
      </c>
      <c r="P585" s="694" t="s">
        <v>919</v>
      </c>
      <c r="Q585" s="695" t="s">
        <v>112</v>
      </c>
      <c r="R585" s="696">
        <v>99.18373242</v>
      </c>
      <c r="S585" s="696">
        <v>63.6589342</v>
      </c>
      <c r="T585" s="697">
        <v>150.2852103</v>
      </c>
      <c r="AB585" s="722"/>
      <c r="AF585" s="669"/>
    </row>
    <row r="586">
      <c r="A586" s="675"/>
      <c r="B586" s="681" t="s">
        <v>63</v>
      </c>
      <c r="C586" s="682" t="s">
        <v>915</v>
      </c>
      <c r="D586" s="682" t="s">
        <v>924</v>
      </c>
      <c r="E586" s="682" t="s">
        <v>352</v>
      </c>
      <c r="F586" s="682">
        <v>2021.0</v>
      </c>
      <c r="G586" s="683">
        <v>2.94241E-4</v>
      </c>
      <c r="H586" s="683">
        <v>1.54746E-4</v>
      </c>
      <c r="I586" s="684">
        <v>4.80274E-4</v>
      </c>
      <c r="K586" s="693" t="s">
        <v>40</v>
      </c>
      <c r="L586" s="694" t="s">
        <v>352</v>
      </c>
      <c r="M586" s="694" t="s">
        <v>915</v>
      </c>
      <c r="N586" s="694" t="s">
        <v>925</v>
      </c>
      <c r="O586" s="694">
        <v>2021.0</v>
      </c>
      <c r="P586" s="694" t="s">
        <v>919</v>
      </c>
      <c r="Q586" s="695" t="s">
        <v>112</v>
      </c>
      <c r="R586" s="696">
        <v>45.35458905</v>
      </c>
      <c r="S586" s="696">
        <v>24.36355428</v>
      </c>
      <c r="T586" s="697">
        <v>68.64134096</v>
      </c>
      <c r="AB586" s="722"/>
      <c r="AF586" s="669"/>
    </row>
    <row r="587">
      <c r="A587" s="675"/>
      <c r="B587" s="681" t="s">
        <v>63</v>
      </c>
      <c r="C587" s="682" t="s">
        <v>915</v>
      </c>
      <c r="D587" s="682" t="s">
        <v>926</v>
      </c>
      <c r="E587" s="682" t="s">
        <v>352</v>
      </c>
      <c r="F587" s="682">
        <v>2021.0</v>
      </c>
      <c r="G587" s="683">
        <v>0.004597797</v>
      </c>
      <c r="H587" s="683">
        <v>0.002917486</v>
      </c>
      <c r="I587" s="684">
        <v>0.007016642</v>
      </c>
      <c r="K587" s="693" t="s">
        <v>40</v>
      </c>
      <c r="L587" s="694" t="s">
        <v>352</v>
      </c>
      <c r="M587" s="694" t="s">
        <v>915</v>
      </c>
      <c r="N587" s="694" t="s">
        <v>927</v>
      </c>
      <c r="O587" s="694">
        <v>2021.0</v>
      </c>
      <c r="P587" s="694" t="s">
        <v>919</v>
      </c>
      <c r="Q587" s="695" t="s">
        <v>112</v>
      </c>
      <c r="R587" s="696">
        <v>108.8095805</v>
      </c>
      <c r="S587" s="696">
        <v>55.81179735</v>
      </c>
      <c r="T587" s="697">
        <v>172.6154789</v>
      </c>
      <c r="AB587" s="722"/>
      <c r="AF587" s="669"/>
    </row>
    <row r="588">
      <c r="A588" s="675"/>
      <c r="B588" s="681" t="s">
        <v>64</v>
      </c>
      <c r="C588" s="682" t="s">
        <v>915</v>
      </c>
      <c r="D588" s="682" t="s">
        <v>916</v>
      </c>
      <c r="E588" s="682" t="s">
        <v>352</v>
      </c>
      <c r="F588" s="682">
        <v>2021.0</v>
      </c>
      <c r="G588" s="683">
        <v>0.002490513</v>
      </c>
      <c r="H588" s="683">
        <v>0.001475644</v>
      </c>
      <c r="I588" s="684">
        <v>0.003969531</v>
      </c>
      <c r="K588" s="693" t="s">
        <v>40</v>
      </c>
      <c r="L588" s="694" t="s">
        <v>352</v>
      </c>
      <c r="M588" s="694" t="s">
        <v>915</v>
      </c>
      <c r="N588" s="694" t="s">
        <v>926</v>
      </c>
      <c r="O588" s="694">
        <v>2021.0</v>
      </c>
      <c r="P588" s="694" t="s">
        <v>919</v>
      </c>
      <c r="Q588" s="695" t="s">
        <v>112</v>
      </c>
      <c r="R588" s="696">
        <v>378.814408</v>
      </c>
      <c r="S588" s="696">
        <v>225.1128928</v>
      </c>
      <c r="T588" s="697">
        <v>566.5081853</v>
      </c>
      <c r="AB588" s="722"/>
      <c r="AF588" s="669"/>
    </row>
    <row r="589">
      <c r="A589" s="675"/>
      <c r="B589" s="681" t="s">
        <v>64</v>
      </c>
      <c r="C589" s="682" t="s">
        <v>915</v>
      </c>
      <c r="D589" s="682" t="s">
        <v>922</v>
      </c>
      <c r="E589" s="682" t="s">
        <v>352</v>
      </c>
      <c r="F589" s="682">
        <v>2021.0</v>
      </c>
      <c r="G589" s="683">
        <v>0.015807042</v>
      </c>
      <c r="H589" s="683">
        <v>0.010446177</v>
      </c>
      <c r="I589" s="684">
        <v>0.022941928</v>
      </c>
      <c r="K589" s="693" t="s">
        <v>41</v>
      </c>
      <c r="L589" s="694" t="s">
        <v>352</v>
      </c>
      <c r="M589" s="694" t="s">
        <v>915</v>
      </c>
      <c r="N589" s="694" t="s">
        <v>918</v>
      </c>
      <c r="O589" s="694">
        <v>2021.0</v>
      </c>
      <c r="P589" s="694" t="s">
        <v>919</v>
      </c>
      <c r="Q589" s="695" t="s">
        <v>112</v>
      </c>
      <c r="R589" s="696">
        <v>439.5359567</v>
      </c>
      <c r="S589" s="696">
        <v>176.2850383</v>
      </c>
      <c r="T589" s="697">
        <v>753.8038956</v>
      </c>
      <c r="AB589" s="722"/>
      <c r="AF589" s="669"/>
    </row>
    <row r="590">
      <c r="A590" s="675"/>
      <c r="B590" s="681" t="s">
        <v>64</v>
      </c>
      <c r="C590" s="682" t="s">
        <v>915</v>
      </c>
      <c r="D590" s="682" t="s">
        <v>924</v>
      </c>
      <c r="E590" s="682" t="s">
        <v>352</v>
      </c>
      <c r="F590" s="682">
        <v>2021.0</v>
      </c>
      <c r="G590" s="683">
        <v>6.8802E-4</v>
      </c>
      <c r="H590" s="683">
        <v>3.7813E-4</v>
      </c>
      <c r="I590" s="684">
        <v>0.001044749</v>
      </c>
      <c r="K590" s="693" t="s">
        <v>41</v>
      </c>
      <c r="L590" s="694" t="s">
        <v>352</v>
      </c>
      <c r="M590" s="694" t="s">
        <v>915</v>
      </c>
      <c r="N590" s="694" t="s">
        <v>923</v>
      </c>
      <c r="O590" s="694">
        <v>2021.0</v>
      </c>
      <c r="P590" s="694" t="s">
        <v>919</v>
      </c>
      <c r="Q590" s="695" t="s">
        <v>112</v>
      </c>
      <c r="R590" s="696">
        <v>357.6860169</v>
      </c>
      <c r="S590" s="696">
        <v>224.4116952</v>
      </c>
      <c r="T590" s="697">
        <v>552.4406785</v>
      </c>
      <c r="AB590" s="722"/>
      <c r="AF590" s="669"/>
    </row>
    <row r="591">
      <c r="A591" s="675"/>
      <c r="B591" s="681" t="s">
        <v>64</v>
      </c>
      <c r="C591" s="682" t="s">
        <v>915</v>
      </c>
      <c r="D591" s="682" t="s">
        <v>926</v>
      </c>
      <c r="E591" s="682" t="s">
        <v>352</v>
      </c>
      <c r="F591" s="682">
        <v>2021.0</v>
      </c>
      <c r="G591" s="683">
        <v>0.008021461</v>
      </c>
      <c r="H591" s="683">
        <v>0.005025447</v>
      </c>
      <c r="I591" s="684">
        <v>0.011271751</v>
      </c>
      <c r="K591" s="693" t="s">
        <v>41</v>
      </c>
      <c r="L591" s="694" t="s">
        <v>352</v>
      </c>
      <c r="M591" s="694" t="s">
        <v>915</v>
      </c>
      <c r="N591" s="694" t="s">
        <v>925</v>
      </c>
      <c r="O591" s="694">
        <v>2021.0</v>
      </c>
      <c r="P591" s="694" t="s">
        <v>919</v>
      </c>
      <c r="Q591" s="695" t="s">
        <v>112</v>
      </c>
      <c r="R591" s="696">
        <v>150.8925561</v>
      </c>
      <c r="S591" s="696">
        <v>82.4710398</v>
      </c>
      <c r="T591" s="697">
        <v>227.771982</v>
      </c>
      <c r="AB591" s="722"/>
      <c r="AF591" s="669"/>
    </row>
    <row r="592">
      <c r="A592" s="675"/>
      <c r="B592" s="681" t="s">
        <v>65</v>
      </c>
      <c r="C592" s="682" t="s">
        <v>915</v>
      </c>
      <c r="D592" s="682" t="s">
        <v>916</v>
      </c>
      <c r="E592" s="682" t="s">
        <v>352</v>
      </c>
      <c r="F592" s="682">
        <v>2021.0</v>
      </c>
      <c r="G592" s="683">
        <v>0.00194264</v>
      </c>
      <c r="H592" s="683">
        <v>0.001090031</v>
      </c>
      <c r="I592" s="684">
        <v>0.003147766</v>
      </c>
      <c r="K592" s="693" t="s">
        <v>41</v>
      </c>
      <c r="L592" s="694" t="s">
        <v>352</v>
      </c>
      <c r="M592" s="694" t="s">
        <v>915</v>
      </c>
      <c r="N592" s="694" t="s">
        <v>927</v>
      </c>
      <c r="O592" s="694">
        <v>2021.0</v>
      </c>
      <c r="P592" s="694" t="s">
        <v>919</v>
      </c>
      <c r="Q592" s="695" t="s">
        <v>112</v>
      </c>
      <c r="R592" s="696">
        <v>449.8875285</v>
      </c>
      <c r="S592" s="696">
        <v>209.4078059</v>
      </c>
      <c r="T592" s="697">
        <v>712.1367355</v>
      </c>
      <c r="AB592" s="722"/>
      <c r="AF592" s="669"/>
    </row>
    <row r="593">
      <c r="A593" s="675"/>
      <c r="B593" s="681" t="s">
        <v>65</v>
      </c>
      <c r="C593" s="682" t="s">
        <v>915</v>
      </c>
      <c r="D593" s="682" t="s">
        <v>922</v>
      </c>
      <c r="E593" s="682" t="s">
        <v>352</v>
      </c>
      <c r="F593" s="682">
        <v>2021.0</v>
      </c>
      <c r="G593" s="683">
        <v>0.015695869</v>
      </c>
      <c r="H593" s="683">
        <v>0.010071826</v>
      </c>
      <c r="I593" s="684">
        <v>0.022745608</v>
      </c>
      <c r="K593" s="693" t="s">
        <v>41</v>
      </c>
      <c r="L593" s="694" t="s">
        <v>352</v>
      </c>
      <c r="M593" s="694" t="s">
        <v>915</v>
      </c>
      <c r="N593" s="694" t="s">
        <v>926</v>
      </c>
      <c r="O593" s="694">
        <v>2021.0</v>
      </c>
      <c r="P593" s="694" t="s">
        <v>919</v>
      </c>
      <c r="Q593" s="695" t="s">
        <v>112</v>
      </c>
      <c r="R593" s="696">
        <v>1398.002058</v>
      </c>
      <c r="S593" s="696">
        <v>788.8460097</v>
      </c>
      <c r="T593" s="697">
        <v>2131.299617</v>
      </c>
      <c r="AB593" s="722"/>
      <c r="AF593" s="669"/>
    </row>
    <row r="594">
      <c r="A594" s="675"/>
      <c r="B594" s="681" t="s">
        <v>65</v>
      </c>
      <c r="C594" s="682" t="s">
        <v>915</v>
      </c>
      <c r="D594" s="682" t="s">
        <v>924</v>
      </c>
      <c r="E594" s="682" t="s">
        <v>352</v>
      </c>
      <c r="F594" s="682">
        <v>2021.0</v>
      </c>
      <c r="G594" s="683">
        <v>5.23182E-4</v>
      </c>
      <c r="H594" s="683">
        <v>2.43037E-4</v>
      </c>
      <c r="I594" s="684">
        <v>9.1181E-4</v>
      </c>
      <c r="K594" s="693" t="s">
        <v>26</v>
      </c>
      <c r="L594" s="694" t="s">
        <v>352</v>
      </c>
      <c r="M594" s="694" t="s">
        <v>915</v>
      </c>
      <c r="N594" s="694" t="s">
        <v>918</v>
      </c>
      <c r="O594" s="694">
        <v>2021.0</v>
      </c>
      <c r="P594" s="694" t="s">
        <v>919</v>
      </c>
      <c r="Q594" s="695" t="s">
        <v>112</v>
      </c>
      <c r="R594" s="696">
        <v>3872.478051</v>
      </c>
      <c r="S594" s="696">
        <v>2292.357343</v>
      </c>
      <c r="T594" s="697">
        <v>6244.594533</v>
      </c>
      <c r="AB594" s="722"/>
      <c r="AF594" s="669"/>
    </row>
    <row r="595">
      <c r="A595" s="675"/>
      <c r="B595" s="681" t="s">
        <v>65</v>
      </c>
      <c r="C595" s="682" t="s">
        <v>915</v>
      </c>
      <c r="D595" s="682" t="s">
        <v>926</v>
      </c>
      <c r="E595" s="682" t="s">
        <v>352</v>
      </c>
      <c r="F595" s="682">
        <v>2021.0</v>
      </c>
      <c r="G595" s="683">
        <v>0.00814551</v>
      </c>
      <c r="H595" s="683">
        <v>0.004715164</v>
      </c>
      <c r="I595" s="684">
        <v>0.012125614</v>
      </c>
      <c r="K595" s="693" t="s">
        <v>26</v>
      </c>
      <c r="L595" s="694" t="s">
        <v>352</v>
      </c>
      <c r="M595" s="694" t="s">
        <v>915</v>
      </c>
      <c r="N595" s="694" t="s">
        <v>923</v>
      </c>
      <c r="O595" s="694">
        <v>2021.0</v>
      </c>
      <c r="P595" s="694" t="s">
        <v>919</v>
      </c>
      <c r="Q595" s="695" t="s">
        <v>112</v>
      </c>
      <c r="R595" s="696">
        <v>1061.467461</v>
      </c>
      <c r="S595" s="696">
        <v>693.7281206</v>
      </c>
      <c r="T595" s="697">
        <v>1584.231978</v>
      </c>
      <c r="AB595" s="722"/>
      <c r="AF595" s="669"/>
    </row>
    <row r="596">
      <c r="A596" s="675"/>
      <c r="B596" s="681" t="s">
        <v>35</v>
      </c>
      <c r="C596" s="682" t="s">
        <v>915</v>
      </c>
      <c r="D596" s="682" t="s">
        <v>916</v>
      </c>
      <c r="E596" s="682" t="s">
        <v>352</v>
      </c>
      <c r="F596" s="682">
        <v>2021.0</v>
      </c>
      <c r="G596" s="683">
        <v>0.003306589</v>
      </c>
      <c r="H596" s="683">
        <v>0.002267549</v>
      </c>
      <c r="I596" s="684">
        <v>0.004730945</v>
      </c>
      <c r="K596" s="693" t="s">
        <v>26</v>
      </c>
      <c r="L596" s="694" t="s">
        <v>352</v>
      </c>
      <c r="M596" s="694" t="s">
        <v>915</v>
      </c>
      <c r="N596" s="694" t="s">
        <v>925</v>
      </c>
      <c r="O596" s="694">
        <v>2021.0</v>
      </c>
      <c r="P596" s="694" t="s">
        <v>919</v>
      </c>
      <c r="Q596" s="695" t="s">
        <v>112</v>
      </c>
      <c r="R596" s="696">
        <v>404.6041757</v>
      </c>
      <c r="S596" s="696">
        <v>271.8767846</v>
      </c>
      <c r="T596" s="697">
        <v>579.586645</v>
      </c>
      <c r="AB596" s="722"/>
      <c r="AF596" s="669"/>
    </row>
    <row r="597">
      <c r="A597" s="675"/>
      <c r="B597" s="681" t="s">
        <v>35</v>
      </c>
      <c r="C597" s="682" t="s">
        <v>915</v>
      </c>
      <c r="D597" s="682" t="s">
        <v>922</v>
      </c>
      <c r="E597" s="682" t="s">
        <v>352</v>
      </c>
      <c r="F597" s="682">
        <v>2021.0</v>
      </c>
      <c r="G597" s="683">
        <v>0.024150318</v>
      </c>
      <c r="H597" s="683">
        <v>0.016795637</v>
      </c>
      <c r="I597" s="684">
        <v>0.033532708</v>
      </c>
      <c r="K597" s="693" t="s">
        <v>26</v>
      </c>
      <c r="L597" s="694" t="s">
        <v>352</v>
      </c>
      <c r="M597" s="694" t="s">
        <v>915</v>
      </c>
      <c r="N597" s="694" t="s">
        <v>927</v>
      </c>
      <c r="O597" s="694">
        <v>2021.0</v>
      </c>
      <c r="P597" s="694" t="s">
        <v>919</v>
      </c>
      <c r="Q597" s="695" t="s">
        <v>112</v>
      </c>
      <c r="R597" s="696">
        <v>1327.610749</v>
      </c>
      <c r="S597" s="696">
        <v>862.5579461</v>
      </c>
      <c r="T597" s="697">
        <v>1968.313834</v>
      </c>
      <c r="AB597" s="722"/>
      <c r="AF597" s="669"/>
    </row>
    <row r="598">
      <c r="A598" s="675"/>
      <c r="B598" s="681" t="s">
        <v>35</v>
      </c>
      <c r="C598" s="682" t="s">
        <v>915</v>
      </c>
      <c r="D598" s="682" t="s">
        <v>924</v>
      </c>
      <c r="E598" s="682" t="s">
        <v>352</v>
      </c>
      <c r="F598" s="682">
        <v>2021.0</v>
      </c>
      <c r="G598" s="683">
        <v>0.001487164</v>
      </c>
      <c r="H598" s="683">
        <v>0.0010192</v>
      </c>
      <c r="I598" s="684">
        <v>0.002069838</v>
      </c>
      <c r="K598" s="693" t="s">
        <v>26</v>
      </c>
      <c r="L598" s="694" t="s">
        <v>352</v>
      </c>
      <c r="M598" s="694" t="s">
        <v>915</v>
      </c>
      <c r="N598" s="694" t="s">
        <v>926</v>
      </c>
      <c r="O598" s="694">
        <v>2021.0</v>
      </c>
      <c r="P598" s="694" t="s">
        <v>919</v>
      </c>
      <c r="Q598" s="695" t="s">
        <v>112</v>
      </c>
      <c r="R598" s="696">
        <v>6666.160437</v>
      </c>
      <c r="S598" s="696">
        <v>4527.146912</v>
      </c>
      <c r="T598" s="697">
        <v>9729.081382</v>
      </c>
      <c r="AB598" s="722"/>
      <c r="AF598" s="669"/>
    </row>
    <row r="599">
      <c r="A599" s="675"/>
      <c r="B599" s="681" t="s">
        <v>35</v>
      </c>
      <c r="C599" s="682" t="s">
        <v>915</v>
      </c>
      <c r="D599" s="682" t="s">
        <v>926</v>
      </c>
      <c r="E599" s="682" t="s">
        <v>352</v>
      </c>
      <c r="F599" s="682">
        <v>2021.0</v>
      </c>
      <c r="G599" s="683">
        <v>0.026957948</v>
      </c>
      <c r="H599" s="683">
        <v>0.019238075</v>
      </c>
      <c r="I599" s="684">
        <v>0.037788354</v>
      </c>
      <c r="K599" s="693" t="s">
        <v>42</v>
      </c>
      <c r="L599" s="694" t="s">
        <v>352</v>
      </c>
      <c r="M599" s="694" t="s">
        <v>915</v>
      </c>
      <c r="N599" s="694" t="s">
        <v>918</v>
      </c>
      <c r="O599" s="694">
        <v>2021.0</v>
      </c>
      <c r="P599" s="694" t="s">
        <v>919</v>
      </c>
      <c r="Q599" s="695" t="s">
        <v>112</v>
      </c>
      <c r="R599" s="696">
        <v>71.19975193</v>
      </c>
      <c r="S599" s="696">
        <v>33.61405239</v>
      </c>
      <c r="T599" s="697">
        <v>117.0249658</v>
      </c>
      <c r="AB599" s="722"/>
      <c r="AF599" s="669"/>
    </row>
    <row r="600">
      <c r="A600" s="675"/>
      <c r="B600" s="681" t="s">
        <v>66</v>
      </c>
      <c r="C600" s="682" t="s">
        <v>915</v>
      </c>
      <c r="D600" s="682" t="s">
        <v>916</v>
      </c>
      <c r="E600" s="682" t="s">
        <v>352</v>
      </c>
      <c r="F600" s="682">
        <v>2021.0</v>
      </c>
      <c r="G600" s="683">
        <v>0.002746134</v>
      </c>
      <c r="H600" s="683">
        <v>0.001752121</v>
      </c>
      <c r="I600" s="684">
        <v>0.004164289</v>
      </c>
      <c r="K600" s="693" t="s">
        <v>42</v>
      </c>
      <c r="L600" s="694" t="s">
        <v>352</v>
      </c>
      <c r="M600" s="694" t="s">
        <v>915</v>
      </c>
      <c r="N600" s="694" t="s">
        <v>923</v>
      </c>
      <c r="O600" s="694">
        <v>2021.0</v>
      </c>
      <c r="P600" s="694" t="s">
        <v>919</v>
      </c>
      <c r="Q600" s="695" t="s">
        <v>112</v>
      </c>
      <c r="R600" s="696">
        <v>33.50491455</v>
      </c>
      <c r="S600" s="696">
        <v>21.12949253</v>
      </c>
      <c r="T600" s="697">
        <v>50.82004291</v>
      </c>
      <c r="AB600" s="722"/>
      <c r="AF600" s="669"/>
    </row>
    <row r="601">
      <c r="A601" s="675"/>
      <c r="B601" s="681" t="s">
        <v>66</v>
      </c>
      <c r="C601" s="682" t="s">
        <v>915</v>
      </c>
      <c r="D601" s="682" t="s">
        <v>922</v>
      </c>
      <c r="E601" s="682" t="s">
        <v>352</v>
      </c>
      <c r="F601" s="682">
        <v>2021.0</v>
      </c>
      <c r="G601" s="683">
        <v>0.017242094</v>
      </c>
      <c r="H601" s="683">
        <v>0.011630156</v>
      </c>
      <c r="I601" s="684">
        <v>0.025187569</v>
      </c>
      <c r="K601" s="693" t="s">
        <v>42</v>
      </c>
      <c r="L601" s="694" t="s">
        <v>352</v>
      </c>
      <c r="M601" s="694" t="s">
        <v>915</v>
      </c>
      <c r="N601" s="694" t="s">
        <v>925</v>
      </c>
      <c r="O601" s="694">
        <v>2021.0</v>
      </c>
      <c r="P601" s="694" t="s">
        <v>919</v>
      </c>
      <c r="Q601" s="695" t="s">
        <v>112</v>
      </c>
      <c r="R601" s="696">
        <v>14.62465335</v>
      </c>
      <c r="S601" s="696">
        <v>8.290268549</v>
      </c>
      <c r="T601" s="697">
        <v>21.74049692</v>
      </c>
      <c r="AB601" s="722"/>
      <c r="AF601" s="669"/>
    </row>
    <row r="602">
      <c r="A602" s="675"/>
      <c r="B602" s="681" t="s">
        <v>66</v>
      </c>
      <c r="C602" s="682" t="s">
        <v>915</v>
      </c>
      <c r="D602" s="682" t="s">
        <v>924</v>
      </c>
      <c r="E602" s="682" t="s">
        <v>352</v>
      </c>
      <c r="F602" s="682">
        <v>2021.0</v>
      </c>
      <c r="G602" s="683">
        <v>0.001213507</v>
      </c>
      <c r="H602" s="683">
        <v>8.04539E-4</v>
      </c>
      <c r="I602" s="684">
        <v>0.001745258</v>
      </c>
      <c r="K602" s="693" t="s">
        <v>42</v>
      </c>
      <c r="L602" s="694" t="s">
        <v>352</v>
      </c>
      <c r="M602" s="694" t="s">
        <v>915</v>
      </c>
      <c r="N602" s="694" t="s">
        <v>927</v>
      </c>
      <c r="O602" s="694">
        <v>2021.0</v>
      </c>
      <c r="P602" s="694" t="s">
        <v>919</v>
      </c>
      <c r="Q602" s="695" t="s">
        <v>112</v>
      </c>
      <c r="R602" s="696">
        <v>40.46018239</v>
      </c>
      <c r="S602" s="696">
        <v>20.85271725</v>
      </c>
      <c r="T602" s="697">
        <v>62.17743977</v>
      </c>
      <c r="AB602" s="722"/>
      <c r="AF602" s="669"/>
    </row>
    <row r="603">
      <c r="A603" s="675"/>
      <c r="B603" s="681" t="s">
        <v>66</v>
      </c>
      <c r="C603" s="682" t="s">
        <v>915</v>
      </c>
      <c r="D603" s="682" t="s">
        <v>926</v>
      </c>
      <c r="E603" s="682" t="s">
        <v>352</v>
      </c>
      <c r="F603" s="682">
        <v>2021.0</v>
      </c>
      <c r="G603" s="683">
        <v>0.018515733</v>
      </c>
      <c r="H603" s="683">
        <v>0.012547744</v>
      </c>
      <c r="I603" s="684">
        <v>0.026486964</v>
      </c>
      <c r="K603" s="693" t="s">
        <v>42</v>
      </c>
      <c r="L603" s="694" t="s">
        <v>352</v>
      </c>
      <c r="M603" s="694" t="s">
        <v>915</v>
      </c>
      <c r="N603" s="694" t="s">
        <v>926</v>
      </c>
      <c r="O603" s="694">
        <v>2021.0</v>
      </c>
      <c r="P603" s="694" t="s">
        <v>919</v>
      </c>
      <c r="Q603" s="695" t="s">
        <v>112</v>
      </c>
      <c r="R603" s="696">
        <v>159.7895022</v>
      </c>
      <c r="S603" s="696">
        <v>91.41195205</v>
      </c>
      <c r="T603" s="697">
        <v>236.3614929</v>
      </c>
      <c r="AB603" s="722"/>
      <c r="AF603" s="669"/>
    </row>
    <row r="604">
      <c r="A604" s="675"/>
      <c r="B604" s="681" t="s">
        <v>67</v>
      </c>
      <c r="C604" s="682" t="s">
        <v>915</v>
      </c>
      <c r="D604" s="682" t="s">
        <v>916</v>
      </c>
      <c r="E604" s="682" t="s">
        <v>352</v>
      </c>
      <c r="F604" s="682">
        <v>2021.0</v>
      </c>
      <c r="G604" s="683">
        <v>0.002595537</v>
      </c>
      <c r="H604" s="683">
        <v>0.001721493</v>
      </c>
      <c r="I604" s="684">
        <v>0.003783194</v>
      </c>
      <c r="K604" s="693" t="s">
        <v>44</v>
      </c>
      <c r="L604" s="694" t="s">
        <v>352</v>
      </c>
      <c r="M604" s="694" t="s">
        <v>915</v>
      </c>
      <c r="N604" s="694" t="s">
        <v>918</v>
      </c>
      <c r="O604" s="694">
        <v>2021.0</v>
      </c>
      <c r="P604" s="694" t="s">
        <v>919</v>
      </c>
      <c r="Q604" s="695" t="s">
        <v>112</v>
      </c>
      <c r="R604" s="696">
        <v>852.3289207</v>
      </c>
      <c r="S604" s="696">
        <v>407.3646422</v>
      </c>
      <c r="T604" s="697">
        <v>1387.49285</v>
      </c>
      <c r="AB604" s="722"/>
      <c r="AF604" s="669"/>
    </row>
    <row r="605">
      <c r="A605" s="675"/>
      <c r="B605" s="681" t="s">
        <v>67</v>
      </c>
      <c r="C605" s="682" t="s">
        <v>915</v>
      </c>
      <c r="D605" s="682" t="s">
        <v>922</v>
      </c>
      <c r="E605" s="682" t="s">
        <v>352</v>
      </c>
      <c r="F605" s="682">
        <v>2021.0</v>
      </c>
      <c r="G605" s="683">
        <v>0.022438887</v>
      </c>
      <c r="H605" s="683">
        <v>0.015273053</v>
      </c>
      <c r="I605" s="684">
        <v>0.031721509</v>
      </c>
      <c r="K605" s="693" t="s">
        <v>44</v>
      </c>
      <c r="L605" s="694" t="s">
        <v>352</v>
      </c>
      <c r="M605" s="694" t="s">
        <v>915</v>
      </c>
      <c r="N605" s="694" t="s">
        <v>923</v>
      </c>
      <c r="O605" s="694">
        <v>2021.0</v>
      </c>
      <c r="P605" s="694" t="s">
        <v>919</v>
      </c>
      <c r="Q605" s="695" t="s">
        <v>112</v>
      </c>
      <c r="R605" s="696">
        <v>886.0005902</v>
      </c>
      <c r="S605" s="696">
        <v>575.134149</v>
      </c>
      <c r="T605" s="697">
        <v>1337.615018</v>
      </c>
      <c r="AB605" s="722"/>
      <c r="AF605" s="669"/>
    </row>
    <row r="606">
      <c r="A606" s="675"/>
      <c r="B606" s="681" t="s">
        <v>67</v>
      </c>
      <c r="C606" s="682" t="s">
        <v>915</v>
      </c>
      <c r="D606" s="682" t="s">
        <v>924</v>
      </c>
      <c r="E606" s="682" t="s">
        <v>352</v>
      </c>
      <c r="F606" s="682">
        <v>2021.0</v>
      </c>
      <c r="G606" s="683">
        <v>9.21898E-4</v>
      </c>
      <c r="H606" s="683">
        <v>6.29878E-4</v>
      </c>
      <c r="I606" s="684">
        <v>0.001298621</v>
      </c>
      <c r="K606" s="693" t="s">
        <v>44</v>
      </c>
      <c r="L606" s="694" t="s">
        <v>352</v>
      </c>
      <c r="M606" s="694" t="s">
        <v>915</v>
      </c>
      <c r="N606" s="694" t="s">
        <v>925</v>
      </c>
      <c r="O606" s="694">
        <v>2021.0</v>
      </c>
      <c r="P606" s="694" t="s">
        <v>919</v>
      </c>
      <c r="Q606" s="695" t="s">
        <v>112</v>
      </c>
      <c r="R606" s="696">
        <v>380.1906619</v>
      </c>
      <c r="S606" s="696">
        <v>234.1780156</v>
      </c>
      <c r="T606" s="697">
        <v>579.5592006</v>
      </c>
      <c r="AB606" s="722"/>
      <c r="AF606" s="669"/>
    </row>
    <row r="607">
      <c r="A607" s="675"/>
      <c r="B607" s="681" t="s">
        <v>67</v>
      </c>
      <c r="C607" s="682" t="s">
        <v>915</v>
      </c>
      <c r="D607" s="682" t="s">
        <v>926</v>
      </c>
      <c r="E607" s="682" t="s">
        <v>352</v>
      </c>
      <c r="F607" s="682">
        <v>2021.0</v>
      </c>
      <c r="G607" s="683">
        <v>0.013456401</v>
      </c>
      <c r="H607" s="683">
        <v>0.009300864</v>
      </c>
      <c r="I607" s="684">
        <v>0.018605843</v>
      </c>
      <c r="K607" s="693" t="s">
        <v>44</v>
      </c>
      <c r="L607" s="694" t="s">
        <v>352</v>
      </c>
      <c r="M607" s="694" t="s">
        <v>915</v>
      </c>
      <c r="N607" s="694" t="s">
        <v>927</v>
      </c>
      <c r="O607" s="694">
        <v>2021.0</v>
      </c>
      <c r="P607" s="694" t="s">
        <v>919</v>
      </c>
      <c r="Q607" s="695" t="s">
        <v>112</v>
      </c>
      <c r="R607" s="696">
        <v>1212.312265</v>
      </c>
      <c r="S607" s="696">
        <v>740.3687146</v>
      </c>
      <c r="T607" s="697">
        <v>1842.449136</v>
      </c>
      <c r="AB607" s="722"/>
      <c r="AF607" s="669"/>
    </row>
    <row r="608">
      <c r="A608" s="675"/>
      <c r="B608" s="681" t="s">
        <v>37</v>
      </c>
      <c r="C608" s="682" t="s">
        <v>915</v>
      </c>
      <c r="D608" s="682" t="s">
        <v>916</v>
      </c>
      <c r="E608" s="682" t="s">
        <v>352</v>
      </c>
      <c r="F608" s="682">
        <v>2021.0</v>
      </c>
      <c r="G608" s="683">
        <v>0.002961165</v>
      </c>
      <c r="H608" s="683">
        <v>0.001992275</v>
      </c>
      <c r="I608" s="684">
        <v>0.004218954</v>
      </c>
      <c r="K608" s="693" t="s">
        <v>44</v>
      </c>
      <c r="L608" s="694" t="s">
        <v>352</v>
      </c>
      <c r="M608" s="694" t="s">
        <v>915</v>
      </c>
      <c r="N608" s="694" t="s">
        <v>926</v>
      </c>
      <c r="O608" s="694">
        <v>2021.0</v>
      </c>
      <c r="P608" s="694" t="s">
        <v>919</v>
      </c>
      <c r="Q608" s="695" t="s">
        <v>112</v>
      </c>
      <c r="R608" s="696">
        <v>3330.832438</v>
      </c>
      <c r="S608" s="696">
        <v>2258.136517</v>
      </c>
      <c r="T608" s="697">
        <v>4753.769675</v>
      </c>
      <c r="AB608" s="722"/>
      <c r="AF608" s="669"/>
    </row>
    <row r="609">
      <c r="A609" s="675"/>
      <c r="B609" s="681" t="s">
        <v>37</v>
      </c>
      <c r="C609" s="682" t="s">
        <v>915</v>
      </c>
      <c r="D609" s="682" t="s">
        <v>922</v>
      </c>
      <c r="E609" s="682" t="s">
        <v>352</v>
      </c>
      <c r="F609" s="682">
        <v>2021.0</v>
      </c>
      <c r="G609" s="683">
        <v>0.029711508</v>
      </c>
      <c r="H609" s="683">
        <v>0.021118177</v>
      </c>
      <c r="I609" s="684">
        <v>0.040856327</v>
      </c>
      <c r="K609" s="693" t="s">
        <v>45</v>
      </c>
      <c r="L609" s="694" t="s">
        <v>352</v>
      </c>
      <c r="M609" s="694" t="s">
        <v>915</v>
      </c>
      <c r="N609" s="694" t="s">
        <v>918</v>
      </c>
      <c r="O609" s="694">
        <v>2021.0</v>
      </c>
      <c r="P609" s="694" t="s">
        <v>919</v>
      </c>
      <c r="Q609" s="695" t="s">
        <v>112</v>
      </c>
      <c r="R609" s="696">
        <v>436.9998201</v>
      </c>
      <c r="S609" s="696">
        <v>210.0899214</v>
      </c>
      <c r="T609" s="697">
        <v>691.0850888</v>
      </c>
      <c r="AB609" s="722"/>
      <c r="AF609" s="669"/>
    </row>
    <row r="610">
      <c r="A610" s="675"/>
      <c r="B610" s="681" t="s">
        <v>37</v>
      </c>
      <c r="C610" s="682" t="s">
        <v>915</v>
      </c>
      <c r="D610" s="682" t="s">
        <v>924</v>
      </c>
      <c r="E610" s="682" t="s">
        <v>352</v>
      </c>
      <c r="F610" s="682">
        <v>2021.0</v>
      </c>
      <c r="G610" s="683">
        <v>0.001579396</v>
      </c>
      <c r="H610" s="683">
        <v>0.001082278</v>
      </c>
      <c r="I610" s="684">
        <v>0.002147014</v>
      </c>
      <c r="K610" s="693" t="s">
        <v>45</v>
      </c>
      <c r="L610" s="694" t="s">
        <v>352</v>
      </c>
      <c r="M610" s="694" t="s">
        <v>915</v>
      </c>
      <c r="N610" s="694" t="s">
        <v>923</v>
      </c>
      <c r="O610" s="694">
        <v>2021.0</v>
      </c>
      <c r="P610" s="694" t="s">
        <v>919</v>
      </c>
      <c r="Q610" s="695" t="s">
        <v>112</v>
      </c>
      <c r="R610" s="696">
        <v>300.3458283</v>
      </c>
      <c r="S610" s="696">
        <v>198.0186388</v>
      </c>
      <c r="T610" s="697">
        <v>438.3677768</v>
      </c>
      <c r="AB610" s="722"/>
      <c r="AF610" s="669"/>
    </row>
    <row r="611">
      <c r="A611" s="675"/>
      <c r="B611" s="681" t="s">
        <v>37</v>
      </c>
      <c r="C611" s="682" t="s">
        <v>915</v>
      </c>
      <c r="D611" s="682" t="s">
        <v>926</v>
      </c>
      <c r="E611" s="682" t="s">
        <v>352</v>
      </c>
      <c r="F611" s="682">
        <v>2021.0</v>
      </c>
      <c r="G611" s="683">
        <v>0.021586078</v>
      </c>
      <c r="H611" s="683">
        <v>0.015813124</v>
      </c>
      <c r="I611" s="684">
        <v>0.030871126</v>
      </c>
      <c r="K611" s="693" t="s">
        <v>45</v>
      </c>
      <c r="L611" s="694" t="s">
        <v>352</v>
      </c>
      <c r="M611" s="694" t="s">
        <v>915</v>
      </c>
      <c r="N611" s="694" t="s">
        <v>925</v>
      </c>
      <c r="O611" s="694">
        <v>2021.0</v>
      </c>
      <c r="P611" s="694" t="s">
        <v>919</v>
      </c>
      <c r="Q611" s="695" t="s">
        <v>112</v>
      </c>
      <c r="R611" s="696">
        <v>147.7294825</v>
      </c>
      <c r="S611" s="696">
        <v>90.89254192</v>
      </c>
      <c r="T611" s="697">
        <v>216.7823858</v>
      </c>
      <c r="AB611" s="722"/>
      <c r="AF611" s="669"/>
    </row>
    <row r="612">
      <c r="A612" s="675"/>
      <c r="B612" s="681" t="s">
        <v>38</v>
      </c>
      <c r="C612" s="682" t="s">
        <v>915</v>
      </c>
      <c r="D612" s="682" t="s">
        <v>916</v>
      </c>
      <c r="E612" s="682" t="s">
        <v>679</v>
      </c>
      <c r="F612" s="682">
        <v>2021.0</v>
      </c>
      <c r="G612" s="683">
        <v>5.71E-6</v>
      </c>
      <c r="H612" s="683">
        <v>1.7E-6</v>
      </c>
      <c r="I612" s="684">
        <v>1.23E-5</v>
      </c>
      <c r="K612" s="693" t="s">
        <v>45</v>
      </c>
      <c r="L612" s="694" t="s">
        <v>352</v>
      </c>
      <c r="M612" s="694" t="s">
        <v>915</v>
      </c>
      <c r="N612" s="694" t="s">
        <v>927</v>
      </c>
      <c r="O612" s="694">
        <v>2021.0</v>
      </c>
      <c r="P612" s="694" t="s">
        <v>919</v>
      </c>
      <c r="Q612" s="695" t="s">
        <v>112</v>
      </c>
      <c r="R612" s="696">
        <v>324.1529071</v>
      </c>
      <c r="S612" s="696">
        <v>183.8662189</v>
      </c>
      <c r="T612" s="697">
        <v>503.0566292</v>
      </c>
      <c r="AB612" s="722"/>
      <c r="AF612" s="669"/>
    </row>
    <row r="613">
      <c r="A613" s="675"/>
      <c r="B613" s="681" t="s">
        <v>38</v>
      </c>
      <c r="C613" s="682" t="s">
        <v>915</v>
      </c>
      <c r="D613" s="682" t="s">
        <v>922</v>
      </c>
      <c r="E613" s="682" t="s">
        <v>679</v>
      </c>
      <c r="F613" s="682">
        <v>2021.0</v>
      </c>
      <c r="G613" s="683">
        <v>1.28E-6</v>
      </c>
      <c r="H613" s="683">
        <v>5.12E-7</v>
      </c>
      <c r="I613" s="684">
        <v>2.5E-6</v>
      </c>
      <c r="K613" s="693" t="s">
        <v>45</v>
      </c>
      <c r="L613" s="694" t="s">
        <v>352</v>
      </c>
      <c r="M613" s="694" t="s">
        <v>915</v>
      </c>
      <c r="N613" s="694" t="s">
        <v>926</v>
      </c>
      <c r="O613" s="694">
        <v>2021.0</v>
      </c>
      <c r="P613" s="694" t="s">
        <v>919</v>
      </c>
      <c r="Q613" s="695" t="s">
        <v>112</v>
      </c>
      <c r="R613" s="696">
        <v>1209.228038</v>
      </c>
      <c r="S613" s="696">
        <v>773.0254446</v>
      </c>
      <c r="T613" s="697">
        <v>1716.514908</v>
      </c>
      <c r="AB613" s="722"/>
      <c r="AF613" s="669"/>
    </row>
    <row r="614">
      <c r="A614" s="675"/>
      <c r="B614" s="681" t="s">
        <v>38</v>
      </c>
      <c r="C614" s="682" t="s">
        <v>915</v>
      </c>
      <c r="D614" s="682" t="s">
        <v>924</v>
      </c>
      <c r="E614" s="682" t="s">
        <v>679</v>
      </c>
      <c r="F614" s="682">
        <v>2021.0</v>
      </c>
      <c r="G614" s="683">
        <v>2.44E-5</v>
      </c>
      <c r="H614" s="683">
        <v>9.32E-6</v>
      </c>
      <c r="I614" s="684">
        <v>4.91E-5</v>
      </c>
      <c r="K614" s="693" t="s">
        <v>46</v>
      </c>
      <c r="L614" s="694" t="s">
        <v>352</v>
      </c>
      <c r="M614" s="694" t="s">
        <v>915</v>
      </c>
      <c r="N614" s="694" t="s">
        <v>918</v>
      </c>
      <c r="O614" s="694">
        <v>2021.0</v>
      </c>
      <c r="P614" s="694" t="s">
        <v>919</v>
      </c>
      <c r="Q614" s="695" t="s">
        <v>112</v>
      </c>
      <c r="R614" s="696">
        <v>137.3352442</v>
      </c>
      <c r="S614" s="696">
        <v>67.1235937</v>
      </c>
      <c r="T614" s="697">
        <v>219.2132748</v>
      </c>
      <c r="AB614" s="722"/>
      <c r="AF614" s="669"/>
    </row>
    <row r="615">
      <c r="A615" s="675"/>
      <c r="B615" s="681" t="s">
        <v>38</v>
      </c>
      <c r="C615" s="682" t="s">
        <v>915</v>
      </c>
      <c r="D615" s="682" t="s">
        <v>926</v>
      </c>
      <c r="E615" s="682" t="s">
        <v>679</v>
      </c>
      <c r="F615" s="682">
        <v>2021.0</v>
      </c>
      <c r="G615" s="683">
        <v>1.41832E-4</v>
      </c>
      <c r="H615" s="683">
        <v>5.61E-5</v>
      </c>
      <c r="I615" s="684">
        <v>2.77653E-4</v>
      </c>
      <c r="K615" s="693" t="s">
        <v>46</v>
      </c>
      <c r="L615" s="694" t="s">
        <v>352</v>
      </c>
      <c r="M615" s="694" t="s">
        <v>915</v>
      </c>
      <c r="N615" s="694" t="s">
        <v>923</v>
      </c>
      <c r="O615" s="694">
        <v>2021.0</v>
      </c>
      <c r="P615" s="694" t="s">
        <v>919</v>
      </c>
      <c r="Q615" s="695" t="s">
        <v>112</v>
      </c>
      <c r="R615" s="696">
        <v>89.35648229</v>
      </c>
      <c r="S615" s="696">
        <v>56.32567137</v>
      </c>
      <c r="T615" s="697">
        <v>132.1687349</v>
      </c>
      <c r="AB615" s="722"/>
      <c r="AF615" s="669"/>
    </row>
    <row r="616">
      <c r="A616" s="675"/>
      <c r="B616" s="681" t="s">
        <v>39</v>
      </c>
      <c r="C616" s="682" t="s">
        <v>915</v>
      </c>
      <c r="D616" s="682" t="s">
        <v>916</v>
      </c>
      <c r="E616" s="682" t="s">
        <v>679</v>
      </c>
      <c r="F616" s="682">
        <v>2021.0</v>
      </c>
      <c r="G616" s="683">
        <v>1.86E-5</v>
      </c>
      <c r="H616" s="683">
        <v>5.91E-6</v>
      </c>
      <c r="I616" s="684">
        <v>3.51E-5</v>
      </c>
      <c r="K616" s="693" t="s">
        <v>46</v>
      </c>
      <c r="L616" s="694" t="s">
        <v>352</v>
      </c>
      <c r="M616" s="694" t="s">
        <v>915</v>
      </c>
      <c r="N616" s="694" t="s">
        <v>925</v>
      </c>
      <c r="O616" s="694">
        <v>2021.0</v>
      </c>
      <c r="P616" s="694" t="s">
        <v>919</v>
      </c>
      <c r="Q616" s="695" t="s">
        <v>112</v>
      </c>
      <c r="R616" s="696">
        <v>42.64310619</v>
      </c>
      <c r="S616" s="696">
        <v>24.5036543</v>
      </c>
      <c r="T616" s="697">
        <v>64.22409524</v>
      </c>
      <c r="AB616" s="722"/>
      <c r="AF616" s="669"/>
    </row>
    <row r="617">
      <c r="A617" s="675"/>
      <c r="B617" s="681" t="s">
        <v>39</v>
      </c>
      <c r="C617" s="682" t="s">
        <v>915</v>
      </c>
      <c r="D617" s="682" t="s">
        <v>922</v>
      </c>
      <c r="E617" s="682" t="s">
        <v>679</v>
      </c>
      <c r="F617" s="682">
        <v>2021.0</v>
      </c>
      <c r="G617" s="683">
        <v>3.65E-6</v>
      </c>
      <c r="H617" s="683">
        <v>1.66E-6</v>
      </c>
      <c r="I617" s="684">
        <v>6.57E-6</v>
      </c>
      <c r="K617" s="693" t="s">
        <v>46</v>
      </c>
      <c r="L617" s="694" t="s">
        <v>352</v>
      </c>
      <c r="M617" s="694" t="s">
        <v>915</v>
      </c>
      <c r="N617" s="694" t="s">
        <v>927</v>
      </c>
      <c r="O617" s="694">
        <v>2021.0</v>
      </c>
      <c r="P617" s="694" t="s">
        <v>919</v>
      </c>
      <c r="Q617" s="695" t="s">
        <v>112</v>
      </c>
      <c r="R617" s="696">
        <v>146.5552708</v>
      </c>
      <c r="S617" s="696">
        <v>83.07530937</v>
      </c>
      <c r="T617" s="697">
        <v>235.0392117</v>
      </c>
      <c r="AB617" s="722"/>
      <c r="AF617" s="669"/>
    </row>
    <row r="618">
      <c r="A618" s="675"/>
      <c r="B618" s="681" t="s">
        <v>39</v>
      </c>
      <c r="C618" s="682" t="s">
        <v>915</v>
      </c>
      <c r="D618" s="682" t="s">
        <v>924</v>
      </c>
      <c r="E618" s="682" t="s">
        <v>679</v>
      </c>
      <c r="F618" s="682">
        <v>2021.0</v>
      </c>
      <c r="G618" s="683">
        <v>8.0E-5</v>
      </c>
      <c r="H618" s="683">
        <v>2.02E-5</v>
      </c>
      <c r="I618" s="684">
        <v>1.55807E-4</v>
      </c>
      <c r="K618" s="693" t="s">
        <v>46</v>
      </c>
      <c r="L618" s="694" t="s">
        <v>352</v>
      </c>
      <c r="M618" s="694" t="s">
        <v>915</v>
      </c>
      <c r="N618" s="694" t="s">
        <v>926</v>
      </c>
      <c r="O618" s="694">
        <v>2021.0</v>
      </c>
      <c r="P618" s="694" t="s">
        <v>919</v>
      </c>
      <c r="Q618" s="695" t="s">
        <v>112</v>
      </c>
      <c r="R618" s="696">
        <v>415.8901035</v>
      </c>
      <c r="S618" s="696">
        <v>253.8840998</v>
      </c>
      <c r="T618" s="697">
        <v>593.7441687</v>
      </c>
      <c r="AB618" s="722"/>
      <c r="AF618" s="669"/>
    </row>
    <row r="619">
      <c r="A619" s="675"/>
      <c r="B619" s="681" t="s">
        <v>39</v>
      </c>
      <c r="C619" s="682" t="s">
        <v>915</v>
      </c>
      <c r="D619" s="682" t="s">
        <v>926</v>
      </c>
      <c r="E619" s="682" t="s">
        <v>679</v>
      </c>
      <c r="F619" s="682">
        <v>2021.0</v>
      </c>
      <c r="G619" s="683">
        <v>5.08638E-4</v>
      </c>
      <c r="H619" s="683">
        <v>2.38959E-4</v>
      </c>
      <c r="I619" s="684">
        <v>9.02629E-4</v>
      </c>
      <c r="K619" s="693" t="s">
        <v>47</v>
      </c>
      <c r="L619" s="694" t="s">
        <v>352</v>
      </c>
      <c r="M619" s="694" t="s">
        <v>915</v>
      </c>
      <c r="N619" s="694" t="s">
        <v>918</v>
      </c>
      <c r="O619" s="694">
        <v>2021.0</v>
      </c>
      <c r="P619" s="694" t="s">
        <v>919</v>
      </c>
      <c r="Q619" s="695" t="s">
        <v>112</v>
      </c>
      <c r="R619" s="696">
        <v>306.9518217</v>
      </c>
      <c r="S619" s="696">
        <v>124.1013091</v>
      </c>
      <c r="T619" s="697">
        <v>530.0360828</v>
      </c>
      <c r="AB619" s="722"/>
      <c r="AF619" s="669"/>
    </row>
    <row r="620">
      <c r="A620" s="675"/>
      <c r="B620" s="681" t="s">
        <v>40</v>
      </c>
      <c r="C620" s="682" t="s">
        <v>915</v>
      </c>
      <c r="D620" s="682" t="s">
        <v>916</v>
      </c>
      <c r="E620" s="682" t="s">
        <v>679</v>
      </c>
      <c r="F620" s="682">
        <v>2021.0</v>
      </c>
      <c r="G620" s="683">
        <v>8.59E-6</v>
      </c>
      <c r="H620" s="683">
        <v>2.3E-6</v>
      </c>
      <c r="I620" s="684">
        <v>1.8E-5</v>
      </c>
      <c r="K620" s="693" t="s">
        <v>47</v>
      </c>
      <c r="L620" s="694" t="s">
        <v>352</v>
      </c>
      <c r="M620" s="694" t="s">
        <v>915</v>
      </c>
      <c r="N620" s="694" t="s">
        <v>923</v>
      </c>
      <c r="O620" s="694">
        <v>2021.0</v>
      </c>
      <c r="P620" s="694" t="s">
        <v>919</v>
      </c>
      <c r="Q620" s="695" t="s">
        <v>112</v>
      </c>
      <c r="R620" s="696">
        <v>272.6754375</v>
      </c>
      <c r="S620" s="696">
        <v>173.6156769</v>
      </c>
      <c r="T620" s="697">
        <v>400.4600061</v>
      </c>
      <c r="AB620" s="722"/>
      <c r="AF620" s="669"/>
    </row>
    <row r="621">
      <c r="A621" s="675"/>
      <c r="B621" s="681" t="s">
        <v>40</v>
      </c>
      <c r="C621" s="682" t="s">
        <v>915</v>
      </c>
      <c r="D621" s="682" t="s">
        <v>922</v>
      </c>
      <c r="E621" s="682" t="s">
        <v>679</v>
      </c>
      <c r="F621" s="682">
        <v>2021.0</v>
      </c>
      <c r="G621" s="683">
        <v>2.07E-6</v>
      </c>
      <c r="H621" s="683">
        <v>7.71E-7</v>
      </c>
      <c r="I621" s="684">
        <v>4.05E-6</v>
      </c>
      <c r="K621" s="693" t="s">
        <v>47</v>
      </c>
      <c r="L621" s="694" t="s">
        <v>352</v>
      </c>
      <c r="M621" s="694" t="s">
        <v>915</v>
      </c>
      <c r="N621" s="694" t="s">
        <v>925</v>
      </c>
      <c r="O621" s="694">
        <v>2021.0</v>
      </c>
      <c r="P621" s="694" t="s">
        <v>919</v>
      </c>
      <c r="Q621" s="695" t="s">
        <v>112</v>
      </c>
      <c r="R621" s="696">
        <v>144.0685462</v>
      </c>
      <c r="S621" s="696">
        <v>85.15980476</v>
      </c>
      <c r="T621" s="697">
        <v>204.1350777</v>
      </c>
      <c r="AB621" s="722"/>
      <c r="AF621" s="669"/>
    </row>
    <row r="622">
      <c r="A622" s="675"/>
      <c r="B622" s="681" t="s">
        <v>40</v>
      </c>
      <c r="C622" s="682" t="s">
        <v>915</v>
      </c>
      <c r="D622" s="682" t="s">
        <v>924</v>
      </c>
      <c r="E622" s="682" t="s">
        <v>679</v>
      </c>
      <c r="F622" s="682">
        <v>2021.0</v>
      </c>
      <c r="G622" s="683">
        <v>3.4E-5</v>
      </c>
      <c r="H622" s="683">
        <v>1.28E-5</v>
      </c>
      <c r="I622" s="684">
        <v>6.89E-5</v>
      </c>
      <c r="K622" s="693" t="s">
        <v>47</v>
      </c>
      <c r="L622" s="694" t="s">
        <v>352</v>
      </c>
      <c r="M622" s="694" t="s">
        <v>915</v>
      </c>
      <c r="N622" s="694" t="s">
        <v>927</v>
      </c>
      <c r="O622" s="694">
        <v>2021.0</v>
      </c>
      <c r="P622" s="694" t="s">
        <v>919</v>
      </c>
      <c r="Q622" s="695" t="s">
        <v>112</v>
      </c>
      <c r="R622" s="696">
        <v>338.0729582</v>
      </c>
      <c r="S622" s="696">
        <v>167.9622286</v>
      </c>
      <c r="T622" s="697">
        <v>512.8938755</v>
      </c>
      <c r="AB622" s="722"/>
      <c r="AF622" s="669"/>
    </row>
    <row r="623">
      <c r="A623" s="675"/>
      <c r="B623" s="681" t="s">
        <v>40</v>
      </c>
      <c r="C623" s="682" t="s">
        <v>915</v>
      </c>
      <c r="D623" s="682" t="s">
        <v>926</v>
      </c>
      <c r="E623" s="682" t="s">
        <v>679</v>
      </c>
      <c r="F623" s="682">
        <v>2021.0</v>
      </c>
      <c r="G623" s="683">
        <v>1.89306E-4</v>
      </c>
      <c r="H623" s="683">
        <v>7.16E-5</v>
      </c>
      <c r="I623" s="684">
        <v>3.76274E-4</v>
      </c>
      <c r="K623" s="693" t="s">
        <v>47</v>
      </c>
      <c r="L623" s="694" t="s">
        <v>352</v>
      </c>
      <c r="M623" s="694" t="s">
        <v>915</v>
      </c>
      <c r="N623" s="694" t="s">
        <v>926</v>
      </c>
      <c r="O623" s="694">
        <v>2021.0</v>
      </c>
      <c r="P623" s="694" t="s">
        <v>919</v>
      </c>
      <c r="Q623" s="695" t="s">
        <v>112</v>
      </c>
      <c r="R623" s="696">
        <v>1061.768764</v>
      </c>
      <c r="S623" s="696">
        <v>613.8980694</v>
      </c>
      <c r="T623" s="697">
        <v>1513.021274</v>
      </c>
      <c r="AB623" s="722"/>
      <c r="AF623" s="669"/>
    </row>
    <row r="624">
      <c r="A624" s="675"/>
      <c r="B624" s="681" t="s">
        <v>41</v>
      </c>
      <c r="C624" s="682" t="s">
        <v>915</v>
      </c>
      <c r="D624" s="682" t="s">
        <v>916</v>
      </c>
      <c r="E624" s="682" t="s">
        <v>679</v>
      </c>
      <c r="F624" s="682">
        <v>2021.0</v>
      </c>
      <c r="G624" s="683">
        <v>7.19E-6</v>
      </c>
      <c r="H624" s="683">
        <v>1.78E-6</v>
      </c>
      <c r="I624" s="684">
        <v>1.9E-5</v>
      </c>
      <c r="K624" s="693" t="s">
        <v>48</v>
      </c>
      <c r="L624" s="694" t="s">
        <v>352</v>
      </c>
      <c r="M624" s="694" t="s">
        <v>915</v>
      </c>
      <c r="N624" s="694" t="s">
        <v>918</v>
      </c>
      <c r="O624" s="694">
        <v>2021.0</v>
      </c>
      <c r="P624" s="694" t="s">
        <v>919</v>
      </c>
      <c r="Q624" s="695" t="s">
        <v>112</v>
      </c>
      <c r="R624" s="696">
        <v>315.9686236</v>
      </c>
      <c r="S624" s="696">
        <v>139.1579447</v>
      </c>
      <c r="T624" s="697">
        <v>522.8783669</v>
      </c>
      <c r="AB624" s="722"/>
      <c r="AF624" s="669"/>
    </row>
    <row r="625">
      <c r="A625" s="675"/>
      <c r="B625" s="681" t="s">
        <v>41</v>
      </c>
      <c r="C625" s="682" t="s">
        <v>915</v>
      </c>
      <c r="D625" s="682" t="s">
        <v>922</v>
      </c>
      <c r="E625" s="682" t="s">
        <v>679</v>
      </c>
      <c r="F625" s="682">
        <v>2021.0</v>
      </c>
      <c r="G625" s="683">
        <v>1.49E-6</v>
      </c>
      <c r="H625" s="683">
        <v>4.02E-7</v>
      </c>
      <c r="I625" s="684">
        <v>3.81E-6</v>
      </c>
      <c r="K625" s="693" t="s">
        <v>48</v>
      </c>
      <c r="L625" s="694" t="s">
        <v>352</v>
      </c>
      <c r="M625" s="694" t="s">
        <v>915</v>
      </c>
      <c r="N625" s="694" t="s">
        <v>923</v>
      </c>
      <c r="O625" s="694">
        <v>2021.0</v>
      </c>
      <c r="P625" s="694" t="s">
        <v>919</v>
      </c>
      <c r="Q625" s="695" t="s">
        <v>112</v>
      </c>
      <c r="R625" s="696">
        <v>318.3975475</v>
      </c>
      <c r="S625" s="696">
        <v>205.3708502</v>
      </c>
      <c r="T625" s="697">
        <v>475.1131635</v>
      </c>
      <c r="AB625" s="722"/>
      <c r="AF625" s="669"/>
    </row>
    <row r="626">
      <c r="A626" s="675"/>
      <c r="B626" s="681" t="s">
        <v>41</v>
      </c>
      <c r="C626" s="682" t="s">
        <v>915</v>
      </c>
      <c r="D626" s="682" t="s">
        <v>924</v>
      </c>
      <c r="E626" s="682" t="s">
        <v>679</v>
      </c>
      <c r="F626" s="682">
        <v>2021.0</v>
      </c>
      <c r="G626" s="683">
        <v>2.65E-5</v>
      </c>
      <c r="H626" s="683">
        <v>6.42E-6</v>
      </c>
      <c r="I626" s="684">
        <v>6.91E-5</v>
      </c>
      <c r="K626" s="693" t="s">
        <v>48</v>
      </c>
      <c r="L626" s="694" t="s">
        <v>352</v>
      </c>
      <c r="M626" s="694" t="s">
        <v>915</v>
      </c>
      <c r="N626" s="694" t="s">
        <v>925</v>
      </c>
      <c r="O626" s="694">
        <v>2021.0</v>
      </c>
      <c r="P626" s="694" t="s">
        <v>919</v>
      </c>
      <c r="Q626" s="695" t="s">
        <v>112</v>
      </c>
      <c r="R626" s="696">
        <v>132.6954545</v>
      </c>
      <c r="S626" s="696">
        <v>80.75937106</v>
      </c>
      <c r="T626" s="697">
        <v>190.3892231</v>
      </c>
      <c r="AB626" s="722"/>
      <c r="AF626" s="669"/>
    </row>
    <row r="627">
      <c r="A627" s="675"/>
      <c r="B627" s="681" t="s">
        <v>41</v>
      </c>
      <c r="C627" s="682" t="s">
        <v>915</v>
      </c>
      <c r="D627" s="682" t="s">
        <v>926</v>
      </c>
      <c r="E627" s="682" t="s">
        <v>679</v>
      </c>
      <c r="F627" s="682">
        <v>2021.0</v>
      </c>
      <c r="G627" s="683">
        <v>1.45828E-4</v>
      </c>
      <c r="H627" s="683">
        <v>3.37E-5</v>
      </c>
      <c r="I627" s="684">
        <v>3.83912E-4</v>
      </c>
      <c r="K627" s="693" t="s">
        <v>48</v>
      </c>
      <c r="L627" s="694" t="s">
        <v>352</v>
      </c>
      <c r="M627" s="694" t="s">
        <v>915</v>
      </c>
      <c r="N627" s="694" t="s">
        <v>927</v>
      </c>
      <c r="O627" s="694">
        <v>2021.0</v>
      </c>
      <c r="P627" s="694" t="s">
        <v>919</v>
      </c>
      <c r="Q627" s="695" t="s">
        <v>112</v>
      </c>
      <c r="R627" s="696">
        <v>417.5247416</v>
      </c>
      <c r="S627" s="696">
        <v>235.6580585</v>
      </c>
      <c r="T627" s="697">
        <v>630.7004277</v>
      </c>
      <c r="AB627" s="722"/>
      <c r="AF627" s="669"/>
    </row>
    <row r="628">
      <c r="A628" s="675"/>
      <c r="B628" s="681" t="s">
        <v>26</v>
      </c>
      <c r="C628" s="682" t="s">
        <v>915</v>
      </c>
      <c r="D628" s="682" t="s">
        <v>916</v>
      </c>
      <c r="E628" s="682" t="s">
        <v>679</v>
      </c>
      <c r="F628" s="682">
        <v>2021.0</v>
      </c>
      <c r="G628" s="683">
        <v>5.31E-5</v>
      </c>
      <c r="H628" s="683">
        <v>1.47E-5</v>
      </c>
      <c r="I628" s="684">
        <v>9.8E-5</v>
      </c>
      <c r="K628" s="693" t="s">
        <v>48</v>
      </c>
      <c r="L628" s="694" t="s">
        <v>352</v>
      </c>
      <c r="M628" s="694" t="s">
        <v>915</v>
      </c>
      <c r="N628" s="694" t="s">
        <v>926</v>
      </c>
      <c r="O628" s="694">
        <v>2021.0</v>
      </c>
      <c r="P628" s="694" t="s">
        <v>919</v>
      </c>
      <c r="Q628" s="695" t="s">
        <v>112</v>
      </c>
      <c r="R628" s="696">
        <v>1184.586367</v>
      </c>
      <c r="S628" s="696">
        <v>718.8067628</v>
      </c>
      <c r="T628" s="697">
        <v>1712.371143</v>
      </c>
      <c r="AB628" s="722"/>
      <c r="AF628" s="669"/>
    </row>
    <row r="629">
      <c r="A629" s="675"/>
      <c r="B629" s="681" t="s">
        <v>26</v>
      </c>
      <c r="C629" s="682" t="s">
        <v>915</v>
      </c>
      <c r="D629" s="682" t="s">
        <v>922</v>
      </c>
      <c r="E629" s="682" t="s">
        <v>679</v>
      </c>
      <c r="F629" s="682">
        <v>2021.0</v>
      </c>
      <c r="G629" s="683">
        <v>1.3E-5</v>
      </c>
      <c r="H629" s="683">
        <v>5.17E-6</v>
      </c>
      <c r="I629" s="684">
        <v>2.29E-5</v>
      </c>
      <c r="K629" s="693" t="s">
        <v>49</v>
      </c>
      <c r="L629" s="694" t="s">
        <v>352</v>
      </c>
      <c r="M629" s="694" t="s">
        <v>915</v>
      </c>
      <c r="N629" s="694" t="s">
        <v>918</v>
      </c>
      <c r="O629" s="694">
        <v>2021.0</v>
      </c>
      <c r="P629" s="694" t="s">
        <v>919</v>
      </c>
      <c r="Q629" s="695" t="s">
        <v>112</v>
      </c>
      <c r="R629" s="696">
        <v>442.2342143</v>
      </c>
      <c r="S629" s="696">
        <v>204.0155265</v>
      </c>
      <c r="T629" s="697">
        <v>711.2867403</v>
      </c>
      <c r="AB629" s="722"/>
      <c r="AF629" s="669"/>
    </row>
    <row r="630">
      <c r="A630" s="675"/>
      <c r="B630" s="681" t="s">
        <v>26</v>
      </c>
      <c r="C630" s="682" t="s">
        <v>915</v>
      </c>
      <c r="D630" s="682" t="s">
        <v>924</v>
      </c>
      <c r="E630" s="682" t="s">
        <v>679</v>
      </c>
      <c r="F630" s="682">
        <v>2021.0</v>
      </c>
      <c r="G630" s="683">
        <v>2.58566E-4</v>
      </c>
      <c r="H630" s="683">
        <v>5.87E-5</v>
      </c>
      <c r="I630" s="684">
        <v>4.95352E-4</v>
      </c>
      <c r="K630" s="693" t="s">
        <v>49</v>
      </c>
      <c r="L630" s="694" t="s">
        <v>352</v>
      </c>
      <c r="M630" s="694" t="s">
        <v>915</v>
      </c>
      <c r="N630" s="694" t="s">
        <v>923</v>
      </c>
      <c r="O630" s="694">
        <v>2021.0</v>
      </c>
      <c r="P630" s="694" t="s">
        <v>919</v>
      </c>
      <c r="Q630" s="695" t="s">
        <v>112</v>
      </c>
      <c r="R630" s="696">
        <v>195.6446153</v>
      </c>
      <c r="S630" s="696">
        <v>130.5331306</v>
      </c>
      <c r="T630" s="697">
        <v>282.3955265</v>
      </c>
      <c r="AB630" s="722"/>
      <c r="AF630" s="669"/>
    </row>
    <row r="631">
      <c r="A631" s="675"/>
      <c r="B631" s="681" t="s">
        <v>26</v>
      </c>
      <c r="C631" s="682" t="s">
        <v>915</v>
      </c>
      <c r="D631" s="682" t="s">
        <v>926</v>
      </c>
      <c r="E631" s="682" t="s">
        <v>679</v>
      </c>
      <c r="F631" s="682">
        <v>2021.0</v>
      </c>
      <c r="G631" s="683">
        <v>0.001684193</v>
      </c>
      <c r="H631" s="683">
        <v>7.60334E-4</v>
      </c>
      <c r="I631" s="684">
        <v>0.002946088</v>
      </c>
      <c r="K631" s="693" t="s">
        <v>49</v>
      </c>
      <c r="L631" s="694" t="s">
        <v>352</v>
      </c>
      <c r="M631" s="694" t="s">
        <v>915</v>
      </c>
      <c r="N631" s="694" t="s">
        <v>925</v>
      </c>
      <c r="O631" s="694">
        <v>2021.0</v>
      </c>
      <c r="P631" s="694" t="s">
        <v>919</v>
      </c>
      <c r="Q631" s="695" t="s">
        <v>112</v>
      </c>
      <c r="R631" s="696">
        <v>90.30950381</v>
      </c>
      <c r="S631" s="696">
        <v>52.5734221</v>
      </c>
      <c r="T631" s="697">
        <v>136.1615076</v>
      </c>
      <c r="AB631" s="722"/>
      <c r="AF631" s="669"/>
    </row>
    <row r="632">
      <c r="A632" s="675"/>
      <c r="B632" s="681" t="s">
        <v>42</v>
      </c>
      <c r="C632" s="682" t="s">
        <v>915</v>
      </c>
      <c r="D632" s="682" t="s">
        <v>916</v>
      </c>
      <c r="E632" s="682" t="s">
        <v>679</v>
      </c>
      <c r="F632" s="682">
        <v>2021.0</v>
      </c>
      <c r="G632" s="683">
        <v>1.39E-5</v>
      </c>
      <c r="H632" s="683">
        <v>4.73E-6</v>
      </c>
      <c r="I632" s="684">
        <v>2.82E-5</v>
      </c>
      <c r="K632" s="693" t="s">
        <v>49</v>
      </c>
      <c r="L632" s="694" t="s">
        <v>352</v>
      </c>
      <c r="M632" s="694" t="s">
        <v>915</v>
      </c>
      <c r="N632" s="694" t="s">
        <v>927</v>
      </c>
      <c r="O632" s="694">
        <v>2021.0</v>
      </c>
      <c r="P632" s="694" t="s">
        <v>919</v>
      </c>
      <c r="Q632" s="695" t="s">
        <v>112</v>
      </c>
      <c r="R632" s="696">
        <v>152.9300856</v>
      </c>
      <c r="S632" s="696">
        <v>70.40809703</v>
      </c>
      <c r="T632" s="697">
        <v>252.2399873</v>
      </c>
      <c r="AB632" s="722"/>
      <c r="AF632" s="669"/>
    </row>
    <row r="633">
      <c r="A633" s="675"/>
      <c r="B633" s="681" t="s">
        <v>42</v>
      </c>
      <c r="C633" s="682" t="s">
        <v>915</v>
      </c>
      <c r="D633" s="682" t="s">
        <v>922</v>
      </c>
      <c r="E633" s="682" t="s">
        <v>679</v>
      </c>
      <c r="F633" s="682">
        <v>2021.0</v>
      </c>
      <c r="G633" s="683">
        <v>2.87E-6</v>
      </c>
      <c r="H633" s="683">
        <v>1.3E-6</v>
      </c>
      <c r="I633" s="684">
        <v>5.29E-6</v>
      </c>
      <c r="K633" s="693" t="s">
        <v>49</v>
      </c>
      <c r="L633" s="694" t="s">
        <v>352</v>
      </c>
      <c r="M633" s="694" t="s">
        <v>915</v>
      </c>
      <c r="N633" s="694" t="s">
        <v>926</v>
      </c>
      <c r="O633" s="694">
        <v>2021.0</v>
      </c>
      <c r="P633" s="694" t="s">
        <v>919</v>
      </c>
      <c r="Q633" s="695" t="s">
        <v>112</v>
      </c>
      <c r="R633" s="696">
        <v>881.118419</v>
      </c>
      <c r="S633" s="696">
        <v>509.5708578</v>
      </c>
      <c r="T633" s="697">
        <v>1299.896493</v>
      </c>
      <c r="AB633" s="722"/>
      <c r="AF633" s="669"/>
    </row>
    <row r="634">
      <c r="A634" s="675"/>
      <c r="B634" s="681" t="s">
        <v>42</v>
      </c>
      <c r="C634" s="682" t="s">
        <v>915</v>
      </c>
      <c r="D634" s="682" t="s">
        <v>924</v>
      </c>
      <c r="E634" s="682" t="s">
        <v>679</v>
      </c>
      <c r="F634" s="682">
        <v>2021.0</v>
      </c>
      <c r="G634" s="683">
        <v>5.56E-5</v>
      </c>
      <c r="H634" s="683">
        <v>2.27E-5</v>
      </c>
      <c r="I634" s="684">
        <v>1.01616E-4</v>
      </c>
      <c r="K634" s="693" t="s">
        <v>50</v>
      </c>
      <c r="L634" s="694" t="s">
        <v>352</v>
      </c>
      <c r="M634" s="694" t="s">
        <v>915</v>
      </c>
      <c r="N634" s="694" t="s">
        <v>918</v>
      </c>
      <c r="O634" s="694">
        <v>2021.0</v>
      </c>
      <c r="P634" s="694" t="s">
        <v>919</v>
      </c>
      <c r="Q634" s="695" t="s">
        <v>112</v>
      </c>
      <c r="R634" s="696">
        <v>119.0759352</v>
      </c>
      <c r="S634" s="696">
        <v>49.51482709</v>
      </c>
      <c r="T634" s="697">
        <v>212.7276784</v>
      </c>
      <c r="AB634" s="722"/>
      <c r="AF634" s="669"/>
    </row>
    <row r="635">
      <c r="A635" s="675"/>
      <c r="B635" s="681" t="s">
        <v>42</v>
      </c>
      <c r="C635" s="682" t="s">
        <v>915</v>
      </c>
      <c r="D635" s="682" t="s">
        <v>926</v>
      </c>
      <c r="E635" s="682" t="s">
        <v>679</v>
      </c>
      <c r="F635" s="682">
        <v>2021.0</v>
      </c>
      <c r="G635" s="683">
        <v>3.56325E-4</v>
      </c>
      <c r="H635" s="683">
        <v>1.44508E-4</v>
      </c>
      <c r="I635" s="684">
        <v>6.49032E-4</v>
      </c>
      <c r="K635" s="693" t="s">
        <v>50</v>
      </c>
      <c r="L635" s="694" t="s">
        <v>352</v>
      </c>
      <c r="M635" s="694" t="s">
        <v>915</v>
      </c>
      <c r="N635" s="694" t="s">
        <v>923</v>
      </c>
      <c r="O635" s="694">
        <v>2021.0</v>
      </c>
      <c r="P635" s="694" t="s">
        <v>919</v>
      </c>
      <c r="Q635" s="695" t="s">
        <v>112</v>
      </c>
      <c r="R635" s="696">
        <v>113.2588923</v>
      </c>
      <c r="S635" s="696">
        <v>70.81552662</v>
      </c>
      <c r="T635" s="697">
        <v>170.3700608</v>
      </c>
      <c r="AB635" s="722"/>
      <c r="AF635" s="669"/>
    </row>
    <row r="636">
      <c r="A636" s="675"/>
      <c r="B636" s="681" t="s">
        <v>44</v>
      </c>
      <c r="C636" s="682" t="s">
        <v>915</v>
      </c>
      <c r="D636" s="682" t="s">
        <v>916</v>
      </c>
      <c r="E636" s="682" t="s">
        <v>679</v>
      </c>
      <c r="F636" s="682">
        <v>2021.0</v>
      </c>
      <c r="G636" s="683">
        <v>1.25E-5</v>
      </c>
      <c r="H636" s="683">
        <v>2.84E-6</v>
      </c>
      <c r="I636" s="684">
        <v>2.72E-5</v>
      </c>
      <c r="K636" s="693" t="s">
        <v>50</v>
      </c>
      <c r="L636" s="694" t="s">
        <v>352</v>
      </c>
      <c r="M636" s="694" t="s">
        <v>915</v>
      </c>
      <c r="N636" s="694" t="s">
        <v>925</v>
      </c>
      <c r="O636" s="694">
        <v>2021.0</v>
      </c>
      <c r="P636" s="694" t="s">
        <v>919</v>
      </c>
      <c r="Q636" s="695" t="s">
        <v>112</v>
      </c>
      <c r="R636" s="696">
        <v>36.88682191</v>
      </c>
      <c r="S636" s="696">
        <v>20.59432264</v>
      </c>
      <c r="T636" s="697">
        <v>56.64961706</v>
      </c>
      <c r="AB636" s="722"/>
      <c r="AF636" s="669"/>
    </row>
    <row r="637">
      <c r="A637" s="675"/>
      <c r="B637" s="681" t="s">
        <v>44</v>
      </c>
      <c r="C637" s="682" t="s">
        <v>915</v>
      </c>
      <c r="D637" s="682" t="s">
        <v>922</v>
      </c>
      <c r="E637" s="682" t="s">
        <v>679</v>
      </c>
      <c r="F637" s="682">
        <v>2021.0</v>
      </c>
      <c r="G637" s="683">
        <v>2.53E-6</v>
      </c>
      <c r="H637" s="683">
        <v>8.66E-7</v>
      </c>
      <c r="I637" s="684">
        <v>5.05E-6</v>
      </c>
      <c r="K637" s="693" t="s">
        <v>50</v>
      </c>
      <c r="L637" s="694" t="s">
        <v>352</v>
      </c>
      <c r="M637" s="694" t="s">
        <v>915</v>
      </c>
      <c r="N637" s="694" t="s">
        <v>927</v>
      </c>
      <c r="O637" s="694">
        <v>2021.0</v>
      </c>
      <c r="P637" s="694" t="s">
        <v>919</v>
      </c>
      <c r="Q637" s="695" t="s">
        <v>112</v>
      </c>
      <c r="R637" s="696">
        <v>83.60914771</v>
      </c>
      <c r="S637" s="696">
        <v>40.81404835</v>
      </c>
      <c r="T637" s="697">
        <v>131.9905355</v>
      </c>
      <c r="AB637" s="722"/>
      <c r="AF637" s="669"/>
    </row>
    <row r="638">
      <c r="A638" s="675"/>
      <c r="B638" s="681" t="s">
        <v>44</v>
      </c>
      <c r="C638" s="682" t="s">
        <v>915</v>
      </c>
      <c r="D638" s="682" t="s">
        <v>924</v>
      </c>
      <c r="E638" s="682" t="s">
        <v>679</v>
      </c>
      <c r="F638" s="682">
        <v>2021.0</v>
      </c>
      <c r="G638" s="683">
        <v>4.97E-5</v>
      </c>
      <c r="H638" s="683">
        <v>7.34E-6</v>
      </c>
      <c r="I638" s="684">
        <v>1.01957E-4</v>
      </c>
      <c r="K638" s="693" t="s">
        <v>50</v>
      </c>
      <c r="L638" s="694" t="s">
        <v>352</v>
      </c>
      <c r="M638" s="694" t="s">
        <v>915</v>
      </c>
      <c r="N638" s="694" t="s">
        <v>926</v>
      </c>
      <c r="O638" s="694">
        <v>2021.0</v>
      </c>
      <c r="P638" s="694" t="s">
        <v>919</v>
      </c>
      <c r="Q638" s="695" t="s">
        <v>112</v>
      </c>
      <c r="R638" s="696">
        <v>352.8307972</v>
      </c>
      <c r="S638" s="696">
        <v>205.2874444</v>
      </c>
      <c r="T638" s="697">
        <v>535.5785602</v>
      </c>
      <c r="AB638" s="722"/>
      <c r="AF638" s="669"/>
    </row>
    <row r="639">
      <c r="A639" s="675"/>
      <c r="B639" s="681" t="s">
        <v>44</v>
      </c>
      <c r="C639" s="682" t="s">
        <v>915</v>
      </c>
      <c r="D639" s="682" t="s">
        <v>926</v>
      </c>
      <c r="E639" s="682" t="s">
        <v>679</v>
      </c>
      <c r="F639" s="682">
        <v>2021.0</v>
      </c>
      <c r="G639" s="683">
        <v>2.84489E-4</v>
      </c>
      <c r="H639" s="683">
        <v>1.21284E-4</v>
      </c>
      <c r="I639" s="684">
        <v>4.99573E-4</v>
      </c>
      <c r="K639" s="693" t="s">
        <v>51</v>
      </c>
      <c r="L639" s="694" t="s">
        <v>352</v>
      </c>
      <c r="M639" s="694" t="s">
        <v>915</v>
      </c>
      <c r="N639" s="694" t="s">
        <v>918</v>
      </c>
      <c r="O639" s="694">
        <v>2021.0</v>
      </c>
      <c r="P639" s="694" t="s">
        <v>919</v>
      </c>
      <c r="Q639" s="695" t="s">
        <v>112</v>
      </c>
      <c r="R639" s="696">
        <v>186.5926883</v>
      </c>
      <c r="S639" s="696">
        <v>70.13975998</v>
      </c>
      <c r="T639" s="697">
        <v>305.1982608</v>
      </c>
      <c r="AB639" s="722"/>
      <c r="AF639" s="669"/>
    </row>
    <row r="640">
      <c r="A640" s="675"/>
      <c r="B640" s="681" t="s">
        <v>45</v>
      </c>
      <c r="C640" s="682" t="s">
        <v>915</v>
      </c>
      <c r="D640" s="682" t="s">
        <v>916</v>
      </c>
      <c r="E640" s="682" t="s">
        <v>679</v>
      </c>
      <c r="F640" s="682">
        <v>2021.0</v>
      </c>
      <c r="G640" s="683">
        <v>2.39E-5</v>
      </c>
      <c r="H640" s="683">
        <v>6.69E-6</v>
      </c>
      <c r="I640" s="684">
        <v>4.7E-5</v>
      </c>
      <c r="K640" s="693" t="s">
        <v>51</v>
      </c>
      <c r="L640" s="694" t="s">
        <v>352</v>
      </c>
      <c r="M640" s="694" t="s">
        <v>915</v>
      </c>
      <c r="N640" s="694" t="s">
        <v>923</v>
      </c>
      <c r="O640" s="694">
        <v>2021.0</v>
      </c>
      <c r="P640" s="694" t="s">
        <v>919</v>
      </c>
      <c r="Q640" s="695" t="s">
        <v>112</v>
      </c>
      <c r="R640" s="696">
        <v>160.875714</v>
      </c>
      <c r="S640" s="696">
        <v>106.1314471</v>
      </c>
      <c r="T640" s="697">
        <v>226.6953261</v>
      </c>
      <c r="AB640" s="722"/>
      <c r="AF640" s="669"/>
    </row>
    <row r="641">
      <c r="A641" s="675"/>
      <c r="B641" s="681" t="s">
        <v>45</v>
      </c>
      <c r="C641" s="682" t="s">
        <v>915</v>
      </c>
      <c r="D641" s="682" t="s">
        <v>922</v>
      </c>
      <c r="E641" s="682" t="s">
        <v>679</v>
      </c>
      <c r="F641" s="682">
        <v>2021.0</v>
      </c>
      <c r="G641" s="683">
        <v>5.37E-6</v>
      </c>
      <c r="H641" s="683">
        <v>1.95E-6</v>
      </c>
      <c r="I641" s="684">
        <v>1.02E-5</v>
      </c>
      <c r="K641" s="693" t="s">
        <v>51</v>
      </c>
      <c r="L641" s="694" t="s">
        <v>352</v>
      </c>
      <c r="M641" s="694" t="s">
        <v>915</v>
      </c>
      <c r="N641" s="694" t="s">
        <v>925</v>
      </c>
      <c r="O641" s="694">
        <v>2021.0</v>
      </c>
      <c r="P641" s="694" t="s">
        <v>919</v>
      </c>
      <c r="Q641" s="695" t="s">
        <v>112</v>
      </c>
      <c r="R641" s="696">
        <v>110.7200888</v>
      </c>
      <c r="S641" s="696">
        <v>64.12514456</v>
      </c>
      <c r="T641" s="697">
        <v>162.3929395</v>
      </c>
      <c r="AB641" s="722"/>
      <c r="AF641" s="669"/>
    </row>
    <row r="642">
      <c r="A642" s="675"/>
      <c r="B642" s="681" t="s">
        <v>45</v>
      </c>
      <c r="C642" s="682" t="s">
        <v>915</v>
      </c>
      <c r="D642" s="682" t="s">
        <v>924</v>
      </c>
      <c r="E642" s="682" t="s">
        <v>679</v>
      </c>
      <c r="F642" s="682">
        <v>2021.0</v>
      </c>
      <c r="G642" s="683">
        <v>9.23E-5</v>
      </c>
      <c r="H642" s="683">
        <v>1.25E-5</v>
      </c>
      <c r="I642" s="684">
        <v>1.78981E-4</v>
      </c>
      <c r="K642" s="693" t="s">
        <v>51</v>
      </c>
      <c r="L642" s="694" t="s">
        <v>352</v>
      </c>
      <c r="M642" s="694" t="s">
        <v>915</v>
      </c>
      <c r="N642" s="694" t="s">
        <v>927</v>
      </c>
      <c r="O642" s="694">
        <v>2021.0</v>
      </c>
      <c r="P642" s="694" t="s">
        <v>919</v>
      </c>
      <c r="Q642" s="695" t="s">
        <v>112</v>
      </c>
      <c r="R642" s="696">
        <v>171.5000529</v>
      </c>
      <c r="S642" s="696">
        <v>77.36310697</v>
      </c>
      <c r="T642" s="697">
        <v>266.7448279</v>
      </c>
      <c r="AB642" s="722"/>
      <c r="AF642" s="669"/>
    </row>
    <row r="643">
      <c r="A643" s="675"/>
      <c r="B643" s="681" t="s">
        <v>45</v>
      </c>
      <c r="C643" s="682" t="s">
        <v>915</v>
      </c>
      <c r="D643" s="682" t="s">
        <v>926</v>
      </c>
      <c r="E643" s="682" t="s">
        <v>679</v>
      </c>
      <c r="F643" s="682">
        <v>2021.0</v>
      </c>
      <c r="G643" s="683">
        <v>5.85515E-4</v>
      </c>
      <c r="H643" s="683">
        <v>2.57682E-4</v>
      </c>
      <c r="I643" s="684">
        <v>0.001026364</v>
      </c>
      <c r="K643" s="693" t="s">
        <v>51</v>
      </c>
      <c r="L643" s="694" t="s">
        <v>352</v>
      </c>
      <c r="M643" s="694" t="s">
        <v>915</v>
      </c>
      <c r="N643" s="694" t="s">
        <v>926</v>
      </c>
      <c r="O643" s="694">
        <v>2021.0</v>
      </c>
      <c r="P643" s="694" t="s">
        <v>919</v>
      </c>
      <c r="Q643" s="695" t="s">
        <v>112</v>
      </c>
      <c r="R643" s="696">
        <v>629.688544</v>
      </c>
      <c r="S643" s="696">
        <v>363.6626595</v>
      </c>
      <c r="T643" s="697">
        <v>900.4126125</v>
      </c>
      <c r="AB643" s="722"/>
      <c r="AF643" s="669"/>
    </row>
    <row r="644">
      <c r="A644" s="675"/>
      <c r="B644" s="681" t="s">
        <v>46</v>
      </c>
      <c r="C644" s="682" t="s">
        <v>915</v>
      </c>
      <c r="D644" s="682" t="s">
        <v>916</v>
      </c>
      <c r="E644" s="682" t="s">
        <v>679</v>
      </c>
      <c r="F644" s="682">
        <v>2021.0</v>
      </c>
      <c r="G644" s="683">
        <v>9.57E-6</v>
      </c>
      <c r="H644" s="683">
        <v>3.1E-6</v>
      </c>
      <c r="I644" s="684">
        <v>2.01E-5</v>
      </c>
      <c r="K644" s="693" t="s">
        <v>52</v>
      </c>
      <c r="L644" s="694" t="s">
        <v>352</v>
      </c>
      <c r="M644" s="694" t="s">
        <v>915</v>
      </c>
      <c r="N644" s="694" t="s">
        <v>918</v>
      </c>
      <c r="O644" s="694">
        <v>2021.0</v>
      </c>
      <c r="P644" s="694" t="s">
        <v>919</v>
      </c>
      <c r="Q644" s="695" t="s">
        <v>112</v>
      </c>
      <c r="R644" s="696">
        <v>436.6059851</v>
      </c>
      <c r="S644" s="696">
        <v>168.8162745</v>
      </c>
      <c r="T644" s="697">
        <v>728.7598058</v>
      </c>
      <c r="AB644" s="722"/>
      <c r="AF644" s="669"/>
    </row>
    <row r="645">
      <c r="A645" s="675"/>
      <c r="B645" s="681" t="s">
        <v>46</v>
      </c>
      <c r="C645" s="682" t="s">
        <v>915</v>
      </c>
      <c r="D645" s="682" t="s">
        <v>922</v>
      </c>
      <c r="E645" s="682" t="s">
        <v>679</v>
      </c>
      <c r="F645" s="682">
        <v>2021.0</v>
      </c>
      <c r="G645" s="683">
        <v>2.15E-6</v>
      </c>
      <c r="H645" s="683">
        <v>9.62E-7</v>
      </c>
      <c r="I645" s="684">
        <v>3.94E-6</v>
      </c>
      <c r="K645" s="693" t="s">
        <v>52</v>
      </c>
      <c r="L645" s="694" t="s">
        <v>352</v>
      </c>
      <c r="M645" s="694" t="s">
        <v>915</v>
      </c>
      <c r="N645" s="694" t="s">
        <v>923</v>
      </c>
      <c r="O645" s="694">
        <v>2021.0</v>
      </c>
      <c r="P645" s="694" t="s">
        <v>919</v>
      </c>
      <c r="Q645" s="695" t="s">
        <v>112</v>
      </c>
      <c r="R645" s="696">
        <v>465.8300061</v>
      </c>
      <c r="S645" s="696">
        <v>302.9718011</v>
      </c>
      <c r="T645" s="697">
        <v>673.1779948</v>
      </c>
      <c r="AB645" s="722"/>
      <c r="AF645" s="669"/>
    </row>
    <row r="646">
      <c r="A646" s="675"/>
      <c r="B646" s="681" t="s">
        <v>46</v>
      </c>
      <c r="C646" s="682" t="s">
        <v>915</v>
      </c>
      <c r="D646" s="682" t="s">
        <v>924</v>
      </c>
      <c r="E646" s="682" t="s">
        <v>679</v>
      </c>
      <c r="F646" s="682">
        <v>2021.0</v>
      </c>
      <c r="G646" s="683">
        <v>3.92E-5</v>
      </c>
      <c r="H646" s="683">
        <v>1.45E-5</v>
      </c>
      <c r="I646" s="684">
        <v>7.55E-5</v>
      </c>
      <c r="K646" s="693" t="s">
        <v>52</v>
      </c>
      <c r="L646" s="694" t="s">
        <v>352</v>
      </c>
      <c r="M646" s="694" t="s">
        <v>915</v>
      </c>
      <c r="N646" s="694" t="s">
        <v>925</v>
      </c>
      <c r="O646" s="694">
        <v>2021.0</v>
      </c>
      <c r="P646" s="694" t="s">
        <v>919</v>
      </c>
      <c r="Q646" s="695" t="s">
        <v>112</v>
      </c>
      <c r="R646" s="696">
        <v>160.3809941</v>
      </c>
      <c r="S646" s="696">
        <v>94.85484785</v>
      </c>
      <c r="T646" s="697">
        <v>236.0542537</v>
      </c>
      <c r="AB646" s="722"/>
      <c r="AF646" s="669"/>
    </row>
    <row r="647">
      <c r="A647" s="675"/>
      <c r="B647" s="681" t="s">
        <v>46</v>
      </c>
      <c r="C647" s="682" t="s">
        <v>915</v>
      </c>
      <c r="D647" s="682" t="s">
        <v>926</v>
      </c>
      <c r="E647" s="682" t="s">
        <v>679</v>
      </c>
      <c r="F647" s="682">
        <v>2021.0</v>
      </c>
      <c r="G647" s="683">
        <v>2.27998E-4</v>
      </c>
      <c r="H647" s="683">
        <v>9.61E-5</v>
      </c>
      <c r="I647" s="684">
        <v>4.14588E-4</v>
      </c>
      <c r="K647" s="693" t="s">
        <v>52</v>
      </c>
      <c r="L647" s="694" t="s">
        <v>352</v>
      </c>
      <c r="M647" s="694" t="s">
        <v>915</v>
      </c>
      <c r="N647" s="694" t="s">
        <v>927</v>
      </c>
      <c r="O647" s="694">
        <v>2021.0</v>
      </c>
      <c r="P647" s="694" t="s">
        <v>919</v>
      </c>
      <c r="Q647" s="695" t="s">
        <v>112</v>
      </c>
      <c r="R647" s="696">
        <v>468.3308254</v>
      </c>
      <c r="S647" s="696">
        <v>229.005629</v>
      </c>
      <c r="T647" s="697">
        <v>713.7739035</v>
      </c>
      <c r="AB647" s="722"/>
      <c r="AF647" s="669"/>
    </row>
    <row r="648">
      <c r="A648" s="675"/>
      <c r="B648" s="681" t="s">
        <v>47</v>
      </c>
      <c r="C648" s="682" t="s">
        <v>915</v>
      </c>
      <c r="D648" s="682" t="s">
        <v>916</v>
      </c>
      <c r="E648" s="682" t="s">
        <v>679</v>
      </c>
      <c r="F648" s="682">
        <v>2021.0</v>
      </c>
      <c r="G648" s="683">
        <v>9.26E-6</v>
      </c>
      <c r="H648" s="683">
        <v>3.04E-6</v>
      </c>
      <c r="I648" s="684">
        <v>1.89E-5</v>
      </c>
      <c r="K648" s="693" t="s">
        <v>52</v>
      </c>
      <c r="L648" s="694" t="s">
        <v>352</v>
      </c>
      <c r="M648" s="694" t="s">
        <v>915</v>
      </c>
      <c r="N648" s="694" t="s">
        <v>926</v>
      </c>
      <c r="O648" s="694">
        <v>2021.0</v>
      </c>
      <c r="P648" s="694" t="s">
        <v>919</v>
      </c>
      <c r="Q648" s="695" t="s">
        <v>112</v>
      </c>
      <c r="R648" s="696">
        <v>1531.147811</v>
      </c>
      <c r="S648" s="696">
        <v>907.7210896</v>
      </c>
      <c r="T648" s="697">
        <v>2181.972149</v>
      </c>
      <c r="AB648" s="722"/>
      <c r="AF648" s="669"/>
    </row>
    <row r="649">
      <c r="A649" s="675"/>
      <c r="B649" s="681" t="s">
        <v>47</v>
      </c>
      <c r="C649" s="682" t="s">
        <v>915</v>
      </c>
      <c r="D649" s="682" t="s">
        <v>922</v>
      </c>
      <c r="E649" s="682" t="s">
        <v>679</v>
      </c>
      <c r="F649" s="682">
        <v>2021.0</v>
      </c>
      <c r="G649" s="683">
        <v>1.87E-6</v>
      </c>
      <c r="H649" s="683">
        <v>8.39E-7</v>
      </c>
      <c r="I649" s="684">
        <v>3.44E-6</v>
      </c>
      <c r="K649" s="693" t="s">
        <v>28</v>
      </c>
      <c r="L649" s="694" t="s">
        <v>352</v>
      </c>
      <c r="M649" s="694" t="s">
        <v>915</v>
      </c>
      <c r="N649" s="694" t="s">
        <v>918</v>
      </c>
      <c r="O649" s="694">
        <v>2021.0</v>
      </c>
      <c r="P649" s="694" t="s">
        <v>919</v>
      </c>
      <c r="Q649" s="695" t="s">
        <v>112</v>
      </c>
      <c r="R649" s="696">
        <v>1302.26985</v>
      </c>
      <c r="S649" s="696">
        <v>712.6792763</v>
      </c>
      <c r="T649" s="697">
        <v>2115.56406</v>
      </c>
      <c r="AB649" s="722"/>
      <c r="AF649" s="669"/>
    </row>
    <row r="650">
      <c r="A650" s="675"/>
      <c r="B650" s="681" t="s">
        <v>47</v>
      </c>
      <c r="C650" s="682" t="s">
        <v>915</v>
      </c>
      <c r="D650" s="682" t="s">
        <v>924</v>
      </c>
      <c r="E650" s="682" t="s">
        <v>679</v>
      </c>
      <c r="F650" s="682">
        <v>2021.0</v>
      </c>
      <c r="G650" s="683">
        <v>3.87E-5</v>
      </c>
      <c r="H650" s="683">
        <v>1.47E-5</v>
      </c>
      <c r="I650" s="684">
        <v>7.47E-5</v>
      </c>
      <c r="K650" s="693" t="s">
        <v>28</v>
      </c>
      <c r="L650" s="694" t="s">
        <v>352</v>
      </c>
      <c r="M650" s="694" t="s">
        <v>915</v>
      </c>
      <c r="N650" s="694" t="s">
        <v>923</v>
      </c>
      <c r="O650" s="694">
        <v>2021.0</v>
      </c>
      <c r="P650" s="694" t="s">
        <v>919</v>
      </c>
      <c r="Q650" s="695" t="s">
        <v>112</v>
      </c>
      <c r="R650" s="696">
        <v>381.0681328</v>
      </c>
      <c r="S650" s="696">
        <v>250.1790418</v>
      </c>
      <c r="T650" s="697">
        <v>549.8072856</v>
      </c>
      <c r="AB650" s="722"/>
      <c r="AF650" s="669"/>
    </row>
    <row r="651">
      <c r="A651" s="675"/>
      <c r="B651" s="681" t="s">
        <v>47</v>
      </c>
      <c r="C651" s="682" t="s">
        <v>915</v>
      </c>
      <c r="D651" s="682" t="s">
        <v>926</v>
      </c>
      <c r="E651" s="682" t="s">
        <v>679</v>
      </c>
      <c r="F651" s="682">
        <v>2021.0</v>
      </c>
      <c r="G651" s="683">
        <v>2.0488E-4</v>
      </c>
      <c r="H651" s="683">
        <v>7.3E-5</v>
      </c>
      <c r="I651" s="684">
        <v>4.00971E-4</v>
      </c>
      <c r="K651" s="693" t="s">
        <v>28</v>
      </c>
      <c r="L651" s="694" t="s">
        <v>352</v>
      </c>
      <c r="M651" s="694" t="s">
        <v>915</v>
      </c>
      <c r="N651" s="694" t="s">
        <v>925</v>
      </c>
      <c r="O651" s="694">
        <v>2021.0</v>
      </c>
      <c r="P651" s="694" t="s">
        <v>919</v>
      </c>
      <c r="Q651" s="695" t="s">
        <v>112</v>
      </c>
      <c r="R651" s="696">
        <v>172.4965171</v>
      </c>
      <c r="S651" s="696">
        <v>114.0934461</v>
      </c>
      <c r="T651" s="697">
        <v>238.5226087</v>
      </c>
      <c r="AB651" s="722"/>
      <c r="AF651" s="669"/>
    </row>
    <row r="652">
      <c r="A652" s="675"/>
      <c r="B652" s="681" t="s">
        <v>48</v>
      </c>
      <c r="C652" s="682" t="s">
        <v>915</v>
      </c>
      <c r="D652" s="682" t="s">
        <v>916</v>
      </c>
      <c r="E652" s="682" t="s">
        <v>679</v>
      </c>
      <c r="F652" s="682">
        <v>2021.0</v>
      </c>
      <c r="G652" s="683">
        <v>1.17E-5</v>
      </c>
      <c r="H652" s="683">
        <v>3.62E-6</v>
      </c>
      <c r="I652" s="684">
        <v>2.35E-5</v>
      </c>
      <c r="K652" s="693" t="s">
        <v>28</v>
      </c>
      <c r="L652" s="694" t="s">
        <v>352</v>
      </c>
      <c r="M652" s="694" t="s">
        <v>915</v>
      </c>
      <c r="N652" s="694" t="s">
        <v>927</v>
      </c>
      <c r="O652" s="694">
        <v>2021.0</v>
      </c>
      <c r="P652" s="694" t="s">
        <v>919</v>
      </c>
      <c r="Q652" s="695" t="s">
        <v>112</v>
      </c>
      <c r="R652" s="696">
        <v>630.5333599</v>
      </c>
      <c r="S652" s="696">
        <v>411.6339091</v>
      </c>
      <c r="T652" s="697">
        <v>903.1620907</v>
      </c>
      <c r="AB652" s="722"/>
      <c r="AF652" s="669"/>
    </row>
    <row r="653">
      <c r="A653" s="675"/>
      <c r="B653" s="681" t="s">
        <v>48</v>
      </c>
      <c r="C653" s="682" t="s">
        <v>915</v>
      </c>
      <c r="D653" s="682" t="s">
        <v>922</v>
      </c>
      <c r="E653" s="682" t="s">
        <v>679</v>
      </c>
      <c r="F653" s="682">
        <v>2021.0</v>
      </c>
      <c r="G653" s="683">
        <v>2.4E-6</v>
      </c>
      <c r="H653" s="683">
        <v>1.04E-6</v>
      </c>
      <c r="I653" s="684">
        <v>4.37E-6</v>
      </c>
      <c r="K653" s="693" t="s">
        <v>28</v>
      </c>
      <c r="L653" s="694" t="s">
        <v>352</v>
      </c>
      <c r="M653" s="694" t="s">
        <v>915</v>
      </c>
      <c r="N653" s="694" t="s">
        <v>926</v>
      </c>
      <c r="O653" s="694">
        <v>2021.0</v>
      </c>
      <c r="P653" s="694" t="s">
        <v>919</v>
      </c>
      <c r="Q653" s="695" t="s">
        <v>112</v>
      </c>
      <c r="R653" s="696">
        <v>2486.36786</v>
      </c>
      <c r="S653" s="696">
        <v>1638.01983</v>
      </c>
      <c r="T653" s="697">
        <v>3572.904576</v>
      </c>
      <c r="AB653" s="722"/>
      <c r="AF653" s="669"/>
    </row>
    <row r="654">
      <c r="A654" s="675"/>
      <c r="B654" s="681" t="s">
        <v>48</v>
      </c>
      <c r="C654" s="682" t="s">
        <v>915</v>
      </c>
      <c r="D654" s="682" t="s">
        <v>924</v>
      </c>
      <c r="E654" s="682" t="s">
        <v>679</v>
      </c>
      <c r="F654" s="682">
        <v>2021.0</v>
      </c>
      <c r="G654" s="683">
        <v>5.07E-5</v>
      </c>
      <c r="H654" s="683">
        <v>1.8E-5</v>
      </c>
      <c r="I654" s="684">
        <v>9.59E-5</v>
      </c>
      <c r="K654" s="693" t="s">
        <v>53</v>
      </c>
      <c r="L654" s="694" t="s">
        <v>352</v>
      </c>
      <c r="M654" s="694" t="s">
        <v>915</v>
      </c>
      <c r="N654" s="694" t="s">
        <v>918</v>
      </c>
      <c r="O654" s="694">
        <v>2021.0</v>
      </c>
      <c r="P654" s="694" t="s">
        <v>919</v>
      </c>
      <c r="Q654" s="695" t="s">
        <v>112</v>
      </c>
      <c r="R654" s="696">
        <v>535.2560547</v>
      </c>
      <c r="S654" s="696">
        <v>221.0764032</v>
      </c>
      <c r="T654" s="697">
        <v>913.3145469</v>
      </c>
      <c r="AB654" s="722"/>
      <c r="AF654" s="669"/>
    </row>
    <row r="655">
      <c r="A655" s="675"/>
      <c r="B655" s="681" t="s">
        <v>48</v>
      </c>
      <c r="C655" s="682" t="s">
        <v>915</v>
      </c>
      <c r="D655" s="682" t="s">
        <v>926</v>
      </c>
      <c r="E655" s="682" t="s">
        <v>679</v>
      </c>
      <c r="F655" s="682">
        <v>2021.0</v>
      </c>
      <c r="G655" s="683">
        <v>2.59696E-4</v>
      </c>
      <c r="H655" s="683">
        <v>1.03965E-4</v>
      </c>
      <c r="I655" s="684">
        <v>4.8244E-4</v>
      </c>
      <c r="K655" s="693" t="s">
        <v>53</v>
      </c>
      <c r="L655" s="694" t="s">
        <v>352</v>
      </c>
      <c r="M655" s="694" t="s">
        <v>915</v>
      </c>
      <c r="N655" s="694" t="s">
        <v>923</v>
      </c>
      <c r="O655" s="694">
        <v>2021.0</v>
      </c>
      <c r="P655" s="694" t="s">
        <v>919</v>
      </c>
      <c r="Q655" s="695" t="s">
        <v>112</v>
      </c>
      <c r="R655" s="696">
        <v>588.8475439</v>
      </c>
      <c r="S655" s="696">
        <v>366.9566218</v>
      </c>
      <c r="T655" s="697">
        <v>918.260033</v>
      </c>
      <c r="AB655" s="722"/>
      <c r="AF655" s="669"/>
    </row>
    <row r="656">
      <c r="A656" s="675"/>
      <c r="B656" s="681" t="s">
        <v>49</v>
      </c>
      <c r="C656" s="682" t="s">
        <v>915</v>
      </c>
      <c r="D656" s="682" t="s">
        <v>916</v>
      </c>
      <c r="E656" s="682" t="s">
        <v>679</v>
      </c>
      <c r="F656" s="682">
        <v>2021.0</v>
      </c>
      <c r="G656" s="683">
        <v>6.52E-6</v>
      </c>
      <c r="H656" s="683">
        <v>2.04E-6</v>
      </c>
      <c r="I656" s="684">
        <v>1.39E-5</v>
      </c>
      <c r="K656" s="693" t="s">
        <v>53</v>
      </c>
      <c r="L656" s="694" t="s">
        <v>352</v>
      </c>
      <c r="M656" s="694" t="s">
        <v>915</v>
      </c>
      <c r="N656" s="694" t="s">
        <v>925</v>
      </c>
      <c r="O656" s="694">
        <v>2021.0</v>
      </c>
      <c r="P656" s="694" t="s">
        <v>919</v>
      </c>
      <c r="Q656" s="695" t="s">
        <v>112</v>
      </c>
      <c r="R656" s="696">
        <v>133.3791064</v>
      </c>
      <c r="S656" s="696">
        <v>66.39876646</v>
      </c>
      <c r="T656" s="697">
        <v>218.0783102</v>
      </c>
      <c r="AB656" s="722"/>
      <c r="AF656" s="669"/>
    </row>
    <row r="657">
      <c r="A657" s="675"/>
      <c r="B657" s="681" t="s">
        <v>49</v>
      </c>
      <c r="C657" s="682" t="s">
        <v>915</v>
      </c>
      <c r="D657" s="682" t="s">
        <v>922</v>
      </c>
      <c r="E657" s="682" t="s">
        <v>679</v>
      </c>
      <c r="F657" s="682">
        <v>2021.0</v>
      </c>
      <c r="G657" s="683">
        <v>1.49E-6</v>
      </c>
      <c r="H657" s="683">
        <v>6.4E-7</v>
      </c>
      <c r="I657" s="684">
        <v>2.74E-6</v>
      </c>
      <c r="K657" s="693" t="s">
        <v>53</v>
      </c>
      <c r="L657" s="694" t="s">
        <v>352</v>
      </c>
      <c r="M657" s="694" t="s">
        <v>915</v>
      </c>
      <c r="N657" s="694" t="s">
        <v>927</v>
      </c>
      <c r="O657" s="694">
        <v>2021.0</v>
      </c>
      <c r="P657" s="694" t="s">
        <v>919</v>
      </c>
      <c r="Q657" s="695" t="s">
        <v>112</v>
      </c>
      <c r="R657" s="696">
        <v>486.6533194</v>
      </c>
      <c r="S657" s="696">
        <v>228.1598834</v>
      </c>
      <c r="T657" s="697">
        <v>797.8171984</v>
      </c>
      <c r="AB657" s="722"/>
      <c r="AF657" s="669"/>
    </row>
    <row r="658">
      <c r="A658" s="675"/>
      <c r="B658" s="681" t="s">
        <v>49</v>
      </c>
      <c r="C658" s="682" t="s">
        <v>915</v>
      </c>
      <c r="D658" s="682" t="s">
        <v>924</v>
      </c>
      <c r="E658" s="682" t="s">
        <v>679</v>
      </c>
      <c r="F658" s="682">
        <v>2021.0</v>
      </c>
      <c r="G658" s="683">
        <v>2.72E-5</v>
      </c>
      <c r="H658" s="683">
        <v>1.05E-5</v>
      </c>
      <c r="I658" s="684">
        <v>5.48E-5</v>
      </c>
      <c r="K658" s="693" t="s">
        <v>53</v>
      </c>
      <c r="L658" s="694" t="s">
        <v>352</v>
      </c>
      <c r="M658" s="694" t="s">
        <v>915</v>
      </c>
      <c r="N658" s="694" t="s">
        <v>926</v>
      </c>
      <c r="O658" s="694">
        <v>2021.0</v>
      </c>
      <c r="P658" s="694" t="s">
        <v>919</v>
      </c>
      <c r="Q658" s="695" t="s">
        <v>112</v>
      </c>
      <c r="R658" s="696">
        <v>1744.136024</v>
      </c>
      <c r="S658" s="696">
        <v>1040.0447</v>
      </c>
      <c r="T658" s="697">
        <v>2655.940775</v>
      </c>
      <c r="AB658" s="722"/>
      <c r="AF658" s="669"/>
    </row>
    <row r="659">
      <c r="A659" s="675"/>
      <c r="B659" s="681" t="s">
        <v>49</v>
      </c>
      <c r="C659" s="682" t="s">
        <v>915</v>
      </c>
      <c r="D659" s="682" t="s">
        <v>926</v>
      </c>
      <c r="E659" s="682" t="s">
        <v>679</v>
      </c>
      <c r="F659" s="682">
        <v>2021.0</v>
      </c>
      <c r="G659" s="683">
        <v>1.80419E-4</v>
      </c>
      <c r="H659" s="683">
        <v>7.1E-5</v>
      </c>
      <c r="I659" s="684">
        <v>3.50951E-4</v>
      </c>
      <c r="K659" s="693" t="s">
        <v>30</v>
      </c>
      <c r="L659" s="694" t="s">
        <v>352</v>
      </c>
      <c r="M659" s="694" t="s">
        <v>915</v>
      </c>
      <c r="N659" s="694" t="s">
        <v>918</v>
      </c>
      <c r="O659" s="694">
        <v>2021.0</v>
      </c>
      <c r="P659" s="694" t="s">
        <v>919</v>
      </c>
      <c r="Q659" s="695" t="s">
        <v>112</v>
      </c>
      <c r="R659" s="696">
        <v>3069.587304</v>
      </c>
      <c r="S659" s="696">
        <v>1670.211351</v>
      </c>
      <c r="T659" s="697">
        <v>4792.35084</v>
      </c>
      <c r="AB659" s="722"/>
      <c r="AF659" s="669"/>
    </row>
    <row r="660">
      <c r="A660" s="675"/>
      <c r="B660" s="681" t="s">
        <v>50</v>
      </c>
      <c r="C660" s="682" t="s">
        <v>915</v>
      </c>
      <c r="D660" s="682" t="s">
        <v>916</v>
      </c>
      <c r="E660" s="682" t="s">
        <v>679</v>
      </c>
      <c r="F660" s="682">
        <v>2021.0</v>
      </c>
      <c r="G660" s="683">
        <v>6.97E-6</v>
      </c>
      <c r="H660" s="683">
        <v>2.21E-6</v>
      </c>
      <c r="I660" s="684">
        <v>1.43E-5</v>
      </c>
      <c r="K660" s="693" t="s">
        <v>30</v>
      </c>
      <c r="L660" s="694" t="s">
        <v>352</v>
      </c>
      <c r="M660" s="694" t="s">
        <v>915</v>
      </c>
      <c r="N660" s="694" t="s">
        <v>923</v>
      </c>
      <c r="O660" s="694">
        <v>2021.0</v>
      </c>
      <c r="P660" s="694" t="s">
        <v>919</v>
      </c>
      <c r="Q660" s="695" t="s">
        <v>112</v>
      </c>
      <c r="R660" s="696">
        <v>750.413681</v>
      </c>
      <c r="S660" s="696">
        <v>485.6268877</v>
      </c>
      <c r="T660" s="697">
        <v>1066.788841</v>
      </c>
      <c r="AB660" s="722"/>
      <c r="AF660" s="669"/>
    </row>
    <row r="661">
      <c r="A661" s="675"/>
      <c r="B661" s="681" t="s">
        <v>50</v>
      </c>
      <c r="C661" s="682" t="s">
        <v>915</v>
      </c>
      <c r="D661" s="682" t="s">
        <v>922</v>
      </c>
      <c r="E661" s="682" t="s">
        <v>679</v>
      </c>
      <c r="F661" s="682">
        <v>2021.0</v>
      </c>
      <c r="G661" s="683">
        <v>1.67E-6</v>
      </c>
      <c r="H661" s="683">
        <v>7.18E-7</v>
      </c>
      <c r="I661" s="684">
        <v>3.07E-6</v>
      </c>
      <c r="K661" s="693" t="s">
        <v>30</v>
      </c>
      <c r="L661" s="694" t="s">
        <v>352</v>
      </c>
      <c r="M661" s="694" t="s">
        <v>915</v>
      </c>
      <c r="N661" s="694" t="s">
        <v>925</v>
      </c>
      <c r="O661" s="694">
        <v>2021.0</v>
      </c>
      <c r="P661" s="694" t="s">
        <v>919</v>
      </c>
      <c r="Q661" s="695" t="s">
        <v>112</v>
      </c>
      <c r="R661" s="696">
        <v>322.7686116</v>
      </c>
      <c r="S661" s="696">
        <v>223.7918336</v>
      </c>
      <c r="T661" s="697">
        <v>434.9800452</v>
      </c>
      <c r="AB661" s="722"/>
      <c r="AF661" s="669"/>
    </row>
    <row r="662">
      <c r="A662" s="675"/>
      <c r="B662" s="681" t="s">
        <v>50</v>
      </c>
      <c r="C662" s="682" t="s">
        <v>915</v>
      </c>
      <c r="D662" s="682" t="s">
        <v>924</v>
      </c>
      <c r="E662" s="682" t="s">
        <v>679</v>
      </c>
      <c r="F662" s="682">
        <v>2021.0</v>
      </c>
      <c r="G662" s="683">
        <v>3.07E-5</v>
      </c>
      <c r="H662" s="683">
        <v>1.18E-5</v>
      </c>
      <c r="I662" s="684">
        <v>6.19E-5</v>
      </c>
      <c r="K662" s="693" t="s">
        <v>30</v>
      </c>
      <c r="L662" s="694" t="s">
        <v>352</v>
      </c>
      <c r="M662" s="694" t="s">
        <v>915</v>
      </c>
      <c r="N662" s="694" t="s">
        <v>927</v>
      </c>
      <c r="O662" s="694">
        <v>2021.0</v>
      </c>
      <c r="P662" s="694" t="s">
        <v>919</v>
      </c>
      <c r="Q662" s="695" t="s">
        <v>112</v>
      </c>
      <c r="R662" s="696">
        <v>1248.695729</v>
      </c>
      <c r="S662" s="696">
        <v>814.5926763</v>
      </c>
      <c r="T662" s="697">
        <v>1799.375861</v>
      </c>
      <c r="AB662" s="722"/>
      <c r="AF662" s="669"/>
    </row>
    <row r="663">
      <c r="A663" s="675"/>
      <c r="B663" s="681" t="s">
        <v>50</v>
      </c>
      <c r="C663" s="682" t="s">
        <v>915</v>
      </c>
      <c r="D663" s="682" t="s">
        <v>926</v>
      </c>
      <c r="E663" s="682" t="s">
        <v>679</v>
      </c>
      <c r="F663" s="682">
        <v>2021.0</v>
      </c>
      <c r="G663" s="683">
        <v>1.73715E-4</v>
      </c>
      <c r="H663" s="683">
        <v>6.39E-5</v>
      </c>
      <c r="I663" s="684">
        <v>3.4236E-4</v>
      </c>
      <c r="K663" s="693" t="s">
        <v>30</v>
      </c>
      <c r="L663" s="694" t="s">
        <v>352</v>
      </c>
      <c r="M663" s="694" t="s">
        <v>915</v>
      </c>
      <c r="N663" s="694" t="s">
        <v>926</v>
      </c>
      <c r="O663" s="694">
        <v>2021.0</v>
      </c>
      <c r="P663" s="694" t="s">
        <v>919</v>
      </c>
      <c r="Q663" s="695" t="s">
        <v>112</v>
      </c>
      <c r="R663" s="696">
        <v>5391.465326</v>
      </c>
      <c r="S663" s="696">
        <v>3484.749191</v>
      </c>
      <c r="T663" s="697">
        <v>7717.869994</v>
      </c>
      <c r="AB663" s="722"/>
      <c r="AF663" s="669"/>
    </row>
    <row r="664">
      <c r="A664" s="675"/>
      <c r="B664" s="681" t="s">
        <v>51</v>
      </c>
      <c r="C664" s="682" t="s">
        <v>915</v>
      </c>
      <c r="D664" s="682" t="s">
        <v>916</v>
      </c>
      <c r="E664" s="682" t="s">
        <v>679</v>
      </c>
      <c r="F664" s="682">
        <v>2021.0</v>
      </c>
      <c r="G664" s="683">
        <v>6.58E-6</v>
      </c>
      <c r="H664" s="683">
        <v>2.03E-6</v>
      </c>
      <c r="I664" s="684">
        <v>1.44E-5</v>
      </c>
      <c r="K664" s="693" t="s">
        <v>31</v>
      </c>
      <c r="L664" s="694" t="s">
        <v>352</v>
      </c>
      <c r="M664" s="694" t="s">
        <v>915</v>
      </c>
      <c r="N664" s="694" t="s">
        <v>918</v>
      </c>
      <c r="O664" s="694">
        <v>2021.0</v>
      </c>
      <c r="P664" s="694" t="s">
        <v>919</v>
      </c>
      <c r="Q664" s="695" t="s">
        <v>112</v>
      </c>
      <c r="R664" s="696">
        <v>1899.812779</v>
      </c>
      <c r="S664" s="696">
        <v>946.6502429</v>
      </c>
      <c r="T664" s="697">
        <v>3045.850561</v>
      </c>
      <c r="AB664" s="722"/>
      <c r="AF664" s="669"/>
    </row>
    <row r="665">
      <c r="A665" s="675"/>
      <c r="B665" s="681" t="s">
        <v>51</v>
      </c>
      <c r="C665" s="682" t="s">
        <v>915</v>
      </c>
      <c r="D665" s="682" t="s">
        <v>922</v>
      </c>
      <c r="E665" s="682" t="s">
        <v>679</v>
      </c>
      <c r="F665" s="682">
        <v>2021.0</v>
      </c>
      <c r="G665" s="683">
        <v>1.3E-6</v>
      </c>
      <c r="H665" s="683">
        <v>5.52E-7</v>
      </c>
      <c r="I665" s="684">
        <v>2.54E-6</v>
      </c>
      <c r="K665" s="693" t="s">
        <v>31</v>
      </c>
      <c r="L665" s="694" t="s">
        <v>352</v>
      </c>
      <c r="M665" s="694" t="s">
        <v>915</v>
      </c>
      <c r="N665" s="694" t="s">
        <v>923</v>
      </c>
      <c r="O665" s="694">
        <v>2021.0</v>
      </c>
      <c r="P665" s="694" t="s">
        <v>919</v>
      </c>
      <c r="Q665" s="695" t="s">
        <v>112</v>
      </c>
      <c r="R665" s="696">
        <v>981.2133565</v>
      </c>
      <c r="S665" s="696">
        <v>658.4748296</v>
      </c>
      <c r="T665" s="697">
        <v>1414.208146</v>
      </c>
      <c r="AB665" s="722"/>
      <c r="AF665" s="669"/>
    </row>
    <row r="666">
      <c r="A666" s="675"/>
      <c r="B666" s="681" t="s">
        <v>51</v>
      </c>
      <c r="C666" s="682" t="s">
        <v>915</v>
      </c>
      <c r="D666" s="682" t="s">
        <v>924</v>
      </c>
      <c r="E666" s="682" t="s">
        <v>679</v>
      </c>
      <c r="F666" s="682">
        <v>2021.0</v>
      </c>
      <c r="G666" s="683">
        <v>2.35E-5</v>
      </c>
      <c r="H666" s="683">
        <v>6.96E-6</v>
      </c>
      <c r="I666" s="684">
        <v>4.73E-5</v>
      </c>
      <c r="K666" s="693" t="s">
        <v>31</v>
      </c>
      <c r="L666" s="694" t="s">
        <v>352</v>
      </c>
      <c r="M666" s="694" t="s">
        <v>915</v>
      </c>
      <c r="N666" s="694" t="s">
        <v>925</v>
      </c>
      <c r="O666" s="694">
        <v>2021.0</v>
      </c>
      <c r="P666" s="694" t="s">
        <v>919</v>
      </c>
      <c r="Q666" s="695" t="s">
        <v>112</v>
      </c>
      <c r="R666" s="696">
        <v>560.4574101</v>
      </c>
      <c r="S666" s="696">
        <v>370.57505</v>
      </c>
      <c r="T666" s="697">
        <v>790.6865753</v>
      </c>
      <c r="AB666" s="722"/>
      <c r="AF666" s="669"/>
    </row>
    <row r="667">
      <c r="A667" s="675"/>
      <c r="B667" s="681" t="s">
        <v>51</v>
      </c>
      <c r="C667" s="682" t="s">
        <v>915</v>
      </c>
      <c r="D667" s="682" t="s">
        <v>926</v>
      </c>
      <c r="E667" s="682" t="s">
        <v>679</v>
      </c>
      <c r="F667" s="682">
        <v>2021.0</v>
      </c>
      <c r="G667" s="683">
        <v>1.22419E-4</v>
      </c>
      <c r="H667" s="683">
        <v>3.98E-5</v>
      </c>
      <c r="I667" s="684">
        <v>2.3262E-4</v>
      </c>
      <c r="K667" s="693" t="s">
        <v>31</v>
      </c>
      <c r="L667" s="694" t="s">
        <v>352</v>
      </c>
      <c r="M667" s="694" t="s">
        <v>915</v>
      </c>
      <c r="N667" s="694" t="s">
        <v>927</v>
      </c>
      <c r="O667" s="694">
        <v>2021.0</v>
      </c>
      <c r="P667" s="694" t="s">
        <v>919</v>
      </c>
      <c r="Q667" s="695" t="s">
        <v>112</v>
      </c>
      <c r="R667" s="696">
        <v>2026.787389</v>
      </c>
      <c r="S667" s="696">
        <v>1225.184533</v>
      </c>
      <c r="T667" s="697">
        <v>3011.117324</v>
      </c>
      <c r="AB667" s="722"/>
      <c r="AF667" s="669"/>
    </row>
    <row r="668">
      <c r="A668" s="675"/>
      <c r="B668" s="681" t="s">
        <v>52</v>
      </c>
      <c r="C668" s="682" t="s">
        <v>915</v>
      </c>
      <c r="D668" s="682" t="s">
        <v>916</v>
      </c>
      <c r="E668" s="682" t="s">
        <v>679</v>
      </c>
      <c r="F668" s="682">
        <v>2021.0</v>
      </c>
      <c r="G668" s="683">
        <v>6.57E-6</v>
      </c>
      <c r="H668" s="683">
        <v>1.77E-6</v>
      </c>
      <c r="I668" s="684">
        <v>1.33E-5</v>
      </c>
      <c r="K668" s="693" t="s">
        <v>31</v>
      </c>
      <c r="L668" s="694" t="s">
        <v>352</v>
      </c>
      <c r="M668" s="694" t="s">
        <v>915</v>
      </c>
      <c r="N668" s="694" t="s">
        <v>926</v>
      </c>
      <c r="O668" s="694">
        <v>2021.0</v>
      </c>
      <c r="P668" s="694" t="s">
        <v>919</v>
      </c>
      <c r="Q668" s="695" t="s">
        <v>112</v>
      </c>
      <c r="R668" s="696">
        <v>5468.270934</v>
      </c>
      <c r="S668" s="696">
        <v>3572.182072</v>
      </c>
      <c r="T668" s="697">
        <v>7738.518534</v>
      </c>
      <c r="AB668" s="722"/>
      <c r="AF668" s="669"/>
    </row>
    <row r="669">
      <c r="A669" s="675"/>
      <c r="B669" s="681" t="s">
        <v>52</v>
      </c>
      <c r="C669" s="682" t="s">
        <v>915</v>
      </c>
      <c r="D669" s="682" t="s">
        <v>922</v>
      </c>
      <c r="E669" s="682" t="s">
        <v>679</v>
      </c>
      <c r="F669" s="682">
        <v>2021.0</v>
      </c>
      <c r="G669" s="683">
        <v>1.37E-6</v>
      </c>
      <c r="H669" s="683">
        <v>5.35E-7</v>
      </c>
      <c r="I669" s="684">
        <v>2.6E-6</v>
      </c>
      <c r="K669" s="693" t="s">
        <v>32</v>
      </c>
      <c r="L669" s="694" t="s">
        <v>352</v>
      </c>
      <c r="M669" s="694" t="s">
        <v>915</v>
      </c>
      <c r="N669" s="694" t="s">
        <v>918</v>
      </c>
      <c r="O669" s="694">
        <v>2021.0</v>
      </c>
      <c r="P669" s="694" t="s">
        <v>919</v>
      </c>
      <c r="Q669" s="695" t="s">
        <v>112</v>
      </c>
      <c r="R669" s="696">
        <v>7398.018313</v>
      </c>
      <c r="S669" s="696">
        <v>3633.947998</v>
      </c>
      <c r="T669" s="697">
        <v>12249.04277</v>
      </c>
      <c r="AB669" s="722"/>
      <c r="AF669" s="669"/>
    </row>
    <row r="670">
      <c r="A670" s="675"/>
      <c r="B670" s="681" t="s">
        <v>52</v>
      </c>
      <c r="C670" s="682" t="s">
        <v>915</v>
      </c>
      <c r="D670" s="682" t="s">
        <v>924</v>
      </c>
      <c r="E670" s="682" t="s">
        <v>679</v>
      </c>
      <c r="F670" s="682">
        <v>2021.0</v>
      </c>
      <c r="G670" s="683">
        <v>2.46E-5</v>
      </c>
      <c r="H670" s="683">
        <v>7.51E-6</v>
      </c>
      <c r="I670" s="684">
        <v>4.89E-5</v>
      </c>
      <c r="K670" s="693" t="s">
        <v>32</v>
      </c>
      <c r="L670" s="694" t="s">
        <v>352</v>
      </c>
      <c r="M670" s="694" t="s">
        <v>915</v>
      </c>
      <c r="N670" s="694" t="s">
        <v>923</v>
      </c>
      <c r="O670" s="694">
        <v>2021.0</v>
      </c>
      <c r="P670" s="694" t="s">
        <v>919</v>
      </c>
      <c r="Q670" s="695" t="s">
        <v>112</v>
      </c>
      <c r="R670" s="696">
        <v>2779.112992</v>
      </c>
      <c r="S670" s="696">
        <v>1867.178487</v>
      </c>
      <c r="T670" s="697">
        <v>3999.593558</v>
      </c>
      <c r="AB670" s="722"/>
      <c r="AF670" s="669"/>
    </row>
    <row r="671">
      <c r="A671" s="675"/>
      <c r="B671" s="681" t="s">
        <v>52</v>
      </c>
      <c r="C671" s="682" t="s">
        <v>915</v>
      </c>
      <c r="D671" s="682" t="s">
        <v>926</v>
      </c>
      <c r="E671" s="682" t="s">
        <v>679</v>
      </c>
      <c r="F671" s="682">
        <v>2021.0</v>
      </c>
      <c r="G671" s="683">
        <v>1.35426E-4</v>
      </c>
      <c r="H671" s="683">
        <v>4.62E-5</v>
      </c>
      <c r="I671" s="684">
        <v>2.57433E-4</v>
      </c>
      <c r="K671" s="693" t="s">
        <v>32</v>
      </c>
      <c r="L671" s="694" t="s">
        <v>352</v>
      </c>
      <c r="M671" s="694" t="s">
        <v>915</v>
      </c>
      <c r="N671" s="694" t="s">
        <v>925</v>
      </c>
      <c r="O671" s="694">
        <v>2021.0</v>
      </c>
      <c r="P671" s="694" t="s">
        <v>919</v>
      </c>
      <c r="Q671" s="695" t="s">
        <v>112</v>
      </c>
      <c r="R671" s="696">
        <v>1432.33014</v>
      </c>
      <c r="S671" s="696">
        <v>958.6425941</v>
      </c>
      <c r="T671" s="697">
        <v>2005.851363</v>
      </c>
      <c r="AB671" s="722"/>
      <c r="AF671" s="669"/>
    </row>
    <row r="672">
      <c r="A672" s="675"/>
      <c r="B672" s="681" t="s">
        <v>28</v>
      </c>
      <c r="C672" s="682" t="s">
        <v>915</v>
      </c>
      <c r="D672" s="682" t="s">
        <v>916</v>
      </c>
      <c r="E672" s="682" t="s">
        <v>679</v>
      </c>
      <c r="F672" s="682">
        <v>2021.0</v>
      </c>
      <c r="G672" s="683">
        <v>2.4E-5</v>
      </c>
      <c r="H672" s="683">
        <v>7.18E-6</v>
      </c>
      <c r="I672" s="684">
        <v>4.53E-5</v>
      </c>
      <c r="K672" s="693" t="s">
        <v>32</v>
      </c>
      <c r="L672" s="694" t="s">
        <v>352</v>
      </c>
      <c r="M672" s="694" t="s">
        <v>915</v>
      </c>
      <c r="N672" s="694" t="s">
        <v>927</v>
      </c>
      <c r="O672" s="694">
        <v>2021.0</v>
      </c>
      <c r="P672" s="694" t="s">
        <v>919</v>
      </c>
      <c r="Q672" s="695" t="s">
        <v>112</v>
      </c>
      <c r="R672" s="696">
        <v>2992.417022</v>
      </c>
      <c r="S672" s="696">
        <v>1821.630301</v>
      </c>
      <c r="T672" s="697">
        <v>4362.76244</v>
      </c>
      <c r="AB672" s="722"/>
      <c r="AF672" s="669"/>
    </row>
    <row r="673">
      <c r="A673" s="675"/>
      <c r="B673" s="681" t="s">
        <v>28</v>
      </c>
      <c r="C673" s="682" t="s">
        <v>915</v>
      </c>
      <c r="D673" s="682" t="s">
        <v>922</v>
      </c>
      <c r="E673" s="682" t="s">
        <v>679</v>
      </c>
      <c r="F673" s="682">
        <v>2021.0</v>
      </c>
      <c r="G673" s="683">
        <v>6.97E-6</v>
      </c>
      <c r="H673" s="683">
        <v>2.74E-6</v>
      </c>
      <c r="I673" s="684">
        <v>1.23E-5</v>
      </c>
      <c r="K673" s="693" t="s">
        <v>32</v>
      </c>
      <c r="L673" s="694" t="s">
        <v>352</v>
      </c>
      <c r="M673" s="694" t="s">
        <v>915</v>
      </c>
      <c r="N673" s="694" t="s">
        <v>926</v>
      </c>
      <c r="O673" s="694">
        <v>2021.0</v>
      </c>
      <c r="P673" s="694" t="s">
        <v>919</v>
      </c>
      <c r="Q673" s="695" t="s">
        <v>112</v>
      </c>
      <c r="R673" s="696">
        <v>14601.87847</v>
      </c>
      <c r="S673" s="696">
        <v>9127.503282</v>
      </c>
      <c r="T673" s="697">
        <v>21155.05062</v>
      </c>
      <c r="AB673" s="722"/>
      <c r="AF673" s="669"/>
    </row>
    <row r="674">
      <c r="A674" s="675"/>
      <c r="B674" s="681" t="s">
        <v>28</v>
      </c>
      <c r="C674" s="682" t="s">
        <v>915</v>
      </c>
      <c r="D674" s="682" t="s">
        <v>924</v>
      </c>
      <c r="E674" s="682" t="s">
        <v>679</v>
      </c>
      <c r="F674" s="682">
        <v>2021.0</v>
      </c>
      <c r="G674" s="683">
        <v>1.38837E-4</v>
      </c>
      <c r="H674" s="683">
        <v>2.75E-5</v>
      </c>
      <c r="I674" s="684">
        <v>2.60852E-4</v>
      </c>
      <c r="K674" s="693" t="s">
        <v>33</v>
      </c>
      <c r="L674" s="694" t="s">
        <v>352</v>
      </c>
      <c r="M674" s="694" t="s">
        <v>915</v>
      </c>
      <c r="N674" s="694" t="s">
        <v>918</v>
      </c>
      <c r="O674" s="694">
        <v>2021.0</v>
      </c>
      <c r="P674" s="694" t="s">
        <v>919</v>
      </c>
      <c r="Q674" s="695" t="s">
        <v>112</v>
      </c>
      <c r="R674" s="696">
        <v>3645.233863</v>
      </c>
      <c r="S674" s="696">
        <v>1937.932509</v>
      </c>
      <c r="T674" s="697">
        <v>5816.834898</v>
      </c>
      <c r="AB674" s="722"/>
      <c r="AF674" s="669"/>
    </row>
    <row r="675">
      <c r="A675" s="675"/>
      <c r="B675" s="681" t="s">
        <v>28</v>
      </c>
      <c r="C675" s="682" t="s">
        <v>915</v>
      </c>
      <c r="D675" s="682" t="s">
        <v>926</v>
      </c>
      <c r="E675" s="682" t="s">
        <v>679</v>
      </c>
      <c r="F675" s="682">
        <v>2021.0</v>
      </c>
      <c r="G675" s="683">
        <v>9.21641E-4</v>
      </c>
      <c r="H675" s="683">
        <v>4.37361E-4</v>
      </c>
      <c r="I675" s="684">
        <v>0.001630148</v>
      </c>
      <c r="K675" s="693" t="s">
        <v>33</v>
      </c>
      <c r="L675" s="694" t="s">
        <v>352</v>
      </c>
      <c r="M675" s="694" t="s">
        <v>915</v>
      </c>
      <c r="N675" s="694" t="s">
        <v>923</v>
      </c>
      <c r="O675" s="694">
        <v>2021.0</v>
      </c>
      <c r="P675" s="694" t="s">
        <v>919</v>
      </c>
      <c r="Q675" s="695" t="s">
        <v>112</v>
      </c>
      <c r="R675" s="696">
        <v>1075.561854</v>
      </c>
      <c r="S675" s="696">
        <v>701.6771898</v>
      </c>
      <c r="T675" s="697">
        <v>1545.821328</v>
      </c>
      <c r="AB675" s="722"/>
      <c r="AF675" s="669"/>
    </row>
    <row r="676">
      <c r="A676" s="675"/>
      <c r="B676" s="681" t="s">
        <v>53</v>
      </c>
      <c r="C676" s="682" t="s">
        <v>915</v>
      </c>
      <c r="D676" s="682" t="s">
        <v>916</v>
      </c>
      <c r="E676" s="682" t="s">
        <v>679</v>
      </c>
      <c r="F676" s="682">
        <v>2021.0</v>
      </c>
      <c r="G676" s="683">
        <v>5.32E-6</v>
      </c>
      <c r="H676" s="683">
        <v>1.39E-6</v>
      </c>
      <c r="I676" s="684">
        <v>1.18E-5</v>
      </c>
      <c r="K676" s="693" t="s">
        <v>33</v>
      </c>
      <c r="L676" s="694" t="s">
        <v>352</v>
      </c>
      <c r="M676" s="694" t="s">
        <v>915</v>
      </c>
      <c r="N676" s="694" t="s">
        <v>925</v>
      </c>
      <c r="O676" s="694">
        <v>2021.0</v>
      </c>
      <c r="P676" s="694" t="s">
        <v>919</v>
      </c>
      <c r="Q676" s="695" t="s">
        <v>112</v>
      </c>
      <c r="R676" s="696">
        <v>842.4771043</v>
      </c>
      <c r="S676" s="696">
        <v>574.1615106</v>
      </c>
      <c r="T676" s="697">
        <v>1170.064042</v>
      </c>
      <c r="AB676" s="722"/>
      <c r="AF676" s="669"/>
    </row>
    <row r="677">
      <c r="A677" s="675"/>
      <c r="B677" s="681" t="s">
        <v>53</v>
      </c>
      <c r="C677" s="682" t="s">
        <v>915</v>
      </c>
      <c r="D677" s="682" t="s">
        <v>922</v>
      </c>
      <c r="E677" s="682" t="s">
        <v>679</v>
      </c>
      <c r="F677" s="682">
        <v>2021.0</v>
      </c>
      <c r="G677" s="683">
        <v>1.18E-6</v>
      </c>
      <c r="H677" s="683">
        <v>4.5E-7</v>
      </c>
      <c r="I677" s="684">
        <v>2.28E-6</v>
      </c>
      <c r="K677" s="693" t="s">
        <v>33</v>
      </c>
      <c r="L677" s="694" t="s">
        <v>352</v>
      </c>
      <c r="M677" s="694" t="s">
        <v>915</v>
      </c>
      <c r="N677" s="694" t="s">
        <v>927</v>
      </c>
      <c r="O677" s="694">
        <v>2021.0</v>
      </c>
      <c r="P677" s="694" t="s">
        <v>919</v>
      </c>
      <c r="Q677" s="695" t="s">
        <v>112</v>
      </c>
      <c r="R677" s="696">
        <v>1655.235404</v>
      </c>
      <c r="S677" s="696">
        <v>1034.766784</v>
      </c>
      <c r="T677" s="697">
        <v>2529.717296</v>
      </c>
      <c r="AB677" s="722"/>
      <c r="AF677" s="669"/>
    </row>
    <row r="678">
      <c r="A678" s="675"/>
      <c r="B678" s="681" t="s">
        <v>53</v>
      </c>
      <c r="C678" s="682" t="s">
        <v>915</v>
      </c>
      <c r="D678" s="682" t="s">
        <v>924</v>
      </c>
      <c r="E678" s="682" t="s">
        <v>679</v>
      </c>
      <c r="F678" s="682">
        <v>2021.0</v>
      </c>
      <c r="G678" s="683">
        <v>1.98E-5</v>
      </c>
      <c r="H678" s="683">
        <v>6.04E-6</v>
      </c>
      <c r="I678" s="684">
        <v>4.03E-5</v>
      </c>
      <c r="K678" s="693" t="s">
        <v>33</v>
      </c>
      <c r="L678" s="694" t="s">
        <v>352</v>
      </c>
      <c r="M678" s="694" t="s">
        <v>915</v>
      </c>
      <c r="N678" s="694" t="s">
        <v>926</v>
      </c>
      <c r="O678" s="694">
        <v>2021.0</v>
      </c>
      <c r="P678" s="694" t="s">
        <v>919</v>
      </c>
      <c r="Q678" s="695" t="s">
        <v>112</v>
      </c>
      <c r="R678" s="696">
        <v>7218.508224</v>
      </c>
      <c r="S678" s="696">
        <v>4723.692041</v>
      </c>
      <c r="T678" s="697">
        <v>10283.82376</v>
      </c>
      <c r="AB678" s="722"/>
      <c r="AF678" s="669"/>
    </row>
    <row r="679">
      <c r="A679" s="675"/>
      <c r="B679" s="681" t="s">
        <v>53</v>
      </c>
      <c r="C679" s="682" t="s">
        <v>915</v>
      </c>
      <c r="D679" s="682" t="s">
        <v>926</v>
      </c>
      <c r="E679" s="682" t="s">
        <v>679</v>
      </c>
      <c r="F679" s="682">
        <v>2021.0</v>
      </c>
      <c r="G679" s="683">
        <v>1.01351E-4</v>
      </c>
      <c r="H679" s="683">
        <v>3.64E-5</v>
      </c>
      <c r="I679" s="684">
        <v>2.04361E-4</v>
      </c>
      <c r="K679" s="693" t="s">
        <v>34</v>
      </c>
      <c r="L679" s="694" t="s">
        <v>352</v>
      </c>
      <c r="M679" s="694" t="s">
        <v>915</v>
      </c>
      <c r="N679" s="694" t="s">
        <v>918</v>
      </c>
      <c r="O679" s="694">
        <v>2021.0</v>
      </c>
      <c r="P679" s="694" t="s">
        <v>919</v>
      </c>
      <c r="Q679" s="695" t="s">
        <v>112</v>
      </c>
      <c r="R679" s="696">
        <v>1718.540368</v>
      </c>
      <c r="S679" s="696">
        <v>1009.947394</v>
      </c>
      <c r="T679" s="697">
        <v>2664.280536</v>
      </c>
      <c r="AB679" s="722"/>
      <c r="AF679" s="669"/>
    </row>
    <row r="680">
      <c r="A680" s="675"/>
      <c r="B680" s="681" t="s">
        <v>30</v>
      </c>
      <c r="C680" s="682" t="s">
        <v>915</v>
      </c>
      <c r="D680" s="682" t="s">
        <v>916</v>
      </c>
      <c r="E680" s="682" t="s">
        <v>679</v>
      </c>
      <c r="F680" s="682">
        <v>2021.0</v>
      </c>
      <c r="G680" s="683">
        <v>7.73E-5</v>
      </c>
      <c r="H680" s="683">
        <v>2.83E-5</v>
      </c>
      <c r="I680" s="684">
        <v>1.40369E-4</v>
      </c>
      <c r="K680" s="693" t="s">
        <v>34</v>
      </c>
      <c r="L680" s="694" t="s">
        <v>352</v>
      </c>
      <c r="M680" s="694" t="s">
        <v>915</v>
      </c>
      <c r="N680" s="694" t="s">
        <v>923</v>
      </c>
      <c r="O680" s="694">
        <v>2021.0</v>
      </c>
      <c r="P680" s="694" t="s">
        <v>919</v>
      </c>
      <c r="Q680" s="695" t="s">
        <v>112</v>
      </c>
      <c r="R680" s="696">
        <v>697.047277</v>
      </c>
      <c r="S680" s="696">
        <v>462.5594687</v>
      </c>
      <c r="T680" s="697">
        <v>989.5784971</v>
      </c>
      <c r="AB680" s="722"/>
      <c r="AF680" s="669"/>
    </row>
    <row r="681">
      <c r="A681" s="675"/>
      <c r="B681" s="681" t="s">
        <v>30</v>
      </c>
      <c r="C681" s="682" t="s">
        <v>915</v>
      </c>
      <c r="D681" s="682" t="s">
        <v>922</v>
      </c>
      <c r="E681" s="682" t="s">
        <v>679</v>
      </c>
      <c r="F681" s="682">
        <v>2021.0</v>
      </c>
      <c r="G681" s="683">
        <v>1.36E-5</v>
      </c>
      <c r="H681" s="683">
        <v>6.28E-6</v>
      </c>
      <c r="I681" s="684">
        <v>2.48E-5</v>
      </c>
      <c r="K681" s="693" t="s">
        <v>34</v>
      </c>
      <c r="L681" s="694" t="s">
        <v>352</v>
      </c>
      <c r="M681" s="694" t="s">
        <v>915</v>
      </c>
      <c r="N681" s="694" t="s">
        <v>925</v>
      </c>
      <c r="O681" s="694">
        <v>2021.0</v>
      </c>
      <c r="P681" s="694" t="s">
        <v>919</v>
      </c>
      <c r="Q681" s="695" t="s">
        <v>112</v>
      </c>
      <c r="R681" s="696">
        <v>317.3714496</v>
      </c>
      <c r="S681" s="696">
        <v>212.8234525</v>
      </c>
      <c r="T681" s="697">
        <v>435.6139733</v>
      </c>
      <c r="AB681" s="722"/>
      <c r="AF681" s="669"/>
    </row>
    <row r="682">
      <c r="A682" s="675"/>
      <c r="B682" s="681" t="s">
        <v>30</v>
      </c>
      <c r="C682" s="682" t="s">
        <v>915</v>
      </c>
      <c r="D682" s="682" t="s">
        <v>924</v>
      </c>
      <c r="E682" s="682" t="s">
        <v>679</v>
      </c>
      <c r="F682" s="682">
        <v>2021.0</v>
      </c>
      <c r="G682" s="683">
        <v>2.90386E-4</v>
      </c>
      <c r="H682" s="683">
        <v>1.00715E-4</v>
      </c>
      <c r="I682" s="684">
        <v>5.24986E-4</v>
      </c>
      <c r="K682" s="693" t="s">
        <v>34</v>
      </c>
      <c r="L682" s="694" t="s">
        <v>352</v>
      </c>
      <c r="M682" s="694" t="s">
        <v>915</v>
      </c>
      <c r="N682" s="694" t="s">
        <v>927</v>
      </c>
      <c r="O682" s="694">
        <v>2021.0</v>
      </c>
      <c r="P682" s="694" t="s">
        <v>919</v>
      </c>
      <c r="Q682" s="695" t="s">
        <v>112</v>
      </c>
      <c r="R682" s="696">
        <v>989.4695123</v>
      </c>
      <c r="S682" s="696">
        <v>700.5902959</v>
      </c>
      <c r="T682" s="697">
        <v>1378.317985</v>
      </c>
      <c r="AB682" s="722"/>
      <c r="AF682" s="669"/>
    </row>
    <row r="683">
      <c r="A683" s="675"/>
      <c r="B683" s="681" t="s">
        <v>30</v>
      </c>
      <c r="C683" s="682" t="s">
        <v>915</v>
      </c>
      <c r="D683" s="682" t="s">
        <v>926</v>
      </c>
      <c r="E683" s="682" t="s">
        <v>679</v>
      </c>
      <c r="F683" s="682">
        <v>2021.0</v>
      </c>
      <c r="G683" s="683">
        <v>0.001855196</v>
      </c>
      <c r="H683" s="683">
        <v>8.98053E-4</v>
      </c>
      <c r="I683" s="684">
        <v>0.003308406</v>
      </c>
      <c r="K683" s="693" t="s">
        <v>34</v>
      </c>
      <c r="L683" s="694" t="s">
        <v>352</v>
      </c>
      <c r="M683" s="694" t="s">
        <v>915</v>
      </c>
      <c r="N683" s="694" t="s">
        <v>926</v>
      </c>
      <c r="O683" s="694">
        <v>2021.0</v>
      </c>
      <c r="P683" s="694" t="s">
        <v>919</v>
      </c>
      <c r="Q683" s="695" t="s">
        <v>112</v>
      </c>
      <c r="R683" s="696">
        <v>3722.428607</v>
      </c>
      <c r="S683" s="696">
        <v>2633.305254</v>
      </c>
      <c r="T683" s="697">
        <v>5122.219773</v>
      </c>
      <c r="AB683" s="722"/>
      <c r="AF683" s="669"/>
    </row>
    <row r="684">
      <c r="A684" s="675"/>
      <c r="B684" s="681" t="s">
        <v>31</v>
      </c>
      <c r="C684" s="682" t="s">
        <v>915</v>
      </c>
      <c r="D684" s="682" t="s">
        <v>916</v>
      </c>
      <c r="E684" s="682" t="s">
        <v>679</v>
      </c>
      <c r="F684" s="682">
        <v>2021.0</v>
      </c>
      <c r="G684" s="683">
        <v>2.23E-5</v>
      </c>
      <c r="H684" s="683">
        <v>7.02E-6</v>
      </c>
      <c r="I684" s="684">
        <v>4.3E-5</v>
      </c>
      <c r="K684" s="693" t="s">
        <v>54</v>
      </c>
      <c r="L684" s="694" t="s">
        <v>352</v>
      </c>
      <c r="M684" s="694" t="s">
        <v>915</v>
      </c>
      <c r="N684" s="694" t="s">
        <v>918</v>
      </c>
      <c r="O684" s="694">
        <v>2021.0</v>
      </c>
      <c r="P684" s="694" t="s">
        <v>919</v>
      </c>
      <c r="Q684" s="695" t="s">
        <v>112</v>
      </c>
      <c r="R684" s="696">
        <v>222.7040628</v>
      </c>
      <c r="S684" s="696">
        <v>102.5459842</v>
      </c>
      <c r="T684" s="697">
        <v>364.8261667</v>
      </c>
      <c r="AB684" s="722"/>
      <c r="AF684" s="669"/>
    </row>
    <row r="685">
      <c r="A685" s="675"/>
      <c r="B685" s="681" t="s">
        <v>31</v>
      </c>
      <c r="C685" s="682" t="s">
        <v>915</v>
      </c>
      <c r="D685" s="682" t="s">
        <v>922</v>
      </c>
      <c r="E685" s="682" t="s">
        <v>679</v>
      </c>
      <c r="F685" s="682">
        <v>2021.0</v>
      </c>
      <c r="G685" s="683">
        <v>5.24E-6</v>
      </c>
      <c r="H685" s="683">
        <v>2.51E-6</v>
      </c>
      <c r="I685" s="684">
        <v>8.67E-6</v>
      </c>
      <c r="K685" s="693" t="s">
        <v>54</v>
      </c>
      <c r="L685" s="694" t="s">
        <v>352</v>
      </c>
      <c r="M685" s="694" t="s">
        <v>915</v>
      </c>
      <c r="N685" s="694" t="s">
        <v>923</v>
      </c>
      <c r="O685" s="694">
        <v>2021.0</v>
      </c>
      <c r="P685" s="694" t="s">
        <v>919</v>
      </c>
      <c r="Q685" s="695" t="s">
        <v>112</v>
      </c>
      <c r="R685" s="696">
        <v>162.1212496</v>
      </c>
      <c r="S685" s="696">
        <v>106.6424489</v>
      </c>
      <c r="T685" s="697">
        <v>243.4124471</v>
      </c>
      <c r="AB685" s="722"/>
      <c r="AF685" s="669"/>
    </row>
    <row r="686">
      <c r="A686" s="675"/>
      <c r="B686" s="681" t="s">
        <v>31</v>
      </c>
      <c r="C686" s="682" t="s">
        <v>915</v>
      </c>
      <c r="D686" s="682" t="s">
        <v>924</v>
      </c>
      <c r="E686" s="682" t="s">
        <v>679</v>
      </c>
      <c r="F686" s="682">
        <v>2021.0</v>
      </c>
      <c r="G686" s="683">
        <v>1.09043E-4</v>
      </c>
      <c r="H686" s="683">
        <v>4.18E-5</v>
      </c>
      <c r="I686" s="684">
        <v>2.00912E-4</v>
      </c>
      <c r="K686" s="693" t="s">
        <v>54</v>
      </c>
      <c r="L686" s="694" t="s">
        <v>352</v>
      </c>
      <c r="M686" s="694" t="s">
        <v>915</v>
      </c>
      <c r="N686" s="694" t="s">
        <v>925</v>
      </c>
      <c r="O686" s="694">
        <v>2021.0</v>
      </c>
      <c r="P686" s="694" t="s">
        <v>919</v>
      </c>
      <c r="Q686" s="695" t="s">
        <v>112</v>
      </c>
      <c r="R686" s="696">
        <v>67.57942849</v>
      </c>
      <c r="S686" s="696">
        <v>40.93260096</v>
      </c>
      <c r="T686" s="697">
        <v>100.2756363</v>
      </c>
      <c r="AB686" s="722"/>
      <c r="AF686" s="669"/>
    </row>
    <row r="687">
      <c r="A687" s="675"/>
      <c r="B687" s="681" t="s">
        <v>31</v>
      </c>
      <c r="C687" s="682" t="s">
        <v>915</v>
      </c>
      <c r="D687" s="682" t="s">
        <v>926</v>
      </c>
      <c r="E687" s="682" t="s">
        <v>679</v>
      </c>
      <c r="F687" s="682">
        <v>2021.0</v>
      </c>
      <c r="G687" s="683">
        <v>6.22002E-4</v>
      </c>
      <c r="H687" s="683">
        <v>2.82142E-4</v>
      </c>
      <c r="I687" s="684">
        <v>0.001136469</v>
      </c>
      <c r="K687" s="693" t="s">
        <v>54</v>
      </c>
      <c r="L687" s="694" t="s">
        <v>352</v>
      </c>
      <c r="M687" s="694" t="s">
        <v>915</v>
      </c>
      <c r="N687" s="694" t="s">
        <v>927</v>
      </c>
      <c r="O687" s="694">
        <v>2021.0</v>
      </c>
      <c r="P687" s="694" t="s">
        <v>919</v>
      </c>
      <c r="Q687" s="695" t="s">
        <v>112</v>
      </c>
      <c r="R687" s="696">
        <v>129.8003173</v>
      </c>
      <c r="S687" s="696">
        <v>68.79294095</v>
      </c>
      <c r="T687" s="697">
        <v>198.9750822</v>
      </c>
      <c r="AB687" s="722"/>
      <c r="AF687" s="669"/>
    </row>
    <row r="688">
      <c r="A688" s="675"/>
      <c r="B688" s="681" t="s">
        <v>32</v>
      </c>
      <c r="C688" s="682" t="s">
        <v>915</v>
      </c>
      <c r="D688" s="682" t="s">
        <v>916</v>
      </c>
      <c r="E688" s="682" t="s">
        <v>679</v>
      </c>
      <c r="F688" s="682">
        <v>2021.0</v>
      </c>
      <c r="G688" s="683">
        <v>1.9E-5</v>
      </c>
      <c r="H688" s="683">
        <v>5.11E-6</v>
      </c>
      <c r="I688" s="684">
        <v>3.76E-5</v>
      </c>
      <c r="K688" s="693" t="s">
        <v>54</v>
      </c>
      <c r="L688" s="694" t="s">
        <v>352</v>
      </c>
      <c r="M688" s="694" t="s">
        <v>915</v>
      </c>
      <c r="N688" s="694" t="s">
        <v>926</v>
      </c>
      <c r="O688" s="694">
        <v>2021.0</v>
      </c>
      <c r="P688" s="694" t="s">
        <v>919</v>
      </c>
      <c r="Q688" s="695" t="s">
        <v>112</v>
      </c>
      <c r="R688" s="696">
        <v>582.2050582</v>
      </c>
      <c r="S688" s="696">
        <v>360.5543396</v>
      </c>
      <c r="T688" s="697">
        <v>850.4046335</v>
      </c>
      <c r="AB688" s="722"/>
      <c r="AF688" s="669"/>
    </row>
    <row r="689">
      <c r="A689" s="675"/>
      <c r="B689" s="681" t="s">
        <v>32</v>
      </c>
      <c r="C689" s="682" t="s">
        <v>915</v>
      </c>
      <c r="D689" s="682" t="s">
        <v>922</v>
      </c>
      <c r="E689" s="682" t="s">
        <v>679</v>
      </c>
      <c r="F689" s="682">
        <v>2021.0</v>
      </c>
      <c r="G689" s="683">
        <v>5.1E-6</v>
      </c>
      <c r="H689" s="683">
        <v>2.19E-6</v>
      </c>
      <c r="I689" s="684">
        <v>9.12E-6</v>
      </c>
      <c r="K689" s="693" t="s">
        <v>55</v>
      </c>
      <c r="L689" s="694" t="s">
        <v>352</v>
      </c>
      <c r="M689" s="694" t="s">
        <v>915</v>
      </c>
      <c r="N689" s="694" t="s">
        <v>918</v>
      </c>
      <c r="O689" s="694">
        <v>2021.0</v>
      </c>
      <c r="P689" s="694" t="s">
        <v>919</v>
      </c>
      <c r="Q689" s="695" t="s">
        <v>112</v>
      </c>
      <c r="R689" s="696">
        <v>138.5896109</v>
      </c>
      <c r="S689" s="696">
        <v>65.53513241</v>
      </c>
      <c r="T689" s="697">
        <v>233.4286298</v>
      </c>
      <c r="AB689" s="722"/>
      <c r="AF689" s="669"/>
    </row>
    <row r="690">
      <c r="A690" s="675"/>
      <c r="B690" s="681" t="s">
        <v>32</v>
      </c>
      <c r="C690" s="682" t="s">
        <v>915</v>
      </c>
      <c r="D690" s="682" t="s">
        <v>924</v>
      </c>
      <c r="E690" s="682" t="s">
        <v>679</v>
      </c>
      <c r="F690" s="682">
        <v>2021.0</v>
      </c>
      <c r="G690" s="683">
        <v>1.02012E-4</v>
      </c>
      <c r="H690" s="683">
        <v>1.67E-5</v>
      </c>
      <c r="I690" s="684">
        <v>2.05589E-4</v>
      </c>
      <c r="K690" s="693" t="s">
        <v>55</v>
      </c>
      <c r="L690" s="694" t="s">
        <v>352</v>
      </c>
      <c r="M690" s="694" t="s">
        <v>915</v>
      </c>
      <c r="N690" s="694" t="s">
        <v>923</v>
      </c>
      <c r="O690" s="694">
        <v>2021.0</v>
      </c>
      <c r="P690" s="694" t="s">
        <v>919</v>
      </c>
      <c r="Q690" s="695" t="s">
        <v>112</v>
      </c>
      <c r="R690" s="696">
        <v>143.4555733</v>
      </c>
      <c r="S690" s="696">
        <v>91.63333359</v>
      </c>
      <c r="T690" s="697">
        <v>211.5381933</v>
      </c>
      <c r="AB690" s="722"/>
      <c r="AF690" s="669"/>
    </row>
    <row r="691">
      <c r="A691" s="675"/>
      <c r="B691" s="681" t="s">
        <v>32</v>
      </c>
      <c r="C691" s="682" t="s">
        <v>915</v>
      </c>
      <c r="D691" s="682" t="s">
        <v>926</v>
      </c>
      <c r="E691" s="682" t="s">
        <v>679</v>
      </c>
      <c r="F691" s="682">
        <v>2021.0</v>
      </c>
      <c r="G691" s="683">
        <v>6.37374E-4</v>
      </c>
      <c r="H691" s="683">
        <v>2.72784E-4</v>
      </c>
      <c r="I691" s="684">
        <v>0.001142237</v>
      </c>
      <c r="K691" s="693" t="s">
        <v>55</v>
      </c>
      <c r="L691" s="694" t="s">
        <v>352</v>
      </c>
      <c r="M691" s="694" t="s">
        <v>915</v>
      </c>
      <c r="N691" s="694" t="s">
        <v>925</v>
      </c>
      <c r="O691" s="694">
        <v>2021.0</v>
      </c>
      <c r="P691" s="694" t="s">
        <v>919</v>
      </c>
      <c r="Q691" s="695" t="s">
        <v>112</v>
      </c>
      <c r="R691" s="696">
        <v>85.92015055</v>
      </c>
      <c r="S691" s="696">
        <v>55.24052337</v>
      </c>
      <c r="T691" s="697">
        <v>125.5604731</v>
      </c>
      <c r="AB691" s="722"/>
      <c r="AF691" s="669"/>
    </row>
    <row r="692">
      <c r="A692" s="675"/>
      <c r="B692" s="681" t="s">
        <v>33</v>
      </c>
      <c r="C692" s="682" t="s">
        <v>915</v>
      </c>
      <c r="D692" s="682" t="s">
        <v>916</v>
      </c>
      <c r="E692" s="682" t="s">
        <v>679</v>
      </c>
      <c r="F692" s="682">
        <v>2021.0</v>
      </c>
      <c r="G692" s="683">
        <v>5.92E-5</v>
      </c>
      <c r="H692" s="683">
        <v>1.95E-5</v>
      </c>
      <c r="I692" s="684">
        <v>1.11931E-4</v>
      </c>
      <c r="K692" s="693" t="s">
        <v>55</v>
      </c>
      <c r="L692" s="694" t="s">
        <v>352</v>
      </c>
      <c r="M692" s="694" t="s">
        <v>915</v>
      </c>
      <c r="N692" s="694" t="s">
        <v>927</v>
      </c>
      <c r="O692" s="694">
        <v>2021.0</v>
      </c>
      <c r="P692" s="694" t="s">
        <v>919</v>
      </c>
      <c r="Q692" s="695" t="s">
        <v>112</v>
      </c>
      <c r="R692" s="696">
        <v>125.7854169</v>
      </c>
      <c r="S692" s="696">
        <v>69.66832878</v>
      </c>
      <c r="T692" s="697">
        <v>191.439081</v>
      </c>
      <c r="AB692" s="722"/>
      <c r="AF692" s="669"/>
    </row>
    <row r="693">
      <c r="A693" s="675"/>
      <c r="B693" s="681" t="s">
        <v>33</v>
      </c>
      <c r="C693" s="682" t="s">
        <v>915</v>
      </c>
      <c r="D693" s="682" t="s">
        <v>922</v>
      </c>
      <c r="E693" s="682" t="s">
        <v>679</v>
      </c>
      <c r="F693" s="682">
        <v>2021.0</v>
      </c>
      <c r="G693" s="683">
        <v>1.35E-5</v>
      </c>
      <c r="H693" s="683">
        <v>5.88E-6</v>
      </c>
      <c r="I693" s="684">
        <v>2.43E-5</v>
      </c>
      <c r="K693" s="693" t="s">
        <v>55</v>
      </c>
      <c r="L693" s="694" t="s">
        <v>352</v>
      </c>
      <c r="M693" s="694" t="s">
        <v>915</v>
      </c>
      <c r="N693" s="694" t="s">
        <v>926</v>
      </c>
      <c r="O693" s="694">
        <v>2021.0</v>
      </c>
      <c r="P693" s="694" t="s">
        <v>919</v>
      </c>
      <c r="Q693" s="695" t="s">
        <v>112</v>
      </c>
      <c r="R693" s="696">
        <v>493.7507516</v>
      </c>
      <c r="S693" s="696">
        <v>316.7098815</v>
      </c>
      <c r="T693" s="697">
        <v>701.7047861</v>
      </c>
      <c r="AB693" s="722"/>
      <c r="AF693" s="669"/>
    </row>
    <row r="694">
      <c r="A694" s="675"/>
      <c r="B694" s="681" t="s">
        <v>33</v>
      </c>
      <c r="C694" s="682" t="s">
        <v>915</v>
      </c>
      <c r="D694" s="682" t="s">
        <v>924</v>
      </c>
      <c r="E694" s="682" t="s">
        <v>679</v>
      </c>
      <c r="F694" s="682">
        <v>2021.0</v>
      </c>
      <c r="G694" s="683">
        <v>2.59127E-4</v>
      </c>
      <c r="H694" s="683">
        <v>8.71E-5</v>
      </c>
      <c r="I694" s="684">
        <v>4.84576E-4</v>
      </c>
      <c r="K694" s="693" t="s">
        <v>56</v>
      </c>
      <c r="L694" s="694" t="s">
        <v>352</v>
      </c>
      <c r="M694" s="694" t="s">
        <v>915</v>
      </c>
      <c r="N694" s="694" t="s">
        <v>918</v>
      </c>
      <c r="O694" s="694">
        <v>2021.0</v>
      </c>
      <c r="P694" s="694" t="s">
        <v>919</v>
      </c>
      <c r="Q694" s="695" t="s">
        <v>112</v>
      </c>
      <c r="R694" s="696">
        <v>155.3376533</v>
      </c>
      <c r="S694" s="696">
        <v>65.22670438</v>
      </c>
      <c r="T694" s="697">
        <v>262.4180444</v>
      </c>
      <c r="AB694" s="722"/>
      <c r="AF694" s="669"/>
    </row>
    <row r="695">
      <c r="A695" s="675"/>
      <c r="B695" s="681" t="s">
        <v>33</v>
      </c>
      <c r="C695" s="682" t="s">
        <v>915</v>
      </c>
      <c r="D695" s="682" t="s">
        <v>926</v>
      </c>
      <c r="E695" s="682" t="s">
        <v>679</v>
      </c>
      <c r="F695" s="682">
        <v>2021.0</v>
      </c>
      <c r="G695" s="683">
        <v>0.001680384</v>
      </c>
      <c r="H695" s="683">
        <v>7.75834E-4</v>
      </c>
      <c r="I695" s="684">
        <v>0.00303605</v>
      </c>
      <c r="K695" s="693" t="s">
        <v>56</v>
      </c>
      <c r="L695" s="694" t="s">
        <v>352</v>
      </c>
      <c r="M695" s="694" t="s">
        <v>915</v>
      </c>
      <c r="N695" s="694" t="s">
        <v>923</v>
      </c>
      <c r="O695" s="694">
        <v>2021.0</v>
      </c>
      <c r="P695" s="694" t="s">
        <v>919</v>
      </c>
      <c r="Q695" s="695" t="s">
        <v>112</v>
      </c>
      <c r="R695" s="696">
        <v>307.9391204</v>
      </c>
      <c r="S695" s="696">
        <v>192.0174164</v>
      </c>
      <c r="T695" s="697">
        <v>471.9268933</v>
      </c>
      <c r="AB695" s="722"/>
      <c r="AF695" s="669"/>
    </row>
    <row r="696">
      <c r="A696" s="675"/>
      <c r="B696" s="681" t="s">
        <v>34</v>
      </c>
      <c r="C696" s="682" t="s">
        <v>915</v>
      </c>
      <c r="D696" s="682" t="s">
        <v>916</v>
      </c>
      <c r="E696" s="682" t="s">
        <v>679</v>
      </c>
      <c r="F696" s="682">
        <v>2021.0</v>
      </c>
      <c r="G696" s="683">
        <v>5.1E-5</v>
      </c>
      <c r="H696" s="683">
        <v>1.62E-5</v>
      </c>
      <c r="I696" s="684">
        <v>9.62E-5</v>
      </c>
      <c r="K696" s="693" t="s">
        <v>56</v>
      </c>
      <c r="L696" s="694" t="s">
        <v>352</v>
      </c>
      <c r="M696" s="694" t="s">
        <v>915</v>
      </c>
      <c r="N696" s="694" t="s">
        <v>925</v>
      </c>
      <c r="O696" s="694">
        <v>2021.0</v>
      </c>
      <c r="P696" s="694" t="s">
        <v>919</v>
      </c>
      <c r="Q696" s="695" t="s">
        <v>112</v>
      </c>
      <c r="R696" s="696">
        <v>119.6056327</v>
      </c>
      <c r="S696" s="696">
        <v>71.23766238</v>
      </c>
      <c r="T696" s="697">
        <v>183.142637</v>
      </c>
      <c r="AB696" s="722"/>
      <c r="AF696" s="669"/>
    </row>
    <row r="697">
      <c r="A697" s="675"/>
      <c r="B697" s="681" t="s">
        <v>34</v>
      </c>
      <c r="C697" s="682" t="s">
        <v>915</v>
      </c>
      <c r="D697" s="682" t="s">
        <v>922</v>
      </c>
      <c r="E697" s="682" t="s">
        <v>679</v>
      </c>
      <c r="F697" s="682">
        <v>2021.0</v>
      </c>
      <c r="G697" s="683">
        <v>1.28E-5</v>
      </c>
      <c r="H697" s="683">
        <v>5.48E-6</v>
      </c>
      <c r="I697" s="684">
        <v>2.26E-5</v>
      </c>
      <c r="K697" s="693" t="s">
        <v>56</v>
      </c>
      <c r="L697" s="694" t="s">
        <v>352</v>
      </c>
      <c r="M697" s="694" t="s">
        <v>915</v>
      </c>
      <c r="N697" s="694" t="s">
        <v>927</v>
      </c>
      <c r="O697" s="694">
        <v>2021.0</v>
      </c>
      <c r="P697" s="694" t="s">
        <v>919</v>
      </c>
      <c r="Q697" s="695" t="s">
        <v>112</v>
      </c>
      <c r="R697" s="696">
        <v>175.8942843</v>
      </c>
      <c r="S697" s="696">
        <v>87.20384873</v>
      </c>
      <c r="T697" s="697">
        <v>277.5767585</v>
      </c>
      <c r="AB697" s="722"/>
      <c r="AF697" s="669"/>
    </row>
    <row r="698">
      <c r="A698" s="675"/>
      <c r="B698" s="681" t="s">
        <v>34</v>
      </c>
      <c r="C698" s="682" t="s">
        <v>915</v>
      </c>
      <c r="D698" s="682" t="s">
        <v>924</v>
      </c>
      <c r="E698" s="682" t="s">
        <v>679</v>
      </c>
      <c r="F698" s="682">
        <v>2021.0</v>
      </c>
      <c r="G698" s="683">
        <v>2.46282E-4</v>
      </c>
      <c r="H698" s="683">
        <v>7.56E-5</v>
      </c>
      <c r="I698" s="684">
        <v>4.50125E-4</v>
      </c>
      <c r="K698" s="693" t="s">
        <v>56</v>
      </c>
      <c r="L698" s="694" t="s">
        <v>352</v>
      </c>
      <c r="M698" s="694" t="s">
        <v>915</v>
      </c>
      <c r="N698" s="694" t="s">
        <v>926</v>
      </c>
      <c r="O698" s="694">
        <v>2021.0</v>
      </c>
      <c r="P698" s="694" t="s">
        <v>919</v>
      </c>
      <c r="Q698" s="695" t="s">
        <v>112</v>
      </c>
      <c r="R698" s="696">
        <v>758.7766907</v>
      </c>
      <c r="S698" s="696">
        <v>475.6321595</v>
      </c>
      <c r="T698" s="697">
        <v>1103.311565</v>
      </c>
      <c r="AB698" s="722"/>
      <c r="AF698" s="669"/>
    </row>
    <row r="699">
      <c r="A699" s="675"/>
      <c r="B699" s="681" t="s">
        <v>34</v>
      </c>
      <c r="C699" s="682" t="s">
        <v>915</v>
      </c>
      <c r="D699" s="682" t="s">
        <v>926</v>
      </c>
      <c r="E699" s="682" t="s">
        <v>679</v>
      </c>
      <c r="F699" s="682">
        <v>2021.0</v>
      </c>
      <c r="G699" s="683">
        <v>0.001550532</v>
      </c>
      <c r="H699" s="683">
        <v>7.70872E-4</v>
      </c>
      <c r="I699" s="684">
        <v>0.002702741</v>
      </c>
      <c r="K699" s="693" t="s">
        <v>57</v>
      </c>
      <c r="L699" s="694" t="s">
        <v>352</v>
      </c>
      <c r="M699" s="694" t="s">
        <v>915</v>
      </c>
      <c r="N699" s="694" t="s">
        <v>918</v>
      </c>
      <c r="O699" s="694">
        <v>2021.0</v>
      </c>
      <c r="P699" s="694" t="s">
        <v>919</v>
      </c>
      <c r="Q699" s="695" t="s">
        <v>112</v>
      </c>
      <c r="R699" s="696">
        <v>639.2030806</v>
      </c>
      <c r="S699" s="696">
        <v>327.2909036</v>
      </c>
      <c r="T699" s="697">
        <v>1030.613355</v>
      </c>
      <c r="AB699" s="722"/>
      <c r="AF699" s="669"/>
    </row>
    <row r="700">
      <c r="A700" s="675"/>
      <c r="B700" s="681" t="s">
        <v>54</v>
      </c>
      <c r="C700" s="682" t="s">
        <v>915</v>
      </c>
      <c r="D700" s="682" t="s">
        <v>916</v>
      </c>
      <c r="E700" s="682" t="s">
        <v>679</v>
      </c>
      <c r="F700" s="682">
        <v>2021.0</v>
      </c>
      <c r="G700" s="683">
        <v>1.17E-5</v>
      </c>
      <c r="H700" s="683">
        <v>2.84E-6</v>
      </c>
      <c r="I700" s="684">
        <v>3.23E-5</v>
      </c>
      <c r="K700" s="693" t="s">
        <v>57</v>
      </c>
      <c r="L700" s="694" t="s">
        <v>352</v>
      </c>
      <c r="M700" s="694" t="s">
        <v>915</v>
      </c>
      <c r="N700" s="694" t="s">
        <v>923</v>
      </c>
      <c r="O700" s="694">
        <v>2021.0</v>
      </c>
      <c r="P700" s="694" t="s">
        <v>919</v>
      </c>
      <c r="Q700" s="695" t="s">
        <v>112</v>
      </c>
      <c r="R700" s="696">
        <v>498.6291859</v>
      </c>
      <c r="S700" s="696">
        <v>331.8579517</v>
      </c>
      <c r="T700" s="697">
        <v>736.7782361</v>
      </c>
      <c r="AB700" s="722"/>
      <c r="AF700" s="669"/>
    </row>
    <row r="701">
      <c r="A701" s="675"/>
      <c r="B701" s="681" t="s">
        <v>54</v>
      </c>
      <c r="C701" s="682" t="s">
        <v>915</v>
      </c>
      <c r="D701" s="682" t="s">
        <v>922</v>
      </c>
      <c r="E701" s="682" t="s">
        <v>679</v>
      </c>
      <c r="F701" s="682">
        <v>2021.0</v>
      </c>
      <c r="G701" s="683">
        <v>2.43E-6</v>
      </c>
      <c r="H701" s="683">
        <v>6.98E-7</v>
      </c>
      <c r="I701" s="684">
        <v>6.15E-6</v>
      </c>
      <c r="K701" s="693" t="s">
        <v>57</v>
      </c>
      <c r="L701" s="694" t="s">
        <v>352</v>
      </c>
      <c r="M701" s="694" t="s">
        <v>915</v>
      </c>
      <c r="N701" s="694" t="s">
        <v>925</v>
      </c>
      <c r="O701" s="694">
        <v>2021.0</v>
      </c>
      <c r="P701" s="694" t="s">
        <v>919</v>
      </c>
      <c r="Q701" s="695" t="s">
        <v>112</v>
      </c>
      <c r="R701" s="696">
        <v>245.6423763</v>
      </c>
      <c r="S701" s="696">
        <v>158.3354799</v>
      </c>
      <c r="T701" s="697">
        <v>352.6637997</v>
      </c>
      <c r="AB701" s="722"/>
      <c r="AF701" s="669"/>
    </row>
    <row r="702">
      <c r="A702" s="675"/>
      <c r="B702" s="681" t="s">
        <v>54</v>
      </c>
      <c r="C702" s="682" t="s">
        <v>915</v>
      </c>
      <c r="D702" s="682" t="s">
        <v>924</v>
      </c>
      <c r="E702" s="682" t="s">
        <v>679</v>
      </c>
      <c r="F702" s="682">
        <v>2021.0</v>
      </c>
      <c r="G702" s="683">
        <v>4.42E-5</v>
      </c>
      <c r="H702" s="683">
        <v>1.15E-5</v>
      </c>
      <c r="I702" s="684">
        <v>1.15541E-4</v>
      </c>
      <c r="K702" s="693" t="s">
        <v>57</v>
      </c>
      <c r="L702" s="694" t="s">
        <v>352</v>
      </c>
      <c r="M702" s="694" t="s">
        <v>915</v>
      </c>
      <c r="N702" s="694" t="s">
        <v>927</v>
      </c>
      <c r="O702" s="694">
        <v>2021.0</v>
      </c>
      <c r="P702" s="694" t="s">
        <v>919</v>
      </c>
      <c r="Q702" s="695" t="s">
        <v>112</v>
      </c>
      <c r="R702" s="696">
        <v>580.0256367</v>
      </c>
      <c r="S702" s="696">
        <v>344.8630076</v>
      </c>
      <c r="T702" s="697">
        <v>864.4365634</v>
      </c>
      <c r="AB702" s="722"/>
      <c r="AF702" s="669"/>
    </row>
    <row r="703">
      <c r="A703" s="675"/>
      <c r="B703" s="681" t="s">
        <v>54</v>
      </c>
      <c r="C703" s="682" t="s">
        <v>915</v>
      </c>
      <c r="D703" s="682" t="s">
        <v>926</v>
      </c>
      <c r="E703" s="682" t="s">
        <v>679</v>
      </c>
      <c r="F703" s="682">
        <v>2021.0</v>
      </c>
      <c r="G703" s="683">
        <v>2.45612E-4</v>
      </c>
      <c r="H703" s="683">
        <v>6.7E-5</v>
      </c>
      <c r="I703" s="684">
        <v>6.28379E-4</v>
      </c>
      <c r="K703" s="693" t="s">
        <v>57</v>
      </c>
      <c r="L703" s="694" t="s">
        <v>352</v>
      </c>
      <c r="M703" s="694" t="s">
        <v>915</v>
      </c>
      <c r="N703" s="694" t="s">
        <v>926</v>
      </c>
      <c r="O703" s="694">
        <v>2021.0</v>
      </c>
      <c r="P703" s="694" t="s">
        <v>919</v>
      </c>
      <c r="Q703" s="695" t="s">
        <v>112</v>
      </c>
      <c r="R703" s="696">
        <v>1963.50028</v>
      </c>
      <c r="S703" s="696">
        <v>1279.568411</v>
      </c>
      <c r="T703" s="697">
        <v>2730.681391</v>
      </c>
      <c r="AB703" s="722"/>
      <c r="AF703" s="669"/>
    </row>
    <row r="704">
      <c r="A704" s="675"/>
      <c r="B704" s="681" t="s">
        <v>55</v>
      </c>
      <c r="C704" s="682" t="s">
        <v>915</v>
      </c>
      <c r="D704" s="682" t="s">
        <v>916</v>
      </c>
      <c r="E704" s="682" t="s">
        <v>679</v>
      </c>
      <c r="F704" s="682">
        <v>2021.0</v>
      </c>
      <c r="G704" s="683">
        <v>1.24E-5</v>
      </c>
      <c r="H704" s="683">
        <v>4.25E-6</v>
      </c>
      <c r="I704" s="684">
        <v>2.37E-5</v>
      </c>
      <c r="K704" s="693" t="s">
        <v>58</v>
      </c>
      <c r="L704" s="694" t="s">
        <v>352</v>
      </c>
      <c r="M704" s="694" t="s">
        <v>915</v>
      </c>
      <c r="N704" s="694" t="s">
        <v>918</v>
      </c>
      <c r="O704" s="694">
        <v>2021.0</v>
      </c>
      <c r="P704" s="694" t="s">
        <v>919</v>
      </c>
      <c r="Q704" s="695" t="s">
        <v>112</v>
      </c>
      <c r="R704" s="696">
        <v>1990.91547</v>
      </c>
      <c r="S704" s="696">
        <v>1036.141049</v>
      </c>
      <c r="T704" s="697">
        <v>2997.005681</v>
      </c>
      <c r="AB704" s="722"/>
      <c r="AF704" s="669"/>
    </row>
    <row r="705">
      <c r="A705" s="675"/>
      <c r="B705" s="681" t="s">
        <v>55</v>
      </c>
      <c r="C705" s="682" t="s">
        <v>915</v>
      </c>
      <c r="D705" s="682" t="s">
        <v>922</v>
      </c>
      <c r="E705" s="682" t="s">
        <v>679</v>
      </c>
      <c r="F705" s="682">
        <v>2021.0</v>
      </c>
      <c r="G705" s="683">
        <v>3.1E-6</v>
      </c>
      <c r="H705" s="683">
        <v>1.39E-6</v>
      </c>
      <c r="I705" s="684">
        <v>5.3E-6</v>
      </c>
      <c r="K705" s="693" t="s">
        <v>58</v>
      </c>
      <c r="L705" s="694" t="s">
        <v>352</v>
      </c>
      <c r="M705" s="694" t="s">
        <v>915</v>
      </c>
      <c r="N705" s="694" t="s">
        <v>923</v>
      </c>
      <c r="O705" s="694">
        <v>2021.0</v>
      </c>
      <c r="P705" s="694" t="s">
        <v>919</v>
      </c>
      <c r="Q705" s="695" t="s">
        <v>112</v>
      </c>
      <c r="R705" s="696">
        <v>960.6172552</v>
      </c>
      <c r="S705" s="696">
        <v>629.0367074</v>
      </c>
      <c r="T705" s="697">
        <v>1377.077019</v>
      </c>
      <c r="AB705" s="722"/>
      <c r="AF705" s="669"/>
    </row>
    <row r="706">
      <c r="A706" s="675"/>
      <c r="B706" s="681" t="s">
        <v>55</v>
      </c>
      <c r="C706" s="682" t="s">
        <v>915</v>
      </c>
      <c r="D706" s="682" t="s">
        <v>924</v>
      </c>
      <c r="E706" s="682" t="s">
        <v>679</v>
      </c>
      <c r="F706" s="682">
        <v>2021.0</v>
      </c>
      <c r="G706" s="683">
        <v>4.89E-5</v>
      </c>
      <c r="H706" s="683">
        <v>2.17E-5</v>
      </c>
      <c r="I706" s="684">
        <v>8.79E-5</v>
      </c>
      <c r="K706" s="693" t="s">
        <v>58</v>
      </c>
      <c r="L706" s="694" t="s">
        <v>352</v>
      </c>
      <c r="M706" s="694" t="s">
        <v>915</v>
      </c>
      <c r="N706" s="694" t="s">
        <v>925</v>
      </c>
      <c r="O706" s="694">
        <v>2021.0</v>
      </c>
      <c r="P706" s="694" t="s">
        <v>919</v>
      </c>
      <c r="Q706" s="695" t="s">
        <v>112</v>
      </c>
      <c r="R706" s="696">
        <v>692.8217128</v>
      </c>
      <c r="S706" s="696">
        <v>461.2071448</v>
      </c>
      <c r="T706" s="697">
        <v>997.248135</v>
      </c>
      <c r="AB706" s="722"/>
      <c r="AF706" s="669"/>
    </row>
    <row r="707">
      <c r="A707" s="675"/>
      <c r="B707" s="681" t="s">
        <v>55</v>
      </c>
      <c r="C707" s="682" t="s">
        <v>915</v>
      </c>
      <c r="D707" s="682" t="s">
        <v>926</v>
      </c>
      <c r="E707" s="682" t="s">
        <v>679</v>
      </c>
      <c r="F707" s="682">
        <v>2021.0</v>
      </c>
      <c r="G707" s="683">
        <v>2.51249E-4</v>
      </c>
      <c r="H707" s="683">
        <v>1.04782E-4</v>
      </c>
      <c r="I707" s="684">
        <v>4.74749E-4</v>
      </c>
      <c r="K707" s="693" t="s">
        <v>58</v>
      </c>
      <c r="L707" s="694" t="s">
        <v>352</v>
      </c>
      <c r="M707" s="694" t="s">
        <v>915</v>
      </c>
      <c r="N707" s="694" t="s">
        <v>927</v>
      </c>
      <c r="O707" s="694">
        <v>2021.0</v>
      </c>
      <c r="P707" s="694" t="s">
        <v>919</v>
      </c>
      <c r="Q707" s="695" t="s">
        <v>112</v>
      </c>
      <c r="R707" s="696">
        <v>1737.551437</v>
      </c>
      <c r="S707" s="696">
        <v>1098.712768</v>
      </c>
      <c r="T707" s="697">
        <v>2490.461834</v>
      </c>
      <c r="AB707" s="722"/>
      <c r="AF707" s="669"/>
    </row>
    <row r="708">
      <c r="A708" s="675"/>
      <c r="B708" s="681" t="s">
        <v>56</v>
      </c>
      <c r="C708" s="682" t="s">
        <v>915</v>
      </c>
      <c r="D708" s="682" t="s">
        <v>916</v>
      </c>
      <c r="E708" s="682" t="s">
        <v>679</v>
      </c>
      <c r="F708" s="682">
        <v>2021.0</v>
      </c>
      <c r="G708" s="683">
        <v>4.67E-6</v>
      </c>
      <c r="H708" s="683">
        <v>1.54E-6</v>
      </c>
      <c r="I708" s="684">
        <v>9.98E-6</v>
      </c>
      <c r="K708" s="693" t="s">
        <v>58</v>
      </c>
      <c r="L708" s="694" t="s">
        <v>352</v>
      </c>
      <c r="M708" s="694" t="s">
        <v>915</v>
      </c>
      <c r="N708" s="694" t="s">
        <v>926</v>
      </c>
      <c r="O708" s="694">
        <v>2021.0</v>
      </c>
      <c r="P708" s="694" t="s">
        <v>919</v>
      </c>
      <c r="Q708" s="695" t="s">
        <v>112</v>
      </c>
      <c r="R708" s="696">
        <v>5381.905875</v>
      </c>
      <c r="S708" s="696">
        <v>3620.401917</v>
      </c>
      <c r="T708" s="697">
        <v>7413.485133</v>
      </c>
      <c r="AB708" s="722"/>
      <c r="AF708" s="669"/>
    </row>
    <row r="709">
      <c r="A709" s="675"/>
      <c r="B709" s="681" t="s">
        <v>56</v>
      </c>
      <c r="C709" s="682" t="s">
        <v>915</v>
      </c>
      <c r="D709" s="682" t="s">
        <v>922</v>
      </c>
      <c r="E709" s="682" t="s">
        <v>679</v>
      </c>
      <c r="F709" s="682">
        <v>2021.0</v>
      </c>
      <c r="G709" s="683">
        <v>1.08E-6</v>
      </c>
      <c r="H709" s="683">
        <v>4.48E-7</v>
      </c>
      <c r="I709" s="684">
        <v>2.04E-6</v>
      </c>
      <c r="K709" s="693" t="s">
        <v>7</v>
      </c>
      <c r="L709" s="694" t="s">
        <v>352</v>
      </c>
      <c r="M709" s="694" t="s">
        <v>915</v>
      </c>
      <c r="N709" s="694" t="s">
        <v>918</v>
      </c>
      <c r="O709" s="694">
        <v>2021.0</v>
      </c>
      <c r="P709" s="694" t="s">
        <v>919</v>
      </c>
      <c r="Q709" s="695" t="s">
        <v>112</v>
      </c>
      <c r="R709" s="696">
        <v>44082.64044</v>
      </c>
      <c r="S709" s="696">
        <v>25381.23526</v>
      </c>
      <c r="T709" s="697">
        <v>67289.34703</v>
      </c>
      <c r="AB709" s="722"/>
      <c r="AF709" s="669"/>
    </row>
    <row r="710">
      <c r="A710" s="675"/>
      <c r="B710" s="681" t="s">
        <v>56</v>
      </c>
      <c r="C710" s="682" t="s">
        <v>915</v>
      </c>
      <c r="D710" s="682" t="s">
        <v>924</v>
      </c>
      <c r="E710" s="682" t="s">
        <v>679</v>
      </c>
      <c r="F710" s="682">
        <v>2021.0</v>
      </c>
      <c r="G710" s="683">
        <v>1.83E-5</v>
      </c>
      <c r="H710" s="683">
        <v>6.36E-6</v>
      </c>
      <c r="I710" s="684">
        <v>3.78E-5</v>
      </c>
      <c r="K710" s="693" t="s">
        <v>7</v>
      </c>
      <c r="L710" s="694" t="s">
        <v>352</v>
      </c>
      <c r="M710" s="694" t="s">
        <v>915</v>
      </c>
      <c r="N710" s="694" t="s">
        <v>923</v>
      </c>
      <c r="O710" s="694">
        <v>2021.0</v>
      </c>
      <c r="P710" s="694" t="s">
        <v>919</v>
      </c>
      <c r="Q710" s="695" t="s">
        <v>112</v>
      </c>
      <c r="R710" s="696">
        <v>19392.2334</v>
      </c>
      <c r="S710" s="696">
        <v>15533.11096</v>
      </c>
      <c r="T710" s="697">
        <v>24395.813</v>
      </c>
      <c r="AB710" s="722"/>
      <c r="AF710" s="669"/>
    </row>
    <row r="711">
      <c r="A711" s="675"/>
      <c r="B711" s="681" t="s">
        <v>56</v>
      </c>
      <c r="C711" s="682" t="s">
        <v>915</v>
      </c>
      <c r="D711" s="682" t="s">
        <v>926</v>
      </c>
      <c r="E711" s="682" t="s">
        <v>679</v>
      </c>
      <c r="F711" s="682">
        <v>2021.0</v>
      </c>
      <c r="G711" s="683">
        <v>8.71E-5</v>
      </c>
      <c r="H711" s="683">
        <v>3.22E-5</v>
      </c>
      <c r="I711" s="684">
        <v>1.69226E-4</v>
      </c>
      <c r="K711" s="693" t="s">
        <v>7</v>
      </c>
      <c r="L711" s="694" t="s">
        <v>352</v>
      </c>
      <c r="M711" s="694" t="s">
        <v>915</v>
      </c>
      <c r="N711" s="694" t="s">
        <v>925</v>
      </c>
      <c r="O711" s="694">
        <v>2021.0</v>
      </c>
      <c r="P711" s="694" t="s">
        <v>919</v>
      </c>
      <c r="Q711" s="695" t="s">
        <v>112</v>
      </c>
      <c r="R711" s="696">
        <v>9913.113528</v>
      </c>
      <c r="S711" s="696">
        <v>7441.393307</v>
      </c>
      <c r="T711" s="697">
        <v>12462.20115</v>
      </c>
      <c r="AB711" s="722"/>
      <c r="AF711" s="669"/>
    </row>
    <row r="712">
      <c r="A712" s="675"/>
      <c r="B712" s="681" t="s">
        <v>57</v>
      </c>
      <c r="C712" s="682" t="s">
        <v>915</v>
      </c>
      <c r="D712" s="682" t="s">
        <v>916</v>
      </c>
      <c r="E712" s="682" t="s">
        <v>679</v>
      </c>
      <c r="F712" s="682">
        <v>2021.0</v>
      </c>
      <c r="G712" s="683">
        <v>1.51E-5</v>
      </c>
      <c r="H712" s="683">
        <v>4.6E-6</v>
      </c>
      <c r="I712" s="684">
        <v>2.95E-5</v>
      </c>
      <c r="K712" s="693" t="s">
        <v>7</v>
      </c>
      <c r="L712" s="694" t="s">
        <v>352</v>
      </c>
      <c r="M712" s="694" t="s">
        <v>915</v>
      </c>
      <c r="N712" s="694" t="s">
        <v>927</v>
      </c>
      <c r="O712" s="694">
        <v>2021.0</v>
      </c>
      <c r="P712" s="694" t="s">
        <v>919</v>
      </c>
      <c r="Q712" s="695" t="s">
        <v>112</v>
      </c>
      <c r="R712" s="696">
        <v>26836.21128</v>
      </c>
      <c r="S712" s="696">
        <v>18790.07729</v>
      </c>
      <c r="T712" s="697">
        <v>36086.61491</v>
      </c>
      <c r="AB712" s="722"/>
      <c r="AF712" s="669"/>
    </row>
    <row r="713">
      <c r="A713" s="675"/>
      <c r="B713" s="681" t="s">
        <v>57</v>
      </c>
      <c r="C713" s="682" t="s">
        <v>915</v>
      </c>
      <c r="D713" s="682" t="s">
        <v>922</v>
      </c>
      <c r="E713" s="682" t="s">
        <v>679</v>
      </c>
      <c r="F713" s="682">
        <v>2021.0</v>
      </c>
      <c r="G713" s="683">
        <v>3.03E-6</v>
      </c>
      <c r="H713" s="683">
        <v>1.38E-6</v>
      </c>
      <c r="I713" s="684">
        <v>5.46E-6</v>
      </c>
      <c r="K713" s="693" t="s">
        <v>7</v>
      </c>
      <c r="L713" s="694" t="s">
        <v>352</v>
      </c>
      <c r="M713" s="694" t="s">
        <v>915</v>
      </c>
      <c r="N713" s="694" t="s">
        <v>926</v>
      </c>
      <c r="O713" s="694">
        <v>2021.0</v>
      </c>
      <c r="P713" s="694" t="s">
        <v>919</v>
      </c>
      <c r="Q713" s="695" t="s">
        <v>112</v>
      </c>
      <c r="R713" s="696">
        <v>100224.1986</v>
      </c>
      <c r="S713" s="696">
        <v>69616.45813</v>
      </c>
      <c r="T713" s="697">
        <v>139233.6029</v>
      </c>
      <c r="AB713" s="722"/>
      <c r="AF713" s="669"/>
    </row>
    <row r="714">
      <c r="A714" s="675"/>
      <c r="B714" s="681" t="s">
        <v>57</v>
      </c>
      <c r="C714" s="682" t="s">
        <v>915</v>
      </c>
      <c r="D714" s="682" t="s">
        <v>924</v>
      </c>
      <c r="E714" s="682" t="s">
        <v>679</v>
      </c>
      <c r="F714" s="682">
        <v>2021.0</v>
      </c>
      <c r="G714" s="683">
        <v>5.95E-5</v>
      </c>
      <c r="H714" s="683">
        <v>2.27E-5</v>
      </c>
      <c r="I714" s="684">
        <v>1.07191E-4</v>
      </c>
      <c r="K714" s="693" t="s">
        <v>59</v>
      </c>
      <c r="L714" s="694" t="s">
        <v>352</v>
      </c>
      <c r="M714" s="694" t="s">
        <v>915</v>
      </c>
      <c r="N714" s="694" t="s">
        <v>918</v>
      </c>
      <c r="O714" s="694">
        <v>2021.0</v>
      </c>
      <c r="P714" s="694" t="s">
        <v>919</v>
      </c>
      <c r="Q714" s="695" t="s">
        <v>112</v>
      </c>
      <c r="R714" s="696">
        <v>721.1467663</v>
      </c>
      <c r="S714" s="696">
        <v>353.8907649</v>
      </c>
      <c r="T714" s="697">
        <v>1162.150503</v>
      </c>
      <c r="AB714" s="722"/>
      <c r="AF714" s="669"/>
    </row>
    <row r="715">
      <c r="A715" s="675"/>
      <c r="B715" s="681" t="s">
        <v>57</v>
      </c>
      <c r="C715" s="682" t="s">
        <v>915</v>
      </c>
      <c r="D715" s="682" t="s">
        <v>926</v>
      </c>
      <c r="E715" s="682" t="s">
        <v>679</v>
      </c>
      <c r="F715" s="682">
        <v>2021.0</v>
      </c>
      <c r="G715" s="683">
        <v>3.46226E-4</v>
      </c>
      <c r="H715" s="683">
        <v>1.49329E-4</v>
      </c>
      <c r="I715" s="684">
        <v>6.10795E-4</v>
      </c>
      <c r="K715" s="693" t="s">
        <v>59</v>
      </c>
      <c r="L715" s="694" t="s">
        <v>352</v>
      </c>
      <c r="M715" s="694" t="s">
        <v>915</v>
      </c>
      <c r="N715" s="694" t="s">
        <v>923</v>
      </c>
      <c r="O715" s="694">
        <v>2021.0</v>
      </c>
      <c r="P715" s="694" t="s">
        <v>919</v>
      </c>
      <c r="Q715" s="695" t="s">
        <v>112</v>
      </c>
      <c r="R715" s="696">
        <v>703.5287218</v>
      </c>
      <c r="S715" s="696">
        <v>447.5643044</v>
      </c>
      <c r="T715" s="697">
        <v>1068.462686</v>
      </c>
      <c r="AB715" s="722"/>
      <c r="AF715" s="669"/>
    </row>
    <row r="716">
      <c r="A716" s="675"/>
      <c r="B716" s="681" t="s">
        <v>58</v>
      </c>
      <c r="C716" s="682" t="s">
        <v>915</v>
      </c>
      <c r="D716" s="682" t="s">
        <v>916</v>
      </c>
      <c r="E716" s="682" t="s">
        <v>679</v>
      </c>
      <c r="F716" s="682">
        <v>2021.0</v>
      </c>
      <c r="G716" s="683">
        <v>2.22E-5</v>
      </c>
      <c r="H716" s="683">
        <v>4.65E-6</v>
      </c>
      <c r="I716" s="684">
        <v>4.73E-5</v>
      </c>
      <c r="K716" s="693" t="s">
        <v>59</v>
      </c>
      <c r="L716" s="694" t="s">
        <v>352</v>
      </c>
      <c r="M716" s="694" t="s">
        <v>915</v>
      </c>
      <c r="N716" s="694" t="s">
        <v>925</v>
      </c>
      <c r="O716" s="694">
        <v>2021.0</v>
      </c>
      <c r="P716" s="694" t="s">
        <v>919</v>
      </c>
      <c r="Q716" s="695" t="s">
        <v>112</v>
      </c>
      <c r="R716" s="696">
        <v>453.9959429</v>
      </c>
      <c r="S716" s="696">
        <v>294.8334153</v>
      </c>
      <c r="T716" s="697">
        <v>644.1959578</v>
      </c>
      <c r="AB716" s="722"/>
      <c r="AF716" s="669"/>
    </row>
    <row r="717">
      <c r="A717" s="675"/>
      <c r="B717" s="681" t="s">
        <v>58</v>
      </c>
      <c r="C717" s="682" t="s">
        <v>915</v>
      </c>
      <c r="D717" s="682" t="s">
        <v>922</v>
      </c>
      <c r="E717" s="682" t="s">
        <v>679</v>
      </c>
      <c r="F717" s="682">
        <v>2021.0</v>
      </c>
      <c r="G717" s="683">
        <v>5.11E-6</v>
      </c>
      <c r="H717" s="683">
        <v>2.05E-6</v>
      </c>
      <c r="I717" s="684">
        <v>9.75E-6</v>
      </c>
      <c r="K717" s="693" t="s">
        <v>59</v>
      </c>
      <c r="L717" s="694" t="s">
        <v>352</v>
      </c>
      <c r="M717" s="694" t="s">
        <v>915</v>
      </c>
      <c r="N717" s="694" t="s">
        <v>927</v>
      </c>
      <c r="O717" s="694">
        <v>2021.0</v>
      </c>
      <c r="P717" s="694" t="s">
        <v>919</v>
      </c>
      <c r="Q717" s="695" t="s">
        <v>112</v>
      </c>
      <c r="R717" s="696">
        <v>640.9356212</v>
      </c>
      <c r="S717" s="696">
        <v>351.53506</v>
      </c>
      <c r="T717" s="697">
        <v>980.8891286</v>
      </c>
      <c r="AB717" s="722"/>
      <c r="AF717" s="669"/>
    </row>
    <row r="718">
      <c r="A718" s="675"/>
      <c r="B718" s="681" t="s">
        <v>58</v>
      </c>
      <c r="C718" s="682" t="s">
        <v>915</v>
      </c>
      <c r="D718" s="682" t="s">
        <v>924</v>
      </c>
      <c r="E718" s="682" t="s">
        <v>679</v>
      </c>
      <c r="F718" s="682">
        <v>2021.0</v>
      </c>
      <c r="G718" s="683">
        <v>8.68E-5</v>
      </c>
      <c r="H718" s="683">
        <v>1.18E-5</v>
      </c>
      <c r="I718" s="684">
        <v>1.77007E-4</v>
      </c>
      <c r="K718" s="693" t="s">
        <v>59</v>
      </c>
      <c r="L718" s="694" t="s">
        <v>352</v>
      </c>
      <c r="M718" s="694" t="s">
        <v>915</v>
      </c>
      <c r="N718" s="694" t="s">
        <v>926</v>
      </c>
      <c r="O718" s="694">
        <v>2021.0</v>
      </c>
      <c r="P718" s="694" t="s">
        <v>919</v>
      </c>
      <c r="Q718" s="695" t="s">
        <v>112</v>
      </c>
      <c r="R718" s="696">
        <v>2519.607052</v>
      </c>
      <c r="S718" s="696">
        <v>1653.068915</v>
      </c>
      <c r="T718" s="697">
        <v>3574.921406</v>
      </c>
      <c r="AB718" s="722"/>
      <c r="AF718" s="669"/>
    </row>
    <row r="719">
      <c r="A719" s="675"/>
      <c r="B719" s="681" t="s">
        <v>58</v>
      </c>
      <c r="C719" s="682" t="s">
        <v>915</v>
      </c>
      <c r="D719" s="682" t="s">
        <v>926</v>
      </c>
      <c r="E719" s="682" t="s">
        <v>679</v>
      </c>
      <c r="F719" s="682">
        <v>2021.0</v>
      </c>
      <c r="G719" s="683">
        <v>5.47186E-4</v>
      </c>
      <c r="H719" s="683">
        <v>2.42686E-4</v>
      </c>
      <c r="I719" s="684">
        <v>9.75746E-4</v>
      </c>
      <c r="K719" s="693" t="s">
        <v>60</v>
      </c>
      <c r="L719" s="694" t="s">
        <v>352</v>
      </c>
      <c r="M719" s="694" t="s">
        <v>915</v>
      </c>
      <c r="N719" s="694" t="s">
        <v>918</v>
      </c>
      <c r="O719" s="694">
        <v>2021.0</v>
      </c>
      <c r="P719" s="694" t="s">
        <v>919</v>
      </c>
      <c r="Q719" s="695" t="s">
        <v>112</v>
      </c>
      <c r="R719" s="696">
        <v>340.267832</v>
      </c>
      <c r="S719" s="696">
        <v>154.9306642</v>
      </c>
      <c r="T719" s="697">
        <v>549.9490737</v>
      </c>
      <c r="AB719" s="722"/>
      <c r="AF719" s="669"/>
    </row>
    <row r="720">
      <c r="A720" s="675"/>
      <c r="B720" s="681" t="s">
        <v>7</v>
      </c>
      <c r="C720" s="682" t="s">
        <v>915</v>
      </c>
      <c r="D720" s="682" t="s">
        <v>916</v>
      </c>
      <c r="E720" s="682" t="s">
        <v>679</v>
      </c>
      <c r="F720" s="682">
        <v>2021.0</v>
      </c>
      <c r="G720" s="683">
        <v>2.04E-5</v>
      </c>
      <c r="H720" s="683">
        <v>7.87E-6</v>
      </c>
      <c r="I720" s="684">
        <v>3.62E-5</v>
      </c>
      <c r="K720" s="693" t="s">
        <v>60</v>
      </c>
      <c r="L720" s="694" t="s">
        <v>352</v>
      </c>
      <c r="M720" s="694" t="s">
        <v>915</v>
      </c>
      <c r="N720" s="694" t="s">
        <v>923</v>
      </c>
      <c r="O720" s="694">
        <v>2021.0</v>
      </c>
      <c r="P720" s="694" t="s">
        <v>919</v>
      </c>
      <c r="Q720" s="695" t="s">
        <v>112</v>
      </c>
      <c r="R720" s="696">
        <v>215.1188228</v>
      </c>
      <c r="S720" s="696">
        <v>138.8202042</v>
      </c>
      <c r="T720" s="697">
        <v>313.1029681</v>
      </c>
      <c r="AB720" s="722"/>
      <c r="AF720" s="669"/>
    </row>
    <row r="721">
      <c r="A721" s="675"/>
      <c r="B721" s="681" t="s">
        <v>7</v>
      </c>
      <c r="C721" s="682" t="s">
        <v>915</v>
      </c>
      <c r="D721" s="682" t="s">
        <v>922</v>
      </c>
      <c r="E721" s="682" t="s">
        <v>679</v>
      </c>
      <c r="F721" s="682">
        <v>2021.0</v>
      </c>
      <c r="G721" s="683">
        <v>4.15E-6</v>
      </c>
      <c r="H721" s="683">
        <v>2.06E-6</v>
      </c>
      <c r="I721" s="684">
        <v>6.93E-6</v>
      </c>
      <c r="K721" s="693" t="s">
        <v>60</v>
      </c>
      <c r="L721" s="694" t="s">
        <v>352</v>
      </c>
      <c r="M721" s="694" t="s">
        <v>915</v>
      </c>
      <c r="N721" s="694" t="s">
        <v>925</v>
      </c>
      <c r="O721" s="694">
        <v>2021.0</v>
      </c>
      <c r="P721" s="694" t="s">
        <v>919</v>
      </c>
      <c r="Q721" s="695" t="s">
        <v>112</v>
      </c>
      <c r="R721" s="696">
        <v>84.24543346</v>
      </c>
      <c r="S721" s="696">
        <v>49.29689933</v>
      </c>
      <c r="T721" s="697">
        <v>125.1167222</v>
      </c>
      <c r="AB721" s="722"/>
      <c r="AF721" s="669"/>
    </row>
    <row r="722">
      <c r="A722" s="675"/>
      <c r="B722" s="681" t="s">
        <v>7</v>
      </c>
      <c r="C722" s="682" t="s">
        <v>915</v>
      </c>
      <c r="D722" s="682" t="s">
        <v>924</v>
      </c>
      <c r="E722" s="682" t="s">
        <v>679</v>
      </c>
      <c r="F722" s="682">
        <v>2021.0</v>
      </c>
      <c r="G722" s="683">
        <v>1.04401E-4</v>
      </c>
      <c r="H722" s="683">
        <v>3.51E-5</v>
      </c>
      <c r="I722" s="684">
        <v>1.89642E-4</v>
      </c>
      <c r="K722" s="693" t="s">
        <v>60</v>
      </c>
      <c r="L722" s="694" t="s">
        <v>352</v>
      </c>
      <c r="M722" s="694" t="s">
        <v>915</v>
      </c>
      <c r="N722" s="694" t="s">
        <v>927</v>
      </c>
      <c r="O722" s="694">
        <v>2021.0</v>
      </c>
      <c r="P722" s="694" t="s">
        <v>919</v>
      </c>
      <c r="Q722" s="695" t="s">
        <v>112</v>
      </c>
      <c r="R722" s="696">
        <v>148.8935229</v>
      </c>
      <c r="S722" s="696">
        <v>74.76641715</v>
      </c>
      <c r="T722" s="697">
        <v>231.4321231</v>
      </c>
      <c r="AB722" s="722"/>
      <c r="AF722" s="669"/>
    </row>
    <row r="723">
      <c r="A723" s="675"/>
      <c r="B723" s="681" t="s">
        <v>7</v>
      </c>
      <c r="C723" s="682" t="s">
        <v>915</v>
      </c>
      <c r="D723" s="682" t="s">
        <v>926</v>
      </c>
      <c r="E723" s="682" t="s">
        <v>679</v>
      </c>
      <c r="F723" s="682">
        <v>2021.0</v>
      </c>
      <c r="G723" s="683">
        <v>6.99372E-4</v>
      </c>
      <c r="H723" s="683">
        <v>3.3937E-4</v>
      </c>
      <c r="I723" s="684">
        <v>0.001211875</v>
      </c>
      <c r="K723" s="693" t="s">
        <v>60</v>
      </c>
      <c r="L723" s="694" t="s">
        <v>352</v>
      </c>
      <c r="M723" s="694" t="s">
        <v>915</v>
      </c>
      <c r="N723" s="694" t="s">
        <v>926</v>
      </c>
      <c r="O723" s="694">
        <v>2021.0</v>
      </c>
      <c r="P723" s="694" t="s">
        <v>919</v>
      </c>
      <c r="Q723" s="695" t="s">
        <v>112</v>
      </c>
      <c r="R723" s="696">
        <v>788.5256111</v>
      </c>
      <c r="S723" s="696">
        <v>484.2352291</v>
      </c>
      <c r="T723" s="697">
        <v>1130.833017</v>
      </c>
      <c r="AB723" s="722"/>
      <c r="AF723" s="669"/>
    </row>
    <row r="724">
      <c r="A724" s="675"/>
      <c r="B724" s="681" t="s">
        <v>59</v>
      </c>
      <c r="C724" s="682" t="s">
        <v>915</v>
      </c>
      <c r="D724" s="682" t="s">
        <v>916</v>
      </c>
      <c r="E724" s="682" t="s">
        <v>679</v>
      </c>
      <c r="F724" s="682">
        <v>2021.0</v>
      </c>
      <c r="G724" s="683">
        <v>9.41E-6</v>
      </c>
      <c r="H724" s="683">
        <v>2.23E-6</v>
      </c>
      <c r="I724" s="684">
        <v>2.03E-5</v>
      </c>
      <c r="K724" s="693" t="s">
        <v>61</v>
      </c>
      <c r="L724" s="694" t="s">
        <v>352</v>
      </c>
      <c r="M724" s="694" t="s">
        <v>915</v>
      </c>
      <c r="N724" s="694" t="s">
        <v>918</v>
      </c>
      <c r="O724" s="694">
        <v>2021.0</v>
      </c>
      <c r="P724" s="694" t="s">
        <v>919</v>
      </c>
      <c r="Q724" s="695" t="s">
        <v>112</v>
      </c>
      <c r="R724" s="696">
        <v>125.9831121</v>
      </c>
      <c r="S724" s="696">
        <v>51.13419901</v>
      </c>
      <c r="T724" s="697">
        <v>220.2992649</v>
      </c>
      <c r="AB724" s="722"/>
      <c r="AF724" s="669"/>
    </row>
    <row r="725">
      <c r="A725" s="675"/>
      <c r="B725" s="681" t="s">
        <v>59</v>
      </c>
      <c r="C725" s="682" t="s">
        <v>915</v>
      </c>
      <c r="D725" s="682" t="s">
        <v>922</v>
      </c>
      <c r="E725" s="682" t="s">
        <v>679</v>
      </c>
      <c r="F725" s="682">
        <v>2021.0</v>
      </c>
      <c r="G725" s="683">
        <v>1.99E-6</v>
      </c>
      <c r="H725" s="683">
        <v>7.85E-7</v>
      </c>
      <c r="I725" s="684">
        <v>3.68E-6</v>
      </c>
      <c r="K725" s="693" t="s">
        <v>61</v>
      </c>
      <c r="L725" s="694" t="s">
        <v>352</v>
      </c>
      <c r="M725" s="694" t="s">
        <v>915</v>
      </c>
      <c r="N725" s="694" t="s">
        <v>923</v>
      </c>
      <c r="O725" s="694">
        <v>2021.0</v>
      </c>
      <c r="P725" s="694" t="s">
        <v>919</v>
      </c>
      <c r="Q725" s="695" t="s">
        <v>112</v>
      </c>
      <c r="R725" s="696">
        <v>185.6929629</v>
      </c>
      <c r="S725" s="696">
        <v>119.9727998</v>
      </c>
      <c r="T725" s="697">
        <v>270.5552524</v>
      </c>
      <c r="AB725" s="722"/>
      <c r="AF725" s="669"/>
    </row>
    <row r="726">
      <c r="A726" s="675"/>
      <c r="B726" s="681" t="s">
        <v>59</v>
      </c>
      <c r="C726" s="682" t="s">
        <v>915</v>
      </c>
      <c r="D726" s="682" t="s">
        <v>924</v>
      </c>
      <c r="E726" s="682" t="s">
        <v>679</v>
      </c>
      <c r="F726" s="682">
        <v>2021.0</v>
      </c>
      <c r="G726" s="683">
        <v>3.22E-5</v>
      </c>
      <c r="H726" s="683">
        <v>9.48E-6</v>
      </c>
      <c r="I726" s="684">
        <v>6.32E-5</v>
      </c>
      <c r="K726" s="693" t="s">
        <v>61</v>
      </c>
      <c r="L726" s="694" t="s">
        <v>352</v>
      </c>
      <c r="M726" s="694" t="s">
        <v>915</v>
      </c>
      <c r="N726" s="694" t="s">
        <v>925</v>
      </c>
      <c r="O726" s="694">
        <v>2021.0</v>
      </c>
      <c r="P726" s="694" t="s">
        <v>919</v>
      </c>
      <c r="Q726" s="695" t="s">
        <v>112</v>
      </c>
      <c r="R726" s="696">
        <v>98.76779349</v>
      </c>
      <c r="S726" s="696">
        <v>56.0217903</v>
      </c>
      <c r="T726" s="697">
        <v>143.5341922</v>
      </c>
      <c r="AB726" s="722"/>
      <c r="AF726" s="669"/>
    </row>
    <row r="727">
      <c r="A727" s="675"/>
      <c r="B727" s="681" t="s">
        <v>59</v>
      </c>
      <c r="C727" s="682" t="s">
        <v>915</v>
      </c>
      <c r="D727" s="682" t="s">
        <v>926</v>
      </c>
      <c r="E727" s="682" t="s">
        <v>679</v>
      </c>
      <c r="F727" s="682">
        <v>2021.0</v>
      </c>
      <c r="G727" s="683">
        <v>1.83463E-4</v>
      </c>
      <c r="H727" s="683">
        <v>8.09E-5</v>
      </c>
      <c r="I727" s="684">
        <v>3.35432E-4</v>
      </c>
      <c r="K727" s="693" t="s">
        <v>61</v>
      </c>
      <c r="L727" s="694" t="s">
        <v>352</v>
      </c>
      <c r="M727" s="694" t="s">
        <v>915</v>
      </c>
      <c r="N727" s="694" t="s">
        <v>927</v>
      </c>
      <c r="O727" s="694">
        <v>2021.0</v>
      </c>
      <c r="P727" s="694" t="s">
        <v>919</v>
      </c>
      <c r="Q727" s="695" t="s">
        <v>112</v>
      </c>
      <c r="R727" s="696">
        <v>111.8002535</v>
      </c>
      <c r="S727" s="696">
        <v>53.69480848</v>
      </c>
      <c r="T727" s="697">
        <v>176.6348267</v>
      </c>
      <c r="AB727" s="722"/>
      <c r="AF727" s="669"/>
    </row>
    <row r="728">
      <c r="A728" s="675"/>
      <c r="B728" s="681" t="s">
        <v>60</v>
      </c>
      <c r="C728" s="682" t="s">
        <v>915</v>
      </c>
      <c r="D728" s="682" t="s">
        <v>916</v>
      </c>
      <c r="E728" s="682" t="s">
        <v>679</v>
      </c>
      <c r="F728" s="682">
        <v>2021.0</v>
      </c>
      <c r="G728" s="683">
        <v>8.05E-6</v>
      </c>
      <c r="H728" s="683">
        <v>2.63E-6</v>
      </c>
      <c r="I728" s="684">
        <v>1.69E-5</v>
      </c>
      <c r="K728" s="693" t="s">
        <v>61</v>
      </c>
      <c r="L728" s="694" t="s">
        <v>352</v>
      </c>
      <c r="M728" s="694" t="s">
        <v>915</v>
      </c>
      <c r="N728" s="694" t="s">
        <v>926</v>
      </c>
      <c r="O728" s="694">
        <v>2021.0</v>
      </c>
      <c r="P728" s="694" t="s">
        <v>919</v>
      </c>
      <c r="Q728" s="695" t="s">
        <v>112</v>
      </c>
      <c r="R728" s="696">
        <v>522.2441219</v>
      </c>
      <c r="S728" s="696">
        <v>327.0295807</v>
      </c>
      <c r="T728" s="697">
        <v>742.2558607</v>
      </c>
      <c r="AB728" s="722"/>
      <c r="AF728" s="669"/>
    </row>
    <row r="729">
      <c r="A729" s="675"/>
      <c r="B729" s="681" t="s">
        <v>60</v>
      </c>
      <c r="C729" s="682" t="s">
        <v>915</v>
      </c>
      <c r="D729" s="682" t="s">
        <v>922</v>
      </c>
      <c r="E729" s="682" t="s">
        <v>679</v>
      </c>
      <c r="F729" s="682">
        <v>2021.0</v>
      </c>
      <c r="G729" s="683">
        <v>1.67E-6</v>
      </c>
      <c r="H729" s="683">
        <v>7.24E-7</v>
      </c>
      <c r="I729" s="684">
        <v>3.08E-6</v>
      </c>
      <c r="K729" s="693" t="s">
        <v>63</v>
      </c>
      <c r="L729" s="694" t="s">
        <v>352</v>
      </c>
      <c r="M729" s="694" t="s">
        <v>915</v>
      </c>
      <c r="N729" s="694" t="s">
        <v>918</v>
      </c>
      <c r="O729" s="694">
        <v>2021.0</v>
      </c>
      <c r="P729" s="694" t="s">
        <v>919</v>
      </c>
      <c r="Q729" s="695" t="s">
        <v>112</v>
      </c>
      <c r="R729" s="696">
        <v>281.1669875</v>
      </c>
      <c r="S729" s="696">
        <v>135.6683561</v>
      </c>
      <c r="T729" s="697">
        <v>471.7757712</v>
      </c>
      <c r="AB729" s="722"/>
      <c r="AF729" s="669"/>
    </row>
    <row r="730">
      <c r="A730" s="675"/>
      <c r="B730" s="681" t="s">
        <v>60</v>
      </c>
      <c r="C730" s="682" t="s">
        <v>915</v>
      </c>
      <c r="D730" s="682" t="s">
        <v>924</v>
      </c>
      <c r="E730" s="682" t="s">
        <v>679</v>
      </c>
      <c r="F730" s="682">
        <v>2021.0</v>
      </c>
      <c r="G730" s="683">
        <v>3.34E-5</v>
      </c>
      <c r="H730" s="683">
        <v>1.38E-5</v>
      </c>
      <c r="I730" s="684">
        <v>6.36E-5</v>
      </c>
      <c r="K730" s="693" t="s">
        <v>63</v>
      </c>
      <c r="L730" s="694" t="s">
        <v>352</v>
      </c>
      <c r="M730" s="694" t="s">
        <v>915</v>
      </c>
      <c r="N730" s="694" t="s">
        <v>923</v>
      </c>
      <c r="O730" s="694">
        <v>2021.0</v>
      </c>
      <c r="P730" s="694" t="s">
        <v>919</v>
      </c>
      <c r="Q730" s="695" t="s">
        <v>112</v>
      </c>
      <c r="R730" s="696">
        <v>254.4659791</v>
      </c>
      <c r="S730" s="696">
        <v>158.7022707</v>
      </c>
      <c r="T730" s="697">
        <v>394.3692964</v>
      </c>
      <c r="AB730" s="722"/>
      <c r="AF730" s="669"/>
    </row>
    <row r="731">
      <c r="A731" s="675"/>
      <c r="B731" s="681" t="s">
        <v>60</v>
      </c>
      <c r="C731" s="682" t="s">
        <v>915</v>
      </c>
      <c r="D731" s="682" t="s">
        <v>926</v>
      </c>
      <c r="E731" s="682" t="s">
        <v>679</v>
      </c>
      <c r="F731" s="682">
        <v>2021.0</v>
      </c>
      <c r="G731" s="683">
        <v>1.7625E-4</v>
      </c>
      <c r="H731" s="683">
        <v>6.9E-5</v>
      </c>
      <c r="I731" s="684">
        <v>3.31673E-4</v>
      </c>
      <c r="K731" s="693" t="s">
        <v>63</v>
      </c>
      <c r="L731" s="694" t="s">
        <v>352</v>
      </c>
      <c r="M731" s="694" t="s">
        <v>915</v>
      </c>
      <c r="N731" s="694" t="s">
        <v>925</v>
      </c>
      <c r="O731" s="694">
        <v>2021.0</v>
      </c>
      <c r="P731" s="694" t="s">
        <v>919</v>
      </c>
      <c r="Q731" s="695" t="s">
        <v>112</v>
      </c>
      <c r="R731" s="696">
        <v>35.58003873</v>
      </c>
      <c r="S731" s="696">
        <v>17.06211312</v>
      </c>
      <c r="T731" s="697">
        <v>55.92825723</v>
      </c>
      <c r="AB731" s="722"/>
      <c r="AF731" s="669"/>
    </row>
    <row r="732">
      <c r="A732" s="675"/>
      <c r="B732" s="681" t="s">
        <v>61</v>
      </c>
      <c r="C732" s="682" t="s">
        <v>915</v>
      </c>
      <c r="D732" s="682" t="s">
        <v>916</v>
      </c>
      <c r="E732" s="682" t="s">
        <v>679</v>
      </c>
      <c r="F732" s="682">
        <v>2021.0</v>
      </c>
      <c r="G732" s="683">
        <v>5.0E-6</v>
      </c>
      <c r="H732" s="683">
        <v>1.42E-6</v>
      </c>
      <c r="I732" s="684">
        <v>1.07E-5</v>
      </c>
      <c r="K732" s="693" t="s">
        <v>63</v>
      </c>
      <c r="L732" s="694" t="s">
        <v>352</v>
      </c>
      <c r="M732" s="694" t="s">
        <v>915</v>
      </c>
      <c r="N732" s="694" t="s">
        <v>927</v>
      </c>
      <c r="O732" s="694">
        <v>2021.0</v>
      </c>
      <c r="P732" s="694" t="s">
        <v>919</v>
      </c>
      <c r="Q732" s="695" t="s">
        <v>112</v>
      </c>
      <c r="R732" s="696">
        <v>159.0905601</v>
      </c>
      <c r="S732" s="696">
        <v>82.671383</v>
      </c>
      <c r="T732" s="697">
        <v>251.9712335</v>
      </c>
      <c r="AB732" s="722"/>
      <c r="AF732" s="669"/>
    </row>
    <row r="733">
      <c r="A733" s="675"/>
      <c r="B733" s="681" t="s">
        <v>61</v>
      </c>
      <c r="C733" s="682" t="s">
        <v>915</v>
      </c>
      <c r="D733" s="682" t="s">
        <v>922</v>
      </c>
      <c r="E733" s="682" t="s">
        <v>679</v>
      </c>
      <c r="F733" s="682">
        <v>2021.0</v>
      </c>
      <c r="G733" s="683">
        <v>1.2E-6</v>
      </c>
      <c r="H733" s="683">
        <v>4.6E-7</v>
      </c>
      <c r="I733" s="684">
        <v>2.21E-6</v>
      </c>
      <c r="K733" s="693" t="s">
        <v>63</v>
      </c>
      <c r="L733" s="694" t="s">
        <v>352</v>
      </c>
      <c r="M733" s="694" t="s">
        <v>915</v>
      </c>
      <c r="N733" s="694" t="s">
        <v>926</v>
      </c>
      <c r="O733" s="694">
        <v>2021.0</v>
      </c>
      <c r="P733" s="694" t="s">
        <v>919</v>
      </c>
      <c r="Q733" s="695" t="s">
        <v>112</v>
      </c>
      <c r="R733" s="696">
        <v>730.3035654</v>
      </c>
      <c r="S733" s="696">
        <v>462.8605936</v>
      </c>
      <c r="T733" s="697">
        <v>1116.403879</v>
      </c>
      <c r="AB733" s="722"/>
      <c r="AF733" s="669"/>
    </row>
    <row r="734">
      <c r="A734" s="675"/>
      <c r="B734" s="681" t="s">
        <v>61</v>
      </c>
      <c r="C734" s="682" t="s">
        <v>915</v>
      </c>
      <c r="D734" s="682" t="s">
        <v>924</v>
      </c>
      <c r="E734" s="682" t="s">
        <v>679</v>
      </c>
      <c r="F734" s="682">
        <v>2021.0</v>
      </c>
      <c r="G734" s="683">
        <v>1.93E-5</v>
      </c>
      <c r="H734" s="683">
        <v>6.41E-6</v>
      </c>
      <c r="I734" s="684">
        <v>3.95E-5</v>
      </c>
      <c r="K734" s="693" t="s">
        <v>64</v>
      </c>
      <c r="L734" s="694" t="s">
        <v>352</v>
      </c>
      <c r="M734" s="694" t="s">
        <v>915</v>
      </c>
      <c r="N734" s="694" t="s">
        <v>918</v>
      </c>
      <c r="O734" s="694">
        <v>2021.0</v>
      </c>
      <c r="P734" s="694" t="s">
        <v>919</v>
      </c>
      <c r="Q734" s="695" t="s">
        <v>112</v>
      </c>
      <c r="R734" s="696">
        <v>773.1823195</v>
      </c>
      <c r="S734" s="696">
        <v>337.470437</v>
      </c>
      <c r="T734" s="697">
        <v>1277.385711</v>
      </c>
      <c r="AB734" s="722"/>
      <c r="AF734" s="669"/>
    </row>
    <row r="735">
      <c r="A735" s="675"/>
      <c r="B735" s="681" t="s">
        <v>61</v>
      </c>
      <c r="C735" s="682" t="s">
        <v>915</v>
      </c>
      <c r="D735" s="682" t="s">
        <v>926</v>
      </c>
      <c r="E735" s="682" t="s">
        <v>679</v>
      </c>
      <c r="F735" s="682">
        <v>2021.0</v>
      </c>
      <c r="G735" s="683">
        <v>1.0284E-4</v>
      </c>
      <c r="H735" s="683">
        <v>3.77E-5</v>
      </c>
      <c r="I735" s="684">
        <v>1.99422E-4</v>
      </c>
      <c r="K735" s="693" t="s">
        <v>64</v>
      </c>
      <c r="L735" s="694" t="s">
        <v>352</v>
      </c>
      <c r="M735" s="694" t="s">
        <v>915</v>
      </c>
      <c r="N735" s="694" t="s">
        <v>923</v>
      </c>
      <c r="O735" s="694">
        <v>2021.0</v>
      </c>
      <c r="P735" s="694" t="s">
        <v>919</v>
      </c>
      <c r="Q735" s="695" t="s">
        <v>112</v>
      </c>
      <c r="R735" s="696">
        <v>803.0921082</v>
      </c>
      <c r="S735" s="696">
        <v>512.1940674</v>
      </c>
      <c r="T735" s="697">
        <v>1162.259319</v>
      </c>
      <c r="AB735" s="722"/>
      <c r="AF735" s="669"/>
    </row>
    <row r="736">
      <c r="A736" s="675"/>
      <c r="B736" s="681" t="s">
        <v>63</v>
      </c>
      <c r="C736" s="682" t="s">
        <v>915</v>
      </c>
      <c r="D736" s="682" t="s">
        <v>916</v>
      </c>
      <c r="E736" s="682" t="s">
        <v>679</v>
      </c>
      <c r="F736" s="682">
        <v>2021.0</v>
      </c>
      <c r="G736" s="683">
        <v>7.49E-6</v>
      </c>
      <c r="H736" s="683">
        <v>2.34E-6</v>
      </c>
      <c r="I736" s="684">
        <v>1.53E-5</v>
      </c>
      <c r="K736" s="693" t="s">
        <v>64</v>
      </c>
      <c r="L736" s="694" t="s">
        <v>352</v>
      </c>
      <c r="M736" s="694" t="s">
        <v>915</v>
      </c>
      <c r="N736" s="694" t="s">
        <v>925</v>
      </c>
      <c r="O736" s="694">
        <v>2021.0</v>
      </c>
      <c r="P736" s="694" t="s">
        <v>919</v>
      </c>
      <c r="Q736" s="695" t="s">
        <v>112</v>
      </c>
      <c r="R736" s="696">
        <v>449.0839803</v>
      </c>
      <c r="S736" s="696">
        <v>275.6223338</v>
      </c>
      <c r="T736" s="697">
        <v>661.6264568</v>
      </c>
      <c r="AB736" s="722"/>
      <c r="AF736" s="669"/>
    </row>
    <row r="737">
      <c r="A737" s="675"/>
      <c r="B737" s="681" t="s">
        <v>63</v>
      </c>
      <c r="C737" s="682" t="s">
        <v>915</v>
      </c>
      <c r="D737" s="682" t="s">
        <v>922</v>
      </c>
      <c r="E737" s="682" t="s">
        <v>679</v>
      </c>
      <c r="F737" s="682">
        <v>2021.0</v>
      </c>
      <c r="G737" s="683">
        <v>1.74E-6</v>
      </c>
      <c r="H737" s="683">
        <v>7.67E-7</v>
      </c>
      <c r="I737" s="684">
        <v>3.12E-6</v>
      </c>
      <c r="K737" s="693" t="s">
        <v>64</v>
      </c>
      <c r="L737" s="694" t="s">
        <v>352</v>
      </c>
      <c r="M737" s="694" t="s">
        <v>915</v>
      </c>
      <c r="N737" s="694" t="s">
        <v>927</v>
      </c>
      <c r="O737" s="694">
        <v>2021.0</v>
      </c>
      <c r="P737" s="694" t="s">
        <v>919</v>
      </c>
      <c r="Q737" s="695" t="s">
        <v>112</v>
      </c>
      <c r="R737" s="696">
        <v>1100.900828</v>
      </c>
      <c r="S737" s="696">
        <v>580.6385501</v>
      </c>
      <c r="T737" s="697">
        <v>1703.453089</v>
      </c>
      <c r="AB737" s="722"/>
      <c r="AF737" s="669"/>
    </row>
    <row r="738">
      <c r="A738" s="675"/>
      <c r="B738" s="681" t="s">
        <v>63</v>
      </c>
      <c r="C738" s="682" t="s">
        <v>915</v>
      </c>
      <c r="D738" s="682" t="s">
        <v>924</v>
      </c>
      <c r="E738" s="682" t="s">
        <v>679</v>
      </c>
      <c r="F738" s="682">
        <v>2021.0</v>
      </c>
      <c r="G738" s="683">
        <v>2.84E-5</v>
      </c>
      <c r="H738" s="683">
        <v>1.24E-5</v>
      </c>
      <c r="I738" s="684">
        <v>5.28E-5</v>
      </c>
      <c r="K738" s="693" t="s">
        <v>64</v>
      </c>
      <c r="L738" s="694" t="s">
        <v>352</v>
      </c>
      <c r="M738" s="694" t="s">
        <v>915</v>
      </c>
      <c r="N738" s="694" t="s">
        <v>926</v>
      </c>
      <c r="O738" s="694">
        <v>2021.0</v>
      </c>
      <c r="P738" s="694" t="s">
        <v>919</v>
      </c>
      <c r="Q738" s="695" t="s">
        <v>112</v>
      </c>
      <c r="R738" s="696">
        <v>3126.259236</v>
      </c>
      <c r="S738" s="696">
        <v>1954.480079</v>
      </c>
      <c r="T738" s="697">
        <v>4403.091818</v>
      </c>
      <c r="AB738" s="722"/>
      <c r="AF738" s="669"/>
    </row>
    <row r="739">
      <c r="A739" s="675"/>
      <c r="B739" s="681" t="s">
        <v>63</v>
      </c>
      <c r="C739" s="682" t="s">
        <v>915</v>
      </c>
      <c r="D739" s="682" t="s">
        <v>926</v>
      </c>
      <c r="E739" s="682" t="s">
        <v>679</v>
      </c>
      <c r="F739" s="682">
        <v>2021.0</v>
      </c>
      <c r="G739" s="683">
        <v>1.7111E-4</v>
      </c>
      <c r="H739" s="683">
        <v>6.93E-5</v>
      </c>
      <c r="I739" s="684">
        <v>3.21554E-4</v>
      </c>
      <c r="K739" s="693" t="s">
        <v>65</v>
      </c>
      <c r="L739" s="694" t="s">
        <v>352</v>
      </c>
      <c r="M739" s="694" t="s">
        <v>915</v>
      </c>
      <c r="N739" s="694" t="s">
        <v>918</v>
      </c>
      <c r="O739" s="694">
        <v>2021.0</v>
      </c>
      <c r="P739" s="694" t="s">
        <v>919</v>
      </c>
      <c r="Q739" s="695" t="s">
        <v>112</v>
      </c>
      <c r="R739" s="696">
        <v>286.18421</v>
      </c>
      <c r="S739" s="696">
        <v>119.8220617</v>
      </c>
      <c r="T739" s="697">
        <v>506.7038475</v>
      </c>
      <c r="AB739" s="722"/>
      <c r="AF739" s="669"/>
    </row>
    <row r="740">
      <c r="A740" s="675"/>
      <c r="B740" s="681" t="s">
        <v>64</v>
      </c>
      <c r="C740" s="682" t="s">
        <v>915</v>
      </c>
      <c r="D740" s="682" t="s">
        <v>916</v>
      </c>
      <c r="E740" s="682" t="s">
        <v>679</v>
      </c>
      <c r="F740" s="682">
        <v>2021.0</v>
      </c>
      <c r="G740" s="683">
        <v>1.34E-5</v>
      </c>
      <c r="H740" s="683">
        <v>3.71E-6</v>
      </c>
      <c r="I740" s="684">
        <v>2.77E-5</v>
      </c>
      <c r="K740" s="693" t="s">
        <v>65</v>
      </c>
      <c r="L740" s="694" t="s">
        <v>352</v>
      </c>
      <c r="M740" s="694" t="s">
        <v>915</v>
      </c>
      <c r="N740" s="694" t="s">
        <v>923</v>
      </c>
      <c r="O740" s="694">
        <v>2021.0</v>
      </c>
      <c r="P740" s="694" t="s">
        <v>919</v>
      </c>
      <c r="Q740" s="695" t="s">
        <v>112</v>
      </c>
      <c r="R740" s="696">
        <v>215.7573264</v>
      </c>
      <c r="S740" s="696">
        <v>140.4847642</v>
      </c>
      <c r="T740" s="697">
        <v>318.7640005</v>
      </c>
      <c r="AB740" s="722"/>
      <c r="AF740" s="669"/>
    </row>
    <row r="741">
      <c r="A741" s="675"/>
      <c r="B741" s="681" t="s">
        <v>64</v>
      </c>
      <c r="C741" s="682" t="s">
        <v>915</v>
      </c>
      <c r="D741" s="682" t="s">
        <v>922</v>
      </c>
      <c r="E741" s="682" t="s">
        <v>679</v>
      </c>
      <c r="F741" s="682">
        <v>2021.0</v>
      </c>
      <c r="G741" s="683">
        <v>2.55E-6</v>
      </c>
      <c r="H741" s="683">
        <v>1.06E-6</v>
      </c>
      <c r="I741" s="684">
        <v>4.7E-6</v>
      </c>
      <c r="K741" s="693" t="s">
        <v>65</v>
      </c>
      <c r="L741" s="694" t="s">
        <v>352</v>
      </c>
      <c r="M741" s="694" t="s">
        <v>915</v>
      </c>
      <c r="N741" s="694" t="s">
        <v>925</v>
      </c>
      <c r="O741" s="694">
        <v>2021.0</v>
      </c>
      <c r="P741" s="694" t="s">
        <v>919</v>
      </c>
      <c r="Q741" s="695" t="s">
        <v>112</v>
      </c>
      <c r="R741" s="696">
        <v>77.82999324</v>
      </c>
      <c r="S741" s="696">
        <v>45.12270364</v>
      </c>
      <c r="T741" s="697">
        <v>113.4685613</v>
      </c>
      <c r="AB741" s="722"/>
      <c r="AF741" s="669"/>
    </row>
    <row r="742">
      <c r="A742" s="675"/>
      <c r="B742" s="681" t="s">
        <v>64</v>
      </c>
      <c r="C742" s="682" t="s">
        <v>915</v>
      </c>
      <c r="D742" s="682" t="s">
        <v>924</v>
      </c>
      <c r="E742" s="682" t="s">
        <v>679</v>
      </c>
      <c r="F742" s="682">
        <v>2021.0</v>
      </c>
      <c r="G742" s="683">
        <v>4.82E-5</v>
      </c>
      <c r="H742" s="683">
        <v>1.62E-5</v>
      </c>
      <c r="I742" s="684">
        <v>9.26E-5</v>
      </c>
      <c r="K742" s="693" t="s">
        <v>65</v>
      </c>
      <c r="L742" s="694" t="s">
        <v>352</v>
      </c>
      <c r="M742" s="694" t="s">
        <v>915</v>
      </c>
      <c r="N742" s="694" t="s">
        <v>927</v>
      </c>
      <c r="O742" s="694">
        <v>2021.0</v>
      </c>
      <c r="P742" s="694" t="s">
        <v>919</v>
      </c>
      <c r="Q742" s="695" t="s">
        <v>112</v>
      </c>
      <c r="R742" s="696">
        <v>209.8720127</v>
      </c>
      <c r="S742" s="696">
        <v>99.1236208</v>
      </c>
      <c r="T742" s="697">
        <v>341.3419292</v>
      </c>
      <c r="AB742" s="722"/>
      <c r="AF742" s="669"/>
    </row>
    <row r="743">
      <c r="A743" s="675"/>
      <c r="B743" s="681" t="s">
        <v>64</v>
      </c>
      <c r="C743" s="682" t="s">
        <v>915</v>
      </c>
      <c r="D743" s="682" t="s">
        <v>926</v>
      </c>
      <c r="E743" s="682" t="s">
        <v>679</v>
      </c>
      <c r="F743" s="682">
        <v>2021.0</v>
      </c>
      <c r="G743" s="683">
        <v>2.3164E-4</v>
      </c>
      <c r="H743" s="683">
        <v>9.39E-5</v>
      </c>
      <c r="I743" s="684">
        <v>4.35781E-4</v>
      </c>
      <c r="K743" s="693" t="s">
        <v>65</v>
      </c>
      <c r="L743" s="694" t="s">
        <v>352</v>
      </c>
      <c r="M743" s="694" t="s">
        <v>915</v>
      </c>
      <c r="N743" s="694" t="s">
        <v>926</v>
      </c>
      <c r="O743" s="694">
        <v>2021.0</v>
      </c>
      <c r="P743" s="694" t="s">
        <v>919</v>
      </c>
      <c r="Q743" s="695" t="s">
        <v>112</v>
      </c>
      <c r="R743" s="696">
        <v>789.6435423</v>
      </c>
      <c r="S743" s="696">
        <v>455.9970327</v>
      </c>
      <c r="T743" s="697">
        <v>1178.786575</v>
      </c>
      <c r="AB743" s="722"/>
      <c r="AF743" s="669"/>
    </row>
    <row r="744">
      <c r="A744" s="675"/>
      <c r="B744" s="681" t="s">
        <v>65</v>
      </c>
      <c r="C744" s="682" t="s">
        <v>915</v>
      </c>
      <c r="D744" s="682" t="s">
        <v>916</v>
      </c>
      <c r="E744" s="682" t="s">
        <v>679</v>
      </c>
      <c r="F744" s="682">
        <v>2021.0</v>
      </c>
      <c r="G744" s="683">
        <v>6.71E-6</v>
      </c>
      <c r="H744" s="683">
        <v>2.19E-6</v>
      </c>
      <c r="I744" s="684">
        <v>1.4E-5</v>
      </c>
      <c r="K744" s="693" t="s">
        <v>35</v>
      </c>
      <c r="L744" s="694" t="s">
        <v>352</v>
      </c>
      <c r="M744" s="694" t="s">
        <v>915</v>
      </c>
      <c r="N744" s="694" t="s">
        <v>918</v>
      </c>
      <c r="O744" s="694">
        <v>2021.0</v>
      </c>
      <c r="P744" s="694" t="s">
        <v>919</v>
      </c>
      <c r="Q744" s="695" t="s">
        <v>112</v>
      </c>
      <c r="R744" s="696">
        <v>4503.269507</v>
      </c>
      <c r="S744" s="696">
        <v>2821.666747</v>
      </c>
      <c r="T744" s="697">
        <v>6964.217844</v>
      </c>
      <c r="AB744" s="722"/>
      <c r="AF744" s="669"/>
    </row>
    <row r="745">
      <c r="A745" s="675"/>
      <c r="B745" s="681" t="s">
        <v>65</v>
      </c>
      <c r="C745" s="682" t="s">
        <v>915</v>
      </c>
      <c r="D745" s="682" t="s">
        <v>922</v>
      </c>
      <c r="E745" s="682" t="s">
        <v>679</v>
      </c>
      <c r="F745" s="682">
        <v>2021.0</v>
      </c>
      <c r="G745" s="683">
        <v>1.61E-6</v>
      </c>
      <c r="H745" s="683">
        <v>6.99E-7</v>
      </c>
      <c r="I745" s="684">
        <v>2.98E-6</v>
      </c>
      <c r="K745" s="693" t="s">
        <v>35</v>
      </c>
      <c r="L745" s="694" t="s">
        <v>352</v>
      </c>
      <c r="M745" s="694" t="s">
        <v>915</v>
      </c>
      <c r="N745" s="694" t="s">
        <v>923</v>
      </c>
      <c r="O745" s="694">
        <v>2021.0</v>
      </c>
      <c r="P745" s="694" t="s">
        <v>919</v>
      </c>
      <c r="Q745" s="695" t="s">
        <v>112</v>
      </c>
      <c r="R745" s="696">
        <v>1055.148578</v>
      </c>
      <c r="S745" s="696">
        <v>695.7004208</v>
      </c>
      <c r="T745" s="697">
        <v>1537.15128</v>
      </c>
      <c r="AB745" s="722"/>
      <c r="AF745" s="669"/>
    </row>
    <row r="746">
      <c r="A746" s="675"/>
      <c r="B746" s="681" t="s">
        <v>65</v>
      </c>
      <c r="C746" s="682" t="s">
        <v>915</v>
      </c>
      <c r="D746" s="682" t="s">
        <v>924</v>
      </c>
      <c r="E746" s="682" t="s">
        <v>679</v>
      </c>
      <c r="F746" s="682">
        <v>2021.0</v>
      </c>
      <c r="G746" s="683">
        <v>2.97E-5</v>
      </c>
      <c r="H746" s="683">
        <v>1.1E-5</v>
      </c>
      <c r="I746" s="684">
        <v>5.9E-5</v>
      </c>
      <c r="K746" s="693" t="s">
        <v>35</v>
      </c>
      <c r="L746" s="694" t="s">
        <v>352</v>
      </c>
      <c r="M746" s="694" t="s">
        <v>915</v>
      </c>
      <c r="N746" s="694" t="s">
        <v>925</v>
      </c>
      <c r="O746" s="694">
        <v>2021.0</v>
      </c>
      <c r="P746" s="694" t="s">
        <v>919</v>
      </c>
      <c r="Q746" s="695" t="s">
        <v>112</v>
      </c>
      <c r="R746" s="696">
        <v>756.141429</v>
      </c>
      <c r="S746" s="696">
        <v>518.1044968</v>
      </c>
      <c r="T746" s="697">
        <v>1043.028373</v>
      </c>
      <c r="AB746" s="722"/>
      <c r="AF746" s="669"/>
    </row>
    <row r="747">
      <c r="A747" s="675"/>
      <c r="B747" s="681" t="s">
        <v>65</v>
      </c>
      <c r="C747" s="682" t="s">
        <v>915</v>
      </c>
      <c r="D747" s="682" t="s">
        <v>926</v>
      </c>
      <c r="E747" s="682" t="s">
        <v>679</v>
      </c>
      <c r="F747" s="682">
        <v>2021.0</v>
      </c>
      <c r="G747" s="683">
        <v>1.74496E-4</v>
      </c>
      <c r="H747" s="683">
        <v>6.34E-5</v>
      </c>
      <c r="I747" s="684">
        <v>3.47012E-4</v>
      </c>
      <c r="K747" s="693" t="s">
        <v>35</v>
      </c>
      <c r="L747" s="694" t="s">
        <v>352</v>
      </c>
      <c r="M747" s="694" t="s">
        <v>915</v>
      </c>
      <c r="N747" s="694" t="s">
        <v>927</v>
      </c>
      <c r="O747" s="694">
        <v>2021.0</v>
      </c>
      <c r="P747" s="694" t="s">
        <v>919</v>
      </c>
      <c r="Q747" s="695" t="s">
        <v>112</v>
      </c>
      <c r="R747" s="696">
        <v>1840.731621</v>
      </c>
      <c r="S747" s="696">
        <v>1246.719664</v>
      </c>
      <c r="T747" s="697">
        <v>2653.415287</v>
      </c>
      <c r="AB747" s="722"/>
      <c r="AF747" s="669"/>
    </row>
    <row r="748">
      <c r="A748" s="675"/>
      <c r="B748" s="681" t="s">
        <v>35</v>
      </c>
      <c r="C748" s="682" t="s">
        <v>915</v>
      </c>
      <c r="D748" s="682" t="s">
        <v>916</v>
      </c>
      <c r="E748" s="682" t="s">
        <v>679</v>
      </c>
      <c r="F748" s="682">
        <v>2021.0</v>
      </c>
      <c r="G748" s="683">
        <v>8.11E-5</v>
      </c>
      <c r="H748" s="683">
        <v>2.54E-5</v>
      </c>
      <c r="I748" s="684">
        <v>1.51265E-4</v>
      </c>
      <c r="K748" s="693" t="s">
        <v>35</v>
      </c>
      <c r="L748" s="694" t="s">
        <v>352</v>
      </c>
      <c r="M748" s="694" t="s">
        <v>915</v>
      </c>
      <c r="N748" s="694" t="s">
        <v>926</v>
      </c>
      <c r="O748" s="694">
        <v>2021.0</v>
      </c>
      <c r="P748" s="694" t="s">
        <v>919</v>
      </c>
      <c r="Q748" s="695" t="s">
        <v>112</v>
      </c>
      <c r="R748" s="696">
        <v>8155.291135</v>
      </c>
      <c r="S748" s="696">
        <v>5788.003488</v>
      </c>
      <c r="T748" s="697">
        <v>11520.71647</v>
      </c>
      <c r="AB748" s="722"/>
      <c r="AF748" s="669"/>
    </row>
    <row r="749">
      <c r="A749" s="675"/>
      <c r="B749" s="681" t="s">
        <v>35</v>
      </c>
      <c r="C749" s="682" t="s">
        <v>915</v>
      </c>
      <c r="D749" s="682" t="s">
        <v>922</v>
      </c>
      <c r="E749" s="682" t="s">
        <v>679</v>
      </c>
      <c r="F749" s="682">
        <v>2021.0</v>
      </c>
      <c r="G749" s="683">
        <v>1.72E-5</v>
      </c>
      <c r="H749" s="683">
        <v>7.12E-6</v>
      </c>
      <c r="I749" s="684">
        <v>3.05E-5</v>
      </c>
      <c r="K749" s="693" t="s">
        <v>66</v>
      </c>
      <c r="L749" s="694" t="s">
        <v>352</v>
      </c>
      <c r="M749" s="694" t="s">
        <v>915</v>
      </c>
      <c r="N749" s="694" t="s">
        <v>918</v>
      </c>
      <c r="O749" s="694">
        <v>2021.0</v>
      </c>
      <c r="P749" s="694" t="s">
        <v>919</v>
      </c>
      <c r="Q749" s="695" t="s">
        <v>112</v>
      </c>
      <c r="R749" s="696">
        <v>2193.829651</v>
      </c>
      <c r="S749" s="696">
        <v>1266.637816</v>
      </c>
      <c r="T749" s="697">
        <v>3374.146323</v>
      </c>
      <c r="AB749" s="722"/>
      <c r="AF749" s="669"/>
    </row>
    <row r="750">
      <c r="A750" s="675"/>
      <c r="B750" s="681" t="s">
        <v>35</v>
      </c>
      <c r="C750" s="682" t="s">
        <v>915</v>
      </c>
      <c r="D750" s="682" t="s">
        <v>924</v>
      </c>
      <c r="E750" s="682" t="s">
        <v>679</v>
      </c>
      <c r="F750" s="682">
        <v>2021.0</v>
      </c>
      <c r="G750" s="683">
        <v>3.44136E-4</v>
      </c>
      <c r="H750" s="683">
        <v>1.17662E-4</v>
      </c>
      <c r="I750" s="684">
        <v>6.34375E-4</v>
      </c>
      <c r="K750" s="693" t="s">
        <v>66</v>
      </c>
      <c r="L750" s="694" t="s">
        <v>352</v>
      </c>
      <c r="M750" s="694" t="s">
        <v>915</v>
      </c>
      <c r="N750" s="694" t="s">
        <v>923</v>
      </c>
      <c r="O750" s="694">
        <v>2021.0</v>
      </c>
      <c r="P750" s="694" t="s">
        <v>919</v>
      </c>
      <c r="Q750" s="695" t="s">
        <v>112</v>
      </c>
      <c r="R750" s="696">
        <v>833.7026331</v>
      </c>
      <c r="S750" s="696">
        <v>542.2616722</v>
      </c>
      <c r="T750" s="697">
        <v>1237.198566</v>
      </c>
      <c r="AB750" s="722"/>
      <c r="AF750" s="669"/>
    </row>
    <row r="751">
      <c r="A751" s="675"/>
      <c r="B751" s="681" t="s">
        <v>35</v>
      </c>
      <c r="C751" s="682" t="s">
        <v>915</v>
      </c>
      <c r="D751" s="682" t="s">
        <v>926</v>
      </c>
      <c r="E751" s="682" t="s">
        <v>679</v>
      </c>
      <c r="F751" s="682">
        <v>2021.0</v>
      </c>
      <c r="G751" s="683">
        <v>0.002217853</v>
      </c>
      <c r="H751" s="683">
        <v>0.00105951</v>
      </c>
      <c r="I751" s="684">
        <v>0.003875998</v>
      </c>
      <c r="K751" s="693" t="s">
        <v>66</v>
      </c>
      <c r="L751" s="694" t="s">
        <v>352</v>
      </c>
      <c r="M751" s="694" t="s">
        <v>915</v>
      </c>
      <c r="N751" s="694" t="s">
        <v>925</v>
      </c>
      <c r="O751" s="694">
        <v>2021.0</v>
      </c>
      <c r="P751" s="694" t="s">
        <v>919</v>
      </c>
      <c r="Q751" s="695" t="s">
        <v>112</v>
      </c>
      <c r="R751" s="696">
        <v>372.0457279</v>
      </c>
      <c r="S751" s="696">
        <v>245.1044883</v>
      </c>
      <c r="T751" s="697">
        <v>525.8405393</v>
      </c>
      <c r="AB751" s="722"/>
      <c r="AF751" s="669"/>
    </row>
    <row r="752">
      <c r="A752" s="675"/>
      <c r="B752" s="681" t="s">
        <v>66</v>
      </c>
      <c r="C752" s="682" t="s">
        <v>915</v>
      </c>
      <c r="D752" s="682" t="s">
        <v>916</v>
      </c>
      <c r="E752" s="682" t="s">
        <v>679</v>
      </c>
      <c r="F752" s="682">
        <v>2021.0</v>
      </c>
      <c r="G752" s="683">
        <v>2.0E-5</v>
      </c>
      <c r="H752" s="683">
        <v>4.65E-6</v>
      </c>
      <c r="I752" s="684">
        <v>3.84E-5</v>
      </c>
      <c r="K752" s="693" t="s">
        <v>66</v>
      </c>
      <c r="L752" s="694" t="s">
        <v>352</v>
      </c>
      <c r="M752" s="694" t="s">
        <v>915</v>
      </c>
      <c r="N752" s="694" t="s">
        <v>927</v>
      </c>
      <c r="O752" s="694">
        <v>2021.0</v>
      </c>
      <c r="P752" s="694" t="s">
        <v>919</v>
      </c>
      <c r="Q752" s="695" t="s">
        <v>112</v>
      </c>
      <c r="R752" s="696">
        <v>2142.469612</v>
      </c>
      <c r="S752" s="696">
        <v>1389.999345</v>
      </c>
      <c r="T752" s="697">
        <v>3281.60388</v>
      </c>
      <c r="AB752" s="722"/>
      <c r="AF752" s="669"/>
    </row>
    <row r="753">
      <c r="A753" s="675"/>
      <c r="B753" s="681" t="s">
        <v>66</v>
      </c>
      <c r="C753" s="682" t="s">
        <v>915</v>
      </c>
      <c r="D753" s="682" t="s">
        <v>922</v>
      </c>
      <c r="E753" s="682" t="s">
        <v>679</v>
      </c>
      <c r="F753" s="682">
        <v>2021.0</v>
      </c>
      <c r="G753" s="683">
        <v>4.87E-6</v>
      </c>
      <c r="H753" s="683">
        <v>1.51E-6</v>
      </c>
      <c r="I753" s="684">
        <v>8.72E-6</v>
      </c>
      <c r="K753" s="693" t="s">
        <v>66</v>
      </c>
      <c r="L753" s="694" t="s">
        <v>352</v>
      </c>
      <c r="M753" s="694" t="s">
        <v>915</v>
      </c>
      <c r="N753" s="694" t="s">
        <v>926</v>
      </c>
      <c r="O753" s="694">
        <v>2021.0</v>
      </c>
      <c r="P753" s="694" t="s">
        <v>919</v>
      </c>
      <c r="Q753" s="695" t="s">
        <v>112</v>
      </c>
      <c r="R753" s="696">
        <v>5542.047624</v>
      </c>
      <c r="S753" s="696">
        <v>3739.90653</v>
      </c>
      <c r="T753" s="697">
        <v>7973.034023</v>
      </c>
      <c r="AB753" s="722"/>
      <c r="AF753" s="669"/>
    </row>
    <row r="754">
      <c r="A754" s="675"/>
      <c r="B754" s="681" t="s">
        <v>66</v>
      </c>
      <c r="C754" s="682" t="s">
        <v>915</v>
      </c>
      <c r="D754" s="682" t="s">
        <v>924</v>
      </c>
      <c r="E754" s="682" t="s">
        <v>679</v>
      </c>
      <c r="F754" s="682">
        <v>2021.0</v>
      </c>
      <c r="G754" s="683">
        <v>9.21E-5</v>
      </c>
      <c r="H754" s="683">
        <v>2.1E-5</v>
      </c>
      <c r="I754" s="684">
        <v>1.79108E-4</v>
      </c>
      <c r="K754" s="693" t="s">
        <v>67</v>
      </c>
      <c r="L754" s="694" t="s">
        <v>352</v>
      </c>
      <c r="M754" s="694" t="s">
        <v>915</v>
      </c>
      <c r="N754" s="694" t="s">
        <v>918</v>
      </c>
      <c r="O754" s="694">
        <v>2021.0</v>
      </c>
      <c r="P754" s="694" t="s">
        <v>919</v>
      </c>
      <c r="Q754" s="695" t="s">
        <v>112</v>
      </c>
      <c r="R754" s="696">
        <v>1045.63106</v>
      </c>
      <c r="S754" s="696">
        <v>581.0730567</v>
      </c>
      <c r="T754" s="697">
        <v>1614.436251</v>
      </c>
      <c r="AB754" s="722"/>
      <c r="AF754" s="669"/>
    </row>
    <row r="755">
      <c r="A755" s="675"/>
      <c r="B755" s="681" t="s">
        <v>66</v>
      </c>
      <c r="C755" s="682" t="s">
        <v>915</v>
      </c>
      <c r="D755" s="682" t="s">
        <v>926</v>
      </c>
      <c r="E755" s="682" t="s">
        <v>679</v>
      </c>
      <c r="F755" s="682">
        <v>2021.0</v>
      </c>
      <c r="G755" s="683">
        <v>5.64633E-4</v>
      </c>
      <c r="H755" s="683">
        <v>2.67519E-4</v>
      </c>
      <c r="I755" s="684">
        <v>0.001037922</v>
      </c>
      <c r="K755" s="693" t="s">
        <v>67</v>
      </c>
      <c r="L755" s="694" t="s">
        <v>352</v>
      </c>
      <c r="M755" s="694" t="s">
        <v>915</v>
      </c>
      <c r="N755" s="694" t="s">
        <v>923</v>
      </c>
      <c r="O755" s="694">
        <v>2021.0</v>
      </c>
      <c r="P755" s="694" t="s">
        <v>919</v>
      </c>
      <c r="Q755" s="695" t="s">
        <v>112</v>
      </c>
      <c r="R755" s="696">
        <v>517.0937589</v>
      </c>
      <c r="S755" s="696">
        <v>335.6172135</v>
      </c>
      <c r="T755" s="697">
        <v>776.2969449</v>
      </c>
      <c r="AB755" s="722"/>
      <c r="AF755" s="669"/>
    </row>
    <row r="756">
      <c r="A756" s="675"/>
      <c r="B756" s="681" t="s">
        <v>67</v>
      </c>
      <c r="C756" s="682" t="s">
        <v>915</v>
      </c>
      <c r="D756" s="682" t="s">
        <v>916</v>
      </c>
      <c r="E756" s="682" t="s">
        <v>679</v>
      </c>
      <c r="F756" s="682">
        <v>2021.0</v>
      </c>
      <c r="G756" s="683">
        <v>4.79E-5</v>
      </c>
      <c r="H756" s="683">
        <v>1.48E-5</v>
      </c>
      <c r="I756" s="684">
        <v>8.99E-5</v>
      </c>
      <c r="K756" s="693" t="s">
        <v>67</v>
      </c>
      <c r="L756" s="694" t="s">
        <v>352</v>
      </c>
      <c r="M756" s="694" t="s">
        <v>915</v>
      </c>
      <c r="N756" s="694" t="s">
        <v>925</v>
      </c>
      <c r="O756" s="694">
        <v>2021.0</v>
      </c>
      <c r="P756" s="694" t="s">
        <v>919</v>
      </c>
      <c r="Q756" s="695" t="s">
        <v>112</v>
      </c>
      <c r="R756" s="696">
        <v>188.4149133</v>
      </c>
      <c r="S756" s="696">
        <v>122.0588681</v>
      </c>
      <c r="T756" s="697">
        <v>266.4604296</v>
      </c>
      <c r="AB756" s="722"/>
      <c r="AF756" s="669"/>
    </row>
    <row r="757">
      <c r="A757" s="675"/>
      <c r="B757" s="681" t="s">
        <v>67</v>
      </c>
      <c r="C757" s="682" t="s">
        <v>915</v>
      </c>
      <c r="D757" s="682" t="s">
        <v>922</v>
      </c>
      <c r="E757" s="682" t="s">
        <v>679</v>
      </c>
      <c r="F757" s="682">
        <v>2021.0</v>
      </c>
      <c r="G757" s="683">
        <v>9.88E-6</v>
      </c>
      <c r="H757" s="683">
        <v>4.03E-6</v>
      </c>
      <c r="I757" s="684">
        <v>1.75E-5</v>
      </c>
      <c r="K757" s="693" t="s">
        <v>67</v>
      </c>
      <c r="L757" s="694" t="s">
        <v>352</v>
      </c>
      <c r="M757" s="694" t="s">
        <v>915</v>
      </c>
      <c r="N757" s="694" t="s">
        <v>927</v>
      </c>
      <c r="O757" s="694">
        <v>2021.0</v>
      </c>
      <c r="P757" s="694" t="s">
        <v>919</v>
      </c>
      <c r="Q757" s="695" t="s">
        <v>112</v>
      </c>
      <c r="R757" s="696">
        <v>559.452791</v>
      </c>
      <c r="S757" s="696">
        <v>377.6584554</v>
      </c>
      <c r="T757" s="697">
        <v>816.4571849</v>
      </c>
      <c r="AB757" s="722"/>
      <c r="AF757" s="669"/>
    </row>
    <row r="758">
      <c r="A758" s="675"/>
      <c r="B758" s="681" t="s">
        <v>67</v>
      </c>
      <c r="C758" s="682" t="s">
        <v>915</v>
      </c>
      <c r="D758" s="682" t="s">
        <v>924</v>
      </c>
      <c r="E758" s="682" t="s">
        <v>679</v>
      </c>
      <c r="F758" s="682">
        <v>2021.0</v>
      </c>
      <c r="G758" s="683">
        <v>1.72181E-4</v>
      </c>
      <c r="H758" s="683">
        <v>3.01E-5</v>
      </c>
      <c r="I758" s="684">
        <v>3.21119E-4</v>
      </c>
      <c r="K758" s="693" t="s">
        <v>67</v>
      </c>
      <c r="L758" s="694" t="s">
        <v>352</v>
      </c>
      <c r="M758" s="694" t="s">
        <v>915</v>
      </c>
      <c r="N758" s="694" t="s">
        <v>926</v>
      </c>
      <c r="O758" s="694">
        <v>2021.0</v>
      </c>
      <c r="P758" s="694" t="s">
        <v>919</v>
      </c>
      <c r="Q758" s="695" t="s">
        <v>112</v>
      </c>
      <c r="R758" s="696">
        <v>2310.592523</v>
      </c>
      <c r="S758" s="696">
        <v>1592.37098</v>
      </c>
      <c r="T758" s="697">
        <v>3206.468655</v>
      </c>
      <c r="AB758" s="722"/>
      <c r="AF758" s="669"/>
    </row>
    <row r="759">
      <c r="A759" s="675"/>
      <c r="B759" s="681" t="s">
        <v>67</v>
      </c>
      <c r="C759" s="682" t="s">
        <v>915</v>
      </c>
      <c r="D759" s="682" t="s">
        <v>926</v>
      </c>
      <c r="E759" s="682" t="s">
        <v>679</v>
      </c>
      <c r="F759" s="682">
        <v>2021.0</v>
      </c>
      <c r="G759" s="683">
        <v>0.001123738</v>
      </c>
      <c r="H759" s="683">
        <v>5.27228E-4</v>
      </c>
      <c r="I759" s="684">
        <v>0.00192811</v>
      </c>
      <c r="K759" s="693" t="s">
        <v>37</v>
      </c>
      <c r="L759" s="694" t="s">
        <v>352</v>
      </c>
      <c r="M759" s="694" t="s">
        <v>915</v>
      </c>
      <c r="N759" s="694" t="s">
        <v>918</v>
      </c>
      <c r="O759" s="694">
        <v>2021.0</v>
      </c>
      <c r="P759" s="694" t="s">
        <v>919</v>
      </c>
      <c r="Q759" s="695" t="s">
        <v>112</v>
      </c>
      <c r="R759" s="696">
        <v>2001.967545</v>
      </c>
      <c r="S759" s="696">
        <v>1292.204449</v>
      </c>
      <c r="T759" s="697">
        <v>3122.858414</v>
      </c>
      <c r="AB759" s="722"/>
      <c r="AF759" s="669"/>
    </row>
    <row r="760">
      <c r="A760" s="675"/>
      <c r="B760" s="681" t="s">
        <v>37</v>
      </c>
      <c r="C760" s="682" t="s">
        <v>915</v>
      </c>
      <c r="D760" s="682" t="s">
        <v>916</v>
      </c>
      <c r="E760" s="682" t="s">
        <v>679</v>
      </c>
      <c r="F760" s="682">
        <v>2021.0</v>
      </c>
      <c r="G760" s="683">
        <v>7.78E-5</v>
      </c>
      <c r="H760" s="683">
        <v>2.43E-5</v>
      </c>
      <c r="I760" s="684">
        <v>1.4615E-4</v>
      </c>
      <c r="K760" s="693" t="s">
        <v>37</v>
      </c>
      <c r="L760" s="694" t="s">
        <v>352</v>
      </c>
      <c r="M760" s="694" t="s">
        <v>915</v>
      </c>
      <c r="N760" s="694" t="s">
        <v>923</v>
      </c>
      <c r="O760" s="694">
        <v>2021.0</v>
      </c>
      <c r="P760" s="694" t="s">
        <v>919</v>
      </c>
      <c r="Q760" s="695" t="s">
        <v>112</v>
      </c>
      <c r="R760" s="696">
        <v>335.622534</v>
      </c>
      <c r="S760" s="696">
        <v>221.3223716</v>
      </c>
      <c r="T760" s="697">
        <v>476.4015483</v>
      </c>
      <c r="AB760" s="722"/>
      <c r="AF760" s="669"/>
    </row>
    <row r="761">
      <c r="A761" s="675"/>
      <c r="B761" s="681" t="s">
        <v>37</v>
      </c>
      <c r="C761" s="682" t="s">
        <v>915</v>
      </c>
      <c r="D761" s="682" t="s">
        <v>922</v>
      </c>
      <c r="E761" s="682" t="s">
        <v>679</v>
      </c>
      <c r="F761" s="682">
        <v>2021.0</v>
      </c>
      <c r="G761" s="683">
        <v>1.78E-5</v>
      </c>
      <c r="H761" s="683">
        <v>7.36E-6</v>
      </c>
      <c r="I761" s="684">
        <v>3.14E-5</v>
      </c>
      <c r="K761" s="693" t="s">
        <v>37</v>
      </c>
      <c r="L761" s="694" t="s">
        <v>352</v>
      </c>
      <c r="M761" s="694" t="s">
        <v>915</v>
      </c>
      <c r="N761" s="694" t="s">
        <v>925</v>
      </c>
      <c r="O761" s="694">
        <v>2021.0</v>
      </c>
      <c r="P761" s="694" t="s">
        <v>919</v>
      </c>
      <c r="Q761" s="695" t="s">
        <v>112</v>
      </c>
      <c r="R761" s="696">
        <v>290.4911702</v>
      </c>
      <c r="S761" s="696">
        <v>196.5894487</v>
      </c>
      <c r="T761" s="697">
        <v>412.0931929</v>
      </c>
      <c r="AB761" s="722"/>
      <c r="AF761" s="669"/>
    </row>
    <row r="762">
      <c r="A762" s="675"/>
      <c r="B762" s="681" t="s">
        <v>37</v>
      </c>
      <c r="C762" s="682" t="s">
        <v>915</v>
      </c>
      <c r="D762" s="682" t="s">
        <v>924</v>
      </c>
      <c r="E762" s="682" t="s">
        <v>679</v>
      </c>
      <c r="F762" s="682">
        <v>2021.0</v>
      </c>
      <c r="G762" s="683">
        <v>3.60388E-4</v>
      </c>
      <c r="H762" s="683">
        <v>8.86E-5</v>
      </c>
      <c r="I762" s="684">
        <v>6.82937E-4</v>
      </c>
      <c r="K762" s="693" t="s">
        <v>37</v>
      </c>
      <c r="L762" s="694" t="s">
        <v>352</v>
      </c>
      <c r="M762" s="694" t="s">
        <v>915</v>
      </c>
      <c r="N762" s="694" t="s">
        <v>927</v>
      </c>
      <c r="O762" s="694">
        <v>2021.0</v>
      </c>
      <c r="P762" s="694" t="s">
        <v>919</v>
      </c>
      <c r="Q762" s="695" t="s">
        <v>112</v>
      </c>
      <c r="R762" s="696">
        <v>883.3842446</v>
      </c>
      <c r="S762" s="696">
        <v>618.7534089</v>
      </c>
      <c r="T762" s="697">
        <v>1287.805839</v>
      </c>
      <c r="AB762" s="722"/>
      <c r="AF762" s="669"/>
    </row>
    <row r="763">
      <c r="A763" s="675"/>
      <c r="B763" s="681" t="s">
        <v>37</v>
      </c>
      <c r="C763" s="682" t="s">
        <v>915</v>
      </c>
      <c r="D763" s="682" t="s">
        <v>926</v>
      </c>
      <c r="E763" s="682" t="s">
        <v>679</v>
      </c>
      <c r="F763" s="682">
        <v>2021.0</v>
      </c>
      <c r="G763" s="683">
        <v>0.00256188</v>
      </c>
      <c r="H763" s="683">
        <v>0.001244304</v>
      </c>
      <c r="I763" s="684">
        <v>0.004505387</v>
      </c>
      <c r="K763" s="693" t="s">
        <v>37</v>
      </c>
      <c r="L763" s="694" t="s">
        <v>352</v>
      </c>
      <c r="M763" s="694" t="s">
        <v>915</v>
      </c>
      <c r="N763" s="694" t="s">
        <v>926</v>
      </c>
      <c r="O763" s="694">
        <v>2021.0</v>
      </c>
      <c r="P763" s="694" t="s">
        <v>919</v>
      </c>
      <c r="Q763" s="695" t="s">
        <v>112</v>
      </c>
      <c r="R763" s="696">
        <v>3511.465494</v>
      </c>
      <c r="S763" s="696">
        <v>2561.852056</v>
      </c>
      <c r="T763" s="697">
        <v>5055.250175</v>
      </c>
      <c r="AB763" s="722"/>
      <c r="AF763" s="669"/>
    </row>
    <row r="764">
      <c r="A764" s="675"/>
      <c r="B764" s="681" t="s">
        <v>38</v>
      </c>
      <c r="C764" s="682" t="s">
        <v>915</v>
      </c>
      <c r="D764" s="682" t="s">
        <v>916</v>
      </c>
      <c r="E764" s="682" t="s">
        <v>449</v>
      </c>
      <c r="F764" s="682">
        <v>2021.0</v>
      </c>
      <c r="G764" s="683">
        <v>8.14486E-4</v>
      </c>
      <c r="H764" s="683">
        <v>4.06754E-4</v>
      </c>
      <c r="I764" s="684">
        <v>0.001462973</v>
      </c>
      <c r="K764" s="693" t="s">
        <v>38</v>
      </c>
      <c r="L764" s="694" t="s">
        <v>679</v>
      </c>
      <c r="M764" s="694" t="s">
        <v>915</v>
      </c>
      <c r="N764" s="694" t="s">
        <v>918</v>
      </c>
      <c r="O764" s="694">
        <v>2021.0</v>
      </c>
      <c r="P764" s="694" t="s">
        <v>919</v>
      </c>
      <c r="Q764" s="695" t="s">
        <v>112</v>
      </c>
      <c r="R764" s="696">
        <v>13.40410939</v>
      </c>
      <c r="S764" s="696">
        <v>5.24852794</v>
      </c>
      <c r="T764" s="697">
        <v>25.81317502</v>
      </c>
      <c r="AB764" s="722"/>
      <c r="AF764" s="669"/>
    </row>
    <row r="765">
      <c r="A765" s="675"/>
      <c r="B765" s="681" t="s">
        <v>38</v>
      </c>
      <c r="C765" s="682" t="s">
        <v>915</v>
      </c>
      <c r="D765" s="682" t="s">
        <v>922</v>
      </c>
      <c r="E765" s="682" t="s">
        <v>449</v>
      </c>
      <c r="F765" s="682">
        <v>2021.0</v>
      </c>
      <c r="G765" s="683">
        <v>0.002308496</v>
      </c>
      <c r="H765" s="683">
        <v>0.001382371</v>
      </c>
      <c r="I765" s="684">
        <v>0.00381105</v>
      </c>
      <c r="K765" s="693" t="s">
        <v>38</v>
      </c>
      <c r="L765" s="694" t="s">
        <v>679</v>
      </c>
      <c r="M765" s="694" t="s">
        <v>915</v>
      </c>
      <c r="N765" s="694" t="s">
        <v>923</v>
      </c>
      <c r="O765" s="694">
        <v>2021.0</v>
      </c>
      <c r="P765" s="694" t="s">
        <v>919</v>
      </c>
      <c r="Q765" s="695" t="s">
        <v>112</v>
      </c>
      <c r="R765" s="696">
        <v>0.0</v>
      </c>
      <c r="S765" s="696">
        <v>0.0</v>
      </c>
      <c r="T765" s="697">
        <v>0.0</v>
      </c>
      <c r="AB765" s="722"/>
      <c r="AF765" s="669"/>
    </row>
    <row r="766">
      <c r="A766" s="675"/>
      <c r="B766" s="681" t="s">
        <v>38</v>
      </c>
      <c r="C766" s="682" t="s">
        <v>915</v>
      </c>
      <c r="D766" s="682" t="s">
        <v>924</v>
      </c>
      <c r="E766" s="682" t="s">
        <v>449</v>
      </c>
      <c r="F766" s="682">
        <v>2021.0</v>
      </c>
      <c r="G766" s="683">
        <v>2.83224E-4</v>
      </c>
      <c r="H766" s="683">
        <v>1.28129E-4</v>
      </c>
      <c r="I766" s="684">
        <v>5.48094E-4</v>
      </c>
      <c r="K766" s="693" t="s">
        <v>38</v>
      </c>
      <c r="L766" s="694" t="s">
        <v>679</v>
      </c>
      <c r="M766" s="694" t="s">
        <v>915</v>
      </c>
      <c r="N766" s="694" t="s">
        <v>925</v>
      </c>
      <c r="O766" s="694">
        <v>2021.0</v>
      </c>
      <c r="P766" s="694" t="s">
        <v>919</v>
      </c>
      <c r="Q766" s="695" t="s">
        <v>112</v>
      </c>
      <c r="R766" s="696">
        <v>0.0</v>
      </c>
      <c r="S766" s="696">
        <v>0.0</v>
      </c>
      <c r="T766" s="697">
        <v>0.0</v>
      </c>
      <c r="AB766" s="722"/>
      <c r="AF766" s="669"/>
    </row>
    <row r="767">
      <c r="A767" s="675"/>
      <c r="B767" s="681" t="s">
        <v>38</v>
      </c>
      <c r="C767" s="682" t="s">
        <v>915</v>
      </c>
      <c r="D767" s="682" t="s">
        <v>926</v>
      </c>
      <c r="E767" s="682" t="s">
        <v>449</v>
      </c>
      <c r="F767" s="682">
        <v>2021.0</v>
      </c>
      <c r="G767" s="683">
        <v>0.001617762</v>
      </c>
      <c r="H767" s="683">
        <v>6.74704E-4</v>
      </c>
      <c r="I767" s="684">
        <v>0.003223018</v>
      </c>
      <c r="K767" s="693" t="s">
        <v>38</v>
      </c>
      <c r="L767" s="694" t="s">
        <v>679</v>
      </c>
      <c r="M767" s="694" t="s">
        <v>915</v>
      </c>
      <c r="N767" s="694" t="s">
        <v>927</v>
      </c>
      <c r="O767" s="694">
        <v>2021.0</v>
      </c>
      <c r="P767" s="694" t="s">
        <v>919</v>
      </c>
      <c r="Q767" s="695" t="s">
        <v>112</v>
      </c>
      <c r="R767" s="696">
        <v>6.245814071</v>
      </c>
      <c r="S767" s="696">
        <v>2.437604002</v>
      </c>
      <c r="T767" s="697">
        <v>12.18790326</v>
      </c>
      <c r="AB767" s="722"/>
      <c r="AF767" s="669"/>
    </row>
    <row r="768">
      <c r="A768" s="675"/>
      <c r="B768" s="681" t="s">
        <v>39</v>
      </c>
      <c r="C768" s="682" t="s">
        <v>915</v>
      </c>
      <c r="D768" s="682" t="s">
        <v>916</v>
      </c>
      <c r="E768" s="682" t="s">
        <v>449</v>
      </c>
      <c r="F768" s="682">
        <v>2021.0</v>
      </c>
      <c r="G768" s="683">
        <v>0.001486466</v>
      </c>
      <c r="H768" s="683">
        <v>7.34759E-4</v>
      </c>
      <c r="I768" s="684">
        <v>0.003537946</v>
      </c>
      <c r="K768" s="693" t="s">
        <v>38</v>
      </c>
      <c r="L768" s="694" t="s">
        <v>679</v>
      </c>
      <c r="M768" s="694" t="s">
        <v>915</v>
      </c>
      <c r="N768" s="694" t="s">
        <v>926</v>
      </c>
      <c r="O768" s="694">
        <v>2021.0</v>
      </c>
      <c r="P768" s="694" t="s">
        <v>919</v>
      </c>
      <c r="Q768" s="695" t="s">
        <v>112</v>
      </c>
      <c r="R768" s="696">
        <v>19.64992346</v>
      </c>
      <c r="S768" s="696">
        <v>7.777854883</v>
      </c>
      <c r="T768" s="697">
        <v>38.47081383</v>
      </c>
      <c r="AB768" s="722"/>
      <c r="AF768" s="669"/>
    </row>
    <row r="769">
      <c r="A769" s="675"/>
      <c r="B769" s="681" t="s">
        <v>39</v>
      </c>
      <c r="C769" s="682" t="s">
        <v>915</v>
      </c>
      <c r="D769" s="682" t="s">
        <v>922</v>
      </c>
      <c r="E769" s="682" t="s">
        <v>449</v>
      </c>
      <c r="F769" s="682">
        <v>2021.0</v>
      </c>
      <c r="G769" s="683">
        <v>0.00386879</v>
      </c>
      <c r="H769" s="683">
        <v>0.002375177</v>
      </c>
      <c r="I769" s="684">
        <v>0.008132345</v>
      </c>
      <c r="K769" s="693" t="s">
        <v>39</v>
      </c>
      <c r="L769" s="694" t="s">
        <v>679</v>
      </c>
      <c r="M769" s="694" t="s">
        <v>915</v>
      </c>
      <c r="N769" s="694" t="s">
        <v>918</v>
      </c>
      <c r="O769" s="694">
        <v>2021.0</v>
      </c>
      <c r="P769" s="694" t="s">
        <v>919</v>
      </c>
      <c r="Q769" s="695" t="s">
        <v>112</v>
      </c>
      <c r="R769" s="696">
        <v>40.39619461</v>
      </c>
      <c r="S769" s="696">
        <v>18.95047296</v>
      </c>
      <c r="T769" s="697">
        <v>71.3807267</v>
      </c>
      <c r="AB769" s="722"/>
      <c r="AF769" s="669"/>
    </row>
    <row r="770">
      <c r="A770" s="675"/>
      <c r="B770" s="681" t="s">
        <v>39</v>
      </c>
      <c r="C770" s="682" t="s">
        <v>915</v>
      </c>
      <c r="D770" s="682" t="s">
        <v>924</v>
      </c>
      <c r="E770" s="682" t="s">
        <v>449</v>
      </c>
      <c r="F770" s="682">
        <v>2021.0</v>
      </c>
      <c r="G770" s="683">
        <v>6.9414E-4</v>
      </c>
      <c r="H770" s="683">
        <v>3.75224E-4</v>
      </c>
      <c r="I770" s="684">
        <v>0.001512891</v>
      </c>
      <c r="K770" s="693" t="s">
        <v>39</v>
      </c>
      <c r="L770" s="694" t="s">
        <v>679</v>
      </c>
      <c r="M770" s="694" t="s">
        <v>915</v>
      </c>
      <c r="N770" s="694" t="s">
        <v>923</v>
      </c>
      <c r="O770" s="694">
        <v>2021.0</v>
      </c>
      <c r="P770" s="694" t="s">
        <v>919</v>
      </c>
      <c r="Q770" s="695" t="s">
        <v>112</v>
      </c>
      <c r="R770" s="696">
        <v>0.0</v>
      </c>
      <c r="S770" s="696">
        <v>0.0</v>
      </c>
      <c r="T770" s="697">
        <v>0.0</v>
      </c>
      <c r="AB770" s="722"/>
      <c r="AF770" s="669"/>
    </row>
    <row r="771">
      <c r="A771" s="675"/>
      <c r="B771" s="681" t="s">
        <v>39</v>
      </c>
      <c r="C771" s="682" t="s">
        <v>915</v>
      </c>
      <c r="D771" s="682" t="s">
        <v>926</v>
      </c>
      <c r="E771" s="682" t="s">
        <v>449</v>
      </c>
      <c r="F771" s="682">
        <v>2021.0</v>
      </c>
      <c r="G771" s="683">
        <v>0.004193349</v>
      </c>
      <c r="H771" s="683">
        <v>0.002213548</v>
      </c>
      <c r="I771" s="684">
        <v>0.007186379</v>
      </c>
      <c r="K771" s="693" t="s">
        <v>39</v>
      </c>
      <c r="L771" s="694" t="s">
        <v>679</v>
      </c>
      <c r="M771" s="694" t="s">
        <v>915</v>
      </c>
      <c r="N771" s="694" t="s">
        <v>925</v>
      </c>
      <c r="O771" s="694">
        <v>2021.0</v>
      </c>
      <c r="P771" s="694" t="s">
        <v>919</v>
      </c>
      <c r="Q771" s="695" t="s">
        <v>112</v>
      </c>
      <c r="R771" s="696">
        <v>0.0</v>
      </c>
      <c r="S771" s="696">
        <v>0.0</v>
      </c>
      <c r="T771" s="697">
        <v>0.0</v>
      </c>
      <c r="AB771" s="722"/>
      <c r="AF771" s="669"/>
    </row>
    <row r="772">
      <c r="A772" s="675"/>
      <c r="B772" s="681" t="s">
        <v>40</v>
      </c>
      <c r="C772" s="682" t="s">
        <v>915</v>
      </c>
      <c r="D772" s="682" t="s">
        <v>916</v>
      </c>
      <c r="E772" s="682" t="s">
        <v>449</v>
      </c>
      <c r="F772" s="682">
        <v>2021.0</v>
      </c>
      <c r="G772" s="683">
        <v>8.58825E-4</v>
      </c>
      <c r="H772" s="683">
        <v>4.37113E-4</v>
      </c>
      <c r="I772" s="684">
        <v>0.001535087</v>
      </c>
      <c r="K772" s="693" t="s">
        <v>39</v>
      </c>
      <c r="L772" s="694" t="s">
        <v>679</v>
      </c>
      <c r="M772" s="694" t="s">
        <v>915</v>
      </c>
      <c r="N772" s="694" t="s">
        <v>927</v>
      </c>
      <c r="O772" s="694">
        <v>2021.0</v>
      </c>
      <c r="P772" s="694" t="s">
        <v>919</v>
      </c>
      <c r="Q772" s="695" t="s">
        <v>112</v>
      </c>
      <c r="R772" s="696">
        <v>16.75551183</v>
      </c>
      <c r="S772" s="696">
        <v>7.500600732</v>
      </c>
      <c r="T772" s="697">
        <v>31.30824972</v>
      </c>
      <c r="AB772" s="722"/>
      <c r="AF772" s="669"/>
    </row>
    <row r="773">
      <c r="A773" s="675"/>
      <c r="B773" s="681" t="s">
        <v>40</v>
      </c>
      <c r="C773" s="682" t="s">
        <v>915</v>
      </c>
      <c r="D773" s="682" t="s">
        <v>922</v>
      </c>
      <c r="E773" s="682" t="s">
        <v>449</v>
      </c>
      <c r="F773" s="682">
        <v>2021.0</v>
      </c>
      <c r="G773" s="683">
        <v>0.002610774</v>
      </c>
      <c r="H773" s="683">
        <v>0.00159419</v>
      </c>
      <c r="I773" s="684">
        <v>0.004243522</v>
      </c>
      <c r="K773" s="693" t="s">
        <v>39</v>
      </c>
      <c r="L773" s="694" t="s">
        <v>679</v>
      </c>
      <c r="M773" s="694" t="s">
        <v>915</v>
      </c>
      <c r="N773" s="694" t="s">
        <v>926</v>
      </c>
      <c r="O773" s="694">
        <v>2021.0</v>
      </c>
      <c r="P773" s="694" t="s">
        <v>919</v>
      </c>
      <c r="Q773" s="695" t="s">
        <v>112</v>
      </c>
      <c r="R773" s="696">
        <v>57.15170644</v>
      </c>
      <c r="S773" s="696">
        <v>26.84495242</v>
      </c>
      <c r="T773" s="697">
        <v>101.4494738</v>
      </c>
      <c r="AB773" s="722"/>
      <c r="AF773" s="669"/>
    </row>
    <row r="774">
      <c r="A774" s="675"/>
      <c r="B774" s="681" t="s">
        <v>40</v>
      </c>
      <c r="C774" s="682" t="s">
        <v>915</v>
      </c>
      <c r="D774" s="682" t="s">
        <v>924</v>
      </c>
      <c r="E774" s="682" t="s">
        <v>449</v>
      </c>
      <c r="F774" s="682">
        <v>2021.0</v>
      </c>
      <c r="G774" s="683">
        <v>2.40103E-4</v>
      </c>
      <c r="H774" s="683">
        <v>1.13123E-4</v>
      </c>
      <c r="I774" s="684">
        <v>4.93999E-4</v>
      </c>
      <c r="K774" s="693" t="s">
        <v>40</v>
      </c>
      <c r="L774" s="694" t="s">
        <v>679</v>
      </c>
      <c r="M774" s="694" t="s">
        <v>915</v>
      </c>
      <c r="N774" s="694" t="s">
        <v>918</v>
      </c>
      <c r="O774" s="694">
        <v>2021.0</v>
      </c>
      <c r="P774" s="694" t="s">
        <v>919</v>
      </c>
      <c r="Q774" s="695" t="s">
        <v>112</v>
      </c>
      <c r="R774" s="696">
        <v>8.222352671</v>
      </c>
      <c r="S774" s="696">
        <v>3.084490964</v>
      </c>
      <c r="T774" s="697">
        <v>16.36708175</v>
      </c>
      <c r="AB774" s="722"/>
      <c r="AF774" s="669"/>
    </row>
    <row r="775">
      <c r="A775" s="675"/>
      <c r="B775" s="681" t="s">
        <v>40</v>
      </c>
      <c r="C775" s="682" t="s">
        <v>915</v>
      </c>
      <c r="D775" s="682" t="s">
        <v>926</v>
      </c>
      <c r="E775" s="682" t="s">
        <v>449</v>
      </c>
      <c r="F775" s="682">
        <v>2021.0</v>
      </c>
      <c r="G775" s="683">
        <v>0.001212024</v>
      </c>
      <c r="H775" s="683">
        <v>5.13298E-4</v>
      </c>
      <c r="I775" s="684">
        <v>0.002374573</v>
      </c>
      <c r="K775" s="693" t="s">
        <v>40</v>
      </c>
      <c r="L775" s="694" t="s">
        <v>679</v>
      </c>
      <c r="M775" s="694" t="s">
        <v>915</v>
      </c>
      <c r="N775" s="694" t="s">
        <v>923</v>
      </c>
      <c r="O775" s="694">
        <v>2021.0</v>
      </c>
      <c r="P775" s="694" t="s">
        <v>919</v>
      </c>
      <c r="Q775" s="695" t="s">
        <v>112</v>
      </c>
      <c r="R775" s="696">
        <v>0.0</v>
      </c>
      <c r="S775" s="696">
        <v>0.0</v>
      </c>
      <c r="T775" s="697">
        <v>0.0</v>
      </c>
      <c r="AB775" s="722"/>
      <c r="AF775" s="669"/>
    </row>
    <row r="776">
      <c r="A776" s="675"/>
      <c r="B776" s="681" t="s">
        <v>41</v>
      </c>
      <c r="C776" s="682" t="s">
        <v>915</v>
      </c>
      <c r="D776" s="682" t="s">
        <v>916</v>
      </c>
      <c r="E776" s="682" t="s">
        <v>449</v>
      </c>
      <c r="F776" s="682">
        <v>2021.0</v>
      </c>
      <c r="G776" s="683">
        <v>8.52011E-4</v>
      </c>
      <c r="H776" s="683">
        <v>4.21151E-4</v>
      </c>
      <c r="I776" s="684">
        <v>0.001492546</v>
      </c>
      <c r="K776" s="693" t="s">
        <v>40</v>
      </c>
      <c r="L776" s="694" t="s">
        <v>679</v>
      </c>
      <c r="M776" s="694" t="s">
        <v>915</v>
      </c>
      <c r="N776" s="694" t="s">
        <v>925</v>
      </c>
      <c r="O776" s="694">
        <v>2021.0</v>
      </c>
      <c r="P776" s="694" t="s">
        <v>919</v>
      </c>
      <c r="Q776" s="695" t="s">
        <v>112</v>
      </c>
      <c r="R776" s="696">
        <v>0.0</v>
      </c>
      <c r="S776" s="696">
        <v>0.0</v>
      </c>
      <c r="T776" s="697">
        <v>0.0</v>
      </c>
      <c r="AB776" s="722"/>
      <c r="AF776" s="669"/>
    </row>
    <row r="777">
      <c r="A777" s="675"/>
      <c r="B777" s="681" t="s">
        <v>41</v>
      </c>
      <c r="C777" s="682" t="s">
        <v>915</v>
      </c>
      <c r="D777" s="682" t="s">
        <v>922</v>
      </c>
      <c r="E777" s="682" t="s">
        <v>449</v>
      </c>
      <c r="F777" s="682">
        <v>2021.0</v>
      </c>
      <c r="G777" s="683">
        <v>0.002211325</v>
      </c>
      <c r="H777" s="683">
        <v>0.001296847</v>
      </c>
      <c r="I777" s="684">
        <v>0.003515184</v>
      </c>
      <c r="K777" s="693" t="s">
        <v>40</v>
      </c>
      <c r="L777" s="694" t="s">
        <v>679</v>
      </c>
      <c r="M777" s="694" t="s">
        <v>915</v>
      </c>
      <c r="N777" s="694" t="s">
        <v>927</v>
      </c>
      <c r="O777" s="694">
        <v>2021.0</v>
      </c>
      <c r="P777" s="694" t="s">
        <v>919</v>
      </c>
      <c r="Q777" s="695" t="s">
        <v>112</v>
      </c>
      <c r="R777" s="696">
        <v>3.128830425</v>
      </c>
      <c r="S777" s="696">
        <v>1.154540265</v>
      </c>
      <c r="T777" s="697">
        <v>6.316306509</v>
      </c>
      <c r="AB777" s="722"/>
      <c r="AF777" s="669"/>
    </row>
    <row r="778">
      <c r="A778" s="675"/>
      <c r="B778" s="681" t="s">
        <v>41</v>
      </c>
      <c r="C778" s="682" t="s">
        <v>915</v>
      </c>
      <c r="D778" s="682" t="s">
        <v>924</v>
      </c>
      <c r="E778" s="682" t="s">
        <v>449</v>
      </c>
      <c r="F778" s="682">
        <v>2021.0</v>
      </c>
      <c r="G778" s="683">
        <v>2.43766E-4</v>
      </c>
      <c r="H778" s="683">
        <v>1.03204E-4</v>
      </c>
      <c r="I778" s="684">
        <v>4.93822E-4</v>
      </c>
      <c r="K778" s="693" t="s">
        <v>40</v>
      </c>
      <c r="L778" s="694" t="s">
        <v>679</v>
      </c>
      <c r="M778" s="694" t="s">
        <v>915</v>
      </c>
      <c r="N778" s="694" t="s">
        <v>926</v>
      </c>
      <c r="O778" s="694">
        <v>2021.0</v>
      </c>
      <c r="P778" s="694" t="s">
        <v>919</v>
      </c>
      <c r="Q778" s="695" t="s">
        <v>112</v>
      </c>
      <c r="R778" s="696">
        <v>11.3511831</v>
      </c>
      <c r="S778" s="696">
        <v>4.294924083</v>
      </c>
      <c r="T778" s="697">
        <v>22.56512877</v>
      </c>
      <c r="AB778" s="722"/>
      <c r="AF778" s="669"/>
    </row>
    <row r="779">
      <c r="A779" s="675"/>
      <c r="B779" s="681" t="s">
        <v>41</v>
      </c>
      <c r="C779" s="682" t="s">
        <v>915</v>
      </c>
      <c r="D779" s="682" t="s">
        <v>926</v>
      </c>
      <c r="E779" s="682" t="s">
        <v>449</v>
      </c>
      <c r="F779" s="682">
        <v>2021.0</v>
      </c>
      <c r="G779" s="683">
        <v>0.00107499</v>
      </c>
      <c r="H779" s="683">
        <v>4.21617E-4</v>
      </c>
      <c r="I779" s="684">
        <v>0.002075155</v>
      </c>
      <c r="K779" s="693" t="s">
        <v>41</v>
      </c>
      <c r="L779" s="694" t="s">
        <v>679</v>
      </c>
      <c r="M779" s="694" t="s">
        <v>915</v>
      </c>
      <c r="N779" s="694" t="s">
        <v>918</v>
      </c>
      <c r="O779" s="694">
        <v>2021.0</v>
      </c>
      <c r="P779" s="694" t="s">
        <v>919</v>
      </c>
      <c r="Q779" s="695" t="s">
        <v>112</v>
      </c>
      <c r="R779" s="696">
        <v>19.19981132</v>
      </c>
      <c r="S779" s="696">
        <v>4.448361095</v>
      </c>
      <c r="T779" s="697">
        <v>50.25020027</v>
      </c>
      <c r="AB779" s="722"/>
      <c r="AF779" s="669"/>
    </row>
    <row r="780">
      <c r="A780" s="675"/>
      <c r="B780" s="681" t="s">
        <v>26</v>
      </c>
      <c r="C780" s="682" t="s">
        <v>915</v>
      </c>
      <c r="D780" s="682" t="s">
        <v>916</v>
      </c>
      <c r="E780" s="682" t="s">
        <v>449</v>
      </c>
      <c r="F780" s="682">
        <v>2021.0</v>
      </c>
      <c r="G780" s="683">
        <v>0.001870641</v>
      </c>
      <c r="H780" s="683">
        <v>0.001032321</v>
      </c>
      <c r="I780" s="684">
        <v>0.004519196</v>
      </c>
      <c r="K780" s="693" t="s">
        <v>41</v>
      </c>
      <c r="L780" s="694" t="s">
        <v>679</v>
      </c>
      <c r="M780" s="694" t="s">
        <v>915</v>
      </c>
      <c r="N780" s="694" t="s">
        <v>923</v>
      </c>
      <c r="O780" s="694">
        <v>2021.0</v>
      </c>
      <c r="P780" s="694" t="s">
        <v>919</v>
      </c>
      <c r="Q780" s="695" t="s">
        <v>112</v>
      </c>
      <c r="R780" s="696">
        <v>0.0</v>
      </c>
      <c r="S780" s="696">
        <v>0.0</v>
      </c>
      <c r="T780" s="697">
        <v>0.0</v>
      </c>
      <c r="AB780" s="722"/>
      <c r="AF780" s="669"/>
    </row>
    <row r="781">
      <c r="A781" s="675"/>
      <c r="B781" s="681" t="s">
        <v>26</v>
      </c>
      <c r="C781" s="682" t="s">
        <v>915</v>
      </c>
      <c r="D781" s="682" t="s">
        <v>922</v>
      </c>
      <c r="E781" s="682" t="s">
        <v>449</v>
      </c>
      <c r="F781" s="682">
        <v>2021.0</v>
      </c>
      <c r="G781" s="683">
        <v>0.004939422</v>
      </c>
      <c r="H781" s="683">
        <v>0.002950533</v>
      </c>
      <c r="I781" s="684">
        <v>0.010842141</v>
      </c>
      <c r="K781" s="693" t="s">
        <v>41</v>
      </c>
      <c r="L781" s="694" t="s">
        <v>679</v>
      </c>
      <c r="M781" s="694" t="s">
        <v>915</v>
      </c>
      <c r="N781" s="694" t="s">
        <v>925</v>
      </c>
      <c r="O781" s="694">
        <v>2021.0</v>
      </c>
      <c r="P781" s="694" t="s">
        <v>919</v>
      </c>
      <c r="Q781" s="695" t="s">
        <v>112</v>
      </c>
      <c r="R781" s="696">
        <v>0.0</v>
      </c>
      <c r="S781" s="696">
        <v>0.0</v>
      </c>
      <c r="T781" s="697">
        <v>0.0</v>
      </c>
      <c r="AB781" s="722"/>
      <c r="AF781" s="669"/>
    </row>
    <row r="782">
      <c r="A782" s="675"/>
      <c r="B782" s="681" t="s">
        <v>26</v>
      </c>
      <c r="C782" s="682" t="s">
        <v>915</v>
      </c>
      <c r="D782" s="682" t="s">
        <v>924</v>
      </c>
      <c r="E782" s="682" t="s">
        <v>449</v>
      </c>
      <c r="F782" s="682">
        <v>2021.0</v>
      </c>
      <c r="G782" s="683">
        <v>9.20251E-4</v>
      </c>
      <c r="H782" s="683">
        <v>5.47749E-4</v>
      </c>
      <c r="I782" s="684">
        <v>0.001801795</v>
      </c>
      <c r="K782" s="693" t="s">
        <v>41</v>
      </c>
      <c r="L782" s="694" t="s">
        <v>679</v>
      </c>
      <c r="M782" s="694" t="s">
        <v>915</v>
      </c>
      <c r="N782" s="694" t="s">
        <v>927</v>
      </c>
      <c r="O782" s="694">
        <v>2021.0</v>
      </c>
      <c r="P782" s="694" t="s">
        <v>919</v>
      </c>
      <c r="Q782" s="695" t="s">
        <v>112</v>
      </c>
      <c r="R782" s="696">
        <v>8.324464269</v>
      </c>
      <c r="S782" s="696">
        <v>1.916677761</v>
      </c>
      <c r="T782" s="697">
        <v>20.75336308</v>
      </c>
      <c r="AB782" s="722"/>
      <c r="AF782" s="669"/>
    </row>
    <row r="783">
      <c r="A783" s="675"/>
      <c r="B783" s="681" t="s">
        <v>26</v>
      </c>
      <c r="C783" s="682" t="s">
        <v>915</v>
      </c>
      <c r="D783" s="682" t="s">
        <v>926</v>
      </c>
      <c r="E783" s="682" t="s">
        <v>449</v>
      </c>
      <c r="F783" s="682">
        <v>2021.0</v>
      </c>
      <c r="G783" s="683">
        <v>0.006177361</v>
      </c>
      <c r="H783" s="683">
        <v>0.00367087</v>
      </c>
      <c r="I783" s="684">
        <v>0.010085628</v>
      </c>
      <c r="K783" s="693" t="s">
        <v>41</v>
      </c>
      <c r="L783" s="694" t="s">
        <v>679</v>
      </c>
      <c r="M783" s="694" t="s">
        <v>915</v>
      </c>
      <c r="N783" s="694" t="s">
        <v>926</v>
      </c>
      <c r="O783" s="694">
        <v>2021.0</v>
      </c>
      <c r="P783" s="694" t="s">
        <v>919</v>
      </c>
      <c r="Q783" s="695" t="s">
        <v>112</v>
      </c>
      <c r="R783" s="696">
        <v>27.52427559</v>
      </c>
      <c r="S783" s="696">
        <v>6.363410699</v>
      </c>
      <c r="T783" s="697">
        <v>72.47329002</v>
      </c>
      <c r="AB783" s="722"/>
      <c r="AF783" s="669"/>
    </row>
    <row r="784">
      <c r="A784" s="675"/>
      <c r="B784" s="681" t="s">
        <v>42</v>
      </c>
      <c r="C784" s="682" t="s">
        <v>915</v>
      </c>
      <c r="D784" s="682" t="s">
        <v>916</v>
      </c>
      <c r="E784" s="682" t="s">
        <v>449</v>
      </c>
      <c r="F784" s="682">
        <v>2021.0</v>
      </c>
      <c r="G784" s="683">
        <v>0.001031929</v>
      </c>
      <c r="H784" s="683">
        <v>5.48097E-4</v>
      </c>
      <c r="I784" s="684">
        <v>0.001829657</v>
      </c>
      <c r="K784" s="693" t="s">
        <v>26</v>
      </c>
      <c r="L784" s="694" t="s">
        <v>679</v>
      </c>
      <c r="M784" s="694" t="s">
        <v>915</v>
      </c>
      <c r="N784" s="694" t="s">
        <v>918</v>
      </c>
      <c r="O784" s="694">
        <v>2021.0</v>
      </c>
      <c r="P784" s="694" t="s">
        <v>919</v>
      </c>
      <c r="Q784" s="695" t="s">
        <v>112</v>
      </c>
      <c r="R784" s="696">
        <v>349.0641597</v>
      </c>
      <c r="S784" s="696">
        <v>158.4624703</v>
      </c>
      <c r="T784" s="697">
        <v>611.4142249</v>
      </c>
      <c r="AB784" s="722"/>
      <c r="AF784" s="669"/>
    </row>
    <row r="785">
      <c r="A785" s="675"/>
      <c r="B785" s="681" t="s">
        <v>42</v>
      </c>
      <c r="C785" s="682" t="s">
        <v>915</v>
      </c>
      <c r="D785" s="682" t="s">
        <v>922</v>
      </c>
      <c r="E785" s="682" t="s">
        <v>449</v>
      </c>
      <c r="F785" s="682">
        <v>2021.0</v>
      </c>
      <c r="G785" s="683">
        <v>0.003107491</v>
      </c>
      <c r="H785" s="683">
        <v>0.001901623</v>
      </c>
      <c r="I785" s="684">
        <v>0.004918686</v>
      </c>
      <c r="K785" s="693" t="s">
        <v>26</v>
      </c>
      <c r="L785" s="694" t="s">
        <v>679</v>
      </c>
      <c r="M785" s="694" t="s">
        <v>915</v>
      </c>
      <c r="N785" s="694" t="s">
        <v>923</v>
      </c>
      <c r="O785" s="694">
        <v>2021.0</v>
      </c>
      <c r="P785" s="694" t="s">
        <v>919</v>
      </c>
      <c r="Q785" s="695" t="s">
        <v>112</v>
      </c>
      <c r="R785" s="696">
        <v>0.0</v>
      </c>
      <c r="S785" s="696">
        <v>0.0</v>
      </c>
      <c r="T785" s="697">
        <v>0.0</v>
      </c>
      <c r="AB785" s="722"/>
      <c r="AF785" s="669"/>
    </row>
    <row r="786">
      <c r="A786" s="675"/>
      <c r="B786" s="681" t="s">
        <v>42</v>
      </c>
      <c r="C786" s="682" t="s">
        <v>915</v>
      </c>
      <c r="D786" s="682" t="s">
        <v>924</v>
      </c>
      <c r="E786" s="682" t="s">
        <v>449</v>
      </c>
      <c r="F786" s="682">
        <v>2021.0</v>
      </c>
      <c r="G786" s="683">
        <v>2.70451E-4</v>
      </c>
      <c r="H786" s="683">
        <v>1.36109E-4</v>
      </c>
      <c r="I786" s="684">
        <v>5.15841E-4</v>
      </c>
      <c r="K786" s="693" t="s">
        <v>26</v>
      </c>
      <c r="L786" s="694" t="s">
        <v>679</v>
      </c>
      <c r="M786" s="694" t="s">
        <v>915</v>
      </c>
      <c r="N786" s="694" t="s">
        <v>925</v>
      </c>
      <c r="O786" s="694">
        <v>2021.0</v>
      </c>
      <c r="P786" s="694" t="s">
        <v>919</v>
      </c>
      <c r="Q786" s="695" t="s">
        <v>112</v>
      </c>
      <c r="R786" s="696">
        <v>0.0</v>
      </c>
      <c r="S786" s="696">
        <v>0.0</v>
      </c>
      <c r="T786" s="697">
        <v>0.0</v>
      </c>
      <c r="AB786" s="722"/>
      <c r="AF786" s="669"/>
    </row>
    <row r="787">
      <c r="A787" s="675"/>
      <c r="B787" s="681" t="s">
        <v>42</v>
      </c>
      <c r="C787" s="682" t="s">
        <v>915</v>
      </c>
      <c r="D787" s="682" t="s">
        <v>926</v>
      </c>
      <c r="E787" s="682" t="s">
        <v>449</v>
      </c>
      <c r="F787" s="682">
        <v>2021.0</v>
      </c>
      <c r="G787" s="683">
        <v>0.00161615</v>
      </c>
      <c r="H787" s="683">
        <v>7.26625E-4</v>
      </c>
      <c r="I787" s="684">
        <v>0.003011659</v>
      </c>
      <c r="K787" s="693" t="s">
        <v>26</v>
      </c>
      <c r="L787" s="694" t="s">
        <v>679</v>
      </c>
      <c r="M787" s="694" t="s">
        <v>915</v>
      </c>
      <c r="N787" s="694" t="s">
        <v>927</v>
      </c>
      <c r="O787" s="694">
        <v>2021.0</v>
      </c>
      <c r="P787" s="694" t="s">
        <v>919</v>
      </c>
      <c r="Q787" s="695" t="s">
        <v>112</v>
      </c>
      <c r="R787" s="696">
        <v>123.6158501</v>
      </c>
      <c r="S787" s="696">
        <v>46.74860118</v>
      </c>
      <c r="T787" s="697">
        <v>229.1734299</v>
      </c>
      <c r="AB787" s="722"/>
      <c r="AF787" s="669"/>
    </row>
    <row r="788">
      <c r="A788" s="675"/>
      <c r="B788" s="681" t="s">
        <v>44</v>
      </c>
      <c r="C788" s="682" t="s">
        <v>915</v>
      </c>
      <c r="D788" s="682" t="s">
        <v>916</v>
      </c>
      <c r="E788" s="682" t="s">
        <v>449</v>
      </c>
      <c r="F788" s="682">
        <v>2021.0</v>
      </c>
      <c r="G788" s="683">
        <v>0.001314864</v>
      </c>
      <c r="H788" s="683">
        <v>6.90619E-4</v>
      </c>
      <c r="I788" s="684">
        <v>0.002364719</v>
      </c>
      <c r="K788" s="693" t="s">
        <v>26</v>
      </c>
      <c r="L788" s="694" t="s">
        <v>679</v>
      </c>
      <c r="M788" s="694" t="s">
        <v>915</v>
      </c>
      <c r="N788" s="694" t="s">
        <v>926</v>
      </c>
      <c r="O788" s="694">
        <v>2021.0</v>
      </c>
      <c r="P788" s="694" t="s">
        <v>919</v>
      </c>
      <c r="Q788" s="695" t="s">
        <v>112</v>
      </c>
      <c r="R788" s="696">
        <v>472.6800099</v>
      </c>
      <c r="S788" s="696">
        <v>213.2548657</v>
      </c>
      <c r="T788" s="697">
        <v>827.5711587</v>
      </c>
      <c r="AB788" s="722"/>
      <c r="AF788" s="669"/>
    </row>
    <row r="789">
      <c r="A789" s="675"/>
      <c r="B789" s="681" t="s">
        <v>44</v>
      </c>
      <c r="C789" s="682" t="s">
        <v>915</v>
      </c>
      <c r="D789" s="682" t="s">
        <v>922</v>
      </c>
      <c r="E789" s="682" t="s">
        <v>449</v>
      </c>
      <c r="F789" s="682">
        <v>2021.0</v>
      </c>
      <c r="G789" s="683">
        <v>0.003376875</v>
      </c>
      <c r="H789" s="683">
        <v>0.00209365</v>
      </c>
      <c r="I789" s="684">
        <v>0.005599037</v>
      </c>
      <c r="K789" s="693" t="s">
        <v>42</v>
      </c>
      <c r="L789" s="694" t="s">
        <v>679</v>
      </c>
      <c r="M789" s="694" t="s">
        <v>915</v>
      </c>
      <c r="N789" s="694" t="s">
        <v>918</v>
      </c>
      <c r="O789" s="694">
        <v>2021.0</v>
      </c>
      <c r="P789" s="694" t="s">
        <v>919</v>
      </c>
      <c r="Q789" s="695" t="s">
        <v>112</v>
      </c>
      <c r="R789" s="696">
        <v>5.626400767</v>
      </c>
      <c r="S789" s="696">
        <v>2.311864815</v>
      </c>
      <c r="T789" s="697">
        <v>10.18650183</v>
      </c>
      <c r="AB789" s="722"/>
      <c r="AF789" s="669"/>
    </row>
    <row r="790">
      <c r="A790" s="675"/>
      <c r="B790" s="681" t="s">
        <v>44</v>
      </c>
      <c r="C790" s="682" t="s">
        <v>915</v>
      </c>
      <c r="D790" s="682" t="s">
        <v>924</v>
      </c>
      <c r="E790" s="682" t="s">
        <v>449</v>
      </c>
      <c r="F790" s="682">
        <v>2021.0</v>
      </c>
      <c r="G790" s="683">
        <v>4.73177E-4</v>
      </c>
      <c r="H790" s="683">
        <v>2.74355E-4</v>
      </c>
      <c r="I790" s="684">
        <v>8.05737E-4</v>
      </c>
      <c r="K790" s="693" t="s">
        <v>42</v>
      </c>
      <c r="L790" s="694" t="s">
        <v>679</v>
      </c>
      <c r="M790" s="694" t="s">
        <v>915</v>
      </c>
      <c r="N790" s="694" t="s">
        <v>923</v>
      </c>
      <c r="O790" s="694">
        <v>2021.0</v>
      </c>
      <c r="P790" s="694" t="s">
        <v>919</v>
      </c>
      <c r="Q790" s="695" t="s">
        <v>112</v>
      </c>
      <c r="R790" s="696">
        <v>0.0</v>
      </c>
      <c r="S790" s="696">
        <v>0.0</v>
      </c>
      <c r="T790" s="697">
        <v>0.0</v>
      </c>
      <c r="AB790" s="722"/>
      <c r="AF790" s="669"/>
    </row>
    <row r="791">
      <c r="A791" s="675"/>
      <c r="B791" s="681" t="s">
        <v>44</v>
      </c>
      <c r="C791" s="682" t="s">
        <v>915</v>
      </c>
      <c r="D791" s="682" t="s">
        <v>926</v>
      </c>
      <c r="E791" s="682" t="s">
        <v>449</v>
      </c>
      <c r="F791" s="682">
        <v>2021.0</v>
      </c>
      <c r="G791" s="683">
        <v>0.002073541</v>
      </c>
      <c r="H791" s="683">
        <v>0.001105244</v>
      </c>
      <c r="I791" s="684">
        <v>0.003746888</v>
      </c>
      <c r="K791" s="693" t="s">
        <v>42</v>
      </c>
      <c r="L791" s="694" t="s">
        <v>679</v>
      </c>
      <c r="M791" s="694" t="s">
        <v>915</v>
      </c>
      <c r="N791" s="694" t="s">
        <v>925</v>
      </c>
      <c r="O791" s="694">
        <v>2021.0</v>
      </c>
      <c r="P791" s="694" t="s">
        <v>919</v>
      </c>
      <c r="Q791" s="695" t="s">
        <v>112</v>
      </c>
      <c r="R791" s="696">
        <v>0.0</v>
      </c>
      <c r="S791" s="696">
        <v>0.0</v>
      </c>
      <c r="T791" s="697">
        <v>0.0</v>
      </c>
      <c r="AB791" s="722"/>
      <c r="AF791" s="669"/>
    </row>
    <row r="792">
      <c r="A792" s="675"/>
      <c r="B792" s="681" t="s">
        <v>45</v>
      </c>
      <c r="C792" s="682" t="s">
        <v>915</v>
      </c>
      <c r="D792" s="682" t="s">
        <v>916</v>
      </c>
      <c r="E792" s="682" t="s">
        <v>449</v>
      </c>
      <c r="F792" s="682">
        <v>2021.0</v>
      </c>
      <c r="G792" s="683">
        <v>0.001184471</v>
      </c>
      <c r="H792" s="683">
        <v>5.67153E-4</v>
      </c>
      <c r="I792" s="684">
        <v>0.002856122</v>
      </c>
      <c r="K792" s="693" t="s">
        <v>42</v>
      </c>
      <c r="L792" s="694" t="s">
        <v>679</v>
      </c>
      <c r="M792" s="694" t="s">
        <v>915</v>
      </c>
      <c r="N792" s="694" t="s">
        <v>927</v>
      </c>
      <c r="O792" s="694">
        <v>2021.0</v>
      </c>
      <c r="P792" s="694" t="s">
        <v>919</v>
      </c>
      <c r="Q792" s="695" t="s">
        <v>112</v>
      </c>
      <c r="R792" s="696">
        <v>2.099747283</v>
      </c>
      <c r="S792" s="696">
        <v>0.823712758</v>
      </c>
      <c r="T792" s="697">
        <v>3.994740204</v>
      </c>
      <c r="AB792" s="722"/>
      <c r="AF792" s="669"/>
    </row>
    <row r="793">
      <c r="A793" s="675"/>
      <c r="B793" s="681" t="s">
        <v>45</v>
      </c>
      <c r="C793" s="682" t="s">
        <v>915</v>
      </c>
      <c r="D793" s="682" t="s">
        <v>922</v>
      </c>
      <c r="E793" s="682" t="s">
        <v>449</v>
      </c>
      <c r="F793" s="682">
        <v>2021.0</v>
      </c>
      <c r="G793" s="683">
        <v>0.003468907</v>
      </c>
      <c r="H793" s="683">
        <v>0.001867189</v>
      </c>
      <c r="I793" s="684">
        <v>0.008222579</v>
      </c>
      <c r="K793" s="693" t="s">
        <v>42</v>
      </c>
      <c r="L793" s="694" t="s">
        <v>679</v>
      </c>
      <c r="M793" s="694" t="s">
        <v>915</v>
      </c>
      <c r="N793" s="694" t="s">
        <v>926</v>
      </c>
      <c r="O793" s="694">
        <v>2021.0</v>
      </c>
      <c r="P793" s="694" t="s">
        <v>919</v>
      </c>
      <c r="Q793" s="695" t="s">
        <v>112</v>
      </c>
      <c r="R793" s="696">
        <v>7.726148051</v>
      </c>
      <c r="S793" s="696">
        <v>3.132881883</v>
      </c>
      <c r="T793" s="697">
        <v>14.07578248</v>
      </c>
      <c r="AB793" s="722"/>
      <c r="AF793" s="669"/>
    </row>
    <row r="794">
      <c r="A794" s="675"/>
      <c r="B794" s="681" t="s">
        <v>45</v>
      </c>
      <c r="C794" s="682" t="s">
        <v>915</v>
      </c>
      <c r="D794" s="682" t="s">
        <v>924</v>
      </c>
      <c r="E794" s="682" t="s">
        <v>449</v>
      </c>
      <c r="F794" s="682">
        <v>2021.0</v>
      </c>
      <c r="G794" s="683">
        <v>4.0184E-4</v>
      </c>
      <c r="H794" s="683">
        <v>2.19057E-4</v>
      </c>
      <c r="I794" s="684">
        <v>9.31221E-4</v>
      </c>
      <c r="K794" s="693" t="s">
        <v>44</v>
      </c>
      <c r="L794" s="694" t="s">
        <v>679</v>
      </c>
      <c r="M794" s="694" t="s">
        <v>915</v>
      </c>
      <c r="N794" s="694" t="s">
        <v>918</v>
      </c>
      <c r="O794" s="694">
        <v>2021.0</v>
      </c>
      <c r="P794" s="694" t="s">
        <v>919</v>
      </c>
      <c r="Q794" s="695" t="s">
        <v>112</v>
      </c>
      <c r="R794" s="696">
        <v>57.66645865</v>
      </c>
      <c r="S794" s="696">
        <v>24.62629606</v>
      </c>
      <c r="T794" s="697">
        <v>101.3639728</v>
      </c>
      <c r="AB794" s="722"/>
      <c r="AF794" s="669"/>
    </row>
    <row r="795">
      <c r="A795" s="675"/>
      <c r="B795" s="681" t="s">
        <v>45</v>
      </c>
      <c r="C795" s="682" t="s">
        <v>915</v>
      </c>
      <c r="D795" s="682" t="s">
        <v>926</v>
      </c>
      <c r="E795" s="682" t="s">
        <v>449</v>
      </c>
      <c r="F795" s="682">
        <v>2021.0</v>
      </c>
      <c r="G795" s="683">
        <v>0.001666184</v>
      </c>
      <c r="H795" s="683">
        <v>8.81942E-4</v>
      </c>
      <c r="I795" s="684">
        <v>0.002851275</v>
      </c>
      <c r="K795" s="693" t="s">
        <v>44</v>
      </c>
      <c r="L795" s="694" t="s">
        <v>679</v>
      </c>
      <c r="M795" s="694" t="s">
        <v>915</v>
      </c>
      <c r="N795" s="694" t="s">
        <v>923</v>
      </c>
      <c r="O795" s="694">
        <v>2021.0</v>
      </c>
      <c r="P795" s="694" t="s">
        <v>919</v>
      </c>
      <c r="Q795" s="695" t="s">
        <v>112</v>
      </c>
      <c r="R795" s="696">
        <v>0.0</v>
      </c>
      <c r="S795" s="696">
        <v>0.0</v>
      </c>
      <c r="T795" s="697">
        <v>0.0</v>
      </c>
      <c r="AB795" s="722"/>
      <c r="AF795" s="669"/>
    </row>
    <row r="796">
      <c r="A796" s="675"/>
      <c r="B796" s="681" t="s">
        <v>46</v>
      </c>
      <c r="C796" s="682" t="s">
        <v>915</v>
      </c>
      <c r="D796" s="682" t="s">
        <v>916</v>
      </c>
      <c r="E796" s="682" t="s">
        <v>449</v>
      </c>
      <c r="F796" s="682">
        <v>2021.0</v>
      </c>
      <c r="G796" s="683">
        <v>8.96409E-4</v>
      </c>
      <c r="H796" s="683">
        <v>5.03504E-4</v>
      </c>
      <c r="I796" s="684">
        <v>0.001480301</v>
      </c>
      <c r="K796" s="693" t="s">
        <v>44</v>
      </c>
      <c r="L796" s="694" t="s">
        <v>679</v>
      </c>
      <c r="M796" s="694" t="s">
        <v>915</v>
      </c>
      <c r="N796" s="694" t="s">
        <v>925</v>
      </c>
      <c r="O796" s="694">
        <v>2021.0</v>
      </c>
      <c r="P796" s="694" t="s">
        <v>919</v>
      </c>
      <c r="Q796" s="695" t="s">
        <v>112</v>
      </c>
      <c r="R796" s="696">
        <v>0.0</v>
      </c>
      <c r="S796" s="696">
        <v>0.0</v>
      </c>
      <c r="T796" s="697">
        <v>0.0</v>
      </c>
      <c r="AB796" s="722"/>
      <c r="AF796" s="669"/>
    </row>
    <row r="797">
      <c r="A797" s="675"/>
      <c r="B797" s="681" t="s">
        <v>46</v>
      </c>
      <c r="C797" s="682" t="s">
        <v>915</v>
      </c>
      <c r="D797" s="682" t="s">
        <v>922</v>
      </c>
      <c r="E797" s="682" t="s">
        <v>449</v>
      </c>
      <c r="F797" s="682">
        <v>2021.0</v>
      </c>
      <c r="G797" s="683">
        <v>0.002667023</v>
      </c>
      <c r="H797" s="683">
        <v>0.001743645</v>
      </c>
      <c r="I797" s="684">
        <v>0.004043818</v>
      </c>
      <c r="K797" s="693" t="s">
        <v>44</v>
      </c>
      <c r="L797" s="694" t="s">
        <v>679</v>
      </c>
      <c r="M797" s="694" t="s">
        <v>915</v>
      </c>
      <c r="N797" s="694" t="s">
        <v>927</v>
      </c>
      <c r="O797" s="694">
        <v>2021.0</v>
      </c>
      <c r="P797" s="694" t="s">
        <v>919</v>
      </c>
      <c r="Q797" s="695" t="s">
        <v>112</v>
      </c>
      <c r="R797" s="696">
        <v>28.50790177</v>
      </c>
      <c r="S797" s="696">
        <v>11.49726333</v>
      </c>
      <c r="T797" s="697">
        <v>52.10321734</v>
      </c>
      <c r="AB797" s="722"/>
      <c r="AF797" s="669"/>
    </row>
    <row r="798">
      <c r="A798" s="675"/>
      <c r="B798" s="681" t="s">
        <v>46</v>
      </c>
      <c r="C798" s="682" t="s">
        <v>915</v>
      </c>
      <c r="D798" s="682" t="s">
        <v>924</v>
      </c>
      <c r="E798" s="682" t="s">
        <v>449</v>
      </c>
      <c r="F798" s="682">
        <v>2021.0</v>
      </c>
      <c r="G798" s="683">
        <v>2.49085E-4</v>
      </c>
      <c r="H798" s="683">
        <v>1.39718E-4</v>
      </c>
      <c r="I798" s="684">
        <v>4.73334E-4</v>
      </c>
      <c r="K798" s="693" t="s">
        <v>44</v>
      </c>
      <c r="L798" s="694" t="s">
        <v>679</v>
      </c>
      <c r="M798" s="694" t="s">
        <v>915</v>
      </c>
      <c r="N798" s="694" t="s">
        <v>926</v>
      </c>
      <c r="O798" s="694">
        <v>2021.0</v>
      </c>
      <c r="P798" s="694" t="s">
        <v>919</v>
      </c>
      <c r="Q798" s="695" t="s">
        <v>112</v>
      </c>
      <c r="R798" s="696">
        <v>86.17436042</v>
      </c>
      <c r="S798" s="696">
        <v>36.73377603</v>
      </c>
      <c r="T798" s="697">
        <v>151.3481514</v>
      </c>
      <c r="AB798" s="722"/>
      <c r="AF798" s="669"/>
    </row>
    <row r="799">
      <c r="A799" s="675"/>
      <c r="B799" s="681" t="s">
        <v>46</v>
      </c>
      <c r="C799" s="682" t="s">
        <v>915</v>
      </c>
      <c r="D799" s="682" t="s">
        <v>926</v>
      </c>
      <c r="E799" s="682" t="s">
        <v>449</v>
      </c>
      <c r="F799" s="682">
        <v>2021.0</v>
      </c>
      <c r="G799" s="683">
        <v>0.001242412</v>
      </c>
      <c r="H799" s="683">
        <v>5.49226E-4</v>
      </c>
      <c r="I799" s="684">
        <v>0.002347666</v>
      </c>
      <c r="K799" s="693" t="s">
        <v>45</v>
      </c>
      <c r="L799" s="694" t="s">
        <v>679</v>
      </c>
      <c r="M799" s="694" t="s">
        <v>915</v>
      </c>
      <c r="N799" s="694" t="s">
        <v>918</v>
      </c>
      <c r="O799" s="694">
        <v>2021.0</v>
      </c>
      <c r="P799" s="694" t="s">
        <v>919</v>
      </c>
      <c r="Q799" s="695" t="s">
        <v>112</v>
      </c>
      <c r="R799" s="696">
        <v>67.86497675</v>
      </c>
      <c r="S799" s="696">
        <v>28.8759374</v>
      </c>
      <c r="T799" s="697">
        <v>120.3632788</v>
      </c>
      <c r="AB799" s="722"/>
      <c r="AF799" s="669"/>
    </row>
    <row r="800">
      <c r="A800" s="675"/>
      <c r="B800" s="681" t="s">
        <v>47</v>
      </c>
      <c r="C800" s="682" t="s">
        <v>915</v>
      </c>
      <c r="D800" s="682" t="s">
        <v>916</v>
      </c>
      <c r="E800" s="682" t="s">
        <v>449</v>
      </c>
      <c r="F800" s="682">
        <v>2021.0</v>
      </c>
      <c r="G800" s="683">
        <v>9.84157E-4</v>
      </c>
      <c r="H800" s="683">
        <v>5.0098E-4</v>
      </c>
      <c r="I800" s="684">
        <v>0.001781762</v>
      </c>
      <c r="K800" s="693" t="s">
        <v>45</v>
      </c>
      <c r="L800" s="694" t="s">
        <v>679</v>
      </c>
      <c r="M800" s="694" t="s">
        <v>915</v>
      </c>
      <c r="N800" s="694" t="s">
        <v>923</v>
      </c>
      <c r="O800" s="694">
        <v>2021.0</v>
      </c>
      <c r="P800" s="694" t="s">
        <v>919</v>
      </c>
      <c r="Q800" s="695" t="s">
        <v>112</v>
      </c>
      <c r="R800" s="696">
        <v>0.0</v>
      </c>
      <c r="S800" s="696">
        <v>0.0</v>
      </c>
      <c r="T800" s="697">
        <v>0.0</v>
      </c>
      <c r="AB800" s="722"/>
      <c r="AF800" s="669"/>
    </row>
    <row r="801">
      <c r="A801" s="675"/>
      <c r="B801" s="681" t="s">
        <v>47</v>
      </c>
      <c r="C801" s="682" t="s">
        <v>915</v>
      </c>
      <c r="D801" s="682" t="s">
        <v>922</v>
      </c>
      <c r="E801" s="682" t="s">
        <v>449</v>
      </c>
      <c r="F801" s="682">
        <v>2021.0</v>
      </c>
      <c r="G801" s="683">
        <v>0.002366756</v>
      </c>
      <c r="H801" s="683">
        <v>0.001424883</v>
      </c>
      <c r="I801" s="684">
        <v>0.00379388</v>
      </c>
      <c r="K801" s="693" t="s">
        <v>45</v>
      </c>
      <c r="L801" s="694" t="s">
        <v>679</v>
      </c>
      <c r="M801" s="694" t="s">
        <v>915</v>
      </c>
      <c r="N801" s="694" t="s">
        <v>925</v>
      </c>
      <c r="O801" s="694">
        <v>2021.0</v>
      </c>
      <c r="P801" s="694" t="s">
        <v>919</v>
      </c>
      <c r="Q801" s="695" t="s">
        <v>112</v>
      </c>
      <c r="R801" s="696">
        <v>0.0</v>
      </c>
      <c r="S801" s="696">
        <v>0.0</v>
      </c>
      <c r="T801" s="697">
        <v>0.0</v>
      </c>
      <c r="AB801" s="722"/>
      <c r="AF801" s="669"/>
    </row>
    <row r="802">
      <c r="A802" s="675"/>
      <c r="B802" s="681" t="s">
        <v>47</v>
      </c>
      <c r="C802" s="682" t="s">
        <v>915</v>
      </c>
      <c r="D802" s="682" t="s">
        <v>924</v>
      </c>
      <c r="E802" s="682" t="s">
        <v>449</v>
      </c>
      <c r="F802" s="682">
        <v>2021.0</v>
      </c>
      <c r="G802" s="683">
        <v>3.25336E-4</v>
      </c>
      <c r="H802" s="683">
        <v>1.47905E-4</v>
      </c>
      <c r="I802" s="684">
        <v>6.24503E-4</v>
      </c>
      <c r="K802" s="693" t="s">
        <v>45</v>
      </c>
      <c r="L802" s="694" t="s">
        <v>679</v>
      </c>
      <c r="M802" s="694" t="s">
        <v>915</v>
      </c>
      <c r="N802" s="694" t="s">
        <v>927</v>
      </c>
      <c r="O802" s="694">
        <v>2021.0</v>
      </c>
      <c r="P802" s="694" t="s">
        <v>919</v>
      </c>
      <c r="Q802" s="695" t="s">
        <v>112</v>
      </c>
      <c r="R802" s="696">
        <v>29.56511455</v>
      </c>
      <c r="S802" s="696">
        <v>11.76702672</v>
      </c>
      <c r="T802" s="697">
        <v>53.60877778</v>
      </c>
      <c r="AB802" s="722"/>
      <c r="AF802" s="669"/>
    </row>
    <row r="803">
      <c r="A803" s="675"/>
      <c r="B803" s="681" t="s">
        <v>47</v>
      </c>
      <c r="C803" s="682" t="s">
        <v>915</v>
      </c>
      <c r="D803" s="682" t="s">
        <v>926</v>
      </c>
      <c r="E803" s="682" t="s">
        <v>449</v>
      </c>
      <c r="F803" s="682">
        <v>2021.0</v>
      </c>
      <c r="G803" s="683">
        <v>0.001657807</v>
      </c>
      <c r="H803" s="683">
        <v>7.08112E-4</v>
      </c>
      <c r="I803" s="684">
        <v>0.003110497</v>
      </c>
      <c r="K803" s="693" t="s">
        <v>45</v>
      </c>
      <c r="L803" s="694" t="s">
        <v>679</v>
      </c>
      <c r="M803" s="694" t="s">
        <v>915</v>
      </c>
      <c r="N803" s="694" t="s">
        <v>926</v>
      </c>
      <c r="O803" s="694">
        <v>2021.0</v>
      </c>
      <c r="P803" s="694" t="s">
        <v>919</v>
      </c>
      <c r="Q803" s="695" t="s">
        <v>112</v>
      </c>
      <c r="R803" s="696">
        <v>97.4300913</v>
      </c>
      <c r="S803" s="696">
        <v>42.86867365</v>
      </c>
      <c r="T803" s="697">
        <v>170.8403692</v>
      </c>
      <c r="AB803" s="722"/>
      <c r="AF803" s="669"/>
    </row>
    <row r="804">
      <c r="A804" s="675"/>
      <c r="B804" s="681" t="s">
        <v>48</v>
      </c>
      <c r="C804" s="682" t="s">
        <v>915</v>
      </c>
      <c r="D804" s="682" t="s">
        <v>916</v>
      </c>
      <c r="E804" s="682" t="s">
        <v>449</v>
      </c>
      <c r="F804" s="682">
        <v>2021.0</v>
      </c>
      <c r="G804" s="683">
        <v>0.001159156</v>
      </c>
      <c r="H804" s="683">
        <v>5.9798E-4</v>
      </c>
      <c r="I804" s="684">
        <v>0.002041158</v>
      </c>
      <c r="K804" s="693" t="s">
        <v>46</v>
      </c>
      <c r="L804" s="694" t="s">
        <v>679</v>
      </c>
      <c r="M804" s="694" t="s">
        <v>915</v>
      </c>
      <c r="N804" s="694" t="s">
        <v>918</v>
      </c>
      <c r="O804" s="694">
        <v>2021.0</v>
      </c>
      <c r="P804" s="694" t="s">
        <v>919</v>
      </c>
      <c r="Q804" s="695" t="s">
        <v>112</v>
      </c>
      <c r="R804" s="696">
        <v>10.74708848</v>
      </c>
      <c r="S804" s="696">
        <v>4.569104629</v>
      </c>
      <c r="T804" s="697">
        <v>19.43991915</v>
      </c>
      <c r="AB804" s="722"/>
      <c r="AF804" s="669"/>
    </row>
    <row r="805">
      <c r="A805" s="675"/>
      <c r="B805" s="681" t="s">
        <v>48</v>
      </c>
      <c r="C805" s="682" t="s">
        <v>915</v>
      </c>
      <c r="D805" s="682" t="s">
        <v>922</v>
      </c>
      <c r="E805" s="682" t="s">
        <v>449</v>
      </c>
      <c r="F805" s="682">
        <v>2021.0</v>
      </c>
      <c r="G805" s="683">
        <v>0.002996523</v>
      </c>
      <c r="H805" s="683">
        <v>0.001869657</v>
      </c>
      <c r="I805" s="684">
        <v>0.004568965</v>
      </c>
      <c r="K805" s="693" t="s">
        <v>46</v>
      </c>
      <c r="L805" s="694" t="s">
        <v>679</v>
      </c>
      <c r="M805" s="694" t="s">
        <v>915</v>
      </c>
      <c r="N805" s="694" t="s">
        <v>923</v>
      </c>
      <c r="O805" s="694">
        <v>2021.0</v>
      </c>
      <c r="P805" s="694" t="s">
        <v>919</v>
      </c>
      <c r="Q805" s="695" t="s">
        <v>112</v>
      </c>
      <c r="R805" s="696">
        <v>0.0</v>
      </c>
      <c r="S805" s="696">
        <v>0.0</v>
      </c>
      <c r="T805" s="697">
        <v>0.0</v>
      </c>
      <c r="AB805" s="722"/>
      <c r="AF805" s="669"/>
    </row>
    <row r="806">
      <c r="A806" s="675"/>
      <c r="B806" s="681" t="s">
        <v>48</v>
      </c>
      <c r="C806" s="682" t="s">
        <v>915</v>
      </c>
      <c r="D806" s="682" t="s">
        <v>924</v>
      </c>
      <c r="E806" s="682" t="s">
        <v>449</v>
      </c>
      <c r="F806" s="682">
        <v>2021.0</v>
      </c>
      <c r="G806" s="683">
        <v>4.45482E-4</v>
      </c>
      <c r="H806" s="683">
        <v>2.1893E-4</v>
      </c>
      <c r="I806" s="684">
        <v>8.0997E-4</v>
      </c>
      <c r="K806" s="693" t="s">
        <v>46</v>
      </c>
      <c r="L806" s="694" t="s">
        <v>679</v>
      </c>
      <c r="M806" s="694" t="s">
        <v>915</v>
      </c>
      <c r="N806" s="694" t="s">
        <v>925</v>
      </c>
      <c r="O806" s="694">
        <v>2021.0</v>
      </c>
      <c r="P806" s="694" t="s">
        <v>919</v>
      </c>
      <c r="Q806" s="695" t="s">
        <v>112</v>
      </c>
      <c r="R806" s="696">
        <v>0.0</v>
      </c>
      <c r="S806" s="696">
        <v>0.0</v>
      </c>
      <c r="T806" s="697">
        <v>0.0</v>
      </c>
      <c r="AB806" s="722"/>
      <c r="AF806" s="669"/>
    </row>
    <row r="807">
      <c r="A807" s="675"/>
      <c r="B807" s="681" t="s">
        <v>48</v>
      </c>
      <c r="C807" s="682" t="s">
        <v>915</v>
      </c>
      <c r="D807" s="682" t="s">
        <v>926</v>
      </c>
      <c r="E807" s="682" t="s">
        <v>449</v>
      </c>
      <c r="F807" s="682">
        <v>2021.0</v>
      </c>
      <c r="G807" s="683">
        <v>0.002014104</v>
      </c>
      <c r="H807" s="683">
        <v>9.49286E-4</v>
      </c>
      <c r="I807" s="684">
        <v>0.00358495</v>
      </c>
      <c r="K807" s="693" t="s">
        <v>46</v>
      </c>
      <c r="L807" s="694" t="s">
        <v>679</v>
      </c>
      <c r="M807" s="694" t="s">
        <v>915</v>
      </c>
      <c r="N807" s="694" t="s">
        <v>927</v>
      </c>
      <c r="O807" s="694">
        <v>2021.0</v>
      </c>
      <c r="P807" s="694" t="s">
        <v>919</v>
      </c>
      <c r="Q807" s="695" t="s">
        <v>112</v>
      </c>
      <c r="R807" s="696">
        <v>3.708497067</v>
      </c>
      <c r="S807" s="696">
        <v>1.405826123</v>
      </c>
      <c r="T807" s="697">
        <v>7.127972935</v>
      </c>
      <c r="AB807" s="722"/>
      <c r="AF807" s="669"/>
    </row>
    <row r="808">
      <c r="A808" s="675"/>
      <c r="B808" s="681" t="s">
        <v>49</v>
      </c>
      <c r="C808" s="682" t="s">
        <v>915</v>
      </c>
      <c r="D808" s="682" t="s">
        <v>916</v>
      </c>
      <c r="E808" s="682" t="s">
        <v>449</v>
      </c>
      <c r="F808" s="682">
        <v>2021.0</v>
      </c>
      <c r="G808" s="683">
        <v>8.78335E-4</v>
      </c>
      <c r="H808" s="683">
        <v>4.51066E-4</v>
      </c>
      <c r="I808" s="684">
        <v>0.001528327</v>
      </c>
      <c r="K808" s="693" t="s">
        <v>46</v>
      </c>
      <c r="L808" s="694" t="s">
        <v>679</v>
      </c>
      <c r="M808" s="694" t="s">
        <v>915</v>
      </c>
      <c r="N808" s="694" t="s">
        <v>926</v>
      </c>
      <c r="O808" s="694">
        <v>2021.0</v>
      </c>
      <c r="P808" s="694" t="s">
        <v>919</v>
      </c>
      <c r="Q808" s="695" t="s">
        <v>112</v>
      </c>
      <c r="R808" s="696">
        <v>14.45558554</v>
      </c>
      <c r="S808" s="696">
        <v>6.094066351</v>
      </c>
      <c r="T808" s="697">
        <v>26.28919557</v>
      </c>
      <c r="AB808" s="722"/>
      <c r="AF808" s="669"/>
    </row>
    <row r="809">
      <c r="A809" s="675"/>
      <c r="B809" s="681" t="s">
        <v>49</v>
      </c>
      <c r="C809" s="682" t="s">
        <v>915</v>
      </c>
      <c r="D809" s="682" t="s">
        <v>922</v>
      </c>
      <c r="E809" s="682" t="s">
        <v>449</v>
      </c>
      <c r="F809" s="682">
        <v>2021.0</v>
      </c>
      <c r="G809" s="683">
        <v>0.002092001</v>
      </c>
      <c r="H809" s="683">
        <v>0.001250356</v>
      </c>
      <c r="I809" s="684">
        <v>0.003375203</v>
      </c>
      <c r="K809" s="693" t="s">
        <v>47</v>
      </c>
      <c r="L809" s="694" t="s">
        <v>679</v>
      </c>
      <c r="M809" s="694" t="s">
        <v>915</v>
      </c>
      <c r="N809" s="694" t="s">
        <v>918</v>
      </c>
      <c r="O809" s="694">
        <v>2021.0</v>
      </c>
      <c r="P809" s="694" t="s">
        <v>919</v>
      </c>
      <c r="Q809" s="695" t="s">
        <v>112</v>
      </c>
      <c r="R809" s="696">
        <v>17.17700296</v>
      </c>
      <c r="S809" s="696">
        <v>5.939272457</v>
      </c>
      <c r="T809" s="697">
        <v>33.50432277</v>
      </c>
      <c r="AB809" s="722"/>
      <c r="AF809" s="669"/>
    </row>
    <row r="810">
      <c r="A810" s="675"/>
      <c r="B810" s="681" t="s">
        <v>49</v>
      </c>
      <c r="C810" s="682" t="s">
        <v>915</v>
      </c>
      <c r="D810" s="682" t="s">
        <v>924</v>
      </c>
      <c r="E810" s="682" t="s">
        <v>449</v>
      </c>
      <c r="F810" s="682">
        <v>2021.0</v>
      </c>
      <c r="G810" s="683">
        <v>2.59059E-4</v>
      </c>
      <c r="H810" s="683">
        <v>1.18343E-4</v>
      </c>
      <c r="I810" s="684">
        <v>5.25391E-4</v>
      </c>
      <c r="K810" s="693" t="s">
        <v>47</v>
      </c>
      <c r="L810" s="694" t="s">
        <v>679</v>
      </c>
      <c r="M810" s="694" t="s">
        <v>915</v>
      </c>
      <c r="N810" s="694" t="s">
        <v>923</v>
      </c>
      <c r="O810" s="694">
        <v>2021.0</v>
      </c>
      <c r="P810" s="694" t="s">
        <v>919</v>
      </c>
      <c r="Q810" s="695" t="s">
        <v>112</v>
      </c>
      <c r="R810" s="696">
        <v>0.0</v>
      </c>
      <c r="S810" s="696">
        <v>0.0</v>
      </c>
      <c r="T810" s="697">
        <v>0.0</v>
      </c>
      <c r="AB810" s="722"/>
      <c r="AF810" s="669"/>
    </row>
    <row r="811">
      <c r="A811" s="675"/>
      <c r="B811" s="681" t="s">
        <v>49</v>
      </c>
      <c r="C811" s="682" t="s">
        <v>915</v>
      </c>
      <c r="D811" s="682" t="s">
        <v>926</v>
      </c>
      <c r="E811" s="682" t="s">
        <v>449</v>
      </c>
      <c r="F811" s="682">
        <v>2021.0</v>
      </c>
      <c r="G811" s="683">
        <v>0.0015937</v>
      </c>
      <c r="H811" s="683">
        <v>6.03704E-4</v>
      </c>
      <c r="I811" s="684">
        <v>0.003234175</v>
      </c>
      <c r="K811" s="693" t="s">
        <v>47</v>
      </c>
      <c r="L811" s="694" t="s">
        <v>679</v>
      </c>
      <c r="M811" s="694" t="s">
        <v>915</v>
      </c>
      <c r="N811" s="694" t="s">
        <v>925</v>
      </c>
      <c r="O811" s="694">
        <v>2021.0</v>
      </c>
      <c r="P811" s="694" t="s">
        <v>919</v>
      </c>
      <c r="Q811" s="695" t="s">
        <v>112</v>
      </c>
      <c r="R811" s="696">
        <v>0.0</v>
      </c>
      <c r="S811" s="696">
        <v>0.0</v>
      </c>
      <c r="T811" s="697">
        <v>0.0</v>
      </c>
      <c r="AB811" s="722"/>
      <c r="AF811" s="669"/>
    </row>
    <row r="812">
      <c r="A812" s="675"/>
      <c r="B812" s="681" t="s">
        <v>50</v>
      </c>
      <c r="C812" s="682" t="s">
        <v>915</v>
      </c>
      <c r="D812" s="682" t="s">
        <v>916</v>
      </c>
      <c r="E812" s="682" t="s">
        <v>449</v>
      </c>
      <c r="F812" s="682">
        <v>2021.0</v>
      </c>
      <c r="G812" s="683">
        <v>7.71143E-4</v>
      </c>
      <c r="H812" s="683">
        <v>3.64979E-4</v>
      </c>
      <c r="I812" s="684">
        <v>0.001376917</v>
      </c>
      <c r="K812" s="693" t="s">
        <v>47</v>
      </c>
      <c r="L812" s="694" t="s">
        <v>679</v>
      </c>
      <c r="M812" s="694" t="s">
        <v>915</v>
      </c>
      <c r="N812" s="694" t="s">
        <v>927</v>
      </c>
      <c r="O812" s="694">
        <v>2021.0</v>
      </c>
      <c r="P812" s="694" t="s">
        <v>919</v>
      </c>
      <c r="Q812" s="695" t="s">
        <v>112</v>
      </c>
      <c r="R812" s="696">
        <v>7.372635941</v>
      </c>
      <c r="S812" s="696">
        <v>2.674582209</v>
      </c>
      <c r="T812" s="697">
        <v>14.44473175</v>
      </c>
      <c r="AB812" s="722"/>
      <c r="AF812" s="669"/>
    </row>
    <row r="813">
      <c r="A813" s="675"/>
      <c r="B813" s="681" t="s">
        <v>50</v>
      </c>
      <c r="C813" s="682" t="s">
        <v>915</v>
      </c>
      <c r="D813" s="682" t="s">
        <v>922</v>
      </c>
      <c r="E813" s="682" t="s">
        <v>449</v>
      </c>
      <c r="F813" s="682">
        <v>2021.0</v>
      </c>
      <c r="G813" s="683">
        <v>0.002224215</v>
      </c>
      <c r="H813" s="683">
        <v>0.001305011</v>
      </c>
      <c r="I813" s="684">
        <v>0.003416608</v>
      </c>
      <c r="K813" s="693" t="s">
        <v>47</v>
      </c>
      <c r="L813" s="694" t="s">
        <v>679</v>
      </c>
      <c r="M813" s="694" t="s">
        <v>915</v>
      </c>
      <c r="N813" s="694" t="s">
        <v>926</v>
      </c>
      <c r="O813" s="694">
        <v>2021.0</v>
      </c>
      <c r="P813" s="694" t="s">
        <v>919</v>
      </c>
      <c r="Q813" s="695" t="s">
        <v>112</v>
      </c>
      <c r="R813" s="696">
        <v>24.5496389</v>
      </c>
      <c r="S813" s="696">
        <v>8.744909624</v>
      </c>
      <c r="T813" s="697">
        <v>48.05266419</v>
      </c>
      <c r="AB813" s="722"/>
      <c r="AF813" s="669"/>
    </row>
    <row r="814">
      <c r="A814" s="675"/>
      <c r="B814" s="681" t="s">
        <v>50</v>
      </c>
      <c r="C814" s="682" t="s">
        <v>915</v>
      </c>
      <c r="D814" s="682" t="s">
        <v>924</v>
      </c>
      <c r="E814" s="682" t="s">
        <v>449</v>
      </c>
      <c r="F814" s="682">
        <v>2021.0</v>
      </c>
      <c r="G814" s="683">
        <v>2.37977E-4</v>
      </c>
      <c r="H814" s="683">
        <v>9.74E-5</v>
      </c>
      <c r="I814" s="684">
        <v>4.73832E-4</v>
      </c>
      <c r="K814" s="693" t="s">
        <v>48</v>
      </c>
      <c r="L814" s="694" t="s">
        <v>679</v>
      </c>
      <c r="M814" s="694" t="s">
        <v>915</v>
      </c>
      <c r="N814" s="694" t="s">
        <v>918</v>
      </c>
      <c r="O814" s="694">
        <v>2021.0</v>
      </c>
      <c r="P814" s="694" t="s">
        <v>919</v>
      </c>
      <c r="Q814" s="695" t="s">
        <v>112</v>
      </c>
      <c r="R814" s="696">
        <v>17.68490601</v>
      </c>
      <c r="S814" s="696">
        <v>6.85517995</v>
      </c>
      <c r="T814" s="697">
        <v>32.92450003</v>
      </c>
      <c r="AB814" s="722"/>
      <c r="AF814" s="669"/>
    </row>
    <row r="815">
      <c r="A815" s="675"/>
      <c r="B815" s="681" t="s">
        <v>50</v>
      </c>
      <c r="C815" s="682" t="s">
        <v>915</v>
      </c>
      <c r="D815" s="682" t="s">
        <v>926</v>
      </c>
      <c r="E815" s="682" t="s">
        <v>449</v>
      </c>
      <c r="F815" s="682">
        <v>2021.0</v>
      </c>
      <c r="G815" s="683">
        <v>0.001259148</v>
      </c>
      <c r="H815" s="683">
        <v>5.14515E-4</v>
      </c>
      <c r="I815" s="684">
        <v>0.002612716</v>
      </c>
      <c r="K815" s="693" t="s">
        <v>48</v>
      </c>
      <c r="L815" s="694" t="s">
        <v>679</v>
      </c>
      <c r="M815" s="694" t="s">
        <v>915</v>
      </c>
      <c r="N815" s="694" t="s">
        <v>923</v>
      </c>
      <c r="O815" s="694">
        <v>2021.0</v>
      </c>
      <c r="P815" s="694" t="s">
        <v>919</v>
      </c>
      <c r="Q815" s="695" t="s">
        <v>112</v>
      </c>
      <c r="R815" s="696">
        <v>0.0</v>
      </c>
      <c r="S815" s="696">
        <v>0.0</v>
      </c>
      <c r="T815" s="697">
        <v>0.0</v>
      </c>
      <c r="AB815" s="722"/>
      <c r="AF815" s="669"/>
    </row>
    <row r="816">
      <c r="A816" s="675"/>
      <c r="B816" s="681" t="s">
        <v>51</v>
      </c>
      <c r="C816" s="682" t="s">
        <v>915</v>
      </c>
      <c r="D816" s="682" t="s">
        <v>916</v>
      </c>
      <c r="E816" s="682" t="s">
        <v>449</v>
      </c>
      <c r="F816" s="682">
        <v>2021.0</v>
      </c>
      <c r="G816" s="683">
        <v>8.67108E-4</v>
      </c>
      <c r="H816" s="683">
        <v>4.00059E-4</v>
      </c>
      <c r="I816" s="684">
        <v>0.001563303</v>
      </c>
      <c r="K816" s="693" t="s">
        <v>48</v>
      </c>
      <c r="L816" s="694" t="s">
        <v>679</v>
      </c>
      <c r="M816" s="694" t="s">
        <v>915</v>
      </c>
      <c r="N816" s="694" t="s">
        <v>925</v>
      </c>
      <c r="O816" s="694">
        <v>2021.0</v>
      </c>
      <c r="P816" s="694" t="s">
        <v>919</v>
      </c>
      <c r="Q816" s="695" t="s">
        <v>112</v>
      </c>
      <c r="R816" s="696">
        <v>0.0</v>
      </c>
      <c r="S816" s="696">
        <v>0.0</v>
      </c>
      <c r="T816" s="697">
        <v>0.0</v>
      </c>
      <c r="AB816" s="722"/>
      <c r="AF816" s="669"/>
    </row>
    <row r="817">
      <c r="A817" s="675"/>
      <c r="B817" s="681" t="s">
        <v>51</v>
      </c>
      <c r="C817" s="682" t="s">
        <v>915</v>
      </c>
      <c r="D817" s="682" t="s">
        <v>922</v>
      </c>
      <c r="E817" s="682" t="s">
        <v>449</v>
      </c>
      <c r="F817" s="682">
        <v>2021.0</v>
      </c>
      <c r="G817" s="683">
        <v>0.002484024</v>
      </c>
      <c r="H817" s="683">
        <v>0.001384868</v>
      </c>
      <c r="I817" s="684">
        <v>0.003875339</v>
      </c>
      <c r="K817" s="693" t="s">
        <v>48</v>
      </c>
      <c r="L817" s="694" t="s">
        <v>679</v>
      </c>
      <c r="M817" s="694" t="s">
        <v>915</v>
      </c>
      <c r="N817" s="694" t="s">
        <v>927</v>
      </c>
      <c r="O817" s="694">
        <v>2021.0</v>
      </c>
      <c r="P817" s="694" t="s">
        <v>919</v>
      </c>
      <c r="Q817" s="695" t="s">
        <v>112</v>
      </c>
      <c r="R817" s="696">
        <v>9.30597901</v>
      </c>
      <c r="S817" s="696">
        <v>3.797433901</v>
      </c>
      <c r="T817" s="697">
        <v>17.61696441</v>
      </c>
      <c r="AB817" s="722"/>
      <c r="AF817" s="669"/>
    </row>
    <row r="818">
      <c r="A818" s="675"/>
      <c r="B818" s="681" t="s">
        <v>51</v>
      </c>
      <c r="C818" s="682" t="s">
        <v>915</v>
      </c>
      <c r="D818" s="682" t="s">
        <v>924</v>
      </c>
      <c r="E818" s="682" t="s">
        <v>449</v>
      </c>
      <c r="F818" s="682">
        <v>2021.0</v>
      </c>
      <c r="G818" s="683">
        <v>2.24853E-4</v>
      </c>
      <c r="H818" s="683">
        <v>1.02048E-4</v>
      </c>
      <c r="I818" s="684">
        <v>4.3896E-4</v>
      </c>
      <c r="K818" s="693" t="s">
        <v>48</v>
      </c>
      <c r="L818" s="694" t="s">
        <v>679</v>
      </c>
      <c r="M818" s="694" t="s">
        <v>915</v>
      </c>
      <c r="N818" s="694" t="s">
        <v>926</v>
      </c>
      <c r="O818" s="694">
        <v>2021.0</v>
      </c>
      <c r="P818" s="694" t="s">
        <v>919</v>
      </c>
      <c r="Q818" s="695" t="s">
        <v>112</v>
      </c>
      <c r="R818" s="696">
        <v>26.99088502</v>
      </c>
      <c r="S818" s="696">
        <v>10.80421917</v>
      </c>
      <c r="T818" s="697">
        <v>50.14908031</v>
      </c>
      <c r="AB818" s="722"/>
      <c r="AF818" s="669"/>
    </row>
    <row r="819">
      <c r="A819" s="675"/>
      <c r="B819" s="681" t="s">
        <v>51</v>
      </c>
      <c r="C819" s="682" t="s">
        <v>915</v>
      </c>
      <c r="D819" s="682" t="s">
        <v>926</v>
      </c>
      <c r="E819" s="682" t="s">
        <v>449</v>
      </c>
      <c r="F819" s="682">
        <v>2021.0</v>
      </c>
      <c r="G819" s="683">
        <v>8.55174E-4</v>
      </c>
      <c r="H819" s="683">
        <v>3.48307E-4</v>
      </c>
      <c r="I819" s="684">
        <v>0.001582021</v>
      </c>
      <c r="K819" s="693" t="s">
        <v>49</v>
      </c>
      <c r="L819" s="694" t="s">
        <v>679</v>
      </c>
      <c r="M819" s="694" t="s">
        <v>915</v>
      </c>
      <c r="N819" s="694" t="s">
        <v>918</v>
      </c>
      <c r="O819" s="694">
        <v>2021.0</v>
      </c>
      <c r="P819" s="694" t="s">
        <v>919</v>
      </c>
      <c r="Q819" s="695" t="s">
        <v>112</v>
      </c>
      <c r="R819" s="696">
        <v>13.58086711</v>
      </c>
      <c r="S819" s="696">
        <v>5.359290903</v>
      </c>
      <c r="T819" s="697">
        <v>26.0302366</v>
      </c>
      <c r="AB819" s="722"/>
      <c r="AF819" s="669"/>
    </row>
    <row r="820">
      <c r="A820" s="675"/>
      <c r="B820" s="681" t="s">
        <v>52</v>
      </c>
      <c r="C820" s="682" t="s">
        <v>915</v>
      </c>
      <c r="D820" s="682" t="s">
        <v>916</v>
      </c>
      <c r="E820" s="682" t="s">
        <v>449</v>
      </c>
      <c r="F820" s="682">
        <v>2021.0</v>
      </c>
      <c r="G820" s="683">
        <v>8.86405E-4</v>
      </c>
      <c r="H820" s="683">
        <v>3.83415E-4</v>
      </c>
      <c r="I820" s="684">
        <v>0.001689027</v>
      </c>
      <c r="K820" s="693" t="s">
        <v>49</v>
      </c>
      <c r="L820" s="694" t="s">
        <v>679</v>
      </c>
      <c r="M820" s="694" t="s">
        <v>915</v>
      </c>
      <c r="N820" s="694" t="s">
        <v>923</v>
      </c>
      <c r="O820" s="694">
        <v>2021.0</v>
      </c>
      <c r="P820" s="694" t="s">
        <v>919</v>
      </c>
      <c r="Q820" s="695" t="s">
        <v>112</v>
      </c>
      <c r="R820" s="696">
        <v>0.0</v>
      </c>
      <c r="S820" s="696">
        <v>0.0</v>
      </c>
      <c r="T820" s="697">
        <v>0.0</v>
      </c>
      <c r="AB820" s="722"/>
      <c r="AF820" s="669"/>
    </row>
    <row r="821">
      <c r="A821" s="675"/>
      <c r="B821" s="681" t="s">
        <v>52</v>
      </c>
      <c r="C821" s="682" t="s">
        <v>915</v>
      </c>
      <c r="D821" s="682" t="s">
        <v>922</v>
      </c>
      <c r="E821" s="682" t="s">
        <v>449</v>
      </c>
      <c r="F821" s="682">
        <v>2021.0</v>
      </c>
      <c r="G821" s="683">
        <v>0.00176615</v>
      </c>
      <c r="H821" s="683">
        <v>9.75928E-4</v>
      </c>
      <c r="I821" s="684">
        <v>0.002909595</v>
      </c>
      <c r="K821" s="693" t="s">
        <v>49</v>
      </c>
      <c r="L821" s="694" t="s">
        <v>679</v>
      </c>
      <c r="M821" s="694" t="s">
        <v>915</v>
      </c>
      <c r="N821" s="694" t="s">
        <v>925</v>
      </c>
      <c r="O821" s="694">
        <v>2021.0</v>
      </c>
      <c r="P821" s="694" t="s">
        <v>919</v>
      </c>
      <c r="Q821" s="695" t="s">
        <v>112</v>
      </c>
      <c r="R821" s="696">
        <v>0.0</v>
      </c>
      <c r="S821" s="696">
        <v>0.0</v>
      </c>
      <c r="T821" s="697">
        <v>0.0</v>
      </c>
      <c r="AB821" s="722"/>
      <c r="AF821" s="669"/>
    </row>
    <row r="822">
      <c r="A822" s="675"/>
      <c r="B822" s="681" t="s">
        <v>52</v>
      </c>
      <c r="C822" s="682" t="s">
        <v>915</v>
      </c>
      <c r="D822" s="682" t="s">
        <v>924</v>
      </c>
      <c r="E822" s="682" t="s">
        <v>449</v>
      </c>
      <c r="F822" s="682">
        <v>2021.0</v>
      </c>
      <c r="G822" s="683">
        <v>3.22448E-4</v>
      </c>
      <c r="H822" s="683">
        <v>1.35508E-4</v>
      </c>
      <c r="I822" s="684">
        <v>5.98746E-4</v>
      </c>
      <c r="K822" s="693" t="s">
        <v>49</v>
      </c>
      <c r="L822" s="694" t="s">
        <v>679</v>
      </c>
      <c r="M822" s="694" t="s">
        <v>915</v>
      </c>
      <c r="N822" s="694" t="s">
        <v>927</v>
      </c>
      <c r="O822" s="694">
        <v>2021.0</v>
      </c>
      <c r="P822" s="694" t="s">
        <v>919</v>
      </c>
      <c r="Q822" s="695" t="s">
        <v>112</v>
      </c>
      <c r="R822" s="696">
        <v>4.691736835</v>
      </c>
      <c r="S822" s="696">
        <v>1.770233061</v>
      </c>
      <c r="T822" s="697">
        <v>9.334662993</v>
      </c>
      <c r="AB822" s="722"/>
      <c r="AF822" s="669"/>
    </row>
    <row r="823">
      <c r="A823" s="675"/>
      <c r="B823" s="681" t="s">
        <v>52</v>
      </c>
      <c r="C823" s="682" t="s">
        <v>915</v>
      </c>
      <c r="D823" s="682" t="s">
        <v>926</v>
      </c>
      <c r="E823" s="682" t="s">
        <v>449</v>
      </c>
      <c r="F823" s="682">
        <v>2021.0</v>
      </c>
      <c r="G823" s="683">
        <v>0.001555766</v>
      </c>
      <c r="H823" s="683">
        <v>6.6646E-4</v>
      </c>
      <c r="I823" s="684">
        <v>0.002937239</v>
      </c>
      <c r="K823" s="693" t="s">
        <v>49</v>
      </c>
      <c r="L823" s="694" t="s">
        <v>679</v>
      </c>
      <c r="M823" s="694" t="s">
        <v>915</v>
      </c>
      <c r="N823" s="694" t="s">
        <v>926</v>
      </c>
      <c r="O823" s="694">
        <v>2021.0</v>
      </c>
      <c r="P823" s="694" t="s">
        <v>919</v>
      </c>
      <c r="Q823" s="695" t="s">
        <v>112</v>
      </c>
      <c r="R823" s="696">
        <v>18.27260394</v>
      </c>
      <c r="S823" s="696">
        <v>7.188256625</v>
      </c>
      <c r="T823" s="697">
        <v>35.54816721</v>
      </c>
      <c r="AB823" s="722"/>
      <c r="AF823" s="669"/>
    </row>
    <row r="824">
      <c r="A824" s="675"/>
      <c r="B824" s="681" t="s">
        <v>28</v>
      </c>
      <c r="C824" s="682" t="s">
        <v>915</v>
      </c>
      <c r="D824" s="682" t="s">
        <v>916</v>
      </c>
      <c r="E824" s="682" t="s">
        <v>449</v>
      </c>
      <c r="F824" s="682">
        <v>2021.0</v>
      </c>
      <c r="G824" s="683">
        <v>0.001396704</v>
      </c>
      <c r="H824" s="683">
        <v>7.12914E-4</v>
      </c>
      <c r="I824" s="684">
        <v>0.003581456</v>
      </c>
      <c r="K824" s="693" t="s">
        <v>50</v>
      </c>
      <c r="L824" s="694" t="s">
        <v>679</v>
      </c>
      <c r="M824" s="694" t="s">
        <v>915</v>
      </c>
      <c r="N824" s="694" t="s">
        <v>918</v>
      </c>
      <c r="O824" s="694">
        <v>2021.0</v>
      </c>
      <c r="P824" s="694" t="s">
        <v>919</v>
      </c>
      <c r="Q824" s="695" t="s">
        <v>112</v>
      </c>
      <c r="R824" s="696">
        <v>5.6736075</v>
      </c>
      <c r="S824" s="696">
        <v>2.096566673</v>
      </c>
      <c r="T824" s="697">
        <v>11.26496512</v>
      </c>
      <c r="AB824" s="722"/>
      <c r="AF824" s="669"/>
    </row>
    <row r="825">
      <c r="A825" s="675"/>
      <c r="B825" s="681" t="s">
        <v>28</v>
      </c>
      <c r="C825" s="682" t="s">
        <v>915</v>
      </c>
      <c r="D825" s="682" t="s">
        <v>922</v>
      </c>
      <c r="E825" s="682" t="s">
        <v>449</v>
      </c>
      <c r="F825" s="682">
        <v>2021.0</v>
      </c>
      <c r="G825" s="683">
        <v>0.00469284</v>
      </c>
      <c r="H825" s="683">
        <v>0.002869026</v>
      </c>
      <c r="I825" s="684">
        <v>0.010173583</v>
      </c>
      <c r="K825" s="693" t="s">
        <v>50</v>
      </c>
      <c r="L825" s="694" t="s">
        <v>679</v>
      </c>
      <c r="M825" s="694" t="s">
        <v>915</v>
      </c>
      <c r="N825" s="694" t="s">
        <v>923</v>
      </c>
      <c r="O825" s="694">
        <v>2021.0</v>
      </c>
      <c r="P825" s="694" t="s">
        <v>919</v>
      </c>
      <c r="Q825" s="695" t="s">
        <v>112</v>
      </c>
      <c r="R825" s="696">
        <v>0.0</v>
      </c>
      <c r="S825" s="696">
        <v>0.0</v>
      </c>
      <c r="T825" s="697">
        <v>0.0</v>
      </c>
      <c r="AB825" s="722"/>
      <c r="AF825" s="669"/>
    </row>
    <row r="826">
      <c r="A826" s="675"/>
      <c r="B826" s="681" t="s">
        <v>28</v>
      </c>
      <c r="C826" s="682" t="s">
        <v>915</v>
      </c>
      <c r="D826" s="682" t="s">
        <v>924</v>
      </c>
      <c r="E826" s="682" t="s">
        <v>449</v>
      </c>
      <c r="F826" s="682">
        <v>2021.0</v>
      </c>
      <c r="G826" s="683">
        <v>7.8274E-4</v>
      </c>
      <c r="H826" s="683">
        <v>4.53133E-4</v>
      </c>
      <c r="I826" s="684">
        <v>0.001616005</v>
      </c>
      <c r="K826" s="693" t="s">
        <v>50</v>
      </c>
      <c r="L826" s="694" t="s">
        <v>679</v>
      </c>
      <c r="M826" s="694" t="s">
        <v>915</v>
      </c>
      <c r="N826" s="694" t="s">
        <v>925</v>
      </c>
      <c r="O826" s="694">
        <v>2021.0</v>
      </c>
      <c r="P826" s="694" t="s">
        <v>919</v>
      </c>
      <c r="Q826" s="695" t="s">
        <v>112</v>
      </c>
      <c r="R826" s="696">
        <v>0.0</v>
      </c>
      <c r="S826" s="696">
        <v>0.0</v>
      </c>
      <c r="T826" s="697">
        <v>0.0</v>
      </c>
      <c r="AB826" s="722"/>
      <c r="AF826" s="669"/>
    </row>
    <row r="827">
      <c r="A827" s="675"/>
      <c r="B827" s="681" t="s">
        <v>28</v>
      </c>
      <c r="C827" s="682" t="s">
        <v>915</v>
      </c>
      <c r="D827" s="682" t="s">
        <v>926</v>
      </c>
      <c r="E827" s="682" t="s">
        <v>449</v>
      </c>
      <c r="F827" s="682">
        <v>2021.0</v>
      </c>
      <c r="G827" s="683">
        <v>0.005211418</v>
      </c>
      <c r="H827" s="683">
        <v>0.003132506</v>
      </c>
      <c r="I827" s="684">
        <v>0.008852702</v>
      </c>
      <c r="K827" s="693" t="s">
        <v>50</v>
      </c>
      <c r="L827" s="694" t="s">
        <v>679</v>
      </c>
      <c r="M827" s="694" t="s">
        <v>915</v>
      </c>
      <c r="N827" s="694" t="s">
        <v>927</v>
      </c>
      <c r="O827" s="694">
        <v>2021.0</v>
      </c>
      <c r="P827" s="694" t="s">
        <v>919</v>
      </c>
      <c r="Q827" s="695" t="s">
        <v>112</v>
      </c>
      <c r="R827" s="696">
        <v>2.190584213</v>
      </c>
      <c r="S827" s="696">
        <v>0.796147583</v>
      </c>
      <c r="T827" s="697">
        <v>4.40802333</v>
      </c>
      <c r="AB827" s="722"/>
      <c r="AF827" s="669"/>
    </row>
    <row r="828">
      <c r="A828" s="675"/>
      <c r="B828" s="681" t="s">
        <v>53</v>
      </c>
      <c r="C828" s="682" t="s">
        <v>915</v>
      </c>
      <c r="D828" s="682" t="s">
        <v>916</v>
      </c>
      <c r="E828" s="682" t="s">
        <v>449</v>
      </c>
      <c r="F828" s="682">
        <v>2021.0</v>
      </c>
      <c r="G828" s="683">
        <v>7.65457E-4</v>
      </c>
      <c r="H828" s="683">
        <v>3.67864E-4</v>
      </c>
      <c r="I828" s="684">
        <v>0.001364599</v>
      </c>
      <c r="K828" s="693" t="s">
        <v>50</v>
      </c>
      <c r="L828" s="694" t="s">
        <v>679</v>
      </c>
      <c r="M828" s="694" t="s">
        <v>915</v>
      </c>
      <c r="N828" s="694" t="s">
        <v>926</v>
      </c>
      <c r="O828" s="694">
        <v>2021.0</v>
      </c>
      <c r="P828" s="694" t="s">
        <v>919</v>
      </c>
      <c r="Q828" s="695" t="s">
        <v>112</v>
      </c>
      <c r="R828" s="696">
        <v>7.864191713</v>
      </c>
      <c r="S828" s="696">
        <v>2.893233709</v>
      </c>
      <c r="T828" s="697">
        <v>15.500701</v>
      </c>
      <c r="AB828" s="722"/>
      <c r="AF828" s="669"/>
    </row>
    <row r="829">
      <c r="A829" s="675"/>
      <c r="B829" s="681" t="s">
        <v>53</v>
      </c>
      <c r="C829" s="682" t="s">
        <v>915</v>
      </c>
      <c r="D829" s="682" t="s">
        <v>922</v>
      </c>
      <c r="E829" s="682" t="s">
        <v>449</v>
      </c>
      <c r="F829" s="682">
        <v>2021.0</v>
      </c>
      <c r="G829" s="683">
        <v>0.002058023</v>
      </c>
      <c r="H829" s="683">
        <v>0.001188186</v>
      </c>
      <c r="I829" s="684">
        <v>0.003352564</v>
      </c>
      <c r="K829" s="693" t="s">
        <v>51</v>
      </c>
      <c r="L829" s="694" t="s">
        <v>679</v>
      </c>
      <c r="M829" s="694" t="s">
        <v>915</v>
      </c>
      <c r="N829" s="694" t="s">
        <v>918</v>
      </c>
      <c r="O829" s="694">
        <v>2021.0</v>
      </c>
      <c r="P829" s="694" t="s">
        <v>919</v>
      </c>
      <c r="Q829" s="695" t="s">
        <v>112</v>
      </c>
      <c r="R829" s="696">
        <v>10.78963986</v>
      </c>
      <c r="S829" s="696">
        <v>3.382108288</v>
      </c>
      <c r="T829" s="697">
        <v>20.77447668</v>
      </c>
      <c r="AB829" s="722"/>
      <c r="AF829" s="669"/>
    </row>
    <row r="830">
      <c r="A830" s="675"/>
      <c r="B830" s="681" t="s">
        <v>53</v>
      </c>
      <c r="C830" s="682" t="s">
        <v>915</v>
      </c>
      <c r="D830" s="682" t="s">
        <v>924</v>
      </c>
      <c r="E830" s="682" t="s">
        <v>449</v>
      </c>
      <c r="F830" s="682">
        <v>2021.0</v>
      </c>
      <c r="G830" s="683">
        <v>2.24958E-4</v>
      </c>
      <c r="H830" s="683">
        <v>1.02531E-4</v>
      </c>
      <c r="I830" s="684">
        <v>4.45311E-4</v>
      </c>
      <c r="K830" s="693" t="s">
        <v>51</v>
      </c>
      <c r="L830" s="694" t="s">
        <v>679</v>
      </c>
      <c r="M830" s="694" t="s">
        <v>915</v>
      </c>
      <c r="N830" s="694" t="s">
        <v>923</v>
      </c>
      <c r="O830" s="694">
        <v>2021.0</v>
      </c>
      <c r="P830" s="694" t="s">
        <v>919</v>
      </c>
      <c r="Q830" s="695" t="s">
        <v>112</v>
      </c>
      <c r="R830" s="696">
        <v>0.0</v>
      </c>
      <c r="S830" s="696">
        <v>0.0</v>
      </c>
      <c r="T830" s="697">
        <v>0.0</v>
      </c>
      <c r="AB830" s="722"/>
      <c r="AF830" s="669"/>
    </row>
    <row r="831">
      <c r="A831" s="675"/>
      <c r="B831" s="681" t="s">
        <v>53</v>
      </c>
      <c r="C831" s="682" t="s">
        <v>915</v>
      </c>
      <c r="D831" s="682" t="s">
        <v>926</v>
      </c>
      <c r="E831" s="682" t="s">
        <v>449</v>
      </c>
      <c r="F831" s="682">
        <v>2021.0</v>
      </c>
      <c r="G831" s="683">
        <v>9.41128E-4</v>
      </c>
      <c r="H831" s="683">
        <v>3.75466E-4</v>
      </c>
      <c r="I831" s="684">
        <v>0.001841579</v>
      </c>
      <c r="K831" s="693" t="s">
        <v>51</v>
      </c>
      <c r="L831" s="694" t="s">
        <v>679</v>
      </c>
      <c r="M831" s="694" t="s">
        <v>915</v>
      </c>
      <c r="N831" s="694" t="s">
        <v>925</v>
      </c>
      <c r="O831" s="694">
        <v>2021.0</v>
      </c>
      <c r="P831" s="694" t="s">
        <v>919</v>
      </c>
      <c r="Q831" s="695" t="s">
        <v>112</v>
      </c>
      <c r="R831" s="696">
        <v>0.0</v>
      </c>
      <c r="S831" s="696">
        <v>0.0</v>
      </c>
      <c r="T831" s="697">
        <v>0.0</v>
      </c>
      <c r="AB831" s="722"/>
      <c r="AF831" s="669"/>
    </row>
    <row r="832">
      <c r="A832" s="675"/>
      <c r="B832" s="681" t="s">
        <v>30</v>
      </c>
      <c r="C832" s="682" t="s">
        <v>915</v>
      </c>
      <c r="D832" s="682" t="s">
        <v>916</v>
      </c>
      <c r="E832" s="682" t="s">
        <v>449</v>
      </c>
      <c r="F832" s="682">
        <v>2021.0</v>
      </c>
      <c r="G832" s="683">
        <v>0.002364602</v>
      </c>
      <c r="H832" s="683">
        <v>0.001291803</v>
      </c>
      <c r="I832" s="684">
        <v>0.005112179</v>
      </c>
      <c r="K832" s="693" t="s">
        <v>51</v>
      </c>
      <c r="L832" s="694" t="s">
        <v>679</v>
      </c>
      <c r="M832" s="694" t="s">
        <v>915</v>
      </c>
      <c r="N832" s="694" t="s">
        <v>927</v>
      </c>
      <c r="O832" s="694">
        <v>2021.0</v>
      </c>
      <c r="P832" s="694" t="s">
        <v>919</v>
      </c>
      <c r="Q832" s="695" t="s">
        <v>112</v>
      </c>
      <c r="R832" s="696">
        <v>4.65032017</v>
      </c>
      <c r="S832" s="696">
        <v>1.505057052</v>
      </c>
      <c r="T832" s="697">
        <v>9.028228685</v>
      </c>
      <c r="AB832" s="722"/>
      <c r="AF832" s="669"/>
    </row>
    <row r="833">
      <c r="A833" s="675"/>
      <c r="B833" s="681" t="s">
        <v>30</v>
      </c>
      <c r="C833" s="682" t="s">
        <v>915</v>
      </c>
      <c r="D833" s="682" t="s">
        <v>922</v>
      </c>
      <c r="E833" s="682" t="s">
        <v>449</v>
      </c>
      <c r="F833" s="682">
        <v>2021.0</v>
      </c>
      <c r="G833" s="683">
        <v>0.005174821</v>
      </c>
      <c r="H833" s="683">
        <v>0.002965528</v>
      </c>
      <c r="I833" s="684">
        <v>0.012201561</v>
      </c>
      <c r="K833" s="693" t="s">
        <v>51</v>
      </c>
      <c r="L833" s="694" t="s">
        <v>679</v>
      </c>
      <c r="M833" s="694" t="s">
        <v>915</v>
      </c>
      <c r="N833" s="694" t="s">
        <v>926</v>
      </c>
      <c r="O833" s="694">
        <v>2021.0</v>
      </c>
      <c r="P833" s="694" t="s">
        <v>919</v>
      </c>
      <c r="Q833" s="695" t="s">
        <v>112</v>
      </c>
      <c r="R833" s="696">
        <v>15.43996003</v>
      </c>
      <c r="S833" s="696">
        <v>5.013550681</v>
      </c>
      <c r="T833" s="697">
        <v>29.34130333</v>
      </c>
      <c r="AB833" s="722"/>
      <c r="AF833" s="669"/>
    </row>
    <row r="834">
      <c r="A834" s="675"/>
      <c r="B834" s="681" t="s">
        <v>30</v>
      </c>
      <c r="C834" s="682" t="s">
        <v>915</v>
      </c>
      <c r="D834" s="682" t="s">
        <v>924</v>
      </c>
      <c r="E834" s="682" t="s">
        <v>449</v>
      </c>
      <c r="F834" s="682">
        <v>2021.0</v>
      </c>
      <c r="G834" s="683">
        <v>9.75938E-4</v>
      </c>
      <c r="H834" s="683">
        <v>5.55687E-4</v>
      </c>
      <c r="I834" s="684">
        <v>0.001955732</v>
      </c>
      <c r="K834" s="693" t="s">
        <v>52</v>
      </c>
      <c r="L834" s="694" t="s">
        <v>679</v>
      </c>
      <c r="M834" s="694" t="s">
        <v>915</v>
      </c>
      <c r="N834" s="694" t="s">
        <v>918</v>
      </c>
      <c r="O834" s="694">
        <v>2021.0</v>
      </c>
      <c r="P834" s="694" t="s">
        <v>919</v>
      </c>
      <c r="Q834" s="695" t="s">
        <v>112</v>
      </c>
      <c r="R834" s="696">
        <v>16.86250803</v>
      </c>
      <c r="S834" s="696">
        <v>5.680108906</v>
      </c>
      <c r="T834" s="697">
        <v>31.56232476</v>
      </c>
      <c r="AB834" s="722"/>
      <c r="AF834" s="669"/>
    </row>
    <row r="835">
      <c r="A835" s="675"/>
      <c r="B835" s="681" t="s">
        <v>30</v>
      </c>
      <c r="C835" s="682" t="s">
        <v>915</v>
      </c>
      <c r="D835" s="682" t="s">
        <v>926</v>
      </c>
      <c r="E835" s="682" t="s">
        <v>449</v>
      </c>
      <c r="F835" s="682">
        <v>2021.0</v>
      </c>
      <c r="G835" s="683">
        <v>0.006472392</v>
      </c>
      <c r="H835" s="683">
        <v>0.003830254</v>
      </c>
      <c r="I835" s="684">
        <v>0.010407169</v>
      </c>
      <c r="K835" s="693" t="s">
        <v>52</v>
      </c>
      <c r="L835" s="694" t="s">
        <v>679</v>
      </c>
      <c r="M835" s="694" t="s">
        <v>915</v>
      </c>
      <c r="N835" s="694" t="s">
        <v>923</v>
      </c>
      <c r="O835" s="694">
        <v>2021.0</v>
      </c>
      <c r="P835" s="694" t="s">
        <v>919</v>
      </c>
      <c r="Q835" s="695" t="s">
        <v>112</v>
      </c>
      <c r="R835" s="696">
        <v>0.0</v>
      </c>
      <c r="S835" s="696">
        <v>0.0</v>
      </c>
      <c r="T835" s="697">
        <v>0.0</v>
      </c>
      <c r="AB835" s="722"/>
      <c r="AF835" s="669"/>
    </row>
    <row r="836">
      <c r="A836" s="675"/>
      <c r="B836" s="681" t="s">
        <v>31</v>
      </c>
      <c r="C836" s="682" t="s">
        <v>915</v>
      </c>
      <c r="D836" s="682" t="s">
        <v>916</v>
      </c>
      <c r="E836" s="682" t="s">
        <v>449</v>
      </c>
      <c r="F836" s="682">
        <v>2021.0</v>
      </c>
      <c r="G836" s="683">
        <v>0.001256075</v>
      </c>
      <c r="H836" s="683">
        <v>5.94337E-4</v>
      </c>
      <c r="I836" s="684">
        <v>0.003123105</v>
      </c>
      <c r="K836" s="693" t="s">
        <v>52</v>
      </c>
      <c r="L836" s="694" t="s">
        <v>679</v>
      </c>
      <c r="M836" s="694" t="s">
        <v>915</v>
      </c>
      <c r="N836" s="694" t="s">
        <v>925</v>
      </c>
      <c r="O836" s="694">
        <v>2021.0</v>
      </c>
      <c r="P836" s="694" t="s">
        <v>919</v>
      </c>
      <c r="Q836" s="695" t="s">
        <v>112</v>
      </c>
      <c r="R836" s="696">
        <v>0.0</v>
      </c>
      <c r="S836" s="696">
        <v>0.0</v>
      </c>
      <c r="T836" s="697">
        <v>0.0</v>
      </c>
      <c r="AB836" s="722"/>
      <c r="AF836" s="669"/>
    </row>
    <row r="837">
      <c r="A837" s="675"/>
      <c r="B837" s="681" t="s">
        <v>31</v>
      </c>
      <c r="C837" s="682" t="s">
        <v>915</v>
      </c>
      <c r="D837" s="682" t="s">
        <v>922</v>
      </c>
      <c r="E837" s="682" t="s">
        <v>449</v>
      </c>
      <c r="F837" s="682">
        <v>2021.0</v>
      </c>
      <c r="G837" s="683">
        <v>0.003177413</v>
      </c>
      <c r="H837" s="683">
        <v>0.00175273</v>
      </c>
      <c r="I837" s="684">
        <v>0.007008487</v>
      </c>
      <c r="K837" s="693" t="s">
        <v>52</v>
      </c>
      <c r="L837" s="694" t="s">
        <v>679</v>
      </c>
      <c r="M837" s="694" t="s">
        <v>915</v>
      </c>
      <c r="N837" s="694" t="s">
        <v>927</v>
      </c>
      <c r="O837" s="694">
        <v>2021.0</v>
      </c>
      <c r="P837" s="694" t="s">
        <v>919</v>
      </c>
      <c r="Q837" s="695" t="s">
        <v>112</v>
      </c>
      <c r="R837" s="696">
        <v>8.222003395</v>
      </c>
      <c r="S837" s="696">
        <v>2.8221665</v>
      </c>
      <c r="T837" s="697">
        <v>16.09944125</v>
      </c>
      <c r="AB837" s="722"/>
      <c r="AF837" s="669"/>
    </row>
    <row r="838">
      <c r="A838" s="675"/>
      <c r="B838" s="681" t="s">
        <v>31</v>
      </c>
      <c r="C838" s="682" t="s">
        <v>915</v>
      </c>
      <c r="D838" s="682" t="s">
        <v>924</v>
      </c>
      <c r="E838" s="682" t="s">
        <v>449</v>
      </c>
      <c r="F838" s="682">
        <v>2021.0</v>
      </c>
      <c r="G838" s="683">
        <v>5.43254E-4</v>
      </c>
      <c r="H838" s="683">
        <v>2.77071E-4</v>
      </c>
      <c r="I838" s="684">
        <v>0.001235208</v>
      </c>
      <c r="K838" s="693" t="s">
        <v>52</v>
      </c>
      <c r="L838" s="694" t="s">
        <v>679</v>
      </c>
      <c r="M838" s="694" t="s">
        <v>915</v>
      </c>
      <c r="N838" s="694" t="s">
        <v>926</v>
      </c>
      <c r="O838" s="694">
        <v>2021.0</v>
      </c>
      <c r="P838" s="694" t="s">
        <v>919</v>
      </c>
      <c r="Q838" s="695" t="s">
        <v>112</v>
      </c>
      <c r="R838" s="696">
        <v>25.08451142</v>
      </c>
      <c r="S838" s="696">
        <v>8.564536221</v>
      </c>
      <c r="T838" s="697">
        <v>47.68755625</v>
      </c>
      <c r="AB838" s="722"/>
      <c r="AF838" s="669"/>
    </row>
    <row r="839">
      <c r="A839" s="675"/>
      <c r="B839" s="681" t="s">
        <v>31</v>
      </c>
      <c r="C839" s="682" t="s">
        <v>915</v>
      </c>
      <c r="D839" s="682" t="s">
        <v>926</v>
      </c>
      <c r="E839" s="682" t="s">
        <v>449</v>
      </c>
      <c r="F839" s="682">
        <v>2021.0</v>
      </c>
      <c r="G839" s="683">
        <v>0.003542222</v>
      </c>
      <c r="H839" s="683">
        <v>0.001962154</v>
      </c>
      <c r="I839" s="684">
        <v>0.006114898</v>
      </c>
      <c r="K839" s="693" t="s">
        <v>28</v>
      </c>
      <c r="L839" s="694" t="s">
        <v>679</v>
      </c>
      <c r="M839" s="694" t="s">
        <v>915</v>
      </c>
      <c r="N839" s="694" t="s">
        <v>918</v>
      </c>
      <c r="O839" s="694">
        <v>2021.0</v>
      </c>
      <c r="P839" s="694" t="s">
        <v>919</v>
      </c>
      <c r="Q839" s="695" t="s">
        <v>112</v>
      </c>
      <c r="R839" s="696">
        <v>87.66950339</v>
      </c>
      <c r="S839" s="696">
        <v>41.3768271</v>
      </c>
      <c r="T839" s="697">
        <v>151.2885025</v>
      </c>
      <c r="AB839" s="722"/>
      <c r="AF839" s="669"/>
    </row>
    <row r="840">
      <c r="A840" s="675"/>
      <c r="B840" s="681" t="s">
        <v>32</v>
      </c>
      <c r="C840" s="682" t="s">
        <v>915</v>
      </c>
      <c r="D840" s="682" t="s">
        <v>916</v>
      </c>
      <c r="E840" s="682" t="s">
        <v>449</v>
      </c>
      <c r="F840" s="682">
        <v>2021.0</v>
      </c>
      <c r="G840" s="683">
        <v>0.001435015</v>
      </c>
      <c r="H840" s="683">
        <v>6.53896E-4</v>
      </c>
      <c r="I840" s="684">
        <v>0.00374778</v>
      </c>
      <c r="K840" s="693" t="s">
        <v>28</v>
      </c>
      <c r="L840" s="694" t="s">
        <v>679</v>
      </c>
      <c r="M840" s="694" t="s">
        <v>915</v>
      </c>
      <c r="N840" s="694" t="s">
        <v>923</v>
      </c>
      <c r="O840" s="694">
        <v>2021.0</v>
      </c>
      <c r="P840" s="694" t="s">
        <v>919</v>
      </c>
      <c r="Q840" s="695" t="s">
        <v>112</v>
      </c>
      <c r="R840" s="696">
        <v>0.0</v>
      </c>
      <c r="S840" s="696">
        <v>0.0</v>
      </c>
      <c r="T840" s="697">
        <v>0.0</v>
      </c>
      <c r="AB840" s="722"/>
      <c r="AF840" s="669"/>
    </row>
    <row r="841">
      <c r="A841" s="675"/>
      <c r="B841" s="681" t="s">
        <v>32</v>
      </c>
      <c r="C841" s="682" t="s">
        <v>915</v>
      </c>
      <c r="D841" s="682" t="s">
        <v>922</v>
      </c>
      <c r="E841" s="682" t="s">
        <v>449</v>
      </c>
      <c r="F841" s="682">
        <v>2021.0</v>
      </c>
      <c r="G841" s="683">
        <v>0.003663199</v>
      </c>
      <c r="H841" s="683">
        <v>0.001933721</v>
      </c>
      <c r="I841" s="684">
        <v>0.00923473</v>
      </c>
      <c r="K841" s="693" t="s">
        <v>28</v>
      </c>
      <c r="L841" s="694" t="s">
        <v>679</v>
      </c>
      <c r="M841" s="694" t="s">
        <v>915</v>
      </c>
      <c r="N841" s="694" t="s">
        <v>925</v>
      </c>
      <c r="O841" s="694">
        <v>2021.0</v>
      </c>
      <c r="P841" s="694" t="s">
        <v>919</v>
      </c>
      <c r="Q841" s="695" t="s">
        <v>112</v>
      </c>
      <c r="R841" s="696">
        <v>0.0</v>
      </c>
      <c r="S841" s="696">
        <v>0.0</v>
      </c>
      <c r="T841" s="697">
        <v>0.0</v>
      </c>
      <c r="AB841" s="722"/>
      <c r="AF841" s="669"/>
    </row>
    <row r="842">
      <c r="A842" s="675"/>
      <c r="B842" s="681" t="s">
        <v>32</v>
      </c>
      <c r="C842" s="682" t="s">
        <v>915</v>
      </c>
      <c r="D842" s="682" t="s">
        <v>924</v>
      </c>
      <c r="E842" s="682" t="s">
        <v>449</v>
      </c>
      <c r="F842" s="682">
        <v>2021.0</v>
      </c>
      <c r="G842" s="683">
        <v>8.5293E-4</v>
      </c>
      <c r="H842" s="683">
        <v>4.20467E-4</v>
      </c>
      <c r="I842" s="684">
        <v>0.001855596</v>
      </c>
      <c r="K842" s="693" t="s">
        <v>28</v>
      </c>
      <c r="L842" s="694" t="s">
        <v>679</v>
      </c>
      <c r="M842" s="694" t="s">
        <v>915</v>
      </c>
      <c r="N842" s="694" t="s">
        <v>927</v>
      </c>
      <c r="O842" s="694">
        <v>2021.0</v>
      </c>
      <c r="P842" s="694" t="s">
        <v>919</v>
      </c>
      <c r="Q842" s="695" t="s">
        <v>112</v>
      </c>
      <c r="R842" s="696">
        <v>32.77345624</v>
      </c>
      <c r="S842" s="696">
        <v>13.79701703</v>
      </c>
      <c r="T842" s="697">
        <v>59.45860209</v>
      </c>
      <c r="AB842" s="722"/>
      <c r="AF842" s="669"/>
    </row>
    <row r="843">
      <c r="A843" s="675"/>
      <c r="B843" s="681" t="s">
        <v>32</v>
      </c>
      <c r="C843" s="682" t="s">
        <v>915</v>
      </c>
      <c r="D843" s="682" t="s">
        <v>926</v>
      </c>
      <c r="E843" s="682" t="s">
        <v>449</v>
      </c>
      <c r="F843" s="682">
        <v>2021.0</v>
      </c>
      <c r="G843" s="683">
        <v>0.005411087</v>
      </c>
      <c r="H843" s="683">
        <v>0.002660737</v>
      </c>
      <c r="I843" s="684">
        <v>0.009751815</v>
      </c>
      <c r="K843" s="693" t="s">
        <v>28</v>
      </c>
      <c r="L843" s="694" t="s">
        <v>679</v>
      </c>
      <c r="M843" s="694" t="s">
        <v>915</v>
      </c>
      <c r="N843" s="694" t="s">
        <v>926</v>
      </c>
      <c r="O843" s="694">
        <v>2021.0</v>
      </c>
      <c r="P843" s="694" t="s">
        <v>919</v>
      </c>
      <c r="Q843" s="695" t="s">
        <v>112</v>
      </c>
      <c r="R843" s="696">
        <v>120.4429596</v>
      </c>
      <c r="S843" s="696">
        <v>57.13634385</v>
      </c>
      <c r="T843" s="697">
        <v>213.1386859</v>
      </c>
      <c r="AB843" s="722"/>
      <c r="AF843" s="669"/>
    </row>
    <row r="844">
      <c r="A844" s="675"/>
      <c r="B844" s="681" t="s">
        <v>33</v>
      </c>
      <c r="C844" s="682" t="s">
        <v>915</v>
      </c>
      <c r="D844" s="682" t="s">
        <v>916</v>
      </c>
      <c r="E844" s="682" t="s">
        <v>449</v>
      </c>
      <c r="F844" s="682">
        <v>2021.0</v>
      </c>
      <c r="G844" s="683">
        <v>0.001813177</v>
      </c>
      <c r="H844" s="683">
        <v>9.79286E-4</v>
      </c>
      <c r="I844" s="684">
        <v>0.004213488</v>
      </c>
      <c r="K844" s="693" t="s">
        <v>53</v>
      </c>
      <c r="L844" s="694" t="s">
        <v>679</v>
      </c>
      <c r="M844" s="694" t="s">
        <v>915</v>
      </c>
      <c r="N844" s="694" t="s">
        <v>918</v>
      </c>
      <c r="O844" s="694">
        <v>2021.0</v>
      </c>
      <c r="P844" s="694" t="s">
        <v>919</v>
      </c>
      <c r="Q844" s="695" t="s">
        <v>112</v>
      </c>
      <c r="R844" s="696">
        <v>21.91119614</v>
      </c>
      <c r="S844" s="696">
        <v>7.87432466</v>
      </c>
      <c r="T844" s="697">
        <v>43.38985999</v>
      </c>
      <c r="AB844" s="722"/>
      <c r="AF844" s="669"/>
    </row>
    <row r="845">
      <c r="A845" s="675"/>
      <c r="B845" s="681" t="s">
        <v>33</v>
      </c>
      <c r="C845" s="682" t="s">
        <v>915</v>
      </c>
      <c r="D845" s="682" t="s">
        <v>922</v>
      </c>
      <c r="E845" s="682" t="s">
        <v>449</v>
      </c>
      <c r="F845" s="682">
        <v>2021.0</v>
      </c>
      <c r="G845" s="683">
        <v>0.004443934</v>
      </c>
      <c r="H845" s="683">
        <v>0.00254009</v>
      </c>
      <c r="I845" s="684">
        <v>0.010260633</v>
      </c>
      <c r="K845" s="693" t="s">
        <v>53</v>
      </c>
      <c r="L845" s="694" t="s">
        <v>679</v>
      </c>
      <c r="M845" s="694" t="s">
        <v>915</v>
      </c>
      <c r="N845" s="694" t="s">
        <v>923</v>
      </c>
      <c r="O845" s="694">
        <v>2021.0</v>
      </c>
      <c r="P845" s="694" t="s">
        <v>919</v>
      </c>
      <c r="Q845" s="695" t="s">
        <v>112</v>
      </c>
      <c r="R845" s="696">
        <v>0.0</v>
      </c>
      <c r="S845" s="696">
        <v>0.0</v>
      </c>
      <c r="T845" s="697">
        <v>0.0</v>
      </c>
      <c r="AB845" s="722"/>
      <c r="AF845" s="669"/>
    </row>
    <row r="846">
      <c r="A846" s="675"/>
      <c r="B846" s="681" t="s">
        <v>33</v>
      </c>
      <c r="C846" s="682" t="s">
        <v>915</v>
      </c>
      <c r="D846" s="682" t="s">
        <v>924</v>
      </c>
      <c r="E846" s="682" t="s">
        <v>449</v>
      </c>
      <c r="F846" s="682">
        <v>2021.0</v>
      </c>
      <c r="G846" s="683">
        <v>7.44263E-4</v>
      </c>
      <c r="H846" s="683">
        <v>4.22801E-4</v>
      </c>
      <c r="I846" s="684">
        <v>0.001578866</v>
      </c>
      <c r="K846" s="693" t="s">
        <v>53</v>
      </c>
      <c r="L846" s="694" t="s">
        <v>679</v>
      </c>
      <c r="M846" s="694" t="s">
        <v>915</v>
      </c>
      <c r="N846" s="694" t="s">
        <v>925</v>
      </c>
      <c r="O846" s="694">
        <v>2021.0</v>
      </c>
      <c r="P846" s="694" t="s">
        <v>919</v>
      </c>
      <c r="Q846" s="695" t="s">
        <v>112</v>
      </c>
      <c r="R846" s="696">
        <v>0.0</v>
      </c>
      <c r="S846" s="696">
        <v>0.0</v>
      </c>
      <c r="T846" s="697">
        <v>0.0</v>
      </c>
      <c r="AB846" s="722"/>
      <c r="AF846" s="669"/>
    </row>
    <row r="847">
      <c r="A847" s="675"/>
      <c r="B847" s="681" t="s">
        <v>33</v>
      </c>
      <c r="C847" s="682" t="s">
        <v>915</v>
      </c>
      <c r="D847" s="682" t="s">
        <v>926</v>
      </c>
      <c r="E847" s="682" t="s">
        <v>449</v>
      </c>
      <c r="F847" s="682">
        <v>2021.0</v>
      </c>
      <c r="G847" s="683">
        <v>0.004841311</v>
      </c>
      <c r="H847" s="683">
        <v>0.00273167</v>
      </c>
      <c r="I847" s="684">
        <v>0.008176765</v>
      </c>
      <c r="K847" s="693" t="s">
        <v>53</v>
      </c>
      <c r="L847" s="694" t="s">
        <v>679</v>
      </c>
      <c r="M847" s="694" t="s">
        <v>915</v>
      </c>
      <c r="N847" s="694" t="s">
        <v>927</v>
      </c>
      <c r="O847" s="694">
        <v>2021.0</v>
      </c>
      <c r="P847" s="694" t="s">
        <v>919</v>
      </c>
      <c r="Q847" s="695" t="s">
        <v>112</v>
      </c>
      <c r="R847" s="696">
        <v>9.336035784</v>
      </c>
      <c r="S847" s="696">
        <v>3.139972729</v>
      </c>
      <c r="T847" s="697">
        <v>19.4870343</v>
      </c>
      <c r="AB847" s="722"/>
      <c r="AF847" s="669"/>
    </row>
    <row r="848">
      <c r="A848" s="675"/>
      <c r="B848" s="681" t="s">
        <v>34</v>
      </c>
      <c r="C848" s="682" t="s">
        <v>915</v>
      </c>
      <c r="D848" s="682" t="s">
        <v>916</v>
      </c>
      <c r="E848" s="682" t="s">
        <v>449</v>
      </c>
      <c r="F848" s="682">
        <v>2021.0</v>
      </c>
      <c r="G848" s="683">
        <v>0.001952634</v>
      </c>
      <c r="H848" s="683">
        <v>0.00106048</v>
      </c>
      <c r="I848" s="684">
        <v>0.004756511</v>
      </c>
      <c r="K848" s="693" t="s">
        <v>53</v>
      </c>
      <c r="L848" s="694" t="s">
        <v>679</v>
      </c>
      <c r="M848" s="694" t="s">
        <v>915</v>
      </c>
      <c r="N848" s="694" t="s">
        <v>926</v>
      </c>
      <c r="O848" s="694">
        <v>2021.0</v>
      </c>
      <c r="P848" s="694" t="s">
        <v>919</v>
      </c>
      <c r="Q848" s="695" t="s">
        <v>112</v>
      </c>
      <c r="R848" s="696">
        <v>31.24723193</v>
      </c>
      <c r="S848" s="696">
        <v>11.21754682</v>
      </c>
      <c r="T848" s="697">
        <v>63.01043628</v>
      </c>
      <c r="AB848" s="722"/>
      <c r="AF848" s="669"/>
    </row>
    <row r="849">
      <c r="A849" s="675"/>
      <c r="B849" s="681" t="s">
        <v>34</v>
      </c>
      <c r="C849" s="682" t="s">
        <v>915</v>
      </c>
      <c r="D849" s="682" t="s">
        <v>922</v>
      </c>
      <c r="E849" s="682" t="s">
        <v>449</v>
      </c>
      <c r="F849" s="682">
        <v>2021.0</v>
      </c>
      <c r="G849" s="683">
        <v>0.005659515</v>
      </c>
      <c r="H849" s="683">
        <v>0.003515337</v>
      </c>
      <c r="I849" s="684">
        <v>0.012013276</v>
      </c>
      <c r="K849" s="693" t="s">
        <v>30</v>
      </c>
      <c r="L849" s="694" t="s">
        <v>679</v>
      </c>
      <c r="M849" s="694" t="s">
        <v>915</v>
      </c>
      <c r="N849" s="694" t="s">
        <v>918</v>
      </c>
      <c r="O849" s="694">
        <v>2021.0</v>
      </c>
      <c r="P849" s="694" t="s">
        <v>919</v>
      </c>
      <c r="Q849" s="695" t="s">
        <v>112</v>
      </c>
      <c r="R849" s="696">
        <v>311.0806112</v>
      </c>
      <c r="S849" s="696">
        <v>147.2719656</v>
      </c>
      <c r="T849" s="697">
        <v>550.7877505</v>
      </c>
      <c r="AB849" s="722"/>
      <c r="AF849" s="669"/>
    </row>
    <row r="850">
      <c r="A850" s="675"/>
      <c r="B850" s="681" t="s">
        <v>34</v>
      </c>
      <c r="C850" s="682" t="s">
        <v>915</v>
      </c>
      <c r="D850" s="682" t="s">
        <v>924</v>
      </c>
      <c r="E850" s="682" t="s">
        <v>449</v>
      </c>
      <c r="F850" s="682">
        <v>2021.0</v>
      </c>
      <c r="G850" s="683">
        <v>8.48212E-4</v>
      </c>
      <c r="H850" s="683">
        <v>4.9485E-4</v>
      </c>
      <c r="I850" s="684">
        <v>0.00168888</v>
      </c>
      <c r="K850" s="693" t="s">
        <v>30</v>
      </c>
      <c r="L850" s="694" t="s">
        <v>679</v>
      </c>
      <c r="M850" s="694" t="s">
        <v>915</v>
      </c>
      <c r="N850" s="694" t="s">
        <v>923</v>
      </c>
      <c r="O850" s="694">
        <v>2021.0</v>
      </c>
      <c r="P850" s="694" t="s">
        <v>919</v>
      </c>
      <c r="Q850" s="695" t="s">
        <v>112</v>
      </c>
      <c r="R850" s="696">
        <v>0.0</v>
      </c>
      <c r="S850" s="696">
        <v>0.0</v>
      </c>
      <c r="T850" s="697">
        <v>0.0</v>
      </c>
      <c r="AB850" s="722"/>
      <c r="AF850" s="669"/>
    </row>
    <row r="851">
      <c r="A851" s="675"/>
      <c r="B851" s="681" t="s">
        <v>34</v>
      </c>
      <c r="C851" s="682" t="s">
        <v>915</v>
      </c>
      <c r="D851" s="682" t="s">
        <v>926</v>
      </c>
      <c r="E851" s="682" t="s">
        <v>449</v>
      </c>
      <c r="F851" s="682">
        <v>2021.0</v>
      </c>
      <c r="G851" s="683">
        <v>0.005304934</v>
      </c>
      <c r="H851" s="683">
        <v>0.003409226</v>
      </c>
      <c r="I851" s="684">
        <v>0.008247144</v>
      </c>
      <c r="K851" s="693" t="s">
        <v>30</v>
      </c>
      <c r="L851" s="694" t="s">
        <v>679</v>
      </c>
      <c r="M851" s="694" t="s">
        <v>915</v>
      </c>
      <c r="N851" s="694" t="s">
        <v>925</v>
      </c>
      <c r="O851" s="694">
        <v>2021.0</v>
      </c>
      <c r="P851" s="694" t="s">
        <v>919</v>
      </c>
      <c r="Q851" s="695" t="s">
        <v>112</v>
      </c>
      <c r="R851" s="696">
        <v>0.0</v>
      </c>
      <c r="S851" s="696">
        <v>0.0</v>
      </c>
      <c r="T851" s="697">
        <v>0.0</v>
      </c>
      <c r="AB851" s="722"/>
      <c r="AF851" s="669"/>
    </row>
    <row r="852">
      <c r="A852" s="675"/>
      <c r="B852" s="681" t="s">
        <v>54</v>
      </c>
      <c r="C852" s="682" t="s">
        <v>915</v>
      </c>
      <c r="D852" s="682" t="s">
        <v>916</v>
      </c>
      <c r="E852" s="682" t="s">
        <v>449</v>
      </c>
      <c r="F852" s="682">
        <v>2021.0</v>
      </c>
      <c r="G852" s="683">
        <v>9.00864E-4</v>
      </c>
      <c r="H852" s="683">
        <v>4.20453E-4</v>
      </c>
      <c r="I852" s="684">
        <v>0.001671403</v>
      </c>
      <c r="K852" s="693" t="s">
        <v>30</v>
      </c>
      <c r="L852" s="694" t="s">
        <v>679</v>
      </c>
      <c r="M852" s="694" t="s">
        <v>915</v>
      </c>
      <c r="N852" s="694" t="s">
        <v>927</v>
      </c>
      <c r="O852" s="694">
        <v>2021.0</v>
      </c>
      <c r="P852" s="694" t="s">
        <v>919</v>
      </c>
      <c r="Q852" s="695" t="s">
        <v>112</v>
      </c>
      <c r="R852" s="696">
        <v>116.0566233</v>
      </c>
      <c r="S852" s="696">
        <v>52.76297667</v>
      </c>
      <c r="T852" s="697">
        <v>203.115907</v>
      </c>
      <c r="AB852" s="722"/>
      <c r="AF852" s="669"/>
    </row>
    <row r="853">
      <c r="A853" s="675"/>
      <c r="B853" s="681" t="s">
        <v>54</v>
      </c>
      <c r="C853" s="682" t="s">
        <v>915</v>
      </c>
      <c r="D853" s="682" t="s">
        <v>922</v>
      </c>
      <c r="E853" s="682" t="s">
        <v>449</v>
      </c>
      <c r="F853" s="682">
        <v>2021.0</v>
      </c>
      <c r="G853" s="683">
        <v>0.002707385</v>
      </c>
      <c r="H853" s="683">
        <v>0.001684964</v>
      </c>
      <c r="I853" s="684">
        <v>0.00415952</v>
      </c>
      <c r="K853" s="693" t="s">
        <v>30</v>
      </c>
      <c r="L853" s="694" t="s">
        <v>679</v>
      </c>
      <c r="M853" s="694" t="s">
        <v>915</v>
      </c>
      <c r="N853" s="694" t="s">
        <v>926</v>
      </c>
      <c r="O853" s="694">
        <v>2021.0</v>
      </c>
      <c r="P853" s="694" t="s">
        <v>919</v>
      </c>
      <c r="Q853" s="695" t="s">
        <v>112</v>
      </c>
      <c r="R853" s="696">
        <v>427.1372344</v>
      </c>
      <c r="S853" s="696">
        <v>206.6276464</v>
      </c>
      <c r="T853" s="697">
        <v>762.4986844</v>
      </c>
      <c r="AB853" s="722"/>
      <c r="AF853" s="669"/>
    </row>
    <row r="854">
      <c r="A854" s="675"/>
      <c r="B854" s="681" t="s">
        <v>54</v>
      </c>
      <c r="C854" s="682" t="s">
        <v>915</v>
      </c>
      <c r="D854" s="682" t="s">
        <v>924</v>
      </c>
      <c r="E854" s="682" t="s">
        <v>449</v>
      </c>
      <c r="F854" s="682">
        <v>2021.0</v>
      </c>
      <c r="G854" s="683">
        <v>2.38644E-4</v>
      </c>
      <c r="H854" s="683">
        <v>1.04118E-4</v>
      </c>
      <c r="I854" s="684">
        <v>5.22386E-4</v>
      </c>
      <c r="K854" s="693" t="s">
        <v>31</v>
      </c>
      <c r="L854" s="694" t="s">
        <v>679</v>
      </c>
      <c r="M854" s="694" t="s">
        <v>915</v>
      </c>
      <c r="N854" s="694" t="s">
        <v>918</v>
      </c>
      <c r="O854" s="694">
        <v>2021.0</v>
      </c>
      <c r="P854" s="694" t="s">
        <v>919</v>
      </c>
      <c r="Q854" s="695" t="s">
        <v>112</v>
      </c>
      <c r="R854" s="696">
        <v>167.9492933</v>
      </c>
      <c r="S854" s="696">
        <v>75.24302326</v>
      </c>
      <c r="T854" s="697">
        <v>308.5680408</v>
      </c>
      <c r="AB854" s="722"/>
      <c r="AF854" s="669"/>
    </row>
    <row r="855">
      <c r="A855" s="675"/>
      <c r="B855" s="681" t="s">
        <v>54</v>
      </c>
      <c r="C855" s="682" t="s">
        <v>915</v>
      </c>
      <c r="D855" s="682" t="s">
        <v>926</v>
      </c>
      <c r="E855" s="682" t="s">
        <v>449</v>
      </c>
      <c r="F855" s="682">
        <v>2021.0</v>
      </c>
      <c r="G855" s="683">
        <v>0.001190984</v>
      </c>
      <c r="H855" s="683">
        <v>5.57452E-4</v>
      </c>
      <c r="I855" s="684">
        <v>0.002220064</v>
      </c>
      <c r="K855" s="693" t="s">
        <v>31</v>
      </c>
      <c r="L855" s="694" t="s">
        <v>679</v>
      </c>
      <c r="M855" s="694" t="s">
        <v>915</v>
      </c>
      <c r="N855" s="694" t="s">
        <v>923</v>
      </c>
      <c r="O855" s="694">
        <v>2021.0</v>
      </c>
      <c r="P855" s="694" t="s">
        <v>919</v>
      </c>
      <c r="Q855" s="695" t="s">
        <v>112</v>
      </c>
      <c r="R855" s="696">
        <v>0.0</v>
      </c>
      <c r="S855" s="696">
        <v>0.0</v>
      </c>
      <c r="T855" s="697">
        <v>0.0</v>
      </c>
      <c r="AB855" s="722"/>
      <c r="AF855" s="669"/>
    </row>
    <row r="856">
      <c r="A856" s="675"/>
      <c r="B856" s="681" t="s">
        <v>55</v>
      </c>
      <c r="C856" s="682" t="s">
        <v>915</v>
      </c>
      <c r="D856" s="682" t="s">
        <v>916</v>
      </c>
      <c r="E856" s="682" t="s">
        <v>449</v>
      </c>
      <c r="F856" s="682">
        <v>2021.0</v>
      </c>
      <c r="G856" s="683">
        <v>9.97862E-4</v>
      </c>
      <c r="H856" s="683">
        <v>5.10014E-4</v>
      </c>
      <c r="I856" s="684">
        <v>0.00222415</v>
      </c>
      <c r="K856" s="693" t="s">
        <v>31</v>
      </c>
      <c r="L856" s="694" t="s">
        <v>679</v>
      </c>
      <c r="M856" s="694" t="s">
        <v>915</v>
      </c>
      <c r="N856" s="694" t="s">
        <v>925</v>
      </c>
      <c r="O856" s="694">
        <v>2021.0</v>
      </c>
      <c r="P856" s="694" t="s">
        <v>919</v>
      </c>
      <c r="Q856" s="695" t="s">
        <v>112</v>
      </c>
      <c r="R856" s="696">
        <v>0.0</v>
      </c>
      <c r="S856" s="696">
        <v>0.0</v>
      </c>
      <c r="T856" s="697">
        <v>0.0</v>
      </c>
      <c r="AB856" s="722"/>
      <c r="AF856" s="669"/>
    </row>
    <row r="857">
      <c r="A857" s="675"/>
      <c r="B857" s="681" t="s">
        <v>55</v>
      </c>
      <c r="C857" s="682" t="s">
        <v>915</v>
      </c>
      <c r="D857" s="682" t="s">
        <v>922</v>
      </c>
      <c r="E857" s="682" t="s">
        <v>449</v>
      </c>
      <c r="F857" s="682">
        <v>2021.0</v>
      </c>
      <c r="G857" s="683">
        <v>0.00262762</v>
      </c>
      <c r="H857" s="683">
        <v>0.001604274</v>
      </c>
      <c r="I857" s="684">
        <v>0.004873625</v>
      </c>
      <c r="K857" s="693" t="s">
        <v>31</v>
      </c>
      <c r="L857" s="694" t="s">
        <v>679</v>
      </c>
      <c r="M857" s="694" t="s">
        <v>915</v>
      </c>
      <c r="N857" s="694" t="s">
        <v>927</v>
      </c>
      <c r="O857" s="694">
        <v>2021.0</v>
      </c>
      <c r="P857" s="694" t="s">
        <v>919</v>
      </c>
      <c r="Q857" s="695" t="s">
        <v>112</v>
      </c>
      <c r="R857" s="696">
        <v>74.96143679</v>
      </c>
      <c r="S857" s="696">
        <v>33.16152757</v>
      </c>
      <c r="T857" s="697">
        <v>135.5603003</v>
      </c>
      <c r="AB857" s="722"/>
      <c r="AF857" s="669"/>
    </row>
    <row r="858">
      <c r="A858" s="675"/>
      <c r="B858" s="681" t="s">
        <v>55</v>
      </c>
      <c r="C858" s="682" t="s">
        <v>915</v>
      </c>
      <c r="D858" s="682" t="s">
        <v>924</v>
      </c>
      <c r="E858" s="682" t="s">
        <v>449</v>
      </c>
      <c r="F858" s="682">
        <v>2021.0</v>
      </c>
      <c r="G858" s="683">
        <v>2.27058E-4</v>
      </c>
      <c r="H858" s="683">
        <v>1.08699E-4</v>
      </c>
      <c r="I858" s="684">
        <v>5.98052E-4</v>
      </c>
      <c r="K858" s="693" t="s">
        <v>31</v>
      </c>
      <c r="L858" s="694" t="s">
        <v>679</v>
      </c>
      <c r="M858" s="694" t="s">
        <v>915</v>
      </c>
      <c r="N858" s="694" t="s">
        <v>926</v>
      </c>
      <c r="O858" s="694">
        <v>2021.0</v>
      </c>
      <c r="P858" s="694" t="s">
        <v>919</v>
      </c>
      <c r="Q858" s="695" t="s">
        <v>112</v>
      </c>
      <c r="R858" s="696">
        <v>242.91073</v>
      </c>
      <c r="S858" s="696">
        <v>110.1588661</v>
      </c>
      <c r="T858" s="697">
        <v>443.9856913</v>
      </c>
      <c r="AB858" s="722"/>
      <c r="AF858" s="669"/>
    </row>
    <row r="859">
      <c r="A859" s="675"/>
      <c r="B859" s="681" t="s">
        <v>55</v>
      </c>
      <c r="C859" s="682" t="s">
        <v>915</v>
      </c>
      <c r="D859" s="682" t="s">
        <v>926</v>
      </c>
      <c r="E859" s="682" t="s">
        <v>449</v>
      </c>
      <c r="F859" s="682">
        <v>2021.0</v>
      </c>
      <c r="G859" s="683">
        <v>9.5864E-4</v>
      </c>
      <c r="H859" s="683">
        <v>4.78765E-4</v>
      </c>
      <c r="I859" s="684">
        <v>0.001693626</v>
      </c>
      <c r="K859" s="693" t="s">
        <v>32</v>
      </c>
      <c r="L859" s="694" t="s">
        <v>679</v>
      </c>
      <c r="M859" s="694" t="s">
        <v>915</v>
      </c>
      <c r="N859" s="694" t="s">
        <v>918</v>
      </c>
      <c r="O859" s="694">
        <v>2021.0</v>
      </c>
      <c r="P859" s="694" t="s">
        <v>919</v>
      </c>
      <c r="Q859" s="695" t="s">
        <v>112</v>
      </c>
      <c r="R859" s="696">
        <v>319.0606192</v>
      </c>
      <c r="S859" s="696">
        <v>133.3932661</v>
      </c>
      <c r="T859" s="697">
        <v>598.7688825</v>
      </c>
      <c r="AB859" s="722"/>
      <c r="AF859" s="669"/>
    </row>
    <row r="860">
      <c r="A860" s="675"/>
      <c r="B860" s="681" t="s">
        <v>56</v>
      </c>
      <c r="C860" s="682" t="s">
        <v>915</v>
      </c>
      <c r="D860" s="682" t="s">
        <v>916</v>
      </c>
      <c r="E860" s="682" t="s">
        <v>449</v>
      </c>
      <c r="F860" s="682">
        <v>2021.0</v>
      </c>
      <c r="G860" s="683">
        <v>6.90807E-4</v>
      </c>
      <c r="H860" s="683">
        <v>3.19198E-4</v>
      </c>
      <c r="I860" s="684">
        <v>0.001702343</v>
      </c>
      <c r="K860" s="693" t="s">
        <v>32</v>
      </c>
      <c r="L860" s="694" t="s">
        <v>679</v>
      </c>
      <c r="M860" s="694" t="s">
        <v>915</v>
      </c>
      <c r="N860" s="694" t="s">
        <v>923</v>
      </c>
      <c r="O860" s="694">
        <v>2021.0</v>
      </c>
      <c r="P860" s="694" t="s">
        <v>919</v>
      </c>
      <c r="Q860" s="695" t="s">
        <v>112</v>
      </c>
      <c r="R860" s="696">
        <v>0.0</v>
      </c>
      <c r="S860" s="696">
        <v>0.0</v>
      </c>
      <c r="T860" s="697">
        <v>0.0</v>
      </c>
      <c r="AB860" s="722"/>
      <c r="AF860" s="669"/>
    </row>
    <row r="861">
      <c r="A861" s="675"/>
      <c r="B861" s="681" t="s">
        <v>56</v>
      </c>
      <c r="C861" s="682" t="s">
        <v>915</v>
      </c>
      <c r="D861" s="682" t="s">
        <v>922</v>
      </c>
      <c r="E861" s="682" t="s">
        <v>449</v>
      </c>
      <c r="F861" s="682">
        <v>2021.0</v>
      </c>
      <c r="G861" s="683">
        <v>0.001698962</v>
      </c>
      <c r="H861" s="683">
        <v>9.21695E-4</v>
      </c>
      <c r="I861" s="684">
        <v>0.003601795</v>
      </c>
      <c r="K861" s="693" t="s">
        <v>32</v>
      </c>
      <c r="L861" s="694" t="s">
        <v>679</v>
      </c>
      <c r="M861" s="694" t="s">
        <v>915</v>
      </c>
      <c r="N861" s="694" t="s">
        <v>925</v>
      </c>
      <c r="O861" s="694">
        <v>2021.0</v>
      </c>
      <c r="P861" s="694" t="s">
        <v>919</v>
      </c>
      <c r="Q861" s="695" t="s">
        <v>112</v>
      </c>
      <c r="R861" s="696">
        <v>0.0</v>
      </c>
      <c r="S861" s="696">
        <v>0.0</v>
      </c>
      <c r="T861" s="697">
        <v>0.0</v>
      </c>
      <c r="AB861" s="722"/>
      <c r="AF861" s="669"/>
    </row>
    <row r="862">
      <c r="A862" s="675"/>
      <c r="B862" s="681" t="s">
        <v>56</v>
      </c>
      <c r="C862" s="682" t="s">
        <v>915</v>
      </c>
      <c r="D862" s="682" t="s">
        <v>924</v>
      </c>
      <c r="E862" s="682" t="s">
        <v>449</v>
      </c>
      <c r="F862" s="682">
        <v>2021.0</v>
      </c>
      <c r="G862" s="683">
        <v>2.25853E-4</v>
      </c>
      <c r="H862" s="683">
        <v>9.61E-5</v>
      </c>
      <c r="I862" s="684">
        <v>5.88328E-4</v>
      </c>
      <c r="K862" s="693" t="s">
        <v>32</v>
      </c>
      <c r="L862" s="694" t="s">
        <v>679</v>
      </c>
      <c r="M862" s="694" t="s">
        <v>915</v>
      </c>
      <c r="N862" s="694" t="s">
        <v>927</v>
      </c>
      <c r="O862" s="694">
        <v>2021.0</v>
      </c>
      <c r="P862" s="694" t="s">
        <v>919</v>
      </c>
      <c r="Q862" s="695" t="s">
        <v>112</v>
      </c>
      <c r="R862" s="696">
        <v>116.1328452</v>
      </c>
      <c r="S862" s="696">
        <v>45.29366175</v>
      </c>
      <c r="T862" s="697">
        <v>205.630118</v>
      </c>
      <c r="AB862" s="722"/>
      <c r="AF862" s="669"/>
    </row>
    <row r="863">
      <c r="A863" s="675"/>
      <c r="B863" s="681" t="s">
        <v>56</v>
      </c>
      <c r="C863" s="682" t="s">
        <v>915</v>
      </c>
      <c r="D863" s="682" t="s">
        <v>926</v>
      </c>
      <c r="E863" s="682" t="s">
        <v>449</v>
      </c>
      <c r="F863" s="682">
        <v>2021.0</v>
      </c>
      <c r="G863" s="683">
        <v>8.18202E-4</v>
      </c>
      <c r="H863" s="683">
        <v>3.68046E-4</v>
      </c>
      <c r="I863" s="684">
        <v>0.001585394</v>
      </c>
      <c r="K863" s="693" t="s">
        <v>32</v>
      </c>
      <c r="L863" s="694" t="s">
        <v>679</v>
      </c>
      <c r="M863" s="694" t="s">
        <v>915</v>
      </c>
      <c r="N863" s="694" t="s">
        <v>926</v>
      </c>
      <c r="O863" s="694">
        <v>2021.0</v>
      </c>
      <c r="P863" s="694" t="s">
        <v>919</v>
      </c>
      <c r="Q863" s="695" t="s">
        <v>112</v>
      </c>
      <c r="R863" s="696">
        <v>435.1934643</v>
      </c>
      <c r="S863" s="696">
        <v>186.2073866</v>
      </c>
      <c r="T863" s="697">
        <v>780.1861626</v>
      </c>
      <c r="AB863" s="722"/>
      <c r="AF863" s="669"/>
    </row>
    <row r="864">
      <c r="A864" s="675"/>
      <c r="B864" s="681" t="s">
        <v>57</v>
      </c>
      <c r="C864" s="682" t="s">
        <v>915</v>
      </c>
      <c r="D864" s="682" t="s">
        <v>916</v>
      </c>
      <c r="E864" s="682" t="s">
        <v>449</v>
      </c>
      <c r="F864" s="682">
        <v>2021.0</v>
      </c>
      <c r="G864" s="683">
        <v>0.001291432</v>
      </c>
      <c r="H864" s="683">
        <v>7.16365E-4</v>
      </c>
      <c r="I864" s="684">
        <v>0.002321259</v>
      </c>
      <c r="K864" s="693" t="s">
        <v>33</v>
      </c>
      <c r="L864" s="694" t="s">
        <v>679</v>
      </c>
      <c r="M864" s="694" t="s">
        <v>915</v>
      </c>
      <c r="N864" s="694" t="s">
        <v>918</v>
      </c>
      <c r="O864" s="694">
        <v>2021.0</v>
      </c>
      <c r="P864" s="694" t="s">
        <v>919</v>
      </c>
      <c r="Q864" s="695" t="s">
        <v>112</v>
      </c>
      <c r="R864" s="696">
        <v>498.5857322</v>
      </c>
      <c r="S864" s="696">
        <v>221.4723689</v>
      </c>
      <c r="T864" s="697">
        <v>875.6046978</v>
      </c>
      <c r="AB864" s="722"/>
      <c r="AF864" s="669"/>
    </row>
    <row r="865">
      <c r="A865" s="675"/>
      <c r="B865" s="681" t="s">
        <v>57</v>
      </c>
      <c r="C865" s="682" t="s">
        <v>915</v>
      </c>
      <c r="D865" s="682" t="s">
        <v>922</v>
      </c>
      <c r="E865" s="682" t="s">
        <v>449</v>
      </c>
      <c r="F865" s="682">
        <v>2021.0</v>
      </c>
      <c r="G865" s="683">
        <v>0.002590713</v>
      </c>
      <c r="H865" s="683">
        <v>0.001584786</v>
      </c>
      <c r="I865" s="684">
        <v>0.004119761</v>
      </c>
      <c r="K865" s="693" t="s">
        <v>33</v>
      </c>
      <c r="L865" s="694" t="s">
        <v>679</v>
      </c>
      <c r="M865" s="694" t="s">
        <v>915</v>
      </c>
      <c r="N865" s="694" t="s">
        <v>923</v>
      </c>
      <c r="O865" s="694">
        <v>2021.0</v>
      </c>
      <c r="P865" s="694" t="s">
        <v>919</v>
      </c>
      <c r="Q865" s="695" t="s">
        <v>112</v>
      </c>
      <c r="R865" s="696">
        <v>0.0</v>
      </c>
      <c r="S865" s="696">
        <v>0.0</v>
      </c>
      <c r="T865" s="697">
        <v>0.0</v>
      </c>
      <c r="AB865" s="722"/>
      <c r="AF865" s="669"/>
    </row>
    <row r="866">
      <c r="A866" s="675"/>
      <c r="B866" s="681" t="s">
        <v>57</v>
      </c>
      <c r="C866" s="682" t="s">
        <v>915</v>
      </c>
      <c r="D866" s="682" t="s">
        <v>924</v>
      </c>
      <c r="E866" s="682" t="s">
        <v>449</v>
      </c>
      <c r="F866" s="682">
        <v>2021.0</v>
      </c>
      <c r="G866" s="683">
        <v>4.28339E-4</v>
      </c>
      <c r="H866" s="683">
        <v>2.38673E-4</v>
      </c>
      <c r="I866" s="684">
        <v>8.25145E-4</v>
      </c>
      <c r="K866" s="693" t="s">
        <v>33</v>
      </c>
      <c r="L866" s="694" t="s">
        <v>679</v>
      </c>
      <c r="M866" s="694" t="s">
        <v>915</v>
      </c>
      <c r="N866" s="694" t="s">
        <v>925</v>
      </c>
      <c r="O866" s="694">
        <v>2021.0</v>
      </c>
      <c r="P866" s="694" t="s">
        <v>919</v>
      </c>
      <c r="Q866" s="695" t="s">
        <v>112</v>
      </c>
      <c r="R866" s="696">
        <v>0.0</v>
      </c>
      <c r="S866" s="696">
        <v>0.0</v>
      </c>
      <c r="T866" s="697">
        <v>0.0</v>
      </c>
      <c r="AB866" s="722"/>
      <c r="AF866" s="669"/>
    </row>
    <row r="867">
      <c r="A867" s="675"/>
      <c r="B867" s="681" t="s">
        <v>57</v>
      </c>
      <c r="C867" s="682" t="s">
        <v>915</v>
      </c>
      <c r="D867" s="682" t="s">
        <v>926</v>
      </c>
      <c r="E867" s="682" t="s">
        <v>449</v>
      </c>
      <c r="F867" s="682">
        <v>2021.0</v>
      </c>
      <c r="G867" s="683">
        <v>0.002113785</v>
      </c>
      <c r="H867" s="683">
        <v>0.001150328</v>
      </c>
      <c r="I867" s="684">
        <v>0.003421748</v>
      </c>
      <c r="K867" s="693" t="s">
        <v>33</v>
      </c>
      <c r="L867" s="694" t="s">
        <v>679</v>
      </c>
      <c r="M867" s="694" t="s">
        <v>915</v>
      </c>
      <c r="N867" s="694" t="s">
        <v>927</v>
      </c>
      <c r="O867" s="694">
        <v>2021.0</v>
      </c>
      <c r="P867" s="694" t="s">
        <v>919</v>
      </c>
      <c r="Q867" s="695" t="s">
        <v>112</v>
      </c>
      <c r="R867" s="696">
        <v>209.1222026</v>
      </c>
      <c r="S867" s="696">
        <v>87.70695355</v>
      </c>
      <c r="T867" s="697">
        <v>380.2240558</v>
      </c>
      <c r="AB867" s="722"/>
      <c r="AF867" s="669"/>
    </row>
    <row r="868">
      <c r="A868" s="675"/>
      <c r="B868" s="681" t="s">
        <v>58</v>
      </c>
      <c r="C868" s="682" t="s">
        <v>915</v>
      </c>
      <c r="D868" s="682" t="s">
        <v>916</v>
      </c>
      <c r="E868" s="682" t="s">
        <v>449</v>
      </c>
      <c r="F868" s="682">
        <v>2021.0</v>
      </c>
      <c r="G868" s="683">
        <v>0.001618747</v>
      </c>
      <c r="H868" s="683">
        <v>8.18086E-4</v>
      </c>
      <c r="I868" s="684">
        <v>0.00348241</v>
      </c>
      <c r="K868" s="693" t="s">
        <v>33</v>
      </c>
      <c r="L868" s="694" t="s">
        <v>679</v>
      </c>
      <c r="M868" s="694" t="s">
        <v>915</v>
      </c>
      <c r="N868" s="694" t="s">
        <v>926</v>
      </c>
      <c r="O868" s="694">
        <v>2021.0</v>
      </c>
      <c r="P868" s="694" t="s">
        <v>919</v>
      </c>
      <c r="Q868" s="695" t="s">
        <v>112</v>
      </c>
      <c r="R868" s="696">
        <v>707.7079348</v>
      </c>
      <c r="S868" s="696">
        <v>326.542156</v>
      </c>
      <c r="T868" s="697">
        <v>1279.874086</v>
      </c>
      <c r="AB868" s="722"/>
      <c r="AF868" s="669"/>
    </row>
    <row r="869">
      <c r="A869" s="675"/>
      <c r="B869" s="681" t="s">
        <v>58</v>
      </c>
      <c r="C869" s="682" t="s">
        <v>915</v>
      </c>
      <c r="D869" s="682" t="s">
        <v>922</v>
      </c>
      <c r="E869" s="682" t="s">
        <v>449</v>
      </c>
      <c r="F869" s="682">
        <v>2021.0</v>
      </c>
      <c r="G869" s="683">
        <v>0.003865714</v>
      </c>
      <c r="H869" s="683">
        <v>0.002325781</v>
      </c>
      <c r="I869" s="684">
        <v>0.007953214</v>
      </c>
      <c r="K869" s="693" t="s">
        <v>34</v>
      </c>
      <c r="L869" s="694" t="s">
        <v>679</v>
      </c>
      <c r="M869" s="694" t="s">
        <v>915</v>
      </c>
      <c r="N869" s="694" t="s">
        <v>918</v>
      </c>
      <c r="O869" s="694">
        <v>2021.0</v>
      </c>
      <c r="P869" s="694" t="s">
        <v>919</v>
      </c>
      <c r="Q869" s="695" t="s">
        <v>112</v>
      </c>
      <c r="R869" s="696">
        <v>223.246138</v>
      </c>
      <c r="S869" s="696">
        <v>114.1744161</v>
      </c>
      <c r="T869" s="697">
        <v>399.7737654</v>
      </c>
      <c r="AB869" s="722"/>
      <c r="AF869" s="669"/>
    </row>
    <row r="870">
      <c r="A870" s="675"/>
      <c r="B870" s="681" t="s">
        <v>58</v>
      </c>
      <c r="C870" s="682" t="s">
        <v>915</v>
      </c>
      <c r="D870" s="682" t="s">
        <v>924</v>
      </c>
      <c r="E870" s="682" t="s">
        <v>449</v>
      </c>
      <c r="F870" s="682">
        <v>2021.0</v>
      </c>
      <c r="G870" s="683">
        <v>5.69156E-4</v>
      </c>
      <c r="H870" s="683">
        <v>3.04588E-4</v>
      </c>
      <c r="I870" s="684">
        <v>0.00123282</v>
      </c>
      <c r="K870" s="693" t="s">
        <v>34</v>
      </c>
      <c r="L870" s="694" t="s">
        <v>679</v>
      </c>
      <c r="M870" s="694" t="s">
        <v>915</v>
      </c>
      <c r="N870" s="694" t="s">
        <v>923</v>
      </c>
      <c r="O870" s="694">
        <v>2021.0</v>
      </c>
      <c r="P870" s="694" t="s">
        <v>919</v>
      </c>
      <c r="Q870" s="695" t="s">
        <v>112</v>
      </c>
      <c r="R870" s="696">
        <v>0.0</v>
      </c>
      <c r="S870" s="696">
        <v>0.0</v>
      </c>
      <c r="T870" s="697">
        <v>0.0</v>
      </c>
      <c r="AB870" s="722"/>
      <c r="AF870" s="669"/>
    </row>
    <row r="871">
      <c r="A871" s="675"/>
      <c r="B871" s="681" t="s">
        <v>58</v>
      </c>
      <c r="C871" s="682" t="s">
        <v>915</v>
      </c>
      <c r="D871" s="682" t="s">
        <v>926</v>
      </c>
      <c r="E871" s="682" t="s">
        <v>449</v>
      </c>
      <c r="F871" s="682">
        <v>2021.0</v>
      </c>
      <c r="G871" s="683">
        <v>0.003041217</v>
      </c>
      <c r="H871" s="683">
        <v>0.001740841</v>
      </c>
      <c r="I871" s="684">
        <v>0.004784336</v>
      </c>
      <c r="K871" s="693" t="s">
        <v>34</v>
      </c>
      <c r="L871" s="694" t="s">
        <v>679</v>
      </c>
      <c r="M871" s="694" t="s">
        <v>915</v>
      </c>
      <c r="N871" s="694" t="s">
        <v>925</v>
      </c>
      <c r="O871" s="694">
        <v>2021.0</v>
      </c>
      <c r="P871" s="694" t="s">
        <v>919</v>
      </c>
      <c r="Q871" s="695" t="s">
        <v>112</v>
      </c>
      <c r="R871" s="696">
        <v>0.0</v>
      </c>
      <c r="S871" s="696">
        <v>0.0</v>
      </c>
      <c r="T871" s="697">
        <v>0.0</v>
      </c>
      <c r="AB871" s="722"/>
      <c r="AF871" s="669"/>
    </row>
    <row r="872">
      <c r="A872" s="675"/>
      <c r="B872" s="681" t="s">
        <v>7</v>
      </c>
      <c r="C872" s="682" t="s">
        <v>915</v>
      </c>
      <c r="D872" s="682" t="s">
        <v>916</v>
      </c>
      <c r="E872" s="682" t="s">
        <v>449</v>
      </c>
      <c r="F872" s="682">
        <v>2021.0</v>
      </c>
      <c r="G872" s="683">
        <v>0.001270909</v>
      </c>
      <c r="H872" s="683">
        <v>7.09344E-4</v>
      </c>
      <c r="I872" s="684">
        <v>0.002588419</v>
      </c>
      <c r="K872" s="693" t="s">
        <v>34</v>
      </c>
      <c r="L872" s="694" t="s">
        <v>679</v>
      </c>
      <c r="M872" s="694" t="s">
        <v>915</v>
      </c>
      <c r="N872" s="694" t="s">
        <v>927</v>
      </c>
      <c r="O872" s="694">
        <v>2021.0</v>
      </c>
      <c r="P872" s="694" t="s">
        <v>919</v>
      </c>
      <c r="Q872" s="695" t="s">
        <v>112</v>
      </c>
      <c r="R872" s="696">
        <v>86.07944075</v>
      </c>
      <c r="S872" s="696">
        <v>36.47693625</v>
      </c>
      <c r="T872" s="697">
        <v>151.0281195</v>
      </c>
      <c r="AB872" s="722"/>
      <c r="AF872" s="669"/>
    </row>
    <row r="873">
      <c r="A873" s="675"/>
      <c r="B873" s="681" t="s">
        <v>7</v>
      </c>
      <c r="C873" s="682" t="s">
        <v>915</v>
      </c>
      <c r="D873" s="682" t="s">
        <v>922</v>
      </c>
      <c r="E873" s="682" t="s">
        <v>449</v>
      </c>
      <c r="F873" s="682">
        <v>2021.0</v>
      </c>
      <c r="G873" s="683">
        <v>0.003102428</v>
      </c>
      <c r="H873" s="683">
        <v>0.002031412</v>
      </c>
      <c r="I873" s="684">
        <v>0.00583729</v>
      </c>
      <c r="K873" s="693" t="s">
        <v>34</v>
      </c>
      <c r="L873" s="694" t="s">
        <v>679</v>
      </c>
      <c r="M873" s="694" t="s">
        <v>915</v>
      </c>
      <c r="N873" s="694" t="s">
        <v>926</v>
      </c>
      <c r="O873" s="694">
        <v>2021.0</v>
      </c>
      <c r="P873" s="694" t="s">
        <v>919</v>
      </c>
      <c r="Q873" s="695" t="s">
        <v>112</v>
      </c>
      <c r="R873" s="696">
        <v>309.3255788</v>
      </c>
      <c r="S873" s="696">
        <v>153.7022503</v>
      </c>
      <c r="T873" s="697">
        <v>539.6226497</v>
      </c>
      <c r="AB873" s="722"/>
      <c r="AF873" s="669"/>
    </row>
    <row r="874">
      <c r="A874" s="675"/>
      <c r="B874" s="681" t="s">
        <v>7</v>
      </c>
      <c r="C874" s="682" t="s">
        <v>915</v>
      </c>
      <c r="D874" s="682" t="s">
        <v>924</v>
      </c>
      <c r="E874" s="682" t="s">
        <v>449</v>
      </c>
      <c r="F874" s="682">
        <v>2021.0</v>
      </c>
      <c r="G874" s="683">
        <v>5.42643E-4</v>
      </c>
      <c r="H874" s="683">
        <v>3.21393E-4</v>
      </c>
      <c r="I874" s="684">
        <v>0.001076691</v>
      </c>
      <c r="K874" s="693" t="s">
        <v>54</v>
      </c>
      <c r="L874" s="694" t="s">
        <v>679</v>
      </c>
      <c r="M874" s="694" t="s">
        <v>915</v>
      </c>
      <c r="N874" s="694" t="s">
        <v>918</v>
      </c>
      <c r="O874" s="694">
        <v>2021.0</v>
      </c>
      <c r="P874" s="694" t="s">
        <v>919</v>
      </c>
      <c r="Q874" s="695" t="s">
        <v>112</v>
      </c>
      <c r="R874" s="696">
        <v>15.37070768</v>
      </c>
      <c r="S874" s="696">
        <v>4.186919471</v>
      </c>
      <c r="T874" s="697">
        <v>38.98495226</v>
      </c>
      <c r="AB874" s="722"/>
      <c r="AF874" s="669"/>
    </row>
    <row r="875">
      <c r="A875" s="675"/>
      <c r="B875" s="681" t="s">
        <v>7</v>
      </c>
      <c r="C875" s="682" t="s">
        <v>915</v>
      </c>
      <c r="D875" s="682" t="s">
        <v>926</v>
      </c>
      <c r="E875" s="682" t="s">
        <v>449</v>
      </c>
      <c r="F875" s="682">
        <v>2021.0</v>
      </c>
      <c r="G875" s="683">
        <v>0.003332935</v>
      </c>
      <c r="H875" s="683">
        <v>0.001969185</v>
      </c>
      <c r="I875" s="684">
        <v>0.005443018</v>
      </c>
      <c r="K875" s="693" t="s">
        <v>54</v>
      </c>
      <c r="L875" s="694" t="s">
        <v>679</v>
      </c>
      <c r="M875" s="694" t="s">
        <v>915</v>
      </c>
      <c r="N875" s="694" t="s">
        <v>923</v>
      </c>
      <c r="O875" s="694">
        <v>2021.0</v>
      </c>
      <c r="P875" s="694" t="s">
        <v>919</v>
      </c>
      <c r="Q875" s="695" t="s">
        <v>112</v>
      </c>
      <c r="R875" s="696">
        <v>0.0</v>
      </c>
      <c r="S875" s="696">
        <v>0.0</v>
      </c>
      <c r="T875" s="697">
        <v>0.0</v>
      </c>
      <c r="AB875" s="722"/>
      <c r="AF875" s="669"/>
    </row>
    <row r="876">
      <c r="A876" s="675"/>
      <c r="B876" s="681" t="s">
        <v>59</v>
      </c>
      <c r="C876" s="682" t="s">
        <v>915</v>
      </c>
      <c r="D876" s="682" t="s">
        <v>916</v>
      </c>
      <c r="E876" s="682" t="s">
        <v>449</v>
      </c>
      <c r="F876" s="682">
        <v>2021.0</v>
      </c>
      <c r="G876" s="683">
        <v>0.001119381</v>
      </c>
      <c r="H876" s="683">
        <v>5.69653E-4</v>
      </c>
      <c r="I876" s="684">
        <v>0.002613293</v>
      </c>
      <c r="K876" s="693" t="s">
        <v>54</v>
      </c>
      <c r="L876" s="694" t="s">
        <v>679</v>
      </c>
      <c r="M876" s="694" t="s">
        <v>915</v>
      </c>
      <c r="N876" s="694" t="s">
        <v>925</v>
      </c>
      <c r="O876" s="694">
        <v>2021.0</v>
      </c>
      <c r="P876" s="694" t="s">
        <v>919</v>
      </c>
      <c r="Q876" s="695" t="s">
        <v>112</v>
      </c>
      <c r="R876" s="696">
        <v>0.0</v>
      </c>
      <c r="S876" s="696">
        <v>0.0</v>
      </c>
      <c r="T876" s="697">
        <v>0.0</v>
      </c>
      <c r="AB876" s="722"/>
      <c r="AF876" s="669"/>
    </row>
    <row r="877">
      <c r="A877" s="675"/>
      <c r="B877" s="681" t="s">
        <v>59</v>
      </c>
      <c r="C877" s="682" t="s">
        <v>915</v>
      </c>
      <c r="D877" s="682" t="s">
        <v>922</v>
      </c>
      <c r="E877" s="682" t="s">
        <v>449</v>
      </c>
      <c r="F877" s="682">
        <v>2021.0</v>
      </c>
      <c r="G877" s="683">
        <v>0.002996476</v>
      </c>
      <c r="H877" s="683">
        <v>0.001722553</v>
      </c>
      <c r="I877" s="684">
        <v>0.005552699</v>
      </c>
      <c r="K877" s="693" t="s">
        <v>54</v>
      </c>
      <c r="L877" s="694" t="s">
        <v>679</v>
      </c>
      <c r="M877" s="694" t="s">
        <v>915</v>
      </c>
      <c r="N877" s="694" t="s">
        <v>927</v>
      </c>
      <c r="O877" s="694">
        <v>2021.0</v>
      </c>
      <c r="P877" s="694" t="s">
        <v>919</v>
      </c>
      <c r="Q877" s="695" t="s">
        <v>112</v>
      </c>
      <c r="R877" s="696">
        <v>5.181093854</v>
      </c>
      <c r="S877" s="696">
        <v>1.379414841</v>
      </c>
      <c r="T877" s="697">
        <v>13.60802314</v>
      </c>
      <c r="AB877" s="722"/>
      <c r="AF877" s="669"/>
    </row>
    <row r="878">
      <c r="A878" s="675"/>
      <c r="B878" s="681" t="s">
        <v>59</v>
      </c>
      <c r="C878" s="682" t="s">
        <v>915</v>
      </c>
      <c r="D878" s="682" t="s">
        <v>924</v>
      </c>
      <c r="E878" s="682" t="s">
        <v>449</v>
      </c>
      <c r="F878" s="682">
        <v>2021.0</v>
      </c>
      <c r="G878" s="683">
        <v>3.09691E-4</v>
      </c>
      <c r="H878" s="683">
        <v>1.48313E-4</v>
      </c>
      <c r="I878" s="684">
        <v>7.94598E-4</v>
      </c>
      <c r="K878" s="693" t="s">
        <v>54</v>
      </c>
      <c r="L878" s="694" t="s">
        <v>679</v>
      </c>
      <c r="M878" s="694" t="s">
        <v>915</v>
      </c>
      <c r="N878" s="694" t="s">
        <v>926</v>
      </c>
      <c r="O878" s="694">
        <v>2021.0</v>
      </c>
      <c r="P878" s="694" t="s">
        <v>919</v>
      </c>
      <c r="Q878" s="695" t="s">
        <v>112</v>
      </c>
      <c r="R878" s="696">
        <v>20.55180154</v>
      </c>
      <c r="S878" s="696">
        <v>5.60327095</v>
      </c>
      <c r="T878" s="697">
        <v>52.59435601</v>
      </c>
      <c r="AB878" s="722"/>
      <c r="AF878" s="669"/>
    </row>
    <row r="879">
      <c r="A879" s="675"/>
      <c r="B879" s="681" t="s">
        <v>59</v>
      </c>
      <c r="C879" s="682" t="s">
        <v>915</v>
      </c>
      <c r="D879" s="682" t="s">
        <v>926</v>
      </c>
      <c r="E879" s="682" t="s">
        <v>449</v>
      </c>
      <c r="F879" s="682">
        <v>2021.0</v>
      </c>
      <c r="G879" s="683">
        <v>0.001363403</v>
      </c>
      <c r="H879" s="683">
        <v>7.29551E-4</v>
      </c>
      <c r="I879" s="684">
        <v>0.002315115</v>
      </c>
      <c r="K879" s="693" t="s">
        <v>55</v>
      </c>
      <c r="L879" s="694" t="s">
        <v>679</v>
      </c>
      <c r="M879" s="694" t="s">
        <v>915</v>
      </c>
      <c r="N879" s="694" t="s">
        <v>918</v>
      </c>
      <c r="O879" s="694">
        <v>2021.0</v>
      </c>
      <c r="P879" s="694" t="s">
        <v>919</v>
      </c>
      <c r="Q879" s="695" t="s">
        <v>112</v>
      </c>
      <c r="R879" s="696">
        <v>16.05667254</v>
      </c>
      <c r="S879" s="696">
        <v>6.659513365</v>
      </c>
      <c r="T879" s="697">
        <v>30.012919</v>
      </c>
      <c r="AB879" s="722"/>
      <c r="AF879" s="669"/>
    </row>
    <row r="880">
      <c r="A880" s="675"/>
      <c r="B880" s="681" t="s">
        <v>60</v>
      </c>
      <c r="C880" s="682" t="s">
        <v>915</v>
      </c>
      <c r="D880" s="682" t="s">
        <v>916</v>
      </c>
      <c r="E880" s="682" t="s">
        <v>449</v>
      </c>
      <c r="F880" s="682">
        <v>2021.0</v>
      </c>
      <c r="G880" s="683">
        <v>9.15458E-4</v>
      </c>
      <c r="H880" s="683">
        <v>4.81818E-4</v>
      </c>
      <c r="I880" s="684">
        <v>0.001637481</v>
      </c>
      <c r="K880" s="693" t="s">
        <v>55</v>
      </c>
      <c r="L880" s="694" t="s">
        <v>679</v>
      </c>
      <c r="M880" s="694" t="s">
        <v>915</v>
      </c>
      <c r="N880" s="694" t="s">
        <v>923</v>
      </c>
      <c r="O880" s="694">
        <v>2021.0</v>
      </c>
      <c r="P880" s="694" t="s">
        <v>919</v>
      </c>
      <c r="Q880" s="695" t="s">
        <v>112</v>
      </c>
      <c r="R880" s="696">
        <v>0.0</v>
      </c>
      <c r="S880" s="696">
        <v>0.0</v>
      </c>
      <c r="T880" s="697">
        <v>0.0</v>
      </c>
      <c r="AB880" s="722"/>
      <c r="AF880" s="669"/>
    </row>
    <row r="881">
      <c r="A881" s="675"/>
      <c r="B881" s="681" t="s">
        <v>60</v>
      </c>
      <c r="C881" s="682" t="s">
        <v>915</v>
      </c>
      <c r="D881" s="682" t="s">
        <v>922</v>
      </c>
      <c r="E881" s="682" t="s">
        <v>449</v>
      </c>
      <c r="F881" s="682">
        <v>2021.0</v>
      </c>
      <c r="G881" s="683">
        <v>0.00260227</v>
      </c>
      <c r="H881" s="683">
        <v>0.001657859</v>
      </c>
      <c r="I881" s="684">
        <v>0.004024312</v>
      </c>
      <c r="K881" s="693" t="s">
        <v>55</v>
      </c>
      <c r="L881" s="694" t="s">
        <v>679</v>
      </c>
      <c r="M881" s="694" t="s">
        <v>915</v>
      </c>
      <c r="N881" s="694" t="s">
        <v>925</v>
      </c>
      <c r="O881" s="694">
        <v>2021.0</v>
      </c>
      <c r="P881" s="694" t="s">
        <v>919</v>
      </c>
      <c r="Q881" s="695" t="s">
        <v>112</v>
      </c>
      <c r="R881" s="696">
        <v>0.0</v>
      </c>
      <c r="S881" s="696">
        <v>0.0</v>
      </c>
      <c r="T881" s="697">
        <v>0.0</v>
      </c>
      <c r="AB881" s="722"/>
      <c r="AF881" s="669"/>
    </row>
    <row r="882">
      <c r="A882" s="675"/>
      <c r="B882" s="681" t="s">
        <v>60</v>
      </c>
      <c r="C882" s="682" t="s">
        <v>915</v>
      </c>
      <c r="D882" s="682" t="s">
        <v>924</v>
      </c>
      <c r="E882" s="682" t="s">
        <v>449</v>
      </c>
      <c r="F882" s="682">
        <v>2021.0</v>
      </c>
      <c r="G882" s="683">
        <v>3.05717E-4</v>
      </c>
      <c r="H882" s="683">
        <v>1.55714E-4</v>
      </c>
      <c r="I882" s="684">
        <v>5.50093E-4</v>
      </c>
      <c r="K882" s="693" t="s">
        <v>55</v>
      </c>
      <c r="L882" s="694" t="s">
        <v>679</v>
      </c>
      <c r="M882" s="694" t="s">
        <v>915</v>
      </c>
      <c r="N882" s="694" t="s">
        <v>927</v>
      </c>
      <c r="O882" s="694">
        <v>2021.0</v>
      </c>
      <c r="P882" s="694" t="s">
        <v>919</v>
      </c>
      <c r="Q882" s="695" t="s">
        <v>112</v>
      </c>
      <c r="R882" s="696">
        <v>6.943144129</v>
      </c>
      <c r="S882" s="696">
        <v>2.868683742</v>
      </c>
      <c r="T882" s="697">
        <v>13.39801338</v>
      </c>
      <c r="AB882" s="722"/>
      <c r="AF882" s="669"/>
    </row>
    <row r="883">
      <c r="A883" s="675"/>
      <c r="B883" s="681" t="s">
        <v>60</v>
      </c>
      <c r="C883" s="682" t="s">
        <v>915</v>
      </c>
      <c r="D883" s="682" t="s">
        <v>926</v>
      </c>
      <c r="E883" s="682" t="s">
        <v>449</v>
      </c>
      <c r="F883" s="682">
        <v>2021.0</v>
      </c>
      <c r="G883" s="683">
        <v>0.00133794</v>
      </c>
      <c r="H883" s="683">
        <v>5.75576E-4</v>
      </c>
      <c r="I883" s="684">
        <v>0.002457593</v>
      </c>
      <c r="K883" s="693" t="s">
        <v>55</v>
      </c>
      <c r="L883" s="694" t="s">
        <v>679</v>
      </c>
      <c r="M883" s="694" t="s">
        <v>915</v>
      </c>
      <c r="N883" s="694" t="s">
        <v>926</v>
      </c>
      <c r="O883" s="694">
        <v>2021.0</v>
      </c>
      <c r="P883" s="694" t="s">
        <v>919</v>
      </c>
      <c r="Q883" s="695" t="s">
        <v>112</v>
      </c>
      <c r="R883" s="696">
        <v>22.99981667</v>
      </c>
      <c r="S883" s="696">
        <v>9.590935763</v>
      </c>
      <c r="T883" s="697">
        <v>43.46615724</v>
      </c>
      <c r="AB883" s="722"/>
      <c r="AF883" s="669"/>
    </row>
    <row r="884">
      <c r="A884" s="675"/>
      <c r="B884" s="681" t="s">
        <v>61</v>
      </c>
      <c r="C884" s="682" t="s">
        <v>915</v>
      </c>
      <c r="D884" s="682" t="s">
        <v>916</v>
      </c>
      <c r="E884" s="682" t="s">
        <v>449</v>
      </c>
      <c r="F884" s="682">
        <v>2021.0</v>
      </c>
      <c r="G884" s="683">
        <v>6.10898E-4</v>
      </c>
      <c r="H884" s="683">
        <v>2.60021E-4</v>
      </c>
      <c r="I884" s="684">
        <v>0.001254823</v>
      </c>
      <c r="K884" s="693" t="s">
        <v>56</v>
      </c>
      <c r="L884" s="694" t="s">
        <v>679</v>
      </c>
      <c r="M884" s="694" t="s">
        <v>915</v>
      </c>
      <c r="N884" s="694" t="s">
        <v>918</v>
      </c>
      <c r="O884" s="694">
        <v>2021.0</v>
      </c>
      <c r="P884" s="694" t="s">
        <v>919</v>
      </c>
      <c r="Q884" s="695" t="s">
        <v>112</v>
      </c>
      <c r="R884" s="696">
        <v>7.848417244</v>
      </c>
      <c r="S884" s="696">
        <v>2.89370589</v>
      </c>
      <c r="T884" s="697">
        <v>15.41917534</v>
      </c>
      <c r="AB884" s="722"/>
      <c r="AF884" s="669"/>
    </row>
    <row r="885">
      <c r="A885" s="675"/>
      <c r="B885" s="681" t="s">
        <v>61</v>
      </c>
      <c r="C885" s="682" t="s">
        <v>915</v>
      </c>
      <c r="D885" s="682" t="s">
        <v>922</v>
      </c>
      <c r="E885" s="682" t="s">
        <v>449</v>
      </c>
      <c r="F885" s="682">
        <v>2021.0</v>
      </c>
      <c r="G885" s="683">
        <v>0.002077918</v>
      </c>
      <c r="H885" s="683">
        <v>0.001106866</v>
      </c>
      <c r="I885" s="684">
        <v>0.003566144</v>
      </c>
      <c r="K885" s="693" t="s">
        <v>56</v>
      </c>
      <c r="L885" s="694" t="s">
        <v>679</v>
      </c>
      <c r="M885" s="694" t="s">
        <v>915</v>
      </c>
      <c r="N885" s="694" t="s">
        <v>923</v>
      </c>
      <c r="O885" s="694">
        <v>2021.0</v>
      </c>
      <c r="P885" s="694" t="s">
        <v>919</v>
      </c>
      <c r="Q885" s="695" t="s">
        <v>112</v>
      </c>
      <c r="R885" s="696">
        <v>0.0</v>
      </c>
      <c r="S885" s="696">
        <v>0.0</v>
      </c>
      <c r="T885" s="697">
        <v>0.0</v>
      </c>
      <c r="AB885" s="722"/>
      <c r="AF885" s="669"/>
    </row>
    <row r="886">
      <c r="A886" s="675"/>
      <c r="B886" s="681" t="s">
        <v>61</v>
      </c>
      <c r="C886" s="682" t="s">
        <v>915</v>
      </c>
      <c r="D886" s="682" t="s">
        <v>924</v>
      </c>
      <c r="E886" s="682" t="s">
        <v>449</v>
      </c>
      <c r="F886" s="682">
        <v>2021.0</v>
      </c>
      <c r="G886" s="683">
        <v>1.65232E-4</v>
      </c>
      <c r="H886" s="683">
        <v>6.2E-5</v>
      </c>
      <c r="I886" s="684">
        <v>3.87595E-4</v>
      </c>
      <c r="K886" s="693" t="s">
        <v>56</v>
      </c>
      <c r="L886" s="694" t="s">
        <v>679</v>
      </c>
      <c r="M886" s="694" t="s">
        <v>915</v>
      </c>
      <c r="N886" s="694" t="s">
        <v>925</v>
      </c>
      <c r="O886" s="694">
        <v>2021.0</v>
      </c>
      <c r="P886" s="694" t="s">
        <v>919</v>
      </c>
      <c r="Q886" s="695" t="s">
        <v>112</v>
      </c>
      <c r="R886" s="696">
        <v>0.0</v>
      </c>
      <c r="S886" s="696">
        <v>0.0</v>
      </c>
      <c r="T886" s="697">
        <v>0.0</v>
      </c>
      <c r="AB886" s="722"/>
      <c r="AF886" s="669"/>
    </row>
    <row r="887">
      <c r="A887" s="675"/>
      <c r="B887" s="681" t="s">
        <v>61</v>
      </c>
      <c r="C887" s="682" t="s">
        <v>915</v>
      </c>
      <c r="D887" s="682" t="s">
        <v>926</v>
      </c>
      <c r="E887" s="682" t="s">
        <v>449</v>
      </c>
      <c r="F887" s="682">
        <v>2021.0</v>
      </c>
      <c r="G887" s="683">
        <v>6.78927E-4</v>
      </c>
      <c r="H887" s="683">
        <v>3.09401E-4</v>
      </c>
      <c r="I887" s="684">
        <v>0.001298161</v>
      </c>
      <c r="K887" s="693" t="s">
        <v>56</v>
      </c>
      <c r="L887" s="694" t="s">
        <v>679</v>
      </c>
      <c r="M887" s="694" t="s">
        <v>915</v>
      </c>
      <c r="N887" s="694" t="s">
        <v>927</v>
      </c>
      <c r="O887" s="694">
        <v>2021.0</v>
      </c>
      <c r="P887" s="694" t="s">
        <v>919</v>
      </c>
      <c r="Q887" s="695" t="s">
        <v>112</v>
      </c>
      <c r="R887" s="696">
        <v>3.804454448</v>
      </c>
      <c r="S887" s="696">
        <v>1.399272176</v>
      </c>
      <c r="T887" s="697">
        <v>7.688674471</v>
      </c>
      <c r="AB887" s="722"/>
      <c r="AF887" s="669"/>
    </row>
    <row r="888">
      <c r="A888" s="675"/>
      <c r="B888" s="681" t="s">
        <v>63</v>
      </c>
      <c r="C888" s="682" t="s">
        <v>915</v>
      </c>
      <c r="D888" s="682" t="s">
        <v>916</v>
      </c>
      <c r="E888" s="682" t="s">
        <v>449</v>
      </c>
      <c r="F888" s="682">
        <v>2021.0</v>
      </c>
      <c r="G888" s="683">
        <v>7.76371E-4</v>
      </c>
      <c r="H888" s="683">
        <v>3.87133E-4</v>
      </c>
      <c r="I888" s="684">
        <v>0.001918002</v>
      </c>
      <c r="K888" s="693" t="s">
        <v>56</v>
      </c>
      <c r="L888" s="694" t="s">
        <v>679</v>
      </c>
      <c r="M888" s="694" t="s">
        <v>915</v>
      </c>
      <c r="N888" s="694" t="s">
        <v>926</v>
      </c>
      <c r="O888" s="694">
        <v>2021.0</v>
      </c>
      <c r="P888" s="694" t="s">
        <v>919</v>
      </c>
      <c r="Q888" s="695" t="s">
        <v>112</v>
      </c>
      <c r="R888" s="696">
        <v>11.65287169</v>
      </c>
      <c r="S888" s="696">
        <v>4.302223358</v>
      </c>
      <c r="T888" s="697">
        <v>22.64642487</v>
      </c>
      <c r="AB888" s="722"/>
      <c r="AF888" s="669"/>
    </row>
    <row r="889">
      <c r="A889" s="675"/>
      <c r="B889" s="681" t="s">
        <v>63</v>
      </c>
      <c r="C889" s="682" t="s">
        <v>915</v>
      </c>
      <c r="D889" s="682" t="s">
        <v>922</v>
      </c>
      <c r="E889" s="682" t="s">
        <v>449</v>
      </c>
      <c r="F889" s="682">
        <v>2021.0</v>
      </c>
      <c r="G889" s="683">
        <v>0.002241338</v>
      </c>
      <c r="H889" s="683">
        <v>0.001369945</v>
      </c>
      <c r="I889" s="684">
        <v>0.00427064</v>
      </c>
      <c r="K889" s="693" t="s">
        <v>57</v>
      </c>
      <c r="L889" s="694" t="s">
        <v>679</v>
      </c>
      <c r="M889" s="694" t="s">
        <v>915</v>
      </c>
      <c r="N889" s="694" t="s">
        <v>918</v>
      </c>
      <c r="O889" s="694">
        <v>2021.0</v>
      </c>
      <c r="P889" s="694" t="s">
        <v>919</v>
      </c>
      <c r="Q889" s="695" t="s">
        <v>112</v>
      </c>
      <c r="R889" s="696">
        <v>46.55128538</v>
      </c>
      <c r="S889" s="696">
        <v>20.00031414</v>
      </c>
      <c r="T889" s="697">
        <v>84.02090407</v>
      </c>
      <c r="AB889" s="722"/>
      <c r="AF889" s="669"/>
    </row>
    <row r="890">
      <c r="A890" s="675"/>
      <c r="B890" s="681" t="s">
        <v>63</v>
      </c>
      <c r="C890" s="682" t="s">
        <v>915</v>
      </c>
      <c r="D890" s="682" t="s">
        <v>924</v>
      </c>
      <c r="E890" s="682" t="s">
        <v>449</v>
      </c>
      <c r="F890" s="682">
        <v>2021.0</v>
      </c>
      <c r="G890" s="683">
        <v>1.78382E-4</v>
      </c>
      <c r="H890" s="683">
        <v>8.27E-5</v>
      </c>
      <c r="I890" s="684">
        <v>4.86584E-4</v>
      </c>
      <c r="K890" s="693" t="s">
        <v>57</v>
      </c>
      <c r="L890" s="694" t="s">
        <v>679</v>
      </c>
      <c r="M890" s="694" t="s">
        <v>915</v>
      </c>
      <c r="N890" s="694" t="s">
        <v>923</v>
      </c>
      <c r="O890" s="694">
        <v>2021.0</v>
      </c>
      <c r="P890" s="694" t="s">
        <v>919</v>
      </c>
      <c r="Q890" s="695" t="s">
        <v>112</v>
      </c>
      <c r="R890" s="696">
        <v>0.0</v>
      </c>
      <c r="S890" s="696">
        <v>0.0</v>
      </c>
      <c r="T890" s="697">
        <v>0.0</v>
      </c>
      <c r="AB890" s="722"/>
      <c r="AF890" s="669"/>
    </row>
    <row r="891">
      <c r="A891" s="675"/>
      <c r="B891" s="681" t="s">
        <v>63</v>
      </c>
      <c r="C891" s="682" t="s">
        <v>915</v>
      </c>
      <c r="D891" s="682" t="s">
        <v>926</v>
      </c>
      <c r="E891" s="682" t="s">
        <v>449</v>
      </c>
      <c r="F891" s="682">
        <v>2021.0</v>
      </c>
      <c r="G891" s="683">
        <v>8.86172E-4</v>
      </c>
      <c r="H891" s="683">
        <v>4.17516E-4</v>
      </c>
      <c r="I891" s="684">
        <v>0.00162511</v>
      </c>
      <c r="K891" s="693" t="s">
        <v>57</v>
      </c>
      <c r="L891" s="694" t="s">
        <v>679</v>
      </c>
      <c r="M891" s="694" t="s">
        <v>915</v>
      </c>
      <c r="N891" s="694" t="s">
        <v>925</v>
      </c>
      <c r="O891" s="694">
        <v>2021.0</v>
      </c>
      <c r="P891" s="694" t="s">
        <v>919</v>
      </c>
      <c r="Q891" s="695" t="s">
        <v>112</v>
      </c>
      <c r="R891" s="696">
        <v>0.0</v>
      </c>
      <c r="S891" s="696">
        <v>0.0</v>
      </c>
      <c r="T891" s="697">
        <v>0.0</v>
      </c>
      <c r="AB891" s="722"/>
      <c r="AF891" s="669"/>
    </row>
    <row r="892">
      <c r="A892" s="675"/>
      <c r="B892" s="681" t="s">
        <v>64</v>
      </c>
      <c r="C892" s="682" t="s">
        <v>915</v>
      </c>
      <c r="D892" s="682" t="s">
        <v>916</v>
      </c>
      <c r="E892" s="682" t="s">
        <v>449</v>
      </c>
      <c r="F892" s="682">
        <v>2021.0</v>
      </c>
      <c r="G892" s="683">
        <v>0.001314524</v>
      </c>
      <c r="H892" s="683">
        <v>6.81643E-4</v>
      </c>
      <c r="I892" s="684">
        <v>0.002508143</v>
      </c>
      <c r="K892" s="693" t="s">
        <v>57</v>
      </c>
      <c r="L892" s="694" t="s">
        <v>679</v>
      </c>
      <c r="M892" s="694" t="s">
        <v>915</v>
      </c>
      <c r="N892" s="694" t="s">
        <v>927</v>
      </c>
      <c r="O892" s="694">
        <v>2021.0</v>
      </c>
      <c r="P892" s="694" t="s">
        <v>919</v>
      </c>
      <c r="Q892" s="695" t="s">
        <v>112</v>
      </c>
      <c r="R892" s="696">
        <v>21.01233846</v>
      </c>
      <c r="S892" s="696">
        <v>9.265804866</v>
      </c>
      <c r="T892" s="697">
        <v>37.45024282</v>
      </c>
      <c r="AB892" s="722"/>
      <c r="AF892" s="669"/>
    </row>
    <row r="893">
      <c r="A893" s="675"/>
      <c r="B893" s="681" t="s">
        <v>64</v>
      </c>
      <c r="C893" s="682" t="s">
        <v>915</v>
      </c>
      <c r="D893" s="682" t="s">
        <v>922</v>
      </c>
      <c r="E893" s="682" t="s">
        <v>449</v>
      </c>
      <c r="F893" s="682">
        <v>2021.0</v>
      </c>
      <c r="G893" s="683">
        <v>0.002582749</v>
      </c>
      <c r="H893" s="683">
        <v>0.001479813</v>
      </c>
      <c r="I893" s="684">
        <v>0.004674017</v>
      </c>
      <c r="K893" s="693" t="s">
        <v>57</v>
      </c>
      <c r="L893" s="694" t="s">
        <v>679</v>
      </c>
      <c r="M893" s="694" t="s">
        <v>915</v>
      </c>
      <c r="N893" s="694" t="s">
        <v>926</v>
      </c>
      <c r="O893" s="694">
        <v>2021.0</v>
      </c>
      <c r="P893" s="694" t="s">
        <v>919</v>
      </c>
      <c r="Q893" s="695" t="s">
        <v>112</v>
      </c>
      <c r="R893" s="696">
        <v>67.56362384</v>
      </c>
      <c r="S893" s="696">
        <v>29.13648211</v>
      </c>
      <c r="T893" s="697">
        <v>119.2146596</v>
      </c>
      <c r="AB893" s="722"/>
      <c r="AF893" s="669"/>
    </row>
    <row r="894">
      <c r="A894" s="675"/>
      <c r="B894" s="681" t="s">
        <v>64</v>
      </c>
      <c r="C894" s="682" t="s">
        <v>915</v>
      </c>
      <c r="D894" s="682" t="s">
        <v>924</v>
      </c>
      <c r="E894" s="682" t="s">
        <v>449</v>
      </c>
      <c r="F894" s="682">
        <v>2021.0</v>
      </c>
      <c r="G894" s="683">
        <v>3.98961E-4</v>
      </c>
      <c r="H894" s="683">
        <v>2.03535E-4</v>
      </c>
      <c r="I894" s="684">
        <v>7.91216E-4</v>
      </c>
      <c r="K894" s="693" t="s">
        <v>58</v>
      </c>
      <c r="L894" s="694" t="s">
        <v>679</v>
      </c>
      <c r="M894" s="694" t="s">
        <v>915</v>
      </c>
      <c r="N894" s="694" t="s">
        <v>918</v>
      </c>
      <c r="O894" s="694">
        <v>2021.0</v>
      </c>
      <c r="P894" s="694" t="s">
        <v>919</v>
      </c>
      <c r="Q894" s="695" t="s">
        <v>112</v>
      </c>
      <c r="R894" s="696">
        <v>161.6857187</v>
      </c>
      <c r="S894" s="696">
        <v>71.3638599</v>
      </c>
      <c r="T894" s="697">
        <v>293.9419567</v>
      </c>
      <c r="AB894" s="722"/>
      <c r="AF894" s="669"/>
    </row>
    <row r="895">
      <c r="A895" s="675"/>
      <c r="B895" s="681" t="s">
        <v>64</v>
      </c>
      <c r="C895" s="682" t="s">
        <v>915</v>
      </c>
      <c r="D895" s="682" t="s">
        <v>926</v>
      </c>
      <c r="E895" s="682" t="s">
        <v>449</v>
      </c>
      <c r="F895" s="682">
        <v>2021.0</v>
      </c>
      <c r="G895" s="683">
        <v>0.001575413</v>
      </c>
      <c r="H895" s="683">
        <v>7.65209E-4</v>
      </c>
      <c r="I895" s="684">
        <v>0.002861262</v>
      </c>
      <c r="K895" s="693" t="s">
        <v>58</v>
      </c>
      <c r="L895" s="694" t="s">
        <v>679</v>
      </c>
      <c r="M895" s="694" t="s">
        <v>915</v>
      </c>
      <c r="N895" s="694" t="s">
        <v>923</v>
      </c>
      <c r="O895" s="694">
        <v>2021.0</v>
      </c>
      <c r="P895" s="694" t="s">
        <v>919</v>
      </c>
      <c r="Q895" s="695" t="s">
        <v>112</v>
      </c>
      <c r="R895" s="696">
        <v>0.0</v>
      </c>
      <c r="S895" s="696">
        <v>0.0</v>
      </c>
      <c r="T895" s="697">
        <v>0.0</v>
      </c>
      <c r="AB895" s="722"/>
      <c r="AF895" s="669"/>
    </row>
    <row r="896">
      <c r="A896" s="675"/>
      <c r="B896" s="681" t="s">
        <v>65</v>
      </c>
      <c r="C896" s="682" t="s">
        <v>915</v>
      </c>
      <c r="D896" s="682" t="s">
        <v>916</v>
      </c>
      <c r="E896" s="682" t="s">
        <v>449</v>
      </c>
      <c r="F896" s="682">
        <v>2021.0</v>
      </c>
      <c r="G896" s="683">
        <v>8.77491E-4</v>
      </c>
      <c r="H896" s="683">
        <v>4.53863E-4</v>
      </c>
      <c r="I896" s="684">
        <v>0.001600354</v>
      </c>
      <c r="K896" s="693" t="s">
        <v>58</v>
      </c>
      <c r="L896" s="694" t="s">
        <v>679</v>
      </c>
      <c r="M896" s="694" t="s">
        <v>915</v>
      </c>
      <c r="N896" s="694" t="s">
        <v>925</v>
      </c>
      <c r="O896" s="694">
        <v>2021.0</v>
      </c>
      <c r="P896" s="694" t="s">
        <v>919</v>
      </c>
      <c r="Q896" s="695" t="s">
        <v>112</v>
      </c>
      <c r="R896" s="696">
        <v>0.0</v>
      </c>
      <c r="S896" s="696">
        <v>0.0</v>
      </c>
      <c r="T896" s="697">
        <v>0.0</v>
      </c>
      <c r="AB896" s="722"/>
      <c r="AF896" s="669"/>
    </row>
    <row r="897">
      <c r="A897" s="675"/>
      <c r="B897" s="681" t="s">
        <v>65</v>
      </c>
      <c r="C897" s="682" t="s">
        <v>915</v>
      </c>
      <c r="D897" s="682" t="s">
        <v>922</v>
      </c>
      <c r="E897" s="682" t="s">
        <v>449</v>
      </c>
      <c r="F897" s="682">
        <v>2021.0</v>
      </c>
      <c r="G897" s="683">
        <v>0.002348981</v>
      </c>
      <c r="H897" s="683">
        <v>0.001354585</v>
      </c>
      <c r="I897" s="684">
        <v>0.003727339</v>
      </c>
      <c r="K897" s="693" t="s">
        <v>58</v>
      </c>
      <c r="L897" s="694" t="s">
        <v>679</v>
      </c>
      <c r="M897" s="694" t="s">
        <v>915</v>
      </c>
      <c r="N897" s="694" t="s">
        <v>927</v>
      </c>
      <c r="O897" s="694">
        <v>2021.0</v>
      </c>
      <c r="P897" s="694" t="s">
        <v>919</v>
      </c>
      <c r="Q897" s="695" t="s">
        <v>112</v>
      </c>
      <c r="R897" s="696">
        <v>69.09166579</v>
      </c>
      <c r="S897" s="696">
        <v>26.39217576</v>
      </c>
      <c r="T897" s="697">
        <v>123.3897728</v>
      </c>
      <c r="AB897" s="722"/>
      <c r="AF897" s="669"/>
    </row>
    <row r="898">
      <c r="A898" s="675"/>
      <c r="B898" s="681" t="s">
        <v>65</v>
      </c>
      <c r="C898" s="682" t="s">
        <v>915</v>
      </c>
      <c r="D898" s="682" t="s">
        <v>924</v>
      </c>
      <c r="E898" s="682" t="s">
        <v>449</v>
      </c>
      <c r="F898" s="682">
        <v>2021.0</v>
      </c>
      <c r="G898" s="683">
        <v>2.79489E-4</v>
      </c>
      <c r="H898" s="683">
        <v>1.25858E-4</v>
      </c>
      <c r="I898" s="684">
        <v>5.45634E-4</v>
      </c>
      <c r="K898" s="693" t="s">
        <v>58</v>
      </c>
      <c r="L898" s="694" t="s">
        <v>679</v>
      </c>
      <c r="M898" s="694" t="s">
        <v>915</v>
      </c>
      <c r="N898" s="694" t="s">
        <v>926</v>
      </c>
      <c r="O898" s="694">
        <v>2021.0</v>
      </c>
      <c r="P898" s="694" t="s">
        <v>919</v>
      </c>
      <c r="Q898" s="695" t="s">
        <v>112</v>
      </c>
      <c r="R898" s="696">
        <v>230.7773845</v>
      </c>
      <c r="S898" s="696">
        <v>102.3316443</v>
      </c>
      <c r="T898" s="697">
        <v>411.6476139</v>
      </c>
      <c r="AB898" s="722"/>
      <c r="AF898" s="669"/>
    </row>
    <row r="899">
      <c r="A899" s="675"/>
      <c r="B899" s="681" t="s">
        <v>65</v>
      </c>
      <c r="C899" s="682" t="s">
        <v>915</v>
      </c>
      <c r="D899" s="682" t="s">
        <v>926</v>
      </c>
      <c r="E899" s="682" t="s">
        <v>449</v>
      </c>
      <c r="F899" s="682">
        <v>2021.0</v>
      </c>
      <c r="G899" s="683">
        <v>0.001552693</v>
      </c>
      <c r="H899" s="683">
        <v>6.36132E-4</v>
      </c>
      <c r="I899" s="684">
        <v>0.003046952</v>
      </c>
      <c r="K899" s="693" t="s">
        <v>7</v>
      </c>
      <c r="L899" s="694" t="s">
        <v>679</v>
      </c>
      <c r="M899" s="694" t="s">
        <v>915</v>
      </c>
      <c r="N899" s="694" t="s">
        <v>918</v>
      </c>
      <c r="O899" s="694">
        <v>2021.0</v>
      </c>
      <c r="P899" s="694" t="s">
        <v>919</v>
      </c>
      <c r="Q899" s="695" t="s">
        <v>112</v>
      </c>
      <c r="R899" s="696">
        <v>3729.316425</v>
      </c>
      <c r="S899" s="696">
        <v>1790.661433</v>
      </c>
      <c r="T899" s="697">
        <v>6487.03218</v>
      </c>
      <c r="AB899" s="722"/>
      <c r="AF899" s="669"/>
    </row>
    <row r="900">
      <c r="A900" s="675"/>
      <c r="B900" s="681" t="s">
        <v>35</v>
      </c>
      <c r="C900" s="682" t="s">
        <v>915</v>
      </c>
      <c r="D900" s="682" t="s">
        <v>916</v>
      </c>
      <c r="E900" s="682" t="s">
        <v>449</v>
      </c>
      <c r="F900" s="682">
        <v>2021.0</v>
      </c>
      <c r="G900" s="683">
        <v>0.002694076</v>
      </c>
      <c r="H900" s="683">
        <v>0.001632</v>
      </c>
      <c r="I900" s="684">
        <v>0.005569473</v>
      </c>
      <c r="K900" s="693" t="s">
        <v>7</v>
      </c>
      <c r="L900" s="694" t="s">
        <v>679</v>
      </c>
      <c r="M900" s="694" t="s">
        <v>915</v>
      </c>
      <c r="N900" s="694" t="s">
        <v>923</v>
      </c>
      <c r="O900" s="694">
        <v>2021.0</v>
      </c>
      <c r="P900" s="694" t="s">
        <v>919</v>
      </c>
      <c r="Q900" s="695" t="s">
        <v>112</v>
      </c>
      <c r="R900" s="696">
        <v>0.0</v>
      </c>
      <c r="S900" s="696">
        <v>0.0</v>
      </c>
      <c r="T900" s="697">
        <v>0.0</v>
      </c>
      <c r="AB900" s="722"/>
      <c r="AF900" s="669"/>
    </row>
    <row r="901">
      <c r="A901" s="675"/>
      <c r="B901" s="681" t="s">
        <v>35</v>
      </c>
      <c r="C901" s="682" t="s">
        <v>915</v>
      </c>
      <c r="D901" s="682" t="s">
        <v>922</v>
      </c>
      <c r="E901" s="682" t="s">
        <v>449</v>
      </c>
      <c r="F901" s="682">
        <v>2021.0</v>
      </c>
      <c r="G901" s="683">
        <v>0.005851887</v>
      </c>
      <c r="H901" s="683">
        <v>0.003580672</v>
      </c>
      <c r="I901" s="684">
        <v>0.0124525</v>
      </c>
      <c r="K901" s="693" t="s">
        <v>7</v>
      </c>
      <c r="L901" s="694" t="s">
        <v>679</v>
      </c>
      <c r="M901" s="694" t="s">
        <v>915</v>
      </c>
      <c r="N901" s="694" t="s">
        <v>925</v>
      </c>
      <c r="O901" s="694">
        <v>2021.0</v>
      </c>
      <c r="P901" s="694" t="s">
        <v>919</v>
      </c>
      <c r="Q901" s="695" t="s">
        <v>112</v>
      </c>
      <c r="R901" s="696">
        <v>0.0</v>
      </c>
      <c r="S901" s="696">
        <v>0.0</v>
      </c>
      <c r="T901" s="697">
        <v>0.0</v>
      </c>
      <c r="AB901" s="722"/>
      <c r="AF901" s="669"/>
    </row>
    <row r="902">
      <c r="A902" s="675"/>
      <c r="B902" s="681" t="s">
        <v>35</v>
      </c>
      <c r="C902" s="682" t="s">
        <v>915</v>
      </c>
      <c r="D902" s="682" t="s">
        <v>924</v>
      </c>
      <c r="E902" s="682" t="s">
        <v>449</v>
      </c>
      <c r="F902" s="682">
        <v>2021.0</v>
      </c>
      <c r="G902" s="683">
        <v>0.001182199</v>
      </c>
      <c r="H902" s="683">
        <v>7.26015E-4</v>
      </c>
      <c r="I902" s="684">
        <v>0.002299943</v>
      </c>
      <c r="K902" s="693" t="s">
        <v>7</v>
      </c>
      <c r="L902" s="694" t="s">
        <v>679</v>
      </c>
      <c r="M902" s="694" t="s">
        <v>915</v>
      </c>
      <c r="N902" s="694" t="s">
        <v>927</v>
      </c>
      <c r="O902" s="694">
        <v>2021.0</v>
      </c>
      <c r="P902" s="694" t="s">
        <v>919</v>
      </c>
      <c r="Q902" s="695" t="s">
        <v>112</v>
      </c>
      <c r="R902" s="696">
        <v>1465.059379</v>
      </c>
      <c r="S902" s="696">
        <v>696.5621102</v>
      </c>
      <c r="T902" s="697">
        <v>2506.101937</v>
      </c>
      <c r="AB902" s="722"/>
      <c r="AF902" s="669"/>
    </row>
    <row r="903">
      <c r="A903" s="675"/>
      <c r="B903" s="681" t="s">
        <v>35</v>
      </c>
      <c r="C903" s="682" t="s">
        <v>915</v>
      </c>
      <c r="D903" s="682" t="s">
        <v>926</v>
      </c>
      <c r="E903" s="682" t="s">
        <v>449</v>
      </c>
      <c r="F903" s="682">
        <v>2021.0</v>
      </c>
      <c r="G903" s="683">
        <v>0.008024852</v>
      </c>
      <c r="H903" s="683">
        <v>0.005232202</v>
      </c>
      <c r="I903" s="684">
        <v>0.012545163</v>
      </c>
      <c r="K903" s="693" t="s">
        <v>7</v>
      </c>
      <c r="L903" s="694" t="s">
        <v>679</v>
      </c>
      <c r="M903" s="694" t="s">
        <v>915</v>
      </c>
      <c r="N903" s="694" t="s">
        <v>926</v>
      </c>
      <c r="O903" s="694">
        <v>2021.0</v>
      </c>
      <c r="P903" s="694" t="s">
        <v>919</v>
      </c>
      <c r="Q903" s="695" t="s">
        <v>112</v>
      </c>
      <c r="R903" s="696">
        <v>5194.375804</v>
      </c>
      <c r="S903" s="696">
        <v>2519.936575</v>
      </c>
      <c r="T903" s="697">
        <v>9004.076655</v>
      </c>
      <c r="AB903" s="722"/>
      <c r="AF903" s="669"/>
    </row>
    <row r="904">
      <c r="A904" s="675"/>
      <c r="B904" s="681" t="s">
        <v>66</v>
      </c>
      <c r="C904" s="682" t="s">
        <v>915</v>
      </c>
      <c r="D904" s="682" t="s">
        <v>916</v>
      </c>
      <c r="E904" s="682" t="s">
        <v>449</v>
      </c>
      <c r="F904" s="682">
        <v>2021.0</v>
      </c>
      <c r="G904" s="683">
        <v>0.001651731</v>
      </c>
      <c r="H904" s="683">
        <v>9.61454E-4</v>
      </c>
      <c r="I904" s="684">
        <v>0.002912191</v>
      </c>
      <c r="K904" s="693" t="s">
        <v>59</v>
      </c>
      <c r="L904" s="694" t="s">
        <v>679</v>
      </c>
      <c r="M904" s="694" t="s">
        <v>915</v>
      </c>
      <c r="N904" s="694" t="s">
        <v>918</v>
      </c>
      <c r="O904" s="694">
        <v>2021.0</v>
      </c>
      <c r="P904" s="694" t="s">
        <v>919</v>
      </c>
      <c r="Q904" s="695" t="s">
        <v>112</v>
      </c>
      <c r="R904" s="696">
        <v>44.66372656</v>
      </c>
      <c r="S904" s="696">
        <v>19.5811735</v>
      </c>
      <c r="T904" s="697">
        <v>81.42111096</v>
      </c>
      <c r="AB904" s="722"/>
      <c r="AF904" s="669"/>
    </row>
    <row r="905">
      <c r="A905" s="675"/>
      <c r="B905" s="681" t="s">
        <v>66</v>
      </c>
      <c r="C905" s="682" t="s">
        <v>915</v>
      </c>
      <c r="D905" s="682" t="s">
        <v>922</v>
      </c>
      <c r="E905" s="682" t="s">
        <v>449</v>
      </c>
      <c r="F905" s="682">
        <v>2021.0</v>
      </c>
      <c r="G905" s="683">
        <v>0.003337364</v>
      </c>
      <c r="H905" s="683">
        <v>0.00207012</v>
      </c>
      <c r="I905" s="684">
        <v>0.005485895</v>
      </c>
      <c r="K905" s="693" t="s">
        <v>59</v>
      </c>
      <c r="L905" s="694" t="s">
        <v>679</v>
      </c>
      <c r="M905" s="694" t="s">
        <v>915</v>
      </c>
      <c r="N905" s="694" t="s">
        <v>923</v>
      </c>
      <c r="O905" s="694">
        <v>2021.0</v>
      </c>
      <c r="P905" s="694" t="s">
        <v>919</v>
      </c>
      <c r="Q905" s="695" t="s">
        <v>112</v>
      </c>
      <c r="R905" s="696">
        <v>0.0</v>
      </c>
      <c r="S905" s="696">
        <v>0.0</v>
      </c>
      <c r="T905" s="697">
        <v>0.0</v>
      </c>
      <c r="AB905" s="722"/>
      <c r="AF905" s="669"/>
    </row>
    <row r="906">
      <c r="A906" s="675"/>
      <c r="B906" s="681" t="s">
        <v>66</v>
      </c>
      <c r="C906" s="682" t="s">
        <v>915</v>
      </c>
      <c r="D906" s="682" t="s">
        <v>924</v>
      </c>
      <c r="E906" s="682" t="s">
        <v>449</v>
      </c>
      <c r="F906" s="682">
        <v>2021.0</v>
      </c>
      <c r="G906" s="683">
        <v>7.44871E-4</v>
      </c>
      <c r="H906" s="683">
        <v>4.57578E-4</v>
      </c>
      <c r="I906" s="684">
        <v>0.001312502</v>
      </c>
      <c r="K906" s="693" t="s">
        <v>59</v>
      </c>
      <c r="L906" s="694" t="s">
        <v>679</v>
      </c>
      <c r="M906" s="694" t="s">
        <v>915</v>
      </c>
      <c r="N906" s="694" t="s">
        <v>925</v>
      </c>
      <c r="O906" s="694">
        <v>2021.0</v>
      </c>
      <c r="P906" s="694" t="s">
        <v>919</v>
      </c>
      <c r="Q906" s="695" t="s">
        <v>112</v>
      </c>
      <c r="R906" s="696">
        <v>0.0</v>
      </c>
      <c r="S906" s="696">
        <v>0.0</v>
      </c>
      <c r="T906" s="697">
        <v>0.0</v>
      </c>
      <c r="AB906" s="722"/>
      <c r="AF906" s="669"/>
    </row>
    <row r="907">
      <c r="A907" s="675"/>
      <c r="B907" s="681" t="s">
        <v>66</v>
      </c>
      <c r="C907" s="682" t="s">
        <v>915</v>
      </c>
      <c r="D907" s="682" t="s">
        <v>926</v>
      </c>
      <c r="E907" s="682" t="s">
        <v>449</v>
      </c>
      <c r="F907" s="682">
        <v>2021.0</v>
      </c>
      <c r="G907" s="683">
        <v>0.004512629</v>
      </c>
      <c r="H907" s="683">
        <v>0.002760527</v>
      </c>
      <c r="I907" s="684">
        <v>0.007359472</v>
      </c>
      <c r="K907" s="693" t="s">
        <v>59</v>
      </c>
      <c r="L907" s="694" t="s">
        <v>679</v>
      </c>
      <c r="M907" s="694" t="s">
        <v>915</v>
      </c>
      <c r="N907" s="694" t="s">
        <v>927</v>
      </c>
      <c r="O907" s="694">
        <v>2021.0</v>
      </c>
      <c r="P907" s="694" t="s">
        <v>919</v>
      </c>
      <c r="Q907" s="695" t="s">
        <v>112</v>
      </c>
      <c r="R907" s="696">
        <v>18.58617067</v>
      </c>
      <c r="S907" s="696">
        <v>8.109575126</v>
      </c>
      <c r="T907" s="697">
        <v>35.18977836</v>
      </c>
      <c r="AB907" s="722"/>
      <c r="AF907" s="669"/>
    </row>
    <row r="908">
      <c r="A908" s="675"/>
      <c r="B908" s="681" t="s">
        <v>67</v>
      </c>
      <c r="C908" s="682" t="s">
        <v>915</v>
      </c>
      <c r="D908" s="682" t="s">
        <v>916</v>
      </c>
      <c r="E908" s="682" t="s">
        <v>449</v>
      </c>
      <c r="F908" s="682">
        <v>2021.0</v>
      </c>
      <c r="G908" s="683">
        <v>0.001933221</v>
      </c>
      <c r="H908" s="683">
        <v>0.001115043</v>
      </c>
      <c r="I908" s="684">
        <v>0.004283273</v>
      </c>
      <c r="K908" s="693" t="s">
        <v>59</v>
      </c>
      <c r="L908" s="694" t="s">
        <v>679</v>
      </c>
      <c r="M908" s="694" t="s">
        <v>915</v>
      </c>
      <c r="N908" s="694" t="s">
        <v>926</v>
      </c>
      <c r="O908" s="694">
        <v>2021.0</v>
      </c>
      <c r="P908" s="694" t="s">
        <v>919</v>
      </c>
      <c r="Q908" s="695" t="s">
        <v>112</v>
      </c>
      <c r="R908" s="696">
        <v>63.24989724</v>
      </c>
      <c r="S908" s="696">
        <v>27.90136831</v>
      </c>
      <c r="T908" s="697">
        <v>115.6542605</v>
      </c>
      <c r="AB908" s="722"/>
      <c r="AF908" s="669"/>
    </row>
    <row r="909">
      <c r="A909" s="675"/>
      <c r="B909" s="681" t="s">
        <v>67</v>
      </c>
      <c r="C909" s="682" t="s">
        <v>915</v>
      </c>
      <c r="D909" s="682" t="s">
        <v>922</v>
      </c>
      <c r="E909" s="682" t="s">
        <v>449</v>
      </c>
      <c r="F909" s="682">
        <v>2021.0</v>
      </c>
      <c r="G909" s="683">
        <v>0.004682851</v>
      </c>
      <c r="H909" s="683">
        <v>0.002795324</v>
      </c>
      <c r="I909" s="684">
        <v>0.010645587</v>
      </c>
      <c r="K909" s="693" t="s">
        <v>60</v>
      </c>
      <c r="L909" s="694" t="s">
        <v>679</v>
      </c>
      <c r="M909" s="694" t="s">
        <v>915</v>
      </c>
      <c r="N909" s="694" t="s">
        <v>918</v>
      </c>
      <c r="O909" s="694">
        <v>2021.0</v>
      </c>
      <c r="P909" s="694" t="s">
        <v>919</v>
      </c>
      <c r="Q909" s="695" t="s">
        <v>112</v>
      </c>
      <c r="R909" s="696">
        <v>13.61827802</v>
      </c>
      <c r="S909" s="696">
        <v>5.376209146</v>
      </c>
      <c r="T909" s="697">
        <v>25.49348239</v>
      </c>
      <c r="AB909" s="722"/>
      <c r="AF909" s="669"/>
    </row>
    <row r="910">
      <c r="A910" s="675"/>
      <c r="B910" s="681" t="s">
        <v>67</v>
      </c>
      <c r="C910" s="682" t="s">
        <v>915</v>
      </c>
      <c r="D910" s="682" t="s">
        <v>924</v>
      </c>
      <c r="E910" s="682" t="s">
        <v>449</v>
      </c>
      <c r="F910" s="682">
        <v>2021.0</v>
      </c>
      <c r="G910" s="683">
        <v>6.78181E-4</v>
      </c>
      <c r="H910" s="683">
        <v>4.21921E-4</v>
      </c>
      <c r="I910" s="684">
        <v>0.001416309</v>
      </c>
      <c r="K910" s="693" t="s">
        <v>60</v>
      </c>
      <c r="L910" s="694" t="s">
        <v>679</v>
      </c>
      <c r="M910" s="694" t="s">
        <v>915</v>
      </c>
      <c r="N910" s="694" t="s">
        <v>923</v>
      </c>
      <c r="O910" s="694">
        <v>2021.0</v>
      </c>
      <c r="P910" s="694" t="s">
        <v>919</v>
      </c>
      <c r="Q910" s="695" t="s">
        <v>112</v>
      </c>
      <c r="R910" s="696">
        <v>0.0</v>
      </c>
      <c r="S910" s="696">
        <v>0.0</v>
      </c>
      <c r="T910" s="697">
        <v>0.0</v>
      </c>
      <c r="AB910" s="722"/>
      <c r="AF910" s="669"/>
    </row>
    <row r="911">
      <c r="A911" s="675"/>
      <c r="B911" s="681" t="s">
        <v>67</v>
      </c>
      <c r="C911" s="682" t="s">
        <v>915</v>
      </c>
      <c r="D911" s="682" t="s">
        <v>926</v>
      </c>
      <c r="E911" s="682" t="s">
        <v>449</v>
      </c>
      <c r="F911" s="682">
        <v>2021.0</v>
      </c>
      <c r="G911" s="683">
        <v>0.003392061</v>
      </c>
      <c r="H911" s="683">
        <v>0.002070711</v>
      </c>
      <c r="I911" s="684">
        <v>0.005399568</v>
      </c>
      <c r="K911" s="693" t="s">
        <v>60</v>
      </c>
      <c r="L911" s="694" t="s">
        <v>679</v>
      </c>
      <c r="M911" s="694" t="s">
        <v>915</v>
      </c>
      <c r="N911" s="694" t="s">
        <v>925</v>
      </c>
      <c r="O911" s="694">
        <v>2021.0</v>
      </c>
      <c r="P911" s="694" t="s">
        <v>919</v>
      </c>
      <c r="Q911" s="695" t="s">
        <v>112</v>
      </c>
      <c r="R911" s="696">
        <v>0.0</v>
      </c>
      <c r="S911" s="696">
        <v>0.0</v>
      </c>
      <c r="T911" s="697">
        <v>0.0</v>
      </c>
      <c r="AB911" s="722"/>
      <c r="AF911" s="669"/>
    </row>
    <row r="912">
      <c r="A912" s="675"/>
      <c r="B912" s="681" t="s">
        <v>37</v>
      </c>
      <c r="C912" s="682" t="s">
        <v>915</v>
      </c>
      <c r="D912" s="682" t="s">
        <v>916</v>
      </c>
      <c r="E912" s="682" t="s">
        <v>449</v>
      </c>
      <c r="F912" s="682">
        <v>2021.0</v>
      </c>
      <c r="G912" s="683">
        <v>0.002407406</v>
      </c>
      <c r="H912" s="683">
        <v>0.001395887</v>
      </c>
      <c r="I912" s="684">
        <v>0.005098932</v>
      </c>
      <c r="K912" s="693" t="s">
        <v>60</v>
      </c>
      <c r="L912" s="694" t="s">
        <v>679</v>
      </c>
      <c r="M912" s="694" t="s">
        <v>915</v>
      </c>
      <c r="N912" s="694" t="s">
        <v>927</v>
      </c>
      <c r="O912" s="694">
        <v>2021.0</v>
      </c>
      <c r="P912" s="694" t="s">
        <v>919</v>
      </c>
      <c r="Q912" s="695" t="s">
        <v>112</v>
      </c>
      <c r="R912" s="696">
        <v>3.664630471</v>
      </c>
      <c r="S912" s="696">
        <v>1.347620979</v>
      </c>
      <c r="T912" s="697">
        <v>7.093750804</v>
      </c>
      <c r="AB912" s="722"/>
      <c r="AF912" s="669"/>
    </row>
    <row r="913">
      <c r="A913" s="675"/>
      <c r="B913" s="681" t="s">
        <v>37</v>
      </c>
      <c r="C913" s="682" t="s">
        <v>915</v>
      </c>
      <c r="D913" s="682" t="s">
        <v>922</v>
      </c>
      <c r="E913" s="682" t="s">
        <v>449</v>
      </c>
      <c r="F913" s="682">
        <v>2021.0</v>
      </c>
      <c r="G913" s="683">
        <v>0.006685653</v>
      </c>
      <c r="H913" s="683">
        <v>0.004132747</v>
      </c>
      <c r="I913" s="684">
        <v>0.014185956</v>
      </c>
      <c r="K913" s="693" t="s">
        <v>60</v>
      </c>
      <c r="L913" s="694" t="s">
        <v>679</v>
      </c>
      <c r="M913" s="694" t="s">
        <v>915</v>
      </c>
      <c r="N913" s="694" t="s">
        <v>926</v>
      </c>
      <c r="O913" s="694">
        <v>2021.0</v>
      </c>
      <c r="P913" s="694" t="s">
        <v>919</v>
      </c>
      <c r="Q913" s="695" t="s">
        <v>112</v>
      </c>
      <c r="R913" s="696">
        <v>17.2829085</v>
      </c>
      <c r="S913" s="696">
        <v>6.764051303</v>
      </c>
      <c r="T913" s="697">
        <v>32.52705062</v>
      </c>
      <c r="AB913" s="722"/>
      <c r="AF913" s="669"/>
    </row>
    <row r="914">
      <c r="A914" s="675"/>
      <c r="B914" s="681" t="s">
        <v>37</v>
      </c>
      <c r="C914" s="682" t="s">
        <v>915</v>
      </c>
      <c r="D914" s="682" t="s">
        <v>924</v>
      </c>
      <c r="E914" s="682" t="s">
        <v>449</v>
      </c>
      <c r="F914" s="682">
        <v>2021.0</v>
      </c>
      <c r="G914" s="683">
        <v>0.001216374</v>
      </c>
      <c r="H914" s="683">
        <v>7.49442E-4</v>
      </c>
      <c r="I914" s="684">
        <v>0.00232772</v>
      </c>
      <c r="K914" s="693" t="s">
        <v>61</v>
      </c>
      <c r="L914" s="694" t="s">
        <v>679</v>
      </c>
      <c r="M914" s="694" t="s">
        <v>915</v>
      </c>
      <c r="N914" s="694" t="s">
        <v>918</v>
      </c>
      <c r="O914" s="694">
        <v>2021.0</v>
      </c>
      <c r="P914" s="694" t="s">
        <v>919</v>
      </c>
      <c r="Q914" s="695" t="s">
        <v>112</v>
      </c>
      <c r="R914" s="696">
        <v>8.215923849</v>
      </c>
      <c r="S914" s="696">
        <v>3.02751558</v>
      </c>
      <c r="T914" s="697">
        <v>15.97970474</v>
      </c>
      <c r="AB914" s="722"/>
      <c r="AF914" s="669"/>
    </row>
    <row r="915">
      <c r="A915" s="675"/>
      <c r="B915" s="681" t="s">
        <v>37</v>
      </c>
      <c r="C915" s="682" t="s">
        <v>915</v>
      </c>
      <c r="D915" s="682" t="s">
        <v>926</v>
      </c>
      <c r="E915" s="682" t="s">
        <v>449</v>
      </c>
      <c r="F915" s="682">
        <v>2021.0</v>
      </c>
      <c r="G915" s="683">
        <v>0.009255404</v>
      </c>
      <c r="H915" s="683">
        <v>0.006387743</v>
      </c>
      <c r="I915" s="684">
        <v>0.01418953</v>
      </c>
      <c r="K915" s="693" t="s">
        <v>61</v>
      </c>
      <c r="L915" s="694" t="s">
        <v>679</v>
      </c>
      <c r="M915" s="694" t="s">
        <v>915</v>
      </c>
      <c r="N915" s="694" t="s">
        <v>923</v>
      </c>
      <c r="O915" s="694">
        <v>2021.0</v>
      </c>
      <c r="P915" s="694" t="s">
        <v>919</v>
      </c>
      <c r="Q915" s="695" t="s">
        <v>112</v>
      </c>
      <c r="R915" s="696">
        <v>0.0</v>
      </c>
      <c r="S915" s="696">
        <v>0.0</v>
      </c>
      <c r="T915" s="697">
        <v>0.0</v>
      </c>
      <c r="AB915" s="722"/>
      <c r="AF915" s="669"/>
    </row>
    <row r="916">
      <c r="A916" s="675"/>
      <c r="B916" s="681" t="s">
        <v>38</v>
      </c>
      <c r="C916" s="682" t="s">
        <v>915</v>
      </c>
      <c r="D916" s="682" t="s">
        <v>916</v>
      </c>
      <c r="E916" s="682" t="s">
        <v>258</v>
      </c>
      <c r="F916" s="682">
        <v>2021.0</v>
      </c>
      <c r="G916" s="683">
        <v>1.07E-5</v>
      </c>
      <c r="H916" s="683">
        <v>1.65E-7</v>
      </c>
      <c r="I916" s="684">
        <v>6.01E-5</v>
      </c>
      <c r="K916" s="693" t="s">
        <v>61</v>
      </c>
      <c r="L916" s="694" t="s">
        <v>679</v>
      </c>
      <c r="M916" s="694" t="s">
        <v>915</v>
      </c>
      <c r="N916" s="694" t="s">
        <v>925</v>
      </c>
      <c r="O916" s="694">
        <v>2021.0</v>
      </c>
      <c r="P916" s="694" t="s">
        <v>919</v>
      </c>
      <c r="Q916" s="695" t="s">
        <v>112</v>
      </c>
      <c r="R916" s="696">
        <v>0.0</v>
      </c>
      <c r="S916" s="696">
        <v>0.0</v>
      </c>
      <c r="T916" s="697">
        <v>0.0</v>
      </c>
      <c r="AB916" s="722"/>
      <c r="AF916" s="669"/>
    </row>
    <row r="917">
      <c r="A917" s="675"/>
      <c r="B917" s="681" t="s">
        <v>38</v>
      </c>
      <c r="C917" s="682" t="s">
        <v>915</v>
      </c>
      <c r="D917" s="682" t="s">
        <v>922</v>
      </c>
      <c r="E917" s="682" t="s">
        <v>258</v>
      </c>
      <c r="F917" s="682">
        <v>2021.0</v>
      </c>
      <c r="G917" s="683">
        <v>7.78E-6</v>
      </c>
      <c r="H917" s="683">
        <v>1.62E-7</v>
      </c>
      <c r="I917" s="684">
        <v>4.32E-5</v>
      </c>
      <c r="K917" s="693" t="s">
        <v>61</v>
      </c>
      <c r="L917" s="694" t="s">
        <v>679</v>
      </c>
      <c r="M917" s="694" t="s">
        <v>915</v>
      </c>
      <c r="N917" s="694" t="s">
        <v>927</v>
      </c>
      <c r="O917" s="694">
        <v>2021.0</v>
      </c>
      <c r="P917" s="694" t="s">
        <v>919</v>
      </c>
      <c r="Q917" s="695" t="s">
        <v>112</v>
      </c>
      <c r="R917" s="696">
        <v>3.407159141</v>
      </c>
      <c r="S917" s="696">
        <v>1.165703515</v>
      </c>
      <c r="T917" s="697">
        <v>6.870510468</v>
      </c>
      <c r="AB917" s="722"/>
      <c r="AF917" s="669"/>
    </row>
    <row r="918">
      <c r="A918" s="675"/>
      <c r="B918" s="681" t="s">
        <v>38</v>
      </c>
      <c r="C918" s="682" t="s">
        <v>915</v>
      </c>
      <c r="D918" s="682" t="s">
        <v>924</v>
      </c>
      <c r="E918" s="682" t="s">
        <v>258</v>
      </c>
      <c r="F918" s="682">
        <v>2021.0</v>
      </c>
      <c r="G918" s="683">
        <v>5.06E-5</v>
      </c>
      <c r="H918" s="683">
        <v>1.12E-6</v>
      </c>
      <c r="I918" s="684">
        <v>2.7735E-4</v>
      </c>
      <c r="K918" s="693" t="s">
        <v>61</v>
      </c>
      <c r="L918" s="694" t="s">
        <v>679</v>
      </c>
      <c r="M918" s="694" t="s">
        <v>915</v>
      </c>
      <c r="N918" s="694" t="s">
        <v>926</v>
      </c>
      <c r="O918" s="694">
        <v>2021.0</v>
      </c>
      <c r="P918" s="694" t="s">
        <v>919</v>
      </c>
      <c r="Q918" s="695" t="s">
        <v>112</v>
      </c>
      <c r="R918" s="696">
        <v>11.62308299</v>
      </c>
      <c r="S918" s="696">
        <v>4.261897639</v>
      </c>
      <c r="T918" s="697">
        <v>22.54047991</v>
      </c>
      <c r="AB918" s="722"/>
      <c r="AF918" s="669"/>
    </row>
    <row r="919">
      <c r="A919" s="675"/>
      <c r="B919" s="681" t="s">
        <v>38</v>
      </c>
      <c r="C919" s="682" t="s">
        <v>915</v>
      </c>
      <c r="D919" s="682" t="s">
        <v>926</v>
      </c>
      <c r="E919" s="682" t="s">
        <v>258</v>
      </c>
      <c r="F919" s="682">
        <v>2021.0</v>
      </c>
      <c r="G919" s="683">
        <v>3.28459E-4</v>
      </c>
      <c r="H919" s="683">
        <v>8.15E-6</v>
      </c>
      <c r="I919" s="684">
        <v>0.001551752</v>
      </c>
      <c r="K919" s="693" t="s">
        <v>63</v>
      </c>
      <c r="L919" s="694" t="s">
        <v>679</v>
      </c>
      <c r="M919" s="694" t="s">
        <v>915</v>
      </c>
      <c r="N919" s="694" t="s">
        <v>918</v>
      </c>
      <c r="O919" s="694">
        <v>2021.0</v>
      </c>
      <c r="P919" s="694" t="s">
        <v>919</v>
      </c>
      <c r="Q919" s="695" t="s">
        <v>112</v>
      </c>
      <c r="R919" s="696">
        <v>19.79908428</v>
      </c>
      <c r="S919" s="696">
        <v>8.08611971</v>
      </c>
      <c r="T919" s="697">
        <v>37.04101778</v>
      </c>
      <c r="AB919" s="722"/>
      <c r="AF919" s="669"/>
    </row>
    <row r="920">
      <c r="A920" s="675"/>
      <c r="B920" s="681" t="s">
        <v>39</v>
      </c>
      <c r="C920" s="682" t="s">
        <v>915</v>
      </c>
      <c r="D920" s="682" t="s">
        <v>916</v>
      </c>
      <c r="E920" s="682" t="s">
        <v>258</v>
      </c>
      <c r="F920" s="682">
        <v>2021.0</v>
      </c>
      <c r="G920" s="683">
        <v>2.92E-5</v>
      </c>
      <c r="H920" s="683">
        <v>5.29E-7</v>
      </c>
      <c r="I920" s="684">
        <v>1.61472E-4</v>
      </c>
      <c r="K920" s="693" t="s">
        <v>63</v>
      </c>
      <c r="L920" s="694" t="s">
        <v>679</v>
      </c>
      <c r="M920" s="694" t="s">
        <v>915</v>
      </c>
      <c r="N920" s="694" t="s">
        <v>923</v>
      </c>
      <c r="O920" s="694">
        <v>2021.0</v>
      </c>
      <c r="P920" s="694" t="s">
        <v>919</v>
      </c>
      <c r="Q920" s="695" t="s">
        <v>112</v>
      </c>
      <c r="R920" s="696">
        <v>0.0</v>
      </c>
      <c r="S920" s="696">
        <v>0.0</v>
      </c>
      <c r="T920" s="697">
        <v>0.0</v>
      </c>
      <c r="AB920" s="722"/>
      <c r="AF920" s="669"/>
    </row>
    <row r="921">
      <c r="A921" s="675"/>
      <c r="B921" s="681" t="s">
        <v>39</v>
      </c>
      <c r="C921" s="682" t="s">
        <v>915</v>
      </c>
      <c r="D921" s="682" t="s">
        <v>922</v>
      </c>
      <c r="E921" s="682" t="s">
        <v>258</v>
      </c>
      <c r="F921" s="682">
        <v>2021.0</v>
      </c>
      <c r="G921" s="683">
        <v>2.21E-5</v>
      </c>
      <c r="H921" s="683">
        <v>4.77E-7</v>
      </c>
      <c r="I921" s="684">
        <v>1.23293E-4</v>
      </c>
      <c r="K921" s="693" t="s">
        <v>63</v>
      </c>
      <c r="L921" s="694" t="s">
        <v>679</v>
      </c>
      <c r="M921" s="694" t="s">
        <v>915</v>
      </c>
      <c r="N921" s="694" t="s">
        <v>925</v>
      </c>
      <c r="O921" s="694">
        <v>2021.0</v>
      </c>
      <c r="P921" s="694" t="s">
        <v>919</v>
      </c>
      <c r="Q921" s="695" t="s">
        <v>112</v>
      </c>
      <c r="R921" s="696">
        <v>0.0</v>
      </c>
      <c r="S921" s="696">
        <v>0.0</v>
      </c>
      <c r="T921" s="697">
        <v>0.0</v>
      </c>
      <c r="AB921" s="722"/>
      <c r="AF921" s="669"/>
    </row>
    <row r="922">
      <c r="A922" s="675"/>
      <c r="B922" s="681" t="s">
        <v>39</v>
      </c>
      <c r="C922" s="682" t="s">
        <v>915</v>
      </c>
      <c r="D922" s="682" t="s">
        <v>924</v>
      </c>
      <c r="E922" s="682" t="s">
        <v>258</v>
      </c>
      <c r="F922" s="682">
        <v>2021.0</v>
      </c>
      <c r="G922" s="683">
        <v>1.28866E-4</v>
      </c>
      <c r="H922" s="683">
        <v>2.27E-6</v>
      </c>
      <c r="I922" s="684">
        <v>6.60902E-4</v>
      </c>
      <c r="K922" s="693" t="s">
        <v>63</v>
      </c>
      <c r="L922" s="694" t="s">
        <v>679</v>
      </c>
      <c r="M922" s="694" t="s">
        <v>915</v>
      </c>
      <c r="N922" s="694" t="s">
        <v>927</v>
      </c>
      <c r="O922" s="694">
        <v>2021.0</v>
      </c>
      <c r="P922" s="694" t="s">
        <v>919</v>
      </c>
      <c r="Q922" s="695" t="s">
        <v>112</v>
      </c>
      <c r="R922" s="696">
        <v>7.295412577</v>
      </c>
      <c r="S922" s="696">
        <v>2.89200918</v>
      </c>
      <c r="T922" s="697">
        <v>14.08328211</v>
      </c>
      <c r="AB922" s="722"/>
      <c r="AF922" s="669"/>
    </row>
    <row r="923">
      <c r="A923" s="675"/>
      <c r="B923" s="681" t="s">
        <v>39</v>
      </c>
      <c r="C923" s="682" t="s">
        <v>915</v>
      </c>
      <c r="D923" s="682" t="s">
        <v>926</v>
      </c>
      <c r="E923" s="682" t="s">
        <v>258</v>
      </c>
      <c r="F923" s="682">
        <v>2021.0</v>
      </c>
      <c r="G923" s="683">
        <v>0.001064752</v>
      </c>
      <c r="H923" s="683">
        <v>4.19E-5</v>
      </c>
      <c r="I923" s="684">
        <v>0.004988349</v>
      </c>
      <c r="K923" s="693" t="s">
        <v>63</v>
      </c>
      <c r="L923" s="694" t="s">
        <v>679</v>
      </c>
      <c r="M923" s="694" t="s">
        <v>915</v>
      </c>
      <c r="N923" s="694" t="s">
        <v>926</v>
      </c>
      <c r="O923" s="694">
        <v>2021.0</v>
      </c>
      <c r="P923" s="694" t="s">
        <v>919</v>
      </c>
      <c r="Q923" s="695" t="s">
        <v>112</v>
      </c>
      <c r="R923" s="696">
        <v>27.09449686</v>
      </c>
      <c r="S923" s="696">
        <v>10.96803512</v>
      </c>
      <c r="T923" s="697">
        <v>50.9219819</v>
      </c>
      <c r="AB923" s="722"/>
      <c r="AF923" s="669"/>
    </row>
    <row r="924">
      <c r="A924" s="675"/>
      <c r="B924" s="681" t="s">
        <v>40</v>
      </c>
      <c r="C924" s="682" t="s">
        <v>915</v>
      </c>
      <c r="D924" s="682" t="s">
        <v>916</v>
      </c>
      <c r="E924" s="682" t="s">
        <v>258</v>
      </c>
      <c r="F924" s="682">
        <v>2021.0</v>
      </c>
      <c r="G924" s="683">
        <v>1.4E-5</v>
      </c>
      <c r="H924" s="683">
        <v>2.64E-7</v>
      </c>
      <c r="I924" s="684">
        <v>7.21E-5</v>
      </c>
      <c r="K924" s="693" t="s">
        <v>64</v>
      </c>
      <c r="L924" s="694" t="s">
        <v>679</v>
      </c>
      <c r="M924" s="694" t="s">
        <v>915</v>
      </c>
      <c r="N924" s="694" t="s">
        <v>918</v>
      </c>
      <c r="O924" s="694">
        <v>2021.0</v>
      </c>
      <c r="P924" s="694" t="s">
        <v>919</v>
      </c>
      <c r="Q924" s="695" t="s">
        <v>112</v>
      </c>
      <c r="R924" s="696">
        <v>60.02247951</v>
      </c>
      <c r="S924" s="696">
        <v>23.37111245</v>
      </c>
      <c r="T924" s="697">
        <v>113.2885715</v>
      </c>
      <c r="AB924" s="722"/>
      <c r="AF924" s="669"/>
    </row>
    <row r="925">
      <c r="A925" s="675"/>
      <c r="B925" s="681" t="s">
        <v>40</v>
      </c>
      <c r="C925" s="682" t="s">
        <v>915</v>
      </c>
      <c r="D925" s="682" t="s">
        <v>922</v>
      </c>
      <c r="E925" s="682" t="s">
        <v>258</v>
      </c>
      <c r="F925" s="682">
        <v>2021.0</v>
      </c>
      <c r="G925" s="683">
        <v>9.84E-6</v>
      </c>
      <c r="H925" s="683">
        <v>2.38E-7</v>
      </c>
      <c r="I925" s="684">
        <v>5.17E-5</v>
      </c>
      <c r="K925" s="693" t="s">
        <v>64</v>
      </c>
      <c r="L925" s="694" t="s">
        <v>679</v>
      </c>
      <c r="M925" s="694" t="s">
        <v>915</v>
      </c>
      <c r="N925" s="694" t="s">
        <v>923</v>
      </c>
      <c r="O925" s="694">
        <v>2021.0</v>
      </c>
      <c r="P925" s="694" t="s">
        <v>919</v>
      </c>
      <c r="Q925" s="695" t="s">
        <v>112</v>
      </c>
      <c r="R925" s="696">
        <v>0.0</v>
      </c>
      <c r="S925" s="696">
        <v>0.0</v>
      </c>
      <c r="T925" s="697">
        <v>0.0</v>
      </c>
      <c r="AB925" s="722"/>
      <c r="AF925" s="669"/>
    </row>
    <row r="926">
      <c r="A926" s="675"/>
      <c r="B926" s="681" t="s">
        <v>40</v>
      </c>
      <c r="C926" s="682" t="s">
        <v>915</v>
      </c>
      <c r="D926" s="682" t="s">
        <v>924</v>
      </c>
      <c r="E926" s="682" t="s">
        <v>258</v>
      </c>
      <c r="F926" s="682">
        <v>2021.0</v>
      </c>
      <c r="G926" s="683">
        <v>5.64E-5</v>
      </c>
      <c r="H926" s="683">
        <v>1.72E-6</v>
      </c>
      <c r="I926" s="684">
        <v>2.79485E-4</v>
      </c>
      <c r="K926" s="693" t="s">
        <v>64</v>
      </c>
      <c r="L926" s="694" t="s">
        <v>679</v>
      </c>
      <c r="M926" s="694" t="s">
        <v>915</v>
      </c>
      <c r="N926" s="694" t="s">
        <v>925</v>
      </c>
      <c r="O926" s="694">
        <v>2021.0</v>
      </c>
      <c r="P926" s="694" t="s">
        <v>919</v>
      </c>
      <c r="Q926" s="695" t="s">
        <v>112</v>
      </c>
      <c r="R926" s="696">
        <v>0.0</v>
      </c>
      <c r="S926" s="696">
        <v>0.0</v>
      </c>
      <c r="T926" s="697">
        <v>0.0</v>
      </c>
      <c r="AB926" s="722"/>
      <c r="AF926" s="669"/>
    </row>
    <row r="927">
      <c r="A927" s="675"/>
      <c r="B927" s="681" t="s">
        <v>40</v>
      </c>
      <c r="C927" s="682" t="s">
        <v>915</v>
      </c>
      <c r="D927" s="682" t="s">
        <v>926</v>
      </c>
      <c r="E927" s="682" t="s">
        <v>258</v>
      </c>
      <c r="F927" s="682">
        <v>2021.0</v>
      </c>
      <c r="G927" s="683">
        <v>3.57013E-4</v>
      </c>
      <c r="H927" s="683">
        <v>1.35E-5</v>
      </c>
      <c r="I927" s="684">
        <v>0.001677756</v>
      </c>
      <c r="K927" s="693" t="s">
        <v>64</v>
      </c>
      <c r="L927" s="694" t="s">
        <v>679</v>
      </c>
      <c r="M927" s="694" t="s">
        <v>915</v>
      </c>
      <c r="N927" s="694" t="s">
        <v>927</v>
      </c>
      <c r="O927" s="694">
        <v>2021.0</v>
      </c>
      <c r="P927" s="694" t="s">
        <v>919</v>
      </c>
      <c r="Q927" s="695" t="s">
        <v>112</v>
      </c>
      <c r="R927" s="696">
        <v>29.76393726</v>
      </c>
      <c r="S927" s="696">
        <v>11.82587733</v>
      </c>
      <c r="T927" s="697">
        <v>55.14470072</v>
      </c>
      <c r="AB927" s="722"/>
      <c r="AF927" s="669"/>
    </row>
    <row r="928">
      <c r="A928" s="675"/>
      <c r="B928" s="681" t="s">
        <v>41</v>
      </c>
      <c r="C928" s="682" t="s">
        <v>915</v>
      </c>
      <c r="D928" s="682" t="s">
        <v>916</v>
      </c>
      <c r="E928" s="682" t="s">
        <v>258</v>
      </c>
      <c r="F928" s="682">
        <v>2021.0</v>
      </c>
      <c r="G928" s="683">
        <v>2.08E-5</v>
      </c>
      <c r="H928" s="683">
        <v>7.58E-7</v>
      </c>
      <c r="I928" s="684">
        <v>9.74E-5</v>
      </c>
      <c r="K928" s="693" t="s">
        <v>64</v>
      </c>
      <c r="L928" s="694" t="s">
        <v>679</v>
      </c>
      <c r="M928" s="694" t="s">
        <v>915</v>
      </c>
      <c r="N928" s="694" t="s">
        <v>926</v>
      </c>
      <c r="O928" s="694">
        <v>2021.0</v>
      </c>
      <c r="P928" s="694" t="s">
        <v>919</v>
      </c>
      <c r="Q928" s="695" t="s">
        <v>112</v>
      </c>
      <c r="R928" s="696">
        <v>89.78641677</v>
      </c>
      <c r="S928" s="696">
        <v>36.39380073</v>
      </c>
      <c r="T928" s="697">
        <v>168.9378462</v>
      </c>
      <c r="AB928" s="722"/>
      <c r="AF928" s="669"/>
    </row>
    <row r="929">
      <c r="A929" s="675"/>
      <c r="B929" s="681" t="s">
        <v>41</v>
      </c>
      <c r="C929" s="682" t="s">
        <v>915</v>
      </c>
      <c r="D929" s="682" t="s">
        <v>922</v>
      </c>
      <c r="E929" s="682" t="s">
        <v>258</v>
      </c>
      <c r="F929" s="682">
        <v>2021.0</v>
      </c>
      <c r="G929" s="683">
        <v>1.33E-5</v>
      </c>
      <c r="H929" s="683">
        <v>5.06E-7</v>
      </c>
      <c r="I929" s="684">
        <v>6.08E-5</v>
      </c>
      <c r="K929" s="693" t="s">
        <v>65</v>
      </c>
      <c r="L929" s="694" t="s">
        <v>679</v>
      </c>
      <c r="M929" s="694" t="s">
        <v>915</v>
      </c>
      <c r="N929" s="694" t="s">
        <v>918</v>
      </c>
      <c r="O929" s="694">
        <v>2021.0</v>
      </c>
      <c r="P929" s="694" t="s">
        <v>919</v>
      </c>
      <c r="Q929" s="695" t="s">
        <v>112</v>
      </c>
      <c r="R929" s="696">
        <v>11.87107952</v>
      </c>
      <c r="S929" s="696">
        <v>4.308137772</v>
      </c>
      <c r="T929" s="697">
        <v>23.95014229</v>
      </c>
      <c r="AB929" s="722"/>
      <c r="AF929" s="669"/>
    </row>
    <row r="930">
      <c r="A930" s="675"/>
      <c r="B930" s="681" t="s">
        <v>41</v>
      </c>
      <c r="C930" s="682" t="s">
        <v>915</v>
      </c>
      <c r="D930" s="682" t="s">
        <v>924</v>
      </c>
      <c r="E930" s="682" t="s">
        <v>258</v>
      </c>
      <c r="F930" s="682">
        <v>2021.0</v>
      </c>
      <c r="G930" s="683">
        <v>9.33E-5</v>
      </c>
      <c r="H930" s="683">
        <v>3.36E-6</v>
      </c>
      <c r="I930" s="684">
        <v>4.03029E-4</v>
      </c>
      <c r="K930" s="693" t="s">
        <v>65</v>
      </c>
      <c r="L930" s="694" t="s">
        <v>679</v>
      </c>
      <c r="M930" s="694" t="s">
        <v>915</v>
      </c>
      <c r="N930" s="694" t="s">
        <v>923</v>
      </c>
      <c r="O930" s="694">
        <v>2021.0</v>
      </c>
      <c r="P930" s="694" t="s">
        <v>919</v>
      </c>
      <c r="Q930" s="695" t="s">
        <v>112</v>
      </c>
      <c r="R930" s="696">
        <v>0.0</v>
      </c>
      <c r="S930" s="696">
        <v>0.0</v>
      </c>
      <c r="T930" s="697">
        <v>0.0</v>
      </c>
      <c r="AB930" s="722"/>
      <c r="AF930" s="669"/>
    </row>
    <row r="931">
      <c r="A931" s="675"/>
      <c r="B931" s="681" t="s">
        <v>41</v>
      </c>
      <c r="C931" s="682" t="s">
        <v>915</v>
      </c>
      <c r="D931" s="682" t="s">
        <v>926</v>
      </c>
      <c r="E931" s="682" t="s">
        <v>258</v>
      </c>
      <c r="F931" s="682">
        <v>2021.0</v>
      </c>
      <c r="G931" s="683">
        <v>4.76822E-4</v>
      </c>
      <c r="H931" s="683">
        <v>1.6E-5</v>
      </c>
      <c r="I931" s="684">
        <v>0.00211427</v>
      </c>
      <c r="K931" s="693" t="s">
        <v>65</v>
      </c>
      <c r="L931" s="694" t="s">
        <v>679</v>
      </c>
      <c r="M931" s="694" t="s">
        <v>915</v>
      </c>
      <c r="N931" s="694" t="s">
        <v>925</v>
      </c>
      <c r="O931" s="694">
        <v>2021.0</v>
      </c>
      <c r="P931" s="694" t="s">
        <v>919</v>
      </c>
      <c r="Q931" s="695" t="s">
        <v>112</v>
      </c>
      <c r="R931" s="696">
        <v>0.0</v>
      </c>
      <c r="S931" s="696">
        <v>0.0</v>
      </c>
      <c r="T931" s="697">
        <v>0.0</v>
      </c>
      <c r="AB931" s="722"/>
      <c r="AF931" s="669"/>
    </row>
    <row r="932">
      <c r="A932" s="675"/>
      <c r="B932" s="681" t="s">
        <v>26</v>
      </c>
      <c r="C932" s="682" t="s">
        <v>915</v>
      </c>
      <c r="D932" s="682" t="s">
        <v>916</v>
      </c>
      <c r="E932" s="682" t="s">
        <v>258</v>
      </c>
      <c r="F932" s="682">
        <v>2021.0</v>
      </c>
      <c r="G932" s="683">
        <v>4.74E-5</v>
      </c>
      <c r="H932" s="683">
        <v>1.01E-6</v>
      </c>
      <c r="I932" s="684">
        <v>2.25138E-4</v>
      </c>
      <c r="K932" s="693" t="s">
        <v>65</v>
      </c>
      <c r="L932" s="694" t="s">
        <v>679</v>
      </c>
      <c r="M932" s="694" t="s">
        <v>915</v>
      </c>
      <c r="N932" s="694" t="s">
        <v>927</v>
      </c>
      <c r="O932" s="694">
        <v>2021.0</v>
      </c>
      <c r="P932" s="694" t="s">
        <v>919</v>
      </c>
      <c r="Q932" s="695" t="s">
        <v>112</v>
      </c>
      <c r="R932" s="696">
        <v>4.950529953</v>
      </c>
      <c r="S932" s="696">
        <v>1.868171081</v>
      </c>
      <c r="T932" s="697">
        <v>9.819440885</v>
      </c>
      <c r="AB932" s="722"/>
      <c r="AF932" s="669"/>
    </row>
    <row r="933">
      <c r="A933" s="675"/>
      <c r="B933" s="681" t="s">
        <v>26</v>
      </c>
      <c r="C933" s="682" t="s">
        <v>915</v>
      </c>
      <c r="D933" s="682" t="s">
        <v>922</v>
      </c>
      <c r="E933" s="682" t="s">
        <v>258</v>
      </c>
      <c r="F933" s="682">
        <v>2021.0</v>
      </c>
      <c r="G933" s="683">
        <v>4.66E-5</v>
      </c>
      <c r="H933" s="683">
        <v>9.79E-7</v>
      </c>
      <c r="I933" s="684">
        <v>2.2059E-4</v>
      </c>
      <c r="K933" s="693" t="s">
        <v>65</v>
      </c>
      <c r="L933" s="694" t="s">
        <v>679</v>
      </c>
      <c r="M933" s="694" t="s">
        <v>915</v>
      </c>
      <c r="N933" s="694" t="s">
        <v>926</v>
      </c>
      <c r="O933" s="694">
        <v>2021.0</v>
      </c>
      <c r="P933" s="694" t="s">
        <v>919</v>
      </c>
      <c r="Q933" s="695" t="s">
        <v>112</v>
      </c>
      <c r="R933" s="696">
        <v>16.82160947</v>
      </c>
      <c r="S933" s="696">
        <v>6.106554132</v>
      </c>
      <c r="T933" s="697">
        <v>33.4563693</v>
      </c>
      <c r="AB933" s="722"/>
      <c r="AF933" s="669"/>
    </row>
    <row r="934">
      <c r="A934" s="675"/>
      <c r="B934" s="681" t="s">
        <v>26</v>
      </c>
      <c r="C934" s="682" t="s">
        <v>915</v>
      </c>
      <c r="D934" s="682" t="s">
        <v>924</v>
      </c>
      <c r="E934" s="682" t="s">
        <v>258</v>
      </c>
      <c r="F934" s="682">
        <v>2021.0</v>
      </c>
      <c r="G934" s="683">
        <v>2.30744E-4</v>
      </c>
      <c r="H934" s="683">
        <v>3.93E-6</v>
      </c>
      <c r="I934" s="684">
        <v>0.001028367</v>
      </c>
      <c r="K934" s="693" t="s">
        <v>35</v>
      </c>
      <c r="L934" s="694" t="s">
        <v>679</v>
      </c>
      <c r="M934" s="694" t="s">
        <v>915</v>
      </c>
      <c r="N934" s="694" t="s">
        <v>918</v>
      </c>
      <c r="O934" s="694">
        <v>2021.0</v>
      </c>
      <c r="P934" s="694" t="s">
        <v>919</v>
      </c>
      <c r="Q934" s="695" t="s">
        <v>112</v>
      </c>
      <c r="R934" s="696">
        <v>483.5080801</v>
      </c>
      <c r="S934" s="696">
        <v>229.8524431</v>
      </c>
      <c r="T934" s="697">
        <v>849.695612</v>
      </c>
      <c r="AB934" s="722"/>
      <c r="AF934" s="669"/>
    </row>
    <row r="935">
      <c r="A935" s="675"/>
      <c r="B935" s="681" t="s">
        <v>26</v>
      </c>
      <c r="C935" s="682" t="s">
        <v>915</v>
      </c>
      <c r="D935" s="682" t="s">
        <v>926</v>
      </c>
      <c r="E935" s="682" t="s">
        <v>258</v>
      </c>
      <c r="F935" s="682">
        <v>2021.0</v>
      </c>
      <c r="G935" s="683">
        <v>0.001926586</v>
      </c>
      <c r="H935" s="683">
        <v>5.74E-5</v>
      </c>
      <c r="I935" s="684">
        <v>0.008291138</v>
      </c>
      <c r="K935" s="693" t="s">
        <v>35</v>
      </c>
      <c r="L935" s="694" t="s">
        <v>679</v>
      </c>
      <c r="M935" s="694" t="s">
        <v>915</v>
      </c>
      <c r="N935" s="694" t="s">
        <v>923</v>
      </c>
      <c r="O935" s="694">
        <v>2021.0</v>
      </c>
      <c r="P935" s="694" t="s">
        <v>919</v>
      </c>
      <c r="Q935" s="695" t="s">
        <v>112</v>
      </c>
      <c r="R935" s="696">
        <v>0.0</v>
      </c>
      <c r="S935" s="696">
        <v>0.0</v>
      </c>
      <c r="T935" s="697">
        <v>0.0</v>
      </c>
      <c r="AB935" s="722"/>
      <c r="AF935" s="669"/>
    </row>
    <row r="936">
      <c r="A936" s="675"/>
      <c r="B936" s="681" t="s">
        <v>42</v>
      </c>
      <c r="C936" s="682" t="s">
        <v>915</v>
      </c>
      <c r="D936" s="682" t="s">
        <v>916</v>
      </c>
      <c r="E936" s="682" t="s">
        <v>258</v>
      </c>
      <c r="F936" s="682">
        <v>2021.0</v>
      </c>
      <c r="G936" s="683">
        <v>3.01E-5</v>
      </c>
      <c r="H936" s="683">
        <v>5.94E-7</v>
      </c>
      <c r="I936" s="684">
        <v>1.50225E-4</v>
      </c>
      <c r="K936" s="693" t="s">
        <v>35</v>
      </c>
      <c r="L936" s="694" t="s">
        <v>679</v>
      </c>
      <c r="M936" s="694" t="s">
        <v>915</v>
      </c>
      <c r="N936" s="694" t="s">
        <v>925</v>
      </c>
      <c r="O936" s="694">
        <v>2021.0</v>
      </c>
      <c r="P936" s="694" t="s">
        <v>919</v>
      </c>
      <c r="Q936" s="695" t="s">
        <v>112</v>
      </c>
      <c r="R936" s="696">
        <v>0.0</v>
      </c>
      <c r="S936" s="696">
        <v>0.0</v>
      </c>
      <c r="T936" s="697">
        <v>0.0</v>
      </c>
      <c r="AB936" s="722"/>
      <c r="AF936" s="669"/>
    </row>
    <row r="937">
      <c r="A937" s="675"/>
      <c r="B937" s="681" t="s">
        <v>42</v>
      </c>
      <c r="C937" s="682" t="s">
        <v>915</v>
      </c>
      <c r="D937" s="682" t="s">
        <v>922</v>
      </c>
      <c r="E937" s="682" t="s">
        <v>258</v>
      </c>
      <c r="F937" s="682">
        <v>2021.0</v>
      </c>
      <c r="G937" s="683">
        <v>1.89E-5</v>
      </c>
      <c r="H937" s="683">
        <v>4.46E-7</v>
      </c>
      <c r="I937" s="684">
        <v>9.37E-5</v>
      </c>
      <c r="K937" s="693" t="s">
        <v>35</v>
      </c>
      <c r="L937" s="694" t="s">
        <v>679</v>
      </c>
      <c r="M937" s="694" t="s">
        <v>915</v>
      </c>
      <c r="N937" s="694" t="s">
        <v>927</v>
      </c>
      <c r="O937" s="694">
        <v>2021.0</v>
      </c>
      <c r="P937" s="694" t="s">
        <v>919</v>
      </c>
      <c r="Q937" s="695" t="s">
        <v>112</v>
      </c>
      <c r="R937" s="696">
        <v>175.7971347</v>
      </c>
      <c r="S937" s="696">
        <v>78.82968313</v>
      </c>
      <c r="T937" s="697">
        <v>310.1071488</v>
      </c>
      <c r="AB937" s="722"/>
      <c r="AF937" s="669"/>
    </row>
    <row r="938">
      <c r="A938" s="675"/>
      <c r="B938" s="681" t="s">
        <v>42</v>
      </c>
      <c r="C938" s="682" t="s">
        <v>915</v>
      </c>
      <c r="D938" s="682" t="s">
        <v>924</v>
      </c>
      <c r="E938" s="682" t="s">
        <v>258</v>
      </c>
      <c r="F938" s="682">
        <v>2021.0</v>
      </c>
      <c r="G938" s="683">
        <v>1.16541E-4</v>
      </c>
      <c r="H938" s="683">
        <v>3.56E-6</v>
      </c>
      <c r="I938" s="684">
        <v>5.10516E-4</v>
      </c>
      <c r="K938" s="693" t="s">
        <v>35</v>
      </c>
      <c r="L938" s="694" t="s">
        <v>679</v>
      </c>
      <c r="M938" s="694" t="s">
        <v>915</v>
      </c>
      <c r="N938" s="694" t="s">
        <v>926</v>
      </c>
      <c r="O938" s="694">
        <v>2021.0</v>
      </c>
      <c r="P938" s="694" t="s">
        <v>919</v>
      </c>
      <c r="Q938" s="695" t="s">
        <v>112</v>
      </c>
      <c r="R938" s="696">
        <v>659.3052148</v>
      </c>
      <c r="S938" s="696">
        <v>314.7067519</v>
      </c>
      <c r="T938" s="697">
        <v>1153.566012</v>
      </c>
      <c r="AB938" s="722"/>
      <c r="AF938" s="669"/>
    </row>
    <row r="939">
      <c r="A939" s="675"/>
      <c r="B939" s="681" t="s">
        <v>42</v>
      </c>
      <c r="C939" s="682" t="s">
        <v>915</v>
      </c>
      <c r="D939" s="682" t="s">
        <v>926</v>
      </c>
      <c r="E939" s="682" t="s">
        <v>258</v>
      </c>
      <c r="F939" s="682">
        <v>2021.0</v>
      </c>
      <c r="G939" s="683">
        <v>7.91876E-4</v>
      </c>
      <c r="H939" s="683">
        <v>3.41E-5</v>
      </c>
      <c r="I939" s="684">
        <v>0.003321763</v>
      </c>
      <c r="K939" s="693" t="s">
        <v>66</v>
      </c>
      <c r="L939" s="694" t="s">
        <v>679</v>
      </c>
      <c r="M939" s="694" t="s">
        <v>915</v>
      </c>
      <c r="N939" s="694" t="s">
        <v>918</v>
      </c>
      <c r="O939" s="694">
        <v>2021.0</v>
      </c>
      <c r="P939" s="694" t="s">
        <v>919</v>
      </c>
      <c r="Q939" s="695" t="s">
        <v>112</v>
      </c>
      <c r="R939" s="696">
        <v>118.5869858</v>
      </c>
      <c r="S939" s="696">
        <v>55.77901695</v>
      </c>
      <c r="T939" s="697">
        <v>218.0064197</v>
      </c>
      <c r="AB939" s="722"/>
      <c r="AF939" s="669"/>
    </row>
    <row r="940">
      <c r="A940" s="675"/>
      <c r="B940" s="681" t="s">
        <v>44</v>
      </c>
      <c r="C940" s="682" t="s">
        <v>915</v>
      </c>
      <c r="D940" s="682" t="s">
        <v>916</v>
      </c>
      <c r="E940" s="682" t="s">
        <v>258</v>
      </c>
      <c r="F940" s="682">
        <v>2021.0</v>
      </c>
      <c r="G940" s="683">
        <v>2.31E-5</v>
      </c>
      <c r="H940" s="683">
        <v>4.44E-7</v>
      </c>
      <c r="I940" s="684">
        <v>1.19939E-4</v>
      </c>
      <c r="K940" s="693" t="s">
        <v>66</v>
      </c>
      <c r="L940" s="694" t="s">
        <v>679</v>
      </c>
      <c r="M940" s="694" t="s">
        <v>915</v>
      </c>
      <c r="N940" s="694" t="s">
        <v>923</v>
      </c>
      <c r="O940" s="694">
        <v>2021.0</v>
      </c>
      <c r="P940" s="694" t="s">
        <v>919</v>
      </c>
      <c r="Q940" s="695" t="s">
        <v>112</v>
      </c>
      <c r="R940" s="696">
        <v>0.0</v>
      </c>
      <c r="S940" s="696">
        <v>0.0</v>
      </c>
      <c r="T940" s="697">
        <v>0.0</v>
      </c>
      <c r="AB940" s="722"/>
      <c r="AF940" s="669"/>
    </row>
    <row r="941">
      <c r="A941" s="675"/>
      <c r="B941" s="681" t="s">
        <v>44</v>
      </c>
      <c r="C941" s="682" t="s">
        <v>915</v>
      </c>
      <c r="D941" s="682" t="s">
        <v>922</v>
      </c>
      <c r="E941" s="682" t="s">
        <v>258</v>
      </c>
      <c r="F941" s="682">
        <v>2021.0</v>
      </c>
      <c r="G941" s="683">
        <v>1.42E-5</v>
      </c>
      <c r="H941" s="683">
        <v>3.3E-7</v>
      </c>
      <c r="I941" s="684">
        <v>7.21E-5</v>
      </c>
      <c r="K941" s="693" t="s">
        <v>66</v>
      </c>
      <c r="L941" s="694" t="s">
        <v>679</v>
      </c>
      <c r="M941" s="694" t="s">
        <v>915</v>
      </c>
      <c r="N941" s="694" t="s">
        <v>925</v>
      </c>
      <c r="O941" s="694">
        <v>2021.0</v>
      </c>
      <c r="P941" s="694" t="s">
        <v>919</v>
      </c>
      <c r="Q941" s="695" t="s">
        <v>112</v>
      </c>
      <c r="R941" s="696">
        <v>0.0</v>
      </c>
      <c r="S941" s="696">
        <v>0.0</v>
      </c>
      <c r="T941" s="697">
        <v>0.0</v>
      </c>
      <c r="AB941" s="722"/>
      <c r="AF941" s="669"/>
    </row>
    <row r="942">
      <c r="A942" s="675"/>
      <c r="B942" s="681" t="s">
        <v>44</v>
      </c>
      <c r="C942" s="682" t="s">
        <v>915</v>
      </c>
      <c r="D942" s="682" t="s">
        <v>924</v>
      </c>
      <c r="E942" s="682" t="s">
        <v>258</v>
      </c>
      <c r="F942" s="682">
        <v>2021.0</v>
      </c>
      <c r="G942" s="683">
        <v>8.28E-5</v>
      </c>
      <c r="H942" s="683">
        <v>1.55E-6</v>
      </c>
      <c r="I942" s="684">
        <v>4.27786E-4</v>
      </c>
      <c r="K942" s="693" t="s">
        <v>66</v>
      </c>
      <c r="L942" s="694" t="s">
        <v>679</v>
      </c>
      <c r="M942" s="694" t="s">
        <v>915</v>
      </c>
      <c r="N942" s="694" t="s">
        <v>927</v>
      </c>
      <c r="O942" s="694">
        <v>2021.0</v>
      </c>
      <c r="P942" s="694" t="s">
        <v>919</v>
      </c>
      <c r="Q942" s="695" t="s">
        <v>112</v>
      </c>
      <c r="R942" s="696">
        <v>48.29191406</v>
      </c>
      <c r="S942" s="696">
        <v>20.15764239</v>
      </c>
      <c r="T942" s="697">
        <v>86.67427416</v>
      </c>
      <c r="AB942" s="722"/>
      <c r="AF942" s="669"/>
    </row>
    <row r="943">
      <c r="A943" s="675"/>
      <c r="B943" s="681" t="s">
        <v>44</v>
      </c>
      <c r="C943" s="682" t="s">
        <v>915</v>
      </c>
      <c r="D943" s="682" t="s">
        <v>926</v>
      </c>
      <c r="E943" s="682" t="s">
        <v>258</v>
      </c>
      <c r="F943" s="682">
        <v>2021.0</v>
      </c>
      <c r="G943" s="683">
        <v>6.26519E-4</v>
      </c>
      <c r="H943" s="683">
        <v>2.25E-5</v>
      </c>
      <c r="I943" s="684">
        <v>0.002757359</v>
      </c>
      <c r="K943" s="693" t="s">
        <v>66</v>
      </c>
      <c r="L943" s="694" t="s">
        <v>679</v>
      </c>
      <c r="M943" s="694" t="s">
        <v>915</v>
      </c>
      <c r="N943" s="694" t="s">
        <v>926</v>
      </c>
      <c r="O943" s="694">
        <v>2021.0</v>
      </c>
      <c r="P943" s="694" t="s">
        <v>919</v>
      </c>
      <c r="Q943" s="695" t="s">
        <v>112</v>
      </c>
      <c r="R943" s="696">
        <v>166.8788999</v>
      </c>
      <c r="S943" s="696">
        <v>79.04959567</v>
      </c>
      <c r="T943" s="697">
        <v>306.8627055</v>
      </c>
      <c r="AB943" s="722"/>
      <c r="AF943" s="669"/>
    </row>
    <row r="944">
      <c r="A944" s="675"/>
      <c r="B944" s="681" t="s">
        <v>45</v>
      </c>
      <c r="C944" s="682" t="s">
        <v>915</v>
      </c>
      <c r="D944" s="682" t="s">
        <v>916</v>
      </c>
      <c r="E944" s="682" t="s">
        <v>258</v>
      </c>
      <c r="F944" s="682">
        <v>2021.0</v>
      </c>
      <c r="G944" s="683">
        <v>3.33E-5</v>
      </c>
      <c r="H944" s="683">
        <v>6.99E-7</v>
      </c>
      <c r="I944" s="684">
        <v>1.69321E-4</v>
      </c>
      <c r="K944" s="693" t="s">
        <v>67</v>
      </c>
      <c r="L944" s="694" t="s">
        <v>679</v>
      </c>
      <c r="M944" s="694" t="s">
        <v>915</v>
      </c>
      <c r="N944" s="694" t="s">
        <v>918</v>
      </c>
      <c r="O944" s="694">
        <v>2021.0</v>
      </c>
      <c r="P944" s="694" t="s">
        <v>919</v>
      </c>
      <c r="Q944" s="695" t="s">
        <v>112</v>
      </c>
      <c r="R944" s="696">
        <v>137.5245888</v>
      </c>
      <c r="S944" s="696">
        <v>65.96012983</v>
      </c>
      <c r="T944" s="697">
        <v>242.2647736</v>
      </c>
      <c r="AB944" s="722"/>
      <c r="AF944" s="669"/>
    </row>
    <row r="945">
      <c r="A945" s="675"/>
      <c r="B945" s="681" t="s">
        <v>45</v>
      </c>
      <c r="C945" s="682" t="s">
        <v>915</v>
      </c>
      <c r="D945" s="682" t="s">
        <v>922</v>
      </c>
      <c r="E945" s="682" t="s">
        <v>258</v>
      </c>
      <c r="F945" s="682">
        <v>2021.0</v>
      </c>
      <c r="G945" s="683">
        <v>2.91E-5</v>
      </c>
      <c r="H945" s="683">
        <v>6.19E-7</v>
      </c>
      <c r="I945" s="684">
        <v>1.44524E-4</v>
      </c>
      <c r="K945" s="693" t="s">
        <v>67</v>
      </c>
      <c r="L945" s="694" t="s">
        <v>679</v>
      </c>
      <c r="M945" s="694" t="s">
        <v>915</v>
      </c>
      <c r="N945" s="694" t="s">
        <v>923</v>
      </c>
      <c r="O945" s="694">
        <v>2021.0</v>
      </c>
      <c r="P945" s="694" t="s">
        <v>919</v>
      </c>
      <c r="Q945" s="695" t="s">
        <v>112</v>
      </c>
      <c r="R945" s="696">
        <v>0.0</v>
      </c>
      <c r="S945" s="696">
        <v>0.0</v>
      </c>
      <c r="T945" s="697">
        <v>0.0</v>
      </c>
      <c r="AB945" s="722"/>
      <c r="AF945" s="669"/>
    </row>
    <row r="946">
      <c r="A946" s="675"/>
      <c r="B946" s="681" t="s">
        <v>45</v>
      </c>
      <c r="C946" s="682" t="s">
        <v>915</v>
      </c>
      <c r="D946" s="682" t="s">
        <v>924</v>
      </c>
      <c r="E946" s="682" t="s">
        <v>258</v>
      </c>
      <c r="F946" s="682">
        <v>2021.0</v>
      </c>
      <c r="G946" s="683">
        <v>1.25805E-4</v>
      </c>
      <c r="H946" s="683">
        <v>2.32E-6</v>
      </c>
      <c r="I946" s="684">
        <v>5.9063E-4</v>
      </c>
      <c r="K946" s="693" t="s">
        <v>67</v>
      </c>
      <c r="L946" s="694" t="s">
        <v>679</v>
      </c>
      <c r="M946" s="694" t="s">
        <v>915</v>
      </c>
      <c r="N946" s="694" t="s">
        <v>925</v>
      </c>
      <c r="O946" s="694">
        <v>2021.0</v>
      </c>
      <c r="P946" s="694" t="s">
        <v>919</v>
      </c>
      <c r="Q946" s="695" t="s">
        <v>112</v>
      </c>
      <c r="R946" s="696">
        <v>0.0</v>
      </c>
      <c r="S946" s="696">
        <v>0.0</v>
      </c>
      <c r="T946" s="697">
        <v>0.0</v>
      </c>
      <c r="AB946" s="722"/>
      <c r="AF946" s="669"/>
    </row>
    <row r="947">
      <c r="A947" s="675"/>
      <c r="B947" s="681" t="s">
        <v>45</v>
      </c>
      <c r="C947" s="682" t="s">
        <v>915</v>
      </c>
      <c r="D947" s="682" t="s">
        <v>926</v>
      </c>
      <c r="E947" s="682" t="s">
        <v>258</v>
      </c>
      <c r="F947" s="682">
        <v>2021.0</v>
      </c>
      <c r="G947" s="683">
        <v>9.96955E-4</v>
      </c>
      <c r="H947" s="683">
        <v>3.47E-5</v>
      </c>
      <c r="I947" s="684">
        <v>0.004301531</v>
      </c>
      <c r="K947" s="693" t="s">
        <v>67</v>
      </c>
      <c r="L947" s="694" t="s">
        <v>679</v>
      </c>
      <c r="M947" s="694" t="s">
        <v>915</v>
      </c>
      <c r="N947" s="694" t="s">
        <v>927</v>
      </c>
      <c r="O947" s="694">
        <v>2021.0</v>
      </c>
      <c r="P947" s="694" t="s">
        <v>919</v>
      </c>
      <c r="Q947" s="695" t="s">
        <v>112</v>
      </c>
      <c r="R947" s="696">
        <v>53.76490975</v>
      </c>
      <c r="S947" s="696">
        <v>24.79146164</v>
      </c>
      <c r="T947" s="697">
        <v>91.10914471</v>
      </c>
      <c r="AB947" s="722"/>
      <c r="AF947" s="669"/>
    </row>
    <row r="948">
      <c r="A948" s="675"/>
      <c r="B948" s="681" t="s">
        <v>46</v>
      </c>
      <c r="C948" s="682" t="s">
        <v>915</v>
      </c>
      <c r="D948" s="682" t="s">
        <v>916</v>
      </c>
      <c r="E948" s="682" t="s">
        <v>258</v>
      </c>
      <c r="F948" s="682">
        <v>2021.0</v>
      </c>
      <c r="G948" s="683">
        <v>1.53E-5</v>
      </c>
      <c r="H948" s="683">
        <v>3.12E-7</v>
      </c>
      <c r="I948" s="684">
        <v>8.13E-5</v>
      </c>
      <c r="K948" s="693" t="s">
        <v>67</v>
      </c>
      <c r="L948" s="694" t="s">
        <v>679</v>
      </c>
      <c r="M948" s="694" t="s">
        <v>915</v>
      </c>
      <c r="N948" s="694" t="s">
        <v>926</v>
      </c>
      <c r="O948" s="694">
        <v>2021.0</v>
      </c>
      <c r="P948" s="694" t="s">
        <v>919</v>
      </c>
      <c r="Q948" s="695" t="s">
        <v>112</v>
      </c>
      <c r="R948" s="696">
        <v>191.2894986</v>
      </c>
      <c r="S948" s="696">
        <v>89.71047304</v>
      </c>
      <c r="T948" s="697">
        <v>328.3995312</v>
      </c>
      <c r="AB948" s="722"/>
      <c r="AF948" s="669"/>
    </row>
    <row r="949">
      <c r="A949" s="675"/>
      <c r="B949" s="681" t="s">
        <v>46</v>
      </c>
      <c r="C949" s="682" t="s">
        <v>915</v>
      </c>
      <c r="D949" s="682" t="s">
        <v>922</v>
      </c>
      <c r="E949" s="682" t="s">
        <v>258</v>
      </c>
      <c r="F949" s="682">
        <v>2021.0</v>
      </c>
      <c r="G949" s="683">
        <v>1.0E-5</v>
      </c>
      <c r="H949" s="683">
        <v>2.56E-7</v>
      </c>
      <c r="I949" s="684">
        <v>5.08E-5</v>
      </c>
      <c r="K949" s="693" t="s">
        <v>37</v>
      </c>
      <c r="L949" s="694" t="s">
        <v>679</v>
      </c>
      <c r="M949" s="694" t="s">
        <v>915</v>
      </c>
      <c r="N949" s="694" t="s">
        <v>918</v>
      </c>
      <c r="O949" s="694">
        <v>2021.0</v>
      </c>
      <c r="P949" s="694" t="s">
        <v>919</v>
      </c>
      <c r="Q949" s="695" t="s">
        <v>112</v>
      </c>
      <c r="R949" s="696">
        <v>300.5302202</v>
      </c>
      <c r="S949" s="696">
        <v>148.7333041</v>
      </c>
      <c r="T949" s="697">
        <v>551.7549476</v>
      </c>
      <c r="AB949" s="722"/>
      <c r="AF949" s="669"/>
    </row>
    <row r="950">
      <c r="A950" s="675"/>
      <c r="B950" s="681" t="s">
        <v>46</v>
      </c>
      <c r="C950" s="682" t="s">
        <v>915</v>
      </c>
      <c r="D950" s="682" t="s">
        <v>924</v>
      </c>
      <c r="E950" s="682" t="s">
        <v>258</v>
      </c>
      <c r="F950" s="682">
        <v>2021.0</v>
      </c>
      <c r="G950" s="683">
        <v>5.94E-5</v>
      </c>
      <c r="H950" s="683">
        <v>1.6E-6</v>
      </c>
      <c r="I950" s="684">
        <v>3.00279E-4</v>
      </c>
      <c r="K950" s="693" t="s">
        <v>37</v>
      </c>
      <c r="L950" s="694" t="s">
        <v>679</v>
      </c>
      <c r="M950" s="694" t="s">
        <v>915</v>
      </c>
      <c r="N950" s="694" t="s">
        <v>923</v>
      </c>
      <c r="O950" s="694">
        <v>2021.0</v>
      </c>
      <c r="P950" s="694" t="s">
        <v>919</v>
      </c>
      <c r="Q950" s="695" t="s">
        <v>112</v>
      </c>
      <c r="R950" s="696">
        <v>0.0</v>
      </c>
      <c r="S950" s="696">
        <v>0.0</v>
      </c>
      <c r="T950" s="697">
        <v>0.0</v>
      </c>
      <c r="AB950" s="722"/>
      <c r="AF950" s="669"/>
    </row>
    <row r="951">
      <c r="A951" s="675"/>
      <c r="B951" s="681" t="s">
        <v>46</v>
      </c>
      <c r="C951" s="682" t="s">
        <v>915</v>
      </c>
      <c r="D951" s="682" t="s">
        <v>926</v>
      </c>
      <c r="E951" s="682" t="s">
        <v>258</v>
      </c>
      <c r="F951" s="682">
        <v>2021.0</v>
      </c>
      <c r="G951" s="683">
        <v>4.32579E-4</v>
      </c>
      <c r="H951" s="683">
        <v>1.38E-5</v>
      </c>
      <c r="I951" s="684">
        <v>0.001981361</v>
      </c>
      <c r="K951" s="693" t="s">
        <v>37</v>
      </c>
      <c r="L951" s="694" t="s">
        <v>679</v>
      </c>
      <c r="M951" s="694" t="s">
        <v>915</v>
      </c>
      <c r="N951" s="694" t="s">
        <v>925</v>
      </c>
      <c r="O951" s="694">
        <v>2021.0</v>
      </c>
      <c r="P951" s="694" t="s">
        <v>919</v>
      </c>
      <c r="Q951" s="695" t="s">
        <v>112</v>
      </c>
      <c r="R951" s="696">
        <v>0.0</v>
      </c>
      <c r="S951" s="696">
        <v>0.0</v>
      </c>
      <c r="T951" s="697">
        <v>0.0</v>
      </c>
      <c r="AB951" s="722"/>
      <c r="AF951" s="669"/>
    </row>
    <row r="952">
      <c r="A952" s="675"/>
      <c r="B952" s="681" t="s">
        <v>47</v>
      </c>
      <c r="C952" s="682" t="s">
        <v>915</v>
      </c>
      <c r="D952" s="682" t="s">
        <v>916</v>
      </c>
      <c r="E952" s="682" t="s">
        <v>258</v>
      </c>
      <c r="F952" s="682">
        <v>2021.0</v>
      </c>
      <c r="G952" s="683">
        <v>1.7E-5</v>
      </c>
      <c r="H952" s="683">
        <v>2.69E-7</v>
      </c>
      <c r="I952" s="684">
        <v>9.74E-5</v>
      </c>
      <c r="K952" s="693" t="s">
        <v>37</v>
      </c>
      <c r="L952" s="694" t="s">
        <v>679</v>
      </c>
      <c r="M952" s="694" t="s">
        <v>915</v>
      </c>
      <c r="N952" s="694" t="s">
        <v>927</v>
      </c>
      <c r="O952" s="694">
        <v>2021.0</v>
      </c>
      <c r="P952" s="694" t="s">
        <v>919</v>
      </c>
      <c r="Q952" s="695" t="s">
        <v>112</v>
      </c>
      <c r="R952" s="696">
        <v>110.6578518</v>
      </c>
      <c r="S952" s="696">
        <v>39.71414781</v>
      </c>
      <c r="T952" s="697">
        <v>198.5149915</v>
      </c>
      <c r="AB952" s="722"/>
      <c r="AF952" s="669"/>
    </row>
    <row r="953">
      <c r="A953" s="675"/>
      <c r="B953" s="681" t="s">
        <v>47</v>
      </c>
      <c r="C953" s="682" t="s">
        <v>915</v>
      </c>
      <c r="D953" s="682" t="s">
        <v>922</v>
      </c>
      <c r="E953" s="682" t="s">
        <v>258</v>
      </c>
      <c r="F953" s="682">
        <v>2021.0</v>
      </c>
      <c r="G953" s="683">
        <v>1.16E-5</v>
      </c>
      <c r="H953" s="683">
        <v>2.79E-7</v>
      </c>
      <c r="I953" s="684">
        <v>6.33E-5</v>
      </c>
      <c r="K953" s="693" t="s">
        <v>37</v>
      </c>
      <c r="L953" s="694" t="s">
        <v>679</v>
      </c>
      <c r="M953" s="694" t="s">
        <v>915</v>
      </c>
      <c r="N953" s="694" t="s">
        <v>926</v>
      </c>
      <c r="O953" s="694">
        <v>2021.0</v>
      </c>
      <c r="P953" s="694" t="s">
        <v>919</v>
      </c>
      <c r="Q953" s="695" t="s">
        <v>112</v>
      </c>
      <c r="R953" s="696">
        <v>411.1880719</v>
      </c>
      <c r="S953" s="696">
        <v>199.5295957</v>
      </c>
      <c r="T953" s="697">
        <v>724.1127405</v>
      </c>
      <c r="AB953" s="722"/>
      <c r="AF953" s="669"/>
    </row>
    <row r="954">
      <c r="A954" s="675"/>
      <c r="B954" s="681" t="s">
        <v>47</v>
      </c>
      <c r="C954" s="682" t="s">
        <v>915</v>
      </c>
      <c r="D954" s="682" t="s">
        <v>924</v>
      </c>
      <c r="E954" s="682" t="s">
        <v>258</v>
      </c>
      <c r="F954" s="682">
        <v>2021.0</v>
      </c>
      <c r="G954" s="683">
        <v>7.84E-5</v>
      </c>
      <c r="H954" s="683">
        <v>2.3E-6</v>
      </c>
      <c r="I954" s="684">
        <v>3.78562E-4</v>
      </c>
      <c r="K954" s="693" t="s">
        <v>38</v>
      </c>
      <c r="L954" s="694" t="s">
        <v>449</v>
      </c>
      <c r="M954" s="694" t="s">
        <v>915</v>
      </c>
      <c r="N954" s="694" t="s">
        <v>918</v>
      </c>
      <c r="O954" s="694">
        <v>2021.0</v>
      </c>
      <c r="P954" s="694" t="s">
        <v>919</v>
      </c>
      <c r="Q954" s="695" t="s">
        <v>112</v>
      </c>
      <c r="R954" s="696">
        <v>95.94480252</v>
      </c>
      <c r="S954" s="696">
        <v>31.26085393</v>
      </c>
      <c r="T954" s="697">
        <v>211.4544619</v>
      </c>
      <c r="AB954" s="722"/>
      <c r="AF954" s="669"/>
    </row>
    <row r="955">
      <c r="A955" s="675"/>
      <c r="B955" s="681" t="s">
        <v>47</v>
      </c>
      <c r="C955" s="682" t="s">
        <v>915</v>
      </c>
      <c r="D955" s="682" t="s">
        <v>926</v>
      </c>
      <c r="E955" s="682" t="s">
        <v>258</v>
      </c>
      <c r="F955" s="682">
        <v>2021.0</v>
      </c>
      <c r="G955" s="683">
        <v>4.63026E-4</v>
      </c>
      <c r="H955" s="683">
        <v>1.32E-5</v>
      </c>
      <c r="I955" s="684">
        <v>0.002162361</v>
      </c>
      <c r="K955" s="693" t="s">
        <v>38</v>
      </c>
      <c r="L955" s="694" t="s">
        <v>449</v>
      </c>
      <c r="M955" s="694" t="s">
        <v>915</v>
      </c>
      <c r="N955" s="694" t="s">
        <v>923</v>
      </c>
      <c r="O955" s="694">
        <v>2021.0</v>
      </c>
      <c r="P955" s="694" t="s">
        <v>919</v>
      </c>
      <c r="Q955" s="695" t="s">
        <v>112</v>
      </c>
      <c r="R955" s="696">
        <v>20.82072545</v>
      </c>
      <c r="S955" s="696">
        <v>9.776329311</v>
      </c>
      <c r="T955" s="697">
        <v>36.63015241</v>
      </c>
      <c r="AB955" s="722"/>
      <c r="AF955" s="669"/>
    </row>
    <row r="956">
      <c r="A956" s="675"/>
      <c r="B956" s="681" t="s">
        <v>48</v>
      </c>
      <c r="C956" s="682" t="s">
        <v>915</v>
      </c>
      <c r="D956" s="682" t="s">
        <v>916</v>
      </c>
      <c r="E956" s="682" t="s">
        <v>258</v>
      </c>
      <c r="F956" s="682">
        <v>2021.0</v>
      </c>
      <c r="G956" s="683">
        <v>1.64E-5</v>
      </c>
      <c r="H956" s="683">
        <v>3.36E-7</v>
      </c>
      <c r="I956" s="684">
        <v>7.77E-5</v>
      </c>
      <c r="K956" s="693" t="s">
        <v>38</v>
      </c>
      <c r="L956" s="694" t="s">
        <v>449</v>
      </c>
      <c r="M956" s="694" t="s">
        <v>915</v>
      </c>
      <c r="N956" s="694" t="s">
        <v>925</v>
      </c>
      <c r="O956" s="694">
        <v>2021.0</v>
      </c>
      <c r="P956" s="694" t="s">
        <v>919</v>
      </c>
      <c r="Q956" s="695" t="s">
        <v>112</v>
      </c>
      <c r="R956" s="696">
        <v>9.239309279</v>
      </c>
      <c r="S956" s="696">
        <v>4.867212422</v>
      </c>
      <c r="T956" s="697">
        <v>17.74975566</v>
      </c>
      <c r="AB956" s="722"/>
      <c r="AF956" s="669"/>
    </row>
    <row r="957">
      <c r="A957" s="675"/>
      <c r="B957" s="681" t="s">
        <v>48</v>
      </c>
      <c r="C957" s="682" t="s">
        <v>915</v>
      </c>
      <c r="D957" s="682" t="s">
        <v>922</v>
      </c>
      <c r="E957" s="682" t="s">
        <v>258</v>
      </c>
      <c r="F957" s="682">
        <v>2021.0</v>
      </c>
      <c r="G957" s="683">
        <v>1.1E-5</v>
      </c>
      <c r="H957" s="683">
        <v>2.53E-7</v>
      </c>
      <c r="I957" s="684">
        <v>4.87E-5</v>
      </c>
      <c r="K957" s="693" t="s">
        <v>38</v>
      </c>
      <c r="L957" s="694" t="s">
        <v>449</v>
      </c>
      <c r="M957" s="694" t="s">
        <v>915</v>
      </c>
      <c r="N957" s="694" t="s">
        <v>927</v>
      </c>
      <c r="O957" s="694">
        <v>2021.0</v>
      </c>
      <c r="P957" s="694" t="s">
        <v>919</v>
      </c>
      <c r="Q957" s="695" t="s">
        <v>112</v>
      </c>
      <c r="R957" s="696">
        <v>98.35840594</v>
      </c>
      <c r="S957" s="696">
        <v>38.35758997</v>
      </c>
      <c r="T957" s="697">
        <v>199.949858</v>
      </c>
      <c r="AB957" s="722"/>
      <c r="AF957" s="669"/>
    </row>
    <row r="958">
      <c r="A958" s="675"/>
      <c r="B958" s="681" t="s">
        <v>48</v>
      </c>
      <c r="C958" s="682" t="s">
        <v>915</v>
      </c>
      <c r="D958" s="682" t="s">
        <v>924</v>
      </c>
      <c r="E958" s="682" t="s">
        <v>258</v>
      </c>
      <c r="F958" s="682">
        <v>2021.0</v>
      </c>
      <c r="G958" s="683">
        <v>7.19E-5</v>
      </c>
      <c r="H958" s="683">
        <v>1.83E-6</v>
      </c>
      <c r="I958" s="684">
        <v>3.68463E-4</v>
      </c>
      <c r="K958" s="693" t="s">
        <v>38</v>
      </c>
      <c r="L958" s="694" t="s">
        <v>449</v>
      </c>
      <c r="M958" s="694" t="s">
        <v>915</v>
      </c>
      <c r="N958" s="694" t="s">
        <v>926</v>
      </c>
      <c r="O958" s="694">
        <v>2021.0</v>
      </c>
      <c r="P958" s="694" t="s">
        <v>919</v>
      </c>
      <c r="Q958" s="695" t="s">
        <v>112</v>
      </c>
      <c r="R958" s="696">
        <v>224.3632432</v>
      </c>
      <c r="S958" s="696">
        <v>93.51110808</v>
      </c>
      <c r="T958" s="697">
        <v>447.4954838</v>
      </c>
      <c r="AB958" s="722"/>
      <c r="AF958" s="669"/>
    </row>
    <row r="959">
      <c r="A959" s="675"/>
      <c r="B959" s="681" t="s">
        <v>48</v>
      </c>
      <c r="C959" s="682" t="s">
        <v>915</v>
      </c>
      <c r="D959" s="682" t="s">
        <v>926</v>
      </c>
      <c r="E959" s="682" t="s">
        <v>258</v>
      </c>
      <c r="F959" s="682">
        <v>2021.0</v>
      </c>
      <c r="G959" s="683">
        <v>4.63607E-4</v>
      </c>
      <c r="H959" s="683">
        <v>1.61E-5</v>
      </c>
      <c r="I959" s="684">
        <v>0.002137611</v>
      </c>
      <c r="K959" s="693" t="s">
        <v>39</v>
      </c>
      <c r="L959" s="694" t="s">
        <v>449</v>
      </c>
      <c r="M959" s="694" t="s">
        <v>915</v>
      </c>
      <c r="N959" s="694" t="s">
        <v>918</v>
      </c>
      <c r="O959" s="694">
        <v>2021.0</v>
      </c>
      <c r="P959" s="694" t="s">
        <v>919</v>
      </c>
      <c r="Q959" s="695" t="s">
        <v>112</v>
      </c>
      <c r="R959" s="696">
        <v>233.2014271</v>
      </c>
      <c r="S959" s="696">
        <v>100.0216844</v>
      </c>
      <c r="T959" s="697">
        <v>440.5508883</v>
      </c>
      <c r="AB959" s="722"/>
      <c r="AF959" s="669"/>
    </row>
    <row r="960">
      <c r="A960" s="675"/>
      <c r="B960" s="681" t="s">
        <v>49</v>
      </c>
      <c r="C960" s="682" t="s">
        <v>915</v>
      </c>
      <c r="D960" s="682" t="s">
        <v>916</v>
      </c>
      <c r="E960" s="682" t="s">
        <v>258</v>
      </c>
      <c r="F960" s="682">
        <v>2021.0</v>
      </c>
      <c r="G960" s="683">
        <v>1.04E-5</v>
      </c>
      <c r="H960" s="683">
        <v>2.63E-7</v>
      </c>
      <c r="I960" s="684">
        <v>5.28E-5</v>
      </c>
      <c r="K960" s="693" t="s">
        <v>39</v>
      </c>
      <c r="L960" s="694" t="s">
        <v>449</v>
      </c>
      <c r="M960" s="694" t="s">
        <v>915</v>
      </c>
      <c r="N960" s="694" t="s">
        <v>923</v>
      </c>
      <c r="O960" s="694">
        <v>2021.0</v>
      </c>
      <c r="P960" s="694" t="s">
        <v>919</v>
      </c>
      <c r="Q960" s="695" t="s">
        <v>112</v>
      </c>
      <c r="R960" s="696">
        <v>28.76934075</v>
      </c>
      <c r="S960" s="696">
        <v>14.40555293</v>
      </c>
      <c r="T960" s="697">
        <v>50.24500561</v>
      </c>
      <c r="AB960" s="722"/>
      <c r="AF960" s="669"/>
    </row>
    <row r="961">
      <c r="A961" s="675"/>
      <c r="B961" s="681" t="s">
        <v>49</v>
      </c>
      <c r="C961" s="682" t="s">
        <v>915</v>
      </c>
      <c r="D961" s="682" t="s">
        <v>922</v>
      </c>
      <c r="E961" s="682" t="s">
        <v>258</v>
      </c>
      <c r="F961" s="682">
        <v>2021.0</v>
      </c>
      <c r="G961" s="683">
        <v>8.02E-6</v>
      </c>
      <c r="H961" s="683">
        <v>2.49E-7</v>
      </c>
      <c r="I961" s="684">
        <v>3.85E-5</v>
      </c>
      <c r="K961" s="693" t="s">
        <v>39</v>
      </c>
      <c r="L961" s="694" t="s">
        <v>449</v>
      </c>
      <c r="M961" s="694" t="s">
        <v>915</v>
      </c>
      <c r="N961" s="694" t="s">
        <v>925</v>
      </c>
      <c r="O961" s="694">
        <v>2021.0</v>
      </c>
      <c r="P961" s="694" t="s">
        <v>919</v>
      </c>
      <c r="Q961" s="695" t="s">
        <v>112</v>
      </c>
      <c r="R961" s="696">
        <v>17.47134003</v>
      </c>
      <c r="S961" s="696">
        <v>9.272537123</v>
      </c>
      <c r="T961" s="697">
        <v>30.85609929</v>
      </c>
      <c r="AB961" s="722"/>
      <c r="AF961" s="669"/>
    </row>
    <row r="962">
      <c r="A962" s="675"/>
      <c r="B962" s="681" t="s">
        <v>49</v>
      </c>
      <c r="C962" s="682" t="s">
        <v>915</v>
      </c>
      <c r="D962" s="682" t="s">
        <v>924</v>
      </c>
      <c r="E962" s="682" t="s">
        <v>258</v>
      </c>
      <c r="F962" s="682">
        <v>2021.0</v>
      </c>
      <c r="G962" s="683">
        <v>4.67E-5</v>
      </c>
      <c r="H962" s="683">
        <v>1.62E-6</v>
      </c>
      <c r="I962" s="684">
        <v>2.08361E-4</v>
      </c>
      <c r="K962" s="693" t="s">
        <v>39</v>
      </c>
      <c r="L962" s="694" t="s">
        <v>449</v>
      </c>
      <c r="M962" s="694" t="s">
        <v>915</v>
      </c>
      <c r="N962" s="694" t="s">
        <v>927</v>
      </c>
      <c r="O962" s="694">
        <v>2021.0</v>
      </c>
      <c r="P962" s="694" t="s">
        <v>919</v>
      </c>
      <c r="Q962" s="695" t="s">
        <v>112</v>
      </c>
      <c r="R962" s="696">
        <v>192.9513074</v>
      </c>
      <c r="S962" s="696">
        <v>105.3211293</v>
      </c>
      <c r="T962" s="697">
        <v>341.3667926</v>
      </c>
      <c r="AB962" s="722"/>
      <c r="AF962" s="669"/>
    </row>
    <row r="963">
      <c r="A963" s="675"/>
      <c r="B963" s="681" t="s">
        <v>49</v>
      </c>
      <c r="C963" s="682" t="s">
        <v>915</v>
      </c>
      <c r="D963" s="682" t="s">
        <v>926</v>
      </c>
      <c r="E963" s="682" t="s">
        <v>258</v>
      </c>
      <c r="F963" s="682">
        <v>2021.0</v>
      </c>
      <c r="G963" s="683">
        <v>3.29156E-4</v>
      </c>
      <c r="H963" s="683">
        <v>1.22E-5</v>
      </c>
      <c r="I963" s="684">
        <v>0.001433181</v>
      </c>
      <c r="K963" s="693" t="s">
        <v>39</v>
      </c>
      <c r="L963" s="694" t="s">
        <v>449</v>
      </c>
      <c r="M963" s="694" t="s">
        <v>915</v>
      </c>
      <c r="N963" s="694" t="s">
        <v>926</v>
      </c>
      <c r="O963" s="694">
        <v>2021.0</v>
      </c>
      <c r="P963" s="694" t="s">
        <v>919</v>
      </c>
      <c r="Q963" s="695" t="s">
        <v>112</v>
      </c>
      <c r="R963" s="696">
        <v>472.3934152</v>
      </c>
      <c r="S963" s="696">
        <v>249.0167253</v>
      </c>
      <c r="T963" s="697">
        <v>811.2719422</v>
      </c>
      <c r="AB963" s="722"/>
      <c r="AF963" s="669"/>
    </row>
    <row r="964">
      <c r="A964" s="675"/>
      <c r="B964" s="681" t="s">
        <v>50</v>
      </c>
      <c r="C964" s="682" t="s">
        <v>915</v>
      </c>
      <c r="D964" s="682" t="s">
        <v>916</v>
      </c>
      <c r="E964" s="682" t="s">
        <v>258</v>
      </c>
      <c r="F964" s="682">
        <v>2021.0</v>
      </c>
      <c r="G964" s="683">
        <v>7.72E-6</v>
      </c>
      <c r="H964" s="683">
        <v>1.68E-7</v>
      </c>
      <c r="I964" s="684">
        <v>3.87E-5</v>
      </c>
      <c r="K964" s="693" t="s">
        <v>40</v>
      </c>
      <c r="L964" s="694" t="s">
        <v>449</v>
      </c>
      <c r="M964" s="694" t="s">
        <v>915</v>
      </c>
      <c r="N964" s="694" t="s">
        <v>918</v>
      </c>
      <c r="O964" s="694">
        <v>2021.0</v>
      </c>
      <c r="P964" s="694" t="s">
        <v>919</v>
      </c>
      <c r="Q964" s="695" t="s">
        <v>112</v>
      </c>
      <c r="R964" s="696">
        <v>31.00244225</v>
      </c>
      <c r="S964" s="696">
        <v>9.495810016</v>
      </c>
      <c r="T964" s="697">
        <v>70.29412513</v>
      </c>
      <c r="AB964" s="722"/>
      <c r="AF964" s="669"/>
    </row>
    <row r="965">
      <c r="A965" s="675"/>
      <c r="B965" s="681" t="s">
        <v>50</v>
      </c>
      <c r="C965" s="682" t="s">
        <v>915</v>
      </c>
      <c r="D965" s="682" t="s">
        <v>922</v>
      </c>
      <c r="E965" s="682" t="s">
        <v>258</v>
      </c>
      <c r="F965" s="682">
        <v>2021.0</v>
      </c>
      <c r="G965" s="683">
        <v>5.39E-6</v>
      </c>
      <c r="H965" s="683">
        <v>1.5E-7</v>
      </c>
      <c r="I965" s="684">
        <v>2.88E-5</v>
      </c>
      <c r="K965" s="693" t="s">
        <v>40</v>
      </c>
      <c r="L965" s="694" t="s">
        <v>449</v>
      </c>
      <c r="M965" s="694" t="s">
        <v>915</v>
      </c>
      <c r="N965" s="694" t="s">
        <v>923</v>
      </c>
      <c r="O965" s="694">
        <v>2021.0</v>
      </c>
      <c r="P965" s="694" t="s">
        <v>919</v>
      </c>
      <c r="Q965" s="695" t="s">
        <v>112</v>
      </c>
      <c r="R965" s="696">
        <v>8.364610002</v>
      </c>
      <c r="S965" s="696">
        <v>4.139294622</v>
      </c>
      <c r="T965" s="697">
        <v>15.43574048</v>
      </c>
      <c r="AB965" s="722"/>
      <c r="AF965" s="669"/>
    </row>
    <row r="966">
      <c r="A966" s="675"/>
      <c r="B966" s="681" t="s">
        <v>50</v>
      </c>
      <c r="C966" s="682" t="s">
        <v>915</v>
      </c>
      <c r="D966" s="682" t="s">
        <v>924</v>
      </c>
      <c r="E966" s="682" t="s">
        <v>258</v>
      </c>
      <c r="F966" s="682">
        <v>2021.0</v>
      </c>
      <c r="G966" s="683">
        <v>3.46E-5</v>
      </c>
      <c r="H966" s="683">
        <v>1.05E-6</v>
      </c>
      <c r="I966" s="684">
        <v>1.5557E-4</v>
      </c>
      <c r="K966" s="693" t="s">
        <v>40</v>
      </c>
      <c r="L966" s="694" t="s">
        <v>449</v>
      </c>
      <c r="M966" s="694" t="s">
        <v>915</v>
      </c>
      <c r="N966" s="694" t="s">
        <v>925</v>
      </c>
      <c r="O966" s="694">
        <v>2021.0</v>
      </c>
      <c r="P966" s="694" t="s">
        <v>919</v>
      </c>
      <c r="Q966" s="695" t="s">
        <v>112</v>
      </c>
      <c r="R966" s="696">
        <v>4.712088948</v>
      </c>
      <c r="S966" s="696">
        <v>2.517156341</v>
      </c>
      <c r="T966" s="697">
        <v>9.277818651</v>
      </c>
      <c r="AB966" s="722"/>
      <c r="AF966" s="669"/>
    </row>
    <row r="967">
      <c r="A967" s="675"/>
      <c r="B967" s="681" t="s">
        <v>50</v>
      </c>
      <c r="C967" s="682" t="s">
        <v>915</v>
      </c>
      <c r="D967" s="682" t="s">
        <v>926</v>
      </c>
      <c r="E967" s="682" t="s">
        <v>258</v>
      </c>
      <c r="F967" s="682">
        <v>2021.0</v>
      </c>
      <c r="G967" s="683">
        <v>2.15045E-4</v>
      </c>
      <c r="H967" s="683">
        <v>7.35E-6</v>
      </c>
      <c r="I967" s="684">
        <v>9.95868E-4</v>
      </c>
      <c r="K967" s="693" t="s">
        <v>40</v>
      </c>
      <c r="L967" s="694" t="s">
        <v>449</v>
      </c>
      <c r="M967" s="694" t="s">
        <v>915</v>
      </c>
      <c r="N967" s="694" t="s">
        <v>927</v>
      </c>
      <c r="O967" s="694">
        <v>2021.0</v>
      </c>
      <c r="P967" s="694" t="s">
        <v>919</v>
      </c>
      <c r="Q967" s="695" t="s">
        <v>112</v>
      </c>
      <c r="R967" s="696">
        <v>28.64841125</v>
      </c>
      <c r="S967" s="696">
        <v>11.51035976</v>
      </c>
      <c r="T967" s="697">
        <v>57.61061943</v>
      </c>
      <c r="AB967" s="722"/>
      <c r="AF967" s="669"/>
    </row>
    <row r="968">
      <c r="A968" s="675"/>
      <c r="B968" s="681" t="s">
        <v>51</v>
      </c>
      <c r="C968" s="682" t="s">
        <v>915</v>
      </c>
      <c r="D968" s="682" t="s">
        <v>916</v>
      </c>
      <c r="E968" s="682" t="s">
        <v>258</v>
      </c>
      <c r="F968" s="682">
        <v>2021.0</v>
      </c>
      <c r="G968" s="683">
        <v>1.11E-5</v>
      </c>
      <c r="H968" s="683">
        <v>2.23E-7</v>
      </c>
      <c r="I968" s="684">
        <v>5.81E-5</v>
      </c>
      <c r="K968" s="693" t="s">
        <v>40</v>
      </c>
      <c r="L968" s="694" t="s">
        <v>449</v>
      </c>
      <c r="M968" s="694" t="s">
        <v>915</v>
      </c>
      <c r="N968" s="694" t="s">
        <v>926</v>
      </c>
      <c r="O968" s="694">
        <v>2021.0</v>
      </c>
      <c r="P968" s="694" t="s">
        <v>919</v>
      </c>
      <c r="Q968" s="695" t="s">
        <v>112</v>
      </c>
      <c r="R968" s="696">
        <v>72.72755246</v>
      </c>
      <c r="S968" s="696">
        <v>30.78541186</v>
      </c>
      <c r="T968" s="697">
        <v>142.6024587</v>
      </c>
      <c r="AB968" s="722"/>
      <c r="AF968" s="669"/>
    </row>
    <row r="969">
      <c r="A969" s="675"/>
      <c r="B969" s="681" t="s">
        <v>51</v>
      </c>
      <c r="C969" s="682" t="s">
        <v>915</v>
      </c>
      <c r="D969" s="682" t="s">
        <v>922</v>
      </c>
      <c r="E969" s="682" t="s">
        <v>258</v>
      </c>
      <c r="F969" s="682">
        <v>2021.0</v>
      </c>
      <c r="G969" s="683">
        <v>7.3E-6</v>
      </c>
      <c r="H969" s="683">
        <v>2.09E-7</v>
      </c>
      <c r="I969" s="684">
        <v>3.74E-5</v>
      </c>
      <c r="K969" s="693" t="s">
        <v>41</v>
      </c>
      <c r="L969" s="694" t="s">
        <v>449</v>
      </c>
      <c r="M969" s="694" t="s">
        <v>915</v>
      </c>
      <c r="N969" s="694" t="s">
        <v>918</v>
      </c>
      <c r="O969" s="694">
        <v>2021.0</v>
      </c>
      <c r="P969" s="694" t="s">
        <v>919</v>
      </c>
      <c r="Q969" s="695" t="s">
        <v>112</v>
      </c>
      <c r="R969" s="696">
        <v>78.31187822</v>
      </c>
      <c r="S969" s="696">
        <v>21.21962138</v>
      </c>
      <c r="T969" s="697">
        <v>178.1547934</v>
      </c>
      <c r="AB969" s="722"/>
      <c r="AF969" s="669"/>
    </row>
    <row r="970">
      <c r="A970" s="675"/>
      <c r="B970" s="681" t="s">
        <v>51</v>
      </c>
      <c r="C970" s="682" t="s">
        <v>915</v>
      </c>
      <c r="D970" s="682" t="s">
        <v>924</v>
      </c>
      <c r="E970" s="682" t="s">
        <v>258</v>
      </c>
      <c r="F970" s="682">
        <v>2021.0</v>
      </c>
      <c r="G970" s="683">
        <v>4.08E-5</v>
      </c>
      <c r="H970" s="683">
        <v>1.17E-6</v>
      </c>
      <c r="I970" s="684">
        <v>2.1294E-4</v>
      </c>
      <c r="K970" s="693" t="s">
        <v>41</v>
      </c>
      <c r="L970" s="694" t="s">
        <v>449</v>
      </c>
      <c r="M970" s="694" t="s">
        <v>915</v>
      </c>
      <c r="N970" s="694" t="s">
        <v>923</v>
      </c>
      <c r="O970" s="694">
        <v>2021.0</v>
      </c>
      <c r="P970" s="694" t="s">
        <v>919</v>
      </c>
      <c r="Q970" s="695" t="s">
        <v>112</v>
      </c>
      <c r="R970" s="696">
        <v>22.41188221</v>
      </c>
      <c r="S970" s="696">
        <v>11.14754624</v>
      </c>
      <c r="T970" s="697">
        <v>39.87403561</v>
      </c>
      <c r="AB970" s="722"/>
      <c r="AF970" s="669"/>
    </row>
    <row r="971">
      <c r="A971" s="675"/>
      <c r="B971" s="681" t="s">
        <v>51</v>
      </c>
      <c r="C971" s="682" t="s">
        <v>915</v>
      </c>
      <c r="D971" s="682" t="s">
        <v>926</v>
      </c>
      <c r="E971" s="682" t="s">
        <v>258</v>
      </c>
      <c r="F971" s="682">
        <v>2021.0</v>
      </c>
      <c r="G971" s="683">
        <v>2.6046E-4</v>
      </c>
      <c r="H971" s="683">
        <v>8.38E-6</v>
      </c>
      <c r="I971" s="684">
        <v>0.001334723</v>
      </c>
      <c r="K971" s="693" t="s">
        <v>41</v>
      </c>
      <c r="L971" s="694" t="s">
        <v>449</v>
      </c>
      <c r="M971" s="694" t="s">
        <v>915</v>
      </c>
      <c r="N971" s="694" t="s">
        <v>925</v>
      </c>
      <c r="O971" s="694">
        <v>2021.0</v>
      </c>
      <c r="P971" s="694" t="s">
        <v>919</v>
      </c>
      <c r="Q971" s="695" t="s">
        <v>112</v>
      </c>
      <c r="R971" s="696">
        <v>11.73715441</v>
      </c>
      <c r="S971" s="696">
        <v>5.958708525</v>
      </c>
      <c r="T971" s="697">
        <v>22.05674526</v>
      </c>
      <c r="AB971" s="722"/>
      <c r="AF971" s="669"/>
    </row>
    <row r="972">
      <c r="A972" s="675"/>
      <c r="B972" s="681" t="s">
        <v>52</v>
      </c>
      <c r="C972" s="682" t="s">
        <v>915</v>
      </c>
      <c r="D972" s="682" t="s">
        <v>916</v>
      </c>
      <c r="E972" s="682" t="s">
        <v>258</v>
      </c>
      <c r="F972" s="682">
        <v>2021.0</v>
      </c>
      <c r="G972" s="683">
        <v>1.12E-5</v>
      </c>
      <c r="H972" s="683">
        <v>1.64E-7</v>
      </c>
      <c r="I972" s="684">
        <v>5.51E-5</v>
      </c>
      <c r="K972" s="693" t="s">
        <v>41</v>
      </c>
      <c r="L972" s="694" t="s">
        <v>449</v>
      </c>
      <c r="M972" s="694" t="s">
        <v>915</v>
      </c>
      <c r="N972" s="694" t="s">
        <v>927</v>
      </c>
      <c r="O972" s="694">
        <v>2021.0</v>
      </c>
      <c r="P972" s="694" t="s">
        <v>919</v>
      </c>
      <c r="Q972" s="695" t="s">
        <v>112</v>
      </c>
      <c r="R972" s="696">
        <v>90.56929471</v>
      </c>
      <c r="S972" s="696">
        <v>31.49899169</v>
      </c>
      <c r="T972" s="697">
        <v>182.519852</v>
      </c>
      <c r="AB972" s="722"/>
      <c r="AF972" s="669"/>
    </row>
    <row r="973">
      <c r="A973" s="675"/>
      <c r="B973" s="681" t="s">
        <v>52</v>
      </c>
      <c r="C973" s="682" t="s">
        <v>915</v>
      </c>
      <c r="D973" s="682" t="s">
        <v>922</v>
      </c>
      <c r="E973" s="682" t="s">
        <v>258</v>
      </c>
      <c r="F973" s="682">
        <v>2021.0</v>
      </c>
      <c r="G973" s="683">
        <v>8.41E-6</v>
      </c>
      <c r="H973" s="683">
        <v>1.55E-7</v>
      </c>
      <c r="I973" s="684">
        <v>3.89E-5</v>
      </c>
      <c r="K973" s="693" t="s">
        <v>41</v>
      </c>
      <c r="L973" s="694" t="s">
        <v>449</v>
      </c>
      <c r="M973" s="694" t="s">
        <v>915</v>
      </c>
      <c r="N973" s="694" t="s">
        <v>926</v>
      </c>
      <c r="O973" s="694">
        <v>2021.0</v>
      </c>
      <c r="P973" s="694" t="s">
        <v>919</v>
      </c>
      <c r="Q973" s="695" t="s">
        <v>112</v>
      </c>
      <c r="R973" s="696">
        <v>203.0302095</v>
      </c>
      <c r="S973" s="696">
        <v>79.59303529</v>
      </c>
      <c r="T973" s="697">
        <v>392.2031487</v>
      </c>
      <c r="AB973" s="722"/>
      <c r="AF973" s="669"/>
    </row>
    <row r="974">
      <c r="A974" s="675"/>
      <c r="B974" s="681" t="s">
        <v>52</v>
      </c>
      <c r="C974" s="682" t="s">
        <v>915</v>
      </c>
      <c r="D974" s="682" t="s">
        <v>924</v>
      </c>
      <c r="E974" s="682" t="s">
        <v>258</v>
      </c>
      <c r="F974" s="682">
        <v>2021.0</v>
      </c>
      <c r="G974" s="683">
        <v>5.01E-5</v>
      </c>
      <c r="H974" s="683">
        <v>1.07E-6</v>
      </c>
      <c r="I974" s="684">
        <v>2.33384E-4</v>
      </c>
      <c r="K974" s="693" t="s">
        <v>26</v>
      </c>
      <c r="L974" s="694" t="s">
        <v>449</v>
      </c>
      <c r="M974" s="694" t="s">
        <v>915</v>
      </c>
      <c r="N974" s="694" t="s">
        <v>918</v>
      </c>
      <c r="O974" s="694">
        <v>2021.0</v>
      </c>
      <c r="P974" s="694" t="s">
        <v>919</v>
      </c>
      <c r="Q974" s="695" t="s">
        <v>112</v>
      </c>
      <c r="R974" s="696">
        <v>1137.456056</v>
      </c>
      <c r="S974" s="696">
        <v>582.704782</v>
      </c>
      <c r="T974" s="697">
        <v>2062.751678</v>
      </c>
      <c r="AB974" s="722"/>
      <c r="AF974" s="669"/>
    </row>
    <row r="975">
      <c r="A975" s="675"/>
      <c r="B975" s="681" t="s">
        <v>52</v>
      </c>
      <c r="C975" s="682" t="s">
        <v>915</v>
      </c>
      <c r="D975" s="682" t="s">
        <v>926</v>
      </c>
      <c r="E975" s="682" t="s">
        <v>258</v>
      </c>
      <c r="F975" s="682">
        <v>2021.0</v>
      </c>
      <c r="G975" s="683">
        <v>3.33012E-4</v>
      </c>
      <c r="H975" s="683">
        <v>8.95E-6</v>
      </c>
      <c r="I975" s="684">
        <v>0.001480281</v>
      </c>
      <c r="K975" s="693" t="s">
        <v>26</v>
      </c>
      <c r="L975" s="694" t="s">
        <v>449</v>
      </c>
      <c r="M975" s="694" t="s">
        <v>915</v>
      </c>
      <c r="N975" s="694" t="s">
        <v>923</v>
      </c>
      <c r="O975" s="694">
        <v>2021.0</v>
      </c>
      <c r="P975" s="694" t="s">
        <v>919</v>
      </c>
      <c r="Q975" s="695" t="s">
        <v>112</v>
      </c>
      <c r="R975" s="696">
        <v>106.4141194</v>
      </c>
      <c r="S975" s="696">
        <v>56.26824209</v>
      </c>
      <c r="T975" s="697">
        <v>173.5054566</v>
      </c>
      <c r="AB975" s="722"/>
      <c r="AF975" s="669"/>
    </row>
    <row r="976">
      <c r="A976" s="675"/>
      <c r="B976" s="681" t="s">
        <v>28</v>
      </c>
      <c r="C976" s="682" t="s">
        <v>915</v>
      </c>
      <c r="D976" s="682" t="s">
        <v>916</v>
      </c>
      <c r="E976" s="682" t="s">
        <v>258</v>
      </c>
      <c r="F976" s="682">
        <v>2021.0</v>
      </c>
      <c r="G976" s="683">
        <v>3.78E-5</v>
      </c>
      <c r="H976" s="683">
        <v>6.23E-7</v>
      </c>
      <c r="I976" s="684">
        <v>2.00176E-4</v>
      </c>
      <c r="K976" s="693" t="s">
        <v>26</v>
      </c>
      <c r="L976" s="694" t="s">
        <v>449</v>
      </c>
      <c r="M976" s="694" t="s">
        <v>915</v>
      </c>
      <c r="N976" s="694" t="s">
        <v>925</v>
      </c>
      <c r="O976" s="694">
        <v>2021.0</v>
      </c>
      <c r="P976" s="694" t="s">
        <v>919</v>
      </c>
      <c r="Q976" s="695" t="s">
        <v>112</v>
      </c>
      <c r="R976" s="696">
        <v>52.03234816</v>
      </c>
      <c r="S976" s="696">
        <v>27.81238107</v>
      </c>
      <c r="T976" s="697">
        <v>87.18304828</v>
      </c>
      <c r="AB976" s="722"/>
      <c r="AF976" s="669"/>
    </row>
    <row r="977">
      <c r="A977" s="675"/>
      <c r="B977" s="681" t="s">
        <v>28</v>
      </c>
      <c r="C977" s="682" t="s">
        <v>915</v>
      </c>
      <c r="D977" s="682" t="s">
        <v>922</v>
      </c>
      <c r="E977" s="682" t="s">
        <v>258</v>
      </c>
      <c r="F977" s="682">
        <v>2021.0</v>
      </c>
      <c r="G977" s="683">
        <v>3.85E-5</v>
      </c>
      <c r="H977" s="683">
        <v>8.26E-7</v>
      </c>
      <c r="I977" s="684">
        <v>1.86135E-4</v>
      </c>
      <c r="K977" s="693" t="s">
        <v>26</v>
      </c>
      <c r="L977" s="694" t="s">
        <v>449</v>
      </c>
      <c r="M977" s="694" t="s">
        <v>915</v>
      </c>
      <c r="N977" s="694" t="s">
        <v>927</v>
      </c>
      <c r="O977" s="694">
        <v>2021.0</v>
      </c>
      <c r="P977" s="694" t="s">
        <v>919</v>
      </c>
      <c r="Q977" s="695" t="s">
        <v>112</v>
      </c>
      <c r="R977" s="696">
        <v>443.2916408</v>
      </c>
      <c r="S977" s="696">
        <v>269.1088989</v>
      </c>
      <c r="T977" s="697">
        <v>731.3323922</v>
      </c>
      <c r="AB977" s="722"/>
      <c r="AF977" s="669"/>
    </row>
    <row r="978">
      <c r="A978" s="675"/>
      <c r="B978" s="681" t="s">
        <v>28</v>
      </c>
      <c r="C978" s="682" t="s">
        <v>915</v>
      </c>
      <c r="D978" s="682" t="s">
        <v>924</v>
      </c>
      <c r="E978" s="682" t="s">
        <v>258</v>
      </c>
      <c r="F978" s="682">
        <v>2021.0</v>
      </c>
      <c r="G978" s="683">
        <v>2.06465E-4</v>
      </c>
      <c r="H978" s="683">
        <v>4.1E-6</v>
      </c>
      <c r="I978" s="684">
        <v>0.001030301</v>
      </c>
      <c r="K978" s="693" t="s">
        <v>26</v>
      </c>
      <c r="L978" s="694" t="s">
        <v>449</v>
      </c>
      <c r="M978" s="694" t="s">
        <v>915</v>
      </c>
      <c r="N978" s="694" t="s">
        <v>926</v>
      </c>
      <c r="O978" s="694">
        <v>2021.0</v>
      </c>
      <c r="P978" s="694" t="s">
        <v>919</v>
      </c>
      <c r="Q978" s="695" t="s">
        <v>112</v>
      </c>
      <c r="R978" s="696">
        <v>1739.194164</v>
      </c>
      <c r="S978" s="696">
        <v>1031.69068</v>
      </c>
      <c r="T978" s="697">
        <v>2847.363852</v>
      </c>
      <c r="AB978" s="722"/>
      <c r="AF978" s="669"/>
    </row>
    <row r="979">
      <c r="A979" s="675"/>
      <c r="B979" s="681" t="s">
        <v>28</v>
      </c>
      <c r="C979" s="682" t="s">
        <v>915</v>
      </c>
      <c r="D979" s="682" t="s">
        <v>926</v>
      </c>
      <c r="E979" s="682" t="s">
        <v>258</v>
      </c>
      <c r="F979" s="682">
        <v>2021.0</v>
      </c>
      <c r="G979" s="683">
        <v>0.001715755</v>
      </c>
      <c r="H979" s="683">
        <v>6.57E-5</v>
      </c>
      <c r="I979" s="684">
        <v>0.00746687</v>
      </c>
      <c r="K979" s="693" t="s">
        <v>42</v>
      </c>
      <c r="L979" s="694" t="s">
        <v>449</v>
      </c>
      <c r="M979" s="694" t="s">
        <v>915</v>
      </c>
      <c r="N979" s="694" t="s">
        <v>918</v>
      </c>
      <c r="O979" s="694">
        <v>2021.0</v>
      </c>
      <c r="P979" s="694" t="s">
        <v>919</v>
      </c>
      <c r="Q979" s="695" t="s">
        <v>112</v>
      </c>
      <c r="R979" s="696">
        <v>18.81237994</v>
      </c>
      <c r="S979" s="696">
        <v>6.696107927</v>
      </c>
      <c r="T979" s="697">
        <v>38.33232252</v>
      </c>
      <c r="AB979" s="722"/>
      <c r="AF979" s="669"/>
    </row>
    <row r="980">
      <c r="A980" s="675"/>
      <c r="B980" s="681" t="s">
        <v>53</v>
      </c>
      <c r="C980" s="682" t="s">
        <v>915</v>
      </c>
      <c r="D980" s="682" t="s">
        <v>916</v>
      </c>
      <c r="E980" s="682" t="s">
        <v>258</v>
      </c>
      <c r="F980" s="682">
        <v>2021.0</v>
      </c>
      <c r="G980" s="683">
        <v>7.78E-6</v>
      </c>
      <c r="H980" s="683">
        <v>1.3E-7</v>
      </c>
      <c r="I980" s="684">
        <v>4.01E-5</v>
      </c>
      <c r="K980" s="693" t="s">
        <v>42</v>
      </c>
      <c r="L980" s="694" t="s">
        <v>449</v>
      </c>
      <c r="M980" s="694" t="s">
        <v>915</v>
      </c>
      <c r="N980" s="694" t="s">
        <v>923</v>
      </c>
      <c r="O980" s="694">
        <v>2021.0</v>
      </c>
      <c r="P980" s="694" t="s">
        <v>919</v>
      </c>
      <c r="Q980" s="695" t="s">
        <v>112</v>
      </c>
      <c r="R980" s="696">
        <v>2.930334988</v>
      </c>
      <c r="S980" s="696">
        <v>1.541250352</v>
      </c>
      <c r="T980" s="697">
        <v>4.848987663</v>
      </c>
      <c r="AB980" s="722"/>
      <c r="AF980" s="669"/>
    </row>
    <row r="981">
      <c r="A981" s="675"/>
      <c r="B981" s="681" t="s">
        <v>53</v>
      </c>
      <c r="C981" s="682" t="s">
        <v>915</v>
      </c>
      <c r="D981" s="682" t="s">
        <v>922</v>
      </c>
      <c r="E981" s="682" t="s">
        <v>258</v>
      </c>
      <c r="F981" s="682">
        <v>2021.0</v>
      </c>
      <c r="G981" s="683">
        <v>5.45E-6</v>
      </c>
      <c r="H981" s="683">
        <v>1.11E-7</v>
      </c>
      <c r="I981" s="684">
        <v>2.73E-5</v>
      </c>
      <c r="K981" s="693" t="s">
        <v>42</v>
      </c>
      <c r="L981" s="694" t="s">
        <v>449</v>
      </c>
      <c r="M981" s="694" t="s">
        <v>915</v>
      </c>
      <c r="N981" s="694" t="s">
        <v>925</v>
      </c>
      <c r="O981" s="694">
        <v>2021.0</v>
      </c>
      <c r="P981" s="694" t="s">
        <v>919</v>
      </c>
      <c r="Q981" s="695" t="s">
        <v>112</v>
      </c>
      <c r="R981" s="696">
        <v>1.616658064</v>
      </c>
      <c r="S981" s="696">
        <v>0.860511752</v>
      </c>
      <c r="T981" s="697">
        <v>2.939568458</v>
      </c>
      <c r="AB981" s="722"/>
      <c r="AF981" s="669"/>
    </row>
    <row r="982">
      <c r="A982" s="675"/>
      <c r="B982" s="681" t="s">
        <v>53</v>
      </c>
      <c r="C982" s="682" t="s">
        <v>915</v>
      </c>
      <c r="D982" s="682" t="s">
        <v>924</v>
      </c>
      <c r="E982" s="682" t="s">
        <v>258</v>
      </c>
      <c r="F982" s="682">
        <v>2021.0</v>
      </c>
      <c r="G982" s="683">
        <v>3.0E-5</v>
      </c>
      <c r="H982" s="683">
        <v>7.28E-7</v>
      </c>
      <c r="I982" s="684">
        <v>1.3572E-4</v>
      </c>
      <c r="K982" s="693" t="s">
        <v>42</v>
      </c>
      <c r="L982" s="694" t="s">
        <v>449</v>
      </c>
      <c r="M982" s="694" t="s">
        <v>915</v>
      </c>
      <c r="N982" s="694" t="s">
        <v>927</v>
      </c>
      <c r="O982" s="694">
        <v>2021.0</v>
      </c>
      <c r="P982" s="694" t="s">
        <v>919</v>
      </c>
      <c r="Q982" s="695" t="s">
        <v>112</v>
      </c>
      <c r="R982" s="696">
        <v>11.71438266</v>
      </c>
      <c r="S982" s="696">
        <v>5.25577306</v>
      </c>
      <c r="T982" s="697">
        <v>21.21690255</v>
      </c>
      <c r="AB982" s="722"/>
      <c r="AF982" s="669"/>
    </row>
    <row r="983">
      <c r="A983" s="675"/>
      <c r="B983" s="681" t="s">
        <v>53</v>
      </c>
      <c r="C983" s="682" t="s">
        <v>915</v>
      </c>
      <c r="D983" s="682" t="s">
        <v>926</v>
      </c>
      <c r="E983" s="682" t="s">
        <v>258</v>
      </c>
      <c r="F983" s="682">
        <v>2021.0</v>
      </c>
      <c r="G983" s="683">
        <v>1.86305E-4</v>
      </c>
      <c r="H983" s="683">
        <v>5.17E-6</v>
      </c>
      <c r="I983" s="684">
        <v>8.07224E-4</v>
      </c>
      <c r="K983" s="693" t="s">
        <v>42</v>
      </c>
      <c r="L983" s="694" t="s">
        <v>449</v>
      </c>
      <c r="M983" s="694" t="s">
        <v>915</v>
      </c>
      <c r="N983" s="694" t="s">
        <v>926</v>
      </c>
      <c r="O983" s="694">
        <v>2021.0</v>
      </c>
      <c r="P983" s="694" t="s">
        <v>919</v>
      </c>
      <c r="Q983" s="695" t="s">
        <v>112</v>
      </c>
      <c r="R983" s="696">
        <v>35.07375564</v>
      </c>
      <c r="S983" s="696">
        <v>15.75941655</v>
      </c>
      <c r="T983" s="697">
        <v>65.42312365</v>
      </c>
      <c r="AB983" s="722"/>
      <c r="AF983" s="669"/>
    </row>
    <row r="984">
      <c r="A984" s="675"/>
      <c r="B984" s="681" t="s">
        <v>30</v>
      </c>
      <c r="C984" s="682" t="s">
        <v>915</v>
      </c>
      <c r="D984" s="682" t="s">
        <v>916</v>
      </c>
      <c r="E984" s="682" t="s">
        <v>258</v>
      </c>
      <c r="F984" s="682">
        <v>2021.0</v>
      </c>
      <c r="G984" s="683">
        <v>6.91E-5</v>
      </c>
      <c r="H984" s="683">
        <v>1.39E-6</v>
      </c>
      <c r="I984" s="684">
        <v>3.71038E-4</v>
      </c>
      <c r="K984" s="693" t="s">
        <v>44</v>
      </c>
      <c r="L984" s="694" t="s">
        <v>449</v>
      </c>
      <c r="M984" s="694" t="s">
        <v>915</v>
      </c>
      <c r="N984" s="694" t="s">
        <v>918</v>
      </c>
      <c r="O984" s="694">
        <v>2021.0</v>
      </c>
      <c r="P984" s="694" t="s">
        <v>919</v>
      </c>
      <c r="Q984" s="695" t="s">
        <v>112</v>
      </c>
      <c r="R984" s="696">
        <v>206.0629385</v>
      </c>
      <c r="S984" s="696">
        <v>76.74994462</v>
      </c>
      <c r="T984" s="697">
        <v>437.9252465</v>
      </c>
      <c r="AB984" s="722"/>
      <c r="AF984" s="669"/>
    </row>
    <row r="985">
      <c r="A985" s="675"/>
      <c r="B985" s="681" t="s">
        <v>30</v>
      </c>
      <c r="C985" s="682" t="s">
        <v>915</v>
      </c>
      <c r="D985" s="682" t="s">
        <v>922</v>
      </c>
      <c r="E985" s="682" t="s">
        <v>258</v>
      </c>
      <c r="F985" s="682">
        <v>2021.0</v>
      </c>
      <c r="G985" s="683">
        <v>5.41E-5</v>
      </c>
      <c r="H985" s="683">
        <v>1.21E-6</v>
      </c>
      <c r="I985" s="684">
        <v>3.04852E-4</v>
      </c>
      <c r="K985" s="693" t="s">
        <v>44</v>
      </c>
      <c r="L985" s="694" t="s">
        <v>449</v>
      </c>
      <c r="M985" s="694" t="s">
        <v>915</v>
      </c>
      <c r="N985" s="694" t="s">
        <v>923</v>
      </c>
      <c r="O985" s="694">
        <v>2021.0</v>
      </c>
      <c r="P985" s="694" t="s">
        <v>919</v>
      </c>
      <c r="Q985" s="695" t="s">
        <v>112</v>
      </c>
      <c r="R985" s="696">
        <v>68.72042112</v>
      </c>
      <c r="S985" s="696">
        <v>34.05654105</v>
      </c>
      <c r="T985" s="697">
        <v>121.0454746</v>
      </c>
      <c r="AB985" s="722"/>
      <c r="AF985" s="669"/>
    </row>
    <row r="986">
      <c r="A986" s="675"/>
      <c r="B986" s="681" t="s">
        <v>30</v>
      </c>
      <c r="C986" s="682" t="s">
        <v>915</v>
      </c>
      <c r="D986" s="682" t="s">
        <v>924</v>
      </c>
      <c r="E986" s="682" t="s">
        <v>258</v>
      </c>
      <c r="F986" s="682">
        <v>2021.0</v>
      </c>
      <c r="G986" s="683">
        <v>2.90793E-4</v>
      </c>
      <c r="H986" s="683">
        <v>6.29E-6</v>
      </c>
      <c r="I986" s="684">
        <v>0.001369895</v>
      </c>
      <c r="K986" s="693" t="s">
        <v>44</v>
      </c>
      <c r="L986" s="694" t="s">
        <v>449</v>
      </c>
      <c r="M986" s="694" t="s">
        <v>915</v>
      </c>
      <c r="N986" s="694" t="s">
        <v>925</v>
      </c>
      <c r="O986" s="694">
        <v>2021.0</v>
      </c>
      <c r="P986" s="694" t="s">
        <v>919</v>
      </c>
      <c r="Q986" s="695" t="s">
        <v>112</v>
      </c>
      <c r="R986" s="696">
        <v>37.0440206</v>
      </c>
      <c r="S986" s="696">
        <v>18.72965213</v>
      </c>
      <c r="T986" s="697">
        <v>66.94239386</v>
      </c>
      <c r="AB986" s="722"/>
      <c r="AF986" s="669"/>
    </row>
    <row r="987">
      <c r="A987" s="675"/>
      <c r="B987" s="681" t="s">
        <v>30</v>
      </c>
      <c r="C987" s="682" t="s">
        <v>915</v>
      </c>
      <c r="D987" s="682" t="s">
        <v>926</v>
      </c>
      <c r="E987" s="682" t="s">
        <v>258</v>
      </c>
      <c r="F987" s="682">
        <v>2021.0</v>
      </c>
      <c r="G987" s="683">
        <v>0.002305103</v>
      </c>
      <c r="H987" s="683">
        <v>8.01E-5</v>
      </c>
      <c r="I987" s="684">
        <v>0.009312211</v>
      </c>
      <c r="K987" s="693" t="s">
        <v>44</v>
      </c>
      <c r="L987" s="694" t="s">
        <v>449</v>
      </c>
      <c r="M987" s="694" t="s">
        <v>915</v>
      </c>
      <c r="N987" s="694" t="s">
        <v>927</v>
      </c>
      <c r="O987" s="694">
        <v>2021.0</v>
      </c>
      <c r="P987" s="694" t="s">
        <v>919</v>
      </c>
      <c r="Q987" s="695" t="s">
        <v>112</v>
      </c>
      <c r="R987" s="696">
        <v>317.0557522</v>
      </c>
      <c r="S987" s="696">
        <v>161.4128011</v>
      </c>
      <c r="T987" s="697">
        <v>573.2317454</v>
      </c>
      <c r="AB987" s="722"/>
      <c r="AF987" s="669"/>
    </row>
    <row r="988">
      <c r="A988" s="675"/>
      <c r="B988" s="681" t="s">
        <v>31</v>
      </c>
      <c r="C988" s="682" t="s">
        <v>915</v>
      </c>
      <c r="D988" s="682" t="s">
        <v>916</v>
      </c>
      <c r="E988" s="682" t="s">
        <v>258</v>
      </c>
      <c r="F988" s="682">
        <v>2021.0</v>
      </c>
      <c r="G988" s="683">
        <v>3.12E-5</v>
      </c>
      <c r="H988" s="683">
        <v>6.02E-7</v>
      </c>
      <c r="I988" s="684">
        <v>1.53684E-4</v>
      </c>
      <c r="K988" s="693" t="s">
        <v>44</v>
      </c>
      <c r="L988" s="694" t="s">
        <v>449</v>
      </c>
      <c r="M988" s="694" t="s">
        <v>915</v>
      </c>
      <c r="N988" s="694" t="s">
        <v>926</v>
      </c>
      <c r="O988" s="694">
        <v>2021.0</v>
      </c>
      <c r="P988" s="694" t="s">
        <v>919</v>
      </c>
      <c r="Q988" s="695" t="s">
        <v>112</v>
      </c>
      <c r="R988" s="696">
        <v>628.8831324</v>
      </c>
      <c r="S988" s="696">
        <v>334.9813735</v>
      </c>
      <c r="T988" s="697">
        <v>1137.726237</v>
      </c>
      <c r="AB988" s="722"/>
      <c r="AF988" s="669"/>
    </row>
    <row r="989">
      <c r="A989" s="351"/>
      <c r="B989" s="681" t="s">
        <v>31</v>
      </c>
      <c r="C989" s="682" t="s">
        <v>915</v>
      </c>
      <c r="D989" s="682" t="s">
        <v>922</v>
      </c>
      <c r="E989" s="682" t="s">
        <v>258</v>
      </c>
      <c r="F989" s="682">
        <v>2021.0</v>
      </c>
      <c r="G989" s="683">
        <v>2.93E-5</v>
      </c>
      <c r="H989" s="683">
        <v>6.42E-7</v>
      </c>
      <c r="I989" s="684">
        <v>1.4508E-4</v>
      </c>
      <c r="K989" s="693" t="s">
        <v>45</v>
      </c>
      <c r="L989" s="694" t="s">
        <v>449</v>
      </c>
      <c r="M989" s="694" t="s">
        <v>915</v>
      </c>
      <c r="N989" s="694" t="s">
        <v>918</v>
      </c>
      <c r="O989" s="694">
        <v>2021.0</v>
      </c>
      <c r="P989" s="694" t="s">
        <v>919</v>
      </c>
      <c r="Q989" s="695" t="s">
        <v>112</v>
      </c>
      <c r="R989" s="696">
        <v>123.2562075</v>
      </c>
      <c r="S989" s="696">
        <v>47.59283259</v>
      </c>
      <c r="T989" s="697">
        <v>251.3061121</v>
      </c>
      <c r="AB989" s="722"/>
      <c r="AF989" s="669"/>
    </row>
    <row r="990">
      <c r="A990" s="351"/>
      <c r="B990" s="681" t="s">
        <v>31</v>
      </c>
      <c r="C990" s="682" t="s">
        <v>915</v>
      </c>
      <c r="D990" s="682" t="s">
        <v>924</v>
      </c>
      <c r="E990" s="682" t="s">
        <v>258</v>
      </c>
      <c r="F990" s="682">
        <v>2021.0</v>
      </c>
      <c r="G990" s="683">
        <v>1.72137E-4</v>
      </c>
      <c r="H990" s="683">
        <v>4.83E-6</v>
      </c>
      <c r="I990" s="684">
        <v>7.73166E-4</v>
      </c>
      <c r="K990" s="693" t="s">
        <v>45</v>
      </c>
      <c r="L990" s="694" t="s">
        <v>449</v>
      </c>
      <c r="M990" s="694" t="s">
        <v>915</v>
      </c>
      <c r="N990" s="694" t="s">
        <v>923</v>
      </c>
      <c r="O990" s="694">
        <v>2021.0</v>
      </c>
      <c r="P990" s="694" t="s">
        <v>919</v>
      </c>
      <c r="Q990" s="695" t="s">
        <v>112</v>
      </c>
      <c r="R990" s="696">
        <v>29.149782</v>
      </c>
      <c r="S990" s="696">
        <v>14.94781615</v>
      </c>
      <c r="T990" s="697">
        <v>48.57647989</v>
      </c>
      <c r="AB990" s="722"/>
    </row>
    <row r="991">
      <c r="A991" s="351"/>
      <c r="B991" s="681" t="s">
        <v>31</v>
      </c>
      <c r="C991" s="682" t="s">
        <v>915</v>
      </c>
      <c r="D991" s="682" t="s">
        <v>926</v>
      </c>
      <c r="E991" s="682" t="s">
        <v>258</v>
      </c>
      <c r="F991" s="682">
        <v>2021.0</v>
      </c>
      <c r="G991" s="683">
        <v>0.001196296</v>
      </c>
      <c r="H991" s="683">
        <v>4.3E-5</v>
      </c>
      <c r="I991" s="684">
        <v>0.005604784</v>
      </c>
      <c r="K991" s="693" t="s">
        <v>45</v>
      </c>
      <c r="L991" s="694" t="s">
        <v>449</v>
      </c>
      <c r="M991" s="694" t="s">
        <v>915</v>
      </c>
      <c r="N991" s="694" t="s">
        <v>925</v>
      </c>
      <c r="O991" s="694">
        <v>2021.0</v>
      </c>
      <c r="P991" s="694" t="s">
        <v>919</v>
      </c>
      <c r="Q991" s="695" t="s">
        <v>112</v>
      </c>
      <c r="R991" s="696">
        <v>17.84102987</v>
      </c>
      <c r="S991" s="696">
        <v>9.608764311</v>
      </c>
      <c r="T991" s="697">
        <v>30.34158756</v>
      </c>
      <c r="AB991" s="722"/>
    </row>
    <row r="992">
      <c r="A992" s="351"/>
      <c r="B992" s="681" t="s">
        <v>32</v>
      </c>
      <c r="C992" s="682" t="s">
        <v>915</v>
      </c>
      <c r="D992" s="682" t="s">
        <v>916</v>
      </c>
      <c r="E992" s="682" t="s">
        <v>258</v>
      </c>
      <c r="F992" s="682">
        <v>2021.0</v>
      </c>
      <c r="G992" s="683">
        <v>3.37E-5</v>
      </c>
      <c r="H992" s="683">
        <v>7.43E-7</v>
      </c>
      <c r="I992" s="684">
        <v>1.54572E-4</v>
      </c>
      <c r="K992" s="693" t="s">
        <v>45</v>
      </c>
      <c r="L992" s="694" t="s">
        <v>449</v>
      </c>
      <c r="M992" s="694" t="s">
        <v>915</v>
      </c>
      <c r="N992" s="694" t="s">
        <v>927</v>
      </c>
      <c r="O992" s="694">
        <v>2021.0</v>
      </c>
      <c r="P992" s="694" t="s">
        <v>919</v>
      </c>
      <c r="Q992" s="695" t="s">
        <v>112</v>
      </c>
      <c r="R992" s="696">
        <v>107.2171156</v>
      </c>
      <c r="S992" s="696">
        <v>55.77617324</v>
      </c>
      <c r="T992" s="697">
        <v>180.7969388</v>
      </c>
      <c r="AB992" s="722"/>
    </row>
    <row r="993">
      <c r="A993" s="351"/>
      <c r="B993" s="681" t="s">
        <v>32</v>
      </c>
      <c r="C993" s="682" t="s">
        <v>915</v>
      </c>
      <c r="D993" s="682" t="s">
        <v>922</v>
      </c>
      <c r="E993" s="682" t="s">
        <v>258</v>
      </c>
      <c r="F993" s="682">
        <v>2021.0</v>
      </c>
      <c r="G993" s="683">
        <v>3.67E-5</v>
      </c>
      <c r="H993" s="683">
        <v>9.73E-7</v>
      </c>
      <c r="I993" s="684">
        <v>1.65155E-4</v>
      </c>
      <c r="K993" s="693" t="s">
        <v>45</v>
      </c>
      <c r="L993" s="694" t="s">
        <v>449</v>
      </c>
      <c r="M993" s="694" t="s">
        <v>915</v>
      </c>
      <c r="N993" s="694" t="s">
        <v>926</v>
      </c>
      <c r="O993" s="694">
        <v>2021.0</v>
      </c>
      <c r="P993" s="694" t="s">
        <v>919</v>
      </c>
      <c r="Q993" s="695" t="s">
        <v>112</v>
      </c>
      <c r="R993" s="696">
        <v>277.464135</v>
      </c>
      <c r="S993" s="696">
        <v>146.7862429</v>
      </c>
      <c r="T993" s="697">
        <v>475.2081569</v>
      </c>
      <c r="AB993" s="722"/>
    </row>
    <row r="994">
      <c r="A994" s="351"/>
      <c r="B994" s="681" t="s">
        <v>32</v>
      </c>
      <c r="C994" s="682" t="s">
        <v>915</v>
      </c>
      <c r="D994" s="682" t="s">
        <v>924</v>
      </c>
      <c r="E994" s="682" t="s">
        <v>258</v>
      </c>
      <c r="F994" s="682">
        <v>2021.0</v>
      </c>
      <c r="G994" s="683">
        <v>1.77755E-4</v>
      </c>
      <c r="H994" s="683">
        <v>3.27E-6</v>
      </c>
      <c r="I994" s="684">
        <v>8.46603E-4</v>
      </c>
      <c r="K994" s="693" t="s">
        <v>46</v>
      </c>
      <c r="L994" s="694" t="s">
        <v>449</v>
      </c>
      <c r="M994" s="694" t="s">
        <v>915</v>
      </c>
      <c r="N994" s="694" t="s">
        <v>918</v>
      </c>
      <c r="O994" s="694">
        <v>2021.0</v>
      </c>
      <c r="P994" s="694" t="s">
        <v>919</v>
      </c>
      <c r="Q994" s="695" t="s">
        <v>112</v>
      </c>
      <c r="R994" s="696">
        <v>31.84175625</v>
      </c>
      <c r="S994" s="696">
        <v>11.05020284</v>
      </c>
      <c r="T994" s="697">
        <v>66.78193536</v>
      </c>
      <c r="AB994" s="722"/>
    </row>
    <row r="995">
      <c r="A995" s="351"/>
      <c r="B995" s="681" t="s">
        <v>32</v>
      </c>
      <c r="C995" s="682" t="s">
        <v>915</v>
      </c>
      <c r="D995" s="682" t="s">
        <v>926</v>
      </c>
      <c r="E995" s="682" t="s">
        <v>258</v>
      </c>
      <c r="F995" s="682">
        <v>2021.0</v>
      </c>
      <c r="G995" s="683">
        <v>0.001434608</v>
      </c>
      <c r="H995" s="683">
        <v>4.77E-5</v>
      </c>
      <c r="I995" s="684">
        <v>0.006059157</v>
      </c>
      <c r="K995" s="693" t="s">
        <v>46</v>
      </c>
      <c r="L995" s="694" t="s">
        <v>449</v>
      </c>
      <c r="M995" s="694" t="s">
        <v>915</v>
      </c>
      <c r="N995" s="694" t="s">
        <v>923</v>
      </c>
      <c r="O995" s="694">
        <v>2021.0</v>
      </c>
      <c r="P995" s="694" t="s">
        <v>919</v>
      </c>
      <c r="Q995" s="695" t="s">
        <v>112</v>
      </c>
      <c r="R995" s="696">
        <v>7.597028806</v>
      </c>
      <c r="S995" s="696">
        <v>4.010516272</v>
      </c>
      <c r="T995" s="697">
        <v>13.58432716</v>
      </c>
      <c r="AB995" s="722"/>
    </row>
    <row r="996">
      <c r="A996" s="351"/>
      <c r="B996" s="681" t="s">
        <v>33</v>
      </c>
      <c r="C996" s="682" t="s">
        <v>915</v>
      </c>
      <c r="D996" s="682" t="s">
        <v>916</v>
      </c>
      <c r="E996" s="682" t="s">
        <v>258</v>
      </c>
      <c r="F996" s="682">
        <v>2021.0</v>
      </c>
      <c r="G996" s="683">
        <v>5.12E-5</v>
      </c>
      <c r="H996" s="683">
        <v>1.15E-6</v>
      </c>
      <c r="I996" s="684">
        <v>2.56665E-4</v>
      </c>
      <c r="K996" s="693" t="s">
        <v>46</v>
      </c>
      <c r="L996" s="694" t="s">
        <v>449</v>
      </c>
      <c r="M996" s="694" t="s">
        <v>915</v>
      </c>
      <c r="N996" s="694" t="s">
        <v>925</v>
      </c>
      <c r="O996" s="694">
        <v>2021.0</v>
      </c>
      <c r="P996" s="694" t="s">
        <v>919</v>
      </c>
      <c r="Q996" s="695" t="s">
        <v>112</v>
      </c>
      <c r="R996" s="696">
        <v>4.592414057</v>
      </c>
      <c r="S996" s="696">
        <v>2.395804352</v>
      </c>
      <c r="T996" s="697">
        <v>8.15565514</v>
      </c>
      <c r="AB996" s="722"/>
    </row>
    <row r="997">
      <c r="A997" s="351"/>
      <c r="B997" s="681" t="s">
        <v>33</v>
      </c>
      <c r="C997" s="682" t="s">
        <v>915</v>
      </c>
      <c r="D997" s="682" t="s">
        <v>922</v>
      </c>
      <c r="E997" s="682" t="s">
        <v>258</v>
      </c>
      <c r="F997" s="682">
        <v>2021.0</v>
      </c>
      <c r="G997" s="683">
        <v>4.68E-5</v>
      </c>
      <c r="H997" s="683">
        <v>1.32E-6</v>
      </c>
      <c r="I997" s="684">
        <v>2.24941E-4</v>
      </c>
      <c r="K997" s="693" t="s">
        <v>46</v>
      </c>
      <c r="L997" s="694" t="s">
        <v>449</v>
      </c>
      <c r="M997" s="694" t="s">
        <v>915</v>
      </c>
      <c r="N997" s="694" t="s">
        <v>927</v>
      </c>
      <c r="O997" s="694">
        <v>2021.0</v>
      </c>
      <c r="P997" s="694" t="s">
        <v>919</v>
      </c>
      <c r="Q997" s="695" t="s">
        <v>112</v>
      </c>
      <c r="R997" s="696">
        <v>34.79645029</v>
      </c>
      <c r="S997" s="696">
        <v>15.05420602</v>
      </c>
      <c r="T997" s="697">
        <v>69.28337246</v>
      </c>
      <c r="AB997" s="722"/>
    </row>
    <row r="998">
      <c r="A998" s="351"/>
      <c r="B998" s="681" t="s">
        <v>33</v>
      </c>
      <c r="C998" s="682" t="s">
        <v>915</v>
      </c>
      <c r="D998" s="682" t="s">
        <v>924</v>
      </c>
      <c r="E998" s="682" t="s">
        <v>258</v>
      </c>
      <c r="F998" s="682">
        <v>2021.0</v>
      </c>
      <c r="G998" s="683">
        <v>2.45196E-4</v>
      </c>
      <c r="H998" s="683">
        <v>8.88E-6</v>
      </c>
      <c r="I998" s="684">
        <v>0.001079646</v>
      </c>
      <c r="K998" s="693" t="s">
        <v>46</v>
      </c>
      <c r="L998" s="694" t="s">
        <v>449</v>
      </c>
      <c r="M998" s="694" t="s">
        <v>915</v>
      </c>
      <c r="N998" s="694" t="s">
        <v>926</v>
      </c>
      <c r="O998" s="694">
        <v>2021.0</v>
      </c>
      <c r="P998" s="694" t="s">
        <v>919</v>
      </c>
      <c r="Q998" s="695" t="s">
        <v>112</v>
      </c>
      <c r="R998" s="696">
        <v>78.8276494</v>
      </c>
      <c r="S998" s="696">
        <v>34.82998637</v>
      </c>
      <c r="T998" s="697">
        <v>149.0683888</v>
      </c>
      <c r="AB998" s="722"/>
    </row>
    <row r="999">
      <c r="A999" s="351"/>
      <c r="B999" s="681" t="s">
        <v>33</v>
      </c>
      <c r="C999" s="682" t="s">
        <v>915</v>
      </c>
      <c r="D999" s="682" t="s">
        <v>926</v>
      </c>
      <c r="E999" s="682" t="s">
        <v>258</v>
      </c>
      <c r="F999" s="682">
        <v>2021.0</v>
      </c>
      <c r="G999" s="683">
        <v>0.001871217</v>
      </c>
      <c r="H999" s="683">
        <v>8.18E-5</v>
      </c>
      <c r="I999" s="684">
        <v>0.008240088</v>
      </c>
      <c r="K999" s="693" t="s">
        <v>47</v>
      </c>
      <c r="L999" s="694" t="s">
        <v>449</v>
      </c>
      <c r="M999" s="694" t="s">
        <v>915</v>
      </c>
      <c r="N999" s="694" t="s">
        <v>918</v>
      </c>
      <c r="O999" s="694">
        <v>2021.0</v>
      </c>
      <c r="P999" s="694" t="s">
        <v>919</v>
      </c>
      <c r="Q999" s="695" t="s">
        <v>112</v>
      </c>
      <c r="R999" s="696">
        <v>77.66442187</v>
      </c>
      <c r="S999" s="696">
        <v>22.03024821</v>
      </c>
      <c r="T999" s="697">
        <v>173.6780433</v>
      </c>
      <c r="AB999" s="722"/>
    </row>
    <row r="1000">
      <c r="A1000" s="351"/>
      <c r="B1000" s="681" t="s">
        <v>34</v>
      </c>
      <c r="C1000" s="682" t="s">
        <v>915</v>
      </c>
      <c r="D1000" s="682" t="s">
        <v>916</v>
      </c>
      <c r="E1000" s="682" t="s">
        <v>258</v>
      </c>
      <c r="F1000" s="682">
        <v>2021.0</v>
      </c>
      <c r="G1000" s="683">
        <v>5.8E-5</v>
      </c>
      <c r="H1000" s="683">
        <v>1.04E-6</v>
      </c>
      <c r="I1000" s="684">
        <v>3.00391E-4</v>
      </c>
      <c r="K1000" s="693" t="s">
        <v>47</v>
      </c>
      <c r="L1000" s="694" t="s">
        <v>449</v>
      </c>
      <c r="M1000" s="694" t="s">
        <v>915</v>
      </c>
      <c r="N1000" s="694" t="s">
        <v>923</v>
      </c>
      <c r="O1000" s="694">
        <v>2021.0</v>
      </c>
      <c r="P1000" s="694" t="s">
        <v>919</v>
      </c>
      <c r="Q1000" s="695" t="s">
        <v>112</v>
      </c>
      <c r="R1000" s="696">
        <v>22.0691039</v>
      </c>
      <c r="S1000" s="696">
        <v>11.01387952</v>
      </c>
      <c r="T1000" s="697">
        <v>37.56426389</v>
      </c>
      <c r="AB1000" s="722"/>
    </row>
    <row r="1001">
      <c r="A1001" s="351"/>
      <c r="B1001" s="681" t="s">
        <v>34</v>
      </c>
      <c r="C1001" s="682" t="s">
        <v>915</v>
      </c>
      <c r="D1001" s="682" t="s">
        <v>922</v>
      </c>
      <c r="E1001" s="682" t="s">
        <v>258</v>
      </c>
      <c r="F1001" s="682">
        <v>2021.0</v>
      </c>
      <c r="G1001" s="683">
        <v>5.17E-5</v>
      </c>
      <c r="H1001" s="683">
        <v>1.08E-6</v>
      </c>
      <c r="I1001" s="684">
        <v>2.54713E-4</v>
      </c>
      <c r="K1001" s="693" t="s">
        <v>47</v>
      </c>
      <c r="L1001" s="694" t="s">
        <v>449</v>
      </c>
      <c r="M1001" s="694" t="s">
        <v>915</v>
      </c>
      <c r="N1001" s="694" t="s">
        <v>925</v>
      </c>
      <c r="O1001" s="694">
        <v>2021.0</v>
      </c>
      <c r="P1001" s="694" t="s">
        <v>919</v>
      </c>
      <c r="Q1001" s="695" t="s">
        <v>112</v>
      </c>
      <c r="R1001" s="696">
        <v>14.38200631</v>
      </c>
      <c r="S1001" s="696">
        <v>7.275692132</v>
      </c>
      <c r="T1001" s="697">
        <v>26.61095295</v>
      </c>
      <c r="AB1001" s="722"/>
    </row>
    <row r="1002">
      <c r="A1002" s="351"/>
      <c r="B1002" s="681" t="s">
        <v>34</v>
      </c>
      <c r="C1002" s="682" t="s">
        <v>915</v>
      </c>
      <c r="D1002" s="682" t="s">
        <v>924</v>
      </c>
      <c r="E1002" s="682" t="s">
        <v>258</v>
      </c>
      <c r="F1002" s="682">
        <v>2021.0</v>
      </c>
      <c r="G1002" s="683">
        <v>2.7482E-4</v>
      </c>
      <c r="H1002" s="683">
        <v>6.47E-6</v>
      </c>
      <c r="I1002" s="684">
        <v>0.001247195</v>
      </c>
      <c r="K1002" s="693" t="s">
        <v>47</v>
      </c>
      <c r="L1002" s="694" t="s">
        <v>449</v>
      </c>
      <c r="M1002" s="694" t="s">
        <v>915</v>
      </c>
      <c r="N1002" s="694" t="s">
        <v>927</v>
      </c>
      <c r="O1002" s="694">
        <v>2021.0</v>
      </c>
      <c r="P1002" s="694" t="s">
        <v>919</v>
      </c>
      <c r="Q1002" s="695" t="s">
        <v>112</v>
      </c>
      <c r="R1002" s="696">
        <v>84.73219435</v>
      </c>
      <c r="S1002" s="696">
        <v>34.64760036</v>
      </c>
      <c r="T1002" s="697">
        <v>164.0475405</v>
      </c>
      <c r="AB1002" s="722"/>
    </row>
    <row r="1003">
      <c r="A1003" s="351"/>
      <c r="B1003" s="681" t="s">
        <v>34</v>
      </c>
      <c r="C1003" s="682" t="s">
        <v>915</v>
      </c>
      <c r="D1003" s="682" t="s">
        <v>926</v>
      </c>
      <c r="E1003" s="682" t="s">
        <v>258</v>
      </c>
      <c r="F1003" s="682">
        <v>2021.0</v>
      </c>
      <c r="G1003" s="683">
        <v>0.002022091</v>
      </c>
      <c r="H1003" s="683">
        <v>7.29E-5</v>
      </c>
      <c r="I1003" s="684">
        <v>0.008512251</v>
      </c>
      <c r="K1003" s="693" t="s">
        <v>47</v>
      </c>
      <c r="L1003" s="694" t="s">
        <v>449</v>
      </c>
      <c r="M1003" s="694" t="s">
        <v>915</v>
      </c>
      <c r="N1003" s="694" t="s">
        <v>926</v>
      </c>
      <c r="O1003" s="694">
        <v>2021.0</v>
      </c>
      <c r="P1003" s="694" t="s">
        <v>919</v>
      </c>
      <c r="Q1003" s="695" t="s">
        <v>112</v>
      </c>
      <c r="R1003" s="696">
        <v>198.8477264</v>
      </c>
      <c r="S1003" s="696">
        <v>84.87890045</v>
      </c>
      <c r="T1003" s="697">
        <v>373.4726524</v>
      </c>
      <c r="AB1003" s="722"/>
    </row>
    <row r="1004">
      <c r="A1004" s="351"/>
      <c r="B1004" s="681" t="s">
        <v>54</v>
      </c>
      <c r="C1004" s="682" t="s">
        <v>915</v>
      </c>
      <c r="D1004" s="682" t="s">
        <v>916</v>
      </c>
      <c r="E1004" s="682" t="s">
        <v>258</v>
      </c>
      <c r="F1004" s="682">
        <v>2021.0</v>
      </c>
      <c r="G1004" s="683">
        <v>4.61E-5</v>
      </c>
      <c r="H1004" s="683">
        <v>1.19E-6</v>
      </c>
      <c r="I1004" s="684">
        <v>2.11118E-4</v>
      </c>
      <c r="K1004" s="693" t="s">
        <v>48</v>
      </c>
      <c r="L1004" s="694" t="s">
        <v>449</v>
      </c>
      <c r="M1004" s="694" t="s">
        <v>915</v>
      </c>
      <c r="N1004" s="694" t="s">
        <v>918</v>
      </c>
      <c r="O1004" s="694">
        <v>2021.0</v>
      </c>
      <c r="P1004" s="694" t="s">
        <v>919</v>
      </c>
      <c r="Q1004" s="695" t="s">
        <v>112</v>
      </c>
      <c r="R1004" s="696">
        <v>64.08416195</v>
      </c>
      <c r="S1004" s="696">
        <v>20.09797927</v>
      </c>
      <c r="T1004" s="697">
        <v>147.3230688</v>
      </c>
      <c r="AB1004" s="722"/>
    </row>
    <row r="1005">
      <c r="A1005" s="351"/>
      <c r="B1005" s="681" t="s">
        <v>54</v>
      </c>
      <c r="C1005" s="682" t="s">
        <v>915</v>
      </c>
      <c r="D1005" s="682" t="s">
        <v>922</v>
      </c>
      <c r="E1005" s="682" t="s">
        <v>258</v>
      </c>
      <c r="F1005" s="682">
        <v>2021.0</v>
      </c>
      <c r="G1005" s="683">
        <v>2.71E-5</v>
      </c>
      <c r="H1005" s="683">
        <v>7.74E-7</v>
      </c>
      <c r="I1005" s="684">
        <v>1.16753E-4</v>
      </c>
      <c r="K1005" s="693" t="s">
        <v>48</v>
      </c>
      <c r="L1005" s="694" t="s">
        <v>449</v>
      </c>
      <c r="M1005" s="694" t="s">
        <v>915</v>
      </c>
      <c r="N1005" s="694" t="s">
        <v>923</v>
      </c>
      <c r="O1005" s="694">
        <v>2021.0</v>
      </c>
      <c r="P1005" s="694" t="s">
        <v>919</v>
      </c>
      <c r="Q1005" s="695" t="s">
        <v>112</v>
      </c>
      <c r="R1005" s="696">
        <v>26.03058789</v>
      </c>
      <c r="S1005" s="696">
        <v>13.275333</v>
      </c>
      <c r="T1005" s="697">
        <v>44.91491251</v>
      </c>
      <c r="AB1005" s="722"/>
    </row>
    <row r="1006">
      <c r="A1006" s="351"/>
      <c r="B1006" s="681" t="s">
        <v>54</v>
      </c>
      <c r="C1006" s="682" t="s">
        <v>915</v>
      </c>
      <c r="D1006" s="682" t="s">
        <v>924</v>
      </c>
      <c r="E1006" s="682" t="s">
        <v>258</v>
      </c>
      <c r="F1006" s="682">
        <v>2021.0</v>
      </c>
      <c r="G1006" s="683">
        <v>2.07429E-4</v>
      </c>
      <c r="H1006" s="683">
        <v>6.2E-6</v>
      </c>
      <c r="I1006" s="684">
        <v>8.94611E-4</v>
      </c>
      <c r="K1006" s="693" t="s">
        <v>48</v>
      </c>
      <c r="L1006" s="694" t="s">
        <v>449</v>
      </c>
      <c r="M1006" s="694" t="s">
        <v>915</v>
      </c>
      <c r="N1006" s="694" t="s">
        <v>925</v>
      </c>
      <c r="O1006" s="694">
        <v>2021.0</v>
      </c>
      <c r="P1006" s="694" t="s">
        <v>919</v>
      </c>
      <c r="Q1006" s="695" t="s">
        <v>112</v>
      </c>
      <c r="R1006" s="696">
        <v>13.62012144</v>
      </c>
      <c r="S1006" s="696">
        <v>7.06352586</v>
      </c>
      <c r="T1006" s="697">
        <v>25.05118845</v>
      </c>
      <c r="AB1006" s="722"/>
    </row>
    <row r="1007">
      <c r="A1007" s="351"/>
      <c r="B1007" s="681" t="s">
        <v>54</v>
      </c>
      <c r="C1007" s="682" t="s">
        <v>915</v>
      </c>
      <c r="D1007" s="682" t="s">
        <v>926</v>
      </c>
      <c r="E1007" s="682" t="s">
        <v>258</v>
      </c>
      <c r="F1007" s="682">
        <v>2021.0</v>
      </c>
      <c r="G1007" s="683">
        <v>0.001066403</v>
      </c>
      <c r="H1007" s="683">
        <v>3.15E-5</v>
      </c>
      <c r="I1007" s="684">
        <v>0.004678982</v>
      </c>
      <c r="K1007" s="693" t="s">
        <v>48</v>
      </c>
      <c r="L1007" s="694" t="s">
        <v>449</v>
      </c>
      <c r="M1007" s="694" t="s">
        <v>915</v>
      </c>
      <c r="N1007" s="694" t="s">
        <v>927</v>
      </c>
      <c r="O1007" s="694">
        <v>2021.0</v>
      </c>
      <c r="P1007" s="694" t="s">
        <v>919</v>
      </c>
      <c r="Q1007" s="695" t="s">
        <v>112</v>
      </c>
      <c r="R1007" s="696">
        <v>105.8537607</v>
      </c>
      <c r="S1007" s="696">
        <v>46.31398862</v>
      </c>
      <c r="T1007" s="697">
        <v>193.8677655</v>
      </c>
      <c r="AB1007" s="722"/>
    </row>
    <row r="1008">
      <c r="A1008" s="351"/>
      <c r="B1008" s="681" t="s">
        <v>55</v>
      </c>
      <c r="C1008" s="682" t="s">
        <v>915</v>
      </c>
      <c r="D1008" s="682" t="s">
        <v>916</v>
      </c>
      <c r="E1008" s="682" t="s">
        <v>258</v>
      </c>
      <c r="F1008" s="682">
        <v>2021.0</v>
      </c>
      <c r="G1008" s="683">
        <v>1.74E-5</v>
      </c>
      <c r="H1008" s="683">
        <v>3.39E-7</v>
      </c>
      <c r="I1008" s="684">
        <v>8.04E-5</v>
      </c>
      <c r="K1008" s="693" t="s">
        <v>48</v>
      </c>
      <c r="L1008" s="694" t="s">
        <v>449</v>
      </c>
      <c r="M1008" s="694" t="s">
        <v>915</v>
      </c>
      <c r="N1008" s="694" t="s">
        <v>926</v>
      </c>
      <c r="O1008" s="694">
        <v>2021.0</v>
      </c>
      <c r="P1008" s="694" t="s">
        <v>919</v>
      </c>
      <c r="Q1008" s="695" t="s">
        <v>112</v>
      </c>
      <c r="R1008" s="696">
        <v>209.588632</v>
      </c>
      <c r="S1008" s="696">
        <v>98.70953437</v>
      </c>
      <c r="T1008" s="697">
        <v>373.4629598</v>
      </c>
      <c r="AB1008" s="722"/>
    </row>
    <row r="1009">
      <c r="A1009" s="351"/>
      <c r="B1009" s="681" t="s">
        <v>55</v>
      </c>
      <c r="C1009" s="682" t="s">
        <v>915</v>
      </c>
      <c r="D1009" s="682" t="s">
        <v>922</v>
      </c>
      <c r="E1009" s="682" t="s">
        <v>258</v>
      </c>
      <c r="F1009" s="682">
        <v>2021.0</v>
      </c>
      <c r="G1009" s="683">
        <v>1.29E-5</v>
      </c>
      <c r="H1009" s="683">
        <v>3.14E-7</v>
      </c>
      <c r="I1009" s="684">
        <v>5.72E-5</v>
      </c>
      <c r="K1009" s="693" t="s">
        <v>49</v>
      </c>
      <c r="L1009" s="694" t="s">
        <v>449</v>
      </c>
      <c r="M1009" s="694" t="s">
        <v>915</v>
      </c>
      <c r="N1009" s="694" t="s">
        <v>918</v>
      </c>
      <c r="O1009" s="694">
        <v>2021.0</v>
      </c>
      <c r="P1009" s="694" t="s">
        <v>919</v>
      </c>
      <c r="Q1009" s="695" t="s">
        <v>112</v>
      </c>
      <c r="R1009" s="696">
        <v>96.0476413</v>
      </c>
      <c r="S1009" s="696">
        <v>29.64496442</v>
      </c>
      <c r="T1009" s="697">
        <v>206.1731206</v>
      </c>
      <c r="AB1009" s="722"/>
    </row>
    <row r="1010">
      <c r="A1010" s="351"/>
      <c r="B1010" s="681" t="s">
        <v>55</v>
      </c>
      <c r="C1010" s="682" t="s">
        <v>915</v>
      </c>
      <c r="D1010" s="682" t="s">
        <v>924</v>
      </c>
      <c r="E1010" s="682" t="s">
        <v>258</v>
      </c>
      <c r="F1010" s="682">
        <v>2021.0</v>
      </c>
      <c r="G1010" s="683">
        <v>7.59E-5</v>
      </c>
      <c r="H1010" s="683">
        <v>2.33E-6</v>
      </c>
      <c r="I1010" s="684">
        <v>3.14592E-4</v>
      </c>
      <c r="K1010" s="693" t="s">
        <v>49</v>
      </c>
      <c r="L1010" s="694" t="s">
        <v>449</v>
      </c>
      <c r="M1010" s="694" t="s">
        <v>915</v>
      </c>
      <c r="N1010" s="694" t="s">
        <v>923</v>
      </c>
      <c r="O1010" s="694">
        <v>2021.0</v>
      </c>
      <c r="P1010" s="694" t="s">
        <v>919</v>
      </c>
      <c r="Q1010" s="695" t="s">
        <v>112</v>
      </c>
      <c r="R1010" s="696">
        <v>15.21239842</v>
      </c>
      <c r="S1010" s="696">
        <v>7.696800348</v>
      </c>
      <c r="T1010" s="697">
        <v>27.3165271</v>
      </c>
      <c r="AB1010" s="722"/>
    </row>
    <row r="1011">
      <c r="A1011" s="351"/>
      <c r="B1011" s="681" t="s">
        <v>55</v>
      </c>
      <c r="C1011" s="682" t="s">
        <v>915</v>
      </c>
      <c r="D1011" s="682" t="s">
        <v>926</v>
      </c>
      <c r="E1011" s="682" t="s">
        <v>258</v>
      </c>
      <c r="F1011" s="682">
        <v>2021.0</v>
      </c>
      <c r="G1011" s="683">
        <v>3.9724E-4</v>
      </c>
      <c r="H1011" s="683">
        <v>1.26E-5</v>
      </c>
      <c r="I1011" s="684">
        <v>0.001553051</v>
      </c>
      <c r="K1011" s="693" t="s">
        <v>49</v>
      </c>
      <c r="L1011" s="694" t="s">
        <v>449</v>
      </c>
      <c r="M1011" s="694" t="s">
        <v>915</v>
      </c>
      <c r="N1011" s="694" t="s">
        <v>925</v>
      </c>
      <c r="O1011" s="694">
        <v>2021.0</v>
      </c>
      <c r="P1011" s="694" t="s">
        <v>919</v>
      </c>
      <c r="Q1011" s="695" t="s">
        <v>112</v>
      </c>
      <c r="R1011" s="696">
        <v>8.540034917</v>
      </c>
      <c r="S1011" s="696">
        <v>4.396993332</v>
      </c>
      <c r="T1011" s="697">
        <v>16.35396871</v>
      </c>
      <c r="AB1011" s="722"/>
    </row>
    <row r="1012">
      <c r="A1012" s="351"/>
      <c r="B1012" s="681" t="s">
        <v>56</v>
      </c>
      <c r="C1012" s="682" t="s">
        <v>915</v>
      </c>
      <c r="D1012" s="682" t="s">
        <v>916</v>
      </c>
      <c r="E1012" s="682" t="s">
        <v>258</v>
      </c>
      <c r="F1012" s="682">
        <v>2021.0</v>
      </c>
      <c r="G1012" s="683">
        <v>6.99E-6</v>
      </c>
      <c r="H1012" s="683">
        <v>1.62E-7</v>
      </c>
      <c r="I1012" s="684">
        <v>3.34E-5</v>
      </c>
      <c r="K1012" s="693" t="s">
        <v>49</v>
      </c>
      <c r="L1012" s="694" t="s">
        <v>449</v>
      </c>
      <c r="M1012" s="694" t="s">
        <v>915</v>
      </c>
      <c r="N1012" s="694" t="s">
        <v>927</v>
      </c>
      <c r="O1012" s="694">
        <v>2021.0</v>
      </c>
      <c r="P1012" s="694" t="s">
        <v>919</v>
      </c>
      <c r="Q1012" s="695" t="s">
        <v>112</v>
      </c>
      <c r="R1012" s="696">
        <v>41.76798604</v>
      </c>
      <c r="S1012" s="696">
        <v>13.96552169</v>
      </c>
      <c r="T1012" s="697">
        <v>90.82448429</v>
      </c>
      <c r="AB1012" s="722"/>
    </row>
    <row r="1013">
      <c r="A1013" s="351"/>
      <c r="B1013" s="681" t="s">
        <v>56</v>
      </c>
      <c r="C1013" s="682" t="s">
        <v>915</v>
      </c>
      <c r="D1013" s="682" t="s">
        <v>922</v>
      </c>
      <c r="E1013" s="682" t="s">
        <v>258</v>
      </c>
      <c r="F1013" s="682">
        <v>2021.0</v>
      </c>
      <c r="G1013" s="683">
        <v>5.48E-6</v>
      </c>
      <c r="H1013" s="683">
        <v>1.36E-7</v>
      </c>
      <c r="I1013" s="684">
        <v>2.41E-5</v>
      </c>
      <c r="K1013" s="693" t="s">
        <v>49</v>
      </c>
      <c r="L1013" s="694" t="s">
        <v>449</v>
      </c>
      <c r="M1013" s="694" t="s">
        <v>915</v>
      </c>
      <c r="N1013" s="694" t="s">
        <v>926</v>
      </c>
      <c r="O1013" s="694">
        <v>2021.0</v>
      </c>
      <c r="P1013" s="694" t="s">
        <v>919</v>
      </c>
      <c r="Q1013" s="695" t="s">
        <v>112</v>
      </c>
      <c r="R1013" s="696">
        <v>161.5680607</v>
      </c>
      <c r="S1013" s="696">
        <v>61.16066383</v>
      </c>
      <c r="T1013" s="697">
        <v>328.2555215</v>
      </c>
      <c r="AB1013" s="722"/>
    </row>
    <row r="1014">
      <c r="A1014" s="351"/>
      <c r="B1014" s="681" t="s">
        <v>56</v>
      </c>
      <c r="C1014" s="682" t="s">
        <v>915</v>
      </c>
      <c r="D1014" s="682" t="s">
        <v>924</v>
      </c>
      <c r="E1014" s="682" t="s">
        <v>258</v>
      </c>
      <c r="F1014" s="682">
        <v>2021.0</v>
      </c>
      <c r="G1014" s="683">
        <v>2.91E-5</v>
      </c>
      <c r="H1014" s="683">
        <v>7.98E-7</v>
      </c>
      <c r="I1014" s="684">
        <v>1.33131E-4</v>
      </c>
      <c r="K1014" s="693" t="s">
        <v>50</v>
      </c>
      <c r="L1014" s="694" t="s">
        <v>449</v>
      </c>
      <c r="M1014" s="694" t="s">
        <v>915</v>
      </c>
      <c r="N1014" s="694" t="s">
        <v>918</v>
      </c>
      <c r="O1014" s="694">
        <v>2021.0</v>
      </c>
      <c r="P1014" s="694" t="s">
        <v>919</v>
      </c>
      <c r="Q1014" s="695" t="s">
        <v>112</v>
      </c>
      <c r="R1014" s="696">
        <v>25.26827486</v>
      </c>
      <c r="S1014" s="696">
        <v>6.890631154</v>
      </c>
      <c r="T1014" s="697">
        <v>60.37738945</v>
      </c>
      <c r="AB1014" s="722"/>
    </row>
    <row r="1015">
      <c r="A1015" s="351"/>
      <c r="B1015" s="681" t="s">
        <v>56</v>
      </c>
      <c r="C1015" s="682" t="s">
        <v>915</v>
      </c>
      <c r="D1015" s="682" t="s">
        <v>926</v>
      </c>
      <c r="E1015" s="682" t="s">
        <v>258</v>
      </c>
      <c r="F1015" s="682">
        <v>2021.0</v>
      </c>
      <c r="G1015" s="683">
        <v>1.58837E-4</v>
      </c>
      <c r="H1015" s="683">
        <v>5.01E-6</v>
      </c>
      <c r="I1015" s="684">
        <v>6.94361E-4</v>
      </c>
      <c r="K1015" s="693" t="s">
        <v>50</v>
      </c>
      <c r="L1015" s="694" t="s">
        <v>449</v>
      </c>
      <c r="M1015" s="694" t="s">
        <v>915</v>
      </c>
      <c r="N1015" s="694" t="s">
        <v>923</v>
      </c>
      <c r="O1015" s="694">
        <v>2021.0</v>
      </c>
      <c r="P1015" s="694" t="s">
        <v>919</v>
      </c>
      <c r="Q1015" s="695" t="s">
        <v>112</v>
      </c>
      <c r="R1015" s="696">
        <v>8.398213867</v>
      </c>
      <c r="S1015" s="696">
        <v>4.108081559</v>
      </c>
      <c r="T1015" s="697">
        <v>15.03965787</v>
      </c>
      <c r="AB1015" s="722"/>
    </row>
    <row r="1016">
      <c r="A1016" s="351"/>
      <c r="B1016" s="681" t="s">
        <v>57</v>
      </c>
      <c r="C1016" s="682" t="s">
        <v>915</v>
      </c>
      <c r="D1016" s="682" t="s">
        <v>916</v>
      </c>
      <c r="E1016" s="682" t="s">
        <v>258</v>
      </c>
      <c r="F1016" s="682">
        <v>2021.0</v>
      </c>
      <c r="G1016" s="683">
        <v>2.56E-5</v>
      </c>
      <c r="H1016" s="683">
        <v>4.78E-7</v>
      </c>
      <c r="I1016" s="684">
        <v>1.29796E-4</v>
      </c>
      <c r="K1016" s="693" t="s">
        <v>50</v>
      </c>
      <c r="L1016" s="694" t="s">
        <v>449</v>
      </c>
      <c r="M1016" s="694" t="s">
        <v>915</v>
      </c>
      <c r="N1016" s="694" t="s">
        <v>925</v>
      </c>
      <c r="O1016" s="694">
        <v>2021.0</v>
      </c>
      <c r="P1016" s="694" t="s">
        <v>919</v>
      </c>
      <c r="Q1016" s="695" t="s">
        <v>112</v>
      </c>
      <c r="R1016" s="696">
        <v>3.405789601</v>
      </c>
      <c r="S1016" s="696">
        <v>1.674908191</v>
      </c>
      <c r="T1016" s="697">
        <v>6.689315142</v>
      </c>
      <c r="AB1016" s="722"/>
    </row>
    <row r="1017">
      <c r="A1017" s="351"/>
      <c r="B1017" s="681" t="s">
        <v>57</v>
      </c>
      <c r="C1017" s="682" t="s">
        <v>915</v>
      </c>
      <c r="D1017" s="682" t="s">
        <v>922</v>
      </c>
      <c r="E1017" s="682" t="s">
        <v>258</v>
      </c>
      <c r="F1017" s="682">
        <v>2021.0</v>
      </c>
      <c r="G1017" s="683">
        <v>1.87E-5</v>
      </c>
      <c r="H1017" s="683">
        <v>4.57E-7</v>
      </c>
      <c r="I1017" s="684">
        <v>9.73E-5</v>
      </c>
      <c r="K1017" s="693" t="s">
        <v>50</v>
      </c>
      <c r="L1017" s="694" t="s">
        <v>449</v>
      </c>
      <c r="M1017" s="694" t="s">
        <v>915</v>
      </c>
      <c r="N1017" s="694" t="s">
        <v>927</v>
      </c>
      <c r="O1017" s="694">
        <v>2021.0</v>
      </c>
      <c r="P1017" s="694" t="s">
        <v>919</v>
      </c>
      <c r="Q1017" s="695" t="s">
        <v>112</v>
      </c>
      <c r="R1017" s="696">
        <v>19.97349853</v>
      </c>
      <c r="S1017" s="696">
        <v>7.167972612</v>
      </c>
      <c r="T1017" s="697">
        <v>43.68362384</v>
      </c>
      <c r="AB1017" s="722"/>
    </row>
    <row r="1018">
      <c r="A1018" s="351"/>
      <c r="B1018" s="681" t="s">
        <v>57</v>
      </c>
      <c r="C1018" s="682" t="s">
        <v>915</v>
      </c>
      <c r="D1018" s="682" t="s">
        <v>924</v>
      </c>
      <c r="E1018" s="682" t="s">
        <v>258</v>
      </c>
      <c r="F1018" s="682">
        <v>2021.0</v>
      </c>
      <c r="G1018" s="683">
        <v>1.08955E-4</v>
      </c>
      <c r="H1018" s="683">
        <v>2.75E-6</v>
      </c>
      <c r="I1018" s="684">
        <v>5.03806E-4</v>
      </c>
      <c r="K1018" s="693" t="s">
        <v>50</v>
      </c>
      <c r="L1018" s="694" t="s">
        <v>449</v>
      </c>
      <c r="M1018" s="694" t="s">
        <v>915</v>
      </c>
      <c r="N1018" s="694" t="s">
        <v>926</v>
      </c>
      <c r="O1018" s="694">
        <v>2021.0</v>
      </c>
      <c r="P1018" s="694" t="s">
        <v>919</v>
      </c>
      <c r="Q1018" s="695" t="s">
        <v>112</v>
      </c>
      <c r="R1018" s="696">
        <v>57.04577686</v>
      </c>
      <c r="S1018" s="696">
        <v>23.29795721</v>
      </c>
      <c r="T1018" s="697">
        <v>118.4815961</v>
      </c>
      <c r="AB1018" s="722"/>
    </row>
    <row r="1019">
      <c r="A1019" s="351"/>
      <c r="B1019" s="681" t="s">
        <v>57</v>
      </c>
      <c r="C1019" s="682" t="s">
        <v>915</v>
      </c>
      <c r="D1019" s="682" t="s">
        <v>926</v>
      </c>
      <c r="E1019" s="682" t="s">
        <v>258</v>
      </c>
      <c r="F1019" s="682">
        <v>2021.0</v>
      </c>
      <c r="G1019" s="683">
        <v>7.53801E-4</v>
      </c>
      <c r="H1019" s="683">
        <v>2.41E-5</v>
      </c>
      <c r="I1019" s="684">
        <v>0.003350553</v>
      </c>
      <c r="K1019" s="693" t="s">
        <v>51</v>
      </c>
      <c r="L1019" s="694" t="s">
        <v>449</v>
      </c>
      <c r="M1019" s="694" t="s">
        <v>915</v>
      </c>
      <c r="N1019" s="694" t="s">
        <v>918</v>
      </c>
      <c r="O1019" s="694">
        <v>2021.0</v>
      </c>
      <c r="P1019" s="694" t="s">
        <v>919</v>
      </c>
      <c r="Q1019" s="695" t="s">
        <v>112</v>
      </c>
      <c r="R1019" s="696">
        <v>39.88085658</v>
      </c>
      <c r="S1019" s="696">
        <v>10.66101203</v>
      </c>
      <c r="T1019" s="697">
        <v>86.53762012</v>
      </c>
      <c r="AB1019" s="722"/>
    </row>
    <row r="1020">
      <c r="A1020" s="351"/>
      <c r="B1020" s="681" t="s">
        <v>58</v>
      </c>
      <c r="C1020" s="682" t="s">
        <v>915</v>
      </c>
      <c r="D1020" s="682" t="s">
        <v>916</v>
      </c>
      <c r="E1020" s="682" t="s">
        <v>258</v>
      </c>
      <c r="F1020" s="682">
        <v>2021.0</v>
      </c>
      <c r="G1020" s="683">
        <v>3.68E-5</v>
      </c>
      <c r="H1020" s="683">
        <v>7.9E-7</v>
      </c>
      <c r="I1020" s="684">
        <v>1.92883E-4</v>
      </c>
      <c r="K1020" s="693" t="s">
        <v>51</v>
      </c>
      <c r="L1020" s="694" t="s">
        <v>449</v>
      </c>
      <c r="M1020" s="694" t="s">
        <v>915</v>
      </c>
      <c r="N1020" s="694" t="s">
        <v>923</v>
      </c>
      <c r="O1020" s="694">
        <v>2021.0</v>
      </c>
      <c r="P1020" s="694" t="s">
        <v>919</v>
      </c>
      <c r="Q1020" s="695" t="s">
        <v>112</v>
      </c>
      <c r="R1020" s="696">
        <v>12.76307736</v>
      </c>
      <c r="S1020" s="696">
        <v>6.745031284</v>
      </c>
      <c r="T1020" s="697">
        <v>22.1647256</v>
      </c>
      <c r="AB1020" s="722"/>
    </row>
    <row r="1021">
      <c r="A1021" s="351"/>
      <c r="B1021" s="681" t="s">
        <v>58</v>
      </c>
      <c r="C1021" s="682" t="s">
        <v>915</v>
      </c>
      <c r="D1021" s="682" t="s">
        <v>922</v>
      </c>
      <c r="E1021" s="682" t="s">
        <v>258</v>
      </c>
      <c r="F1021" s="682">
        <v>2021.0</v>
      </c>
      <c r="G1021" s="683">
        <v>2.96E-5</v>
      </c>
      <c r="H1021" s="683">
        <v>7.05E-7</v>
      </c>
      <c r="I1021" s="684">
        <v>1.52142E-4</v>
      </c>
      <c r="K1021" s="693" t="s">
        <v>51</v>
      </c>
      <c r="L1021" s="694" t="s">
        <v>449</v>
      </c>
      <c r="M1021" s="694" t="s">
        <v>915</v>
      </c>
      <c r="N1021" s="694" t="s">
        <v>925</v>
      </c>
      <c r="O1021" s="694">
        <v>2021.0</v>
      </c>
      <c r="P1021" s="694" t="s">
        <v>919</v>
      </c>
      <c r="Q1021" s="695" t="s">
        <v>112</v>
      </c>
      <c r="R1021" s="696">
        <v>10.89327711</v>
      </c>
      <c r="S1021" s="696">
        <v>5.52204163</v>
      </c>
      <c r="T1021" s="697">
        <v>20.30002004</v>
      </c>
      <c r="AB1021" s="722"/>
    </row>
    <row r="1022">
      <c r="A1022" s="351"/>
      <c r="B1022" s="681" t="s">
        <v>58</v>
      </c>
      <c r="C1022" s="682" t="s">
        <v>915</v>
      </c>
      <c r="D1022" s="682" t="s">
        <v>924</v>
      </c>
      <c r="E1022" s="682" t="s">
        <v>258</v>
      </c>
      <c r="F1022" s="682">
        <v>2021.0</v>
      </c>
      <c r="G1022" s="683">
        <v>1.39744E-4</v>
      </c>
      <c r="H1022" s="683">
        <v>2.6E-6</v>
      </c>
      <c r="I1022" s="684">
        <v>7.37228E-4</v>
      </c>
      <c r="K1022" s="693" t="s">
        <v>51</v>
      </c>
      <c r="L1022" s="694" t="s">
        <v>449</v>
      </c>
      <c r="M1022" s="694" t="s">
        <v>915</v>
      </c>
      <c r="N1022" s="694" t="s">
        <v>927</v>
      </c>
      <c r="O1022" s="694">
        <v>2021.0</v>
      </c>
      <c r="P1022" s="694" t="s">
        <v>919</v>
      </c>
      <c r="Q1022" s="695" t="s">
        <v>112</v>
      </c>
      <c r="R1022" s="696">
        <v>44.37622933</v>
      </c>
      <c r="S1022" s="696">
        <v>15.01112367</v>
      </c>
      <c r="T1022" s="697">
        <v>85.37184535</v>
      </c>
      <c r="AB1022" s="722"/>
    </row>
    <row r="1023">
      <c r="A1023" s="351"/>
      <c r="B1023" s="681" t="s">
        <v>58</v>
      </c>
      <c r="C1023" s="682" t="s">
        <v>915</v>
      </c>
      <c r="D1023" s="682" t="s">
        <v>926</v>
      </c>
      <c r="E1023" s="682" t="s">
        <v>258</v>
      </c>
      <c r="F1023" s="682">
        <v>2021.0</v>
      </c>
      <c r="G1023" s="683">
        <v>0.001116255</v>
      </c>
      <c r="H1023" s="683">
        <v>5.4E-5</v>
      </c>
      <c r="I1023" s="684">
        <v>0.004868115</v>
      </c>
      <c r="K1023" s="693" t="s">
        <v>51</v>
      </c>
      <c r="L1023" s="694" t="s">
        <v>449</v>
      </c>
      <c r="M1023" s="694" t="s">
        <v>915</v>
      </c>
      <c r="N1023" s="694" t="s">
        <v>926</v>
      </c>
      <c r="O1023" s="694">
        <v>2021.0</v>
      </c>
      <c r="P1023" s="694" t="s">
        <v>919</v>
      </c>
      <c r="Q1023" s="695" t="s">
        <v>112</v>
      </c>
      <c r="R1023" s="696">
        <v>107.9134404</v>
      </c>
      <c r="S1023" s="696">
        <v>43.93687877</v>
      </c>
      <c r="T1023" s="697">
        <v>199.7351547</v>
      </c>
      <c r="AB1023" s="722"/>
    </row>
    <row r="1024">
      <c r="A1024" s="351"/>
      <c r="B1024" s="681" t="s">
        <v>7</v>
      </c>
      <c r="C1024" s="682" t="s">
        <v>915</v>
      </c>
      <c r="D1024" s="682" t="s">
        <v>916</v>
      </c>
      <c r="E1024" s="682" t="s">
        <v>258</v>
      </c>
      <c r="F1024" s="682">
        <v>2021.0</v>
      </c>
      <c r="G1024" s="683">
        <v>2.68E-5</v>
      </c>
      <c r="H1024" s="683">
        <v>1.8E-6</v>
      </c>
      <c r="I1024" s="684">
        <v>9.71E-5</v>
      </c>
      <c r="K1024" s="693" t="s">
        <v>52</v>
      </c>
      <c r="L1024" s="694" t="s">
        <v>449</v>
      </c>
      <c r="M1024" s="694" t="s">
        <v>915</v>
      </c>
      <c r="N1024" s="694" t="s">
        <v>918</v>
      </c>
      <c r="O1024" s="694">
        <v>2021.0</v>
      </c>
      <c r="P1024" s="694" t="s">
        <v>919</v>
      </c>
      <c r="Q1024" s="695" t="s">
        <v>112</v>
      </c>
      <c r="R1024" s="696">
        <v>108.3700229</v>
      </c>
      <c r="S1024" s="696">
        <v>28.93448607</v>
      </c>
      <c r="T1024" s="697">
        <v>242.0436143</v>
      </c>
      <c r="AB1024" s="722"/>
    </row>
    <row r="1025">
      <c r="A1025" s="351"/>
      <c r="B1025" s="681" t="s">
        <v>7</v>
      </c>
      <c r="C1025" s="682" t="s">
        <v>915</v>
      </c>
      <c r="D1025" s="682" t="s">
        <v>922</v>
      </c>
      <c r="E1025" s="682" t="s">
        <v>258</v>
      </c>
      <c r="F1025" s="682">
        <v>2021.0</v>
      </c>
      <c r="G1025" s="683">
        <v>2.07E-5</v>
      </c>
      <c r="H1025" s="683">
        <v>1.66E-6</v>
      </c>
      <c r="I1025" s="684">
        <v>7.33E-5</v>
      </c>
      <c r="K1025" s="693" t="s">
        <v>52</v>
      </c>
      <c r="L1025" s="694" t="s">
        <v>449</v>
      </c>
      <c r="M1025" s="694" t="s">
        <v>915</v>
      </c>
      <c r="N1025" s="694" t="s">
        <v>923</v>
      </c>
      <c r="O1025" s="694">
        <v>2021.0</v>
      </c>
      <c r="P1025" s="694" t="s">
        <v>919</v>
      </c>
      <c r="Q1025" s="695" t="s">
        <v>112</v>
      </c>
      <c r="R1025" s="696">
        <v>36.68629771</v>
      </c>
      <c r="S1025" s="696">
        <v>18.06342969</v>
      </c>
      <c r="T1025" s="697">
        <v>67.00489395</v>
      </c>
      <c r="AB1025" s="722"/>
    </row>
    <row r="1026">
      <c r="A1026" s="351"/>
      <c r="B1026" s="681" t="s">
        <v>7</v>
      </c>
      <c r="C1026" s="682" t="s">
        <v>915</v>
      </c>
      <c r="D1026" s="682" t="s">
        <v>924</v>
      </c>
      <c r="E1026" s="682" t="s">
        <v>258</v>
      </c>
      <c r="F1026" s="682">
        <v>2021.0</v>
      </c>
      <c r="G1026" s="683">
        <v>1.34069E-4</v>
      </c>
      <c r="H1026" s="683">
        <v>8.75E-6</v>
      </c>
      <c r="I1026" s="684">
        <v>4.78134E-4</v>
      </c>
      <c r="K1026" s="693" t="s">
        <v>52</v>
      </c>
      <c r="L1026" s="694" t="s">
        <v>449</v>
      </c>
      <c r="M1026" s="694" t="s">
        <v>915</v>
      </c>
      <c r="N1026" s="694" t="s">
        <v>925</v>
      </c>
      <c r="O1026" s="694">
        <v>2021.0</v>
      </c>
      <c r="P1026" s="694" t="s">
        <v>919</v>
      </c>
      <c r="Q1026" s="695" t="s">
        <v>112</v>
      </c>
      <c r="R1026" s="696">
        <v>16.43220052</v>
      </c>
      <c r="S1026" s="696">
        <v>8.680544115</v>
      </c>
      <c r="T1026" s="697">
        <v>28.99566654</v>
      </c>
      <c r="AB1026" s="722"/>
    </row>
    <row r="1027">
      <c r="A1027" s="351"/>
      <c r="B1027" s="681" t="s">
        <v>7</v>
      </c>
      <c r="C1027" s="682" t="s">
        <v>915</v>
      </c>
      <c r="D1027" s="682" t="s">
        <v>926</v>
      </c>
      <c r="E1027" s="682" t="s">
        <v>258</v>
      </c>
      <c r="F1027" s="682">
        <v>2021.0</v>
      </c>
      <c r="G1027" s="683">
        <v>0.001064748</v>
      </c>
      <c r="H1027" s="683">
        <v>1.04282E-4</v>
      </c>
      <c r="I1027" s="684">
        <v>0.003498023</v>
      </c>
      <c r="K1027" s="693" t="s">
        <v>52</v>
      </c>
      <c r="L1027" s="694" t="s">
        <v>449</v>
      </c>
      <c r="M1027" s="694" t="s">
        <v>915</v>
      </c>
      <c r="N1027" s="694" t="s">
        <v>927</v>
      </c>
      <c r="O1027" s="694">
        <v>2021.0</v>
      </c>
      <c r="P1027" s="694" t="s">
        <v>919</v>
      </c>
      <c r="Q1027" s="695" t="s">
        <v>112</v>
      </c>
      <c r="R1027" s="696">
        <v>126.9672838</v>
      </c>
      <c r="S1027" s="696">
        <v>48.82656848</v>
      </c>
      <c r="T1027" s="697">
        <v>246.9583422</v>
      </c>
      <c r="AB1027" s="722"/>
    </row>
    <row r="1028">
      <c r="A1028" s="351"/>
      <c r="B1028" s="681" t="s">
        <v>59</v>
      </c>
      <c r="C1028" s="682" t="s">
        <v>915</v>
      </c>
      <c r="D1028" s="682" t="s">
        <v>916</v>
      </c>
      <c r="E1028" s="682" t="s">
        <v>258</v>
      </c>
      <c r="F1028" s="682">
        <v>2021.0</v>
      </c>
      <c r="G1028" s="683">
        <v>1.91E-5</v>
      </c>
      <c r="H1028" s="683">
        <v>3.71E-7</v>
      </c>
      <c r="I1028" s="684">
        <v>9.04E-5</v>
      </c>
      <c r="K1028" s="693" t="s">
        <v>52</v>
      </c>
      <c r="L1028" s="694" t="s">
        <v>449</v>
      </c>
      <c r="M1028" s="694" t="s">
        <v>915</v>
      </c>
      <c r="N1028" s="694" t="s">
        <v>926</v>
      </c>
      <c r="O1028" s="694">
        <v>2021.0</v>
      </c>
      <c r="P1028" s="694" t="s">
        <v>919</v>
      </c>
      <c r="Q1028" s="695" t="s">
        <v>112</v>
      </c>
      <c r="R1028" s="696">
        <v>288.455805</v>
      </c>
      <c r="S1028" s="696">
        <v>123.4919208</v>
      </c>
      <c r="T1028" s="697">
        <v>545.1236175</v>
      </c>
      <c r="AB1028" s="722"/>
    </row>
    <row r="1029">
      <c r="A1029" s="351"/>
      <c r="B1029" s="681" t="s">
        <v>59</v>
      </c>
      <c r="C1029" s="682" t="s">
        <v>915</v>
      </c>
      <c r="D1029" s="682" t="s">
        <v>922</v>
      </c>
      <c r="E1029" s="682" t="s">
        <v>258</v>
      </c>
      <c r="F1029" s="682">
        <v>2021.0</v>
      </c>
      <c r="G1029" s="683">
        <v>1.28E-5</v>
      </c>
      <c r="H1029" s="683">
        <v>3.88E-7</v>
      </c>
      <c r="I1029" s="684">
        <v>5.82E-5</v>
      </c>
      <c r="K1029" s="693" t="s">
        <v>28</v>
      </c>
      <c r="L1029" s="694" t="s">
        <v>449</v>
      </c>
      <c r="M1029" s="694" t="s">
        <v>915</v>
      </c>
      <c r="N1029" s="694" t="s">
        <v>918</v>
      </c>
      <c r="O1029" s="694">
        <v>2021.0</v>
      </c>
      <c r="P1029" s="694" t="s">
        <v>919</v>
      </c>
      <c r="Q1029" s="695" t="s">
        <v>112</v>
      </c>
      <c r="R1029" s="696">
        <v>408.6623103</v>
      </c>
      <c r="S1029" s="696">
        <v>199.4392332</v>
      </c>
      <c r="T1029" s="697">
        <v>775.9961881</v>
      </c>
      <c r="AB1029" s="722"/>
    </row>
    <row r="1030">
      <c r="A1030" s="351"/>
      <c r="B1030" s="681" t="s">
        <v>59</v>
      </c>
      <c r="C1030" s="682" t="s">
        <v>915</v>
      </c>
      <c r="D1030" s="682" t="s">
        <v>924</v>
      </c>
      <c r="E1030" s="682" t="s">
        <v>258</v>
      </c>
      <c r="F1030" s="682">
        <v>2021.0</v>
      </c>
      <c r="G1030" s="683">
        <v>6.64E-5</v>
      </c>
      <c r="H1030" s="683">
        <v>1.93E-6</v>
      </c>
      <c r="I1030" s="684">
        <v>3.32198E-4</v>
      </c>
      <c r="K1030" s="693" t="s">
        <v>28</v>
      </c>
      <c r="L1030" s="694" t="s">
        <v>449</v>
      </c>
      <c r="M1030" s="694" t="s">
        <v>915</v>
      </c>
      <c r="N1030" s="694" t="s">
        <v>923</v>
      </c>
      <c r="O1030" s="694">
        <v>2021.0</v>
      </c>
      <c r="P1030" s="694" t="s">
        <v>919</v>
      </c>
      <c r="Q1030" s="695" t="s">
        <v>112</v>
      </c>
      <c r="R1030" s="696">
        <v>39.26907751</v>
      </c>
      <c r="S1030" s="696">
        <v>21.25683122</v>
      </c>
      <c r="T1030" s="697">
        <v>61.70822835</v>
      </c>
      <c r="AB1030" s="722"/>
    </row>
    <row r="1031">
      <c r="A1031" s="351"/>
      <c r="B1031" s="681" t="s">
        <v>59</v>
      </c>
      <c r="C1031" s="682" t="s">
        <v>915</v>
      </c>
      <c r="D1031" s="682" t="s">
        <v>926</v>
      </c>
      <c r="E1031" s="682" t="s">
        <v>258</v>
      </c>
      <c r="F1031" s="682">
        <v>2021.0</v>
      </c>
      <c r="G1031" s="683">
        <v>4.71182E-4</v>
      </c>
      <c r="H1031" s="683">
        <v>1.59E-5</v>
      </c>
      <c r="I1031" s="684">
        <v>0.002040692</v>
      </c>
      <c r="K1031" s="693" t="s">
        <v>28</v>
      </c>
      <c r="L1031" s="694" t="s">
        <v>449</v>
      </c>
      <c r="M1031" s="694" t="s">
        <v>915</v>
      </c>
      <c r="N1031" s="694" t="s">
        <v>925</v>
      </c>
      <c r="O1031" s="694">
        <v>2021.0</v>
      </c>
      <c r="P1031" s="694" t="s">
        <v>919</v>
      </c>
      <c r="Q1031" s="695" t="s">
        <v>112</v>
      </c>
      <c r="R1031" s="696">
        <v>22.47834852</v>
      </c>
      <c r="S1031" s="696">
        <v>12.07279991</v>
      </c>
      <c r="T1031" s="697">
        <v>36.7390897</v>
      </c>
      <c r="AB1031" s="722"/>
    </row>
    <row r="1032">
      <c r="A1032" s="351"/>
      <c r="B1032" s="681" t="s">
        <v>60</v>
      </c>
      <c r="C1032" s="682" t="s">
        <v>915</v>
      </c>
      <c r="D1032" s="682" t="s">
        <v>916</v>
      </c>
      <c r="E1032" s="682" t="s">
        <v>258</v>
      </c>
      <c r="F1032" s="682">
        <v>2021.0</v>
      </c>
      <c r="G1032" s="683">
        <v>1.23E-5</v>
      </c>
      <c r="H1032" s="683">
        <v>2.62E-7</v>
      </c>
      <c r="I1032" s="684">
        <v>5.39E-5</v>
      </c>
      <c r="K1032" s="693" t="s">
        <v>28</v>
      </c>
      <c r="L1032" s="694" t="s">
        <v>449</v>
      </c>
      <c r="M1032" s="694" t="s">
        <v>915</v>
      </c>
      <c r="N1032" s="694" t="s">
        <v>927</v>
      </c>
      <c r="O1032" s="694">
        <v>2021.0</v>
      </c>
      <c r="P1032" s="694" t="s">
        <v>919</v>
      </c>
      <c r="Q1032" s="695" t="s">
        <v>112</v>
      </c>
      <c r="R1032" s="696">
        <v>212.6875603</v>
      </c>
      <c r="S1032" s="696">
        <v>131.5569693</v>
      </c>
      <c r="T1032" s="697">
        <v>341.701216</v>
      </c>
      <c r="AB1032" s="722"/>
    </row>
    <row r="1033">
      <c r="A1033" s="351"/>
      <c r="B1033" s="681" t="s">
        <v>60</v>
      </c>
      <c r="C1033" s="682" t="s">
        <v>915</v>
      </c>
      <c r="D1033" s="682" t="s">
        <v>922</v>
      </c>
      <c r="E1033" s="682" t="s">
        <v>258</v>
      </c>
      <c r="F1033" s="682">
        <v>2021.0</v>
      </c>
      <c r="G1033" s="683">
        <v>7.79E-6</v>
      </c>
      <c r="H1033" s="683">
        <v>2.03E-7</v>
      </c>
      <c r="I1033" s="684">
        <v>3.49E-5</v>
      </c>
      <c r="K1033" s="693" t="s">
        <v>28</v>
      </c>
      <c r="L1033" s="694" t="s">
        <v>449</v>
      </c>
      <c r="M1033" s="694" t="s">
        <v>915</v>
      </c>
      <c r="N1033" s="694" t="s">
        <v>926</v>
      </c>
      <c r="O1033" s="694">
        <v>2021.0</v>
      </c>
      <c r="P1033" s="694" t="s">
        <v>919</v>
      </c>
      <c r="Q1033" s="695" t="s">
        <v>112</v>
      </c>
      <c r="R1033" s="696">
        <v>683.0972966</v>
      </c>
      <c r="S1033" s="696">
        <v>410.0007152</v>
      </c>
      <c r="T1033" s="697">
        <v>1163.36216</v>
      </c>
      <c r="AB1033" s="722"/>
    </row>
    <row r="1034">
      <c r="A1034" s="351"/>
      <c r="B1034" s="681" t="s">
        <v>60</v>
      </c>
      <c r="C1034" s="682" t="s">
        <v>915</v>
      </c>
      <c r="D1034" s="682" t="s">
        <v>924</v>
      </c>
      <c r="E1034" s="682" t="s">
        <v>258</v>
      </c>
      <c r="F1034" s="682">
        <v>2021.0</v>
      </c>
      <c r="G1034" s="683">
        <v>5.5E-5</v>
      </c>
      <c r="H1034" s="683">
        <v>1.73E-6</v>
      </c>
      <c r="I1034" s="684">
        <v>2.44036E-4</v>
      </c>
      <c r="K1034" s="693" t="s">
        <v>53</v>
      </c>
      <c r="L1034" s="694" t="s">
        <v>449</v>
      </c>
      <c r="M1034" s="694" t="s">
        <v>915</v>
      </c>
      <c r="N1034" s="694" t="s">
        <v>918</v>
      </c>
      <c r="O1034" s="694">
        <v>2021.0</v>
      </c>
      <c r="P1034" s="694" t="s">
        <v>919</v>
      </c>
      <c r="Q1034" s="695" t="s">
        <v>112</v>
      </c>
      <c r="R1034" s="696">
        <v>116.0909899</v>
      </c>
      <c r="S1034" s="696">
        <v>31.85456063</v>
      </c>
      <c r="T1034" s="697">
        <v>267.0150713</v>
      </c>
      <c r="AB1034" s="722"/>
    </row>
    <row r="1035">
      <c r="A1035" s="351"/>
      <c r="B1035" s="681" t="s">
        <v>60</v>
      </c>
      <c r="C1035" s="682" t="s">
        <v>915</v>
      </c>
      <c r="D1035" s="682" t="s">
        <v>926</v>
      </c>
      <c r="E1035" s="682" t="s">
        <v>258</v>
      </c>
      <c r="F1035" s="682">
        <v>2021.0</v>
      </c>
      <c r="G1035" s="683">
        <v>3.23322E-4</v>
      </c>
      <c r="H1035" s="683">
        <v>1.2E-5</v>
      </c>
      <c r="I1035" s="684">
        <v>0.001472383</v>
      </c>
      <c r="K1035" s="693" t="s">
        <v>53</v>
      </c>
      <c r="L1035" s="694" t="s">
        <v>449</v>
      </c>
      <c r="M1035" s="694" t="s">
        <v>915</v>
      </c>
      <c r="N1035" s="694" t="s">
        <v>923</v>
      </c>
      <c r="O1035" s="694">
        <v>2021.0</v>
      </c>
      <c r="P1035" s="694" t="s">
        <v>919</v>
      </c>
      <c r="Q1035" s="695" t="s">
        <v>112</v>
      </c>
      <c r="R1035" s="696">
        <v>43.57592011</v>
      </c>
      <c r="S1035" s="696">
        <v>20.66773701</v>
      </c>
      <c r="T1035" s="697">
        <v>80.66633264</v>
      </c>
      <c r="AB1035" s="722"/>
    </row>
    <row r="1036">
      <c r="A1036" s="351"/>
      <c r="B1036" s="681" t="s">
        <v>61</v>
      </c>
      <c r="C1036" s="682" t="s">
        <v>915</v>
      </c>
      <c r="D1036" s="682" t="s">
        <v>916</v>
      </c>
      <c r="E1036" s="682" t="s">
        <v>258</v>
      </c>
      <c r="F1036" s="682">
        <v>2021.0</v>
      </c>
      <c r="G1036" s="683">
        <v>7.68E-6</v>
      </c>
      <c r="H1036" s="683">
        <v>1.91E-7</v>
      </c>
      <c r="I1036" s="684">
        <v>3.87E-5</v>
      </c>
      <c r="K1036" s="693" t="s">
        <v>53</v>
      </c>
      <c r="L1036" s="694" t="s">
        <v>449</v>
      </c>
      <c r="M1036" s="694" t="s">
        <v>915</v>
      </c>
      <c r="N1036" s="694" t="s">
        <v>925</v>
      </c>
      <c r="O1036" s="694">
        <v>2021.0</v>
      </c>
      <c r="P1036" s="694" t="s">
        <v>919</v>
      </c>
      <c r="Q1036" s="695" t="s">
        <v>112</v>
      </c>
      <c r="R1036" s="696">
        <v>13.26588654</v>
      </c>
      <c r="S1036" s="696">
        <v>6.258870109</v>
      </c>
      <c r="T1036" s="697">
        <v>26.97551581</v>
      </c>
      <c r="AB1036" s="722"/>
    </row>
    <row r="1037">
      <c r="A1037" s="351"/>
      <c r="B1037" s="681" t="s">
        <v>61</v>
      </c>
      <c r="C1037" s="682" t="s">
        <v>915</v>
      </c>
      <c r="D1037" s="682" t="s">
        <v>922</v>
      </c>
      <c r="E1037" s="682" t="s">
        <v>258</v>
      </c>
      <c r="F1037" s="682">
        <v>2021.0</v>
      </c>
      <c r="G1037" s="683">
        <v>5.38E-6</v>
      </c>
      <c r="H1037" s="683">
        <v>1.43E-7</v>
      </c>
      <c r="I1037" s="684">
        <v>2.62E-5</v>
      </c>
      <c r="K1037" s="693" t="s">
        <v>53</v>
      </c>
      <c r="L1037" s="694" t="s">
        <v>449</v>
      </c>
      <c r="M1037" s="694" t="s">
        <v>915</v>
      </c>
      <c r="N1037" s="694" t="s">
        <v>927</v>
      </c>
      <c r="O1037" s="694">
        <v>2021.0</v>
      </c>
      <c r="P1037" s="694" t="s">
        <v>919</v>
      </c>
      <c r="Q1037" s="695" t="s">
        <v>112</v>
      </c>
      <c r="R1037" s="696">
        <v>117.3939666</v>
      </c>
      <c r="S1037" s="696">
        <v>42.05498114</v>
      </c>
      <c r="T1037" s="697">
        <v>236.7084776</v>
      </c>
      <c r="AB1037" s="722"/>
    </row>
    <row r="1038">
      <c r="A1038" s="351"/>
      <c r="B1038" s="681" t="s">
        <v>61</v>
      </c>
      <c r="C1038" s="682" t="s">
        <v>915</v>
      </c>
      <c r="D1038" s="682" t="s">
        <v>924</v>
      </c>
      <c r="E1038" s="682" t="s">
        <v>258</v>
      </c>
      <c r="F1038" s="682">
        <v>2021.0</v>
      </c>
      <c r="G1038" s="683">
        <v>2.99E-5</v>
      </c>
      <c r="H1038" s="683">
        <v>6.73E-7</v>
      </c>
      <c r="I1038" s="684">
        <v>1.55071E-4</v>
      </c>
      <c r="K1038" s="693" t="s">
        <v>53</v>
      </c>
      <c r="L1038" s="694" t="s">
        <v>449</v>
      </c>
      <c r="M1038" s="694" t="s">
        <v>915</v>
      </c>
      <c r="N1038" s="694" t="s">
        <v>926</v>
      </c>
      <c r="O1038" s="694">
        <v>2021.0</v>
      </c>
      <c r="P1038" s="694" t="s">
        <v>919</v>
      </c>
      <c r="Q1038" s="695" t="s">
        <v>112</v>
      </c>
      <c r="R1038" s="696">
        <v>290.3267632</v>
      </c>
      <c r="S1038" s="696">
        <v>115.780808</v>
      </c>
      <c r="T1038" s="697">
        <v>568.4634568</v>
      </c>
      <c r="AB1038" s="722"/>
    </row>
    <row r="1039">
      <c r="A1039" s="351"/>
      <c r="B1039" s="681" t="s">
        <v>61</v>
      </c>
      <c r="C1039" s="682" t="s">
        <v>915</v>
      </c>
      <c r="D1039" s="682" t="s">
        <v>926</v>
      </c>
      <c r="E1039" s="682" t="s">
        <v>258</v>
      </c>
      <c r="F1039" s="682">
        <v>2021.0</v>
      </c>
      <c r="G1039" s="683">
        <v>1.85004E-4</v>
      </c>
      <c r="H1039" s="683">
        <v>4.85E-6</v>
      </c>
      <c r="I1039" s="684">
        <v>8.16261E-4</v>
      </c>
      <c r="K1039" s="693" t="s">
        <v>30</v>
      </c>
      <c r="L1039" s="694" t="s">
        <v>449</v>
      </c>
      <c r="M1039" s="694" t="s">
        <v>915</v>
      </c>
      <c r="N1039" s="694" t="s">
        <v>918</v>
      </c>
      <c r="O1039" s="694">
        <v>2021.0</v>
      </c>
      <c r="P1039" s="694" t="s">
        <v>919</v>
      </c>
      <c r="Q1039" s="695" t="s">
        <v>112</v>
      </c>
      <c r="R1039" s="696">
        <v>969.8431739</v>
      </c>
      <c r="S1039" s="696">
        <v>463.7628705</v>
      </c>
      <c r="T1039" s="697">
        <v>1763.491945</v>
      </c>
      <c r="AB1039" s="722"/>
    </row>
    <row r="1040">
      <c r="A1040" s="351"/>
      <c r="B1040" s="681" t="s">
        <v>63</v>
      </c>
      <c r="C1040" s="682" t="s">
        <v>915</v>
      </c>
      <c r="D1040" s="682" t="s">
        <v>916</v>
      </c>
      <c r="E1040" s="682" t="s">
        <v>258</v>
      </c>
      <c r="F1040" s="682">
        <v>2021.0</v>
      </c>
      <c r="G1040" s="683">
        <v>1.7E-5</v>
      </c>
      <c r="H1040" s="683">
        <v>4.04E-7</v>
      </c>
      <c r="I1040" s="684">
        <v>8.45E-5</v>
      </c>
      <c r="K1040" s="693" t="s">
        <v>30</v>
      </c>
      <c r="L1040" s="694" t="s">
        <v>449</v>
      </c>
      <c r="M1040" s="694" t="s">
        <v>915</v>
      </c>
      <c r="N1040" s="694" t="s">
        <v>923</v>
      </c>
      <c r="O1040" s="694">
        <v>2021.0</v>
      </c>
      <c r="P1040" s="694" t="s">
        <v>919</v>
      </c>
      <c r="Q1040" s="695" t="s">
        <v>112</v>
      </c>
      <c r="R1040" s="696">
        <v>72.15888587</v>
      </c>
      <c r="S1040" s="696">
        <v>37.96715831</v>
      </c>
      <c r="T1040" s="697">
        <v>116.7740302</v>
      </c>
      <c r="AB1040" s="722"/>
    </row>
    <row r="1041">
      <c r="A1041" s="351"/>
      <c r="B1041" s="681" t="s">
        <v>63</v>
      </c>
      <c r="C1041" s="682" t="s">
        <v>915</v>
      </c>
      <c r="D1041" s="682" t="s">
        <v>922</v>
      </c>
      <c r="E1041" s="682" t="s">
        <v>258</v>
      </c>
      <c r="F1041" s="682">
        <v>2021.0</v>
      </c>
      <c r="G1041" s="683">
        <v>1.23E-5</v>
      </c>
      <c r="H1041" s="683">
        <v>3.15E-7</v>
      </c>
      <c r="I1041" s="684">
        <v>5.88E-5</v>
      </c>
      <c r="K1041" s="693" t="s">
        <v>30</v>
      </c>
      <c r="L1041" s="694" t="s">
        <v>449</v>
      </c>
      <c r="M1041" s="694" t="s">
        <v>915</v>
      </c>
      <c r="N1041" s="694" t="s">
        <v>925</v>
      </c>
      <c r="O1041" s="694">
        <v>2021.0</v>
      </c>
      <c r="P1041" s="694" t="s">
        <v>919</v>
      </c>
      <c r="Q1041" s="695" t="s">
        <v>112</v>
      </c>
      <c r="R1041" s="696">
        <v>40.57253079</v>
      </c>
      <c r="S1041" s="696">
        <v>21.87130607</v>
      </c>
      <c r="T1041" s="697">
        <v>70.06887378</v>
      </c>
      <c r="AB1041" s="722"/>
    </row>
    <row r="1042">
      <c r="A1042" s="351"/>
      <c r="B1042" s="681" t="s">
        <v>63</v>
      </c>
      <c r="C1042" s="682" t="s">
        <v>915</v>
      </c>
      <c r="D1042" s="682" t="s">
        <v>924</v>
      </c>
      <c r="E1042" s="682" t="s">
        <v>258</v>
      </c>
      <c r="F1042" s="682">
        <v>2021.0</v>
      </c>
      <c r="G1042" s="683">
        <v>7.09E-5</v>
      </c>
      <c r="H1042" s="683">
        <v>1.95E-6</v>
      </c>
      <c r="I1042" s="684">
        <v>3.44669E-4</v>
      </c>
      <c r="K1042" s="693" t="s">
        <v>30</v>
      </c>
      <c r="L1042" s="694" t="s">
        <v>449</v>
      </c>
      <c r="M1042" s="694" t="s">
        <v>915</v>
      </c>
      <c r="N1042" s="694" t="s">
        <v>927</v>
      </c>
      <c r="O1042" s="694">
        <v>2021.0</v>
      </c>
      <c r="P1042" s="694" t="s">
        <v>919</v>
      </c>
      <c r="Q1042" s="695" t="s">
        <v>112</v>
      </c>
      <c r="R1042" s="696">
        <v>412.4566612</v>
      </c>
      <c r="S1042" s="696">
        <v>260.6608602</v>
      </c>
      <c r="T1042" s="697">
        <v>614.8415894</v>
      </c>
      <c r="AB1042" s="722"/>
    </row>
    <row r="1043">
      <c r="A1043" s="351"/>
      <c r="B1043" s="681" t="s">
        <v>63</v>
      </c>
      <c r="C1043" s="682" t="s">
        <v>915</v>
      </c>
      <c r="D1043" s="682" t="s">
        <v>926</v>
      </c>
      <c r="E1043" s="682" t="s">
        <v>258</v>
      </c>
      <c r="F1043" s="682">
        <v>2021.0</v>
      </c>
      <c r="G1043" s="683">
        <v>4.30089E-4</v>
      </c>
      <c r="H1043" s="683">
        <v>1.32E-5</v>
      </c>
      <c r="I1043" s="684">
        <v>0.002038145</v>
      </c>
      <c r="K1043" s="693" t="s">
        <v>30</v>
      </c>
      <c r="L1043" s="694" t="s">
        <v>449</v>
      </c>
      <c r="M1043" s="694" t="s">
        <v>915</v>
      </c>
      <c r="N1043" s="694" t="s">
        <v>926</v>
      </c>
      <c r="O1043" s="694">
        <v>2021.0</v>
      </c>
      <c r="P1043" s="694" t="s">
        <v>919</v>
      </c>
      <c r="Q1043" s="695" t="s">
        <v>112</v>
      </c>
      <c r="R1043" s="696">
        <v>1495.031252</v>
      </c>
      <c r="S1043" s="696">
        <v>883.0938147</v>
      </c>
      <c r="T1043" s="697">
        <v>2410.578853</v>
      </c>
      <c r="AB1043" s="722"/>
    </row>
    <row r="1044">
      <c r="A1044" s="351"/>
      <c r="B1044" s="681" t="s">
        <v>64</v>
      </c>
      <c r="C1044" s="682" t="s">
        <v>915</v>
      </c>
      <c r="D1044" s="682" t="s">
        <v>916</v>
      </c>
      <c r="E1044" s="682" t="s">
        <v>258</v>
      </c>
      <c r="F1044" s="682">
        <v>2021.0</v>
      </c>
      <c r="G1044" s="683">
        <v>1.81E-5</v>
      </c>
      <c r="H1044" s="683">
        <v>3.56E-7</v>
      </c>
      <c r="I1044" s="684">
        <v>9.24E-5</v>
      </c>
      <c r="K1044" s="693" t="s">
        <v>31</v>
      </c>
      <c r="L1044" s="694" t="s">
        <v>449</v>
      </c>
      <c r="M1044" s="694" t="s">
        <v>915</v>
      </c>
      <c r="N1044" s="694" t="s">
        <v>918</v>
      </c>
      <c r="O1044" s="694">
        <v>2021.0</v>
      </c>
      <c r="P1044" s="694" t="s">
        <v>919</v>
      </c>
      <c r="Q1044" s="695" t="s">
        <v>112</v>
      </c>
      <c r="R1044" s="696">
        <v>584.198329</v>
      </c>
      <c r="S1044" s="696">
        <v>234.0951829</v>
      </c>
      <c r="T1044" s="697">
        <v>1220.344404</v>
      </c>
      <c r="AB1044" s="722"/>
    </row>
    <row r="1045">
      <c r="A1045" s="351"/>
      <c r="B1045" s="681" t="s">
        <v>64</v>
      </c>
      <c r="C1045" s="682" t="s">
        <v>915</v>
      </c>
      <c r="D1045" s="682" t="s">
        <v>922</v>
      </c>
      <c r="E1045" s="682" t="s">
        <v>258</v>
      </c>
      <c r="F1045" s="682">
        <v>2021.0</v>
      </c>
      <c r="G1045" s="683">
        <v>1.31E-5</v>
      </c>
      <c r="H1045" s="683">
        <v>3.92E-7</v>
      </c>
      <c r="I1045" s="684">
        <v>6.55E-5</v>
      </c>
      <c r="K1045" s="693" t="s">
        <v>31</v>
      </c>
      <c r="L1045" s="694" t="s">
        <v>449</v>
      </c>
      <c r="M1045" s="694" t="s">
        <v>915</v>
      </c>
      <c r="N1045" s="694" t="s">
        <v>923</v>
      </c>
      <c r="O1045" s="694">
        <v>2021.0</v>
      </c>
      <c r="P1045" s="694" t="s">
        <v>919</v>
      </c>
      <c r="Q1045" s="695" t="s">
        <v>112</v>
      </c>
      <c r="R1045" s="696">
        <v>94.85391153</v>
      </c>
      <c r="S1045" s="696">
        <v>50.12041593</v>
      </c>
      <c r="T1045" s="697">
        <v>150.4023564</v>
      </c>
      <c r="AB1045" s="722"/>
    </row>
    <row r="1046">
      <c r="A1046" s="351"/>
      <c r="B1046" s="681" t="s">
        <v>64</v>
      </c>
      <c r="C1046" s="682" t="s">
        <v>915</v>
      </c>
      <c r="D1046" s="682" t="s">
        <v>924</v>
      </c>
      <c r="E1046" s="682" t="s">
        <v>258</v>
      </c>
      <c r="F1046" s="682">
        <v>2021.0</v>
      </c>
      <c r="G1046" s="683">
        <v>7.02E-5</v>
      </c>
      <c r="H1046" s="683">
        <v>1.96E-6</v>
      </c>
      <c r="I1046" s="684">
        <v>3.43081E-4</v>
      </c>
      <c r="K1046" s="693" t="s">
        <v>31</v>
      </c>
      <c r="L1046" s="694" t="s">
        <v>449</v>
      </c>
      <c r="M1046" s="694" t="s">
        <v>915</v>
      </c>
      <c r="N1046" s="694" t="s">
        <v>925</v>
      </c>
      <c r="O1046" s="694">
        <v>2021.0</v>
      </c>
      <c r="P1046" s="694" t="s">
        <v>919</v>
      </c>
      <c r="Q1046" s="695" t="s">
        <v>112</v>
      </c>
      <c r="R1046" s="696">
        <v>68.29007617</v>
      </c>
      <c r="S1046" s="696">
        <v>38.0204114</v>
      </c>
      <c r="T1046" s="697">
        <v>114.4186204</v>
      </c>
      <c r="AB1046" s="722"/>
    </row>
    <row r="1047">
      <c r="A1047" s="351"/>
      <c r="B1047" s="681" t="s">
        <v>64</v>
      </c>
      <c r="C1047" s="682" t="s">
        <v>915</v>
      </c>
      <c r="D1047" s="682" t="s">
        <v>926</v>
      </c>
      <c r="E1047" s="682" t="s">
        <v>258</v>
      </c>
      <c r="F1047" s="682">
        <v>2021.0</v>
      </c>
      <c r="G1047" s="683">
        <v>4.1336E-4</v>
      </c>
      <c r="H1047" s="683">
        <v>1.76E-5</v>
      </c>
      <c r="I1047" s="684">
        <v>0.001878152</v>
      </c>
      <c r="K1047" s="693" t="s">
        <v>31</v>
      </c>
      <c r="L1047" s="694" t="s">
        <v>449</v>
      </c>
      <c r="M1047" s="694" t="s">
        <v>915</v>
      </c>
      <c r="N1047" s="694" t="s">
        <v>927</v>
      </c>
      <c r="O1047" s="694">
        <v>2021.0</v>
      </c>
      <c r="P1047" s="694" t="s">
        <v>919</v>
      </c>
      <c r="Q1047" s="695" t="s">
        <v>112</v>
      </c>
      <c r="R1047" s="696">
        <v>638.838318</v>
      </c>
      <c r="S1047" s="696">
        <v>370.4030477</v>
      </c>
      <c r="T1047" s="697">
        <v>1078.510038</v>
      </c>
      <c r="AB1047" s="722"/>
    </row>
    <row r="1048">
      <c r="A1048" s="351"/>
      <c r="B1048" s="681" t="s">
        <v>65</v>
      </c>
      <c r="C1048" s="682" t="s">
        <v>915</v>
      </c>
      <c r="D1048" s="682" t="s">
        <v>916</v>
      </c>
      <c r="E1048" s="682" t="s">
        <v>258</v>
      </c>
      <c r="F1048" s="682">
        <v>2021.0</v>
      </c>
      <c r="G1048" s="683">
        <v>1.23E-5</v>
      </c>
      <c r="H1048" s="683">
        <v>2.71E-7</v>
      </c>
      <c r="I1048" s="684">
        <v>5.94E-5</v>
      </c>
      <c r="K1048" s="693" t="s">
        <v>31</v>
      </c>
      <c r="L1048" s="694" t="s">
        <v>449</v>
      </c>
      <c r="M1048" s="694" t="s">
        <v>915</v>
      </c>
      <c r="N1048" s="694" t="s">
        <v>926</v>
      </c>
      <c r="O1048" s="694">
        <v>2021.0</v>
      </c>
      <c r="P1048" s="694" t="s">
        <v>919</v>
      </c>
      <c r="Q1048" s="695" t="s">
        <v>112</v>
      </c>
      <c r="R1048" s="696">
        <v>1386.180635</v>
      </c>
      <c r="S1048" s="696">
        <v>767.0009504</v>
      </c>
      <c r="T1048" s="697">
        <v>2397.275897</v>
      </c>
      <c r="AB1048" s="722"/>
    </row>
    <row r="1049">
      <c r="A1049" s="351"/>
      <c r="B1049" s="681" t="s">
        <v>65</v>
      </c>
      <c r="C1049" s="682" t="s">
        <v>915</v>
      </c>
      <c r="D1049" s="682" t="s">
        <v>922</v>
      </c>
      <c r="E1049" s="682" t="s">
        <v>258</v>
      </c>
      <c r="F1049" s="682">
        <v>2021.0</v>
      </c>
      <c r="G1049" s="683">
        <v>9.29E-6</v>
      </c>
      <c r="H1049" s="683">
        <v>2.47E-7</v>
      </c>
      <c r="I1049" s="684">
        <v>4.48E-5</v>
      </c>
      <c r="K1049" s="693" t="s">
        <v>32</v>
      </c>
      <c r="L1049" s="694" t="s">
        <v>449</v>
      </c>
      <c r="M1049" s="694" t="s">
        <v>915</v>
      </c>
      <c r="N1049" s="694" t="s">
        <v>918</v>
      </c>
      <c r="O1049" s="694">
        <v>2021.0</v>
      </c>
      <c r="P1049" s="694" t="s">
        <v>919</v>
      </c>
      <c r="Q1049" s="695" t="s">
        <v>112</v>
      </c>
      <c r="R1049" s="696">
        <v>2289.93348</v>
      </c>
      <c r="S1049" s="696">
        <v>878.501433</v>
      </c>
      <c r="T1049" s="697">
        <v>4696.602879</v>
      </c>
      <c r="AB1049" s="722"/>
    </row>
    <row r="1050">
      <c r="A1050" s="351"/>
      <c r="B1050" s="681" t="s">
        <v>65</v>
      </c>
      <c r="C1050" s="682" t="s">
        <v>915</v>
      </c>
      <c r="D1050" s="682" t="s">
        <v>924</v>
      </c>
      <c r="E1050" s="682" t="s">
        <v>258</v>
      </c>
      <c r="F1050" s="682">
        <v>2021.0</v>
      </c>
      <c r="G1050" s="683">
        <v>5.5E-5</v>
      </c>
      <c r="H1050" s="683">
        <v>1.59E-6</v>
      </c>
      <c r="I1050" s="684">
        <v>2.33065E-4</v>
      </c>
      <c r="K1050" s="693" t="s">
        <v>32</v>
      </c>
      <c r="L1050" s="694" t="s">
        <v>449</v>
      </c>
      <c r="M1050" s="694" t="s">
        <v>915</v>
      </c>
      <c r="N1050" s="694" t="s">
        <v>923</v>
      </c>
      <c r="O1050" s="694">
        <v>2021.0</v>
      </c>
      <c r="P1050" s="694" t="s">
        <v>919</v>
      </c>
      <c r="Q1050" s="695" t="s">
        <v>112</v>
      </c>
      <c r="R1050" s="696">
        <v>232.5389148</v>
      </c>
      <c r="S1050" s="696">
        <v>120.4660642</v>
      </c>
      <c r="T1050" s="697">
        <v>393.8386664</v>
      </c>
      <c r="AB1050" s="722"/>
    </row>
    <row r="1051">
      <c r="A1051" s="351"/>
      <c r="B1051" s="681" t="s">
        <v>65</v>
      </c>
      <c r="C1051" s="682" t="s">
        <v>915</v>
      </c>
      <c r="D1051" s="682" t="s">
        <v>926</v>
      </c>
      <c r="E1051" s="682" t="s">
        <v>258</v>
      </c>
      <c r="F1051" s="682">
        <v>2021.0</v>
      </c>
      <c r="G1051" s="683">
        <v>3.57551E-4</v>
      </c>
      <c r="H1051" s="683">
        <v>1.08E-5</v>
      </c>
      <c r="I1051" s="684">
        <v>0.001500751</v>
      </c>
      <c r="K1051" s="693" t="s">
        <v>32</v>
      </c>
      <c r="L1051" s="694" t="s">
        <v>449</v>
      </c>
      <c r="M1051" s="694" t="s">
        <v>915</v>
      </c>
      <c r="N1051" s="694" t="s">
        <v>925</v>
      </c>
      <c r="O1051" s="694">
        <v>2021.0</v>
      </c>
      <c r="P1051" s="694" t="s">
        <v>919</v>
      </c>
      <c r="Q1051" s="695" t="s">
        <v>112</v>
      </c>
      <c r="R1051" s="696">
        <v>157.4103247</v>
      </c>
      <c r="S1051" s="696">
        <v>82.16005911</v>
      </c>
      <c r="T1051" s="697">
        <v>268.8625113</v>
      </c>
      <c r="AB1051" s="722"/>
    </row>
    <row r="1052">
      <c r="A1052" s="351"/>
      <c r="B1052" s="681" t="s">
        <v>35</v>
      </c>
      <c r="C1052" s="682" t="s">
        <v>915</v>
      </c>
      <c r="D1052" s="682" t="s">
        <v>916</v>
      </c>
      <c r="E1052" s="682" t="s">
        <v>258</v>
      </c>
      <c r="F1052" s="682">
        <v>2021.0</v>
      </c>
      <c r="G1052" s="683">
        <v>6.76E-5</v>
      </c>
      <c r="H1052" s="683">
        <v>2.01E-6</v>
      </c>
      <c r="I1052" s="684">
        <v>3.31764E-4</v>
      </c>
      <c r="K1052" s="693" t="s">
        <v>32</v>
      </c>
      <c r="L1052" s="694" t="s">
        <v>449</v>
      </c>
      <c r="M1052" s="694" t="s">
        <v>915</v>
      </c>
      <c r="N1052" s="694" t="s">
        <v>927</v>
      </c>
      <c r="O1052" s="694">
        <v>2021.0</v>
      </c>
      <c r="P1052" s="694" t="s">
        <v>919</v>
      </c>
      <c r="Q1052" s="695" t="s">
        <v>112</v>
      </c>
      <c r="R1052" s="696">
        <v>1027.156114</v>
      </c>
      <c r="S1052" s="696">
        <v>562.9950934</v>
      </c>
      <c r="T1052" s="697">
        <v>1702.646108</v>
      </c>
      <c r="AB1052" s="722"/>
    </row>
    <row r="1053">
      <c r="A1053" s="351"/>
      <c r="B1053" s="681" t="s">
        <v>35</v>
      </c>
      <c r="C1053" s="682" t="s">
        <v>915</v>
      </c>
      <c r="D1053" s="682" t="s">
        <v>922</v>
      </c>
      <c r="E1053" s="682" t="s">
        <v>258</v>
      </c>
      <c r="F1053" s="682">
        <v>2021.0</v>
      </c>
      <c r="G1053" s="683">
        <v>6.07E-5</v>
      </c>
      <c r="H1053" s="683">
        <v>1.77E-6</v>
      </c>
      <c r="I1053" s="684">
        <v>2.82204E-4</v>
      </c>
      <c r="K1053" s="693" t="s">
        <v>32</v>
      </c>
      <c r="L1053" s="694" t="s">
        <v>449</v>
      </c>
      <c r="M1053" s="694" t="s">
        <v>915</v>
      </c>
      <c r="N1053" s="694" t="s">
        <v>926</v>
      </c>
      <c r="O1053" s="694">
        <v>2021.0</v>
      </c>
      <c r="P1053" s="694" t="s">
        <v>919</v>
      </c>
      <c r="Q1053" s="695" t="s">
        <v>112</v>
      </c>
      <c r="R1053" s="696">
        <v>3707.038833</v>
      </c>
      <c r="S1053" s="696">
        <v>1819.307232</v>
      </c>
      <c r="T1053" s="697">
        <v>6701.233112</v>
      </c>
      <c r="AB1053" s="722"/>
    </row>
    <row r="1054">
      <c r="A1054" s="351"/>
      <c r="B1054" s="681" t="s">
        <v>35</v>
      </c>
      <c r="C1054" s="682" t="s">
        <v>915</v>
      </c>
      <c r="D1054" s="682" t="s">
        <v>924</v>
      </c>
      <c r="E1054" s="682" t="s">
        <v>258</v>
      </c>
      <c r="F1054" s="682">
        <v>2021.0</v>
      </c>
      <c r="G1054" s="683">
        <v>2.97079E-4</v>
      </c>
      <c r="H1054" s="683">
        <v>8.4E-6</v>
      </c>
      <c r="I1054" s="684">
        <v>0.001318967</v>
      </c>
      <c r="K1054" s="693" t="s">
        <v>33</v>
      </c>
      <c r="L1054" s="694" t="s">
        <v>449</v>
      </c>
      <c r="M1054" s="694" t="s">
        <v>915</v>
      </c>
      <c r="N1054" s="694" t="s">
        <v>918</v>
      </c>
      <c r="O1054" s="694">
        <v>2021.0</v>
      </c>
      <c r="P1054" s="694" t="s">
        <v>919</v>
      </c>
      <c r="Q1054" s="695" t="s">
        <v>112</v>
      </c>
      <c r="R1054" s="696">
        <v>1196.75548</v>
      </c>
      <c r="S1054" s="696">
        <v>548.7715479</v>
      </c>
      <c r="T1054" s="697">
        <v>2308.188758</v>
      </c>
      <c r="AB1054" s="722"/>
    </row>
    <row r="1055">
      <c r="A1055" s="351"/>
      <c r="B1055" s="681" t="s">
        <v>35</v>
      </c>
      <c r="C1055" s="682" t="s">
        <v>915</v>
      </c>
      <c r="D1055" s="682" t="s">
        <v>926</v>
      </c>
      <c r="E1055" s="682" t="s">
        <v>258</v>
      </c>
      <c r="F1055" s="682">
        <v>2021.0</v>
      </c>
      <c r="G1055" s="683">
        <v>0.002327154</v>
      </c>
      <c r="H1055" s="683">
        <v>9.6E-5</v>
      </c>
      <c r="I1055" s="684">
        <v>0.009209081</v>
      </c>
      <c r="K1055" s="693" t="s">
        <v>33</v>
      </c>
      <c r="L1055" s="694" t="s">
        <v>449</v>
      </c>
      <c r="M1055" s="694" t="s">
        <v>915</v>
      </c>
      <c r="N1055" s="694" t="s">
        <v>923</v>
      </c>
      <c r="O1055" s="694">
        <v>2021.0</v>
      </c>
      <c r="P1055" s="694" t="s">
        <v>919</v>
      </c>
      <c r="Q1055" s="695" t="s">
        <v>112</v>
      </c>
      <c r="R1055" s="696">
        <v>108.2306589</v>
      </c>
      <c r="S1055" s="696">
        <v>56.22820364</v>
      </c>
      <c r="T1055" s="697">
        <v>175.57636</v>
      </c>
      <c r="AB1055" s="722"/>
    </row>
    <row r="1056">
      <c r="A1056" s="351"/>
      <c r="B1056" s="681" t="s">
        <v>66</v>
      </c>
      <c r="C1056" s="682" t="s">
        <v>915</v>
      </c>
      <c r="D1056" s="682" t="s">
        <v>916</v>
      </c>
      <c r="E1056" s="682" t="s">
        <v>258</v>
      </c>
      <c r="F1056" s="682">
        <v>2021.0</v>
      </c>
      <c r="G1056" s="683">
        <v>3.29E-5</v>
      </c>
      <c r="H1056" s="683">
        <v>3.76E-7</v>
      </c>
      <c r="I1056" s="684">
        <v>1.69952E-4</v>
      </c>
      <c r="K1056" s="693" t="s">
        <v>33</v>
      </c>
      <c r="L1056" s="694" t="s">
        <v>449</v>
      </c>
      <c r="M1056" s="694" t="s">
        <v>915</v>
      </c>
      <c r="N1056" s="694" t="s">
        <v>925</v>
      </c>
      <c r="O1056" s="694">
        <v>2021.0</v>
      </c>
      <c r="P1056" s="694" t="s">
        <v>919</v>
      </c>
      <c r="Q1056" s="695" t="s">
        <v>112</v>
      </c>
      <c r="R1056" s="696">
        <v>105.1597916</v>
      </c>
      <c r="S1056" s="696">
        <v>53.90464914</v>
      </c>
      <c r="T1056" s="697">
        <v>168.3006721</v>
      </c>
      <c r="AB1056" s="722"/>
    </row>
    <row r="1057">
      <c r="A1057" s="351"/>
      <c r="B1057" s="681" t="s">
        <v>66</v>
      </c>
      <c r="C1057" s="682" t="s">
        <v>915</v>
      </c>
      <c r="D1057" s="682" t="s">
        <v>922</v>
      </c>
      <c r="E1057" s="682" t="s">
        <v>258</v>
      </c>
      <c r="F1057" s="682">
        <v>2021.0</v>
      </c>
      <c r="G1057" s="683">
        <v>3.27E-5</v>
      </c>
      <c r="H1057" s="683">
        <v>6.32E-7</v>
      </c>
      <c r="I1057" s="684">
        <v>1.66202E-4</v>
      </c>
      <c r="K1057" s="693" t="s">
        <v>33</v>
      </c>
      <c r="L1057" s="694" t="s">
        <v>449</v>
      </c>
      <c r="M1057" s="694" t="s">
        <v>915</v>
      </c>
      <c r="N1057" s="694" t="s">
        <v>927</v>
      </c>
      <c r="O1057" s="694">
        <v>2021.0</v>
      </c>
      <c r="P1057" s="694" t="s">
        <v>919</v>
      </c>
      <c r="Q1057" s="695" t="s">
        <v>112</v>
      </c>
      <c r="R1057" s="696">
        <v>633.3396625</v>
      </c>
      <c r="S1057" s="696">
        <v>376.3508388</v>
      </c>
      <c r="T1057" s="697">
        <v>1022.19056</v>
      </c>
      <c r="AB1057" s="722"/>
    </row>
    <row r="1058">
      <c r="A1058" s="351"/>
      <c r="B1058" s="681" t="s">
        <v>66</v>
      </c>
      <c r="C1058" s="682" t="s">
        <v>915</v>
      </c>
      <c r="D1058" s="682" t="s">
        <v>924</v>
      </c>
      <c r="E1058" s="682" t="s">
        <v>258</v>
      </c>
      <c r="F1058" s="682">
        <v>2021.0</v>
      </c>
      <c r="G1058" s="683">
        <v>1.46813E-4</v>
      </c>
      <c r="H1058" s="683">
        <v>2.23E-6</v>
      </c>
      <c r="I1058" s="684">
        <v>7.43736E-4</v>
      </c>
      <c r="K1058" s="693" t="s">
        <v>33</v>
      </c>
      <c r="L1058" s="694" t="s">
        <v>449</v>
      </c>
      <c r="M1058" s="694" t="s">
        <v>915</v>
      </c>
      <c r="N1058" s="694" t="s">
        <v>926</v>
      </c>
      <c r="O1058" s="694">
        <v>2021.0</v>
      </c>
      <c r="P1058" s="694" t="s">
        <v>919</v>
      </c>
      <c r="Q1058" s="695" t="s">
        <v>112</v>
      </c>
      <c r="R1058" s="696">
        <v>2043.485593</v>
      </c>
      <c r="S1058" s="696">
        <v>1151.314152</v>
      </c>
      <c r="T1058" s="697">
        <v>3459.463472</v>
      </c>
      <c r="AB1058" s="722"/>
    </row>
    <row r="1059">
      <c r="A1059" s="351"/>
      <c r="B1059" s="681" t="s">
        <v>66</v>
      </c>
      <c r="C1059" s="682" t="s">
        <v>915</v>
      </c>
      <c r="D1059" s="682" t="s">
        <v>926</v>
      </c>
      <c r="E1059" s="682" t="s">
        <v>258</v>
      </c>
      <c r="F1059" s="682">
        <v>2021.0</v>
      </c>
      <c r="G1059" s="683">
        <v>0.001203361</v>
      </c>
      <c r="H1059" s="683">
        <v>3.66E-5</v>
      </c>
      <c r="I1059" s="684">
        <v>0.005398075</v>
      </c>
      <c r="K1059" s="693" t="s">
        <v>34</v>
      </c>
      <c r="L1059" s="694" t="s">
        <v>449</v>
      </c>
      <c r="M1059" s="694" t="s">
        <v>915</v>
      </c>
      <c r="N1059" s="694" t="s">
        <v>918</v>
      </c>
      <c r="O1059" s="694">
        <v>2021.0</v>
      </c>
      <c r="P1059" s="694" t="s">
        <v>919</v>
      </c>
      <c r="Q1059" s="695" t="s">
        <v>112</v>
      </c>
      <c r="R1059" s="696">
        <v>584.957982</v>
      </c>
      <c r="S1059" s="696">
        <v>319.8962969</v>
      </c>
      <c r="T1059" s="697">
        <v>1041.721875</v>
      </c>
      <c r="AB1059" s="722"/>
    </row>
    <row r="1060">
      <c r="A1060" s="351"/>
      <c r="B1060" s="681" t="s">
        <v>67</v>
      </c>
      <c r="C1060" s="682" t="s">
        <v>915</v>
      </c>
      <c r="D1060" s="682" t="s">
        <v>916</v>
      </c>
      <c r="E1060" s="682" t="s">
        <v>258</v>
      </c>
      <c r="F1060" s="682">
        <v>2021.0</v>
      </c>
      <c r="G1060" s="683">
        <v>5.25E-5</v>
      </c>
      <c r="H1060" s="683">
        <v>1.06E-6</v>
      </c>
      <c r="I1060" s="684">
        <v>2.74698E-4</v>
      </c>
      <c r="K1060" s="693" t="s">
        <v>34</v>
      </c>
      <c r="L1060" s="694" t="s">
        <v>449</v>
      </c>
      <c r="M1060" s="694" t="s">
        <v>915</v>
      </c>
      <c r="N1060" s="694" t="s">
        <v>923</v>
      </c>
      <c r="O1060" s="694">
        <v>2021.0</v>
      </c>
      <c r="P1060" s="694" t="s">
        <v>919</v>
      </c>
      <c r="Q1060" s="695" t="s">
        <v>112</v>
      </c>
      <c r="R1060" s="696">
        <v>74.78046252</v>
      </c>
      <c r="S1060" s="696">
        <v>39.07927885</v>
      </c>
      <c r="T1060" s="697">
        <v>120.4795977</v>
      </c>
      <c r="AB1060" s="722"/>
    </row>
    <row r="1061">
      <c r="A1061" s="351"/>
      <c r="B1061" s="681" t="s">
        <v>67</v>
      </c>
      <c r="C1061" s="682" t="s">
        <v>915</v>
      </c>
      <c r="D1061" s="682" t="s">
        <v>922</v>
      </c>
      <c r="E1061" s="682" t="s">
        <v>258</v>
      </c>
      <c r="F1061" s="682">
        <v>2021.0</v>
      </c>
      <c r="G1061" s="683">
        <v>4.43E-5</v>
      </c>
      <c r="H1061" s="683">
        <v>9.15E-7</v>
      </c>
      <c r="I1061" s="684">
        <v>2.0995E-4</v>
      </c>
      <c r="K1061" s="693" t="s">
        <v>34</v>
      </c>
      <c r="L1061" s="694" t="s">
        <v>449</v>
      </c>
      <c r="M1061" s="694" t="s">
        <v>915</v>
      </c>
      <c r="N1061" s="694" t="s">
        <v>925</v>
      </c>
      <c r="O1061" s="694">
        <v>2021.0</v>
      </c>
      <c r="P1061" s="694" t="s">
        <v>919</v>
      </c>
      <c r="Q1061" s="695" t="s">
        <v>112</v>
      </c>
      <c r="R1061" s="696">
        <v>44.52235959</v>
      </c>
      <c r="S1061" s="696">
        <v>24.03568886</v>
      </c>
      <c r="T1061" s="697">
        <v>73.13210345</v>
      </c>
      <c r="AB1061" s="722"/>
    </row>
    <row r="1062">
      <c r="A1062" s="351"/>
      <c r="B1062" s="681" t="s">
        <v>67</v>
      </c>
      <c r="C1062" s="682" t="s">
        <v>915</v>
      </c>
      <c r="D1062" s="682" t="s">
        <v>924</v>
      </c>
      <c r="E1062" s="682" t="s">
        <v>258</v>
      </c>
      <c r="F1062" s="682">
        <v>2021.0</v>
      </c>
      <c r="G1062" s="683">
        <v>1.87811E-4</v>
      </c>
      <c r="H1062" s="683">
        <v>4.11E-6</v>
      </c>
      <c r="I1062" s="684">
        <v>8.62937E-4</v>
      </c>
      <c r="K1062" s="693" t="s">
        <v>34</v>
      </c>
      <c r="L1062" s="694" t="s">
        <v>449</v>
      </c>
      <c r="M1062" s="694" t="s">
        <v>915</v>
      </c>
      <c r="N1062" s="694" t="s">
        <v>927</v>
      </c>
      <c r="O1062" s="694">
        <v>2021.0</v>
      </c>
      <c r="P1062" s="694" t="s">
        <v>919</v>
      </c>
      <c r="Q1062" s="695" t="s">
        <v>112</v>
      </c>
      <c r="R1062" s="696">
        <v>356.8458763</v>
      </c>
      <c r="S1062" s="696">
        <v>236.661665</v>
      </c>
      <c r="T1062" s="697">
        <v>575.8100872</v>
      </c>
      <c r="AB1062" s="722"/>
    </row>
    <row r="1063">
      <c r="A1063" s="351"/>
      <c r="B1063" s="681" t="s">
        <v>67</v>
      </c>
      <c r="C1063" s="682" t="s">
        <v>915</v>
      </c>
      <c r="D1063" s="682" t="s">
        <v>926</v>
      </c>
      <c r="E1063" s="682" t="s">
        <v>258</v>
      </c>
      <c r="F1063" s="682">
        <v>2021.0</v>
      </c>
      <c r="G1063" s="683">
        <v>0.001569238</v>
      </c>
      <c r="H1063" s="683">
        <v>4.95E-5</v>
      </c>
      <c r="I1063" s="684">
        <v>0.006566276</v>
      </c>
      <c r="K1063" s="693" t="s">
        <v>34</v>
      </c>
      <c r="L1063" s="694" t="s">
        <v>449</v>
      </c>
      <c r="M1063" s="694" t="s">
        <v>915</v>
      </c>
      <c r="N1063" s="694" t="s">
        <v>926</v>
      </c>
      <c r="O1063" s="694">
        <v>2021.0</v>
      </c>
      <c r="P1063" s="694" t="s">
        <v>919</v>
      </c>
      <c r="Q1063" s="695" t="s">
        <v>112</v>
      </c>
      <c r="R1063" s="696">
        <v>1061.10668</v>
      </c>
      <c r="S1063" s="696">
        <v>681.0151519</v>
      </c>
      <c r="T1063" s="697">
        <v>1653.032415</v>
      </c>
      <c r="AB1063" s="722"/>
    </row>
    <row r="1064">
      <c r="A1064" s="351"/>
      <c r="B1064" s="681" t="s">
        <v>37</v>
      </c>
      <c r="C1064" s="682" t="s">
        <v>915</v>
      </c>
      <c r="D1064" s="682" t="s">
        <v>916</v>
      </c>
      <c r="E1064" s="682" t="s">
        <v>258</v>
      </c>
      <c r="F1064" s="682">
        <v>2021.0</v>
      </c>
      <c r="G1064" s="683">
        <v>6.69E-5</v>
      </c>
      <c r="H1064" s="683">
        <v>1.33E-6</v>
      </c>
      <c r="I1064" s="684">
        <v>3.0202E-4</v>
      </c>
      <c r="K1064" s="693" t="s">
        <v>54</v>
      </c>
      <c r="L1064" s="694" t="s">
        <v>449</v>
      </c>
      <c r="M1064" s="694" t="s">
        <v>915</v>
      </c>
      <c r="N1064" s="694" t="s">
        <v>918</v>
      </c>
      <c r="O1064" s="694">
        <v>2021.0</v>
      </c>
      <c r="P1064" s="694" t="s">
        <v>919</v>
      </c>
      <c r="Q1064" s="695" t="s">
        <v>112</v>
      </c>
      <c r="R1064" s="696">
        <v>51.55574471</v>
      </c>
      <c r="S1064" s="696">
        <v>17.78027294</v>
      </c>
      <c r="T1064" s="697">
        <v>107.609093</v>
      </c>
      <c r="AB1064" s="722"/>
    </row>
    <row r="1065">
      <c r="A1065" s="351"/>
      <c r="B1065" s="681" t="s">
        <v>37</v>
      </c>
      <c r="C1065" s="682" t="s">
        <v>915</v>
      </c>
      <c r="D1065" s="682" t="s">
        <v>922</v>
      </c>
      <c r="E1065" s="682" t="s">
        <v>258</v>
      </c>
      <c r="F1065" s="682">
        <v>2021.0</v>
      </c>
      <c r="G1065" s="683">
        <v>5.99E-5</v>
      </c>
      <c r="H1065" s="683">
        <v>1.47E-6</v>
      </c>
      <c r="I1065" s="684">
        <v>2.62083E-4</v>
      </c>
      <c r="K1065" s="693" t="s">
        <v>54</v>
      </c>
      <c r="L1065" s="694" t="s">
        <v>449</v>
      </c>
      <c r="M1065" s="694" t="s">
        <v>915</v>
      </c>
      <c r="N1065" s="694" t="s">
        <v>923</v>
      </c>
      <c r="O1065" s="694">
        <v>2021.0</v>
      </c>
      <c r="P1065" s="694" t="s">
        <v>919</v>
      </c>
      <c r="Q1065" s="695" t="s">
        <v>112</v>
      </c>
      <c r="R1065" s="696">
        <v>11.45004907</v>
      </c>
      <c r="S1065" s="696">
        <v>6.12483878</v>
      </c>
      <c r="T1065" s="697">
        <v>19.56997686</v>
      </c>
      <c r="AB1065" s="722"/>
    </row>
    <row r="1066">
      <c r="A1066" s="351"/>
      <c r="B1066" s="681" t="s">
        <v>37</v>
      </c>
      <c r="C1066" s="682" t="s">
        <v>915</v>
      </c>
      <c r="D1066" s="682" t="s">
        <v>924</v>
      </c>
      <c r="E1066" s="682" t="s">
        <v>258</v>
      </c>
      <c r="F1066" s="682">
        <v>2021.0</v>
      </c>
      <c r="G1066" s="683">
        <v>3.15217E-4</v>
      </c>
      <c r="H1066" s="683">
        <v>6.34E-6</v>
      </c>
      <c r="I1066" s="684">
        <v>0.001322299</v>
      </c>
      <c r="K1066" s="693" t="s">
        <v>54</v>
      </c>
      <c r="L1066" s="694" t="s">
        <v>449</v>
      </c>
      <c r="M1066" s="694" t="s">
        <v>915</v>
      </c>
      <c r="N1066" s="694" t="s">
        <v>925</v>
      </c>
      <c r="O1066" s="694">
        <v>2021.0</v>
      </c>
      <c r="P1066" s="694" t="s">
        <v>919</v>
      </c>
      <c r="Q1066" s="695" t="s">
        <v>112</v>
      </c>
      <c r="R1066" s="696">
        <v>6.007446286</v>
      </c>
      <c r="S1066" s="696">
        <v>3.202254841</v>
      </c>
      <c r="T1066" s="697">
        <v>10.82487011</v>
      </c>
      <c r="AB1066" s="722"/>
    </row>
    <row r="1067">
      <c r="A1067" s="351"/>
      <c r="B1067" s="681" t="s">
        <v>37</v>
      </c>
      <c r="C1067" s="682" t="s">
        <v>915</v>
      </c>
      <c r="D1067" s="682" t="s">
        <v>926</v>
      </c>
      <c r="E1067" s="682" t="s">
        <v>258</v>
      </c>
      <c r="F1067" s="682">
        <v>2021.0</v>
      </c>
      <c r="G1067" s="683">
        <v>0.002749402</v>
      </c>
      <c r="H1067" s="683">
        <v>8.08E-5</v>
      </c>
      <c r="I1067" s="684">
        <v>0.011266615</v>
      </c>
      <c r="K1067" s="693" t="s">
        <v>54</v>
      </c>
      <c r="L1067" s="694" t="s">
        <v>449</v>
      </c>
      <c r="M1067" s="694" t="s">
        <v>915</v>
      </c>
      <c r="N1067" s="694" t="s">
        <v>927</v>
      </c>
      <c r="O1067" s="694">
        <v>2021.0</v>
      </c>
      <c r="P1067" s="694" t="s">
        <v>919</v>
      </c>
      <c r="Q1067" s="695" t="s">
        <v>112</v>
      </c>
      <c r="R1067" s="696">
        <v>30.70955212</v>
      </c>
      <c r="S1067" s="696">
        <v>13.47760639</v>
      </c>
      <c r="T1067" s="697">
        <v>58.07455807</v>
      </c>
      <c r="AB1067" s="722"/>
    </row>
    <row r="1068">
      <c r="A1068" s="351"/>
      <c r="B1068" s="681" t="s">
        <v>38</v>
      </c>
      <c r="C1068" s="682" t="s">
        <v>915</v>
      </c>
      <c r="D1068" s="682" t="s">
        <v>916</v>
      </c>
      <c r="E1068" s="682" t="s">
        <v>302</v>
      </c>
      <c r="F1068" s="682">
        <v>2021.0</v>
      </c>
      <c r="G1068" s="683">
        <v>2.93E-5</v>
      </c>
      <c r="H1068" s="683">
        <v>6.17E-7</v>
      </c>
      <c r="I1068" s="684">
        <v>8.76E-5</v>
      </c>
      <c r="K1068" s="693" t="s">
        <v>54</v>
      </c>
      <c r="L1068" s="694" t="s">
        <v>449</v>
      </c>
      <c r="M1068" s="694" t="s">
        <v>915</v>
      </c>
      <c r="N1068" s="694" t="s">
        <v>926</v>
      </c>
      <c r="O1068" s="694">
        <v>2021.0</v>
      </c>
      <c r="P1068" s="694" t="s">
        <v>919</v>
      </c>
      <c r="Q1068" s="695" t="s">
        <v>112</v>
      </c>
      <c r="R1068" s="696">
        <v>99.72279218</v>
      </c>
      <c r="S1068" s="696">
        <v>46.65550314</v>
      </c>
      <c r="T1068" s="697">
        <v>186.0231996</v>
      </c>
      <c r="AB1068" s="722"/>
    </row>
    <row r="1069">
      <c r="A1069" s="351"/>
      <c r="B1069" s="681" t="s">
        <v>38</v>
      </c>
      <c r="C1069" s="682" t="s">
        <v>915</v>
      </c>
      <c r="D1069" s="682" t="s">
        <v>922</v>
      </c>
      <c r="E1069" s="682" t="s">
        <v>302</v>
      </c>
      <c r="F1069" s="682">
        <v>2021.0</v>
      </c>
      <c r="G1069" s="683">
        <v>1.00875E-4</v>
      </c>
      <c r="H1069" s="683">
        <v>3.34E-6</v>
      </c>
      <c r="I1069" s="684">
        <v>2.90992E-4</v>
      </c>
      <c r="K1069" s="693" t="s">
        <v>55</v>
      </c>
      <c r="L1069" s="694" t="s">
        <v>449</v>
      </c>
      <c r="M1069" s="694" t="s">
        <v>915</v>
      </c>
      <c r="N1069" s="694" t="s">
        <v>918</v>
      </c>
      <c r="O1069" s="694">
        <v>2021.0</v>
      </c>
      <c r="P1069" s="694" t="s">
        <v>919</v>
      </c>
      <c r="Q1069" s="695" t="s">
        <v>112</v>
      </c>
      <c r="R1069" s="696">
        <v>33.96796835</v>
      </c>
      <c r="S1069" s="696">
        <v>11.60958156</v>
      </c>
      <c r="T1069" s="697">
        <v>74.64667163</v>
      </c>
      <c r="AB1069" s="722"/>
    </row>
    <row r="1070">
      <c r="A1070" s="351"/>
      <c r="B1070" s="681" t="s">
        <v>38</v>
      </c>
      <c r="C1070" s="682" t="s">
        <v>915</v>
      </c>
      <c r="D1070" s="682" t="s">
        <v>924</v>
      </c>
      <c r="E1070" s="682" t="s">
        <v>302</v>
      </c>
      <c r="F1070" s="682">
        <v>2021.0</v>
      </c>
      <c r="G1070" s="683">
        <v>9.49E-6</v>
      </c>
      <c r="H1070" s="683">
        <v>2.21E-7</v>
      </c>
      <c r="I1070" s="684">
        <v>2.81E-5</v>
      </c>
      <c r="K1070" s="693" t="s">
        <v>55</v>
      </c>
      <c r="L1070" s="694" t="s">
        <v>449</v>
      </c>
      <c r="M1070" s="694" t="s">
        <v>915</v>
      </c>
      <c r="N1070" s="694" t="s">
        <v>923</v>
      </c>
      <c r="O1070" s="694">
        <v>2021.0</v>
      </c>
      <c r="P1070" s="694" t="s">
        <v>919</v>
      </c>
      <c r="Q1070" s="695" t="s">
        <v>112</v>
      </c>
      <c r="R1070" s="696">
        <v>11.61158209</v>
      </c>
      <c r="S1070" s="696">
        <v>6.14314663</v>
      </c>
      <c r="T1070" s="697">
        <v>19.60366055</v>
      </c>
      <c r="AB1070" s="722"/>
    </row>
    <row r="1071">
      <c r="A1071" s="351"/>
      <c r="B1071" s="681" t="s">
        <v>38</v>
      </c>
      <c r="C1071" s="682" t="s">
        <v>915</v>
      </c>
      <c r="D1071" s="682" t="s">
        <v>926</v>
      </c>
      <c r="E1071" s="682" t="s">
        <v>302</v>
      </c>
      <c r="F1071" s="682">
        <v>2021.0</v>
      </c>
      <c r="G1071" s="683">
        <v>6.91E-5</v>
      </c>
      <c r="H1071" s="683">
        <v>1.89E-6</v>
      </c>
      <c r="I1071" s="684">
        <v>1.63097E-4</v>
      </c>
      <c r="K1071" s="693" t="s">
        <v>55</v>
      </c>
      <c r="L1071" s="694" t="s">
        <v>449</v>
      </c>
      <c r="M1071" s="694" t="s">
        <v>915</v>
      </c>
      <c r="N1071" s="694" t="s">
        <v>925</v>
      </c>
      <c r="O1071" s="694">
        <v>2021.0</v>
      </c>
      <c r="P1071" s="694" t="s">
        <v>919</v>
      </c>
      <c r="Q1071" s="695" t="s">
        <v>112</v>
      </c>
      <c r="R1071" s="696">
        <v>8.6705455</v>
      </c>
      <c r="S1071" s="696">
        <v>4.70386357</v>
      </c>
      <c r="T1071" s="697">
        <v>15.1163305</v>
      </c>
      <c r="AB1071" s="722"/>
    </row>
    <row r="1072">
      <c r="A1072" s="351"/>
      <c r="B1072" s="681" t="s">
        <v>39</v>
      </c>
      <c r="C1072" s="682" t="s">
        <v>915</v>
      </c>
      <c r="D1072" s="682" t="s">
        <v>916</v>
      </c>
      <c r="E1072" s="682" t="s">
        <v>302</v>
      </c>
      <c r="F1072" s="682">
        <v>2021.0</v>
      </c>
      <c r="G1072" s="683">
        <v>5.09E-5</v>
      </c>
      <c r="H1072" s="683">
        <v>1.04E-5</v>
      </c>
      <c r="I1072" s="684">
        <v>1.21968E-4</v>
      </c>
      <c r="K1072" s="693" t="s">
        <v>55</v>
      </c>
      <c r="L1072" s="694" t="s">
        <v>449</v>
      </c>
      <c r="M1072" s="694" t="s">
        <v>915</v>
      </c>
      <c r="N1072" s="694" t="s">
        <v>927</v>
      </c>
      <c r="O1072" s="694">
        <v>2021.0</v>
      </c>
      <c r="P1072" s="694" t="s">
        <v>919</v>
      </c>
      <c r="Q1072" s="695" t="s">
        <v>112</v>
      </c>
      <c r="R1072" s="696">
        <v>33.54906563</v>
      </c>
      <c r="S1072" s="696">
        <v>14.93921961</v>
      </c>
      <c r="T1072" s="697">
        <v>61.10008863</v>
      </c>
      <c r="AB1072" s="722"/>
    </row>
    <row r="1073">
      <c r="A1073" s="351"/>
      <c r="B1073" s="681" t="s">
        <v>39</v>
      </c>
      <c r="C1073" s="682" t="s">
        <v>915</v>
      </c>
      <c r="D1073" s="682" t="s">
        <v>922</v>
      </c>
      <c r="E1073" s="682" t="s">
        <v>302</v>
      </c>
      <c r="F1073" s="682">
        <v>2021.0</v>
      </c>
      <c r="G1073" s="683">
        <v>1.74205E-4</v>
      </c>
      <c r="H1073" s="683">
        <v>4.38E-5</v>
      </c>
      <c r="I1073" s="684">
        <v>4.10436E-4</v>
      </c>
      <c r="K1073" s="693" t="s">
        <v>55</v>
      </c>
      <c r="L1073" s="694" t="s">
        <v>449</v>
      </c>
      <c r="M1073" s="694" t="s">
        <v>915</v>
      </c>
      <c r="N1073" s="694" t="s">
        <v>926</v>
      </c>
      <c r="O1073" s="694">
        <v>2021.0</v>
      </c>
      <c r="P1073" s="694" t="s">
        <v>919</v>
      </c>
      <c r="Q1073" s="695" t="s">
        <v>112</v>
      </c>
      <c r="R1073" s="696">
        <v>87.79916158</v>
      </c>
      <c r="S1073" s="696">
        <v>43.8339885</v>
      </c>
      <c r="T1073" s="697">
        <v>155.1943744</v>
      </c>
      <c r="AB1073" s="722"/>
    </row>
    <row r="1074">
      <c r="A1074" s="351"/>
      <c r="B1074" s="681" t="s">
        <v>39</v>
      </c>
      <c r="C1074" s="682" t="s">
        <v>915</v>
      </c>
      <c r="D1074" s="682" t="s">
        <v>924</v>
      </c>
      <c r="E1074" s="682" t="s">
        <v>302</v>
      </c>
      <c r="F1074" s="682">
        <v>2021.0</v>
      </c>
      <c r="G1074" s="683">
        <v>2.35E-5</v>
      </c>
      <c r="H1074" s="683">
        <v>6.2E-6</v>
      </c>
      <c r="I1074" s="684">
        <v>6.04E-5</v>
      </c>
      <c r="K1074" s="693" t="s">
        <v>56</v>
      </c>
      <c r="L1074" s="694" t="s">
        <v>449</v>
      </c>
      <c r="M1074" s="694" t="s">
        <v>915</v>
      </c>
      <c r="N1074" s="694" t="s">
        <v>918</v>
      </c>
      <c r="O1074" s="694">
        <v>2021.0</v>
      </c>
      <c r="P1074" s="694" t="s">
        <v>919</v>
      </c>
      <c r="Q1074" s="695" t="s">
        <v>112</v>
      </c>
      <c r="R1074" s="696">
        <v>34.55691719</v>
      </c>
      <c r="S1074" s="696">
        <v>9.598777351</v>
      </c>
      <c r="T1074" s="697">
        <v>84.53973661</v>
      </c>
      <c r="AB1074" s="722"/>
    </row>
    <row r="1075">
      <c r="A1075" s="351"/>
      <c r="B1075" s="681" t="s">
        <v>39</v>
      </c>
      <c r="C1075" s="682" t="s">
        <v>915</v>
      </c>
      <c r="D1075" s="682" t="s">
        <v>926</v>
      </c>
      <c r="E1075" s="682" t="s">
        <v>302</v>
      </c>
      <c r="F1075" s="682">
        <v>2021.0</v>
      </c>
      <c r="G1075" s="683">
        <v>1.07375E-4</v>
      </c>
      <c r="H1075" s="683">
        <v>2.59E-5</v>
      </c>
      <c r="I1075" s="684">
        <v>2.74544E-4</v>
      </c>
      <c r="K1075" s="693" t="s">
        <v>56</v>
      </c>
      <c r="L1075" s="694" t="s">
        <v>449</v>
      </c>
      <c r="M1075" s="694" t="s">
        <v>915</v>
      </c>
      <c r="N1075" s="694" t="s">
        <v>923</v>
      </c>
      <c r="O1075" s="694">
        <v>2021.0</v>
      </c>
      <c r="P1075" s="694" t="s">
        <v>919</v>
      </c>
      <c r="Q1075" s="695" t="s">
        <v>112</v>
      </c>
      <c r="R1075" s="696">
        <v>21.65063764</v>
      </c>
      <c r="S1075" s="696">
        <v>9.648264944</v>
      </c>
      <c r="T1075" s="697">
        <v>40.64485346</v>
      </c>
      <c r="AB1075" s="722"/>
    </row>
    <row r="1076">
      <c r="A1076" s="351"/>
      <c r="B1076" s="681" t="s">
        <v>40</v>
      </c>
      <c r="C1076" s="682" t="s">
        <v>915</v>
      </c>
      <c r="D1076" s="682" t="s">
        <v>916</v>
      </c>
      <c r="E1076" s="682" t="s">
        <v>302</v>
      </c>
      <c r="F1076" s="682">
        <v>2021.0</v>
      </c>
      <c r="G1076" s="683">
        <v>2.8E-5</v>
      </c>
      <c r="H1076" s="683">
        <v>1.45E-6</v>
      </c>
      <c r="I1076" s="684">
        <v>7.67E-5</v>
      </c>
      <c r="K1076" s="693" t="s">
        <v>56</v>
      </c>
      <c r="L1076" s="694" t="s">
        <v>449</v>
      </c>
      <c r="M1076" s="694" t="s">
        <v>915</v>
      </c>
      <c r="N1076" s="694" t="s">
        <v>925</v>
      </c>
      <c r="O1076" s="694">
        <v>2021.0</v>
      </c>
      <c r="P1076" s="694" t="s">
        <v>919</v>
      </c>
      <c r="Q1076" s="695" t="s">
        <v>112</v>
      </c>
      <c r="R1076" s="696">
        <v>10.25538763</v>
      </c>
      <c r="S1076" s="696">
        <v>4.791130762</v>
      </c>
      <c r="T1076" s="697">
        <v>21.20026</v>
      </c>
      <c r="AB1076" s="722"/>
    </row>
    <row r="1077">
      <c r="A1077" s="351"/>
      <c r="B1077" s="681" t="s">
        <v>40</v>
      </c>
      <c r="C1077" s="682" t="s">
        <v>915</v>
      </c>
      <c r="D1077" s="682" t="s">
        <v>922</v>
      </c>
      <c r="E1077" s="682" t="s">
        <v>302</v>
      </c>
      <c r="F1077" s="682">
        <v>2021.0</v>
      </c>
      <c r="G1077" s="683">
        <v>9.71E-5</v>
      </c>
      <c r="H1077" s="683">
        <v>7.3E-6</v>
      </c>
      <c r="I1077" s="684">
        <v>2.39874E-4</v>
      </c>
      <c r="K1077" s="693" t="s">
        <v>56</v>
      </c>
      <c r="L1077" s="694" t="s">
        <v>449</v>
      </c>
      <c r="M1077" s="694" t="s">
        <v>915</v>
      </c>
      <c r="N1077" s="694" t="s">
        <v>927</v>
      </c>
      <c r="O1077" s="694">
        <v>2021.0</v>
      </c>
      <c r="P1077" s="694" t="s">
        <v>919</v>
      </c>
      <c r="Q1077" s="695" t="s">
        <v>112</v>
      </c>
      <c r="R1077" s="696">
        <v>43.08177887</v>
      </c>
      <c r="S1077" s="696">
        <v>16.18038334</v>
      </c>
      <c r="T1077" s="697">
        <v>87.27185399</v>
      </c>
      <c r="AB1077" s="722"/>
    </row>
    <row r="1078">
      <c r="A1078" s="351"/>
      <c r="B1078" s="681" t="s">
        <v>40</v>
      </c>
      <c r="C1078" s="682" t="s">
        <v>915</v>
      </c>
      <c r="D1078" s="682" t="s">
        <v>924</v>
      </c>
      <c r="E1078" s="682" t="s">
        <v>302</v>
      </c>
      <c r="F1078" s="682">
        <v>2021.0</v>
      </c>
      <c r="G1078" s="683">
        <v>7.33E-6</v>
      </c>
      <c r="H1078" s="683">
        <v>3.72E-7</v>
      </c>
      <c r="I1078" s="684">
        <v>1.95E-5</v>
      </c>
      <c r="K1078" s="693" t="s">
        <v>56</v>
      </c>
      <c r="L1078" s="694" t="s">
        <v>449</v>
      </c>
      <c r="M1078" s="694" t="s">
        <v>915</v>
      </c>
      <c r="N1078" s="694" t="s">
        <v>926</v>
      </c>
      <c r="O1078" s="694">
        <v>2021.0</v>
      </c>
      <c r="P1078" s="694" t="s">
        <v>919</v>
      </c>
      <c r="Q1078" s="695" t="s">
        <v>112</v>
      </c>
      <c r="R1078" s="696">
        <v>109.5447213</v>
      </c>
      <c r="S1078" s="696">
        <v>49.26017112</v>
      </c>
      <c r="T1078" s="697">
        <v>212.3741341</v>
      </c>
      <c r="AB1078" s="722"/>
    </row>
    <row r="1079">
      <c r="A1079" s="351"/>
      <c r="B1079" s="681" t="s">
        <v>40</v>
      </c>
      <c r="C1079" s="682" t="s">
        <v>915</v>
      </c>
      <c r="D1079" s="682" t="s">
        <v>926</v>
      </c>
      <c r="E1079" s="682" t="s">
        <v>302</v>
      </c>
      <c r="F1079" s="682">
        <v>2021.0</v>
      </c>
      <c r="G1079" s="683">
        <v>6.96E-5</v>
      </c>
      <c r="H1079" s="683">
        <v>2.99E-6</v>
      </c>
      <c r="I1079" s="684">
        <v>1.90082E-4</v>
      </c>
      <c r="K1079" s="693" t="s">
        <v>57</v>
      </c>
      <c r="L1079" s="694" t="s">
        <v>449</v>
      </c>
      <c r="M1079" s="694" t="s">
        <v>915</v>
      </c>
      <c r="N1079" s="694" t="s">
        <v>918</v>
      </c>
      <c r="O1079" s="694">
        <v>2021.0</v>
      </c>
      <c r="P1079" s="694" t="s">
        <v>919</v>
      </c>
      <c r="Q1079" s="695" t="s">
        <v>112</v>
      </c>
      <c r="R1079" s="696">
        <v>172.4206043</v>
      </c>
      <c r="S1079" s="696">
        <v>69.27930533</v>
      </c>
      <c r="T1079" s="697">
        <v>344.2788318</v>
      </c>
      <c r="AB1079" s="722"/>
    </row>
    <row r="1080">
      <c r="A1080" s="351"/>
      <c r="B1080" s="681" t="s">
        <v>41</v>
      </c>
      <c r="C1080" s="682" t="s">
        <v>915</v>
      </c>
      <c r="D1080" s="682" t="s">
        <v>916</v>
      </c>
      <c r="E1080" s="682" t="s">
        <v>302</v>
      </c>
      <c r="F1080" s="682">
        <v>2021.0</v>
      </c>
      <c r="G1080" s="683">
        <v>2.31E-5</v>
      </c>
      <c r="H1080" s="683">
        <v>7.6E-7</v>
      </c>
      <c r="I1080" s="684">
        <v>5.7E-5</v>
      </c>
      <c r="K1080" s="693" t="s">
        <v>57</v>
      </c>
      <c r="L1080" s="694" t="s">
        <v>449</v>
      </c>
      <c r="M1080" s="694" t="s">
        <v>915</v>
      </c>
      <c r="N1080" s="694" t="s">
        <v>923</v>
      </c>
      <c r="O1080" s="694">
        <v>2021.0</v>
      </c>
      <c r="P1080" s="694" t="s">
        <v>919</v>
      </c>
      <c r="Q1080" s="695" t="s">
        <v>112</v>
      </c>
      <c r="R1080" s="696">
        <v>43.50322354</v>
      </c>
      <c r="S1080" s="696">
        <v>23.27901881</v>
      </c>
      <c r="T1080" s="697">
        <v>69.58699723</v>
      </c>
      <c r="AB1080" s="722"/>
    </row>
    <row r="1081">
      <c r="A1081" s="351"/>
      <c r="B1081" s="681" t="s">
        <v>41</v>
      </c>
      <c r="C1081" s="682" t="s">
        <v>915</v>
      </c>
      <c r="D1081" s="682" t="s">
        <v>922</v>
      </c>
      <c r="E1081" s="682" t="s">
        <v>302</v>
      </c>
      <c r="F1081" s="682">
        <v>2021.0</v>
      </c>
      <c r="G1081" s="683">
        <v>7.32E-5</v>
      </c>
      <c r="H1081" s="683">
        <v>3.29E-6</v>
      </c>
      <c r="I1081" s="684">
        <v>1.86767E-4</v>
      </c>
      <c r="K1081" s="693" t="s">
        <v>57</v>
      </c>
      <c r="L1081" s="694" t="s">
        <v>449</v>
      </c>
      <c r="M1081" s="694" t="s">
        <v>915</v>
      </c>
      <c r="N1081" s="694" t="s">
        <v>925</v>
      </c>
      <c r="O1081" s="694">
        <v>2021.0</v>
      </c>
      <c r="P1081" s="694" t="s">
        <v>919</v>
      </c>
      <c r="Q1081" s="695" t="s">
        <v>112</v>
      </c>
      <c r="R1081" s="696">
        <v>27.30440462</v>
      </c>
      <c r="S1081" s="696">
        <v>14.6963471</v>
      </c>
      <c r="T1081" s="697">
        <v>46.12688872</v>
      </c>
      <c r="AB1081" s="722"/>
    </row>
    <row r="1082">
      <c r="A1082" s="351"/>
      <c r="B1082" s="681" t="s">
        <v>41</v>
      </c>
      <c r="C1082" s="682" t="s">
        <v>915</v>
      </c>
      <c r="D1082" s="682" t="s">
        <v>924</v>
      </c>
      <c r="E1082" s="682" t="s">
        <v>302</v>
      </c>
      <c r="F1082" s="682">
        <v>2021.0</v>
      </c>
      <c r="G1082" s="683">
        <v>6.22E-6</v>
      </c>
      <c r="H1082" s="683">
        <v>2.05E-7</v>
      </c>
      <c r="I1082" s="684">
        <v>1.4E-5</v>
      </c>
      <c r="K1082" s="693" t="s">
        <v>57</v>
      </c>
      <c r="L1082" s="694" t="s">
        <v>449</v>
      </c>
      <c r="M1082" s="694" t="s">
        <v>915</v>
      </c>
      <c r="N1082" s="694" t="s">
        <v>927</v>
      </c>
      <c r="O1082" s="694">
        <v>2021.0</v>
      </c>
      <c r="P1082" s="694" t="s">
        <v>919</v>
      </c>
      <c r="Q1082" s="695" t="s">
        <v>112</v>
      </c>
      <c r="R1082" s="696">
        <v>169.7740494</v>
      </c>
      <c r="S1082" s="696">
        <v>89.95510185</v>
      </c>
      <c r="T1082" s="697">
        <v>292.393227</v>
      </c>
      <c r="AB1082" s="722"/>
    </row>
    <row r="1083">
      <c r="A1083" s="351"/>
      <c r="B1083" s="681" t="s">
        <v>41</v>
      </c>
      <c r="C1083" s="682" t="s">
        <v>915</v>
      </c>
      <c r="D1083" s="682" t="s">
        <v>926</v>
      </c>
      <c r="E1083" s="682" t="s">
        <v>302</v>
      </c>
      <c r="F1083" s="682">
        <v>2021.0</v>
      </c>
      <c r="G1083" s="683">
        <v>5.67E-5</v>
      </c>
      <c r="H1083" s="683">
        <v>1.41E-6</v>
      </c>
      <c r="I1083" s="684">
        <v>1.32369E-4</v>
      </c>
      <c r="K1083" s="693" t="s">
        <v>57</v>
      </c>
      <c r="L1083" s="694" t="s">
        <v>449</v>
      </c>
      <c r="M1083" s="694" t="s">
        <v>915</v>
      </c>
      <c r="N1083" s="694" t="s">
        <v>926</v>
      </c>
      <c r="O1083" s="694">
        <v>2021.0</v>
      </c>
      <c r="P1083" s="694" t="s">
        <v>919</v>
      </c>
      <c r="Q1083" s="695" t="s">
        <v>112</v>
      </c>
      <c r="R1083" s="696">
        <v>413.0022819</v>
      </c>
      <c r="S1083" s="696">
        <v>224.6053471</v>
      </c>
      <c r="T1083" s="697">
        <v>669.1725983</v>
      </c>
      <c r="AB1083" s="722"/>
    </row>
    <row r="1084">
      <c r="A1084" s="351"/>
      <c r="B1084" s="681" t="s">
        <v>26</v>
      </c>
      <c r="C1084" s="682" t="s">
        <v>915</v>
      </c>
      <c r="D1084" s="682" t="s">
        <v>916</v>
      </c>
      <c r="E1084" s="682" t="s">
        <v>302</v>
      </c>
      <c r="F1084" s="682">
        <v>2021.0</v>
      </c>
      <c r="G1084" s="683">
        <v>7.96E-5</v>
      </c>
      <c r="H1084" s="683">
        <v>1.64E-5</v>
      </c>
      <c r="I1084" s="684">
        <v>2.3849E-4</v>
      </c>
      <c r="K1084" s="693" t="s">
        <v>58</v>
      </c>
      <c r="L1084" s="694" t="s">
        <v>449</v>
      </c>
      <c r="M1084" s="694" t="s">
        <v>915</v>
      </c>
      <c r="N1084" s="694" t="s">
        <v>918</v>
      </c>
      <c r="O1084" s="694">
        <v>2021.0</v>
      </c>
      <c r="P1084" s="694" t="s">
        <v>919</v>
      </c>
      <c r="Q1084" s="695" t="s">
        <v>112</v>
      </c>
      <c r="R1084" s="696">
        <v>566.0035329</v>
      </c>
      <c r="S1084" s="696">
        <v>234.1596615</v>
      </c>
      <c r="T1084" s="697">
        <v>1078.498313</v>
      </c>
      <c r="AB1084" s="722"/>
    </row>
    <row r="1085">
      <c r="A1085" s="351"/>
      <c r="B1085" s="681" t="s">
        <v>26</v>
      </c>
      <c r="C1085" s="682" t="s">
        <v>915</v>
      </c>
      <c r="D1085" s="682" t="s">
        <v>922</v>
      </c>
      <c r="E1085" s="682" t="s">
        <v>302</v>
      </c>
      <c r="F1085" s="682">
        <v>2021.0</v>
      </c>
      <c r="G1085" s="683">
        <v>2.85466E-4</v>
      </c>
      <c r="H1085" s="683">
        <v>6.27E-5</v>
      </c>
      <c r="I1085" s="684">
        <v>8.67989E-4</v>
      </c>
      <c r="K1085" s="693" t="s">
        <v>58</v>
      </c>
      <c r="L1085" s="694" t="s">
        <v>449</v>
      </c>
      <c r="M1085" s="694" t="s">
        <v>915</v>
      </c>
      <c r="N1085" s="694" t="s">
        <v>923</v>
      </c>
      <c r="O1085" s="694">
        <v>2021.0</v>
      </c>
      <c r="P1085" s="694" t="s">
        <v>919</v>
      </c>
      <c r="Q1085" s="695" t="s">
        <v>112</v>
      </c>
      <c r="R1085" s="696">
        <v>92.28288516</v>
      </c>
      <c r="S1085" s="696">
        <v>48.43623285</v>
      </c>
      <c r="T1085" s="697">
        <v>147.6064734</v>
      </c>
      <c r="AB1085" s="722"/>
    </row>
    <row r="1086">
      <c r="A1086" s="351"/>
      <c r="B1086" s="681" t="s">
        <v>26</v>
      </c>
      <c r="C1086" s="682" t="s">
        <v>915</v>
      </c>
      <c r="D1086" s="682" t="s">
        <v>924</v>
      </c>
      <c r="E1086" s="682" t="s">
        <v>302</v>
      </c>
      <c r="F1086" s="682">
        <v>2021.0</v>
      </c>
      <c r="G1086" s="683">
        <v>4.07E-5</v>
      </c>
      <c r="H1086" s="683">
        <v>8.1E-6</v>
      </c>
      <c r="I1086" s="684">
        <v>1.2196E-4</v>
      </c>
      <c r="K1086" s="693" t="s">
        <v>58</v>
      </c>
      <c r="L1086" s="694" t="s">
        <v>449</v>
      </c>
      <c r="M1086" s="694" t="s">
        <v>915</v>
      </c>
      <c r="N1086" s="694" t="s">
        <v>925</v>
      </c>
      <c r="O1086" s="694">
        <v>2021.0</v>
      </c>
      <c r="P1086" s="694" t="s">
        <v>919</v>
      </c>
      <c r="Q1086" s="695" t="s">
        <v>112</v>
      </c>
      <c r="R1086" s="696">
        <v>84.11014099</v>
      </c>
      <c r="S1086" s="696">
        <v>43.41420585</v>
      </c>
      <c r="T1086" s="697">
        <v>143.038678</v>
      </c>
      <c r="AB1086" s="722"/>
    </row>
    <row r="1087">
      <c r="A1087" s="351"/>
      <c r="B1087" s="681" t="s">
        <v>26</v>
      </c>
      <c r="C1087" s="682" t="s">
        <v>915</v>
      </c>
      <c r="D1087" s="682" t="s">
        <v>926</v>
      </c>
      <c r="E1087" s="682" t="s">
        <v>302</v>
      </c>
      <c r="F1087" s="682">
        <v>2021.0</v>
      </c>
      <c r="G1087" s="683">
        <v>1.94494E-4</v>
      </c>
      <c r="H1087" s="683">
        <v>6.25E-5</v>
      </c>
      <c r="I1087" s="684">
        <v>6.65943E-4</v>
      </c>
      <c r="K1087" s="693" t="s">
        <v>58</v>
      </c>
      <c r="L1087" s="694" t="s">
        <v>449</v>
      </c>
      <c r="M1087" s="694" t="s">
        <v>915</v>
      </c>
      <c r="N1087" s="694" t="s">
        <v>927</v>
      </c>
      <c r="O1087" s="694">
        <v>2021.0</v>
      </c>
      <c r="P1087" s="694" t="s">
        <v>919</v>
      </c>
      <c r="Q1087" s="695" t="s">
        <v>112</v>
      </c>
      <c r="R1087" s="696">
        <v>542.4909323</v>
      </c>
      <c r="S1087" s="696">
        <v>317.109267</v>
      </c>
      <c r="T1087" s="697">
        <v>849.5038668</v>
      </c>
      <c r="AB1087" s="722"/>
    </row>
    <row r="1088">
      <c r="A1088" s="351"/>
      <c r="B1088" s="681" t="s">
        <v>42</v>
      </c>
      <c r="C1088" s="682" t="s">
        <v>915</v>
      </c>
      <c r="D1088" s="682" t="s">
        <v>916</v>
      </c>
      <c r="E1088" s="682" t="s">
        <v>302</v>
      </c>
      <c r="F1088" s="682">
        <v>2021.0</v>
      </c>
      <c r="G1088" s="683">
        <v>3.97E-5</v>
      </c>
      <c r="H1088" s="683">
        <v>2.6E-6</v>
      </c>
      <c r="I1088" s="684">
        <v>1.03638E-4</v>
      </c>
      <c r="K1088" s="693" t="s">
        <v>58</v>
      </c>
      <c r="L1088" s="694" t="s">
        <v>449</v>
      </c>
      <c r="M1088" s="694" t="s">
        <v>915</v>
      </c>
      <c r="N1088" s="694" t="s">
        <v>926</v>
      </c>
      <c r="O1088" s="694">
        <v>2021.0</v>
      </c>
      <c r="P1088" s="694" t="s">
        <v>919</v>
      </c>
      <c r="Q1088" s="695" t="s">
        <v>112</v>
      </c>
      <c r="R1088" s="696">
        <v>1284.887491</v>
      </c>
      <c r="S1088" s="696">
        <v>734.819488</v>
      </c>
      <c r="T1088" s="697">
        <v>2023.81456</v>
      </c>
      <c r="AB1088" s="722"/>
    </row>
    <row r="1089">
      <c r="A1089" s="351"/>
      <c r="B1089" s="681" t="s">
        <v>42</v>
      </c>
      <c r="C1089" s="682" t="s">
        <v>915</v>
      </c>
      <c r="D1089" s="682" t="s">
        <v>922</v>
      </c>
      <c r="E1089" s="682" t="s">
        <v>302</v>
      </c>
      <c r="F1089" s="682">
        <v>2021.0</v>
      </c>
      <c r="G1089" s="683">
        <v>1.38815E-4</v>
      </c>
      <c r="H1089" s="683">
        <v>1.3E-5</v>
      </c>
      <c r="I1089" s="684">
        <v>3.56441E-4</v>
      </c>
      <c r="K1089" s="693" t="s">
        <v>7</v>
      </c>
      <c r="L1089" s="694" t="s">
        <v>449</v>
      </c>
      <c r="M1089" s="694" t="s">
        <v>915</v>
      </c>
      <c r="N1089" s="694" t="s">
        <v>918</v>
      </c>
      <c r="O1089" s="694">
        <v>2021.0</v>
      </c>
      <c r="P1089" s="694" t="s">
        <v>919</v>
      </c>
      <c r="Q1089" s="695" t="s">
        <v>112</v>
      </c>
      <c r="R1089" s="696">
        <v>13278.21863</v>
      </c>
      <c r="S1089" s="696">
        <v>6193.446385</v>
      </c>
      <c r="T1089" s="697">
        <v>23662.42974</v>
      </c>
      <c r="AB1089" s="722"/>
    </row>
    <row r="1090">
      <c r="A1090" s="351"/>
      <c r="B1090" s="681" t="s">
        <v>42</v>
      </c>
      <c r="C1090" s="682" t="s">
        <v>915</v>
      </c>
      <c r="D1090" s="682" t="s">
        <v>924</v>
      </c>
      <c r="E1090" s="682" t="s">
        <v>302</v>
      </c>
      <c r="F1090" s="682">
        <v>2021.0</v>
      </c>
      <c r="G1090" s="683">
        <v>1.07E-5</v>
      </c>
      <c r="H1090" s="683">
        <v>6.63E-7</v>
      </c>
      <c r="I1090" s="684">
        <v>2.95E-5</v>
      </c>
      <c r="K1090" s="693" t="s">
        <v>7</v>
      </c>
      <c r="L1090" s="694" t="s">
        <v>449</v>
      </c>
      <c r="M1090" s="694" t="s">
        <v>915</v>
      </c>
      <c r="N1090" s="694" t="s">
        <v>923</v>
      </c>
      <c r="O1090" s="694">
        <v>2021.0</v>
      </c>
      <c r="P1090" s="694" t="s">
        <v>919</v>
      </c>
      <c r="Q1090" s="695" t="s">
        <v>112</v>
      </c>
      <c r="R1090" s="696">
        <v>1756.696812</v>
      </c>
      <c r="S1090" s="696">
        <v>1239.468846</v>
      </c>
      <c r="T1090" s="697">
        <v>2596.193323</v>
      </c>
      <c r="AB1090" s="722"/>
    </row>
    <row r="1091">
      <c r="A1091" s="351"/>
      <c r="B1091" s="681" t="s">
        <v>42</v>
      </c>
      <c r="C1091" s="682" t="s">
        <v>915</v>
      </c>
      <c r="D1091" s="682" t="s">
        <v>926</v>
      </c>
      <c r="E1091" s="682" t="s">
        <v>302</v>
      </c>
      <c r="F1091" s="682">
        <v>2021.0</v>
      </c>
      <c r="G1091" s="683">
        <v>6.48E-5</v>
      </c>
      <c r="H1091" s="683">
        <v>4.68E-6</v>
      </c>
      <c r="I1091" s="684">
        <v>1.7405E-4</v>
      </c>
      <c r="K1091" s="693" t="s">
        <v>7</v>
      </c>
      <c r="L1091" s="694" t="s">
        <v>449</v>
      </c>
      <c r="M1091" s="694" t="s">
        <v>915</v>
      </c>
      <c r="N1091" s="694" t="s">
        <v>925</v>
      </c>
      <c r="O1091" s="694">
        <v>2021.0</v>
      </c>
      <c r="P1091" s="694" t="s">
        <v>919</v>
      </c>
      <c r="Q1091" s="695" t="s">
        <v>112</v>
      </c>
      <c r="R1091" s="696">
        <v>1167.155425</v>
      </c>
      <c r="S1091" s="696">
        <v>846.2895712</v>
      </c>
      <c r="T1091" s="697">
        <v>1648.795194</v>
      </c>
      <c r="AB1091" s="722"/>
    </row>
    <row r="1092">
      <c r="A1092" s="351"/>
      <c r="B1092" s="681" t="s">
        <v>44</v>
      </c>
      <c r="C1092" s="682" t="s">
        <v>915</v>
      </c>
      <c r="D1092" s="682" t="s">
        <v>916</v>
      </c>
      <c r="E1092" s="682" t="s">
        <v>302</v>
      </c>
      <c r="F1092" s="682">
        <v>2021.0</v>
      </c>
      <c r="G1092" s="683">
        <v>3.32E-5</v>
      </c>
      <c r="H1092" s="683">
        <v>7.65E-6</v>
      </c>
      <c r="I1092" s="684">
        <v>6.99E-5</v>
      </c>
      <c r="K1092" s="693" t="s">
        <v>7</v>
      </c>
      <c r="L1092" s="694" t="s">
        <v>449</v>
      </c>
      <c r="M1092" s="694" t="s">
        <v>915</v>
      </c>
      <c r="N1092" s="694" t="s">
        <v>927</v>
      </c>
      <c r="O1092" s="694">
        <v>2021.0</v>
      </c>
      <c r="P1092" s="694" t="s">
        <v>919</v>
      </c>
      <c r="Q1092" s="695" t="s">
        <v>112</v>
      </c>
      <c r="R1092" s="696">
        <v>8598.056886</v>
      </c>
      <c r="S1092" s="696">
        <v>5380.432505</v>
      </c>
      <c r="T1092" s="697">
        <v>13051.45616</v>
      </c>
      <c r="AB1092" s="722"/>
    </row>
    <row r="1093">
      <c r="A1093" s="351"/>
      <c r="B1093" s="681" t="s">
        <v>44</v>
      </c>
      <c r="C1093" s="682" t="s">
        <v>915</v>
      </c>
      <c r="D1093" s="682" t="s">
        <v>922</v>
      </c>
      <c r="E1093" s="682" t="s">
        <v>302</v>
      </c>
      <c r="F1093" s="682">
        <v>2021.0</v>
      </c>
      <c r="G1093" s="683">
        <v>1.13005E-4</v>
      </c>
      <c r="H1093" s="683">
        <v>3.62E-5</v>
      </c>
      <c r="I1093" s="684">
        <v>2.83853E-4</v>
      </c>
      <c r="K1093" s="693" t="s">
        <v>7</v>
      </c>
      <c r="L1093" s="694" t="s">
        <v>449</v>
      </c>
      <c r="M1093" s="694" t="s">
        <v>915</v>
      </c>
      <c r="N1093" s="694" t="s">
        <v>926</v>
      </c>
      <c r="O1093" s="694">
        <v>2021.0</v>
      </c>
      <c r="P1093" s="694" t="s">
        <v>919</v>
      </c>
      <c r="Q1093" s="695" t="s">
        <v>112</v>
      </c>
      <c r="R1093" s="696">
        <v>24800.12775</v>
      </c>
      <c r="S1093" s="696">
        <v>14638.55597</v>
      </c>
      <c r="T1093" s="697">
        <v>40561.16002</v>
      </c>
      <c r="AB1093" s="722"/>
    </row>
    <row r="1094">
      <c r="A1094" s="351"/>
      <c r="B1094" s="681" t="s">
        <v>44</v>
      </c>
      <c r="C1094" s="682" t="s">
        <v>915</v>
      </c>
      <c r="D1094" s="682" t="s">
        <v>924</v>
      </c>
      <c r="E1094" s="682" t="s">
        <v>302</v>
      </c>
      <c r="F1094" s="682">
        <v>2021.0</v>
      </c>
      <c r="G1094" s="683">
        <v>1.14E-5</v>
      </c>
      <c r="H1094" s="683">
        <v>3.27E-6</v>
      </c>
      <c r="I1094" s="684">
        <v>2.67E-5</v>
      </c>
      <c r="K1094" s="693" t="s">
        <v>59</v>
      </c>
      <c r="L1094" s="694" t="s">
        <v>449</v>
      </c>
      <c r="M1094" s="694" t="s">
        <v>915</v>
      </c>
      <c r="N1094" s="694" t="s">
        <v>918</v>
      </c>
      <c r="O1094" s="694">
        <v>2021.0</v>
      </c>
      <c r="P1094" s="694" t="s">
        <v>919</v>
      </c>
      <c r="Q1094" s="695" t="s">
        <v>112</v>
      </c>
      <c r="R1094" s="696">
        <v>187.4326909</v>
      </c>
      <c r="S1094" s="696">
        <v>70.92888586</v>
      </c>
      <c r="T1094" s="697">
        <v>375.7013573</v>
      </c>
      <c r="AB1094" s="722"/>
    </row>
    <row r="1095">
      <c r="A1095" s="351"/>
      <c r="B1095" s="681" t="s">
        <v>44</v>
      </c>
      <c r="C1095" s="682" t="s">
        <v>915</v>
      </c>
      <c r="D1095" s="682" t="s">
        <v>926</v>
      </c>
      <c r="E1095" s="682" t="s">
        <v>302</v>
      </c>
      <c r="F1095" s="682">
        <v>2021.0</v>
      </c>
      <c r="G1095" s="683">
        <v>7.98E-5</v>
      </c>
      <c r="H1095" s="683">
        <v>1.45E-5</v>
      </c>
      <c r="I1095" s="684">
        <v>2.00313E-4</v>
      </c>
      <c r="K1095" s="693" t="s">
        <v>59</v>
      </c>
      <c r="L1095" s="694" t="s">
        <v>449</v>
      </c>
      <c r="M1095" s="694" t="s">
        <v>915</v>
      </c>
      <c r="N1095" s="694" t="s">
        <v>923</v>
      </c>
      <c r="O1095" s="694">
        <v>2021.0</v>
      </c>
      <c r="P1095" s="694" t="s">
        <v>919</v>
      </c>
      <c r="Q1095" s="695" t="s">
        <v>112</v>
      </c>
      <c r="R1095" s="696">
        <v>61.83767961</v>
      </c>
      <c r="S1095" s="696">
        <v>30.74756055</v>
      </c>
      <c r="T1095" s="697">
        <v>105.6746685</v>
      </c>
      <c r="AB1095" s="722"/>
    </row>
    <row r="1096">
      <c r="A1096" s="351"/>
      <c r="B1096" s="681" t="s">
        <v>45</v>
      </c>
      <c r="C1096" s="682" t="s">
        <v>915</v>
      </c>
      <c r="D1096" s="682" t="s">
        <v>916</v>
      </c>
      <c r="E1096" s="682" t="s">
        <v>302</v>
      </c>
      <c r="F1096" s="682">
        <v>2021.0</v>
      </c>
      <c r="G1096" s="683">
        <v>3.02E-5</v>
      </c>
      <c r="H1096" s="683">
        <v>1.07E-5</v>
      </c>
      <c r="I1096" s="684">
        <v>1.02686E-4</v>
      </c>
      <c r="K1096" s="693" t="s">
        <v>59</v>
      </c>
      <c r="L1096" s="694" t="s">
        <v>449</v>
      </c>
      <c r="M1096" s="694" t="s">
        <v>915</v>
      </c>
      <c r="N1096" s="694" t="s">
        <v>925</v>
      </c>
      <c r="O1096" s="694">
        <v>2021.0</v>
      </c>
      <c r="P1096" s="694" t="s">
        <v>919</v>
      </c>
      <c r="Q1096" s="695" t="s">
        <v>112</v>
      </c>
      <c r="R1096" s="696">
        <v>47.05543466</v>
      </c>
      <c r="S1096" s="696">
        <v>25.6232268</v>
      </c>
      <c r="T1096" s="697">
        <v>81.8142596</v>
      </c>
      <c r="AB1096" s="722"/>
    </row>
    <row r="1097">
      <c r="A1097" s="351"/>
      <c r="B1097" s="681" t="s">
        <v>45</v>
      </c>
      <c r="C1097" s="682" t="s">
        <v>915</v>
      </c>
      <c r="D1097" s="682" t="s">
        <v>922</v>
      </c>
      <c r="E1097" s="682" t="s">
        <v>302</v>
      </c>
      <c r="F1097" s="682">
        <v>2021.0</v>
      </c>
      <c r="G1097" s="683">
        <v>1.20993E-4</v>
      </c>
      <c r="H1097" s="683">
        <v>4.69E-5</v>
      </c>
      <c r="I1097" s="684">
        <v>4.11617E-4</v>
      </c>
      <c r="K1097" s="693" t="s">
        <v>59</v>
      </c>
      <c r="L1097" s="694" t="s">
        <v>449</v>
      </c>
      <c r="M1097" s="694" t="s">
        <v>915</v>
      </c>
      <c r="N1097" s="694" t="s">
        <v>927</v>
      </c>
      <c r="O1097" s="694">
        <v>2021.0</v>
      </c>
      <c r="P1097" s="694" t="s">
        <v>919</v>
      </c>
      <c r="Q1097" s="695" t="s">
        <v>112</v>
      </c>
      <c r="R1097" s="696">
        <v>174.1030199</v>
      </c>
      <c r="S1097" s="696">
        <v>86.67591588</v>
      </c>
      <c r="T1097" s="697">
        <v>303.0978397</v>
      </c>
      <c r="AB1097" s="722"/>
    </row>
    <row r="1098">
      <c r="A1098" s="351"/>
      <c r="B1098" s="681" t="s">
        <v>45</v>
      </c>
      <c r="C1098" s="682" t="s">
        <v>915</v>
      </c>
      <c r="D1098" s="682" t="s">
        <v>924</v>
      </c>
      <c r="E1098" s="682" t="s">
        <v>302</v>
      </c>
      <c r="F1098" s="682">
        <v>2021.0</v>
      </c>
      <c r="G1098" s="683">
        <v>1.16E-5</v>
      </c>
      <c r="H1098" s="683">
        <v>3.44E-6</v>
      </c>
      <c r="I1098" s="684">
        <v>3.88E-5</v>
      </c>
      <c r="K1098" s="693" t="s">
        <v>59</v>
      </c>
      <c r="L1098" s="694" t="s">
        <v>449</v>
      </c>
      <c r="M1098" s="694" t="s">
        <v>915</v>
      </c>
      <c r="N1098" s="694" t="s">
        <v>926</v>
      </c>
      <c r="O1098" s="694">
        <v>2021.0</v>
      </c>
      <c r="P1098" s="694" t="s">
        <v>919</v>
      </c>
      <c r="Q1098" s="695" t="s">
        <v>112</v>
      </c>
      <c r="R1098" s="696">
        <v>470.4288251</v>
      </c>
      <c r="S1098" s="696">
        <v>251.6127054</v>
      </c>
      <c r="T1098" s="697">
        <v>799.3409487</v>
      </c>
      <c r="AB1098" s="722"/>
    </row>
    <row r="1099">
      <c r="A1099" s="351"/>
      <c r="B1099" s="681" t="s">
        <v>45</v>
      </c>
      <c r="C1099" s="682" t="s">
        <v>915</v>
      </c>
      <c r="D1099" s="682" t="s">
        <v>926</v>
      </c>
      <c r="E1099" s="682" t="s">
        <v>302</v>
      </c>
      <c r="F1099" s="682">
        <v>2021.0</v>
      </c>
      <c r="G1099" s="683">
        <v>5.96E-5</v>
      </c>
      <c r="H1099" s="683">
        <v>2.02E-5</v>
      </c>
      <c r="I1099" s="684">
        <v>1.65119E-4</v>
      </c>
      <c r="K1099" s="693" t="s">
        <v>60</v>
      </c>
      <c r="L1099" s="694" t="s">
        <v>449</v>
      </c>
      <c r="M1099" s="694" t="s">
        <v>915</v>
      </c>
      <c r="N1099" s="694" t="s">
        <v>918</v>
      </c>
      <c r="O1099" s="694">
        <v>2021.0</v>
      </c>
      <c r="P1099" s="694" t="s">
        <v>919</v>
      </c>
      <c r="Q1099" s="695" t="s">
        <v>112</v>
      </c>
      <c r="R1099" s="696">
        <v>72.59145616</v>
      </c>
      <c r="S1099" s="696">
        <v>23.7666642</v>
      </c>
      <c r="T1099" s="697">
        <v>153.174387</v>
      </c>
      <c r="AB1099" s="722"/>
    </row>
    <row r="1100">
      <c r="A1100" s="351"/>
      <c r="B1100" s="681" t="s">
        <v>46</v>
      </c>
      <c r="C1100" s="682" t="s">
        <v>915</v>
      </c>
      <c r="D1100" s="682" t="s">
        <v>916</v>
      </c>
      <c r="E1100" s="682" t="s">
        <v>302</v>
      </c>
      <c r="F1100" s="682">
        <v>2021.0</v>
      </c>
      <c r="G1100" s="683">
        <v>2.75E-5</v>
      </c>
      <c r="H1100" s="683">
        <v>2.23E-6</v>
      </c>
      <c r="I1100" s="684">
        <v>6.64E-5</v>
      </c>
      <c r="K1100" s="693" t="s">
        <v>60</v>
      </c>
      <c r="L1100" s="694" t="s">
        <v>449</v>
      </c>
      <c r="M1100" s="694" t="s">
        <v>915</v>
      </c>
      <c r="N1100" s="694" t="s">
        <v>923</v>
      </c>
      <c r="O1100" s="694">
        <v>2021.0</v>
      </c>
      <c r="P1100" s="694" t="s">
        <v>919</v>
      </c>
      <c r="Q1100" s="695" t="s">
        <v>112</v>
      </c>
      <c r="R1100" s="696">
        <v>16.32538475</v>
      </c>
      <c r="S1100" s="696">
        <v>7.550384004</v>
      </c>
      <c r="T1100" s="697">
        <v>28.49303792</v>
      </c>
      <c r="AB1100" s="722"/>
    </row>
    <row r="1101">
      <c r="A1101" s="351"/>
      <c r="B1101" s="681" t="s">
        <v>46</v>
      </c>
      <c r="C1101" s="682" t="s">
        <v>915</v>
      </c>
      <c r="D1101" s="682" t="s">
        <v>922</v>
      </c>
      <c r="E1101" s="682" t="s">
        <v>302</v>
      </c>
      <c r="F1101" s="682">
        <v>2021.0</v>
      </c>
      <c r="G1101" s="683">
        <v>1.00775E-4</v>
      </c>
      <c r="H1101" s="683">
        <v>1.15E-5</v>
      </c>
      <c r="I1101" s="684">
        <v>2.662E-4</v>
      </c>
      <c r="K1101" s="693" t="s">
        <v>60</v>
      </c>
      <c r="L1101" s="694" t="s">
        <v>449</v>
      </c>
      <c r="M1101" s="694" t="s">
        <v>915</v>
      </c>
      <c r="N1101" s="694" t="s">
        <v>925</v>
      </c>
      <c r="O1101" s="694">
        <v>2021.0</v>
      </c>
      <c r="P1101" s="694" t="s">
        <v>919</v>
      </c>
      <c r="Q1101" s="695" t="s">
        <v>112</v>
      </c>
      <c r="R1101" s="696">
        <v>8.11726436</v>
      </c>
      <c r="S1101" s="696">
        <v>4.218114662</v>
      </c>
      <c r="T1101" s="697">
        <v>14.75320302</v>
      </c>
      <c r="AB1101" s="722"/>
    </row>
    <row r="1102">
      <c r="A1102" s="351"/>
      <c r="B1102" s="681" t="s">
        <v>46</v>
      </c>
      <c r="C1102" s="682" t="s">
        <v>915</v>
      </c>
      <c r="D1102" s="682" t="s">
        <v>924</v>
      </c>
      <c r="E1102" s="682" t="s">
        <v>302</v>
      </c>
      <c r="F1102" s="682">
        <v>2021.0</v>
      </c>
      <c r="G1102" s="683">
        <v>7.74E-6</v>
      </c>
      <c r="H1102" s="683">
        <v>6.42E-7</v>
      </c>
      <c r="I1102" s="684">
        <v>1.99E-5</v>
      </c>
      <c r="K1102" s="693" t="s">
        <v>60</v>
      </c>
      <c r="L1102" s="694" t="s">
        <v>449</v>
      </c>
      <c r="M1102" s="694" t="s">
        <v>915</v>
      </c>
      <c r="N1102" s="694" t="s">
        <v>927</v>
      </c>
      <c r="O1102" s="694">
        <v>2021.0</v>
      </c>
      <c r="P1102" s="694" t="s">
        <v>919</v>
      </c>
      <c r="Q1102" s="695" t="s">
        <v>112</v>
      </c>
      <c r="R1102" s="696">
        <v>34.26969664</v>
      </c>
      <c r="S1102" s="696">
        <v>13.77206532</v>
      </c>
      <c r="T1102" s="697">
        <v>67.82554233</v>
      </c>
      <c r="AB1102" s="722"/>
    </row>
    <row r="1103">
      <c r="A1103" s="351"/>
      <c r="B1103" s="681" t="s">
        <v>46</v>
      </c>
      <c r="C1103" s="682" t="s">
        <v>915</v>
      </c>
      <c r="D1103" s="682" t="s">
        <v>926</v>
      </c>
      <c r="E1103" s="682" t="s">
        <v>302</v>
      </c>
      <c r="F1103" s="682">
        <v>2021.0</v>
      </c>
      <c r="G1103" s="683">
        <v>6.6E-5</v>
      </c>
      <c r="H1103" s="683">
        <v>3.36E-6</v>
      </c>
      <c r="I1103" s="684">
        <v>1.47189E-4</v>
      </c>
      <c r="K1103" s="693" t="s">
        <v>60</v>
      </c>
      <c r="L1103" s="694" t="s">
        <v>449</v>
      </c>
      <c r="M1103" s="694" t="s">
        <v>915</v>
      </c>
      <c r="N1103" s="694" t="s">
        <v>926</v>
      </c>
      <c r="O1103" s="694">
        <v>2021.0</v>
      </c>
      <c r="P1103" s="694" t="s">
        <v>919</v>
      </c>
      <c r="Q1103" s="695" t="s">
        <v>112</v>
      </c>
      <c r="R1103" s="696">
        <v>131.3038019</v>
      </c>
      <c r="S1103" s="696">
        <v>56.45618864</v>
      </c>
      <c r="T1103" s="697">
        <v>241.3745808</v>
      </c>
      <c r="AB1103" s="722"/>
    </row>
    <row r="1104">
      <c r="A1104" s="351"/>
      <c r="B1104" s="681" t="s">
        <v>47</v>
      </c>
      <c r="C1104" s="682" t="s">
        <v>915</v>
      </c>
      <c r="D1104" s="682" t="s">
        <v>916</v>
      </c>
      <c r="E1104" s="682" t="s">
        <v>302</v>
      </c>
      <c r="F1104" s="682">
        <v>2021.0</v>
      </c>
      <c r="G1104" s="683">
        <v>2.88E-5</v>
      </c>
      <c r="H1104" s="683">
        <v>1.23E-6</v>
      </c>
      <c r="I1104" s="684">
        <v>7.11E-5</v>
      </c>
      <c r="K1104" s="693" t="s">
        <v>61</v>
      </c>
      <c r="L1104" s="694" t="s">
        <v>449</v>
      </c>
      <c r="M1104" s="694" t="s">
        <v>915</v>
      </c>
      <c r="N1104" s="694" t="s">
        <v>918</v>
      </c>
      <c r="O1104" s="694">
        <v>2021.0</v>
      </c>
      <c r="P1104" s="694" t="s">
        <v>919</v>
      </c>
      <c r="Q1104" s="695" t="s">
        <v>112</v>
      </c>
      <c r="R1104" s="696">
        <v>27.10370104</v>
      </c>
      <c r="S1104" s="696">
        <v>7.456140859</v>
      </c>
      <c r="T1104" s="697">
        <v>60.17487651</v>
      </c>
      <c r="AB1104" s="722"/>
    </row>
    <row r="1105">
      <c r="A1105" s="351"/>
      <c r="B1105" s="681" t="s">
        <v>47</v>
      </c>
      <c r="C1105" s="682" t="s">
        <v>915</v>
      </c>
      <c r="D1105" s="682" t="s">
        <v>922</v>
      </c>
      <c r="E1105" s="682" t="s">
        <v>302</v>
      </c>
      <c r="F1105" s="682">
        <v>2021.0</v>
      </c>
      <c r="G1105" s="683">
        <v>8.46E-5</v>
      </c>
      <c r="H1105" s="683">
        <v>4.81E-6</v>
      </c>
      <c r="I1105" s="684">
        <v>1.98656E-4</v>
      </c>
      <c r="K1105" s="693" t="s">
        <v>61</v>
      </c>
      <c r="L1105" s="694" t="s">
        <v>449</v>
      </c>
      <c r="M1105" s="694" t="s">
        <v>915</v>
      </c>
      <c r="N1105" s="694" t="s">
        <v>923</v>
      </c>
      <c r="O1105" s="694">
        <v>2021.0</v>
      </c>
      <c r="P1105" s="694" t="s">
        <v>919</v>
      </c>
      <c r="Q1105" s="695" t="s">
        <v>112</v>
      </c>
      <c r="R1105" s="696">
        <v>13.57805059</v>
      </c>
      <c r="S1105" s="696">
        <v>6.596642615</v>
      </c>
      <c r="T1105" s="697">
        <v>24.79068029</v>
      </c>
      <c r="AB1105" s="722"/>
    </row>
    <row r="1106">
      <c r="A1106" s="351"/>
      <c r="B1106" s="681" t="s">
        <v>47</v>
      </c>
      <c r="C1106" s="682" t="s">
        <v>915</v>
      </c>
      <c r="D1106" s="682" t="s">
        <v>924</v>
      </c>
      <c r="E1106" s="682" t="s">
        <v>302</v>
      </c>
      <c r="F1106" s="682">
        <v>2021.0</v>
      </c>
      <c r="G1106" s="683">
        <v>9.08E-6</v>
      </c>
      <c r="H1106" s="683">
        <v>3.71E-7</v>
      </c>
      <c r="I1106" s="684">
        <v>2.26E-5</v>
      </c>
      <c r="K1106" s="693" t="s">
        <v>61</v>
      </c>
      <c r="L1106" s="694" t="s">
        <v>449</v>
      </c>
      <c r="M1106" s="694" t="s">
        <v>915</v>
      </c>
      <c r="N1106" s="694" t="s">
        <v>925</v>
      </c>
      <c r="O1106" s="694">
        <v>2021.0</v>
      </c>
      <c r="P1106" s="694" t="s">
        <v>919</v>
      </c>
      <c r="Q1106" s="695" t="s">
        <v>112</v>
      </c>
      <c r="R1106" s="696">
        <v>9.057157988</v>
      </c>
      <c r="S1106" s="696">
        <v>4.748389217</v>
      </c>
      <c r="T1106" s="697">
        <v>17.06942797</v>
      </c>
      <c r="AB1106" s="722"/>
    </row>
    <row r="1107">
      <c r="A1107" s="351"/>
      <c r="B1107" s="681" t="s">
        <v>47</v>
      </c>
      <c r="C1107" s="682" t="s">
        <v>915</v>
      </c>
      <c r="D1107" s="682" t="s">
        <v>926</v>
      </c>
      <c r="E1107" s="682" t="s">
        <v>302</v>
      </c>
      <c r="F1107" s="682">
        <v>2021.0</v>
      </c>
      <c r="G1107" s="683">
        <v>9.39E-5</v>
      </c>
      <c r="H1107" s="683">
        <v>3.12E-6</v>
      </c>
      <c r="I1107" s="684">
        <v>2.27678E-4</v>
      </c>
      <c r="K1107" s="693" t="s">
        <v>61</v>
      </c>
      <c r="L1107" s="694" t="s">
        <v>449</v>
      </c>
      <c r="M1107" s="694" t="s">
        <v>915</v>
      </c>
      <c r="N1107" s="694" t="s">
        <v>927</v>
      </c>
      <c r="O1107" s="694">
        <v>2021.0</v>
      </c>
      <c r="P1107" s="694" t="s">
        <v>919</v>
      </c>
      <c r="Q1107" s="695" t="s">
        <v>112</v>
      </c>
      <c r="R1107" s="696">
        <v>27.02524727</v>
      </c>
      <c r="S1107" s="696">
        <v>9.333092233</v>
      </c>
      <c r="T1107" s="697">
        <v>53.65736472</v>
      </c>
      <c r="AB1107" s="722"/>
    </row>
    <row r="1108">
      <c r="A1108" s="351"/>
      <c r="B1108" s="681" t="s">
        <v>48</v>
      </c>
      <c r="C1108" s="682" t="s">
        <v>915</v>
      </c>
      <c r="D1108" s="682" t="s">
        <v>916</v>
      </c>
      <c r="E1108" s="682" t="s">
        <v>302</v>
      </c>
      <c r="F1108" s="682">
        <v>2021.0</v>
      </c>
      <c r="G1108" s="683">
        <v>3.84E-5</v>
      </c>
      <c r="H1108" s="683">
        <v>3.37E-6</v>
      </c>
      <c r="I1108" s="684">
        <v>8.4E-5</v>
      </c>
      <c r="K1108" s="693" t="s">
        <v>61</v>
      </c>
      <c r="L1108" s="694" t="s">
        <v>449</v>
      </c>
      <c r="M1108" s="694" t="s">
        <v>915</v>
      </c>
      <c r="N1108" s="694" t="s">
        <v>926</v>
      </c>
      <c r="O1108" s="694">
        <v>2021.0</v>
      </c>
      <c r="P1108" s="694" t="s">
        <v>919</v>
      </c>
      <c r="Q1108" s="695" t="s">
        <v>112</v>
      </c>
      <c r="R1108" s="696">
        <v>76.7641569</v>
      </c>
      <c r="S1108" s="696">
        <v>34.97393157</v>
      </c>
      <c r="T1108" s="697">
        <v>146.8425892</v>
      </c>
      <c r="AB1108" s="722"/>
    </row>
    <row r="1109">
      <c r="A1109" s="351"/>
      <c r="B1109" s="681" t="s">
        <v>48</v>
      </c>
      <c r="C1109" s="682" t="s">
        <v>915</v>
      </c>
      <c r="D1109" s="682" t="s">
        <v>922</v>
      </c>
      <c r="E1109" s="682" t="s">
        <v>302</v>
      </c>
      <c r="F1109" s="682">
        <v>2021.0</v>
      </c>
      <c r="G1109" s="683">
        <v>1.37671E-4</v>
      </c>
      <c r="H1109" s="683">
        <v>1.48E-5</v>
      </c>
      <c r="I1109" s="684">
        <v>4.20945E-4</v>
      </c>
      <c r="K1109" s="693" t="s">
        <v>63</v>
      </c>
      <c r="L1109" s="694" t="s">
        <v>449</v>
      </c>
      <c r="M1109" s="694" t="s">
        <v>915</v>
      </c>
      <c r="N1109" s="694" t="s">
        <v>918</v>
      </c>
      <c r="O1109" s="694">
        <v>2021.0</v>
      </c>
      <c r="P1109" s="694" t="s">
        <v>919</v>
      </c>
      <c r="Q1109" s="695" t="s">
        <v>112</v>
      </c>
      <c r="R1109" s="696">
        <v>71.38907422</v>
      </c>
      <c r="S1109" s="696">
        <v>25.19304073</v>
      </c>
      <c r="T1109" s="697">
        <v>151.7204328</v>
      </c>
      <c r="AB1109" s="722"/>
    </row>
    <row r="1110">
      <c r="A1110" s="351"/>
      <c r="B1110" s="681" t="s">
        <v>48</v>
      </c>
      <c r="C1110" s="682" t="s">
        <v>915</v>
      </c>
      <c r="D1110" s="682" t="s">
        <v>924</v>
      </c>
      <c r="E1110" s="682" t="s">
        <v>302</v>
      </c>
      <c r="F1110" s="682">
        <v>2021.0</v>
      </c>
      <c r="G1110" s="683">
        <v>1.38E-5</v>
      </c>
      <c r="H1110" s="683">
        <v>1.31E-6</v>
      </c>
      <c r="I1110" s="684">
        <v>3.36E-5</v>
      </c>
      <c r="K1110" s="693" t="s">
        <v>63</v>
      </c>
      <c r="L1110" s="694" t="s">
        <v>449</v>
      </c>
      <c r="M1110" s="694" t="s">
        <v>915</v>
      </c>
      <c r="N1110" s="694" t="s">
        <v>923</v>
      </c>
      <c r="O1110" s="694">
        <v>2021.0</v>
      </c>
      <c r="P1110" s="694" t="s">
        <v>919</v>
      </c>
      <c r="Q1110" s="695" t="s">
        <v>112</v>
      </c>
      <c r="R1110" s="696">
        <v>20.95907005</v>
      </c>
      <c r="S1110" s="696">
        <v>10.53360983</v>
      </c>
      <c r="T1110" s="697">
        <v>36.18805347</v>
      </c>
      <c r="AB1110" s="722"/>
    </row>
    <row r="1111">
      <c r="A1111" s="351"/>
      <c r="B1111" s="681" t="s">
        <v>48</v>
      </c>
      <c r="C1111" s="682" t="s">
        <v>915</v>
      </c>
      <c r="D1111" s="682" t="s">
        <v>926</v>
      </c>
      <c r="E1111" s="682" t="s">
        <v>302</v>
      </c>
      <c r="F1111" s="682">
        <v>2021.0</v>
      </c>
      <c r="G1111" s="683">
        <v>1.27965E-4</v>
      </c>
      <c r="H1111" s="683">
        <v>8.56E-6</v>
      </c>
      <c r="I1111" s="684">
        <v>3.25853E-4</v>
      </c>
      <c r="K1111" s="693" t="s">
        <v>63</v>
      </c>
      <c r="L1111" s="694" t="s">
        <v>449</v>
      </c>
      <c r="M1111" s="694" t="s">
        <v>915</v>
      </c>
      <c r="N1111" s="694" t="s">
        <v>925</v>
      </c>
      <c r="O1111" s="694">
        <v>2021.0</v>
      </c>
      <c r="P1111" s="694" t="s">
        <v>919</v>
      </c>
      <c r="Q1111" s="695" t="s">
        <v>112</v>
      </c>
      <c r="R1111" s="696">
        <v>3.908863392</v>
      </c>
      <c r="S1111" s="696">
        <v>2.010699358</v>
      </c>
      <c r="T1111" s="697">
        <v>7.437458861</v>
      </c>
      <c r="AB1111" s="722"/>
    </row>
    <row r="1112">
      <c r="A1112" s="351"/>
      <c r="B1112" s="681" t="s">
        <v>49</v>
      </c>
      <c r="C1112" s="682" t="s">
        <v>915</v>
      </c>
      <c r="D1112" s="682" t="s">
        <v>916</v>
      </c>
      <c r="E1112" s="682" t="s">
        <v>302</v>
      </c>
      <c r="F1112" s="682">
        <v>2021.0</v>
      </c>
      <c r="G1112" s="683">
        <v>3.04E-5</v>
      </c>
      <c r="H1112" s="683">
        <v>8.01E-7</v>
      </c>
      <c r="I1112" s="684">
        <v>8.57E-5</v>
      </c>
      <c r="K1112" s="693" t="s">
        <v>63</v>
      </c>
      <c r="L1112" s="694" t="s">
        <v>449</v>
      </c>
      <c r="M1112" s="694" t="s">
        <v>915</v>
      </c>
      <c r="N1112" s="694" t="s">
        <v>927</v>
      </c>
      <c r="O1112" s="694">
        <v>2021.0</v>
      </c>
      <c r="P1112" s="694" t="s">
        <v>919</v>
      </c>
      <c r="Q1112" s="695" t="s">
        <v>112</v>
      </c>
      <c r="R1112" s="696">
        <v>44.13467855</v>
      </c>
      <c r="S1112" s="696">
        <v>19.22647085</v>
      </c>
      <c r="T1112" s="697">
        <v>83.00503641</v>
      </c>
      <c r="AB1112" s="722"/>
    </row>
    <row r="1113">
      <c r="A1113" s="351"/>
      <c r="B1113" s="681" t="s">
        <v>49</v>
      </c>
      <c r="C1113" s="682" t="s">
        <v>915</v>
      </c>
      <c r="D1113" s="682" t="s">
        <v>922</v>
      </c>
      <c r="E1113" s="682" t="s">
        <v>302</v>
      </c>
      <c r="F1113" s="682">
        <v>2021.0</v>
      </c>
      <c r="G1113" s="683">
        <v>8.71E-5</v>
      </c>
      <c r="H1113" s="683">
        <v>3.19E-6</v>
      </c>
      <c r="I1113" s="684">
        <v>2.19775E-4</v>
      </c>
      <c r="K1113" s="693" t="s">
        <v>63</v>
      </c>
      <c r="L1113" s="694" t="s">
        <v>449</v>
      </c>
      <c r="M1113" s="694" t="s">
        <v>915</v>
      </c>
      <c r="N1113" s="694" t="s">
        <v>926</v>
      </c>
      <c r="O1113" s="694">
        <v>2021.0</v>
      </c>
      <c r="P1113" s="694" t="s">
        <v>919</v>
      </c>
      <c r="Q1113" s="695" t="s">
        <v>112</v>
      </c>
      <c r="R1113" s="696">
        <v>140.3916862</v>
      </c>
      <c r="S1113" s="696">
        <v>66.12314236</v>
      </c>
      <c r="T1113" s="697">
        <v>257.5910848</v>
      </c>
      <c r="AB1113" s="722"/>
    </row>
    <row r="1114">
      <c r="A1114" s="351"/>
      <c r="B1114" s="681" t="s">
        <v>49</v>
      </c>
      <c r="C1114" s="682" t="s">
        <v>915</v>
      </c>
      <c r="D1114" s="682" t="s">
        <v>924</v>
      </c>
      <c r="E1114" s="682" t="s">
        <v>302</v>
      </c>
      <c r="F1114" s="682">
        <v>2021.0</v>
      </c>
      <c r="G1114" s="683">
        <v>8.51E-6</v>
      </c>
      <c r="H1114" s="683">
        <v>2.16E-7</v>
      </c>
      <c r="I1114" s="684">
        <v>2.67E-5</v>
      </c>
      <c r="K1114" s="693" t="s">
        <v>64</v>
      </c>
      <c r="L1114" s="694" t="s">
        <v>449</v>
      </c>
      <c r="M1114" s="694" t="s">
        <v>915</v>
      </c>
      <c r="N1114" s="694" t="s">
        <v>918</v>
      </c>
      <c r="O1114" s="694">
        <v>2021.0</v>
      </c>
      <c r="P1114" s="694" t="s">
        <v>919</v>
      </c>
      <c r="Q1114" s="695" t="s">
        <v>112</v>
      </c>
      <c r="R1114" s="696">
        <v>197.1261642</v>
      </c>
      <c r="S1114" s="696">
        <v>63.50941165</v>
      </c>
      <c r="T1114" s="697">
        <v>428.7943151</v>
      </c>
      <c r="AB1114" s="722"/>
    </row>
    <row r="1115">
      <c r="A1115" s="351"/>
      <c r="B1115" s="681" t="s">
        <v>49</v>
      </c>
      <c r="C1115" s="682" t="s">
        <v>915</v>
      </c>
      <c r="D1115" s="682" t="s">
        <v>926</v>
      </c>
      <c r="E1115" s="682" t="s">
        <v>302</v>
      </c>
      <c r="F1115" s="682">
        <v>2021.0</v>
      </c>
      <c r="G1115" s="683">
        <v>7.68E-5</v>
      </c>
      <c r="H1115" s="683">
        <v>1.97E-6</v>
      </c>
      <c r="I1115" s="684">
        <v>1.82617E-4</v>
      </c>
      <c r="K1115" s="693" t="s">
        <v>64</v>
      </c>
      <c r="L1115" s="694" t="s">
        <v>449</v>
      </c>
      <c r="M1115" s="694" t="s">
        <v>915</v>
      </c>
      <c r="N1115" s="694" t="s">
        <v>923</v>
      </c>
      <c r="O1115" s="694">
        <v>2021.0</v>
      </c>
      <c r="P1115" s="694" t="s">
        <v>919</v>
      </c>
      <c r="Q1115" s="695" t="s">
        <v>112</v>
      </c>
      <c r="R1115" s="696">
        <v>66.10390092</v>
      </c>
      <c r="S1115" s="696">
        <v>33.56670691</v>
      </c>
      <c r="T1115" s="697">
        <v>111.858311</v>
      </c>
      <c r="AB1115" s="722"/>
    </row>
    <row r="1116">
      <c r="A1116" s="351"/>
      <c r="B1116" s="681" t="s">
        <v>50</v>
      </c>
      <c r="C1116" s="682" t="s">
        <v>915</v>
      </c>
      <c r="D1116" s="682" t="s">
        <v>916</v>
      </c>
      <c r="E1116" s="682" t="s">
        <v>302</v>
      </c>
      <c r="F1116" s="682">
        <v>2021.0</v>
      </c>
      <c r="G1116" s="683">
        <v>2.61E-5</v>
      </c>
      <c r="H1116" s="683">
        <v>6.4E-7</v>
      </c>
      <c r="I1116" s="684">
        <v>6.48E-5</v>
      </c>
      <c r="K1116" s="693" t="s">
        <v>64</v>
      </c>
      <c r="L1116" s="694" t="s">
        <v>449</v>
      </c>
      <c r="M1116" s="694" t="s">
        <v>915</v>
      </c>
      <c r="N1116" s="694" t="s">
        <v>925</v>
      </c>
      <c r="O1116" s="694">
        <v>2021.0</v>
      </c>
      <c r="P1116" s="694" t="s">
        <v>919</v>
      </c>
      <c r="Q1116" s="695" t="s">
        <v>112</v>
      </c>
      <c r="R1116" s="696">
        <v>47.21916433</v>
      </c>
      <c r="S1116" s="696">
        <v>23.76616496</v>
      </c>
      <c r="T1116" s="697">
        <v>88.79806607</v>
      </c>
      <c r="AB1116" s="722"/>
    </row>
    <row r="1117">
      <c r="A1117" s="351"/>
      <c r="B1117" s="681" t="s">
        <v>50</v>
      </c>
      <c r="C1117" s="682" t="s">
        <v>915</v>
      </c>
      <c r="D1117" s="682" t="s">
        <v>922</v>
      </c>
      <c r="E1117" s="682" t="s">
        <v>302</v>
      </c>
      <c r="F1117" s="682">
        <v>2021.0</v>
      </c>
      <c r="G1117" s="683">
        <v>9.21E-5</v>
      </c>
      <c r="H1117" s="683">
        <v>3.36E-6</v>
      </c>
      <c r="I1117" s="684">
        <v>2.64832E-4</v>
      </c>
      <c r="K1117" s="693" t="s">
        <v>64</v>
      </c>
      <c r="L1117" s="694" t="s">
        <v>449</v>
      </c>
      <c r="M1117" s="694" t="s">
        <v>915</v>
      </c>
      <c r="N1117" s="694" t="s">
        <v>927</v>
      </c>
      <c r="O1117" s="694">
        <v>2021.0</v>
      </c>
      <c r="P1117" s="694" t="s">
        <v>919</v>
      </c>
      <c r="Q1117" s="695" t="s">
        <v>112</v>
      </c>
      <c r="R1117" s="696">
        <v>300.7739547</v>
      </c>
      <c r="S1117" s="696">
        <v>141.132949</v>
      </c>
      <c r="T1117" s="697">
        <v>563.3669416</v>
      </c>
      <c r="AB1117" s="722"/>
    </row>
    <row r="1118">
      <c r="A1118" s="351"/>
      <c r="B1118" s="681" t="s">
        <v>50</v>
      </c>
      <c r="C1118" s="682" t="s">
        <v>915</v>
      </c>
      <c r="D1118" s="682" t="s">
        <v>924</v>
      </c>
      <c r="E1118" s="682" t="s">
        <v>302</v>
      </c>
      <c r="F1118" s="682">
        <v>2021.0</v>
      </c>
      <c r="G1118" s="683">
        <v>7.81E-6</v>
      </c>
      <c r="H1118" s="683">
        <v>1.76E-7</v>
      </c>
      <c r="I1118" s="684">
        <v>2.11E-5</v>
      </c>
      <c r="K1118" s="693" t="s">
        <v>64</v>
      </c>
      <c r="L1118" s="694" t="s">
        <v>449</v>
      </c>
      <c r="M1118" s="694" t="s">
        <v>915</v>
      </c>
      <c r="N1118" s="694" t="s">
        <v>926</v>
      </c>
      <c r="O1118" s="694">
        <v>2021.0</v>
      </c>
      <c r="P1118" s="694" t="s">
        <v>919</v>
      </c>
      <c r="Q1118" s="695" t="s">
        <v>112</v>
      </c>
      <c r="R1118" s="696">
        <v>611.2231841</v>
      </c>
      <c r="S1118" s="696">
        <v>296.7146223</v>
      </c>
      <c r="T1118" s="697">
        <v>1111.103156</v>
      </c>
      <c r="AB1118" s="722"/>
    </row>
    <row r="1119">
      <c r="A1119" s="351"/>
      <c r="B1119" s="681" t="s">
        <v>50</v>
      </c>
      <c r="C1119" s="682" t="s">
        <v>915</v>
      </c>
      <c r="D1119" s="682" t="s">
        <v>926</v>
      </c>
      <c r="E1119" s="682" t="s">
        <v>302</v>
      </c>
      <c r="F1119" s="682">
        <v>2021.0</v>
      </c>
      <c r="G1119" s="683">
        <v>8.61E-5</v>
      </c>
      <c r="H1119" s="683">
        <v>2.06E-6</v>
      </c>
      <c r="I1119" s="684">
        <v>1.94652E-4</v>
      </c>
      <c r="K1119" s="693" t="s">
        <v>65</v>
      </c>
      <c r="L1119" s="694" t="s">
        <v>449</v>
      </c>
      <c r="M1119" s="694" t="s">
        <v>915</v>
      </c>
      <c r="N1119" s="694" t="s">
        <v>918</v>
      </c>
      <c r="O1119" s="694">
        <v>2021.0</v>
      </c>
      <c r="P1119" s="694" t="s">
        <v>919</v>
      </c>
      <c r="Q1119" s="695" t="s">
        <v>112</v>
      </c>
      <c r="R1119" s="696">
        <v>65.98785435</v>
      </c>
      <c r="S1119" s="696">
        <v>19.70877476</v>
      </c>
      <c r="T1119" s="697">
        <v>155.3470523</v>
      </c>
      <c r="AB1119" s="722"/>
    </row>
    <row r="1120">
      <c r="A1120" s="351"/>
      <c r="B1120" s="681" t="s">
        <v>51</v>
      </c>
      <c r="C1120" s="682" t="s">
        <v>915</v>
      </c>
      <c r="D1120" s="682" t="s">
        <v>916</v>
      </c>
      <c r="E1120" s="682" t="s">
        <v>302</v>
      </c>
      <c r="F1120" s="682">
        <v>2021.0</v>
      </c>
      <c r="G1120" s="683">
        <v>2.74E-5</v>
      </c>
      <c r="H1120" s="683">
        <v>9.31E-7</v>
      </c>
      <c r="I1120" s="684">
        <v>6.11E-5</v>
      </c>
      <c r="K1120" s="693" t="s">
        <v>65</v>
      </c>
      <c r="L1120" s="694" t="s">
        <v>449</v>
      </c>
      <c r="M1120" s="694" t="s">
        <v>915</v>
      </c>
      <c r="N1120" s="694" t="s">
        <v>923</v>
      </c>
      <c r="O1120" s="694">
        <v>2021.0</v>
      </c>
      <c r="P1120" s="694" t="s">
        <v>919</v>
      </c>
      <c r="Q1120" s="695" t="s">
        <v>112</v>
      </c>
      <c r="R1120" s="696">
        <v>17.25377488</v>
      </c>
      <c r="S1120" s="696">
        <v>9.261061519</v>
      </c>
      <c r="T1120" s="697">
        <v>29.9486558</v>
      </c>
      <c r="AB1120" s="722"/>
    </row>
    <row r="1121">
      <c r="A1121" s="351"/>
      <c r="B1121" s="681" t="s">
        <v>51</v>
      </c>
      <c r="C1121" s="682" t="s">
        <v>915</v>
      </c>
      <c r="D1121" s="682" t="s">
        <v>922</v>
      </c>
      <c r="E1121" s="682" t="s">
        <v>302</v>
      </c>
      <c r="F1121" s="682">
        <v>2021.0</v>
      </c>
      <c r="G1121" s="683">
        <v>1.01209E-4</v>
      </c>
      <c r="H1121" s="683">
        <v>4.91E-6</v>
      </c>
      <c r="I1121" s="684">
        <v>3.63178E-4</v>
      </c>
      <c r="K1121" s="693" t="s">
        <v>65</v>
      </c>
      <c r="L1121" s="694" t="s">
        <v>449</v>
      </c>
      <c r="M1121" s="694" t="s">
        <v>915</v>
      </c>
      <c r="N1121" s="694" t="s">
        <v>925</v>
      </c>
      <c r="O1121" s="694">
        <v>2021.0</v>
      </c>
      <c r="P1121" s="694" t="s">
        <v>919</v>
      </c>
      <c r="Q1121" s="695" t="s">
        <v>112</v>
      </c>
      <c r="R1121" s="696">
        <v>7.757917506</v>
      </c>
      <c r="S1121" s="696">
        <v>4.195146959</v>
      </c>
      <c r="T1121" s="697">
        <v>14.47666081</v>
      </c>
      <c r="AB1121" s="722"/>
    </row>
    <row r="1122">
      <c r="A1122" s="351"/>
      <c r="B1122" s="681" t="s">
        <v>51</v>
      </c>
      <c r="C1122" s="682" t="s">
        <v>915</v>
      </c>
      <c r="D1122" s="682" t="s">
        <v>924</v>
      </c>
      <c r="E1122" s="682" t="s">
        <v>302</v>
      </c>
      <c r="F1122" s="682">
        <v>2021.0</v>
      </c>
      <c r="G1122" s="683">
        <v>6.88E-6</v>
      </c>
      <c r="H1122" s="683">
        <v>2.31E-7</v>
      </c>
      <c r="I1122" s="684">
        <v>1.61E-5</v>
      </c>
      <c r="K1122" s="693" t="s">
        <v>65</v>
      </c>
      <c r="L1122" s="694" t="s">
        <v>449</v>
      </c>
      <c r="M1122" s="694" t="s">
        <v>915</v>
      </c>
      <c r="N1122" s="694" t="s">
        <v>927</v>
      </c>
      <c r="O1122" s="694">
        <v>2021.0</v>
      </c>
      <c r="P1122" s="694" t="s">
        <v>919</v>
      </c>
      <c r="Q1122" s="695" t="s">
        <v>112</v>
      </c>
      <c r="R1122" s="696">
        <v>58.82652537</v>
      </c>
      <c r="S1122" s="696">
        <v>22.25074097</v>
      </c>
      <c r="T1122" s="697">
        <v>123.1612195</v>
      </c>
      <c r="AB1122" s="722"/>
    </row>
    <row r="1123">
      <c r="A1123" s="351"/>
      <c r="B1123" s="681" t="s">
        <v>51</v>
      </c>
      <c r="C1123" s="682" t="s">
        <v>915</v>
      </c>
      <c r="D1123" s="682" t="s">
        <v>926</v>
      </c>
      <c r="E1123" s="682" t="s">
        <v>302</v>
      </c>
      <c r="F1123" s="682">
        <v>2021.0</v>
      </c>
      <c r="G1123" s="683">
        <v>6.07E-5</v>
      </c>
      <c r="H1123" s="683">
        <v>1.7E-6</v>
      </c>
      <c r="I1123" s="684">
        <v>1.46417E-4</v>
      </c>
      <c r="K1123" s="693" t="s">
        <v>65</v>
      </c>
      <c r="L1123" s="694" t="s">
        <v>449</v>
      </c>
      <c r="M1123" s="694" t="s">
        <v>915</v>
      </c>
      <c r="N1123" s="694" t="s">
        <v>926</v>
      </c>
      <c r="O1123" s="694">
        <v>2021.0</v>
      </c>
      <c r="P1123" s="694" t="s">
        <v>919</v>
      </c>
      <c r="Q1123" s="695" t="s">
        <v>112</v>
      </c>
      <c r="R1123" s="696">
        <v>149.8260721</v>
      </c>
      <c r="S1123" s="696">
        <v>61.34370703</v>
      </c>
      <c r="T1123" s="697">
        <v>294.321748</v>
      </c>
      <c r="AB1123" s="722"/>
    </row>
    <row r="1124">
      <c r="A1124" s="351"/>
      <c r="B1124" s="681" t="s">
        <v>52</v>
      </c>
      <c r="C1124" s="682" t="s">
        <v>915</v>
      </c>
      <c r="D1124" s="682" t="s">
        <v>916</v>
      </c>
      <c r="E1124" s="682" t="s">
        <v>302</v>
      </c>
      <c r="F1124" s="682">
        <v>2021.0</v>
      </c>
      <c r="G1124" s="683">
        <v>2.85E-5</v>
      </c>
      <c r="H1124" s="683">
        <v>9.3E-7</v>
      </c>
      <c r="I1124" s="684">
        <v>7.54E-5</v>
      </c>
      <c r="K1124" s="693" t="s">
        <v>35</v>
      </c>
      <c r="L1124" s="694" t="s">
        <v>449</v>
      </c>
      <c r="M1124" s="694" t="s">
        <v>915</v>
      </c>
      <c r="N1124" s="694" t="s">
        <v>918</v>
      </c>
      <c r="O1124" s="694">
        <v>2021.0</v>
      </c>
      <c r="P1124" s="694" t="s">
        <v>919</v>
      </c>
      <c r="Q1124" s="695" t="s">
        <v>112</v>
      </c>
      <c r="R1124" s="696">
        <v>1475.042872</v>
      </c>
      <c r="S1124" s="696">
        <v>825.1109244</v>
      </c>
      <c r="T1124" s="697">
        <v>2476.132387</v>
      </c>
      <c r="AB1124" s="722"/>
    </row>
    <row r="1125">
      <c r="A1125" s="351"/>
      <c r="B1125" s="681" t="s">
        <v>52</v>
      </c>
      <c r="C1125" s="682" t="s">
        <v>915</v>
      </c>
      <c r="D1125" s="682" t="s">
        <v>922</v>
      </c>
      <c r="E1125" s="682" t="s">
        <v>302</v>
      </c>
      <c r="F1125" s="682">
        <v>2021.0</v>
      </c>
      <c r="G1125" s="683">
        <v>6.95E-5</v>
      </c>
      <c r="H1125" s="683">
        <v>3.01E-6</v>
      </c>
      <c r="I1125" s="684">
        <v>1.62215E-4</v>
      </c>
      <c r="K1125" s="693" t="s">
        <v>35</v>
      </c>
      <c r="L1125" s="694" t="s">
        <v>449</v>
      </c>
      <c r="M1125" s="694" t="s">
        <v>915</v>
      </c>
      <c r="N1125" s="694" t="s">
        <v>923</v>
      </c>
      <c r="O1125" s="694">
        <v>2021.0</v>
      </c>
      <c r="P1125" s="694" t="s">
        <v>919</v>
      </c>
      <c r="Q1125" s="695" t="s">
        <v>112</v>
      </c>
      <c r="R1125" s="696">
        <v>112.9247982</v>
      </c>
      <c r="S1125" s="696">
        <v>58.13197952</v>
      </c>
      <c r="T1125" s="697">
        <v>185.3257646</v>
      </c>
      <c r="AB1125" s="722"/>
    </row>
    <row r="1126">
      <c r="A1126" s="351"/>
      <c r="B1126" s="681" t="s">
        <v>52</v>
      </c>
      <c r="C1126" s="682" t="s">
        <v>915</v>
      </c>
      <c r="D1126" s="682" t="s">
        <v>924</v>
      </c>
      <c r="E1126" s="682" t="s">
        <v>302</v>
      </c>
      <c r="F1126" s="682">
        <v>2021.0</v>
      </c>
      <c r="G1126" s="683">
        <v>1.0E-5</v>
      </c>
      <c r="H1126" s="683">
        <v>3.25E-7</v>
      </c>
      <c r="I1126" s="684">
        <v>2.52E-5</v>
      </c>
      <c r="K1126" s="693" t="s">
        <v>35</v>
      </c>
      <c r="L1126" s="694" t="s">
        <v>449</v>
      </c>
      <c r="M1126" s="694" t="s">
        <v>915</v>
      </c>
      <c r="N1126" s="694" t="s">
        <v>925</v>
      </c>
      <c r="O1126" s="694">
        <v>2021.0</v>
      </c>
      <c r="P1126" s="694" t="s">
        <v>919</v>
      </c>
      <c r="Q1126" s="695" t="s">
        <v>112</v>
      </c>
      <c r="R1126" s="696">
        <v>105.0810759</v>
      </c>
      <c r="S1126" s="696">
        <v>54.94938974</v>
      </c>
      <c r="T1126" s="697">
        <v>163.8368699</v>
      </c>
      <c r="AB1126" s="722"/>
    </row>
    <row r="1127">
      <c r="A1127" s="351"/>
      <c r="B1127" s="681" t="s">
        <v>52</v>
      </c>
      <c r="C1127" s="682" t="s">
        <v>915</v>
      </c>
      <c r="D1127" s="682" t="s">
        <v>926</v>
      </c>
      <c r="E1127" s="682" t="s">
        <v>302</v>
      </c>
      <c r="F1127" s="682">
        <v>2021.0</v>
      </c>
      <c r="G1127" s="683">
        <v>9.34E-5</v>
      </c>
      <c r="H1127" s="683">
        <v>2.84E-6</v>
      </c>
      <c r="I1127" s="684">
        <v>2.20178E-4</v>
      </c>
      <c r="K1127" s="693" t="s">
        <v>35</v>
      </c>
      <c r="L1127" s="694" t="s">
        <v>449</v>
      </c>
      <c r="M1127" s="694" t="s">
        <v>915</v>
      </c>
      <c r="N1127" s="694" t="s">
        <v>927</v>
      </c>
      <c r="O1127" s="694">
        <v>2021.0</v>
      </c>
      <c r="P1127" s="694" t="s">
        <v>919</v>
      </c>
      <c r="Q1127" s="695" t="s">
        <v>112</v>
      </c>
      <c r="R1127" s="696">
        <v>702.2653476</v>
      </c>
      <c r="S1127" s="696">
        <v>455.1543489</v>
      </c>
      <c r="T1127" s="697">
        <v>1071.748405</v>
      </c>
      <c r="AB1127" s="722"/>
    </row>
    <row r="1128">
      <c r="A1128" s="351"/>
      <c r="B1128" s="681" t="s">
        <v>28</v>
      </c>
      <c r="C1128" s="682" t="s">
        <v>915</v>
      </c>
      <c r="D1128" s="682" t="s">
        <v>916</v>
      </c>
      <c r="E1128" s="682" t="s">
        <v>302</v>
      </c>
      <c r="F1128" s="682">
        <v>2021.0</v>
      </c>
      <c r="G1128" s="683">
        <v>7.32E-5</v>
      </c>
      <c r="H1128" s="683">
        <v>1.61E-5</v>
      </c>
      <c r="I1128" s="684">
        <v>2.35441E-4</v>
      </c>
      <c r="K1128" s="693" t="s">
        <v>35</v>
      </c>
      <c r="L1128" s="694" t="s">
        <v>449</v>
      </c>
      <c r="M1128" s="694" t="s">
        <v>915</v>
      </c>
      <c r="N1128" s="694" t="s">
        <v>926</v>
      </c>
      <c r="O1128" s="694">
        <v>2021.0</v>
      </c>
      <c r="P1128" s="694" t="s">
        <v>919</v>
      </c>
      <c r="Q1128" s="695" t="s">
        <v>112</v>
      </c>
      <c r="R1128" s="696">
        <v>2395.314093</v>
      </c>
      <c r="S1128" s="696">
        <v>1558.680017</v>
      </c>
      <c r="T1128" s="697">
        <v>3756.521627</v>
      </c>
      <c r="AB1128" s="722"/>
    </row>
    <row r="1129">
      <c r="A1129" s="351"/>
      <c r="B1129" s="681" t="s">
        <v>28</v>
      </c>
      <c r="C1129" s="682" t="s">
        <v>915</v>
      </c>
      <c r="D1129" s="682" t="s">
        <v>922</v>
      </c>
      <c r="E1129" s="682" t="s">
        <v>302</v>
      </c>
      <c r="F1129" s="682">
        <v>2021.0</v>
      </c>
      <c r="G1129" s="683">
        <v>3.40228E-4</v>
      </c>
      <c r="H1129" s="683">
        <v>7.87E-5</v>
      </c>
      <c r="I1129" s="684">
        <v>0.001021298</v>
      </c>
      <c r="K1129" s="693" t="s">
        <v>66</v>
      </c>
      <c r="L1129" s="694" t="s">
        <v>449</v>
      </c>
      <c r="M1129" s="694" t="s">
        <v>915</v>
      </c>
      <c r="N1129" s="694" t="s">
        <v>918</v>
      </c>
      <c r="O1129" s="694">
        <v>2021.0</v>
      </c>
      <c r="P1129" s="694" t="s">
        <v>919</v>
      </c>
      <c r="Q1129" s="695" t="s">
        <v>112</v>
      </c>
      <c r="R1129" s="696">
        <v>597.1572489</v>
      </c>
      <c r="S1129" s="696">
        <v>287.3817314</v>
      </c>
      <c r="T1129" s="697">
        <v>1100.621632</v>
      </c>
      <c r="AB1129" s="722"/>
    </row>
    <row r="1130">
      <c r="A1130" s="351"/>
      <c r="B1130" s="681" t="s">
        <v>28</v>
      </c>
      <c r="C1130" s="682" t="s">
        <v>915</v>
      </c>
      <c r="D1130" s="682" t="s">
        <v>924</v>
      </c>
      <c r="E1130" s="682" t="s">
        <v>302</v>
      </c>
      <c r="F1130" s="682">
        <v>2021.0</v>
      </c>
      <c r="G1130" s="683">
        <v>4.22E-5</v>
      </c>
      <c r="H1130" s="683">
        <v>8.62E-6</v>
      </c>
      <c r="I1130" s="684">
        <v>1.30588E-4</v>
      </c>
      <c r="K1130" s="693" t="s">
        <v>66</v>
      </c>
      <c r="L1130" s="694" t="s">
        <v>449</v>
      </c>
      <c r="M1130" s="694" t="s">
        <v>915</v>
      </c>
      <c r="N1130" s="694" t="s">
        <v>923</v>
      </c>
      <c r="O1130" s="694">
        <v>2021.0</v>
      </c>
      <c r="P1130" s="694" t="s">
        <v>919</v>
      </c>
      <c r="Q1130" s="695" t="s">
        <v>112</v>
      </c>
      <c r="R1130" s="696">
        <v>79.06687657</v>
      </c>
      <c r="S1130" s="696">
        <v>42.24372542</v>
      </c>
      <c r="T1130" s="697">
        <v>122.9171928</v>
      </c>
      <c r="AB1130" s="722"/>
    </row>
    <row r="1131">
      <c r="A1131" s="351"/>
      <c r="B1131" s="681" t="s">
        <v>28</v>
      </c>
      <c r="C1131" s="682" t="s">
        <v>915</v>
      </c>
      <c r="D1131" s="682" t="s">
        <v>926</v>
      </c>
      <c r="E1131" s="682" t="s">
        <v>302</v>
      </c>
      <c r="F1131" s="682">
        <v>2021.0</v>
      </c>
      <c r="G1131" s="683">
        <v>1.65483E-4</v>
      </c>
      <c r="H1131" s="683">
        <v>5.85E-5</v>
      </c>
      <c r="I1131" s="684">
        <v>4.50364E-4</v>
      </c>
      <c r="K1131" s="693" t="s">
        <v>66</v>
      </c>
      <c r="L1131" s="694" t="s">
        <v>449</v>
      </c>
      <c r="M1131" s="694" t="s">
        <v>915</v>
      </c>
      <c r="N1131" s="694" t="s">
        <v>925</v>
      </c>
      <c r="O1131" s="694">
        <v>2021.0</v>
      </c>
      <c r="P1131" s="694" t="s">
        <v>919</v>
      </c>
      <c r="Q1131" s="695" t="s">
        <v>112</v>
      </c>
      <c r="R1131" s="696">
        <v>44.60534573</v>
      </c>
      <c r="S1131" s="696">
        <v>23.82948566</v>
      </c>
      <c r="T1131" s="697">
        <v>73.67402314</v>
      </c>
      <c r="AB1131" s="722"/>
    </row>
    <row r="1132">
      <c r="A1132" s="351"/>
      <c r="B1132" s="681" t="s">
        <v>53</v>
      </c>
      <c r="C1132" s="682" t="s">
        <v>915</v>
      </c>
      <c r="D1132" s="682" t="s">
        <v>916</v>
      </c>
      <c r="E1132" s="682" t="s">
        <v>302</v>
      </c>
      <c r="F1132" s="682">
        <v>2021.0</v>
      </c>
      <c r="G1132" s="683">
        <v>2.63E-5</v>
      </c>
      <c r="H1132" s="683">
        <v>5.28E-7</v>
      </c>
      <c r="I1132" s="684">
        <v>7.5E-5</v>
      </c>
      <c r="K1132" s="693" t="s">
        <v>66</v>
      </c>
      <c r="L1132" s="694" t="s">
        <v>449</v>
      </c>
      <c r="M1132" s="694" t="s">
        <v>915</v>
      </c>
      <c r="N1132" s="694" t="s">
        <v>927</v>
      </c>
      <c r="O1132" s="694">
        <v>2021.0</v>
      </c>
      <c r="P1132" s="694" t="s">
        <v>919</v>
      </c>
      <c r="Q1132" s="695" t="s">
        <v>112</v>
      </c>
      <c r="R1132" s="696">
        <v>616.5889199</v>
      </c>
      <c r="S1132" s="696">
        <v>391.2526096</v>
      </c>
      <c r="T1132" s="697">
        <v>1006.808787</v>
      </c>
      <c r="AB1132" s="722"/>
    </row>
    <row r="1133">
      <c r="A1133" s="351"/>
      <c r="B1133" s="681" t="s">
        <v>53</v>
      </c>
      <c r="C1133" s="682" t="s">
        <v>915</v>
      </c>
      <c r="D1133" s="682" t="s">
        <v>922</v>
      </c>
      <c r="E1133" s="682" t="s">
        <v>302</v>
      </c>
      <c r="F1133" s="682">
        <v>2021.0</v>
      </c>
      <c r="G1133" s="683">
        <v>8.62E-5</v>
      </c>
      <c r="H1133" s="683">
        <v>2.53E-6</v>
      </c>
      <c r="I1133" s="684">
        <v>2.38624E-4</v>
      </c>
      <c r="K1133" s="693" t="s">
        <v>66</v>
      </c>
      <c r="L1133" s="694" t="s">
        <v>449</v>
      </c>
      <c r="M1133" s="694" t="s">
        <v>915</v>
      </c>
      <c r="N1133" s="694" t="s">
        <v>926</v>
      </c>
      <c r="O1133" s="694">
        <v>2021.0</v>
      </c>
      <c r="P1133" s="694" t="s">
        <v>919</v>
      </c>
      <c r="Q1133" s="695" t="s">
        <v>112</v>
      </c>
      <c r="R1133" s="696">
        <v>1337.418391</v>
      </c>
      <c r="S1133" s="696">
        <v>817.1386142</v>
      </c>
      <c r="T1133" s="697">
        <v>2185.513271</v>
      </c>
      <c r="AB1133" s="722"/>
    </row>
    <row r="1134">
      <c r="A1134" s="351"/>
      <c r="B1134" s="681" t="s">
        <v>53</v>
      </c>
      <c r="C1134" s="682" t="s">
        <v>915</v>
      </c>
      <c r="D1134" s="682" t="s">
        <v>924</v>
      </c>
      <c r="E1134" s="682" t="s">
        <v>302</v>
      </c>
      <c r="F1134" s="682">
        <v>2021.0</v>
      </c>
      <c r="G1134" s="683">
        <v>7.27E-6</v>
      </c>
      <c r="H1134" s="683">
        <v>1.47E-7</v>
      </c>
      <c r="I1134" s="684">
        <v>1.9E-5</v>
      </c>
      <c r="K1134" s="693" t="s">
        <v>67</v>
      </c>
      <c r="L1134" s="694" t="s">
        <v>449</v>
      </c>
      <c r="M1134" s="694" t="s">
        <v>915</v>
      </c>
      <c r="N1134" s="694" t="s">
        <v>918</v>
      </c>
      <c r="O1134" s="694">
        <v>2021.0</v>
      </c>
      <c r="P1134" s="694" t="s">
        <v>919</v>
      </c>
      <c r="Q1134" s="695" t="s">
        <v>112</v>
      </c>
      <c r="R1134" s="696">
        <v>315.85676</v>
      </c>
      <c r="S1134" s="696">
        <v>153.171201</v>
      </c>
      <c r="T1134" s="697">
        <v>570.5853597</v>
      </c>
      <c r="AB1134" s="722"/>
    </row>
    <row r="1135">
      <c r="A1135" s="351"/>
      <c r="B1135" s="681" t="s">
        <v>53</v>
      </c>
      <c r="C1135" s="682" t="s">
        <v>915</v>
      </c>
      <c r="D1135" s="682" t="s">
        <v>926</v>
      </c>
      <c r="E1135" s="682" t="s">
        <v>302</v>
      </c>
      <c r="F1135" s="682">
        <v>2021.0</v>
      </c>
      <c r="G1135" s="683">
        <v>5.84E-5</v>
      </c>
      <c r="H1135" s="683">
        <v>1.33E-6</v>
      </c>
      <c r="I1135" s="684">
        <v>1.40749E-4</v>
      </c>
      <c r="K1135" s="693" t="s">
        <v>67</v>
      </c>
      <c r="L1135" s="694" t="s">
        <v>449</v>
      </c>
      <c r="M1135" s="694" t="s">
        <v>915</v>
      </c>
      <c r="N1135" s="694" t="s">
        <v>923</v>
      </c>
      <c r="O1135" s="694">
        <v>2021.0</v>
      </c>
      <c r="P1135" s="694" t="s">
        <v>919</v>
      </c>
      <c r="Q1135" s="695" t="s">
        <v>112</v>
      </c>
      <c r="R1135" s="696">
        <v>53.62660007</v>
      </c>
      <c r="S1135" s="696">
        <v>27.38358054</v>
      </c>
      <c r="T1135" s="697">
        <v>86.72718633</v>
      </c>
      <c r="AB1135" s="722"/>
    </row>
    <row r="1136">
      <c r="A1136" s="351"/>
      <c r="B1136" s="681" t="s">
        <v>30</v>
      </c>
      <c r="C1136" s="682" t="s">
        <v>915</v>
      </c>
      <c r="D1136" s="682" t="s">
        <v>916</v>
      </c>
      <c r="E1136" s="682" t="s">
        <v>302</v>
      </c>
      <c r="F1136" s="682">
        <v>2021.0</v>
      </c>
      <c r="G1136" s="683">
        <v>9.69E-5</v>
      </c>
      <c r="H1136" s="683">
        <v>1.65E-5</v>
      </c>
      <c r="I1136" s="684">
        <v>3.15237E-4</v>
      </c>
      <c r="K1136" s="693" t="s">
        <v>67</v>
      </c>
      <c r="L1136" s="694" t="s">
        <v>449</v>
      </c>
      <c r="M1136" s="694" t="s">
        <v>915</v>
      </c>
      <c r="N1136" s="694" t="s">
        <v>925</v>
      </c>
      <c r="O1136" s="694">
        <v>2021.0</v>
      </c>
      <c r="P1136" s="694" t="s">
        <v>919</v>
      </c>
      <c r="Q1136" s="695" t="s">
        <v>112</v>
      </c>
      <c r="R1136" s="696">
        <v>24.43461597</v>
      </c>
      <c r="S1136" s="696">
        <v>13.55686816</v>
      </c>
      <c r="T1136" s="697">
        <v>41.61286079</v>
      </c>
      <c r="AB1136" s="722"/>
    </row>
    <row r="1137">
      <c r="A1137" s="351"/>
      <c r="B1137" s="681" t="s">
        <v>30</v>
      </c>
      <c r="C1137" s="682" t="s">
        <v>915</v>
      </c>
      <c r="D1137" s="682" t="s">
        <v>922</v>
      </c>
      <c r="E1137" s="682" t="s">
        <v>302</v>
      </c>
      <c r="F1137" s="682">
        <v>2021.0</v>
      </c>
      <c r="G1137" s="683">
        <v>2.69698E-4</v>
      </c>
      <c r="H1137" s="683">
        <v>5.54E-5</v>
      </c>
      <c r="I1137" s="684">
        <v>8.18042E-4</v>
      </c>
      <c r="K1137" s="693" t="s">
        <v>67</v>
      </c>
      <c r="L1137" s="694" t="s">
        <v>449</v>
      </c>
      <c r="M1137" s="694" t="s">
        <v>915</v>
      </c>
      <c r="N1137" s="694" t="s">
        <v>927</v>
      </c>
      <c r="O1137" s="694">
        <v>2021.0</v>
      </c>
      <c r="P1137" s="694" t="s">
        <v>919</v>
      </c>
      <c r="Q1137" s="695" t="s">
        <v>112</v>
      </c>
      <c r="R1137" s="696">
        <v>184.4181645</v>
      </c>
      <c r="S1137" s="696">
        <v>118.1208214</v>
      </c>
      <c r="T1137" s="697">
        <v>288.9887705</v>
      </c>
      <c r="AB1137" s="722"/>
    </row>
    <row r="1138">
      <c r="A1138" s="351"/>
      <c r="B1138" s="681" t="s">
        <v>30</v>
      </c>
      <c r="C1138" s="682" t="s">
        <v>915</v>
      </c>
      <c r="D1138" s="682" t="s">
        <v>924</v>
      </c>
      <c r="E1138" s="682" t="s">
        <v>302</v>
      </c>
      <c r="F1138" s="682">
        <v>2021.0</v>
      </c>
      <c r="G1138" s="683">
        <v>4.08E-5</v>
      </c>
      <c r="H1138" s="683">
        <v>7.2E-6</v>
      </c>
      <c r="I1138" s="684">
        <v>1.35687E-4</v>
      </c>
      <c r="K1138" s="693" t="s">
        <v>67</v>
      </c>
      <c r="L1138" s="694" t="s">
        <v>449</v>
      </c>
      <c r="M1138" s="694" t="s">
        <v>915</v>
      </c>
      <c r="N1138" s="694" t="s">
        <v>926</v>
      </c>
      <c r="O1138" s="694">
        <v>2021.0</v>
      </c>
      <c r="P1138" s="694" t="s">
        <v>919</v>
      </c>
      <c r="Q1138" s="695" t="s">
        <v>112</v>
      </c>
      <c r="R1138" s="696">
        <v>578.3361405</v>
      </c>
      <c r="S1138" s="696">
        <v>352.7229576</v>
      </c>
      <c r="T1138" s="697">
        <v>921.9086002</v>
      </c>
      <c r="AB1138" s="722"/>
    </row>
    <row r="1139">
      <c r="A1139" s="351"/>
      <c r="B1139" s="681" t="s">
        <v>30</v>
      </c>
      <c r="C1139" s="682" t="s">
        <v>915</v>
      </c>
      <c r="D1139" s="682" t="s">
        <v>926</v>
      </c>
      <c r="E1139" s="682" t="s">
        <v>302</v>
      </c>
      <c r="F1139" s="682">
        <v>2021.0</v>
      </c>
      <c r="G1139" s="683">
        <v>1.36302E-4</v>
      </c>
      <c r="H1139" s="683">
        <v>3.45E-5</v>
      </c>
      <c r="I1139" s="684">
        <v>5.0236E-4</v>
      </c>
      <c r="K1139" s="693" t="s">
        <v>37</v>
      </c>
      <c r="L1139" s="694" t="s">
        <v>449</v>
      </c>
      <c r="M1139" s="694" t="s">
        <v>915</v>
      </c>
      <c r="N1139" s="694" t="s">
        <v>918</v>
      </c>
      <c r="O1139" s="694">
        <v>2021.0</v>
      </c>
      <c r="P1139" s="694" t="s">
        <v>919</v>
      </c>
      <c r="Q1139" s="695" t="s">
        <v>112</v>
      </c>
      <c r="R1139" s="696">
        <v>892.3790275</v>
      </c>
      <c r="S1139" s="696">
        <v>531.8642679</v>
      </c>
      <c r="T1139" s="697">
        <v>1570.06393</v>
      </c>
      <c r="AB1139" s="722"/>
    </row>
    <row r="1140">
      <c r="A1140" s="351"/>
      <c r="B1140" s="681" t="s">
        <v>31</v>
      </c>
      <c r="C1140" s="682" t="s">
        <v>915</v>
      </c>
      <c r="D1140" s="682" t="s">
        <v>916</v>
      </c>
      <c r="E1140" s="682" t="s">
        <v>302</v>
      </c>
      <c r="F1140" s="682">
        <v>2021.0</v>
      </c>
      <c r="G1140" s="683">
        <v>5.84E-5</v>
      </c>
      <c r="H1140" s="683">
        <v>1.2E-5</v>
      </c>
      <c r="I1140" s="684">
        <v>1.61731E-4</v>
      </c>
      <c r="K1140" s="693" t="s">
        <v>37</v>
      </c>
      <c r="L1140" s="694" t="s">
        <v>449</v>
      </c>
      <c r="M1140" s="694" t="s">
        <v>915</v>
      </c>
      <c r="N1140" s="694" t="s">
        <v>923</v>
      </c>
      <c r="O1140" s="694">
        <v>2021.0</v>
      </c>
      <c r="P1140" s="694" t="s">
        <v>919</v>
      </c>
      <c r="Q1140" s="695" t="s">
        <v>112</v>
      </c>
      <c r="R1140" s="696">
        <v>52.77654376</v>
      </c>
      <c r="S1140" s="696">
        <v>26.12885829</v>
      </c>
      <c r="T1140" s="697">
        <v>88.34118144</v>
      </c>
      <c r="AB1140" s="722"/>
    </row>
    <row r="1141">
      <c r="A1141" s="351"/>
      <c r="B1141" s="681" t="s">
        <v>31</v>
      </c>
      <c r="C1141" s="682" t="s">
        <v>915</v>
      </c>
      <c r="D1141" s="682" t="s">
        <v>922</v>
      </c>
      <c r="E1141" s="682" t="s">
        <v>302</v>
      </c>
      <c r="F1141" s="682">
        <v>2021.0</v>
      </c>
      <c r="G1141" s="683">
        <v>1.9924E-4</v>
      </c>
      <c r="H1141" s="683">
        <v>4.91E-5</v>
      </c>
      <c r="I1141" s="684">
        <v>5.34452E-4</v>
      </c>
      <c r="K1141" s="693" t="s">
        <v>37</v>
      </c>
      <c r="L1141" s="694" t="s">
        <v>449</v>
      </c>
      <c r="M1141" s="694" t="s">
        <v>915</v>
      </c>
      <c r="N1141" s="694" t="s">
        <v>925</v>
      </c>
      <c r="O1141" s="694">
        <v>2021.0</v>
      </c>
      <c r="P1141" s="694" t="s">
        <v>919</v>
      </c>
      <c r="Q1141" s="695" t="s">
        <v>112</v>
      </c>
      <c r="R1141" s="696">
        <v>58.31154912</v>
      </c>
      <c r="S1141" s="696">
        <v>31.24906391</v>
      </c>
      <c r="T1141" s="697">
        <v>98.53067903</v>
      </c>
      <c r="AB1141" s="722"/>
    </row>
    <row r="1142">
      <c r="A1142" s="351"/>
      <c r="B1142" s="681" t="s">
        <v>31</v>
      </c>
      <c r="C1142" s="682" t="s">
        <v>915</v>
      </c>
      <c r="D1142" s="682" t="s">
        <v>924</v>
      </c>
      <c r="E1142" s="682" t="s">
        <v>302</v>
      </c>
      <c r="F1142" s="682">
        <v>2021.0</v>
      </c>
      <c r="G1142" s="683">
        <v>2.54E-5</v>
      </c>
      <c r="H1142" s="683">
        <v>5.87E-6</v>
      </c>
      <c r="I1142" s="684">
        <v>7.33E-5</v>
      </c>
      <c r="K1142" s="693" t="s">
        <v>37</v>
      </c>
      <c r="L1142" s="694" t="s">
        <v>449</v>
      </c>
      <c r="M1142" s="694" t="s">
        <v>915</v>
      </c>
      <c r="N1142" s="694" t="s">
        <v>927</v>
      </c>
      <c r="O1142" s="694">
        <v>2021.0</v>
      </c>
      <c r="P1142" s="694" t="s">
        <v>919</v>
      </c>
      <c r="Q1142" s="695" t="s">
        <v>112</v>
      </c>
      <c r="R1142" s="696">
        <v>489.0540807</v>
      </c>
      <c r="S1142" s="696">
        <v>324.3456313</v>
      </c>
      <c r="T1142" s="697">
        <v>742.6190539</v>
      </c>
      <c r="AB1142" s="722"/>
    </row>
    <row r="1143">
      <c r="A1143" s="351"/>
      <c r="B1143" s="681" t="s">
        <v>31</v>
      </c>
      <c r="C1143" s="682" t="s">
        <v>915</v>
      </c>
      <c r="D1143" s="682" t="s">
        <v>926</v>
      </c>
      <c r="E1143" s="682" t="s">
        <v>302</v>
      </c>
      <c r="F1143" s="682">
        <v>2021.0</v>
      </c>
      <c r="G1143" s="683">
        <v>1.208E-4</v>
      </c>
      <c r="H1143" s="683">
        <v>3.12E-5</v>
      </c>
      <c r="I1143" s="684">
        <v>3.34481E-4</v>
      </c>
      <c r="K1143" s="693" t="s">
        <v>37</v>
      </c>
      <c r="L1143" s="694" t="s">
        <v>449</v>
      </c>
      <c r="M1143" s="694" t="s">
        <v>915</v>
      </c>
      <c r="N1143" s="694" t="s">
        <v>926</v>
      </c>
      <c r="O1143" s="694">
        <v>2021.0</v>
      </c>
      <c r="P1143" s="694" t="s">
        <v>919</v>
      </c>
      <c r="Q1143" s="695" t="s">
        <v>112</v>
      </c>
      <c r="R1143" s="696">
        <v>1492.521201</v>
      </c>
      <c r="S1143" s="696">
        <v>1028.006745</v>
      </c>
      <c r="T1143" s="697">
        <v>2296.17804</v>
      </c>
      <c r="AB1143" s="722"/>
    </row>
    <row r="1144">
      <c r="A1144" s="351"/>
      <c r="B1144" s="681" t="s">
        <v>32</v>
      </c>
      <c r="C1144" s="682" t="s">
        <v>915</v>
      </c>
      <c r="D1144" s="682" t="s">
        <v>916</v>
      </c>
      <c r="E1144" s="682" t="s">
        <v>302</v>
      </c>
      <c r="F1144" s="682">
        <v>2021.0</v>
      </c>
      <c r="G1144" s="683">
        <v>4.9E-5</v>
      </c>
      <c r="H1144" s="683">
        <v>1.18E-5</v>
      </c>
      <c r="I1144" s="684">
        <v>1.26503E-4</v>
      </c>
      <c r="K1144" s="693" t="s">
        <v>38</v>
      </c>
      <c r="L1144" s="694" t="s">
        <v>258</v>
      </c>
      <c r="M1144" s="694" t="s">
        <v>915</v>
      </c>
      <c r="N1144" s="694" t="s">
        <v>918</v>
      </c>
      <c r="O1144" s="694">
        <v>2021.0</v>
      </c>
      <c r="P1144" s="694" t="s">
        <v>919</v>
      </c>
      <c r="Q1144" s="695" t="s">
        <v>112</v>
      </c>
      <c r="R1144" s="696">
        <v>26.83767404</v>
      </c>
      <c r="S1144" s="696">
        <v>0.660584194</v>
      </c>
      <c r="T1144" s="697">
        <v>123.589376</v>
      </c>
      <c r="AB1144" s="722"/>
    </row>
    <row r="1145">
      <c r="A1145" s="351"/>
      <c r="B1145" s="681" t="s">
        <v>32</v>
      </c>
      <c r="C1145" s="682" t="s">
        <v>915</v>
      </c>
      <c r="D1145" s="682" t="s">
        <v>922</v>
      </c>
      <c r="E1145" s="682" t="s">
        <v>302</v>
      </c>
      <c r="F1145" s="682">
        <v>2021.0</v>
      </c>
      <c r="G1145" s="683">
        <v>1.75487E-4</v>
      </c>
      <c r="H1145" s="683">
        <v>4.18E-5</v>
      </c>
      <c r="I1145" s="684">
        <v>4.77829E-4</v>
      </c>
      <c r="K1145" s="693" t="s">
        <v>38</v>
      </c>
      <c r="L1145" s="694" t="s">
        <v>258</v>
      </c>
      <c r="M1145" s="694" t="s">
        <v>915</v>
      </c>
      <c r="N1145" s="694" t="s">
        <v>923</v>
      </c>
      <c r="O1145" s="694">
        <v>2021.0</v>
      </c>
      <c r="P1145" s="694" t="s">
        <v>919</v>
      </c>
      <c r="Q1145" s="695" t="s">
        <v>112</v>
      </c>
      <c r="R1145" s="696">
        <v>0.0</v>
      </c>
      <c r="S1145" s="696">
        <v>0.0</v>
      </c>
      <c r="T1145" s="697">
        <v>0.0</v>
      </c>
      <c r="AB1145" s="722"/>
    </row>
    <row r="1146">
      <c r="A1146" s="351"/>
      <c r="B1146" s="681" t="s">
        <v>32</v>
      </c>
      <c r="C1146" s="682" t="s">
        <v>915</v>
      </c>
      <c r="D1146" s="682" t="s">
        <v>924</v>
      </c>
      <c r="E1146" s="682" t="s">
        <v>302</v>
      </c>
      <c r="F1146" s="682">
        <v>2021.0</v>
      </c>
      <c r="G1146" s="683">
        <v>2.96E-5</v>
      </c>
      <c r="H1146" s="683">
        <v>6.7E-6</v>
      </c>
      <c r="I1146" s="684">
        <v>8.43E-5</v>
      </c>
      <c r="K1146" s="693" t="s">
        <v>38</v>
      </c>
      <c r="L1146" s="694" t="s">
        <v>258</v>
      </c>
      <c r="M1146" s="694" t="s">
        <v>915</v>
      </c>
      <c r="N1146" s="694" t="s">
        <v>925</v>
      </c>
      <c r="O1146" s="694">
        <v>2021.0</v>
      </c>
      <c r="P1146" s="694" t="s">
        <v>919</v>
      </c>
      <c r="Q1146" s="695" t="s">
        <v>112</v>
      </c>
      <c r="R1146" s="696">
        <v>0.0</v>
      </c>
      <c r="S1146" s="696">
        <v>0.0</v>
      </c>
      <c r="T1146" s="697">
        <v>0.0</v>
      </c>
      <c r="AB1146" s="722"/>
    </row>
    <row r="1147">
      <c r="A1147" s="351"/>
      <c r="B1147" s="681" t="s">
        <v>32</v>
      </c>
      <c r="C1147" s="682" t="s">
        <v>915</v>
      </c>
      <c r="D1147" s="682" t="s">
        <v>926</v>
      </c>
      <c r="E1147" s="682" t="s">
        <v>302</v>
      </c>
      <c r="F1147" s="682">
        <v>2021.0</v>
      </c>
      <c r="G1147" s="683">
        <v>1.25013E-4</v>
      </c>
      <c r="H1147" s="683">
        <v>4.33E-5</v>
      </c>
      <c r="I1147" s="684">
        <v>3.14982E-4</v>
      </c>
      <c r="K1147" s="693" t="s">
        <v>38</v>
      </c>
      <c r="L1147" s="694" t="s">
        <v>258</v>
      </c>
      <c r="M1147" s="694" t="s">
        <v>915</v>
      </c>
      <c r="N1147" s="694" t="s">
        <v>927</v>
      </c>
      <c r="O1147" s="694">
        <v>2021.0</v>
      </c>
      <c r="P1147" s="694" t="s">
        <v>919</v>
      </c>
      <c r="Q1147" s="695" t="s">
        <v>112</v>
      </c>
      <c r="R1147" s="696">
        <v>18.67439503</v>
      </c>
      <c r="S1147" s="696">
        <v>0.461859294</v>
      </c>
      <c r="T1147" s="697">
        <v>88.8043427</v>
      </c>
      <c r="AB1147" s="722"/>
    </row>
    <row r="1148">
      <c r="A1148" s="351"/>
      <c r="B1148" s="681" t="s">
        <v>33</v>
      </c>
      <c r="C1148" s="682" t="s">
        <v>915</v>
      </c>
      <c r="D1148" s="682" t="s">
        <v>916</v>
      </c>
      <c r="E1148" s="682" t="s">
        <v>302</v>
      </c>
      <c r="F1148" s="682">
        <v>2021.0</v>
      </c>
      <c r="G1148" s="683">
        <v>7.43E-5</v>
      </c>
      <c r="H1148" s="683">
        <v>1.27E-5</v>
      </c>
      <c r="I1148" s="684">
        <v>2.44808E-4</v>
      </c>
      <c r="K1148" s="693" t="s">
        <v>38</v>
      </c>
      <c r="L1148" s="694" t="s">
        <v>258</v>
      </c>
      <c r="M1148" s="694" t="s">
        <v>915</v>
      </c>
      <c r="N1148" s="694" t="s">
        <v>926</v>
      </c>
      <c r="O1148" s="694">
        <v>2021.0</v>
      </c>
      <c r="P1148" s="694" t="s">
        <v>919</v>
      </c>
      <c r="Q1148" s="695" t="s">
        <v>112</v>
      </c>
      <c r="R1148" s="696">
        <v>45.51206907</v>
      </c>
      <c r="S1148" s="696">
        <v>1.129682207</v>
      </c>
      <c r="T1148" s="697">
        <v>215.1985627</v>
      </c>
      <c r="AB1148" s="722"/>
    </row>
    <row r="1149">
      <c r="A1149" s="351"/>
      <c r="B1149" s="681" t="s">
        <v>33</v>
      </c>
      <c r="C1149" s="682" t="s">
        <v>915</v>
      </c>
      <c r="D1149" s="682" t="s">
        <v>922</v>
      </c>
      <c r="E1149" s="682" t="s">
        <v>302</v>
      </c>
      <c r="F1149" s="682">
        <v>2021.0</v>
      </c>
      <c r="G1149" s="683">
        <v>2.34563E-4</v>
      </c>
      <c r="H1149" s="683">
        <v>4.39E-5</v>
      </c>
      <c r="I1149" s="684">
        <v>7.00818E-4</v>
      </c>
      <c r="K1149" s="693" t="s">
        <v>39</v>
      </c>
      <c r="L1149" s="694" t="s">
        <v>258</v>
      </c>
      <c r="M1149" s="694" t="s">
        <v>915</v>
      </c>
      <c r="N1149" s="694" t="s">
        <v>918</v>
      </c>
      <c r="O1149" s="694">
        <v>2021.0</v>
      </c>
      <c r="P1149" s="694" t="s">
        <v>919</v>
      </c>
      <c r="Q1149" s="695" t="s">
        <v>112</v>
      </c>
      <c r="R1149" s="696">
        <v>74.2285635</v>
      </c>
      <c r="S1149" s="696">
        <v>2.662590648</v>
      </c>
      <c r="T1149" s="697">
        <v>349.1711864</v>
      </c>
      <c r="AB1149" s="722"/>
    </row>
    <row r="1150">
      <c r="A1150" s="351"/>
      <c r="B1150" s="681" t="s">
        <v>33</v>
      </c>
      <c r="C1150" s="682" t="s">
        <v>915</v>
      </c>
      <c r="D1150" s="682" t="s">
        <v>924</v>
      </c>
      <c r="E1150" s="682" t="s">
        <v>302</v>
      </c>
      <c r="F1150" s="682">
        <v>2021.0</v>
      </c>
      <c r="G1150" s="683">
        <v>3.15E-5</v>
      </c>
      <c r="H1150" s="683">
        <v>4.62E-6</v>
      </c>
      <c r="I1150" s="684">
        <v>1.05362E-4</v>
      </c>
      <c r="K1150" s="693" t="s">
        <v>39</v>
      </c>
      <c r="L1150" s="694" t="s">
        <v>258</v>
      </c>
      <c r="M1150" s="694" t="s">
        <v>915</v>
      </c>
      <c r="N1150" s="694" t="s">
        <v>923</v>
      </c>
      <c r="O1150" s="694">
        <v>2021.0</v>
      </c>
      <c r="P1150" s="694" t="s">
        <v>919</v>
      </c>
      <c r="Q1150" s="695" t="s">
        <v>112</v>
      </c>
      <c r="R1150" s="696">
        <v>0.0</v>
      </c>
      <c r="S1150" s="696">
        <v>0.0</v>
      </c>
      <c r="T1150" s="697">
        <v>0.0</v>
      </c>
      <c r="AB1150" s="722"/>
    </row>
    <row r="1151">
      <c r="A1151" s="351"/>
      <c r="B1151" s="681" t="s">
        <v>33</v>
      </c>
      <c r="C1151" s="682" t="s">
        <v>915</v>
      </c>
      <c r="D1151" s="682" t="s">
        <v>926</v>
      </c>
      <c r="E1151" s="682" t="s">
        <v>302</v>
      </c>
      <c r="F1151" s="682">
        <v>2021.0</v>
      </c>
      <c r="G1151" s="683">
        <v>1.44148E-4</v>
      </c>
      <c r="H1151" s="683">
        <v>3.4E-5</v>
      </c>
      <c r="I1151" s="684">
        <v>4.97655E-4</v>
      </c>
      <c r="K1151" s="693" t="s">
        <v>39</v>
      </c>
      <c r="L1151" s="694" t="s">
        <v>258</v>
      </c>
      <c r="M1151" s="694" t="s">
        <v>915</v>
      </c>
      <c r="N1151" s="694" t="s">
        <v>925</v>
      </c>
      <c r="O1151" s="694">
        <v>2021.0</v>
      </c>
      <c r="P1151" s="694" t="s">
        <v>919</v>
      </c>
      <c r="Q1151" s="695" t="s">
        <v>112</v>
      </c>
      <c r="R1151" s="696">
        <v>0.0</v>
      </c>
      <c r="S1151" s="696">
        <v>0.0</v>
      </c>
      <c r="T1151" s="697">
        <v>0.0</v>
      </c>
      <c r="AB1151" s="722"/>
    </row>
    <row r="1152">
      <c r="A1152" s="351"/>
      <c r="B1152" s="681" t="s">
        <v>34</v>
      </c>
      <c r="C1152" s="682" t="s">
        <v>915</v>
      </c>
      <c r="D1152" s="682" t="s">
        <v>916</v>
      </c>
      <c r="E1152" s="682" t="s">
        <v>302</v>
      </c>
      <c r="F1152" s="682">
        <v>2021.0</v>
      </c>
      <c r="G1152" s="683">
        <v>1.10427E-4</v>
      </c>
      <c r="H1152" s="683">
        <v>2.3E-5</v>
      </c>
      <c r="I1152" s="684">
        <v>4.50631E-4</v>
      </c>
      <c r="K1152" s="693" t="s">
        <v>39</v>
      </c>
      <c r="L1152" s="694" t="s">
        <v>258</v>
      </c>
      <c r="M1152" s="694" t="s">
        <v>915</v>
      </c>
      <c r="N1152" s="694" t="s">
        <v>927</v>
      </c>
      <c r="O1152" s="694">
        <v>2021.0</v>
      </c>
      <c r="P1152" s="694" t="s">
        <v>919</v>
      </c>
      <c r="Q1152" s="695" t="s">
        <v>112</v>
      </c>
      <c r="R1152" s="696">
        <v>45.45611919</v>
      </c>
      <c r="S1152" s="696">
        <v>1.601346505</v>
      </c>
      <c r="T1152" s="697">
        <v>225.4142024</v>
      </c>
      <c r="AB1152" s="722"/>
    </row>
    <row r="1153">
      <c r="A1153" s="351"/>
      <c r="B1153" s="681" t="s">
        <v>34</v>
      </c>
      <c r="C1153" s="682" t="s">
        <v>915</v>
      </c>
      <c r="D1153" s="682" t="s">
        <v>922</v>
      </c>
      <c r="E1153" s="682" t="s">
        <v>302</v>
      </c>
      <c r="F1153" s="682">
        <v>2021.0</v>
      </c>
      <c r="G1153" s="683">
        <v>4.14794E-4</v>
      </c>
      <c r="H1153" s="683">
        <v>8.51E-5</v>
      </c>
      <c r="I1153" s="684">
        <v>0.00154282</v>
      </c>
      <c r="K1153" s="693" t="s">
        <v>39</v>
      </c>
      <c r="L1153" s="694" t="s">
        <v>258</v>
      </c>
      <c r="M1153" s="694" t="s">
        <v>915</v>
      </c>
      <c r="N1153" s="694" t="s">
        <v>926</v>
      </c>
      <c r="O1153" s="694">
        <v>2021.0</v>
      </c>
      <c r="P1153" s="694" t="s">
        <v>919</v>
      </c>
      <c r="Q1153" s="695" t="s">
        <v>112</v>
      </c>
      <c r="R1153" s="696">
        <v>119.6846827</v>
      </c>
      <c r="S1153" s="696">
        <v>4.707408769</v>
      </c>
      <c r="T1153" s="697">
        <v>562.2663841</v>
      </c>
      <c r="AB1153" s="722"/>
    </row>
    <row r="1154">
      <c r="A1154" s="351"/>
      <c r="B1154" s="681" t="s">
        <v>34</v>
      </c>
      <c r="C1154" s="682" t="s">
        <v>915</v>
      </c>
      <c r="D1154" s="682" t="s">
        <v>924</v>
      </c>
      <c r="E1154" s="682" t="s">
        <v>302</v>
      </c>
      <c r="F1154" s="682">
        <v>2021.0</v>
      </c>
      <c r="G1154" s="683">
        <v>5.0E-5</v>
      </c>
      <c r="H1154" s="683">
        <v>9.44E-6</v>
      </c>
      <c r="I1154" s="684">
        <v>1.90875E-4</v>
      </c>
      <c r="K1154" s="693" t="s">
        <v>40</v>
      </c>
      <c r="L1154" s="694" t="s">
        <v>258</v>
      </c>
      <c r="M1154" s="694" t="s">
        <v>915</v>
      </c>
      <c r="N1154" s="694" t="s">
        <v>918</v>
      </c>
      <c r="O1154" s="694">
        <v>2021.0</v>
      </c>
      <c r="P1154" s="694" t="s">
        <v>919</v>
      </c>
      <c r="Q1154" s="695" t="s">
        <v>112</v>
      </c>
      <c r="R1154" s="696">
        <v>12.86376448</v>
      </c>
      <c r="S1154" s="696">
        <v>0.509683082</v>
      </c>
      <c r="T1154" s="697">
        <v>62.35124407</v>
      </c>
      <c r="AB1154" s="722"/>
    </row>
    <row r="1155">
      <c r="A1155" s="351"/>
      <c r="B1155" s="681" t="s">
        <v>34</v>
      </c>
      <c r="C1155" s="682" t="s">
        <v>915</v>
      </c>
      <c r="D1155" s="682" t="s">
        <v>926</v>
      </c>
      <c r="E1155" s="682" t="s">
        <v>302</v>
      </c>
      <c r="F1155" s="682">
        <v>2021.0</v>
      </c>
      <c r="G1155" s="683">
        <v>2.89399E-4</v>
      </c>
      <c r="H1155" s="683">
        <v>9.95E-5</v>
      </c>
      <c r="I1155" s="684">
        <v>0.001011454</v>
      </c>
      <c r="K1155" s="693" t="s">
        <v>40</v>
      </c>
      <c r="L1155" s="694" t="s">
        <v>258</v>
      </c>
      <c r="M1155" s="694" t="s">
        <v>915</v>
      </c>
      <c r="N1155" s="694" t="s">
        <v>923</v>
      </c>
      <c r="O1155" s="694">
        <v>2021.0</v>
      </c>
      <c r="P1155" s="694" t="s">
        <v>919</v>
      </c>
      <c r="Q1155" s="695" t="s">
        <v>112</v>
      </c>
      <c r="R1155" s="696">
        <v>0.0</v>
      </c>
      <c r="S1155" s="696">
        <v>0.0</v>
      </c>
      <c r="T1155" s="697">
        <v>0.0</v>
      </c>
      <c r="AB1155" s="722"/>
    </row>
    <row r="1156">
      <c r="A1156" s="351"/>
      <c r="B1156" s="681" t="s">
        <v>54</v>
      </c>
      <c r="C1156" s="682" t="s">
        <v>915</v>
      </c>
      <c r="D1156" s="682" t="s">
        <v>916</v>
      </c>
      <c r="E1156" s="682" t="s">
        <v>302</v>
      </c>
      <c r="F1156" s="682">
        <v>2021.0</v>
      </c>
      <c r="G1156" s="683">
        <v>3.78E-5</v>
      </c>
      <c r="H1156" s="683">
        <v>1.84E-6</v>
      </c>
      <c r="I1156" s="684">
        <v>9.65E-5</v>
      </c>
      <c r="K1156" s="693" t="s">
        <v>40</v>
      </c>
      <c r="L1156" s="694" t="s">
        <v>258</v>
      </c>
      <c r="M1156" s="694" t="s">
        <v>915</v>
      </c>
      <c r="N1156" s="694" t="s">
        <v>925</v>
      </c>
      <c r="O1156" s="694">
        <v>2021.0</v>
      </c>
      <c r="P1156" s="694" t="s">
        <v>919</v>
      </c>
      <c r="Q1156" s="695" t="s">
        <v>112</v>
      </c>
      <c r="R1156" s="696">
        <v>0.0</v>
      </c>
      <c r="S1156" s="696">
        <v>0.0</v>
      </c>
      <c r="T1156" s="697">
        <v>0.0</v>
      </c>
      <c r="AB1156" s="722"/>
    </row>
    <row r="1157">
      <c r="A1157" s="351"/>
      <c r="B1157" s="681" t="s">
        <v>54</v>
      </c>
      <c r="C1157" s="682" t="s">
        <v>915</v>
      </c>
      <c r="D1157" s="682" t="s">
        <v>922</v>
      </c>
      <c r="E1157" s="682" t="s">
        <v>302</v>
      </c>
      <c r="F1157" s="682">
        <v>2021.0</v>
      </c>
      <c r="G1157" s="683">
        <v>1.47611E-4</v>
      </c>
      <c r="H1157" s="683">
        <v>1.09E-5</v>
      </c>
      <c r="I1157" s="684">
        <v>4.78209E-4</v>
      </c>
      <c r="K1157" s="693" t="s">
        <v>40</v>
      </c>
      <c r="L1157" s="694" t="s">
        <v>258</v>
      </c>
      <c r="M1157" s="694" t="s">
        <v>915</v>
      </c>
      <c r="N1157" s="694" t="s">
        <v>927</v>
      </c>
      <c r="O1157" s="694">
        <v>2021.0</v>
      </c>
      <c r="P1157" s="694" t="s">
        <v>919</v>
      </c>
      <c r="Q1157" s="695" t="s">
        <v>112</v>
      </c>
      <c r="R1157" s="696">
        <v>8.546008622</v>
      </c>
      <c r="S1157" s="696">
        <v>0.325659134</v>
      </c>
      <c r="T1157" s="697">
        <v>40.44268875</v>
      </c>
      <c r="AB1157" s="722"/>
    </row>
    <row r="1158">
      <c r="A1158" s="351"/>
      <c r="B1158" s="681" t="s">
        <v>54</v>
      </c>
      <c r="C1158" s="682" t="s">
        <v>915</v>
      </c>
      <c r="D1158" s="682" t="s">
        <v>924</v>
      </c>
      <c r="E1158" s="682" t="s">
        <v>302</v>
      </c>
      <c r="F1158" s="682">
        <v>2021.0</v>
      </c>
      <c r="G1158" s="683">
        <v>1.02E-5</v>
      </c>
      <c r="H1158" s="683">
        <v>5.17E-7</v>
      </c>
      <c r="I1158" s="684">
        <v>3.02E-5</v>
      </c>
      <c r="K1158" s="693" t="s">
        <v>40</v>
      </c>
      <c r="L1158" s="694" t="s">
        <v>258</v>
      </c>
      <c r="M1158" s="694" t="s">
        <v>915</v>
      </c>
      <c r="N1158" s="694" t="s">
        <v>926</v>
      </c>
      <c r="O1158" s="694">
        <v>2021.0</v>
      </c>
      <c r="P1158" s="694" t="s">
        <v>919</v>
      </c>
      <c r="Q1158" s="695" t="s">
        <v>112</v>
      </c>
      <c r="R1158" s="696">
        <v>21.4097731</v>
      </c>
      <c r="S1158" s="696">
        <v>0.808417546</v>
      </c>
      <c r="T1158" s="697">
        <v>100.706626</v>
      </c>
      <c r="AB1158" s="722"/>
    </row>
    <row r="1159">
      <c r="A1159" s="351"/>
      <c r="B1159" s="681" t="s">
        <v>54</v>
      </c>
      <c r="C1159" s="682" t="s">
        <v>915</v>
      </c>
      <c r="D1159" s="682" t="s">
        <v>926</v>
      </c>
      <c r="E1159" s="682" t="s">
        <v>302</v>
      </c>
      <c r="F1159" s="682">
        <v>2021.0</v>
      </c>
      <c r="G1159" s="683">
        <v>7.44E-5</v>
      </c>
      <c r="H1159" s="683">
        <v>3.99E-6</v>
      </c>
      <c r="I1159" s="684">
        <v>1.8278E-4</v>
      </c>
      <c r="K1159" s="693" t="s">
        <v>41</v>
      </c>
      <c r="L1159" s="694" t="s">
        <v>258</v>
      </c>
      <c r="M1159" s="694" t="s">
        <v>915</v>
      </c>
      <c r="N1159" s="694" t="s">
        <v>918</v>
      </c>
      <c r="O1159" s="694">
        <v>2021.0</v>
      </c>
      <c r="P1159" s="694" t="s">
        <v>919</v>
      </c>
      <c r="Q1159" s="695" t="s">
        <v>112</v>
      </c>
      <c r="R1159" s="696">
        <v>50.42625225</v>
      </c>
      <c r="S1159" s="696">
        <v>1.776927612</v>
      </c>
      <c r="T1159" s="697">
        <v>228.7960449</v>
      </c>
      <c r="AB1159" s="722"/>
    </row>
    <row r="1160">
      <c r="A1160" s="351"/>
      <c r="B1160" s="681" t="s">
        <v>55</v>
      </c>
      <c r="C1160" s="682" t="s">
        <v>915</v>
      </c>
      <c r="D1160" s="682" t="s">
        <v>916</v>
      </c>
      <c r="E1160" s="682" t="s">
        <v>302</v>
      </c>
      <c r="F1160" s="682">
        <v>2021.0</v>
      </c>
      <c r="G1160" s="683">
        <v>3.87E-5</v>
      </c>
      <c r="H1160" s="683">
        <v>3.47E-6</v>
      </c>
      <c r="I1160" s="684">
        <v>9.41E-5</v>
      </c>
      <c r="K1160" s="693" t="s">
        <v>41</v>
      </c>
      <c r="L1160" s="694" t="s">
        <v>258</v>
      </c>
      <c r="M1160" s="694" t="s">
        <v>915</v>
      </c>
      <c r="N1160" s="694" t="s">
        <v>923</v>
      </c>
      <c r="O1160" s="694">
        <v>2021.0</v>
      </c>
      <c r="P1160" s="694" t="s">
        <v>919</v>
      </c>
      <c r="Q1160" s="695" t="s">
        <v>112</v>
      </c>
      <c r="R1160" s="696">
        <v>0.0</v>
      </c>
      <c r="S1160" s="696">
        <v>0.0</v>
      </c>
      <c r="T1160" s="697">
        <v>0.0</v>
      </c>
      <c r="AB1160" s="722"/>
    </row>
    <row r="1161">
      <c r="A1161" s="351"/>
      <c r="B1161" s="681" t="s">
        <v>55</v>
      </c>
      <c r="C1161" s="682" t="s">
        <v>915</v>
      </c>
      <c r="D1161" s="682" t="s">
        <v>922</v>
      </c>
      <c r="E1161" s="682" t="s">
        <v>302</v>
      </c>
      <c r="F1161" s="682">
        <v>2021.0</v>
      </c>
      <c r="G1161" s="683">
        <v>1.17909E-4</v>
      </c>
      <c r="H1161" s="683">
        <v>1.38E-5</v>
      </c>
      <c r="I1161" s="684">
        <v>2.4558E-4</v>
      </c>
      <c r="K1161" s="693" t="s">
        <v>41</v>
      </c>
      <c r="L1161" s="694" t="s">
        <v>258</v>
      </c>
      <c r="M1161" s="694" t="s">
        <v>915</v>
      </c>
      <c r="N1161" s="694" t="s">
        <v>925</v>
      </c>
      <c r="O1161" s="694">
        <v>2021.0</v>
      </c>
      <c r="P1161" s="694" t="s">
        <v>919</v>
      </c>
      <c r="Q1161" s="695" t="s">
        <v>112</v>
      </c>
      <c r="R1161" s="696">
        <v>0.0</v>
      </c>
      <c r="S1161" s="696">
        <v>0.0</v>
      </c>
      <c r="T1161" s="697">
        <v>0.0</v>
      </c>
      <c r="AB1161" s="722"/>
    </row>
    <row r="1162">
      <c r="A1162" s="351"/>
      <c r="B1162" s="681" t="s">
        <v>55</v>
      </c>
      <c r="C1162" s="682" t="s">
        <v>915</v>
      </c>
      <c r="D1162" s="682" t="s">
        <v>924</v>
      </c>
      <c r="E1162" s="682" t="s">
        <v>302</v>
      </c>
      <c r="F1162" s="682">
        <v>2021.0</v>
      </c>
      <c r="G1162" s="683">
        <v>8.73E-6</v>
      </c>
      <c r="H1162" s="683">
        <v>7.6E-7</v>
      </c>
      <c r="I1162" s="684">
        <v>2.35E-5</v>
      </c>
      <c r="K1162" s="693" t="s">
        <v>41</v>
      </c>
      <c r="L1162" s="694" t="s">
        <v>258</v>
      </c>
      <c r="M1162" s="694" t="s">
        <v>915</v>
      </c>
      <c r="N1162" s="694" t="s">
        <v>927</v>
      </c>
      <c r="O1162" s="694">
        <v>2021.0</v>
      </c>
      <c r="P1162" s="694" t="s">
        <v>919</v>
      </c>
      <c r="Q1162" s="695" t="s">
        <v>112</v>
      </c>
      <c r="R1162" s="696">
        <v>39.5919197</v>
      </c>
      <c r="S1162" s="696">
        <v>1.318488409</v>
      </c>
      <c r="T1162" s="697">
        <v>181.6547284</v>
      </c>
      <c r="AB1162" s="722"/>
    </row>
    <row r="1163">
      <c r="A1163" s="351"/>
      <c r="B1163" s="681" t="s">
        <v>55</v>
      </c>
      <c r="C1163" s="682" t="s">
        <v>915</v>
      </c>
      <c r="D1163" s="682" t="s">
        <v>926</v>
      </c>
      <c r="E1163" s="682" t="s">
        <v>302</v>
      </c>
      <c r="F1163" s="682">
        <v>2021.0</v>
      </c>
      <c r="G1163" s="683">
        <v>7.84E-5</v>
      </c>
      <c r="H1163" s="683">
        <v>5.61E-6</v>
      </c>
      <c r="I1163" s="684">
        <v>1.86803E-4</v>
      </c>
      <c r="K1163" s="693" t="s">
        <v>41</v>
      </c>
      <c r="L1163" s="694" t="s">
        <v>258</v>
      </c>
      <c r="M1163" s="694" t="s">
        <v>915</v>
      </c>
      <c r="N1163" s="694" t="s">
        <v>926</v>
      </c>
      <c r="O1163" s="694">
        <v>2021.0</v>
      </c>
      <c r="P1163" s="694" t="s">
        <v>919</v>
      </c>
      <c r="Q1163" s="695" t="s">
        <v>112</v>
      </c>
      <c r="R1163" s="696">
        <v>90.01817195</v>
      </c>
      <c r="S1163" s="696">
        <v>3.024715093</v>
      </c>
      <c r="T1163" s="697">
        <v>399.6067865</v>
      </c>
      <c r="AB1163" s="722"/>
    </row>
    <row r="1164">
      <c r="A1164" s="351"/>
      <c r="B1164" s="681" t="s">
        <v>56</v>
      </c>
      <c r="C1164" s="682" t="s">
        <v>915</v>
      </c>
      <c r="D1164" s="682" t="s">
        <v>916</v>
      </c>
      <c r="E1164" s="682" t="s">
        <v>302</v>
      </c>
      <c r="F1164" s="682">
        <v>2021.0</v>
      </c>
      <c r="G1164" s="683">
        <v>1.7E-5</v>
      </c>
      <c r="H1164" s="683">
        <v>2.72E-7</v>
      </c>
      <c r="I1164" s="684">
        <v>4.4E-5</v>
      </c>
      <c r="K1164" s="693" t="s">
        <v>26</v>
      </c>
      <c r="L1164" s="694" t="s">
        <v>258</v>
      </c>
      <c r="M1164" s="694" t="s">
        <v>915</v>
      </c>
      <c r="N1164" s="694" t="s">
        <v>918</v>
      </c>
      <c r="O1164" s="694">
        <v>2021.0</v>
      </c>
      <c r="P1164" s="694" t="s">
        <v>919</v>
      </c>
      <c r="Q1164" s="695" t="s">
        <v>112</v>
      </c>
      <c r="R1164" s="696">
        <v>350.9671778</v>
      </c>
      <c r="S1164" s="696">
        <v>10.06835519</v>
      </c>
      <c r="T1164" s="697">
        <v>1499.942126</v>
      </c>
      <c r="AB1164" s="722"/>
    </row>
    <row r="1165">
      <c r="A1165" s="351"/>
      <c r="B1165" s="681" t="s">
        <v>56</v>
      </c>
      <c r="C1165" s="682" t="s">
        <v>915</v>
      </c>
      <c r="D1165" s="682" t="s">
        <v>922</v>
      </c>
      <c r="E1165" s="682" t="s">
        <v>302</v>
      </c>
      <c r="F1165" s="682">
        <v>2021.0</v>
      </c>
      <c r="G1165" s="683">
        <v>4.66E-5</v>
      </c>
      <c r="H1165" s="683">
        <v>1.04E-6</v>
      </c>
      <c r="I1165" s="684">
        <v>9.58E-5</v>
      </c>
      <c r="K1165" s="693" t="s">
        <v>26</v>
      </c>
      <c r="L1165" s="694" t="s">
        <v>258</v>
      </c>
      <c r="M1165" s="694" t="s">
        <v>915</v>
      </c>
      <c r="N1165" s="694" t="s">
        <v>923</v>
      </c>
      <c r="O1165" s="694">
        <v>2021.0</v>
      </c>
      <c r="P1165" s="694" t="s">
        <v>919</v>
      </c>
      <c r="Q1165" s="695" t="s">
        <v>112</v>
      </c>
      <c r="R1165" s="696">
        <v>0.0</v>
      </c>
      <c r="S1165" s="696">
        <v>0.0</v>
      </c>
      <c r="T1165" s="697">
        <v>0.0</v>
      </c>
      <c r="AB1165" s="722"/>
    </row>
    <row r="1166">
      <c r="A1166" s="351"/>
      <c r="B1166" s="681" t="s">
        <v>56</v>
      </c>
      <c r="C1166" s="682" t="s">
        <v>915</v>
      </c>
      <c r="D1166" s="682" t="s">
        <v>924</v>
      </c>
      <c r="E1166" s="682" t="s">
        <v>302</v>
      </c>
      <c r="F1166" s="682">
        <v>2021.0</v>
      </c>
      <c r="G1166" s="683">
        <v>5.24E-6</v>
      </c>
      <c r="H1166" s="683">
        <v>8.67E-8</v>
      </c>
      <c r="I1166" s="684">
        <v>1.33E-5</v>
      </c>
      <c r="K1166" s="693" t="s">
        <v>26</v>
      </c>
      <c r="L1166" s="694" t="s">
        <v>258</v>
      </c>
      <c r="M1166" s="694" t="s">
        <v>915</v>
      </c>
      <c r="N1166" s="694" t="s">
        <v>925</v>
      </c>
      <c r="O1166" s="694">
        <v>2021.0</v>
      </c>
      <c r="P1166" s="694" t="s">
        <v>919</v>
      </c>
      <c r="Q1166" s="695" t="s">
        <v>112</v>
      </c>
      <c r="R1166" s="696">
        <v>0.0</v>
      </c>
      <c r="S1166" s="696">
        <v>0.0</v>
      </c>
      <c r="T1166" s="697">
        <v>0.0</v>
      </c>
      <c r="AB1166" s="722"/>
    </row>
    <row r="1167">
      <c r="A1167" s="351"/>
      <c r="B1167" s="681" t="s">
        <v>56</v>
      </c>
      <c r="C1167" s="682" t="s">
        <v>915</v>
      </c>
      <c r="D1167" s="682" t="s">
        <v>926</v>
      </c>
      <c r="E1167" s="682" t="s">
        <v>302</v>
      </c>
      <c r="F1167" s="682">
        <v>2021.0</v>
      </c>
      <c r="G1167" s="683">
        <v>6.53E-5</v>
      </c>
      <c r="H1167" s="683">
        <v>1.09E-6</v>
      </c>
      <c r="I1167" s="684">
        <v>1.63623E-4</v>
      </c>
      <c r="K1167" s="693" t="s">
        <v>26</v>
      </c>
      <c r="L1167" s="694" t="s">
        <v>258</v>
      </c>
      <c r="M1167" s="694" t="s">
        <v>915</v>
      </c>
      <c r="N1167" s="694" t="s">
        <v>927</v>
      </c>
      <c r="O1167" s="694">
        <v>2021.0</v>
      </c>
      <c r="P1167" s="694" t="s">
        <v>919</v>
      </c>
      <c r="Q1167" s="695" t="s">
        <v>112</v>
      </c>
      <c r="R1167" s="696">
        <v>189.8339379</v>
      </c>
      <c r="S1167" s="696">
        <v>4.837939337</v>
      </c>
      <c r="T1167" s="697">
        <v>820.4514126</v>
      </c>
      <c r="AB1167" s="722"/>
    </row>
    <row r="1168">
      <c r="A1168" s="351"/>
      <c r="B1168" s="681" t="s">
        <v>57</v>
      </c>
      <c r="C1168" s="682" t="s">
        <v>915</v>
      </c>
      <c r="D1168" s="682" t="s">
        <v>916</v>
      </c>
      <c r="E1168" s="682" t="s">
        <v>302</v>
      </c>
      <c r="F1168" s="682">
        <v>2021.0</v>
      </c>
      <c r="G1168" s="683">
        <v>4.11E-5</v>
      </c>
      <c r="H1168" s="683">
        <v>8.2E-6</v>
      </c>
      <c r="I1168" s="684">
        <v>9.47E-5</v>
      </c>
      <c r="K1168" s="693" t="s">
        <v>26</v>
      </c>
      <c r="L1168" s="694" t="s">
        <v>258</v>
      </c>
      <c r="M1168" s="694" t="s">
        <v>915</v>
      </c>
      <c r="N1168" s="694" t="s">
        <v>926</v>
      </c>
      <c r="O1168" s="694">
        <v>2021.0</v>
      </c>
      <c r="P1168" s="694" t="s">
        <v>919</v>
      </c>
      <c r="Q1168" s="695" t="s">
        <v>112</v>
      </c>
      <c r="R1168" s="696">
        <v>540.8011157</v>
      </c>
      <c r="S1168" s="696">
        <v>16.08417505</v>
      </c>
      <c r="T1168" s="697">
        <v>2337.787751</v>
      </c>
      <c r="AB1168" s="722"/>
    </row>
    <row r="1169">
      <c r="A1169" s="351"/>
      <c r="B1169" s="681" t="s">
        <v>57</v>
      </c>
      <c r="C1169" s="682" t="s">
        <v>915</v>
      </c>
      <c r="D1169" s="682" t="s">
        <v>922</v>
      </c>
      <c r="E1169" s="682" t="s">
        <v>302</v>
      </c>
      <c r="F1169" s="682">
        <v>2021.0</v>
      </c>
      <c r="G1169" s="683">
        <v>1.11902E-4</v>
      </c>
      <c r="H1169" s="683">
        <v>2.51E-5</v>
      </c>
      <c r="I1169" s="684">
        <v>2.79189E-4</v>
      </c>
      <c r="K1169" s="693" t="s">
        <v>42</v>
      </c>
      <c r="L1169" s="694" t="s">
        <v>258</v>
      </c>
      <c r="M1169" s="694" t="s">
        <v>915</v>
      </c>
      <c r="N1169" s="694" t="s">
        <v>918</v>
      </c>
      <c r="O1169" s="694">
        <v>2021.0</v>
      </c>
      <c r="P1169" s="694" t="s">
        <v>919</v>
      </c>
      <c r="Q1169" s="695" t="s">
        <v>112</v>
      </c>
      <c r="R1169" s="696">
        <v>10.99773731</v>
      </c>
      <c r="S1169" s="696">
        <v>0.499230691</v>
      </c>
      <c r="T1169" s="697">
        <v>46.21240598</v>
      </c>
      <c r="AB1169" s="722"/>
    </row>
    <row r="1170">
      <c r="A1170" s="351"/>
      <c r="B1170" s="681" t="s">
        <v>57</v>
      </c>
      <c r="C1170" s="682" t="s">
        <v>915</v>
      </c>
      <c r="D1170" s="682" t="s">
        <v>924</v>
      </c>
      <c r="E1170" s="682" t="s">
        <v>302</v>
      </c>
      <c r="F1170" s="682">
        <v>2021.0</v>
      </c>
      <c r="G1170" s="683">
        <v>1.32E-5</v>
      </c>
      <c r="H1170" s="683">
        <v>2.81E-6</v>
      </c>
      <c r="I1170" s="684">
        <v>3.27E-5</v>
      </c>
      <c r="K1170" s="693" t="s">
        <v>42</v>
      </c>
      <c r="L1170" s="694" t="s">
        <v>258</v>
      </c>
      <c r="M1170" s="694" t="s">
        <v>915</v>
      </c>
      <c r="N1170" s="694" t="s">
        <v>923</v>
      </c>
      <c r="O1170" s="694">
        <v>2021.0</v>
      </c>
      <c r="P1170" s="694" t="s">
        <v>919</v>
      </c>
      <c r="Q1170" s="695" t="s">
        <v>112</v>
      </c>
      <c r="R1170" s="696">
        <v>0.0</v>
      </c>
      <c r="S1170" s="696">
        <v>0.0</v>
      </c>
      <c r="T1170" s="697">
        <v>0.0</v>
      </c>
      <c r="AB1170" s="722"/>
    </row>
    <row r="1171">
      <c r="A1171" s="351"/>
      <c r="B1171" s="681" t="s">
        <v>57</v>
      </c>
      <c r="C1171" s="682" t="s">
        <v>915</v>
      </c>
      <c r="D1171" s="682" t="s">
        <v>926</v>
      </c>
      <c r="E1171" s="682" t="s">
        <v>302</v>
      </c>
      <c r="F1171" s="682">
        <v>2021.0</v>
      </c>
      <c r="G1171" s="683">
        <v>9.15E-5</v>
      </c>
      <c r="H1171" s="683">
        <v>1.44E-5</v>
      </c>
      <c r="I1171" s="684">
        <v>2.03234E-4</v>
      </c>
      <c r="K1171" s="693" t="s">
        <v>42</v>
      </c>
      <c r="L1171" s="694" t="s">
        <v>258</v>
      </c>
      <c r="M1171" s="694" t="s">
        <v>915</v>
      </c>
      <c r="N1171" s="694" t="s">
        <v>925</v>
      </c>
      <c r="O1171" s="694">
        <v>2021.0</v>
      </c>
      <c r="P1171" s="694" t="s">
        <v>919</v>
      </c>
      <c r="Q1171" s="695" t="s">
        <v>112</v>
      </c>
      <c r="R1171" s="696">
        <v>0.0</v>
      </c>
      <c r="S1171" s="696">
        <v>0.0</v>
      </c>
      <c r="T1171" s="697">
        <v>0.0</v>
      </c>
      <c r="AB1171" s="722"/>
    </row>
    <row r="1172">
      <c r="A1172" s="351"/>
      <c r="B1172" s="681" t="s">
        <v>58</v>
      </c>
      <c r="C1172" s="682" t="s">
        <v>915</v>
      </c>
      <c r="D1172" s="682" t="s">
        <v>916</v>
      </c>
      <c r="E1172" s="682" t="s">
        <v>302</v>
      </c>
      <c r="F1172" s="682">
        <v>2021.0</v>
      </c>
      <c r="G1172" s="683">
        <v>7.03E-5</v>
      </c>
      <c r="H1172" s="683">
        <v>2.2E-5</v>
      </c>
      <c r="I1172" s="684">
        <v>1.87172E-4</v>
      </c>
      <c r="K1172" s="693" t="s">
        <v>42</v>
      </c>
      <c r="L1172" s="694" t="s">
        <v>258</v>
      </c>
      <c r="M1172" s="694" t="s">
        <v>915</v>
      </c>
      <c r="N1172" s="694" t="s">
        <v>927</v>
      </c>
      <c r="O1172" s="694">
        <v>2021.0</v>
      </c>
      <c r="P1172" s="694" t="s">
        <v>919</v>
      </c>
      <c r="Q1172" s="695" t="s">
        <v>112</v>
      </c>
      <c r="R1172" s="696">
        <v>6.177657033</v>
      </c>
      <c r="S1172" s="696">
        <v>0.2574037</v>
      </c>
      <c r="T1172" s="697">
        <v>27.06835068</v>
      </c>
      <c r="AB1172" s="722"/>
    </row>
    <row r="1173">
      <c r="A1173" s="351"/>
      <c r="B1173" s="681" t="s">
        <v>58</v>
      </c>
      <c r="C1173" s="682" t="s">
        <v>915</v>
      </c>
      <c r="D1173" s="682" t="s">
        <v>922</v>
      </c>
      <c r="E1173" s="682" t="s">
        <v>302</v>
      </c>
      <c r="F1173" s="682">
        <v>2021.0</v>
      </c>
      <c r="G1173" s="683">
        <v>2.13765E-4</v>
      </c>
      <c r="H1173" s="683">
        <v>7.84E-5</v>
      </c>
      <c r="I1173" s="684">
        <v>5.81136E-4</v>
      </c>
      <c r="K1173" s="693" t="s">
        <v>42</v>
      </c>
      <c r="L1173" s="694" t="s">
        <v>258</v>
      </c>
      <c r="M1173" s="694" t="s">
        <v>915</v>
      </c>
      <c r="N1173" s="694" t="s">
        <v>926</v>
      </c>
      <c r="O1173" s="694">
        <v>2021.0</v>
      </c>
      <c r="P1173" s="694" t="s">
        <v>919</v>
      </c>
      <c r="Q1173" s="695" t="s">
        <v>112</v>
      </c>
      <c r="R1173" s="696">
        <v>17.17539435</v>
      </c>
      <c r="S1173" s="696">
        <v>0.738742192</v>
      </c>
      <c r="T1173" s="697">
        <v>72.17529708</v>
      </c>
      <c r="AB1173" s="722"/>
    </row>
    <row r="1174">
      <c r="A1174" s="351"/>
      <c r="B1174" s="681" t="s">
        <v>58</v>
      </c>
      <c r="C1174" s="682" t="s">
        <v>915</v>
      </c>
      <c r="D1174" s="682" t="s">
        <v>924</v>
      </c>
      <c r="E1174" s="682" t="s">
        <v>302</v>
      </c>
      <c r="F1174" s="682">
        <v>2021.0</v>
      </c>
      <c r="G1174" s="683">
        <v>2.49E-5</v>
      </c>
      <c r="H1174" s="683">
        <v>7.21E-6</v>
      </c>
      <c r="I1174" s="684">
        <v>7.39E-5</v>
      </c>
      <c r="K1174" s="693" t="s">
        <v>44</v>
      </c>
      <c r="L1174" s="694" t="s">
        <v>258</v>
      </c>
      <c r="M1174" s="694" t="s">
        <v>915</v>
      </c>
      <c r="N1174" s="694" t="s">
        <v>918</v>
      </c>
      <c r="O1174" s="694">
        <v>2021.0</v>
      </c>
      <c r="P1174" s="694" t="s">
        <v>919</v>
      </c>
      <c r="Q1174" s="695" t="s">
        <v>112</v>
      </c>
      <c r="R1174" s="696">
        <v>106.7131555</v>
      </c>
      <c r="S1174" s="696">
        <v>3.980782794</v>
      </c>
      <c r="T1174" s="697">
        <v>453.3614593</v>
      </c>
      <c r="AB1174" s="722"/>
    </row>
    <row r="1175">
      <c r="A1175" s="351"/>
      <c r="B1175" s="681" t="s">
        <v>58</v>
      </c>
      <c r="C1175" s="682" t="s">
        <v>915</v>
      </c>
      <c r="D1175" s="682" t="s">
        <v>926</v>
      </c>
      <c r="E1175" s="682" t="s">
        <v>302</v>
      </c>
      <c r="F1175" s="682">
        <v>2021.0</v>
      </c>
      <c r="G1175" s="683">
        <v>1.20712E-4</v>
      </c>
      <c r="H1175" s="683">
        <v>4.17E-5</v>
      </c>
      <c r="I1175" s="684">
        <v>3.0071E-4</v>
      </c>
      <c r="K1175" s="693" t="s">
        <v>44</v>
      </c>
      <c r="L1175" s="694" t="s">
        <v>258</v>
      </c>
      <c r="M1175" s="694" t="s">
        <v>915</v>
      </c>
      <c r="N1175" s="694" t="s">
        <v>923</v>
      </c>
      <c r="O1175" s="694">
        <v>2021.0</v>
      </c>
      <c r="P1175" s="694" t="s">
        <v>919</v>
      </c>
      <c r="Q1175" s="695" t="s">
        <v>112</v>
      </c>
      <c r="R1175" s="696">
        <v>0.0</v>
      </c>
      <c r="S1175" s="696">
        <v>0.0</v>
      </c>
      <c r="T1175" s="697">
        <v>0.0</v>
      </c>
      <c r="AB1175" s="722"/>
    </row>
    <row r="1176">
      <c r="A1176" s="351"/>
      <c r="B1176" s="681" t="s">
        <v>7</v>
      </c>
      <c r="C1176" s="682" t="s">
        <v>915</v>
      </c>
      <c r="D1176" s="682" t="s">
        <v>916</v>
      </c>
      <c r="E1176" s="682" t="s">
        <v>302</v>
      </c>
      <c r="F1176" s="682">
        <v>2021.0</v>
      </c>
      <c r="G1176" s="683">
        <v>4.93E-5</v>
      </c>
      <c r="H1176" s="683">
        <v>1.87E-5</v>
      </c>
      <c r="I1176" s="684">
        <v>1.16613E-4</v>
      </c>
      <c r="K1176" s="693" t="s">
        <v>44</v>
      </c>
      <c r="L1176" s="694" t="s">
        <v>258</v>
      </c>
      <c r="M1176" s="694" t="s">
        <v>915</v>
      </c>
      <c r="N1176" s="694" t="s">
        <v>925</v>
      </c>
      <c r="O1176" s="694">
        <v>2021.0</v>
      </c>
      <c r="P1176" s="694" t="s">
        <v>919</v>
      </c>
      <c r="Q1176" s="695" t="s">
        <v>112</v>
      </c>
      <c r="R1176" s="696">
        <v>0.0</v>
      </c>
      <c r="S1176" s="696">
        <v>0.0</v>
      </c>
      <c r="T1176" s="697">
        <v>0.0</v>
      </c>
      <c r="AB1176" s="722"/>
    </row>
    <row r="1177">
      <c r="A1177" s="351"/>
      <c r="B1177" s="681" t="s">
        <v>7</v>
      </c>
      <c r="C1177" s="682" t="s">
        <v>915</v>
      </c>
      <c r="D1177" s="682" t="s">
        <v>922</v>
      </c>
      <c r="E1177" s="682" t="s">
        <v>302</v>
      </c>
      <c r="F1177" s="682">
        <v>2021.0</v>
      </c>
      <c r="G1177" s="683">
        <v>1.51467E-4</v>
      </c>
      <c r="H1177" s="683">
        <v>6.26E-5</v>
      </c>
      <c r="I1177" s="684">
        <v>3.37462E-4</v>
      </c>
      <c r="K1177" s="693" t="s">
        <v>44</v>
      </c>
      <c r="L1177" s="694" t="s">
        <v>258</v>
      </c>
      <c r="M1177" s="694" t="s">
        <v>915</v>
      </c>
      <c r="N1177" s="694" t="s">
        <v>927</v>
      </c>
      <c r="O1177" s="694">
        <v>2021.0</v>
      </c>
      <c r="P1177" s="694" t="s">
        <v>919</v>
      </c>
      <c r="Q1177" s="695" t="s">
        <v>112</v>
      </c>
      <c r="R1177" s="696">
        <v>83.11093737</v>
      </c>
      <c r="S1177" s="696">
        <v>2.828413291</v>
      </c>
      <c r="T1177" s="697">
        <v>378.3777065</v>
      </c>
      <c r="AB1177" s="722"/>
    </row>
    <row r="1178">
      <c r="A1178" s="351"/>
      <c r="B1178" s="681" t="s">
        <v>7</v>
      </c>
      <c r="C1178" s="682" t="s">
        <v>915</v>
      </c>
      <c r="D1178" s="682" t="s">
        <v>924</v>
      </c>
      <c r="E1178" s="682" t="s">
        <v>302</v>
      </c>
      <c r="F1178" s="682">
        <v>2021.0</v>
      </c>
      <c r="G1178" s="683">
        <v>2.23E-5</v>
      </c>
      <c r="H1178" s="683">
        <v>7.71E-6</v>
      </c>
      <c r="I1178" s="684">
        <v>5.44E-5</v>
      </c>
      <c r="K1178" s="693" t="s">
        <v>44</v>
      </c>
      <c r="L1178" s="694" t="s">
        <v>258</v>
      </c>
      <c r="M1178" s="694" t="s">
        <v>915</v>
      </c>
      <c r="N1178" s="694" t="s">
        <v>926</v>
      </c>
      <c r="O1178" s="694">
        <v>2021.0</v>
      </c>
      <c r="P1178" s="694" t="s">
        <v>919</v>
      </c>
      <c r="Q1178" s="695" t="s">
        <v>112</v>
      </c>
      <c r="R1178" s="696">
        <v>189.8240928</v>
      </c>
      <c r="S1178" s="696">
        <v>6.820745659</v>
      </c>
      <c r="T1178" s="697">
        <v>836.6790921</v>
      </c>
      <c r="AB1178" s="722"/>
    </row>
    <row r="1179">
      <c r="A1179" s="351"/>
      <c r="B1179" s="681" t="s">
        <v>7</v>
      </c>
      <c r="C1179" s="682" t="s">
        <v>915</v>
      </c>
      <c r="D1179" s="682" t="s">
        <v>926</v>
      </c>
      <c r="E1179" s="682" t="s">
        <v>302</v>
      </c>
      <c r="F1179" s="682">
        <v>2021.0</v>
      </c>
      <c r="G1179" s="683">
        <v>1.24273E-4</v>
      </c>
      <c r="H1179" s="683">
        <v>6.36E-5</v>
      </c>
      <c r="I1179" s="684">
        <v>2.90628E-4</v>
      </c>
      <c r="K1179" s="693" t="s">
        <v>45</v>
      </c>
      <c r="L1179" s="694" t="s">
        <v>258</v>
      </c>
      <c r="M1179" s="694" t="s">
        <v>915</v>
      </c>
      <c r="N1179" s="694" t="s">
        <v>918</v>
      </c>
      <c r="O1179" s="694">
        <v>2021.0</v>
      </c>
      <c r="P1179" s="694" t="s">
        <v>919</v>
      </c>
      <c r="Q1179" s="695" t="s">
        <v>112</v>
      </c>
      <c r="R1179" s="696">
        <v>98.57984436</v>
      </c>
      <c r="S1179" s="696">
        <v>3.37442262</v>
      </c>
      <c r="T1179" s="697">
        <v>404.7792763</v>
      </c>
      <c r="AB1179" s="722"/>
    </row>
    <row r="1180">
      <c r="A1180" s="351"/>
      <c r="B1180" s="681" t="s">
        <v>59</v>
      </c>
      <c r="C1180" s="682" t="s">
        <v>915</v>
      </c>
      <c r="D1180" s="682" t="s">
        <v>916</v>
      </c>
      <c r="E1180" s="682" t="s">
        <v>302</v>
      </c>
      <c r="F1180" s="682">
        <v>2021.0</v>
      </c>
      <c r="G1180" s="683">
        <v>3.94E-5</v>
      </c>
      <c r="H1180" s="683">
        <v>2.99E-6</v>
      </c>
      <c r="I1180" s="684">
        <v>1.0969E-4</v>
      </c>
      <c r="K1180" s="693" t="s">
        <v>45</v>
      </c>
      <c r="L1180" s="694" t="s">
        <v>258</v>
      </c>
      <c r="M1180" s="694" t="s">
        <v>915</v>
      </c>
      <c r="N1180" s="694" t="s">
        <v>923</v>
      </c>
      <c r="O1180" s="694">
        <v>2021.0</v>
      </c>
      <c r="P1180" s="694" t="s">
        <v>919</v>
      </c>
      <c r="Q1180" s="695" t="s">
        <v>112</v>
      </c>
      <c r="R1180" s="696">
        <v>0.0</v>
      </c>
      <c r="S1180" s="696">
        <v>0.0</v>
      </c>
      <c r="T1180" s="697">
        <v>0.0</v>
      </c>
      <c r="AB1180" s="722"/>
    </row>
    <row r="1181">
      <c r="A1181" s="351"/>
      <c r="B1181" s="681" t="s">
        <v>59</v>
      </c>
      <c r="C1181" s="682" t="s">
        <v>915</v>
      </c>
      <c r="D1181" s="682" t="s">
        <v>922</v>
      </c>
      <c r="E1181" s="682" t="s">
        <v>302</v>
      </c>
      <c r="F1181" s="682">
        <v>2021.0</v>
      </c>
      <c r="G1181" s="683">
        <v>1.30887E-4</v>
      </c>
      <c r="H1181" s="683">
        <v>1.33E-5</v>
      </c>
      <c r="I1181" s="684">
        <v>3.36952E-4</v>
      </c>
      <c r="K1181" s="693" t="s">
        <v>45</v>
      </c>
      <c r="L1181" s="694" t="s">
        <v>258</v>
      </c>
      <c r="M1181" s="694" t="s">
        <v>915</v>
      </c>
      <c r="N1181" s="694" t="s">
        <v>925</v>
      </c>
      <c r="O1181" s="694">
        <v>2021.0</v>
      </c>
      <c r="P1181" s="694" t="s">
        <v>919</v>
      </c>
      <c r="Q1181" s="695" t="s">
        <v>112</v>
      </c>
      <c r="R1181" s="696">
        <v>0.0</v>
      </c>
      <c r="S1181" s="696">
        <v>0.0</v>
      </c>
      <c r="T1181" s="697">
        <v>0.0</v>
      </c>
      <c r="AB1181" s="722"/>
    </row>
    <row r="1182">
      <c r="A1182" s="351"/>
      <c r="B1182" s="681" t="s">
        <v>59</v>
      </c>
      <c r="C1182" s="682" t="s">
        <v>915</v>
      </c>
      <c r="D1182" s="682" t="s">
        <v>924</v>
      </c>
      <c r="E1182" s="682" t="s">
        <v>302</v>
      </c>
      <c r="F1182" s="682">
        <v>2021.0</v>
      </c>
      <c r="G1182" s="683">
        <v>1.05E-5</v>
      </c>
      <c r="H1182" s="683">
        <v>8.07E-7</v>
      </c>
      <c r="I1182" s="684">
        <v>3.02E-5</v>
      </c>
      <c r="K1182" s="693" t="s">
        <v>45</v>
      </c>
      <c r="L1182" s="694" t="s">
        <v>258</v>
      </c>
      <c r="M1182" s="694" t="s">
        <v>915</v>
      </c>
      <c r="N1182" s="694" t="s">
        <v>927</v>
      </c>
      <c r="O1182" s="694">
        <v>2021.0</v>
      </c>
      <c r="P1182" s="694" t="s">
        <v>919</v>
      </c>
      <c r="Q1182" s="695" t="s">
        <v>112</v>
      </c>
      <c r="R1182" s="696">
        <v>67.36193672</v>
      </c>
      <c r="S1182" s="696">
        <v>2.301578196</v>
      </c>
      <c r="T1182" s="697">
        <v>298.1403383</v>
      </c>
      <c r="AB1182" s="722"/>
    </row>
    <row r="1183">
      <c r="A1183" s="351"/>
      <c r="B1183" s="681" t="s">
        <v>59</v>
      </c>
      <c r="C1183" s="682" t="s">
        <v>915</v>
      </c>
      <c r="D1183" s="682" t="s">
        <v>926</v>
      </c>
      <c r="E1183" s="682" t="s">
        <v>302</v>
      </c>
      <c r="F1183" s="682">
        <v>2021.0</v>
      </c>
      <c r="G1183" s="683">
        <v>9.74E-5</v>
      </c>
      <c r="H1183" s="683">
        <v>6.23E-6</v>
      </c>
      <c r="I1183" s="684">
        <v>2.33567E-4</v>
      </c>
      <c r="K1183" s="693" t="s">
        <v>45</v>
      </c>
      <c r="L1183" s="694" t="s">
        <v>258</v>
      </c>
      <c r="M1183" s="694" t="s">
        <v>915</v>
      </c>
      <c r="N1183" s="694" t="s">
        <v>926</v>
      </c>
      <c r="O1183" s="694">
        <v>2021.0</v>
      </c>
      <c r="P1183" s="694" t="s">
        <v>919</v>
      </c>
      <c r="Q1183" s="695" t="s">
        <v>112</v>
      </c>
      <c r="R1183" s="696">
        <v>165.9417811</v>
      </c>
      <c r="S1183" s="696">
        <v>5.772622741</v>
      </c>
      <c r="T1183" s="697">
        <v>717.6453193</v>
      </c>
      <c r="AB1183" s="722"/>
    </row>
    <row r="1184">
      <c r="A1184" s="351"/>
      <c r="B1184" s="681" t="s">
        <v>60</v>
      </c>
      <c r="C1184" s="682" t="s">
        <v>915</v>
      </c>
      <c r="D1184" s="682" t="s">
        <v>916</v>
      </c>
      <c r="E1184" s="682" t="s">
        <v>302</v>
      </c>
      <c r="F1184" s="682">
        <v>2021.0</v>
      </c>
      <c r="G1184" s="683">
        <v>2.99E-5</v>
      </c>
      <c r="H1184" s="683">
        <v>1.36E-6</v>
      </c>
      <c r="I1184" s="684">
        <v>7.45E-5</v>
      </c>
      <c r="K1184" s="693" t="s">
        <v>46</v>
      </c>
      <c r="L1184" s="694" t="s">
        <v>258</v>
      </c>
      <c r="M1184" s="694" t="s">
        <v>915</v>
      </c>
      <c r="N1184" s="694" t="s">
        <v>918</v>
      </c>
      <c r="O1184" s="694">
        <v>2021.0</v>
      </c>
      <c r="P1184" s="694" t="s">
        <v>919</v>
      </c>
      <c r="Q1184" s="695" t="s">
        <v>112</v>
      </c>
      <c r="R1184" s="696">
        <v>16.69232589</v>
      </c>
      <c r="S1184" s="696">
        <v>0.525912217</v>
      </c>
      <c r="T1184" s="697">
        <v>78.45420982</v>
      </c>
      <c r="AB1184" s="722"/>
    </row>
    <row r="1185">
      <c r="A1185" s="351"/>
      <c r="B1185" s="681" t="s">
        <v>60</v>
      </c>
      <c r="C1185" s="682" t="s">
        <v>915</v>
      </c>
      <c r="D1185" s="682" t="s">
        <v>922</v>
      </c>
      <c r="E1185" s="682" t="s">
        <v>302</v>
      </c>
      <c r="F1185" s="682">
        <v>2021.0</v>
      </c>
      <c r="G1185" s="683">
        <v>1.03803E-4</v>
      </c>
      <c r="H1185" s="683">
        <v>7.09E-6</v>
      </c>
      <c r="I1185" s="684">
        <v>2.73579E-4</v>
      </c>
      <c r="K1185" s="693" t="s">
        <v>46</v>
      </c>
      <c r="L1185" s="694" t="s">
        <v>258</v>
      </c>
      <c r="M1185" s="694" t="s">
        <v>915</v>
      </c>
      <c r="N1185" s="694" t="s">
        <v>923</v>
      </c>
      <c r="O1185" s="694">
        <v>2021.0</v>
      </c>
      <c r="P1185" s="694" t="s">
        <v>919</v>
      </c>
      <c r="Q1185" s="695" t="s">
        <v>112</v>
      </c>
      <c r="R1185" s="696">
        <v>0.0</v>
      </c>
      <c r="S1185" s="696">
        <v>0.0</v>
      </c>
      <c r="T1185" s="697">
        <v>0.0</v>
      </c>
      <c r="AB1185" s="722"/>
    </row>
    <row r="1186">
      <c r="A1186" s="351"/>
      <c r="B1186" s="681" t="s">
        <v>60</v>
      </c>
      <c r="C1186" s="682" t="s">
        <v>915</v>
      </c>
      <c r="D1186" s="682" t="s">
        <v>924</v>
      </c>
      <c r="E1186" s="682" t="s">
        <v>302</v>
      </c>
      <c r="F1186" s="682">
        <v>2021.0</v>
      </c>
      <c r="G1186" s="683">
        <v>9.4E-6</v>
      </c>
      <c r="H1186" s="683">
        <v>4.58E-7</v>
      </c>
      <c r="I1186" s="684">
        <v>2.42E-5</v>
      </c>
      <c r="K1186" s="693" t="s">
        <v>46</v>
      </c>
      <c r="L1186" s="694" t="s">
        <v>258</v>
      </c>
      <c r="M1186" s="694" t="s">
        <v>915</v>
      </c>
      <c r="N1186" s="694" t="s">
        <v>925</v>
      </c>
      <c r="O1186" s="694">
        <v>2021.0</v>
      </c>
      <c r="P1186" s="694" t="s">
        <v>919</v>
      </c>
      <c r="Q1186" s="695" t="s">
        <v>112</v>
      </c>
      <c r="R1186" s="696">
        <v>0.0</v>
      </c>
      <c r="S1186" s="696">
        <v>0.0</v>
      </c>
      <c r="T1186" s="697">
        <v>0.0</v>
      </c>
      <c r="AB1186" s="722"/>
    </row>
    <row r="1187">
      <c r="A1187" s="351"/>
      <c r="B1187" s="681" t="s">
        <v>60</v>
      </c>
      <c r="C1187" s="682" t="s">
        <v>915</v>
      </c>
      <c r="D1187" s="682" t="s">
        <v>926</v>
      </c>
      <c r="E1187" s="682" t="s">
        <v>302</v>
      </c>
      <c r="F1187" s="682">
        <v>2021.0</v>
      </c>
      <c r="G1187" s="683">
        <v>7.27E-5</v>
      </c>
      <c r="H1187" s="683">
        <v>3.27E-6</v>
      </c>
      <c r="I1187" s="684">
        <v>1.75541E-4</v>
      </c>
      <c r="K1187" s="693" t="s">
        <v>46</v>
      </c>
      <c r="L1187" s="694" t="s">
        <v>258</v>
      </c>
      <c r="M1187" s="694" t="s">
        <v>915</v>
      </c>
      <c r="N1187" s="694" t="s">
        <v>927</v>
      </c>
      <c r="O1187" s="694">
        <v>2021.0</v>
      </c>
      <c r="P1187" s="694" t="s">
        <v>919</v>
      </c>
      <c r="Q1187" s="695" t="s">
        <v>112</v>
      </c>
      <c r="R1187" s="696">
        <v>10.73802738</v>
      </c>
      <c r="S1187" s="696">
        <v>0.33601884</v>
      </c>
      <c r="T1187" s="697">
        <v>50.43807225</v>
      </c>
      <c r="AB1187" s="722"/>
    </row>
    <row r="1188">
      <c r="A1188" s="351"/>
      <c r="B1188" s="681" t="s">
        <v>61</v>
      </c>
      <c r="C1188" s="682" t="s">
        <v>915</v>
      </c>
      <c r="D1188" s="682" t="s">
        <v>916</v>
      </c>
      <c r="E1188" s="682" t="s">
        <v>302</v>
      </c>
      <c r="F1188" s="682">
        <v>2021.0</v>
      </c>
      <c r="G1188" s="683">
        <v>1.99E-5</v>
      </c>
      <c r="H1188" s="683">
        <v>4.7E-7</v>
      </c>
      <c r="I1188" s="684">
        <v>4.6E-5</v>
      </c>
      <c r="K1188" s="693" t="s">
        <v>46</v>
      </c>
      <c r="L1188" s="694" t="s">
        <v>258</v>
      </c>
      <c r="M1188" s="694" t="s">
        <v>915</v>
      </c>
      <c r="N1188" s="694" t="s">
        <v>926</v>
      </c>
      <c r="O1188" s="694">
        <v>2021.0</v>
      </c>
      <c r="P1188" s="694" t="s">
        <v>919</v>
      </c>
      <c r="Q1188" s="695" t="s">
        <v>112</v>
      </c>
      <c r="R1188" s="696">
        <v>27.43035327</v>
      </c>
      <c r="S1188" s="696">
        <v>0.877928338</v>
      </c>
      <c r="T1188" s="697">
        <v>125.7770025</v>
      </c>
      <c r="AB1188" s="722"/>
    </row>
    <row r="1189">
      <c r="A1189" s="351"/>
      <c r="B1189" s="681" t="s">
        <v>61</v>
      </c>
      <c r="C1189" s="682" t="s">
        <v>915</v>
      </c>
      <c r="D1189" s="682" t="s">
        <v>922</v>
      </c>
      <c r="E1189" s="682" t="s">
        <v>302</v>
      </c>
      <c r="F1189" s="682">
        <v>2021.0</v>
      </c>
      <c r="G1189" s="683">
        <v>7.95E-5</v>
      </c>
      <c r="H1189" s="683">
        <v>2.92E-6</v>
      </c>
      <c r="I1189" s="684">
        <v>2.19567E-4</v>
      </c>
      <c r="K1189" s="693" t="s">
        <v>47</v>
      </c>
      <c r="L1189" s="694" t="s">
        <v>258</v>
      </c>
      <c r="M1189" s="694" t="s">
        <v>915</v>
      </c>
      <c r="N1189" s="694" t="s">
        <v>918</v>
      </c>
      <c r="O1189" s="694">
        <v>2021.0</v>
      </c>
      <c r="P1189" s="694" t="s">
        <v>919</v>
      </c>
      <c r="Q1189" s="695" t="s">
        <v>112</v>
      </c>
      <c r="R1189" s="696">
        <v>32.24102431</v>
      </c>
      <c r="S1189" s="696">
        <v>0.892134165</v>
      </c>
      <c r="T1189" s="697">
        <v>153.7669175</v>
      </c>
      <c r="AB1189" s="722"/>
    </row>
    <row r="1190">
      <c r="A1190" s="351"/>
      <c r="B1190" s="681" t="s">
        <v>61</v>
      </c>
      <c r="C1190" s="682" t="s">
        <v>915</v>
      </c>
      <c r="D1190" s="682" t="s">
        <v>924</v>
      </c>
      <c r="E1190" s="682" t="s">
        <v>302</v>
      </c>
      <c r="F1190" s="682">
        <v>2021.0</v>
      </c>
      <c r="G1190" s="683">
        <v>5.24E-6</v>
      </c>
      <c r="H1190" s="683">
        <v>1.27E-7</v>
      </c>
      <c r="I1190" s="684">
        <v>1.38E-5</v>
      </c>
      <c r="K1190" s="693" t="s">
        <v>47</v>
      </c>
      <c r="L1190" s="694" t="s">
        <v>258</v>
      </c>
      <c r="M1190" s="694" t="s">
        <v>915</v>
      </c>
      <c r="N1190" s="694" t="s">
        <v>923</v>
      </c>
      <c r="O1190" s="694">
        <v>2021.0</v>
      </c>
      <c r="P1190" s="694" t="s">
        <v>919</v>
      </c>
      <c r="Q1190" s="695" t="s">
        <v>112</v>
      </c>
      <c r="R1190" s="696">
        <v>0.0</v>
      </c>
      <c r="S1190" s="696">
        <v>0.0</v>
      </c>
      <c r="T1190" s="697">
        <v>0.0</v>
      </c>
      <c r="AB1190" s="722"/>
    </row>
    <row r="1191">
      <c r="A1191" s="351"/>
      <c r="B1191" s="681" t="s">
        <v>61</v>
      </c>
      <c r="C1191" s="682" t="s">
        <v>915</v>
      </c>
      <c r="D1191" s="682" t="s">
        <v>926</v>
      </c>
      <c r="E1191" s="682" t="s">
        <v>302</v>
      </c>
      <c r="F1191" s="682">
        <v>2021.0</v>
      </c>
      <c r="G1191" s="683">
        <v>6.5E-5</v>
      </c>
      <c r="H1191" s="683">
        <v>1.48E-6</v>
      </c>
      <c r="I1191" s="684">
        <v>1.48969E-4</v>
      </c>
      <c r="K1191" s="693" t="s">
        <v>47</v>
      </c>
      <c r="L1191" s="694" t="s">
        <v>258</v>
      </c>
      <c r="M1191" s="694" t="s">
        <v>915</v>
      </c>
      <c r="N1191" s="694" t="s">
        <v>925</v>
      </c>
      <c r="O1191" s="694">
        <v>2021.0</v>
      </c>
      <c r="P1191" s="694" t="s">
        <v>919</v>
      </c>
      <c r="Q1191" s="695" t="s">
        <v>112</v>
      </c>
      <c r="R1191" s="696">
        <v>0.0</v>
      </c>
      <c r="S1191" s="696">
        <v>0.0</v>
      </c>
      <c r="T1191" s="697">
        <v>0.0</v>
      </c>
      <c r="AB1191" s="722"/>
    </row>
    <row r="1192">
      <c r="A1192" s="351"/>
      <c r="B1192" s="681" t="s">
        <v>63</v>
      </c>
      <c r="C1192" s="682" t="s">
        <v>915</v>
      </c>
      <c r="D1192" s="682" t="s">
        <v>916</v>
      </c>
      <c r="E1192" s="682" t="s">
        <v>302</v>
      </c>
      <c r="F1192" s="682">
        <v>2021.0</v>
      </c>
      <c r="G1192" s="683">
        <v>3.24E-5</v>
      </c>
      <c r="H1192" s="683">
        <v>1.35E-6</v>
      </c>
      <c r="I1192" s="684">
        <v>9.77E-5</v>
      </c>
      <c r="K1192" s="693" t="s">
        <v>47</v>
      </c>
      <c r="L1192" s="694" t="s">
        <v>258</v>
      </c>
      <c r="M1192" s="694" t="s">
        <v>915</v>
      </c>
      <c r="N1192" s="694" t="s">
        <v>927</v>
      </c>
      <c r="O1192" s="694">
        <v>2021.0</v>
      </c>
      <c r="P1192" s="694" t="s">
        <v>919</v>
      </c>
      <c r="Q1192" s="695" t="s">
        <v>112</v>
      </c>
      <c r="R1192" s="696">
        <v>23.25069983</v>
      </c>
      <c r="S1192" s="696">
        <v>0.659017804</v>
      </c>
      <c r="T1192" s="697">
        <v>107.7587853</v>
      </c>
      <c r="AB1192" s="722"/>
    </row>
    <row r="1193">
      <c r="A1193" s="351"/>
      <c r="B1193" s="681" t="s">
        <v>63</v>
      </c>
      <c r="C1193" s="682" t="s">
        <v>915</v>
      </c>
      <c r="D1193" s="682" t="s">
        <v>922</v>
      </c>
      <c r="E1193" s="682" t="s">
        <v>302</v>
      </c>
      <c r="F1193" s="682">
        <v>2021.0</v>
      </c>
      <c r="G1193" s="683">
        <v>1.03973E-4</v>
      </c>
      <c r="H1193" s="683">
        <v>6.88E-6</v>
      </c>
      <c r="I1193" s="684">
        <v>2.66405E-4</v>
      </c>
      <c r="K1193" s="693" t="s">
        <v>47</v>
      </c>
      <c r="L1193" s="694" t="s">
        <v>258</v>
      </c>
      <c r="M1193" s="694" t="s">
        <v>915</v>
      </c>
      <c r="N1193" s="694" t="s">
        <v>926</v>
      </c>
      <c r="O1193" s="694">
        <v>2021.0</v>
      </c>
      <c r="P1193" s="694" t="s">
        <v>919</v>
      </c>
      <c r="Q1193" s="695" t="s">
        <v>112</v>
      </c>
      <c r="R1193" s="696">
        <v>55.49172414</v>
      </c>
      <c r="S1193" s="696">
        <v>1.586917501</v>
      </c>
      <c r="T1193" s="697">
        <v>259.4588128</v>
      </c>
      <c r="AB1193" s="722"/>
    </row>
    <row r="1194">
      <c r="A1194" s="351"/>
      <c r="B1194" s="681" t="s">
        <v>63</v>
      </c>
      <c r="C1194" s="682" t="s">
        <v>915</v>
      </c>
      <c r="D1194" s="682" t="s">
        <v>924</v>
      </c>
      <c r="E1194" s="682" t="s">
        <v>302</v>
      </c>
      <c r="F1194" s="682">
        <v>2021.0</v>
      </c>
      <c r="G1194" s="683">
        <v>7.28E-6</v>
      </c>
      <c r="H1194" s="683">
        <v>3.2E-7</v>
      </c>
      <c r="I1194" s="684">
        <v>2.28E-5</v>
      </c>
      <c r="K1194" s="693" t="s">
        <v>48</v>
      </c>
      <c r="L1194" s="694" t="s">
        <v>258</v>
      </c>
      <c r="M1194" s="694" t="s">
        <v>915</v>
      </c>
      <c r="N1194" s="694" t="s">
        <v>918</v>
      </c>
      <c r="O1194" s="694">
        <v>2021.0</v>
      </c>
      <c r="P1194" s="694" t="s">
        <v>919</v>
      </c>
      <c r="Q1194" s="695" t="s">
        <v>112</v>
      </c>
      <c r="R1194" s="696">
        <v>27.0197616</v>
      </c>
      <c r="S1194" s="696">
        <v>0.961665332</v>
      </c>
      <c r="T1194" s="697">
        <v>125.2973687</v>
      </c>
      <c r="AB1194" s="722"/>
    </row>
    <row r="1195">
      <c r="A1195" s="351"/>
      <c r="B1195" s="681" t="s">
        <v>63</v>
      </c>
      <c r="C1195" s="682" t="s">
        <v>915</v>
      </c>
      <c r="D1195" s="682" t="s">
        <v>926</v>
      </c>
      <c r="E1195" s="682" t="s">
        <v>302</v>
      </c>
      <c r="F1195" s="682">
        <v>2021.0</v>
      </c>
      <c r="G1195" s="683">
        <v>5.18E-5</v>
      </c>
      <c r="H1195" s="683">
        <v>2.54E-6</v>
      </c>
      <c r="I1195" s="684">
        <v>1.29152E-4</v>
      </c>
      <c r="K1195" s="693" t="s">
        <v>48</v>
      </c>
      <c r="L1195" s="694" t="s">
        <v>258</v>
      </c>
      <c r="M1195" s="694" t="s">
        <v>915</v>
      </c>
      <c r="N1195" s="694" t="s">
        <v>923</v>
      </c>
      <c r="O1195" s="694">
        <v>2021.0</v>
      </c>
      <c r="P1195" s="694" t="s">
        <v>919</v>
      </c>
      <c r="Q1195" s="695" t="s">
        <v>112</v>
      </c>
      <c r="R1195" s="696">
        <v>0.0</v>
      </c>
      <c r="S1195" s="696">
        <v>0.0</v>
      </c>
      <c r="T1195" s="697">
        <v>0.0</v>
      </c>
      <c r="AB1195" s="722"/>
    </row>
    <row r="1196">
      <c r="A1196" s="351"/>
      <c r="B1196" s="681" t="s">
        <v>64</v>
      </c>
      <c r="C1196" s="682" t="s">
        <v>915</v>
      </c>
      <c r="D1196" s="682" t="s">
        <v>916</v>
      </c>
      <c r="E1196" s="682" t="s">
        <v>302</v>
      </c>
      <c r="F1196" s="682">
        <v>2021.0</v>
      </c>
      <c r="G1196" s="683">
        <v>3.64E-5</v>
      </c>
      <c r="H1196" s="683">
        <v>5.51E-6</v>
      </c>
      <c r="I1196" s="684">
        <v>7.56E-5</v>
      </c>
      <c r="K1196" s="693" t="s">
        <v>48</v>
      </c>
      <c r="L1196" s="694" t="s">
        <v>258</v>
      </c>
      <c r="M1196" s="694" t="s">
        <v>915</v>
      </c>
      <c r="N1196" s="694" t="s">
        <v>925</v>
      </c>
      <c r="O1196" s="694">
        <v>2021.0</v>
      </c>
      <c r="P1196" s="694" t="s">
        <v>919</v>
      </c>
      <c r="Q1196" s="695" t="s">
        <v>112</v>
      </c>
      <c r="R1196" s="696">
        <v>0.0</v>
      </c>
      <c r="S1196" s="696">
        <v>0.0</v>
      </c>
      <c r="T1196" s="697">
        <v>0.0</v>
      </c>
      <c r="AB1196" s="722"/>
    </row>
    <row r="1197">
      <c r="A1197" s="351"/>
      <c r="B1197" s="681" t="s">
        <v>64</v>
      </c>
      <c r="C1197" s="682" t="s">
        <v>915</v>
      </c>
      <c r="D1197" s="682" t="s">
        <v>922</v>
      </c>
      <c r="E1197" s="682" t="s">
        <v>302</v>
      </c>
      <c r="F1197" s="682">
        <v>2021.0</v>
      </c>
      <c r="G1197" s="683">
        <v>9.3E-5</v>
      </c>
      <c r="H1197" s="683">
        <v>1.74E-5</v>
      </c>
      <c r="I1197" s="684">
        <v>1.91078E-4</v>
      </c>
      <c r="K1197" s="693" t="s">
        <v>48</v>
      </c>
      <c r="L1197" s="694" t="s">
        <v>258</v>
      </c>
      <c r="M1197" s="694" t="s">
        <v>915</v>
      </c>
      <c r="N1197" s="694" t="s">
        <v>927</v>
      </c>
      <c r="O1197" s="694">
        <v>2021.0</v>
      </c>
      <c r="P1197" s="694" t="s">
        <v>919</v>
      </c>
      <c r="Q1197" s="695" t="s">
        <v>112</v>
      </c>
      <c r="R1197" s="696">
        <v>21.17100073</v>
      </c>
      <c r="S1197" s="696">
        <v>0.7081059</v>
      </c>
      <c r="T1197" s="697">
        <v>100.8130935</v>
      </c>
      <c r="AB1197" s="722"/>
    </row>
    <row r="1198">
      <c r="A1198" s="351"/>
      <c r="B1198" s="681" t="s">
        <v>64</v>
      </c>
      <c r="C1198" s="682" t="s">
        <v>915</v>
      </c>
      <c r="D1198" s="682" t="s">
        <v>924</v>
      </c>
      <c r="E1198" s="682" t="s">
        <v>302</v>
      </c>
      <c r="F1198" s="682">
        <v>2021.0</v>
      </c>
      <c r="G1198" s="683">
        <v>1.07E-5</v>
      </c>
      <c r="H1198" s="683">
        <v>1.86E-6</v>
      </c>
      <c r="I1198" s="684">
        <v>2.36E-5</v>
      </c>
      <c r="K1198" s="693" t="s">
        <v>48</v>
      </c>
      <c r="L1198" s="694" t="s">
        <v>258</v>
      </c>
      <c r="M1198" s="694" t="s">
        <v>915</v>
      </c>
      <c r="N1198" s="694" t="s">
        <v>926</v>
      </c>
      <c r="O1198" s="694">
        <v>2021.0</v>
      </c>
      <c r="P1198" s="694" t="s">
        <v>919</v>
      </c>
      <c r="Q1198" s="695" t="s">
        <v>112</v>
      </c>
      <c r="R1198" s="696">
        <v>48.19076233</v>
      </c>
      <c r="S1198" s="696">
        <v>1.67194221</v>
      </c>
      <c r="T1198" s="697">
        <v>222.4601696</v>
      </c>
      <c r="AB1198" s="722"/>
    </row>
    <row r="1199">
      <c r="A1199" s="351"/>
      <c r="B1199" s="681" t="s">
        <v>64</v>
      </c>
      <c r="C1199" s="682" t="s">
        <v>915</v>
      </c>
      <c r="D1199" s="682" t="s">
        <v>926</v>
      </c>
      <c r="E1199" s="682" t="s">
        <v>302</v>
      </c>
      <c r="F1199" s="682">
        <v>2021.0</v>
      </c>
      <c r="G1199" s="683">
        <v>7.79E-5</v>
      </c>
      <c r="H1199" s="683">
        <v>8.8E-6</v>
      </c>
      <c r="I1199" s="684">
        <v>1.89869E-4</v>
      </c>
      <c r="K1199" s="693" t="s">
        <v>49</v>
      </c>
      <c r="L1199" s="694" t="s">
        <v>258</v>
      </c>
      <c r="M1199" s="694" t="s">
        <v>915</v>
      </c>
      <c r="N1199" s="694" t="s">
        <v>918</v>
      </c>
      <c r="O1199" s="694">
        <v>2021.0</v>
      </c>
      <c r="P1199" s="694" t="s">
        <v>919</v>
      </c>
      <c r="Q1199" s="695" t="s">
        <v>112</v>
      </c>
      <c r="R1199" s="696">
        <v>21.54248316</v>
      </c>
      <c r="S1199" s="696">
        <v>0.806363798</v>
      </c>
      <c r="T1199" s="697">
        <v>91.11249931</v>
      </c>
      <c r="AB1199" s="722"/>
    </row>
    <row r="1200">
      <c r="A1200" s="351"/>
      <c r="B1200" s="681" t="s">
        <v>65</v>
      </c>
      <c r="C1200" s="682" t="s">
        <v>915</v>
      </c>
      <c r="D1200" s="682" t="s">
        <v>916</v>
      </c>
      <c r="E1200" s="682" t="s">
        <v>302</v>
      </c>
      <c r="F1200" s="682">
        <v>2021.0</v>
      </c>
      <c r="G1200" s="683">
        <v>2.83E-5</v>
      </c>
      <c r="H1200" s="683">
        <v>6.71E-7</v>
      </c>
      <c r="I1200" s="684">
        <v>8.0E-5</v>
      </c>
      <c r="K1200" s="693" t="s">
        <v>49</v>
      </c>
      <c r="L1200" s="694" t="s">
        <v>258</v>
      </c>
      <c r="M1200" s="694" t="s">
        <v>915</v>
      </c>
      <c r="N1200" s="694" t="s">
        <v>923</v>
      </c>
      <c r="O1200" s="694">
        <v>2021.0</v>
      </c>
      <c r="P1200" s="694" t="s">
        <v>919</v>
      </c>
      <c r="Q1200" s="695" t="s">
        <v>112</v>
      </c>
      <c r="R1200" s="696">
        <v>0.0</v>
      </c>
      <c r="S1200" s="696">
        <v>0.0</v>
      </c>
      <c r="T1200" s="697">
        <v>0.0</v>
      </c>
      <c r="AB1200" s="722"/>
    </row>
    <row r="1201">
      <c r="A1201" s="351"/>
      <c r="B1201" s="681" t="s">
        <v>65</v>
      </c>
      <c r="C1201" s="682" t="s">
        <v>915</v>
      </c>
      <c r="D1201" s="682" t="s">
        <v>922</v>
      </c>
      <c r="E1201" s="682" t="s">
        <v>302</v>
      </c>
      <c r="F1201" s="682">
        <v>2021.0</v>
      </c>
      <c r="G1201" s="683">
        <v>9.41E-5</v>
      </c>
      <c r="H1201" s="683">
        <v>3.25E-6</v>
      </c>
      <c r="I1201" s="684">
        <v>2.87942E-4</v>
      </c>
      <c r="K1201" s="693" t="s">
        <v>49</v>
      </c>
      <c r="L1201" s="694" t="s">
        <v>258</v>
      </c>
      <c r="M1201" s="694" t="s">
        <v>915</v>
      </c>
      <c r="N1201" s="694" t="s">
        <v>925</v>
      </c>
      <c r="O1201" s="694">
        <v>2021.0</v>
      </c>
      <c r="P1201" s="694" t="s">
        <v>919</v>
      </c>
      <c r="Q1201" s="695" t="s">
        <v>112</v>
      </c>
      <c r="R1201" s="696">
        <v>0.0</v>
      </c>
      <c r="S1201" s="696">
        <v>0.0</v>
      </c>
      <c r="T1201" s="697">
        <v>0.0</v>
      </c>
      <c r="AB1201" s="722"/>
    </row>
    <row r="1202">
      <c r="A1202" s="351"/>
      <c r="B1202" s="681" t="s">
        <v>65</v>
      </c>
      <c r="C1202" s="682" t="s">
        <v>915</v>
      </c>
      <c r="D1202" s="682" t="s">
        <v>924</v>
      </c>
      <c r="E1202" s="682" t="s">
        <v>302</v>
      </c>
      <c r="F1202" s="682">
        <v>2021.0</v>
      </c>
      <c r="G1202" s="683">
        <v>8.63E-6</v>
      </c>
      <c r="H1202" s="683">
        <v>2.02E-7</v>
      </c>
      <c r="I1202" s="684">
        <v>2.29E-5</v>
      </c>
      <c r="K1202" s="693" t="s">
        <v>49</v>
      </c>
      <c r="L1202" s="694" t="s">
        <v>258</v>
      </c>
      <c r="M1202" s="694" t="s">
        <v>915</v>
      </c>
      <c r="N1202" s="694" t="s">
        <v>927</v>
      </c>
      <c r="O1202" s="694">
        <v>2021.0</v>
      </c>
      <c r="P1202" s="694" t="s">
        <v>919</v>
      </c>
      <c r="Q1202" s="695" t="s">
        <v>112</v>
      </c>
      <c r="R1202" s="696">
        <v>11.7975463</v>
      </c>
      <c r="S1202" s="696">
        <v>0.403604885</v>
      </c>
      <c r="T1202" s="697">
        <v>52.66398822</v>
      </c>
      <c r="AB1202" s="722"/>
    </row>
    <row r="1203">
      <c r="A1203" s="351"/>
      <c r="B1203" s="681" t="s">
        <v>65</v>
      </c>
      <c r="C1203" s="682" t="s">
        <v>915</v>
      </c>
      <c r="D1203" s="682" t="s">
        <v>926</v>
      </c>
      <c r="E1203" s="682" t="s">
        <v>302</v>
      </c>
      <c r="F1203" s="682">
        <v>2021.0</v>
      </c>
      <c r="G1203" s="683">
        <v>8.49E-5</v>
      </c>
      <c r="H1203" s="683">
        <v>2.03E-6</v>
      </c>
      <c r="I1203" s="684">
        <v>2.0414E-4</v>
      </c>
      <c r="K1203" s="693" t="s">
        <v>49</v>
      </c>
      <c r="L1203" s="694" t="s">
        <v>258</v>
      </c>
      <c r="M1203" s="694" t="s">
        <v>915</v>
      </c>
      <c r="N1203" s="694" t="s">
        <v>926</v>
      </c>
      <c r="O1203" s="694">
        <v>2021.0</v>
      </c>
      <c r="P1203" s="694" t="s">
        <v>919</v>
      </c>
      <c r="Q1203" s="695" t="s">
        <v>112</v>
      </c>
      <c r="R1203" s="696">
        <v>33.34002946</v>
      </c>
      <c r="S1203" s="696">
        <v>1.239275938</v>
      </c>
      <c r="T1203" s="697">
        <v>145.2783981</v>
      </c>
      <c r="AB1203" s="722"/>
    </row>
    <row r="1204">
      <c r="A1204" s="351"/>
      <c r="B1204" s="681" t="s">
        <v>35</v>
      </c>
      <c r="C1204" s="682" t="s">
        <v>915</v>
      </c>
      <c r="D1204" s="682" t="s">
        <v>916</v>
      </c>
      <c r="E1204" s="682" t="s">
        <v>302</v>
      </c>
      <c r="F1204" s="682">
        <v>2021.0</v>
      </c>
      <c r="G1204" s="683">
        <v>1.83691E-4</v>
      </c>
      <c r="H1204" s="683">
        <v>3.43E-5</v>
      </c>
      <c r="I1204" s="684">
        <v>7.76228E-4</v>
      </c>
      <c r="K1204" s="693" t="s">
        <v>50</v>
      </c>
      <c r="L1204" s="694" t="s">
        <v>258</v>
      </c>
      <c r="M1204" s="694" t="s">
        <v>915</v>
      </c>
      <c r="N1204" s="694" t="s">
        <v>918</v>
      </c>
      <c r="O1204" s="694">
        <v>2021.0</v>
      </c>
      <c r="P1204" s="694" t="s">
        <v>919</v>
      </c>
      <c r="Q1204" s="695" t="s">
        <v>112</v>
      </c>
      <c r="R1204" s="696">
        <v>5.939175054</v>
      </c>
      <c r="S1204" s="696">
        <v>0.215737002</v>
      </c>
      <c r="T1204" s="697">
        <v>27.79427909</v>
      </c>
      <c r="AB1204" s="722"/>
    </row>
    <row r="1205">
      <c r="A1205" s="351"/>
      <c r="B1205" s="681" t="s">
        <v>35</v>
      </c>
      <c r="C1205" s="682" t="s">
        <v>915</v>
      </c>
      <c r="D1205" s="682" t="s">
        <v>922</v>
      </c>
      <c r="E1205" s="682" t="s">
        <v>302</v>
      </c>
      <c r="F1205" s="682">
        <v>2021.0</v>
      </c>
      <c r="G1205" s="683">
        <v>4.79564E-4</v>
      </c>
      <c r="H1205" s="683">
        <v>1.02377E-4</v>
      </c>
      <c r="I1205" s="684">
        <v>0.001877715</v>
      </c>
      <c r="K1205" s="693" t="s">
        <v>50</v>
      </c>
      <c r="L1205" s="694" t="s">
        <v>258</v>
      </c>
      <c r="M1205" s="694" t="s">
        <v>915</v>
      </c>
      <c r="N1205" s="694" t="s">
        <v>923</v>
      </c>
      <c r="O1205" s="694">
        <v>2021.0</v>
      </c>
      <c r="P1205" s="694" t="s">
        <v>919</v>
      </c>
      <c r="Q1205" s="695" t="s">
        <v>112</v>
      </c>
      <c r="R1205" s="696">
        <v>0.0</v>
      </c>
      <c r="S1205" s="696">
        <v>0.0</v>
      </c>
      <c r="T1205" s="697">
        <v>0.0</v>
      </c>
      <c r="AB1205" s="722"/>
    </row>
    <row r="1206">
      <c r="A1206" s="351"/>
      <c r="B1206" s="681" t="s">
        <v>35</v>
      </c>
      <c r="C1206" s="682" t="s">
        <v>915</v>
      </c>
      <c r="D1206" s="682" t="s">
        <v>924</v>
      </c>
      <c r="E1206" s="682" t="s">
        <v>302</v>
      </c>
      <c r="F1206" s="682">
        <v>2021.0</v>
      </c>
      <c r="G1206" s="683">
        <v>7.96E-5</v>
      </c>
      <c r="H1206" s="683">
        <v>1.43E-5</v>
      </c>
      <c r="I1206" s="684">
        <v>3.10954E-4</v>
      </c>
      <c r="K1206" s="693" t="s">
        <v>50</v>
      </c>
      <c r="L1206" s="694" t="s">
        <v>258</v>
      </c>
      <c r="M1206" s="694" t="s">
        <v>915</v>
      </c>
      <c r="N1206" s="694" t="s">
        <v>925</v>
      </c>
      <c r="O1206" s="694">
        <v>2021.0</v>
      </c>
      <c r="P1206" s="694" t="s">
        <v>919</v>
      </c>
      <c r="Q1206" s="695" t="s">
        <v>112</v>
      </c>
      <c r="R1206" s="696">
        <v>0.0</v>
      </c>
      <c r="S1206" s="696">
        <v>0.0</v>
      </c>
      <c r="T1206" s="697">
        <v>0.0</v>
      </c>
      <c r="AB1206" s="722"/>
    </row>
    <row r="1207">
      <c r="A1207" s="351"/>
      <c r="B1207" s="681" t="s">
        <v>35</v>
      </c>
      <c r="C1207" s="682" t="s">
        <v>915</v>
      </c>
      <c r="D1207" s="682" t="s">
        <v>926</v>
      </c>
      <c r="E1207" s="682" t="s">
        <v>302</v>
      </c>
      <c r="F1207" s="682">
        <v>2021.0</v>
      </c>
      <c r="G1207" s="683">
        <v>3.83113E-4</v>
      </c>
      <c r="H1207" s="683">
        <v>1.24833E-4</v>
      </c>
      <c r="I1207" s="684">
        <v>0.001639374</v>
      </c>
      <c r="K1207" s="693" t="s">
        <v>50</v>
      </c>
      <c r="L1207" s="694" t="s">
        <v>258</v>
      </c>
      <c r="M1207" s="694" t="s">
        <v>915</v>
      </c>
      <c r="N1207" s="694" t="s">
        <v>927</v>
      </c>
      <c r="O1207" s="694">
        <v>2021.0</v>
      </c>
      <c r="P1207" s="694" t="s">
        <v>919</v>
      </c>
      <c r="Q1207" s="695" t="s">
        <v>112</v>
      </c>
      <c r="R1207" s="696">
        <v>3.796313255</v>
      </c>
      <c r="S1207" s="696">
        <v>0.121658098</v>
      </c>
      <c r="T1207" s="697">
        <v>17.54487008</v>
      </c>
      <c r="AB1207" s="722"/>
    </row>
    <row r="1208">
      <c r="A1208" s="351"/>
      <c r="B1208" s="681" t="s">
        <v>66</v>
      </c>
      <c r="C1208" s="682" t="s">
        <v>915</v>
      </c>
      <c r="D1208" s="682" t="s">
        <v>916</v>
      </c>
      <c r="E1208" s="682" t="s">
        <v>302</v>
      </c>
      <c r="F1208" s="682">
        <v>2021.0</v>
      </c>
      <c r="G1208" s="683">
        <v>6.25E-5</v>
      </c>
      <c r="H1208" s="683">
        <v>1.98E-5</v>
      </c>
      <c r="I1208" s="684">
        <v>1.57693E-4</v>
      </c>
      <c r="K1208" s="693" t="s">
        <v>50</v>
      </c>
      <c r="L1208" s="694" t="s">
        <v>258</v>
      </c>
      <c r="M1208" s="694" t="s">
        <v>915</v>
      </c>
      <c r="N1208" s="694" t="s">
        <v>926</v>
      </c>
      <c r="O1208" s="694">
        <v>2021.0</v>
      </c>
      <c r="P1208" s="694" t="s">
        <v>919</v>
      </c>
      <c r="Q1208" s="695" t="s">
        <v>112</v>
      </c>
      <c r="R1208" s="696">
        <v>9.735488309</v>
      </c>
      <c r="S1208" s="696">
        <v>0.332697968</v>
      </c>
      <c r="T1208" s="697">
        <v>45.10953771</v>
      </c>
      <c r="AB1208" s="722"/>
    </row>
    <row r="1209">
      <c r="A1209" s="351"/>
      <c r="B1209" s="681" t="s">
        <v>66</v>
      </c>
      <c r="C1209" s="682" t="s">
        <v>915</v>
      </c>
      <c r="D1209" s="682" t="s">
        <v>922</v>
      </c>
      <c r="E1209" s="682" t="s">
        <v>302</v>
      </c>
      <c r="F1209" s="682">
        <v>2021.0</v>
      </c>
      <c r="G1209" s="683">
        <v>1.75697E-4</v>
      </c>
      <c r="H1209" s="683">
        <v>5.5E-5</v>
      </c>
      <c r="I1209" s="684">
        <v>4.54066E-4</v>
      </c>
      <c r="K1209" s="693" t="s">
        <v>51</v>
      </c>
      <c r="L1209" s="694" t="s">
        <v>258</v>
      </c>
      <c r="M1209" s="694" t="s">
        <v>915</v>
      </c>
      <c r="N1209" s="694" t="s">
        <v>918</v>
      </c>
      <c r="O1209" s="694">
        <v>2021.0</v>
      </c>
      <c r="P1209" s="694" t="s">
        <v>919</v>
      </c>
      <c r="Q1209" s="695" t="s">
        <v>112</v>
      </c>
      <c r="R1209" s="696">
        <v>19.30430619</v>
      </c>
      <c r="S1209" s="696">
        <v>0.606592372</v>
      </c>
      <c r="T1209" s="697">
        <v>97.88760995</v>
      </c>
      <c r="AB1209" s="722"/>
    </row>
    <row r="1210">
      <c r="A1210" s="351"/>
      <c r="B1210" s="681" t="s">
        <v>66</v>
      </c>
      <c r="C1210" s="682" t="s">
        <v>915</v>
      </c>
      <c r="D1210" s="682" t="s">
        <v>924</v>
      </c>
      <c r="E1210" s="682" t="s">
        <v>302</v>
      </c>
      <c r="F1210" s="682">
        <v>2021.0</v>
      </c>
      <c r="G1210" s="683">
        <v>2.69E-5</v>
      </c>
      <c r="H1210" s="683">
        <v>8.51E-6</v>
      </c>
      <c r="I1210" s="684">
        <v>7.08E-5</v>
      </c>
      <c r="K1210" s="693" t="s">
        <v>51</v>
      </c>
      <c r="L1210" s="694" t="s">
        <v>258</v>
      </c>
      <c r="M1210" s="694" t="s">
        <v>915</v>
      </c>
      <c r="N1210" s="694" t="s">
        <v>923</v>
      </c>
      <c r="O1210" s="694">
        <v>2021.0</v>
      </c>
      <c r="P1210" s="694" t="s">
        <v>919</v>
      </c>
      <c r="Q1210" s="695" t="s">
        <v>112</v>
      </c>
      <c r="R1210" s="696">
        <v>0.0</v>
      </c>
      <c r="S1210" s="696">
        <v>0.0</v>
      </c>
      <c r="T1210" s="697">
        <v>0.0</v>
      </c>
      <c r="AB1210" s="722"/>
    </row>
    <row r="1211">
      <c r="A1211" s="351"/>
      <c r="B1211" s="681" t="s">
        <v>66</v>
      </c>
      <c r="C1211" s="682" t="s">
        <v>915</v>
      </c>
      <c r="D1211" s="682" t="s">
        <v>926</v>
      </c>
      <c r="E1211" s="682" t="s">
        <v>302</v>
      </c>
      <c r="F1211" s="682">
        <v>2021.0</v>
      </c>
      <c r="G1211" s="683">
        <v>1.01093E-4</v>
      </c>
      <c r="H1211" s="683">
        <v>3.6E-5</v>
      </c>
      <c r="I1211" s="684">
        <v>2.4336E-4</v>
      </c>
      <c r="K1211" s="693" t="s">
        <v>51</v>
      </c>
      <c r="L1211" s="694" t="s">
        <v>258</v>
      </c>
      <c r="M1211" s="694" t="s">
        <v>915</v>
      </c>
      <c r="N1211" s="694" t="s">
        <v>925</v>
      </c>
      <c r="O1211" s="694">
        <v>2021.0</v>
      </c>
      <c r="P1211" s="694" t="s">
        <v>919</v>
      </c>
      <c r="Q1211" s="695" t="s">
        <v>112</v>
      </c>
      <c r="R1211" s="696">
        <v>0.0</v>
      </c>
      <c r="S1211" s="696">
        <v>0.0</v>
      </c>
      <c r="T1211" s="697">
        <v>0.0</v>
      </c>
      <c r="AB1211" s="722"/>
    </row>
    <row r="1212">
      <c r="A1212" s="351"/>
      <c r="B1212" s="681" t="s">
        <v>67</v>
      </c>
      <c r="C1212" s="682" t="s">
        <v>915</v>
      </c>
      <c r="D1212" s="682" t="s">
        <v>916</v>
      </c>
      <c r="E1212" s="682" t="s">
        <v>302</v>
      </c>
      <c r="F1212" s="682">
        <v>2021.0</v>
      </c>
      <c r="G1212" s="683">
        <v>7.93E-5</v>
      </c>
      <c r="H1212" s="683">
        <v>1.93E-5</v>
      </c>
      <c r="I1212" s="684">
        <v>3.29033E-4</v>
      </c>
      <c r="K1212" s="693" t="s">
        <v>51</v>
      </c>
      <c r="L1212" s="694" t="s">
        <v>258</v>
      </c>
      <c r="M1212" s="694" t="s">
        <v>915</v>
      </c>
      <c r="N1212" s="694" t="s">
        <v>927</v>
      </c>
      <c r="O1212" s="694">
        <v>2021.0</v>
      </c>
      <c r="P1212" s="694" t="s">
        <v>919</v>
      </c>
      <c r="Q1212" s="695" t="s">
        <v>112</v>
      </c>
      <c r="R1212" s="696">
        <v>13.54920366</v>
      </c>
      <c r="S1212" s="696">
        <v>0.452296486</v>
      </c>
      <c r="T1212" s="697">
        <v>71.91020591</v>
      </c>
      <c r="AB1212" s="722"/>
    </row>
    <row r="1213">
      <c r="A1213" s="351"/>
      <c r="B1213" s="681" t="s">
        <v>67</v>
      </c>
      <c r="C1213" s="682" t="s">
        <v>915</v>
      </c>
      <c r="D1213" s="682" t="s">
        <v>922</v>
      </c>
      <c r="E1213" s="682" t="s">
        <v>302</v>
      </c>
      <c r="F1213" s="682">
        <v>2021.0</v>
      </c>
      <c r="G1213" s="683">
        <v>2.43663E-4</v>
      </c>
      <c r="H1213" s="683">
        <v>6.64E-5</v>
      </c>
      <c r="I1213" s="684">
        <v>8.44606E-4</v>
      </c>
      <c r="K1213" s="693" t="s">
        <v>51</v>
      </c>
      <c r="L1213" s="694" t="s">
        <v>258</v>
      </c>
      <c r="M1213" s="694" t="s">
        <v>915</v>
      </c>
      <c r="N1213" s="694" t="s">
        <v>926</v>
      </c>
      <c r="O1213" s="694">
        <v>2021.0</v>
      </c>
      <c r="P1213" s="694" t="s">
        <v>919</v>
      </c>
      <c r="Q1213" s="695" t="s">
        <v>112</v>
      </c>
      <c r="R1213" s="696">
        <v>32.85350986</v>
      </c>
      <c r="S1213" s="696">
        <v>1.056244539</v>
      </c>
      <c r="T1213" s="697">
        <v>168.4837971</v>
      </c>
      <c r="AB1213" s="722"/>
    </row>
    <row r="1214">
      <c r="A1214" s="351"/>
      <c r="B1214" s="681" t="s">
        <v>67</v>
      </c>
      <c r="C1214" s="682" t="s">
        <v>915</v>
      </c>
      <c r="D1214" s="682" t="s">
        <v>924</v>
      </c>
      <c r="E1214" s="682" t="s">
        <v>302</v>
      </c>
      <c r="F1214" s="682">
        <v>2021.0</v>
      </c>
      <c r="G1214" s="683">
        <v>2.88E-5</v>
      </c>
      <c r="H1214" s="683">
        <v>6.01E-6</v>
      </c>
      <c r="I1214" s="684">
        <v>1.24843E-4</v>
      </c>
      <c r="K1214" s="693" t="s">
        <v>52</v>
      </c>
      <c r="L1214" s="694" t="s">
        <v>258</v>
      </c>
      <c r="M1214" s="694" t="s">
        <v>915</v>
      </c>
      <c r="N1214" s="694" t="s">
        <v>918</v>
      </c>
      <c r="O1214" s="694">
        <v>2021.0</v>
      </c>
      <c r="P1214" s="694" t="s">
        <v>919</v>
      </c>
      <c r="Q1214" s="695" t="s">
        <v>112</v>
      </c>
      <c r="R1214" s="696">
        <v>34.44017142</v>
      </c>
      <c r="S1214" s="696">
        <v>0.917897587</v>
      </c>
      <c r="T1214" s="697">
        <v>156.7713368</v>
      </c>
      <c r="AB1214" s="722"/>
    </row>
    <row r="1215">
      <c r="A1215" s="351"/>
      <c r="B1215" s="681" t="s">
        <v>67</v>
      </c>
      <c r="C1215" s="682" t="s">
        <v>915</v>
      </c>
      <c r="D1215" s="682" t="s">
        <v>926</v>
      </c>
      <c r="E1215" s="682" t="s">
        <v>302</v>
      </c>
      <c r="F1215" s="682">
        <v>2021.0</v>
      </c>
      <c r="G1215" s="683">
        <v>1.33492E-4</v>
      </c>
      <c r="H1215" s="683">
        <v>4.18E-5</v>
      </c>
      <c r="I1215" s="684">
        <v>5.08662E-4</v>
      </c>
      <c r="K1215" s="693" t="s">
        <v>52</v>
      </c>
      <c r="L1215" s="694" t="s">
        <v>258</v>
      </c>
      <c r="M1215" s="694" t="s">
        <v>915</v>
      </c>
      <c r="N1215" s="694" t="s">
        <v>923</v>
      </c>
      <c r="O1215" s="694">
        <v>2021.0</v>
      </c>
      <c r="P1215" s="694" t="s">
        <v>919</v>
      </c>
      <c r="Q1215" s="695" t="s">
        <v>112</v>
      </c>
      <c r="R1215" s="696">
        <v>0.0</v>
      </c>
      <c r="S1215" s="696">
        <v>0.0</v>
      </c>
      <c r="T1215" s="697">
        <v>0.0</v>
      </c>
      <c r="AB1215" s="722"/>
    </row>
    <row r="1216">
      <c r="A1216" s="351"/>
      <c r="B1216" s="681" t="s">
        <v>37</v>
      </c>
      <c r="C1216" s="682" t="s">
        <v>915</v>
      </c>
      <c r="D1216" s="682" t="s">
        <v>916</v>
      </c>
      <c r="E1216" s="682" t="s">
        <v>302</v>
      </c>
      <c r="F1216" s="682">
        <v>2021.0</v>
      </c>
      <c r="G1216" s="683">
        <v>1.44104E-4</v>
      </c>
      <c r="H1216" s="683">
        <v>2.55E-5</v>
      </c>
      <c r="I1216" s="684">
        <v>5.854E-4</v>
      </c>
      <c r="K1216" s="693" t="s">
        <v>52</v>
      </c>
      <c r="L1216" s="694" t="s">
        <v>258</v>
      </c>
      <c r="M1216" s="694" t="s">
        <v>915</v>
      </c>
      <c r="N1216" s="694" t="s">
        <v>925</v>
      </c>
      <c r="O1216" s="694">
        <v>2021.0</v>
      </c>
      <c r="P1216" s="694" t="s">
        <v>919</v>
      </c>
      <c r="Q1216" s="695" t="s">
        <v>112</v>
      </c>
      <c r="R1216" s="696">
        <v>0.0</v>
      </c>
      <c r="S1216" s="696">
        <v>0.0</v>
      </c>
      <c r="T1216" s="697">
        <v>0.0</v>
      </c>
      <c r="AB1216" s="722"/>
    </row>
    <row r="1217">
      <c r="A1217" s="351"/>
      <c r="B1217" s="681" t="s">
        <v>37</v>
      </c>
      <c r="C1217" s="682" t="s">
        <v>915</v>
      </c>
      <c r="D1217" s="682" t="s">
        <v>922</v>
      </c>
      <c r="E1217" s="682" t="s">
        <v>302</v>
      </c>
      <c r="F1217" s="682">
        <v>2021.0</v>
      </c>
      <c r="G1217" s="683">
        <v>5.03219E-4</v>
      </c>
      <c r="H1217" s="683">
        <v>8.94E-5</v>
      </c>
      <c r="I1217" s="684">
        <v>0.002000585</v>
      </c>
      <c r="K1217" s="693" t="s">
        <v>52</v>
      </c>
      <c r="L1217" s="694" t="s">
        <v>258</v>
      </c>
      <c r="M1217" s="694" t="s">
        <v>915</v>
      </c>
      <c r="N1217" s="694" t="s">
        <v>927</v>
      </c>
      <c r="O1217" s="694">
        <v>2021.0</v>
      </c>
      <c r="P1217" s="694" t="s">
        <v>919</v>
      </c>
      <c r="Q1217" s="695" t="s">
        <v>112</v>
      </c>
      <c r="R1217" s="696">
        <v>27.25101399</v>
      </c>
      <c r="S1217" s="696">
        <v>0.74508487</v>
      </c>
      <c r="T1217" s="697">
        <v>120.418858</v>
      </c>
      <c r="AB1217" s="722"/>
    </row>
    <row r="1218">
      <c r="A1218" s="351"/>
      <c r="B1218" s="681" t="s">
        <v>37</v>
      </c>
      <c r="C1218" s="682" t="s">
        <v>915</v>
      </c>
      <c r="D1218" s="682" t="s">
        <v>924</v>
      </c>
      <c r="E1218" s="682" t="s">
        <v>302</v>
      </c>
      <c r="F1218" s="682">
        <v>2021.0</v>
      </c>
      <c r="G1218" s="683">
        <v>7.61E-5</v>
      </c>
      <c r="H1218" s="683">
        <v>1.24E-5</v>
      </c>
      <c r="I1218" s="684">
        <v>3.10337E-4</v>
      </c>
      <c r="K1218" s="693" t="s">
        <v>52</v>
      </c>
      <c r="L1218" s="694" t="s">
        <v>258</v>
      </c>
      <c r="M1218" s="694" t="s">
        <v>915</v>
      </c>
      <c r="N1218" s="694" t="s">
        <v>926</v>
      </c>
      <c r="O1218" s="694">
        <v>2021.0</v>
      </c>
      <c r="P1218" s="694" t="s">
        <v>919</v>
      </c>
      <c r="Q1218" s="695" t="s">
        <v>112</v>
      </c>
      <c r="R1218" s="696">
        <v>61.69118541</v>
      </c>
      <c r="S1218" s="696">
        <v>1.657775533</v>
      </c>
      <c r="T1218" s="697">
        <v>274.4455787</v>
      </c>
      <c r="AB1218" s="722"/>
    </row>
    <row r="1219">
      <c r="A1219" s="351"/>
      <c r="B1219" s="681" t="s">
        <v>37</v>
      </c>
      <c r="C1219" s="682" t="s">
        <v>915</v>
      </c>
      <c r="D1219" s="682" t="s">
        <v>926</v>
      </c>
      <c r="E1219" s="682" t="s">
        <v>302</v>
      </c>
      <c r="F1219" s="682">
        <v>2021.0</v>
      </c>
      <c r="G1219" s="683">
        <v>3.56266E-4</v>
      </c>
      <c r="H1219" s="683">
        <v>1.01559E-4</v>
      </c>
      <c r="I1219" s="684">
        <v>0.0018057</v>
      </c>
      <c r="K1219" s="693" t="s">
        <v>28</v>
      </c>
      <c r="L1219" s="694" t="s">
        <v>258</v>
      </c>
      <c r="M1219" s="694" t="s">
        <v>915</v>
      </c>
      <c r="N1219" s="694" t="s">
        <v>918</v>
      </c>
      <c r="O1219" s="694">
        <v>2021.0</v>
      </c>
      <c r="P1219" s="694" t="s">
        <v>919</v>
      </c>
      <c r="Q1219" s="695" t="s">
        <v>112</v>
      </c>
      <c r="R1219" s="696">
        <v>143.3449223</v>
      </c>
      <c r="S1219" s="696">
        <v>5.470600331</v>
      </c>
      <c r="T1219" s="697">
        <v>648.014167</v>
      </c>
      <c r="AB1219" s="722"/>
    </row>
    <row r="1220">
      <c r="A1220" s="351"/>
      <c r="B1220" s="681" t="s">
        <v>38</v>
      </c>
      <c r="C1220" s="682" t="s">
        <v>915</v>
      </c>
      <c r="D1220" s="682" t="s">
        <v>916</v>
      </c>
      <c r="E1220" s="682" t="s">
        <v>179</v>
      </c>
      <c r="F1220" s="682">
        <v>2021.0</v>
      </c>
      <c r="G1220" s="683">
        <v>0.001712444</v>
      </c>
      <c r="H1220" s="683">
        <v>9.16372E-4</v>
      </c>
      <c r="I1220" s="684">
        <v>0.003351767</v>
      </c>
      <c r="K1220" s="693" t="s">
        <v>28</v>
      </c>
      <c r="L1220" s="694" t="s">
        <v>258</v>
      </c>
      <c r="M1220" s="694" t="s">
        <v>915</v>
      </c>
      <c r="N1220" s="694" t="s">
        <v>923</v>
      </c>
      <c r="O1220" s="694">
        <v>2021.0</v>
      </c>
      <c r="P1220" s="694" t="s">
        <v>919</v>
      </c>
      <c r="Q1220" s="695" t="s">
        <v>112</v>
      </c>
      <c r="R1220" s="696">
        <v>0.0</v>
      </c>
      <c r="S1220" s="696">
        <v>0.0</v>
      </c>
      <c r="T1220" s="697">
        <v>0.0</v>
      </c>
      <c r="AB1220" s="722"/>
    </row>
    <row r="1221">
      <c r="A1221" s="351"/>
      <c r="B1221" s="681" t="s">
        <v>38</v>
      </c>
      <c r="C1221" s="682" t="s">
        <v>915</v>
      </c>
      <c r="D1221" s="682" t="s">
        <v>922</v>
      </c>
      <c r="E1221" s="682" t="s">
        <v>179</v>
      </c>
      <c r="F1221" s="682">
        <v>2021.0</v>
      </c>
      <c r="G1221" s="683">
        <v>0.012599879</v>
      </c>
      <c r="H1221" s="683">
        <v>0.008023141</v>
      </c>
      <c r="I1221" s="684">
        <v>0.020021943</v>
      </c>
      <c r="K1221" s="693" t="s">
        <v>28</v>
      </c>
      <c r="L1221" s="694" t="s">
        <v>258</v>
      </c>
      <c r="M1221" s="694" t="s">
        <v>915</v>
      </c>
      <c r="N1221" s="694" t="s">
        <v>925</v>
      </c>
      <c r="O1221" s="694">
        <v>2021.0</v>
      </c>
      <c r="P1221" s="694" t="s">
        <v>919</v>
      </c>
      <c r="Q1221" s="695" t="s">
        <v>112</v>
      </c>
      <c r="R1221" s="696">
        <v>0.0</v>
      </c>
      <c r="S1221" s="696">
        <v>0.0</v>
      </c>
      <c r="T1221" s="697">
        <v>0.0</v>
      </c>
      <c r="AB1221" s="722"/>
    </row>
    <row r="1222">
      <c r="A1222" s="351"/>
      <c r="B1222" s="681" t="s">
        <v>38</v>
      </c>
      <c r="C1222" s="682" t="s">
        <v>915</v>
      </c>
      <c r="D1222" s="682" t="s">
        <v>924</v>
      </c>
      <c r="E1222" s="682" t="s">
        <v>179</v>
      </c>
      <c r="F1222" s="682">
        <v>2021.0</v>
      </c>
      <c r="G1222" s="683">
        <v>6.21E-5</v>
      </c>
      <c r="H1222" s="683">
        <v>3.0E-5</v>
      </c>
      <c r="I1222" s="684">
        <v>1.25531E-4</v>
      </c>
      <c r="K1222" s="693" t="s">
        <v>28</v>
      </c>
      <c r="L1222" s="694" t="s">
        <v>258</v>
      </c>
      <c r="M1222" s="694" t="s">
        <v>915</v>
      </c>
      <c r="N1222" s="694" t="s">
        <v>927</v>
      </c>
      <c r="O1222" s="694">
        <v>2021.0</v>
      </c>
      <c r="P1222" s="694" t="s">
        <v>919</v>
      </c>
      <c r="Q1222" s="695" t="s">
        <v>112</v>
      </c>
      <c r="R1222" s="696">
        <v>81.0002238</v>
      </c>
      <c r="S1222" s="696">
        <v>2.543758429</v>
      </c>
      <c r="T1222" s="697">
        <v>352.1055211</v>
      </c>
      <c r="AB1222" s="722"/>
    </row>
    <row r="1223">
      <c r="A1223" s="351"/>
      <c r="B1223" s="681" t="s">
        <v>38</v>
      </c>
      <c r="C1223" s="682" t="s">
        <v>915</v>
      </c>
      <c r="D1223" s="682" t="s">
        <v>926</v>
      </c>
      <c r="E1223" s="682" t="s">
        <v>179</v>
      </c>
      <c r="F1223" s="682">
        <v>2021.0</v>
      </c>
      <c r="G1223" s="683">
        <v>3.40487E-4</v>
      </c>
      <c r="H1223" s="683">
        <v>1.54716E-4</v>
      </c>
      <c r="I1223" s="684">
        <v>7.21227E-4</v>
      </c>
      <c r="K1223" s="693" t="s">
        <v>28</v>
      </c>
      <c r="L1223" s="694" t="s">
        <v>258</v>
      </c>
      <c r="M1223" s="694" t="s">
        <v>915</v>
      </c>
      <c r="N1223" s="694" t="s">
        <v>926</v>
      </c>
      <c r="O1223" s="694">
        <v>2021.0</v>
      </c>
      <c r="P1223" s="694" t="s">
        <v>919</v>
      </c>
      <c r="Q1223" s="695" t="s">
        <v>112</v>
      </c>
      <c r="R1223" s="696">
        <v>224.345146</v>
      </c>
      <c r="S1223" s="696">
        <v>8.578733633</v>
      </c>
      <c r="T1223" s="697">
        <v>980.2885929</v>
      </c>
      <c r="AB1223" s="722"/>
    </row>
    <row r="1224">
      <c r="A1224" s="351"/>
      <c r="B1224" s="681" t="s">
        <v>39</v>
      </c>
      <c r="C1224" s="682" t="s">
        <v>915</v>
      </c>
      <c r="D1224" s="682" t="s">
        <v>916</v>
      </c>
      <c r="E1224" s="682" t="s">
        <v>179</v>
      </c>
      <c r="F1224" s="682">
        <v>2021.0</v>
      </c>
      <c r="G1224" s="683">
        <v>0.003254575</v>
      </c>
      <c r="H1224" s="683">
        <v>0.001864207</v>
      </c>
      <c r="I1224" s="684">
        <v>0.005109691</v>
      </c>
      <c r="K1224" s="693" t="s">
        <v>53</v>
      </c>
      <c r="L1224" s="694" t="s">
        <v>258</v>
      </c>
      <c r="M1224" s="694" t="s">
        <v>915</v>
      </c>
      <c r="N1224" s="694" t="s">
        <v>918</v>
      </c>
      <c r="O1224" s="694">
        <v>2021.0</v>
      </c>
      <c r="P1224" s="694" t="s">
        <v>919</v>
      </c>
      <c r="Q1224" s="695" t="s">
        <v>112</v>
      </c>
      <c r="R1224" s="696">
        <v>33.70066161</v>
      </c>
      <c r="S1224" s="696">
        <v>0.899279058</v>
      </c>
      <c r="T1224" s="697">
        <v>144.1091096</v>
      </c>
      <c r="AB1224" s="722"/>
    </row>
    <row r="1225">
      <c r="A1225" s="351"/>
      <c r="B1225" s="681" t="s">
        <v>39</v>
      </c>
      <c r="C1225" s="682" t="s">
        <v>915</v>
      </c>
      <c r="D1225" s="682" t="s">
        <v>922</v>
      </c>
      <c r="E1225" s="682" t="s">
        <v>179</v>
      </c>
      <c r="F1225" s="682">
        <v>2021.0</v>
      </c>
      <c r="G1225" s="683">
        <v>0.023004763</v>
      </c>
      <c r="H1225" s="683">
        <v>0.014689117</v>
      </c>
      <c r="I1225" s="684">
        <v>0.033266315</v>
      </c>
      <c r="K1225" s="693" t="s">
        <v>53</v>
      </c>
      <c r="L1225" s="694" t="s">
        <v>258</v>
      </c>
      <c r="M1225" s="694" t="s">
        <v>915</v>
      </c>
      <c r="N1225" s="694" t="s">
        <v>923</v>
      </c>
      <c r="O1225" s="694">
        <v>2021.0</v>
      </c>
      <c r="P1225" s="694" t="s">
        <v>919</v>
      </c>
      <c r="Q1225" s="695" t="s">
        <v>112</v>
      </c>
      <c r="R1225" s="696">
        <v>0.0</v>
      </c>
      <c r="S1225" s="696">
        <v>0.0</v>
      </c>
      <c r="T1225" s="697">
        <v>0.0</v>
      </c>
      <c r="AB1225" s="722"/>
    </row>
    <row r="1226">
      <c r="A1226" s="351"/>
      <c r="B1226" s="681" t="s">
        <v>39</v>
      </c>
      <c r="C1226" s="682" t="s">
        <v>915</v>
      </c>
      <c r="D1226" s="682" t="s">
        <v>924</v>
      </c>
      <c r="E1226" s="682" t="s">
        <v>179</v>
      </c>
      <c r="F1226" s="682">
        <v>2021.0</v>
      </c>
      <c r="G1226" s="683">
        <v>2.09726E-4</v>
      </c>
      <c r="H1226" s="683">
        <v>1.2578E-4</v>
      </c>
      <c r="I1226" s="684">
        <v>3.38649E-4</v>
      </c>
      <c r="K1226" s="693" t="s">
        <v>53</v>
      </c>
      <c r="L1226" s="694" t="s">
        <v>258</v>
      </c>
      <c r="M1226" s="694" t="s">
        <v>915</v>
      </c>
      <c r="N1226" s="694" t="s">
        <v>925</v>
      </c>
      <c r="O1226" s="694">
        <v>2021.0</v>
      </c>
      <c r="P1226" s="694" t="s">
        <v>919</v>
      </c>
      <c r="Q1226" s="695" t="s">
        <v>112</v>
      </c>
      <c r="R1226" s="696">
        <v>0.0</v>
      </c>
      <c r="S1226" s="696">
        <v>0.0</v>
      </c>
      <c r="T1226" s="697">
        <v>0.0</v>
      </c>
      <c r="AB1226" s="722"/>
    </row>
    <row r="1227">
      <c r="A1227" s="351"/>
      <c r="B1227" s="681" t="s">
        <v>39</v>
      </c>
      <c r="C1227" s="682" t="s">
        <v>915</v>
      </c>
      <c r="D1227" s="682" t="s">
        <v>926</v>
      </c>
      <c r="E1227" s="682" t="s">
        <v>179</v>
      </c>
      <c r="F1227" s="682">
        <v>2021.0</v>
      </c>
      <c r="G1227" s="683">
        <v>0.001242071</v>
      </c>
      <c r="H1227" s="683">
        <v>6.75256E-4</v>
      </c>
      <c r="I1227" s="684">
        <v>0.002139501</v>
      </c>
      <c r="K1227" s="693" t="s">
        <v>53</v>
      </c>
      <c r="L1227" s="694" t="s">
        <v>258</v>
      </c>
      <c r="M1227" s="694" t="s">
        <v>915</v>
      </c>
      <c r="N1227" s="694" t="s">
        <v>927</v>
      </c>
      <c r="O1227" s="694">
        <v>2021.0</v>
      </c>
      <c r="P1227" s="694" t="s">
        <v>919</v>
      </c>
      <c r="Q1227" s="695" t="s">
        <v>112</v>
      </c>
      <c r="R1227" s="696">
        <v>23.74188118</v>
      </c>
      <c r="S1227" s="696">
        <v>0.663277521</v>
      </c>
      <c r="T1227" s="697">
        <v>100.6594962</v>
      </c>
      <c r="AB1227" s="722"/>
    </row>
    <row r="1228">
      <c r="A1228" s="351"/>
      <c r="B1228" s="681" t="s">
        <v>40</v>
      </c>
      <c r="C1228" s="682" t="s">
        <v>915</v>
      </c>
      <c r="D1228" s="682" t="s">
        <v>916</v>
      </c>
      <c r="E1228" s="682" t="s">
        <v>179</v>
      </c>
      <c r="F1228" s="682">
        <v>2021.0</v>
      </c>
      <c r="G1228" s="683">
        <v>0.001947567</v>
      </c>
      <c r="H1228" s="683">
        <v>0.001050037</v>
      </c>
      <c r="I1228" s="684">
        <v>0.003684182</v>
      </c>
      <c r="K1228" s="693" t="s">
        <v>53</v>
      </c>
      <c r="L1228" s="694" t="s">
        <v>258</v>
      </c>
      <c r="M1228" s="694" t="s">
        <v>915</v>
      </c>
      <c r="N1228" s="694" t="s">
        <v>926</v>
      </c>
      <c r="O1228" s="694">
        <v>2021.0</v>
      </c>
      <c r="P1228" s="694" t="s">
        <v>919</v>
      </c>
      <c r="Q1228" s="695" t="s">
        <v>112</v>
      </c>
      <c r="R1228" s="696">
        <v>57.44254279</v>
      </c>
      <c r="S1228" s="696">
        <v>1.593349935</v>
      </c>
      <c r="T1228" s="697">
        <v>248.9955473</v>
      </c>
      <c r="AB1228" s="722"/>
    </row>
    <row r="1229">
      <c r="A1229" s="351"/>
      <c r="B1229" s="681" t="s">
        <v>40</v>
      </c>
      <c r="C1229" s="682" t="s">
        <v>915</v>
      </c>
      <c r="D1229" s="682" t="s">
        <v>922</v>
      </c>
      <c r="E1229" s="682" t="s">
        <v>179</v>
      </c>
      <c r="F1229" s="682">
        <v>2021.0</v>
      </c>
      <c r="G1229" s="683">
        <v>0.013029136</v>
      </c>
      <c r="H1229" s="683">
        <v>0.008404001</v>
      </c>
      <c r="I1229" s="684">
        <v>0.021112801</v>
      </c>
      <c r="K1229" s="693" t="s">
        <v>30</v>
      </c>
      <c r="L1229" s="694" t="s">
        <v>258</v>
      </c>
      <c r="M1229" s="694" t="s">
        <v>915</v>
      </c>
      <c r="N1229" s="694" t="s">
        <v>918</v>
      </c>
      <c r="O1229" s="694">
        <v>2021.0</v>
      </c>
      <c r="P1229" s="694" t="s">
        <v>919</v>
      </c>
      <c r="Q1229" s="695" t="s">
        <v>112</v>
      </c>
      <c r="R1229" s="696">
        <v>331.3215241</v>
      </c>
      <c r="S1229" s="696">
        <v>11.17112417</v>
      </c>
      <c r="T1229" s="697">
        <v>1355.275135</v>
      </c>
      <c r="AB1229" s="722"/>
    </row>
    <row r="1230">
      <c r="A1230" s="351"/>
      <c r="B1230" s="681" t="s">
        <v>40</v>
      </c>
      <c r="C1230" s="682" t="s">
        <v>915</v>
      </c>
      <c r="D1230" s="682" t="s">
        <v>924</v>
      </c>
      <c r="E1230" s="682" t="s">
        <v>179</v>
      </c>
      <c r="F1230" s="682">
        <v>2021.0</v>
      </c>
      <c r="G1230" s="683">
        <v>5.57E-5</v>
      </c>
      <c r="H1230" s="683">
        <v>2.56E-5</v>
      </c>
      <c r="I1230" s="684">
        <v>1.18883E-4</v>
      </c>
      <c r="K1230" s="693" t="s">
        <v>30</v>
      </c>
      <c r="L1230" s="694" t="s">
        <v>258</v>
      </c>
      <c r="M1230" s="694" t="s">
        <v>915</v>
      </c>
      <c r="N1230" s="694" t="s">
        <v>923</v>
      </c>
      <c r="O1230" s="694">
        <v>2021.0</v>
      </c>
      <c r="P1230" s="694" t="s">
        <v>919</v>
      </c>
      <c r="Q1230" s="695" t="s">
        <v>112</v>
      </c>
      <c r="R1230" s="696">
        <v>0.0</v>
      </c>
      <c r="S1230" s="696">
        <v>0.0</v>
      </c>
      <c r="T1230" s="697">
        <v>0.0</v>
      </c>
      <c r="AB1230" s="722"/>
    </row>
    <row r="1231">
      <c r="A1231" s="351"/>
      <c r="B1231" s="681" t="s">
        <v>40</v>
      </c>
      <c r="C1231" s="682" t="s">
        <v>915</v>
      </c>
      <c r="D1231" s="682" t="s">
        <v>926</v>
      </c>
      <c r="E1231" s="682" t="s">
        <v>179</v>
      </c>
      <c r="F1231" s="682">
        <v>2021.0</v>
      </c>
      <c r="G1231" s="683">
        <v>2.32857E-4</v>
      </c>
      <c r="H1231" s="683">
        <v>9.53E-5</v>
      </c>
      <c r="I1231" s="684">
        <v>5.36123E-4</v>
      </c>
      <c r="K1231" s="693" t="s">
        <v>30</v>
      </c>
      <c r="L1231" s="694" t="s">
        <v>258</v>
      </c>
      <c r="M1231" s="694" t="s">
        <v>915</v>
      </c>
      <c r="N1231" s="694" t="s">
        <v>925</v>
      </c>
      <c r="O1231" s="694">
        <v>2021.0</v>
      </c>
      <c r="P1231" s="694" t="s">
        <v>919</v>
      </c>
      <c r="Q1231" s="695" t="s">
        <v>112</v>
      </c>
      <c r="R1231" s="696">
        <v>0.0</v>
      </c>
      <c r="S1231" s="696">
        <v>0.0</v>
      </c>
      <c r="T1231" s="697">
        <v>0.0</v>
      </c>
      <c r="AB1231" s="722"/>
    </row>
    <row r="1232">
      <c r="A1232" s="351"/>
      <c r="B1232" s="681" t="s">
        <v>41</v>
      </c>
      <c r="C1232" s="682" t="s">
        <v>915</v>
      </c>
      <c r="D1232" s="682" t="s">
        <v>916</v>
      </c>
      <c r="E1232" s="682" t="s">
        <v>179</v>
      </c>
      <c r="F1232" s="682">
        <v>2021.0</v>
      </c>
      <c r="G1232" s="683">
        <v>0.001891574</v>
      </c>
      <c r="H1232" s="683">
        <v>0.001043237</v>
      </c>
      <c r="I1232" s="684">
        <v>0.003450839</v>
      </c>
      <c r="K1232" s="693" t="s">
        <v>30</v>
      </c>
      <c r="L1232" s="694" t="s">
        <v>258</v>
      </c>
      <c r="M1232" s="694" t="s">
        <v>915</v>
      </c>
      <c r="N1232" s="694" t="s">
        <v>927</v>
      </c>
      <c r="O1232" s="694">
        <v>2021.0</v>
      </c>
      <c r="P1232" s="694" t="s">
        <v>919</v>
      </c>
      <c r="Q1232" s="695" t="s">
        <v>112</v>
      </c>
      <c r="R1232" s="696">
        <v>199.569061</v>
      </c>
      <c r="S1232" s="696">
        <v>6.891689069</v>
      </c>
      <c r="T1232" s="697">
        <v>867.7831342</v>
      </c>
      <c r="AB1232" s="722"/>
    </row>
    <row r="1233">
      <c r="A1233" s="351"/>
      <c r="B1233" s="681" t="s">
        <v>41</v>
      </c>
      <c r="C1233" s="682" t="s">
        <v>915</v>
      </c>
      <c r="D1233" s="682" t="s">
        <v>922</v>
      </c>
      <c r="E1233" s="682" t="s">
        <v>179</v>
      </c>
      <c r="F1233" s="682">
        <v>2021.0</v>
      </c>
      <c r="G1233" s="683">
        <v>0.012334946</v>
      </c>
      <c r="H1233" s="683">
        <v>0.007961972</v>
      </c>
      <c r="I1233" s="684">
        <v>0.019394195</v>
      </c>
      <c r="K1233" s="693" t="s">
        <v>30</v>
      </c>
      <c r="L1233" s="694" t="s">
        <v>258</v>
      </c>
      <c r="M1233" s="694" t="s">
        <v>915</v>
      </c>
      <c r="N1233" s="694" t="s">
        <v>926</v>
      </c>
      <c r="O1233" s="694">
        <v>2021.0</v>
      </c>
      <c r="P1233" s="694" t="s">
        <v>919</v>
      </c>
      <c r="Q1233" s="695" t="s">
        <v>112</v>
      </c>
      <c r="R1233" s="696">
        <v>530.8905851</v>
      </c>
      <c r="S1233" s="696">
        <v>18.41726506</v>
      </c>
      <c r="T1233" s="697">
        <v>2155.293291</v>
      </c>
      <c r="AB1233" s="722"/>
    </row>
    <row r="1234">
      <c r="A1234" s="351"/>
      <c r="B1234" s="681" t="s">
        <v>41</v>
      </c>
      <c r="C1234" s="682" t="s">
        <v>915</v>
      </c>
      <c r="D1234" s="682" t="s">
        <v>924</v>
      </c>
      <c r="E1234" s="682" t="s">
        <v>179</v>
      </c>
      <c r="F1234" s="682">
        <v>2021.0</v>
      </c>
      <c r="G1234" s="683">
        <v>6.09E-5</v>
      </c>
      <c r="H1234" s="683">
        <v>2.8E-5</v>
      </c>
      <c r="I1234" s="684">
        <v>1.2252E-4</v>
      </c>
      <c r="K1234" s="693" t="s">
        <v>31</v>
      </c>
      <c r="L1234" s="694" t="s">
        <v>258</v>
      </c>
      <c r="M1234" s="694" t="s">
        <v>915</v>
      </c>
      <c r="N1234" s="694" t="s">
        <v>918</v>
      </c>
      <c r="O1234" s="694">
        <v>2021.0</v>
      </c>
      <c r="P1234" s="694" t="s">
        <v>919</v>
      </c>
      <c r="Q1234" s="695" t="s">
        <v>112</v>
      </c>
      <c r="R1234" s="696">
        <v>269.8270457</v>
      </c>
      <c r="S1234" s="696">
        <v>10.50096376</v>
      </c>
      <c r="T1234" s="697">
        <v>1210.400982</v>
      </c>
      <c r="AB1234" s="722"/>
    </row>
    <row r="1235">
      <c r="A1235" s="351"/>
      <c r="B1235" s="681" t="s">
        <v>41</v>
      </c>
      <c r="C1235" s="682" t="s">
        <v>915</v>
      </c>
      <c r="D1235" s="682" t="s">
        <v>926</v>
      </c>
      <c r="E1235" s="682" t="s">
        <v>179</v>
      </c>
      <c r="F1235" s="682">
        <v>2021.0</v>
      </c>
      <c r="G1235" s="683">
        <v>2.36873E-4</v>
      </c>
      <c r="H1235" s="683">
        <v>9.37E-5</v>
      </c>
      <c r="I1235" s="684">
        <v>5.3785E-4</v>
      </c>
      <c r="K1235" s="693" t="s">
        <v>31</v>
      </c>
      <c r="L1235" s="694" t="s">
        <v>258</v>
      </c>
      <c r="M1235" s="694" t="s">
        <v>915</v>
      </c>
      <c r="N1235" s="694" t="s">
        <v>923</v>
      </c>
      <c r="O1235" s="694">
        <v>2021.0</v>
      </c>
      <c r="P1235" s="694" t="s">
        <v>919</v>
      </c>
      <c r="Q1235" s="695" t="s">
        <v>112</v>
      </c>
      <c r="R1235" s="696">
        <v>0.0</v>
      </c>
      <c r="S1235" s="696">
        <v>0.0</v>
      </c>
      <c r="T1235" s="697">
        <v>0.0</v>
      </c>
      <c r="AB1235" s="722"/>
    </row>
    <row r="1236">
      <c r="A1236" s="351"/>
      <c r="B1236" s="681" t="s">
        <v>26</v>
      </c>
      <c r="C1236" s="682" t="s">
        <v>915</v>
      </c>
      <c r="D1236" s="682" t="s">
        <v>916</v>
      </c>
      <c r="E1236" s="682" t="s">
        <v>179</v>
      </c>
      <c r="F1236" s="682">
        <v>2021.0</v>
      </c>
      <c r="G1236" s="683">
        <v>0.007150253</v>
      </c>
      <c r="H1236" s="683">
        <v>0.004375394</v>
      </c>
      <c r="I1236" s="684">
        <v>0.010311128</v>
      </c>
      <c r="K1236" s="693" t="s">
        <v>31</v>
      </c>
      <c r="L1236" s="694" t="s">
        <v>258</v>
      </c>
      <c r="M1236" s="694" t="s">
        <v>915</v>
      </c>
      <c r="N1236" s="694" t="s">
        <v>925</v>
      </c>
      <c r="O1236" s="694">
        <v>2021.0</v>
      </c>
      <c r="P1236" s="694" t="s">
        <v>919</v>
      </c>
      <c r="Q1236" s="695" t="s">
        <v>112</v>
      </c>
      <c r="R1236" s="696">
        <v>0.0</v>
      </c>
      <c r="S1236" s="696">
        <v>0.0</v>
      </c>
      <c r="T1236" s="697">
        <v>0.0</v>
      </c>
      <c r="AB1236" s="722"/>
    </row>
    <row r="1237">
      <c r="A1237" s="351"/>
      <c r="B1237" s="681" t="s">
        <v>26</v>
      </c>
      <c r="C1237" s="682" t="s">
        <v>915</v>
      </c>
      <c r="D1237" s="682" t="s">
        <v>922</v>
      </c>
      <c r="E1237" s="682" t="s">
        <v>179</v>
      </c>
      <c r="F1237" s="682">
        <v>2021.0</v>
      </c>
      <c r="G1237" s="683">
        <v>0.049361812</v>
      </c>
      <c r="H1237" s="683">
        <v>0.032879247</v>
      </c>
      <c r="I1237" s="684">
        <v>0.069622257</v>
      </c>
      <c r="K1237" s="693" t="s">
        <v>31</v>
      </c>
      <c r="L1237" s="694" t="s">
        <v>258</v>
      </c>
      <c r="M1237" s="694" t="s">
        <v>915</v>
      </c>
      <c r="N1237" s="694" t="s">
        <v>927</v>
      </c>
      <c r="O1237" s="694">
        <v>2021.0</v>
      </c>
      <c r="P1237" s="694" t="s">
        <v>919</v>
      </c>
      <c r="Q1237" s="695" t="s">
        <v>112</v>
      </c>
      <c r="R1237" s="696">
        <v>197.5509697</v>
      </c>
      <c r="S1237" s="696">
        <v>7.230805432</v>
      </c>
      <c r="T1237" s="697">
        <v>912.5317058</v>
      </c>
      <c r="AB1237" s="722"/>
    </row>
    <row r="1238">
      <c r="A1238" s="351"/>
      <c r="B1238" s="681" t="s">
        <v>26</v>
      </c>
      <c r="C1238" s="682" t="s">
        <v>915</v>
      </c>
      <c r="D1238" s="682" t="s">
        <v>924</v>
      </c>
      <c r="E1238" s="682" t="s">
        <v>179</v>
      </c>
      <c r="F1238" s="682">
        <v>2021.0</v>
      </c>
      <c r="G1238" s="683">
        <v>5.31146E-4</v>
      </c>
      <c r="H1238" s="683">
        <v>3.37522E-4</v>
      </c>
      <c r="I1238" s="684">
        <v>7.64988E-4</v>
      </c>
      <c r="K1238" s="693" t="s">
        <v>31</v>
      </c>
      <c r="L1238" s="694" t="s">
        <v>258</v>
      </c>
      <c r="M1238" s="694" t="s">
        <v>915</v>
      </c>
      <c r="N1238" s="694" t="s">
        <v>926</v>
      </c>
      <c r="O1238" s="694">
        <v>2021.0</v>
      </c>
      <c r="P1238" s="694" t="s">
        <v>919</v>
      </c>
      <c r="Q1238" s="695" t="s">
        <v>112</v>
      </c>
      <c r="R1238" s="696">
        <v>467.3780154</v>
      </c>
      <c r="S1238" s="696">
        <v>16.78371873</v>
      </c>
      <c r="T1238" s="697">
        <v>2196.503911</v>
      </c>
      <c r="AB1238" s="722"/>
    </row>
    <row r="1239">
      <c r="A1239" s="351"/>
      <c r="B1239" s="681" t="s">
        <v>26</v>
      </c>
      <c r="C1239" s="682" t="s">
        <v>915</v>
      </c>
      <c r="D1239" s="682" t="s">
        <v>926</v>
      </c>
      <c r="E1239" s="682" t="s">
        <v>179</v>
      </c>
      <c r="F1239" s="682">
        <v>2021.0</v>
      </c>
      <c r="G1239" s="683">
        <v>0.003629763</v>
      </c>
      <c r="H1239" s="683">
        <v>0.002156878</v>
      </c>
      <c r="I1239" s="684">
        <v>0.005439091</v>
      </c>
      <c r="K1239" s="693" t="s">
        <v>32</v>
      </c>
      <c r="L1239" s="694" t="s">
        <v>258</v>
      </c>
      <c r="M1239" s="694" t="s">
        <v>915</v>
      </c>
      <c r="N1239" s="694" t="s">
        <v>918</v>
      </c>
      <c r="O1239" s="694">
        <v>2021.0</v>
      </c>
      <c r="P1239" s="694" t="s">
        <v>919</v>
      </c>
      <c r="Q1239" s="695" t="s">
        <v>112</v>
      </c>
      <c r="R1239" s="696">
        <v>616.9600418</v>
      </c>
      <c r="S1239" s="696">
        <v>20.71074044</v>
      </c>
      <c r="T1239" s="697">
        <v>2662.743439</v>
      </c>
      <c r="AB1239" s="722"/>
    </row>
    <row r="1240">
      <c r="A1240" s="351"/>
      <c r="B1240" s="681" t="s">
        <v>42</v>
      </c>
      <c r="C1240" s="682" t="s">
        <v>915</v>
      </c>
      <c r="D1240" s="682" t="s">
        <v>916</v>
      </c>
      <c r="E1240" s="682" t="s">
        <v>179</v>
      </c>
      <c r="F1240" s="682">
        <v>2021.0</v>
      </c>
      <c r="G1240" s="683">
        <v>0.002199333</v>
      </c>
      <c r="H1240" s="683">
        <v>0.001239004</v>
      </c>
      <c r="I1240" s="684">
        <v>0.003680893</v>
      </c>
      <c r="K1240" s="693" t="s">
        <v>32</v>
      </c>
      <c r="L1240" s="694" t="s">
        <v>258</v>
      </c>
      <c r="M1240" s="694" t="s">
        <v>915</v>
      </c>
      <c r="N1240" s="694" t="s">
        <v>923</v>
      </c>
      <c r="O1240" s="694">
        <v>2021.0</v>
      </c>
      <c r="P1240" s="694" t="s">
        <v>919</v>
      </c>
      <c r="Q1240" s="695" t="s">
        <v>112</v>
      </c>
      <c r="R1240" s="696">
        <v>0.0</v>
      </c>
      <c r="S1240" s="696">
        <v>0.0</v>
      </c>
      <c r="T1240" s="697">
        <v>0.0</v>
      </c>
      <c r="AB1240" s="722"/>
    </row>
    <row r="1241">
      <c r="A1241" s="351"/>
      <c r="B1241" s="681" t="s">
        <v>42</v>
      </c>
      <c r="C1241" s="682" t="s">
        <v>915</v>
      </c>
      <c r="D1241" s="682" t="s">
        <v>922</v>
      </c>
      <c r="E1241" s="682" t="s">
        <v>179</v>
      </c>
      <c r="F1241" s="682">
        <v>2021.0</v>
      </c>
      <c r="G1241" s="683">
        <v>0.014655927</v>
      </c>
      <c r="H1241" s="683">
        <v>0.009624817</v>
      </c>
      <c r="I1241" s="684">
        <v>0.022122385</v>
      </c>
      <c r="K1241" s="693" t="s">
        <v>32</v>
      </c>
      <c r="L1241" s="694" t="s">
        <v>258</v>
      </c>
      <c r="M1241" s="694" t="s">
        <v>915</v>
      </c>
      <c r="N1241" s="694" t="s">
        <v>925</v>
      </c>
      <c r="O1241" s="694">
        <v>2021.0</v>
      </c>
      <c r="P1241" s="694" t="s">
        <v>919</v>
      </c>
      <c r="Q1241" s="695" t="s">
        <v>112</v>
      </c>
      <c r="R1241" s="696">
        <v>0.0</v>
      </c>
      <c r="S1241" s="696">
        <v>0.0</v>
      </c>
      <c r="T1241" s="697">
        <v>0.0</v>
      </c>
      <c r="AB1241" s="722"/>
    </row>
    <row r="1242">
      <c r="A1242" s="351"/>
      <c r="B1242" s="681" t="s">
        <v>42</v>
      </c>
      <c r="C1242" s="682" t="s">
        <v>915</v>
      </c>
      <c r="D1242" s="682" t="s">
        <v>924</v>
      </c>
      <c r="E1242" s="682" t="s">
        <v>179</v>
      </c>
      <c r="F1242" s="682">
        <v>2021.0</v>
      </c>
      <c r="G1242" s="683">
        <v>6.31E-5</v>
      </c>
      <c r="H1242" s="683">
        <v>3.27E-5</v>
      </c>
      <c r="I1242" s="684">
        <v>1.19294E-4</v>
      </c>
      <c r="K1242" s="693" t="s">
        <v>32</v>
      </c>
      <c r="L1242" s="694" t="s">
        <v>258</v>
      </c>
      <c r="M1242" s="694" t="s">
        <v>915</v>
      </c>
      <c r="N1242" s="694" t="s">
        <v>927</v>
      </c>
      <c r="O1242" s="694">
        <v>2021.0</v>
      </c>
      <c r="P1242" s="694" t="s">
        <v>919</v>
      </c>
      <c r="Q1242" s="695" t="s">
        <v>112</v>
      </c>
      <c r="R1242" s="696">
        <v>363.1260394</v>
      </c>
      <c r="S1242" s="696">
        <v>11.15523985</v>
      </c>
      <c r="T1242" s="697">
        <v>1508.90124</v>
      </c>
      <c r="AB1242" s="722"/>
    </row>
    <row r="1243">
      <c r="A1243" s="351"/>
      <c r="B1243" s="681" t="s">
        <v>42</v>
      </c>
      <c r="C1243" s="682" t="s">
        <v>915</v>
      </c>
      <c r="D1243" s="682" t="s">
        <v>926</v>
      </c>
      <c r="E1243" s="682" t="s">
        <v>179</v>
      </c>
      <c r="F1243" s="682">
        <v>2021.0</v>
      </c>
      <c r="G1243" s="683">
        <v>3.42083E-4</v>
      </c>
      <c r="H1243" s="683">
        <v>1.51876E-4</v>
      </c>
      <c r="I1243" s="684">
        <v>7.4449E-4</v>
      </c>
      <c r="K1243" s="693" t="s">
        <v>32</v>
      </c>
      <c r="L1243" s="694" t="s">
        <v>258</v>
      </c>
      <c r="M1243" s="694" t="s">
        <v>915</v>
      </c>
      <c r="N1243" s="694" t="s">
        <v>926</v>
      </c>
      <c r="O1243" s="694">
        <v>2021.0</v>
      </c>
      <c r="P1243" s="694" t="s">
        <v>919</v>
      </c>
      <c r="Q1243" s="695" t="s">
        <v>112</v>
      </c>
      <c r="R1243" s="696">
        <v>980.0860812</v>
      </c>
      <c r="S1243" s="696">
        <v>32.5823938</v>
      </c>
      <c r="T1243" s="697">
        <v>4152.91114</v>
      </c>
      <c r="AB1243" s="722"/>
    </row>
    <row r="1244">
      <c r="A1244" s="351"/>
      <c r="B1244" s="681" t="s">
        <v>44</v>
      </c>
      <c r="C1244" s="682" t="s">
        <v>915</v>
      </c>
      <c r="D1244" s="682" t="s">
        <v>916</v>
      </c>
      <c r="E1244" s="682" t="s">
        <v>179</v>
      </c>
      <c r="F1244" s="682">
        <v>2021.0</v>
      </c>
      <c r="G1244" s="683">
        <v>0.00325216</v>
      </c>
      <c r="H1244" s="683">
        <v>0.001750061</v>
      </c>
      <c r="I1244" s="684">
        <v>0.005499443</v>
      </c>
      <c r="K1244" s="693" t="s">
        <v>33</v>
      </c>
      <c r="L1244" s="694" t="s">
        <v>258</v>
      </c>
      <c r="M1244" s="694" t="s">
        <v>915</v>
      </c>
      <c r="N1244" s="694" t="s">
        <v>918</v>
      </c>
      <c r="O1244" s="694">
        <v>2021.0</v>
      </c>
      <c r="P1244" s="694" t="s">
        <v>919</v>
      </c>
      <c r="Q1244" s="695" t="s">
        <v>112</v>
      </c>
      <c r="R1244" s="696">
        <v>482.0254817</v>
      </c>
      <c r="S1244" s="696">
        <v>19.59217806</v>
      </c>
      <c r="T1244" s="697">
        <v>2076.961964</v>
      </c>
      <c r="AB1244" s="722"/>
    </row>
    <row r="1245">
      <c r="A1245" s="351"/>
      <c r="B1245" s="681" t="s">
        <v>44</v>
      </c>
      <c r="C1245" s="682" t="s">
        <v>915</v>
      </c>
      <c r="D1245" s="682" t="s">
        <v>922</v>
      </c>
      <c r="E1245" s="682" t="s">
        <v>179</v>
      </c>
      <c r="F1245" s="682">
        <v>2021.0</v>
      </c>
      <c r="G1245" s="683">
        <v>0.021009252</v>
      </c>
      <c r="H1245" s="683">
        <v>0.012805389</v>
      </c>
      <c r="I1245" s="684">
        <v>0.032269743</v>
      </c>
      <c r="K1245" s="693" t="s">
        <v>33</v>
      </c>
      <c r="L1245" s="694" t="s">
        <v>258</v>
      </c>
      <c r="M1245" s="694" t="s">
        <v>915</v>
      </c>
      <c r="N1245" s="694" t="s">
        <v>923</v>
      </c>
      <c r="O1245" s="694">
        <v>2021.0</v>
      </c>
      <c r="P1245" s="694" t="s">
        <v>919</v>
      </c>
      <c r="Q1245" s="695" t="s">
        <v>112</v>
      </c>
      <c r="R1245" s="696">
        <v>0.0</v>
      </c>
      <c r="S1245" s="696">
        <v>0.0</v>
      </c>
      <c r="T1245" s="697">
        <v>0.0</v>
      </c>
      <c r="AB1245" s="722"/>
    </row>
    <row r="1246">
      <c r="A1246" s="351"/>
      <c r="B1246" s="681" t="s">
        <v>44</v>
      </c>
      <c r="C1246" s="682" t="s">
        <v>915</v>
      </c>
      <c r="D1246" s="682" t="s">
        <v>924</v>
      </c>
      <c r="E1246" s="682" t="s">
        <v>179</v>
      </c>
      <c r="F1246" s="682">
        <v>2021.0</v>
      </c>
      <c r="G1246" s="683">
        <v>1.51165E-4</v>
      </c>
      <c r="H1246" s="683">
        <v>8.56E-5</v>
      </c>
      <c r="I1246" s="684">
        <v>2.62784E-4</v>
      </c>
      <c r="K1246" s="693" t="s">
        <v>33</v>
      </c>
      <c r="L1246" s="694" t="s">
        <v>258</v>
      </c>
      <c r="M1246" s="694" t="s">
        <v>915</v>
      </c>
      <c r="N1246" s="694" t="s">
        <v>925</v>
      </c>
      <c r="O1246" s="694">
        <v>2021.0</v>
      </c>
      <c r="P1246" s="694" t="s">
        <v>919</v>
      </c>
      <c r="Q1246" s="695" t="s">
        <v>112</v>
      </c>
      <c r="R1246" s="696">
        <v>0.0</v>
      </c>
      <c r="S1246" s="696">
        <v>0.0</v>
      </c>
      <c r="T1246" s="697">
        <v>0.0</v>
      </c>
      <c r="AB1246" s="722"/>
    </row>
    <row r="1247">
      <c r="A1247" s="351"/>
      <c r="B1247" s="681" t="s">
        <v>44</v>
      </c>
      <c r="C1247" s="682" t="s">
        <v>915</v>
      </c>
      <c r="D1247" s="682" t="s">
        <v>926</v>
      </c>
      <c r="E1247" s="682" t="s">
        <v>179</v>
      </c>
      <c r="F1247" s="682">
        <v>2021.0</v>
      </c>
      <c r="G1247" s="683">
        <v>5.61141E-4</v>
      </c>
      <c r="H1247" s="683">
        <v>2.88256E-4</v>
      </c>
      <c r="I1247" s="684">
        <v>0.001130567</v>
      </c>
      <c r="K1247" s="693" t="s">
        <v>33</v>
      </c>
      <c r="L1247" s="694" t="s">
        <v>258</v>
      </c>
      <c r="M1247" s="694" t="s">
        <v>915</v>
      </c>
      <c r="N1247" s="694" t="s">
        <v>927</v>
      </c>
      <c r="O1247" s="694">
        <v>2021.0</v>
      </c>
      <c r="P1247" s="694" t="s">
        <v>919</v>
      </c>
      <c r="Q1247" s="695" t="s">
        <v>112</v>
      </c>
      <c r="R1247" s="696">
        <v>306.1586707</v>
      </c>
      <c r="S1247" s="696">
        <v>13.31540054</v>
      </c>
      <c r="T1247" s="697">
        <v>1362.726081</v>
      </c>
      <c r="AB1247" s="722"/>
    </row>
    <row r="1248">
      <c r="A1248" s="351"/>
      <c r="B1248" s="681" t="s">
        <v>45</v>
      </c>
      <c r="C1248" s="682" t="s">
        <v>915</v>
      </c>
      <c r="D1248" s="682" t="s">
        <v>916</v>
      </c>
      <c r="E1248" s="682" t="s">
        <v>179</v>
      </c>
      <c r="F1248" s="682">
        <v>2021.0</v>
      </c>
      <c r="G1248" s="683">
        <v>0.002925094</v>
      </c>
      <c r="H1248" s="683">
        <v>0.001545303</v>
      </c>
      <c r="I1248" s="684">
        <v>0.004511951</v>
      </c>
      <c r="K1248" s="693" t="s">
        <v>33</v>
      </c>
      <c r="L1248" s="694" t="s">
        <v>258</v>
      </c>
      <c r="M1248" s="694" t="s">
        <v>915</v>
      </c>
      <c r="N1248" s="694" t="s">
        <v>926</v>
      </c>
      <c r="O1248" s="694">
        <v>2021.0</v>
      </c>
      <c r="P1248" s="694" t="s">
        <v>919</v>
      </c>
      <c r="Q1248" s="695" t="s">
        <v>112</v>
      </c>
      <c r="R1248" s="696">
        <v>788.1841524</v>
      </c>
      <c r="S1248" s="696">
        <v>34.42498994</v>
      </c>
      <c r="T1248" s="697">
        <v>3486.41006</v>
      </c>
      <c r="AB1248" s="722"/>
    </row>
    <row r="1249">
      <c r="A1249" s="351"/>
      <c r="B1249" s="681" t="s">
        <v>45</v>
      </c>
      <c r="C1249" s="682" t="s">
        <v>915</v>
      </c>
      <c r="D1249" s="682" t="s">
        <v>922</v>
      </c>
      <c r="E1249" s="682" t="s">
        <v>179</v>
      </c>
      <c r="F1249" s="682">
        <v>2021.0</v>
      </c>
      <c r="G1249" s="683">
        <v>0.022167906</v>
      </c>
      <c r="H1249" s="683">
        <v>0.012788943</v>
      </c>
      <c r="I1249" s="684">
        <v>0.033505749</v>
      </c>
      <c r="K1249" s="693" t="s">
        <v>34</v>
      </c>
      <c r="L1249" s="694" t="s">
        <v>258</v>
      </c>
      <c r="M1249" s="694" t="s">
        <v>915</v>
      </c>
      <c r="N1249" s="694" t="s">
        <v>918</v>
      </c>
      <c r="O1249" s="694">
        <v>2021.0</v>
      </c>
      <c r="P1249" s="694" t="s">
        <v>919</v>
      </c>
      <c r="Q1249" s="695" t="s">
        <v>112</v>
      </c>
      <c r="R1249" s="696">
        <v>252.0766394</v>
      </c>
      <c r="S1249" s="696">
        <v>9.836468768</v>
      </c>
      <c r="T1249" s="697">
        <v>1029.409299</v>
      </c>
      <c r="AB1249" s="722"/>
    </row>
    <row r="1250">
      <c r="A1250" s="351"/>
      <c r="B1250" s="681" t="s">
        <v>45</v>
      </c>
      <c r="C1250" s="682" t="s">
        <v>915</v>
      </c>
      <c r="D1250" s="682" t="s">
        <v>924</v>
      </c>
      <c r="E1250" s="682" t="s">
        <v>179</v>
      </c>
      <c r="F1250" s="682">
        <v>2021.0</v>
      </c>
      <c r="G1250" s="683">
        <v>1.39579E-4</v>
      </c>
      <c r="H1250" s="683">
        <v>8.29E-5</v>
      </c>
      <c r="I1250" s="684">
        <v>2.23597E-4</v>
      </c>
      <c r="K1250" s="693" t="s">
        <v>34</v>
      </c>
      <c r="L1250" s="694" t="s">
        <v>258</v>
      </c>
      <c r="M1250" s="694" t="s">
        <v>915</v>
      </c>
      <c r="N1250" s="694" t="s">
        <v>923</v>
      </c>
      <c r="O1250" s="694">
        <v>2021.0</v>
      </c>
      <c r="P1250" s="694" t="s">
        <v>919</v>
      </c>
      <c r="Q1250" s="695" t="s">
        <v>112</v>
      </c>
      <c r="R1250" s="696">
        <v>0.0</v>
      </c>
      <c r="S1250" s="696">
        <v>0.0</v>
      </c>
      <c r="T1250" s="697">
        <v>0.0</v>
      </c>
      <c r="AB1250" s="722"/>
    </row>
    <row r="1251">
      <c r="A1251" s="351"/>
      <c r="B1251" s="681" t="s">
        <v>45</v>
      </c>
      <c r="C1251" s="682" t="s">
        <v>915</v>
      </c>
      <c r="D1251" s="682" t="s">
        <v>926</v>
      </c>
      <c r="E1251" s="682" t="s">
        <v>179</v>
      </c>
      <c r="F1251" s="682">
        <v>2021.0</v>
      </c>
      <c r="G1251" s="683">
        <v>5.40748E-4</v>
      </c>
      <c r="H1251" s="683">
        <v>2.40891E-4</v>
      </c>
      <c r="I1251" s="684">
        <v>0.001158483</v>
      </c>
      <c r="K1251" s="693" t="s">
        <v>34</v>
      </c>
      <c r="L1251" s="694" t="s">
        <v>258</v>
      </c>
      <c r="M1251" s="694" t="s">
        <v>915</v>
      </c>
      <c r="N1251" s="694" t="s">
        <v>925</v>
      </c>
      <c r="O1251" s="694">
        <v>2021.0</v>
      </c>
      <c r="P1251" s="694" t="s">
        <v>919</v>
      </c>
      <c r="Q1251" s="695" t="s">
        <v>112</v>
      </c>
      <c r="R1251" s="696">
        <v>0.0</v>
      </c>
      <c r="S1251" s="696">
        <v>0.0</v>
      </c>
      <c r="T1251" s="697">
        <v>0.0</v>
      </c>
      <c r="AB1251" s="722"/>
    </row>
    <row r="1252">
      <c r="A1252" s="351"/>
      <c r="B1252" s="681" t="s">
        <v>46</v>
      </c>
      <c r="C1252" s="682" t="s">
        <v>915</v>
      </c>
      <c r="D1252" s="682" t="s">
        <v>916</v>
      </c>
      <c r="E1252" s="682" t="s">
        <v>179</v>
      </c>
      <c r="F1252" s="682">
        <v>2021.0</v>
      </c>
      <c r="G1252" s="683">
        <v>0.002153522</v>
      </c>
      <c r="H1252" s="683">
        <v>0.001167705</v>
      </c>
      <c r="I1252" s="684">
        <v>0.00381044</v>
      </c>
      <c r="K1252" s="693" t="s">
        <v>34</v>
      </c>
      <c r="L1252" s="694" t="s">
        <v>258</v>
      </c>
      <c r="M1252" s="694" t="s">
        <v>915</v>
      </c>
      <c r="N1252" s="694" t="s">
        <v>927</v>
      </c>
      <c r="O1252" s="694">
        <v>2021.0</v>
      </c>
      <c r="P1252" s="694" t="s">
        <v>919</v>
      </c>
      <c r="Q1252" s="695" t="s">
        <v>112</v>
      </c>
      <c r="R1252" s="696">
        <v>151.4564727</v>
      </c>
      <c r="S1252" s="696">
        <v>4.963322823</v>
      </c>
      <c r="T1252" s="697">
        <v>680.86946</v>
      </c>
      <c r="AB1252" s="722"/>
    </row>
    <row r="1253">
      <c r="A1253" s="351"/>
      <c r="B1253" s="681" t="s">
        <v>46</v>
      </c>
      <c r="C1253" s="682" t="s">
        <v>915</v>
      </c>
      <c r="D1253" s="682" t="s">
        <v>922</v>
      </c>
      <c r="E1253" s="682" t="s">
        <v>179</v>
      </c>
      <c r="F1253" s="682">
        <v>2021.0</v>
      </c>
      <c r="G1253" s="683">
        <v>0.014441764</v>
      </c>
      <c r="H1253" s="683">
        <v>0.00984448</v>
      </c>
      <c r="I1253" s="684">
        <v>0.021592899</v>
      </c>
      <c r="K1253" s="693" t="s">
        <v>34</v>
      </c>
      <c r="L1253" s="694" t="s">
        <v>258</v>
      </c>
      <c r="M1253" s="694" t="s">
        <v>915</v>
      </c>
      <c r="N1253" s="694" t="s">
        <v>926</v>
      </c>
      <c r="O1253" s="694">
        <v>2021.0</v>
      </c>
      <c r="P1253" s="694" t="s">
        <v>919</v>
      </c>
      <c r="Q1253" s="695" t="s">
        <v>112</v>
      </c>
      <c r="R1253" s="696">
        <v>403.5331121</v>
      </c>
      <c r="S1253" s="696">
        <v>14.52004029</v>
      </c>
      <c r="T1253" s="697">
        <v>1706.488063</v>
      </c>
      <c r="AB1253" s="722"/>
    </row>
    <row r="1254">
      <c r="A1254" s="351"/>
      <c r="B1254" s="681" t="s">
        <v>46</v>
      </c>
      <c r="C1254" s="682" t="s">
        <v>915</v>
      </c>
      <c r="D1254" s="682" t="s">
        <v>924</v>
      </c>
      <c r="E1254" s="682" t="s">
        <v>179</v>
      </c>
      <c r="F1254" s="682">
        <v>2021.0</v>
      </c>
      <c r="G1254" s="683">
        <v>6.49E-5</v>
      </c>
      <c r="H1254" s="683">
        <v>3.68E-5</v>
      </c>
      <c r="I1254" s="684">
        <v>1.16721E-4</v>
      </c>
      <c r="K1254" s="693" t="s">
        <v>54</v>
      </c>
      <c r="L1254" s="694" t="s">
        <v>258</v>
      </c>
      <c r="M1254" s="694" t="s">
        <v>915</v>
      </c>
      <c r="N1254" s="694" t="s">
        <v>918</v>
      </c>
      <c r="O1254" s="694">
        <v>2021.0</v>
      </c>
      <c r="P1254" s="694" t="s">
        <v>919</v>
      </c>
      <c r="Q1254" s="695" t="s">
        <v>112</v>
      </c>
      <c r="R1254" s="696">
        <v>54.11424452</v>
      </c>
      <c r="S1254" s="696">
        <v>1.573026226</v>
      </c>
      <c r="T1254" s="697">
        <v>242.2191398</v>
      </c>
      <c r="AB1254" s="722"/>
    </row>
    <row r="1255">
      <c r="A1255" s="351"/>
      <c r="B1255" s="681" t="s">
        <v>46</v>
      </c>
      <c r="C1255" s="682" t="s">
        <v>915</v>
      </c>
      <c r="D1255" s="682" t="s">
        <v>926</v>
      </c>
      <c r="E1255" s="682" t="s">
        <v>179</v>
      </c>
      <c r="F1255" s="682">
        <v>2021.0</v>
      </c>
      <c r="G1255" s="683">
        <v>3.08884E-4</v>
      </c>
      <c r="H1255" s="683">
        <v>1.4723E-4</v>
      </c>
      <c r="I1255" s="684">
        <v>6.26124E-4</v>
      </c>
      <c r="K1255" s="693" t="s">
        <v>54</v>
      </c>
      <c r="L1255" s="694" t="s">
        <v>258</v>
      </c>
      <c r="M1255" s="694" t="s">
        <v>915</v>
      </c>
      <c r="N1255" s="694" t="s">
        <v>923</v>
      </c>
      <c r="O1255" s="694">
        <v>2021.0</v>
      </c>
      <c r="P1255" s="694" t="s">
        <v>919</v>
      </c>
      <c r="Q1255" s="695" t="s">
        <v>112</v>
      </c>
      <c r="R1255" s="696">
        <v>0.0</v>
      </c>
      <c r="S1255" s="696">
        <v>0.0</v>
      </c>
      <c r="T1255" s="697">
        <v>0.0</v>
      </c>
      <c r="AB1255" s="722"/>
    </row>
    <row r="1256">
      <c r="A1256" s="351"/>
      <c r="B1256" s="681" t="s">
        <v>47</v>
      </c>
      <c r="C1256" s="682" t="s">
        <v>915</v>
      </c>
      <c r="D1256" s="682" t="s">
        <v>916</v>
      </c>
      <c r="E1256" s="682" t="s">
        <v>179</v>
      </c>
      <c r="F1256" s="682">
        <v>2021.0</v>
      </c>
      <c r="G1256" s="683">
        <v>0.002148009</v>
      </c>
      <c r="H1256" s="683">
        <v>0.00119544</v>
      </c>
      <c r="I1256" s="684">
        <v>0.003812742</v>
      </c>
      <c r="K1256" s="693" t="s">
        <v>54</v>
      </c>
      <c r="L1256" s="694" t="s">
        <v>258</v>
      </c>
      <c r="M1256" s="694" t="s">
        <v>915</v>
      </c>
      <c r="N1256" s="694" t="s">
        <v>925</v>
      </c>
      <c r="O1256" s="694">
        <v>2021.0</v>
      </c>
      <c r="P1256" s="694" t="s">
        <v>919</v>
      </c>
      <c r="Q1256" s="695" t="s">
        <v>112</v>
      </c>
      <c r="R1256" s="696">
        <v>0.0</v>
      </c>
      <c r="S1256" s="696">
        <v>0.0</v>
      </c>
      <c r="T1256" s="697">
        <v>0.0</v>
      </c>
      <c r="AB1256" s="722"/>
    </row>
    <row r="1257">
      <c r="A1257" s="351"/>
      <c r="B1257" s="681" t="s">
        <v>47</v>
      </c>
      <c r="C1257" s="682" t="s">
        <v>915</v>
      </c>
      <c r="D1257" s="682" t="s">
        <v>922</v>
      </c>
      <c r="E1257" s="682" t="s">
        <v>179</v>
      </c>
      <c r="F1257" s="682">
        <v>2021.0</v>
      </c>
      <c r="G1257" s="683">
        <v>0.011944601</v>
      </c>
      <c r="H1257" s="683">
        <v>0.007472546</v>
      </c>
      <c r="I1257" s="684">
        <v>0.018588839</v>
      </c>
      <c r="K1257" s="693" t="s">
        <v>54</v>
      </c>
      <c r="L1257" s="694" t="s">
        <v>258</v>
      </c>
      <c r="M1257" s="694" t="s">
        <v>915</v>
      </c>
      <c r="N1257" s="694" t="s">
        <v>927</v>
      </c>
      <c r="O1257" s="694">
        <v>2021.0</v>
      </c>
      <c r="P1257" s="694" t="s">
        <v>919</v>
      </c>
      <c r="Q1257" s="695" t="s">
        <v>112</v>
      </c>
      <c r="R1257" s="696">
        <v>35.1694165</v>
      </c>
      <c r="S1257" s="696">
        <v>1.055819944</v>
      </c>
      <c r="T1257" s="697">
        <v>157.0209173</v>
      </c>
      <c r="AB1257" s="722"/>
    </row>
    <row r="1258">
      <c r="A1258" s="351"/>
      <c r="B1258" s="681" t="s">
        <v>47</v>
      </c>
      <c r="C1258" s="682" t="s">
        <v>915</v>
      </c>
      <c r="D1258" s="682" t="s">
        <v>924</v>
      </c>
      <c r="E1258" s="682" t="s">
        <v>179</v>
      </c>
      <c r="F1258" s="682">
        <v>2021.0</v>
      </c>
      <c r="G1258" s="683">
        <v>7.6E-5</v>
      </c>
      <c r="H1258" s="683">
        <v>3.74E-5</v>
      </c>
      <c r="I1258" s="684">
        <v>1.55376E-4</v>
      </c>
      <c r="K1258" s="693" t="s">
        <v>54</v>
      </c>
      <c r="L1258" s="694" t="s">
        <v>258</v>
      </c>
      <c r="M1258" s="694" t="s">
        <v>915</v>
      </c>
      <c r="N1258" s="694" t="s">
        <v>926</v>
      </c>
      <c r="O1258" s="694">
        <v>2021.0</v>
      </c>
      <c r="P1258" s="694" t="s">
        <v>919</v>
      </c>
      <c r="Q1258" s="695" t="s">
        <v>112</v>
      </c>
      <c r="R1258" s="696">
        <v>89.28366102</v>
      </c>
      <c r="S1258" s="696">
        <v>2.634681885</v>
      </c>
      <c r="T1258" s="697">
        <v>392.7374903</v>
      </c>
      <c r="AB1258" s="722"/>
    </row>
    <row r="1259">
      <c r="A1259" s="351"/>
      <c r="B1259" s="681" t="s">
        <v>47</v>
      </c>
      <c r="C1259" s="682" t="s">
        <v>915</v>
      </c>
      <c r="D1259" s="682" t="s">
        <v>926</v>
      </c>
      <c r="E1259" s="682" t="s">
        <v>179</v>
      </c>
      <c r="F1259" s="682">
        <v>2021.0</v>
      </c>
      <c r="G1259" s="683">
        <v>3.4876E-4</v>
      </c>
      <c r="H1259" s="683">
        <v>1.46719E-4</v>
      </c>
      <c r="I1259" s="684">
        <v>7.07363E-4</v>
      </c>
      <c r="K1259" s="693" t="s">
        <v>55</v>
      </c>
      <c r="L1259" s="694" t="s">
        <v>258</v>
      </c>
      <c r="M1259" s="694" t="s">
        <v>915</v>
      </c>
      <c r="N1259" s="694" t="s">
        <v>918</v>
      </c>
      <c r="O1259" s="694">
        <v>2021.0</v>
      </c>
      <c r="P1259" s="694" t="s">
        <v>919</v>
      </c>
      <c r="Q1259" s="695" t="s">
        <v>112</v>
      </c>
      <c r="R1259" s="696">
        <v>21.21524392</v>
      </c>
      <c r="S1259" s="696">
        <v>0.669481307</v>
      </c>
      <c r="T1259" s="697">
        <v>84.97213202</v>
      </c>
      <c r="AB1259" s="722"/>
    </row>
    <row r="1260">
      <c r="A1260" s="351"/>
      <c r="B1260" s="681" t="s">
        <v>48</v>
      </c>
      <c r="C1260" s="682" t="s">
        <v>915</v>
      </c>
      <c r="D1260" s="682" t="s">
        <v>916</v>
      </c>
      <c r="E1260" s="682" t="s">
        <v>179</v>
      </c>
      <c r="F1260" s="682">
        <v>2021.0</v>
      </c>
      <c r="G1260" s="683">
        <v>0.002777193</v>
      </c>
      <c r="H1260" s="683">
        <v>0.001537874</v>
      </c>
      <c r="I1260" s="684">
        <v>0.004546583</v>
      </c>
      <c r="K1260" s="693" t="s">
        <v>55</v>
      </c>
      <c r="L1260" s="694" t="s">
        <v>258</v>
      </c>
      <c r="M1260" s="694" t="s">
        <v>915</v>
      </c>
      <c r="N1260" s="694" t="s">
        <v>923</v>
      </c>
      <c r="O1260" s="694">
        <v>2021.0</v>
      </c>
      <c r="P1260" s="694" t="s">
        <v>919</v>
      </c>
      <c r="Q1260" s="695" t="s">
        <v>112</v>
      </c>
      <c r="R1260" s="696">
        <v>0.0</v>
      </c>
      <c r="S1260" s="696">
        <v>0.0</v>
      </c>
      <c r="T1260" s="697">
        <v>0.0</v>
      </c>
      <c r="AB1260" s="722"/>
    </row>
    <row r="1261">
      <c r="A1261" s="351"/>
      <c r="B1261" s="681" t="s">
        <v>48</v>
      </c>
      <c r="C1261" s="682" t="s">
        <v>915</v>
      </c>
      <c r="D1261" s="682" t="s">
        <v>922</v>
      </c>
      <c r="E1261" s="682" t="s">
        <v>179</v>
      </c>
      <c r="F1261" s="682">
        <v>2021.0</v>
      </c>
      <c r="G1261" s="683">
        <v>0.01787577</v>
      </c>
      <c r="H1261" s="683">
        <v>0.011611181</v>
      </c>
      <c r="I1261" s="684">
        <v>0.026035981</v>
      </c>
      <c r="K1261" s="693" t="s">
        <v>55</v>
      </c>
      <c r="L1261" s="694" t="s">
        <v>258</v>
      </c>
      <c r="M1261" s="694" t="s">
        <v>915</v>
      </c>
      <c r="N1261" s="694" t="s">
        <v>925</v>
      </c>
      <c r="O1261" s="694">
        <v>2021.0</v>
      </c>
      <c r="P1261" s="694" t="s">
        <v>919</v>
      </c>
      <c r="Q1261" s="695" t="s">
        <v>112</v>
      </c>
      <c r="R1261" s="696">
        <v>0.0</v>
      </c>
      <c r="S1261" s="696">
        <v>0.0</v>
      </c>
      <c r="T1261" s="697">
        <v>0.0</v>
      </c>
      <c r="AB1261" s="722"/>
    </row>
    <row r="1262">
      <c r="A1262" s="351"/>
      <c r="B1262" s="681" t="s">
        <v>48</v>
      </c>
      <c r="C1262" s="682" t="s">
        <v>915</v>
      </c>
      <c r="D1262" s="682" t="s">
        <v>924</v>
      </c>
      <c r="E1262" s="682" t="s">
        <v>179</v>
      </c>
      <c r="F1262" s="682">
        <v>2021.0</v>
      </c>
      <c r="G1262" s="683">
        <v>1.16521E-4</v>
      </c>
      <c r="H1262" s="683">
        <v>6.14E-5</v>
      </c>
      <c r="I1262" s="684">
        <v>2.05347E-4</v>
      </c>
      <c r="K1262" s="693" t="s">
        <v>55</v>
      </c>
      <c r="L1262" s="694" t="s">
        <v>258</v>
      </c>
      <c r="M1262" s="694" t="s">
        <v>915</v>
      </c>
      <c r="N1262" s="694" t="s">
        <v>927</v>
      </c>
      <c r="O1262" s="694">
        <v>2021.0</v>
      </c>
      <c r="P1262" s="694" t="s">
        <v>919</v>
      </c>
      <c r="Q1262" s="695" t="s">
        <v>112</v>
      </c>
      <c r="R1262" s="696">
        <v>15.15255535</v>
      </c>
      <c r="S1262" s="696">
        <v>0.488523354</v>
      </c>
      <c r="T1262" s="697">
        <v>60.68710378</v>
      </c>
      <c r="AB1262" s="722"/>
    </row>
    <row r="1263">
      <c r="A1263" s="351"/>
      <c r="B1263" s="681" t="s">
        <v>48</v>
      </c>
      <c r="C1263" s="682" t="s">
        <v>915</v>
      </c>
      <c r="D1263" s="682" t="s">
        <v>926</v>
      </c>
      <c r="E1263" s="682" t="s">
        <v>179</v>
      </c>
      <c r="F1263" s="682">
        <v>2021.0</v>
      </c>
      <c r="G1263" s="683">
        <v>4.84387E-4</v>
      </c>
      <c r="H1263" s="683">
        <v>2.33409E-4</v>
      </c>
      <c r="I1263" s="684">
        <v>9.31942E-4</v>
      </c>
      <c r="K1263" s="693" t="s">
        <v>55</v>
      </c>
      <c r="L1263" s="694" t="s">
        <v>258</v>
      </c>
      <c r="M1263" s="694" t="s">
        <v>915</v>
      </c>
      <c r="N1263" s="694" t="s">
        <v>926</v>
      </c>
      <c r="O1263" s="694">
        <v>2021.0</v>
      </c>
      <c r="P1263" s="694" t="s">
        <v>919</v>
      </c>
      <c r="Q1263" s="695" t="s">
        <v>112</v>
      </c>
      <c r="R1263" s="696">
        <v>36.36779927</v>
      </c>
      <c r="S1263" s="696">
        <v>1.153764044</v>
      </c>
      <c r="T1263" s="697">
        <v>142.2988283</v>
      </c>
      <c r="AB1263" s="722"/>
    </row>
    <row r="1264">
      <c r="A1264" s="351"/>
      <c r="B1264" s="681" t="s">
        <v>49</v>
      </c>
      <c r="C1264" s="682" t="s">
        <v>915</v>
      </c>
      <c r="D1264" s="682" t="s">
        <v>916</v>
      </c>
      <c r="E1264" s="682" t="s">
        <v>179</v>
      </c>
      <c r="F1264" s="682">
        <v>2021.0</v>
      </c>
      <c r="G1264" s="683">
        <v>0.002017867</v>
      </c>
      <c r="H1264" s="683">
        <v>0.001093612</v>
      </c>
      <c r="I1264" s="684">
        <v>0.003680668</v>
      </c>
      <c r="K1264" s="693" t="s">
        <v>56</v>
      </c>
      <c r="L1264" s="694" t="s">
        <v>258</v>
      </c>
      <c r="M1264" s="694" t="s">
        <v>915</v>
      </c>
      <c r="N1264" s="694" t="s">
        <v>918</v>
      </c>
      <c r="O1264" s="694">
        <v>2021.0</v>
      </c>
      <c r="P1264" s="694" t="s">
        <v>919</v>
      </c>
      <c r="Q1264" s="695" t="s">
        <v>112</v>
      </c>
      <c r="R1264" s="696">
        <v>11.91608053</v>
      </c>
      <c r="S1264" s="696">
        <v>0.379891921</v>
      </c>
      <c r="T1264" s="697">
        <v>52.6594248</v>
      </c>
      <c r="AB1264" s="722"/>
    </row>
    <row r="1265">
      <c r="A1265" s="351"/>
      <c r="B1265" s="681" t="s">
        <v>49</v>
      </c>
      <c r="C1265" s="682" t="s">
        <v>915</v>
      </c>
      <c r="D1265" s="682" t="s">
        <v>922</v>
      </c>
      <c r="E1265" s="682" t="s">
        <v>179</v>
      </c>
      <c r="F1265" s="682">
        <v>2021.0</v>
      </c>
      <c r="G1265" s="683">
        <v>0.01091559</v>
      </c>
      <c r="H1265" s="683">
        <v>0.006746747</v>
      </c>
      <c r="I1265" s="684">
        <v>0.017319581</v>
      </c>
      <c r="K1265" s="693" t="s">
        <v>56</v>
      </c>
      <c r="L1265" s="694" t="s">
        <v>258</v>
      </c>
      <c r="M1265" s="694" t="s">
        <v>915</v>
      </c>
      <c r="N1265" s="694" t="s">
        <v>923</v>
      </c>
      <c r="O1265" s="694">
        <v>2021.0</v>
      </c>
      <c r="P1265" s="694" t="s">
        <v>919</v>
      </c>
      <c r="Q1265" s="695" t="s">
        <v>112</v>
      </c>
      <c r="R1265" s="696">
        <v>0.0</v>
      </c>
      <c r="S1265" s="696">
        <v>0.0</v>
      </c>
      <c r="T1265" s="697">
        <v>0.0</v>
      </c>
      <c r="AB1265" s="722"/>
    </row>
    <row r="1266">
      <c r="A1266" s="351"/>
      <c r="B1266" s="681" t="s">
        <v>49</v>
      </c>
      <c r="C1266" s="682" t="s">
        <v>915</v>
      </c>
      <c r="D1266" s="682" t="s">
        <v>924</v>
      </c>
      <c r="E1266" s="682" t="s">
        <v>179</v>
      </c>
      <c r="F1266" s="682">
        <v>2021.0</v>
      </c>
      <c r="G1266" s="683">
        <v>6.15E-5</v>
      </c>
      <c r="H1266" s="683">
        <v>2.94E-5</v>
      </c>
      <c r="I1266" s="684">
        <v>1.28575E-4</v>
      </c>
      <c r="K1266" s="693" t="s">
        <v>56</v>
      </c>
      <c r="L1266" s="694" t="s">
        <v>258</v>
      </c>
      <c r="M1266" s="694" t="s">
        <v>915</v>
      </c>
      <c r="N1266" s="694" t="s">
        <v>925</v>
      </c>
      <c r="O1266" s="694">
        <v>2021.0</v>
      </c>
      <c r="P1266" s="694" t="s">
        <v>919</v>
      </c>
      <c r="Q1266" s="695" t="s">
        <v>112</v>
      </c>
      <c r="R1266" s="696">
        <v>0.0</v>
      </c>
      <c r="S1266" s="696">
        <v>0.0</v>
      </c>
      <c r="T1266" s="697">
        <v>0.0</v>
      </c>
      <c r="AB1266" s="722"/>
    </row>
    <row r="1267">
      <c r="A1267" s="351"/>
      <c r="B1267" s="681" t="s">
        <v>49</v>
      </c>
      <c r="C1267" s="682" t="s">
        <v>915</v>
      </c>
      <c r="D1267" s="682" t="s">
        <v>926</v>
      </c>
      <c r="E1267" s="682" t="s">
        <v>179</v>
      </c>
      <c r="F1267" s="682">
        <v>2021.0</v>
      </c>
      <c r="G1267" s="683">
        <v>3.27009E-4</v>
      </c>
      <c r="H1267" s="683">
        <v>1.37709E-4</v>
      </c>
      <c r="I1267" s="684">
        <v>7.36559E-4</v>
      </c>
      <c r="K1267" s="693" t="s">
        <v>56</v>
      </c>
      <c r="L1267" s="694" t="s">
        <v>258</v>
      </c>
      <c r="M1267" s="694" t="s">
        <v>915</v>
      </c>
      <c r="N1267" s="694" t="s">
        <v>927</v>
      </c>
      <c r="O1267" s="694">
        <v>2021.0</v>
      </c>
      <c r="P1267" s="694" t="s">
        <v>919</v>
      </c>
      <c r="Q1267" s="695" t="s">
        <v>112</v>
      </c>
      <c r="R1267" s="696">
        <v>9.340011027</v>
      </c>
      <c r="S1267" s="696">
        <v>0.27921106</v>
      </c>
      <c r="T1267" s="697">
        <v>44.16109564</v>
      </c>
      <c r="AB1267" s="722"/>
    </row>
    <row r="1268">
      <c r="A1268" s="351"/>
      <c r="B1268" s="681" t="s">
        <v>50</v>
      </c>
      <c r="C1268" s="682" t="s">
        <v>915</v>
      </c>
      <c r="D1268" s="682" t="s">
        <v>916</v>
      </c>
      <c r="E1268" s="682" t="s">
        <v>179</v>
      </c>
      <c r="F1268" s="682">
        <v>2021.0</v>
      </c>
      <c r="G1268" s="683">
        <v>0.001820839</v>
      </c>
      <c r="H1268" s="683">
        <v>9.37126E-4</v>
      </c>
      <c r="I1268" s="684">
        <v>0.003524153</v>
      </c>
      <c r="K1268" s="693" t="s">
        <v>56</v>
      </c>
      <c r="L1268" s="694" t="s">
        <v>258</v>
      </c>
      <c r="M1268" s="694" t="s">
        <v>915</v>
      </c>
      <c r="N1268" s="694" t="s">
        <v>926</v>
      </c>
      <c r="O1268" s="694">
        <v>2021.0</v>
      </c>
      <c r="P1268" s="694" t="s">
        <v>919</v>
      </c>
      <c r="Q1268" s="695" t="s">
        <v>112</v>
      </c>
      <c r="R1268" s="696">
        <v>21.25609156</v>
      </c>
      <c r="S1268" s="696">
        <v>0.670888192</v>
      </c>
      <c r="T1268" s="697">
        <v>92.95632356</v>
      </c>
      <c r="AB1268" s="722"/>
    </row>
    <row r="1269">
      <c r="A1269" s="351"/>
      <c r="B1269" s="681" t="s">
        <v>50</v>
      </c>
      <c r="C1269" s="682" t="s">
        <v>915</v>
      </c>
      <c r="D1269" s="682" t="s">
        <v>922</v>
      </c>
      <c r="E1269" s="682" t="s">
        <v>179</v>
      </c>
      <c r="F1269" s="682">
        <v>2021.0</v>
      </c>
      <c r="G1269" s="683">
        <v>0.012048696</v>
      </c>
      <c r="H1269" s="683">
        <v>0.00766571</v>
      </c>
      <c r="I1269" s="684">
        <v>0.018689053</v>
      </c>
      <c r="K1269" s="693" t="s">
        <v>57</v>
      </c>
      <c r="L1269" s="694" t="s">
        <v>258</v>
      </c>
      <c r="M1269" s="694" t="s">
        <v>915</v>
      </c>
      <c r="N1269" s="694" t="s">
        <v>918</v>
      </c>
      <c r="O1269" s="694">
        <v>2021.0</v>
      </c>
      <c r="P1269" s="694" t="s">
        <v>919</v>
      </c>
      <c r="Q1269" s="695" t="s">
        <v>112</v>
      </c>
      <c r="R1269" s="696">
        <v>87.62601221</v>
      </c>
      <c r="S1269" s="696">
        <v>2.83024088</v>
      </c>
      <c r="T1269" s="697">
        <v>388.5594877</v>
      </c>
      <c r="AB1269" s="722"/>
    </row>
    <row r="1270">
      <c r="A1270" s="351"/>
      <c r="B1270" s="681" t="s">
        <v>50</v>
      </c>
      <c r="C1270" s="682" t="s">
        <v>915</v>
      </c>
      <c r="D1270" s="682" t="s">
        <v>924</v>
      </c>
      <c r="E1270" s="682" t="s">
        <v>179</v>
      </c>
      <c r="F1270" s="682">
        <v>2021.0</v>
      </c>
      <c r="G1270" s="683">
        <v>5.64E-5</v>
      </c>
      <c r="H1270" s="683">
        <v>2.4E-5</v>
      </c>
      <c r="I1270" s="684">
        <v>1.19722E-4</v>
      </c>
      <c r="K1270" s="693" t="s">
        <v>57</v>
      </c>
      <c r="L1270" s="694" t="s">
        <v>258</v>
      </c>
      <c r="M1270" s="694" t="s">
        <v>915</v>
      </c>
      <c r="N1270" s="694" t="s">
        <v>923</v>
      </c>
      <c r="O1270" s="694">
        <v>2021.0</v>
      </c>
      <c r="P1270" s="694" t="s">
        <v>919</v>
      </c>
      <c r="Q1270" s="695" t="s">
        <v>112</v>
      </c>
      <c r="R1270" s="696">
        <v>0.0</v>
      </c>
      <c r="S1270" s="696">
        <v>0.0</v>
      </c>
      <c r="T1270" s="697">
        <v>0.0</v>
      </c>
      <c r="AB1270" s="722"/>
    </row>
    <row r="1271">
      <c r="A1271" s="351"/>
      <c r="B1271" s="681" t="s">
        <v>50</v>
      </c>
      <c r="C1271" s="682" t="s">
        <v>915</v>
      </c>
      <c r="D1271" s="682" t="s">
        <v>926</v>
      </c>
      <c r="E1271" s="682" t="s">
        <v>179</v>
      </c>
      <c r="F1271" s="682">
        <v>2021.0</v>
      </c>
      <c r="G1271" s="683">
        <v>2.93915E-4</v>
      </c>
      <c r="H1271" s="683">
        <v>1.1861E-4</v>
      </c>
      <c r="I1271" s="684">
        <v>6.03311E-4</v>
      </c>
      <c r="K1271" s="693" t="s">
        <v>57</v>
      </c>
      <c r="L1271" s="694" t="s">
        <v>258</v>
      </c>
      <c r="M1271" s="694" t="s">
        <v>915</v>
      </c>
      <c r="N1271" s="694" t="s">
        <v>925</v>
      </c>
      <c r="O1271" s="694">
        <v>2021.0</v>
      </c>
      <c r="P1271" s="694" t="s">
        <v>919</v>
      </c>
      <c r="Q1271" s="695" t="s">
        <v>112</v>
      </c>
      <c r="R1271" s="696">
        <v>0.0</v>
      </c>
      <c r="S1271" s="696">
        <v>0.0</v>
      </c>
      <c r="T1271" s="697">
        <v>0.0</v>
      </c>
      <c r="AB1271" s="722"/>
    </row>
    <row r="1272">
      <c r="A1272" s="351"/>
      <c r="B1272" s="681" t="s">
        <v>51</v>
      </c>
      <c r="C1272" s="682" t="s">
        <v>915</v>
      </c>
      <c r="D1272" s="682" t="s">
        <v>916</v>
      </c>
      <c r="E1272" s="682" t="s">
        <v>179</v>
      </c>
      <c r="F1272" s="682">
        <v>2021.0</v>
      </c>
      <c r="G1272" s="683">
        <v>0.00191537</v>
      </c>
      <c r="H1272" s="683">
        <v>9.94983E-4</v>
      </c>
      <c r="I1272" s="684">
        <v>0.003378888</v>
      </c>
      <c r="K1272" s="693" t="s">
        <v>57</v>
      </c>
      <c r="L1272" s="694" t="s">
        <v>258</v>
      </c>
      <c r="M1272" s="694" t="s">
        <v>915</v>
      </c>
      <c r="N1272" s="694" t="s">
        <v>927</v>
      </c>
      <c r="O1272" s="694">
        <v>2021.0</v>
      </c>
      <c r="P1272" s="694" t="s">
        <v>919</v>
      </c>
      <c r="Q1272" s="695" t="s">
        <v>112</v>
      </c>
      <c r="R1272" s="696">
        <v>59.51532439</v>
      </c>
      <c r="S1272" s="696">
        <v>1.907015692</v>
      </c>
      <c r="T1272" s="697">
        <v>272.5545126</v>
      </c>
      <c r="AB1272" s="722"/>
    </row>
    <row r="1273">
      <c r="A1273" s="351"/>
      <c r="B1273" s="681" t="s">
        <v>51</v>
      </c>
      <c r="C1273" s="682" t="s">
        <v>915</v>
      </c>
      <c r="D1273" s="682" t="s">
        <v>922</v>
      </c>
      <c r="E1273" s="682" t="s">
        <v>179</v>
      </c>
      <c r="F1273" s="682">
        <v>2021.0</v>
      </c>
      <c r="G1273" s="683">
        <v>0.013674896</v>
      </c>
      <c r="H1273" s="683">
        <v>0.008438768</v>
      </c>
      <c r="I1273" s="684">
        <v>0.021345836</v>
      </c>
      <c r="K1273" s="693" t="s">
        <v>57</v>
      </c>
      <c r="L1273" s="694" t="s">
        <v>258</v>
      </c>
      <c r="M1273" s="694" t="s">
        <v>915</v>
      </c>
      <c r="N1273" s="694" t="s">
        <v>926</v>
      </c>
      <c r="O1273" s="694">
        <v>2021.0</v>
      </c>
      <c r="P1273" s="694" t="s">
        <v>919</v>
      </c>
      <c r="Q1273" s="695" t="s">
        <v>112</v>
      </c>
      <c r="R1273" s="696">
        <v>147.1413366</v>
      </c>
      <c r="S1273" s="696">
        <v>4.702202738</v>
      </c>
      <c r="T1273" s="697">
        <v>655.2165989</v>
      </c>
      <c r="AB1273" s="722"/>
    </row>
    <row r="1274">
      <c r="A1274" s="351"/>
      <c r="B1274" s="681" t="s">
        <v>51</v>
      </c>
      <c r="C1274" s="682" t="s">
        <v>915</v>
      </c>
      <c r="D1274" s="682" t="s">
        <v>924</v>
      </c>
      <c r="E1274" s="682" t="s">
        <v>179</v>
      </c>
      <c r="F1274" s="682">
        <v>2021.0</v>
      </c>
      <c r="G1274" s="683">
        <v>5.95E-5</v>
      </c>
      <c r="H1274" s="683">
        <v>2.79E-5</v>
      </c>
      <c r="I1274" s="684">
        <v>1.14145E-4</v>
      </c>
      <c r="K1274" s="693" t="s">
        <v>58</v>
      </c>
      <c r="L1274" s="694" t="s">
        <v>258</v>
      </c>
      <c r="M1274" s="694" t="s">
        <v>915</v>
      </c>
      <c r="N1274" s="694" t="s">
        <v>918</v>
      </c>
      <c r="O1274" s="694">
        <v>2021.0</v>
      </c>
      <c r="P1274" s="694" t="s">
        <v>919</v>
      </c>
      <c r="Q1274" s="695" t="s">
        <v>112</v>
      </c>
      <c r="R1274" s="696">
        <v>278.3354452</v>
      </c>
      <c r="S1274" s="696">
        <v>12.24552749</v>
      </c>
      <c r="T1274" s="697">
        <v>1225.046536</v>
      </c>
      <c r="AB1274" s="722"/>
    </row>
    <row r="1275">
      <c r="A1275" s="351"/>
      <c r="B1275" s="681" t="s">
        <v>51</v>
      </c>
      <c r="C1275" s="682" t="s">
        <v>915</v>
      </c>
      <c r="D1275" s="682" t="s">
        <v>926</v>
      </c>
      <c r="E1275" s="682" t="s">
        <v>179</v>
      </c>
      <c r="F1275" s="682">
        <v>2021.0</v>
      </c>
      <c r="G1275" s="683">
        <v>1.73117E-4</v>
      </c>
      <c r="H1275" s="683">
        <v>6.39E-5</v>
      </c>
      <c r="I1275" s="684">
        <v>3.86041E-4</v>
      </c>
      <c r="K1275" s="693" t="s">
        <v>58</v>
      </c>
      <c r="L1275" s="694" t="s">
        <v>258</v>
      </c>
      <c r="M1275" s="694" t="s">
        <v>915</v>
      </c>
      <c r="N1275" s="694" t="s">
        <v>923</v>
      </c>
      <c r="O1275" s="694">
        <v>2021.0</v>
      </c>
      <c r="P1275" s="694" t="s">
        <v>919</v>
      </c>
      <c r="Q1275" s="695" t="s">
        <v>112</v>
      </c>
      <c r="R1275" s="696">
        <v>0.0</v>
      </c>
      <c r="S1275" s="696">
        <v>0.0</v>
      </c>
      <c r="T1275" s="697">
        <v>0.0</v>
      </c>
      <c r="AB1275" s="722"/>
    </row>
    <row r="1276">
      <c r="A1276" s="351"/>
      <c r="B1276" s="681" t="s">
        <v>52</v>
      </c>
      <c r="C1276" s="682" t="s">
        <v>915</v>
      </c>
      <c r="D1276" s="682" t="s">
        <v>916</v>
      </c>
      <c r="E1276" s="682" t="s">
        <v>179</v>
      </c>
      <c r="F1276" s="682">
        <v>2021.0</v>
      </c>
      <c r="G1276" s="683">
        <v>0.001753646</v>
      </c>
      <c r="H1276" s="683">
        <v>8.44079E-4</v>
      </c>
      <c r="I1276" s="684">
        <v>0.003196693</v>
      </c>
      <c r="K1276" s="693" t="s">
        <v>58</v>
      </c>
      <c r="L1276" s="694" t="s">
        <v>258</v>
      </c>
      <c r="M1276" s="694" t="s">
        <v>915</v>
      </c>
      <c r="N1276" s="694" t="s">
        <v>925</v>
      </c>
      <c r="O1276" s="694">
        <v>2021.0</v>
      </c>
      <c r="P1276" s="694" t="s">
        <v>919</v>
      </c>
      <c r="Q1276" s="695" t="s">
        <v>112</v>
      </c>
      <c r="R1276" s="696">
        <v>0.0</v>
      </c>
      <c r="S1276" s="696">
        <v>0.0</v>
      </c>
      <c r="T1276" s="697">
        <v>0.0</v>
      </c>
      <c r="AB1276" s="722"/>
    </row>
    <row r="1277">
      <c r="A1277" s="351"/>
      <c r="B1277" s="681" t="s">
        <v>52</v>
      </c>
      <c r="C1277" s="682" t="s">
        <v>915</v>
      </c>
      <c r="D1277" s="682" t="s">
        <v>922</v>
      </c>
      <c r="E1277" s="682" t="s">
        <v>179</v>
      </c>
      <c r="F1277" s="682">
        <v>2021.0</v>
      </c>
      <c r="G1277" s="683">
        <v>0.00979287</v>
      </c>
      <c r="H1277" s="683">
        <v>0.005785895</v>
      </c>
      <c r="I1277" s="684">
        <v>0.015800754</v>
      </c>
      <c r="K1277" s="693" t="s">
        <v>58</v>
      </c>
      <c r="L1277" s="694" t="s">
        <v>258</v>
      </c>
      <c r="M1277" s="694" t="s">
        <v>915</v>
      </c>
      <c r="N1277" s="694" t="s">
        <v>927</v>
      </c>
      <c r="O1277" s="694">
        <v>2021.0</v>
      </c>
      <c r="P1277" s="694" t="s">
        <v>919</v>
      </c>
      <c r="Q1277" s="695" t="s">
        <v>112</v>
      </c>
      <c r="R1277" s="696">
        <v>192.6364774</v>
      </c>
      <c r="S1277" s="696">
        <v>7.767252953</v>
      </c>
      <c r="T1277" s="697">
        <v>855.1330492</v>
      </c>
      <c r="AB1277" s="722"/>
    </row>
    <row r="1278">
      <c r="A1278" s="351"/>
      <c r="B1278" s="681" t="s">
        <v>52</v>
      </c>
      <c r="C1278" s="682" t="s">
        <v>915</v>
      </c>
      <c r="D1278" s="682" t="s">
        <v>924</v>
      </c>
      <c r="E1278" s="682" t="s">
        <v>179</v>
      </c>
      <c r="F1278" s="682">
        <v>2021.0</v>
      </c>
      <c r="G1278" s="683">
        <v>7.68E-5</v>
      </c>
      <c r="H1278" s="683">
        <v>3.47E-5</v>
      </c>
      <c r="I1278" s="684">
        <v>1.48269E-4</v>
      </c>
      <c r="K1278" s="693" t="s">
        <v>58</v>
      </c>
      <c r="L1278" s="694" t="s">
        <v>258</v>
      </c>
      <c r="M1278" s="694" t="s">
        <v>915</v>
      </c>
      <c r="N1278" s="694" t="s">
        <v>926</v>
      </c>
      <c r="O1278" s="694">
        <v>2021.0</v>
      </c>
      <c r="P1278" s="694" t="s">
        <v>919</v>
      </c>
      <c r="Q1278" s="695" t="s">
        <v>112</v>
      </c>
      <c r="R1278" s="696">
        <v>470.9719226</v>
      </c>
      <c r="S1278" s="696">
        <v>22.77709644</v>
      </c>
      <c r="T1278" s="697">
        <v>2059.374614</v>
      </c>
      <c r="AB1278" s="722"/>
    </row>
    <row r="1279">
      <c r="A1279" s="351"/>
      <c r="B1279" s="681" t="s">
        <v>52</v>
      </c>
      <c r="C1279" s="682" t="s">
        <v>915</v>
      </c>
      <c r="D1279" s="682" t="s">
        <v>926</v>
      </c>
      <c r="E1279" s="682" t="s">
        <v>179</v>
      </c>
      <c r="F1279" s="682">
        <v>2021.0</v>
      </c>
      <c r="G1279" s="683">
        <v>3.02269E-4</v>
      </c>
      <c r="H1279" s="683">
        <v>1.22094E-4</v>
      </c>
      <c r="I1279" s="684">
        <v>6.64409E-4</v>
      </c>
      <c r="K1279" s="693" t="s">
        <v>7</v>
      </c>
      <c r="L1279" s="694" t="s">
        <v>258</v>
      </c>
      <c r="M1279" s="694" t="s">
        <v>915</v>
      </c>
      <c r="N1279" s="694" t="s">
        <v>918</v>
      </c>
      <c r="O1279" s="694">
        <v>2021.0</v>
      </c>
      <c r="P1279" s="694" t="s">
        <v>919</v>
      </c>
      <c r="Q1279" s="695" t="s">
        <v>112</v>
      </c>
      <c r="R1279" s="696">
        <v>4861.62036</v>
      </c>
      <c r="S1279" s="696">
        <v>468.4550392</v>
      </c>
      <c r="T1279" s="697">
        <v>15749.80481</v>
      </c>
      <c r="AB1279" s="722"/>
    </row>
    <row r="1280">
      <c r="A1280" s="351"/>
      <c r="B1280" s="681" t="s">
        <v>28</v>
      </c>
      <c r="C1280" s="682" t="s">
        <v>915</v>
      </c>
      <c r="D1280" s="682" t="s">
        <v>916</v>
      </c>
      <c r="E1280" s="682" t="s">
        <v>179</v>
      </c>
      <c r="F1280" s="682">
        <v>2021.0</v>
      </c>
      <c r="G1280" s="683">
        <v>0.004007767</v>
      </c>
      <c r="H1280" s="683">
        <v>0.002373852</v>
      </c>
      <c r="I1280" s="684">
        <v>0.006341563</v>
      </c>
      <c r="K1280" s="693" t="s">
        <v>7</v>
      </c>
      <c r="L1280" s="694" t="s">
        <v>258</v>
      </c>
      <c r="M1280" s="694" t="s">
        <v>915</v>
      </c>
      <c r="N1280" s="694" t="s">
        <v>923</v>
      </c>
      <c r="O1280" s="694">
        <v>2021.0</v>
      </c>
      <c r="P1280" s="694" t="s">
        <v>919</v>
      </c>
      <c r="Q1280" s="695" t="s">
        <v>112</v>
      </c>
      <c r="R1280" s="696">
        <v>0.0</v>
      </c>
      <c r="S1280" s="696">
        <v>0.0</v>
      </c>
      <c r="T1280" s="697">
        <v>0.0</v>
      </c>
      <c r="AB1280" s="722"/>
    </row>
    <row r="1281">
      <c r="A1281" s="351"/>
      <c r="B1281" s="681" t="s">
        <v>28</v>
      </c>
      <c r="C1281" s="682" t="s">
        <v>915</v>
      </c>
      <c r="D1281" s="682" t="s">
        <v>922</v>
      </c>
      <c r="E1281" s="682" t="s">
        <v>179</v>
      </c>
      <c r="F1281" s="682">
        <v>2021.0</v>
      </c>
      <c r="G1281" s="683">
        <v>0.030242318</v>
      </c>
      <c r="H1281" s="683">
        <v>0.019927116</v>
      </c>
      <c r="I1281" s="684">
        <v>0.043224514</v>
      </c>
      <c r="K1281" s="693" t="s">
        <v>7</v>
      </c>
      <c r="L1281" s="694" t="s">
        <v>258</v>
      </c>
      <c r="M1281" s="694" t="s">
        <v>915</v>
      </c>
      <c r="N1281" s="694" t="s">
        <v>925</v>
      </c>
      <c r="O1281" s="694">
        <v>2021.0</v>
      </c>
      <c r="P1281" s="694" t="s">
        <v>919</v>
      </c>
      <c r="Q1281" s="695" t="s">
        <v>112</v>
      </c>
      <c r="R1281" s="696">
        <v>0.0</v>
      </c>
      <c r="S1281" s="696">
        <v>0.0</v>
      </c>
      <c r="T1281" s="697">
        <v>0.0</v>
      </c>
      <c r="AB1281" s="722"/>
    </row>
    <row r="1282">
      <c r="A1282" s="351"/>
      <c r="B1282" s="681" t="s">
        <v>28</v>
      </c>
      <c r="C1282" s="682" t="s">
        <v>915</v>
      </c>
      <c r="D1282" s="682" t="s">
        <v>924</v>
      </c>
      <c r="E1282" s="682" t="s">
        <v>179</v>
      </c>
      <c r="F1282" s="682">
        <v>2021.0</v>
      </c>
      <c r="G1282" s="683">
        <v>2.60845E-4</v>
      </c>
      <c r="H1282" s="683">
        <v>1.53098E-4</v>
      </c>
      <c r="I1282" s="684">
        <v>3.97666E-4</v>
      </c>
      <c r="K1282" s="693" t="s">
        <v>7</v>
      </c>
      <c r="L1282" s="694" t="s">
        <v>258</v>
      </c>
      <c r="M1282" s="694" t="s">
        <v>915</v>
      </c>
      <c r="N1282" s="694" t="s">
        <v>927</v>
      </c>
      <c r="O1282" s="694">
        <v>2021.0</v>
      </c>
      <c r="P1282" s="694" t="s">
        <v>919</v>
      </c>
      <c r="Q1282" s="695" t="s">
        <v>112</v>
      </c>
      <c r="R1282" s="696">
        <v>3048.504115</v>
      </c>
      <c r="S1282" s="696">
        <v>305.861045</v>
      </c>
      <c r="T1282" s="697">
        <v>9899.704593</v>
      </c>
      <c r="AB1282" s="722"/>
    </row>
    <row r="1283">
      <c r="A1283" s="351"/>
      <c r="B1283" s="681" t="s">
        <v>28</v>
      </c>
      <c r="C1283" s="682" t="s">
        <v>915</v>
      </c>
      <c r="D1283" s="682" t="s">
        <v>926</v>
      </c>
      <c r="E1283" s="682" t="s">
        <v>179</v>
      </c>
      <c r="F1283" s="682">
        <v>2021.0</v>
      </c>
      <c r="G1283" s="683">
        <v>0.001693533</v>
      </c>
      <c r="H1283" s="683">
        <v>9.04049E-4</v>
      </c>
      <c r="I1283" s="684">
        <v>0.002854516</v>
      </c>
      <c r="K1283" s="693" t="s">
        <v>7</v>
      </c>
      <c r="L1283" s="694" t="s">
        <v>258</v>
      </c>
      <c r="M1283" s="694" t="s">
        <v>915</v>
      </c>
      <c r="N1283" s="694" t="s">
        <v>926</v>
      </c>
      <c r="O1283" s="694">
        <v>2021.0</v>
      </c>
      <c r="P1283" s="694" t="s">
        <v>919</v>
      </c>
      <c r="Q1283" s="695" t="s">
        <v>112</v>
      </c>
      <c r="R1283" s="696">
        <v>7910.124475</v>
      </c>
      <c r="S1283" s="696">
        <v>774.202022</v>
      </c>
      <c r="T1283" s="697">
        <v>26031.55835</v>
      </c>
      <c r="AB1283" s="722"/>
    </row>
    <row r="1284">
      <c r="A1284" s="351"/>
      <c r="B1284" s="681" t="s">
        <v>53</v>
      </c>
      <c r="C1284" s="682" t="s">
        <v>915</v>
      </c>
      <c r="D1284" s="682" t="s">
        <v>916</v>
      </c>
      <c r="E1284" s="682" t="s">
        <v>179</v>
      </c>
      <c r="F1284" s="682">
        <v>2021.0</v>
      </c>
      <c r="G1284" s="683">
        <v>0.00167821</v>
      </c>
      <c r="H1284" s="683">
        <v>8.43849E-4</v>
      </c>
      <c r="I1284" s="684">
        <v>0.003330743</v>
      </c>
      <c r="K1284" s="693" t="s">
        <v>59</v>
      </c>
      <c r="L1284" s="694" t="s">
        <v>258</v>
      </c>
      <c r="M1284" s="694" t="s">
        <v>915</v>
      </c>
      <c r="N1284" s="694" t="s">
        <v>918</v>
      </c>
      <c r="O1284" s="694">
        <v>2021.0</v>
      </c>
      <c r="P1284" s="694" t="s">
        <v>919</v>
      </c>
      <c r="Q1284" s="695" t="s">
        <v>112</v>
      </c>
      <c r="R1284" s="696">
        <v>93.68833286</v>
      </c>
      <c r="S1284" s="696">
        <v>3.12841308</v>
      </c>
      <c r="T1284" s="697">
        <v>396.9117076</v>
      </c>
      <c r="AB1284" s="722"/>
    </row>
    <row r="1285">
      <c r="A1285" s="351"/>
      <c r="B1285" s="681" t="s">
        <v>53</v>
      </c>
      <c r="C1285" s="682" t="s">
        <v>915</v>
      </c>
      <c r="D1285" s="682" t="s">
        <v>922</v>
      </c>
      <c r="E1285" s="682" t="s">
        <v>179</v>
      </c>
      <c r="F1285" s="682">
        <v>2021.0</v>
      </c>
      <c r="G1285" s="683">
        <v>0.011610331</v>
      </c>
      <c r="H1285" s="683">
        <v>0.007030469</v>
      </c>
      <c r="I1285" s="684">
        <v>0.019095049</v>
      </c>
      <c r="K1285" s="693" t="s">
        <v>59</v>
      </c>
      <c r="L1285" s="694" t="s">
        <v>258</v>
      </c>
      <c r="M1285" s="694" t="s">
        <v>915</v>
      </c>
      <c r="N1285" s="694" t="s">
        <v>923</v>
      </c>
      <c r="O1285" s="694">
        <v>2021.0</v>
      </c>
      <c r="P1285" s="694" t="s">
        <v>919</v>
      </c>
      <c r="Q1285" s="695" t="s">
        <v>112</v>
      </c>
      <c r="R1285" s="696">
        <v>0.0</v>
      </c>
      <c r="S1285" s="696">
        <v>0.0</v>
      </c>
      <c r="T1285" s="697">
        <v>0.0</v>
      </c>
      <c r="AB1285" s="722"/>
    </row>
    <row r="1286">
      <c r="A1286" s="351"/>
      <c r="B1286" s="681" t="s">
        <v>53</v>
      </c>
      <c r="C1286" s="682" t="s">
        <v>915</v>
      </c>
      <c r="D1286" s="682" t="s">
        <v>924</v>
      </c>
      <c r="E1286" s="682" t="s">
        <v>179</v>
      </c>
      <c r="F1286" s="682">
        <v>2021.0</v>
      </c>
      <c r="G1286" s="683">
        <v>5.32E-5</v>
      </c>
      <c r="H1286" s="683">
        <v>2.4E-5</v>
      </c>
      <c r="I1286" s="684">
        <v>1.15114E-4</v>
      </c>
      <c r="K1286" s="693" t="s">
        <v>59</v>
      </c>
      <c r="L1286" s="694" t="s">
        <v>258</v>
      </c>
      <c r="M1286" s="694" t="s">
        <v>915</v>
      </c>
      <c r="N1286" s="694" t="s">
        <v>925</v>
      </c>
      <c r="O1286" s="694">
        <v>2021.0</v>
      </c>
      <c r="P1286" s="694" t="s">
        <v>919</v>
      </c>
      <c r="Q1286" s="695" t="s">
        <v>112</v>
      </c>
      <c r="R1286" s="696">
        <v>0.0</v>
      </c>
      <c r="S1286" s="696">
        <v>0.0</v>
      </c>
      <c r="T1286" s="697">
        <v>0.0</v>
      </c>
      <c r="AB1286" s="722"/>
    </row>
    <row r="1287">
      <c r="A1287" s="351"/>
      <c r="B1287" s="681" t="s">
        <v>53</v>
      </c>
      <c r="C1287" s="682" t="s">
        <v>915</v>
      </c>
      <c r="D1287" s="682" t="s">
        <v>926</v>
      </c>
      <c r="E1287" s="682" t="s">
        <v>179</v>
      </c>
      <c r="F1287" s="682">
        <v>2021.0</v>
      </c>
      <c r="G1287" s="683">
        <v>1.86819E-4</v>
      </c>
      <c r="H1287" s="683">
        <v>7.53E-5</v>
      </c>
      <c r="I1287" s="684">
        <v>4.2269E-4</v>
      </c>
      <c r="K1287" s="693" t="s">
        <v>59</v>
      </c>
      <c r="L1287" s="694" t="s">
        <v>258</v>
      </c>
      <c r="M1287" s="694" t="s">
        <v>915</v>
      </c>
      <c r="N1287" s="694" t="s">
        <v>927</v>
      </c>
      <c r="O1287" s="694">
        <v>2021.0</v>
      </c>
      <c r="P1287" s="694" t="s">
        <v>919</v>
      </c>
      <c r="Q1287" s="695" t="s">
        <v>112</v>
      </c>
      <c r="R1287" s="696">
        <v>68.78692763</v>
      </c>
      <c r="S1287" s="696">
        <v>2.315135453</v>
      </c>
      <c r="T1287" s="697">
        <v>299.961575</v>
      </c>
      <c r="AB1287" s="722"/>
    </row>
    <row r="1288">
      <c r="A1288" s="351"/>
      <c r="B1288" s="681" t="s">
        <v>30</v>
      </c>
      <c r="C1288" s="682" t="s">
        <v>915</v>
      </c>
      <c r="D1288" s="682" t="s">
        <v>916</v>
      </c>
      <c r="E1288" s="682" t="s">
        <v>179</v>
      </c>
      <c r="F1288" s="682">
        <v>2021.0</v>
      </c>
      <c r="G1288" s="683">
        <v>0.008685948</v>
      </c>
      <c r="H1288" s="683">
        <v>0.005385678</v>
      </c>
      <c r="I1288" s="684">
        <v>0.012591542</v>
      </c>
      <c r="K1288" s="693" t="s">
        <v>59</v>
      </c>
      <c r="L1288" s="694" t="s">
        <v>258</v>
      </c>
      <c r="M1288" s="694" t="s">
        <v>915</v>
      </c>
      <c r="N1288" s="694" t="s">
        <v>926</v>
      </c>
      <c r="O1288" s="694">
        <v>2021.0</v>
      </c>
      <c r="P1288" s="694" t="s">
        <v>919</v>
      </c>
      <c r="Q1288" s="695" t="s">
        <v>112</v>
      </c>
      <c r="R1288" s="696">
        <v>162.4752605</v>
      </c>
      <c r="S1288" s="696">
        <v>5.496954877</v>
      </c>
      <c r="T1288" s="697">
        <v>704.4553633</v>
      </c>
      <c r="AB1288" s="722"/>
    </row>
    <row r="1289">
      <c r="A1289" s="351"/>
      <c r="B1289" s="681" t="s">
        <v>30</v>
      </c>
      <c r="C1289" s="682" t="s">
        <v>915</v>
      </c>
      <c r="D1289" s="682" t="s">
        <v>922</v>
      </c>
      <c r="E1289" s="682" t="s">
        <v>179</v>
      </c>
      <c r="F1289" s="682">
        <v>2021.0</v>
      </c>
      <c r="G1289" s="683">
        <v>0.052337352</v>
      </c>
      <c r="H1289" s="683">
        <v>0.033741349</v>
      </c>
      <c r="I1289" s="684">
        <v>0.074379183</v>
      </c>
      <c r="K1289" s="693" t="s">
        <v>60</v>
      </c>
      <c r="L1289" s="694" t="s">
        <v>258</v>
      </c>
      <c r="M1289" s="694" t="s">
        <v>915</v>
      </c>
      <c r="N1289" s="694" t="s">
        <v>918</v>
      </c>
      <c r="O1289" s="694">
        <v>2021.0</v>
      </c>
      <c r="P1289" s="694" t="s">
        <v>919</v>
      </c>
      <c r="Q1289" s="695" t="s">
        <v>112</v>
      </c>
      <c r="R1289" s="696">
        <v>21.03078329</v>
      </c>
      <c r="S1289" s="696">
        <v>0.778803737</v>
      </c>
      <c r="T1289" s="697">
        <v>94.91096958</v>
      </c>
      <c r="AB1289" s="722"/>
    </row>
    <row r="1290">
      <c r="A1290" s="351"/>
      <c r="B1290" s="681" t="s">
        <v>30</v>
      </c>
      <c r="C1290" s="682" t="s">
        <v>915</v>
      </c>
      <c r="D1290" s="682" t="s">
        <v>924</v>
      </c>
      <c r="E1290" s="682" t="s">
        <v>179</v>
      </c>
      <c r="F1290" s="682">
        <v>2021.0</v>
      </c>
      <c r="G1290" s="683">
        <v>5.99109E-4</v>
      </c>
      <c r="H1290" s="683">
        <v>3.80822E-4</v>
      </c>
      <c r="I1290" s="684">
        <v>8.57899E-4</v>
      </c>
      <c r="K1290" s="693" t="s">
        <v>60</v>
      </c>
      <c r="L1290" s="694" t="s">
        <v>258</v>
      </c>
      <c r="M1290" s="694" t="s">
        <v>915</v>
      </c>
      <c r="N1290" s="694" t="s">
        <v>923</v>
      </c>
      <c r="O1290" s="694">
        <v>2021.0</v>
      </c>
      <c r="P1290" s="694" t="s">
        <v>919</v>
      </c>
      <c r="Q1290" s="695" t="s">
        <v>112</v>
      </c>
      <c r="R1290" s="696">
        <v>0.0</v>
      </c>
      <c r="S1290" s="696">
        <v>0.0</v>
      </c>
      <c r="T1290" s="697">
        <v>0.0</v>
      </c>
      <c r="AB1290" s="722"/>
    </row>
    <row r="1291">
      <c r="A1291" s="351"/>
      <c r="B1291" s="681" t="s">
        <v>30</v>
      </c>
      <c r="C1291" s="682" t="s">
        <v>915</v>
      </c>
      <c r="D1291" s="682" t="s">
        <v>926</v>
      </c>
      <c r="E1291" s="682" t="s">
        <v>179</v>
      </c>
      <c r="F1291" s="682">
        <v>2021.0</v>
      </c>
      <c r="G1291" s="683">
        <v>0.004321809</v>
      </c>
      <c r="H1291" s="683">
        <v>0.002481308</v>
      </c>
      <c r="I1291" s="684">
        <v>0.006569287</v>
      </c>
      <c r="K1291" s="693" t="s">
        <v>60</v>
      </c>
      <c r="L1291" s="694" t="s">
        <v>258</v>
      </c>
      <c r="M1291" s="694" t="s">
        <v>915</v>
      </c>
      <c r="N1291" s="694" t="s">
        <v>925</v>
      </c>
      <c r="O1291" s="694">
        <v>2021.0</v>
      </c>
      <c r="P1291" s="694" t="s">
        <v>919</v>
      </c>
      <c r="Q1291" s="695" t="s">
        <v>112</v>
      </c>
      <c r="R1291" s="696">
        <v>0.0</v>
      </c>
      <c r="S1291" s="696">
        <v>0.0</v>
      </c>
      <c r="T1291" s="697">
        <v>0.0</v>
      </c>
      <c r="AB1291" s="722"/>
    </row>
    <row r="1292">
      <c r="A1292" s="351"/>
      <c r="B1292" s="681" t="s">
        <v>31</v>
      </c>
      <c r="C1292" s="682" t="s">
        <v>915</v>
      </c>
      <c r="D1292" s="682" t="s">
        <v>916</v>
      </c>
      <c r="E1292" s="682" t="s">
        <v>179</v>
      </c>
      <c r="F1292" s="682">
        <v>2021.0</v>
      </c>
      <c r="G1292" s="683">
        <v>0.002843472</v>
      </c>
      <c r="H1292" s="683">
        <v>0.001551337</v>
      </c>
      <c r="I1292" s="684">
        <v>0.004634668</v>
      </c>
      <c r="K1292" s="693" t="s">
        <v>60</v>
      </c>
      <c r="L1292" s="694" t="s">
        <v>258</v>
      </c>
      <c r="M1292" s="694" t="s">
        <v>915</v>
      </c>
      <c r="N1292" s="694" t="s">
        <v>927</v>
      </c>
      <c r="O1292" s="694">
        <v>2021.0</v>
      </c>
      <c r="P1292" s="694" t="s">
        <v>919</v>
      </c>
      <c r="Q1292" s="695" t="s">
        <v>112</v>
      </c>
      <c r="R1292" s="696">
        <v>10.67714035</v>
      </c>
      <c r="S1292" s="696">
        <v>0.375334373</v>
      </c>
      <c r="T1292" s="697">
        <v>49.87718206</v>
      </c>
      <c r="AB1292" s="722"/>
    </row>
    <row r="1293">
      <c r="A1293" s="351"/>
      <c r="B1293" s="681" t="s">
        <v>31</v>
      </c>
      <c r="C1293" s="682" t="s">
        <v>915</v>
      </c>
      <c r="D1293" s="682" t="s">
        <v>922</v>
      </c>
      <c r="E1293" s="682" t="s">
        <v>179</v>
      </c>
      <c r="F1293" s="682">
        <v>2021.0</v>
      </c>
      <c r="G1293" s="683">
        <v>0.017468647</v>
      </c>
      <c r="H1293" s="683">
        <v>0.010080735</v>
      </c>
      <c r="I1293" s="684">
        <v>0.027213023</v>
      </c>
      <c r="K1293" s="693" t="s">
        <v>60</v>
      </c>
      <c r="L1293" s="694" t="s">
        <v>258</v>
      </c>
      <c r="M1293" s="694" t="s">
        <v>915</v>
      </c>
      <c r="N1293" s="694" t="s">
        <v>926</v>
      </c>
      <c r="O1293" s="694">
        <v>2021.0</v>
      </c>
      <c r="P1293" s="694" t="s">
        <v>919</v>
      </c>
      <c r="Q1293" s="695" t="s">
        <v>112</v>
      </c>
      <c r="R1293" s="696">
        <v>31.70792364</v>
      </c>
      <c r="S1293" s="696">
        <v>1.180839463</v>
      </c>
      <c r="T1293" s="697">
        <v>144.5114761</v>
      </c>
      <c r="AB1293" s="722"/>
    </row>
    <row r="1294">
      <c r="A1294" s="351"/>
      <c r="B1294" s="681" t="s">
        <v>31</v>
      </c>
      <c r="C1294" s="682" t="s">
        <v>915</v>
      </c>
      <c r="D1294" s="682" t="s">
        <v>924</v>
      </c>
      <c r="E1294" s="682" t="s">
        <v>179</v>
      </c>
      <c r="F1294" s="682">
        <v>2021.0</v>
      </c>
      <c r="G1294" s="683">
        <v>1.39527E-4</v>
      </c>
      <c r="H1294" s="683">
        <v>7.3E-5</v>
      </c>
      <c r="I1294" s="684">
        <v>2.484E-4</v>
      </c>
      <c r="K1294" s="693" t="s">
        <v>61</v>
      </c>
      <c r="L1294" s="694" t="s">
        <v>258</v>
      </c>
      <c r="M1294" s="694" t="s">
        <v>915</v>
      </c>
      <c r="N1294" s="694" t="s">
        <v>918</v>
      </c>
      <c r="O1294" s="694">
        <v>2021.0</v>
      </c>
      <c r="P1294" s="694" t="s">
        <v>919</v>
      </c>
      <c r="Q1294" s="695" t="s">
        <v>112</v>
      </c>
      <c r="R1294" s="696">
        <v>12.11451765</v>
      </c>
      <c r="S1294" s="696">
        <v>0.318290624</v>
      </c>
      <c r="T1294" s="697">
        <v>52.74045547</v>
      </c>
      <c r="AB1294" s="722"/>
    </row>
    <row r="1295">
      <c r="A1295" s="351"/>
      <c r="B1295" s="681" t="s">
        <v>31</v>
      </c>
      <c r="C1295" s="682" t="s">
        <v>915</v>
      </c>
      <c r="D1295" s="682" t="s">
        <v>926</v>
      </c>
      <c r="E1295" s="682" t="s">
        <v>179</v>
      </c>
      <c r="F1295" s="682">
        <v>2021.0</v>
      </c>
      <c r="G1295" s="683">
        <v>8.76042E-4</v>
      </c>
      <c r="H1295" s="683">
        <v>4.72801E-4</v>
      </c>
      <c r="I1295" s="684">
        <v>0.001626739</v>
      </c>
      <c r="K1295" s="693" t="s">
        <v>61</v>
      </c>
      <c r="L1295" s="694" t="s">
        <v>258</v>
      </c>
      <c r="M1295" s="694" t="s">
        <v>915</v>
      </c>
      <c r="N1295" s="694" t="s">
        <v>923</v>
      </c>
      <c r="O1295" s="694">
        <v>2021.0</v>
      </c>
      <c r="P1295" s="694" t="s">
        <v>919</v>
      </c>
      <c r="Q1295" s="695" t="s">
        <v>112</v>
      </c>
      <c r="R1295" s="696">
        <v>0.0</v>
      </c>
      <c r="S1295" s="696">
        <v>0.0</v>
      </c>
      <c r="T1295" s="697">
        <v>0.0</v>
      </c>
      <c r="AB1295" s="722"/>
    </row>
    <row r="1296">
      <c r="A1296" s="351"/>
      <c r="B1296" s="681" t="s">
        <v>32</v>
      </c>
      <c r="C1296" s="682" t="s">
        <v>915</v>
      </c>
      <c r="D1296" s="682" t="s">
        <v>916</v>
      </c>
      <c r="E1296" s="682" t="s">
        <v>179</v>
      </c>
      <c r="F1296" s="682">
        <v>2021.0</v>
      </c>
      <c r="G1296" s="683">
        <v>0.003815045</v>
      </c>
      <c r="H1296" s="683">
        <v>0.002013335</v>
      </c>
      <c r="I1296" s="684">
        <v>0.006495354</v>
      </c>
      <c r="K1296" s="693" t="s">
        <v>61</v>
      </c>
      <c r="L1296" s="694" t="s">
        <v>258</v>
      </c>
      <c r="M1296" s="694" t="s">
        <v>915</v>
      </c>
      <c r="N1296" s="694" t="s">
        <v>925</v>
      </c>
      <c r="O1296" s="694">
        <v>2021.0</v>
      </c>
      <c r="P1296" s="694" t="s">
        <v>919</v>
      </c>
      <c r="Q1296" s="695" t="s">
        <v>112</v>
      </c>
      <c r="R1296" s="696">
        <v>0.0</v>
      </c>
      <c r="S1296" s="696">
        <v>0.0</v>
      </c>
      <c r="T1296" s="697">
        <v>0.0</v>
      </c>
      <c r="AB1296" s="722"/>
    </row>
    <row r="1297">
      <c r="A1297" s="351"/>
      <c r="B1297" s="681" t="s">
        <v>32</v>
      </c>
      <c r="C1297" s="682" t="s">
        <v>915</v>
      </c>
      <c r="D1297" s="682" t="s">
        <v>922</v>
      </c>
      <c r="E1297" s="682" t="s">
        <v>179</v>
      </c>
      <c r="F1297" s="682">
        <v>2021.0</v>
      </c>
      <c r="G1297" s="683">
        <v>0.024547523</v>
      </c>
      <c r="H1297" s="683">
        <v>0.014722962</v>
      </c>
      <c r="I1297" s="684">
        <v>0.03949377</v>
      </c>
      <c r="K1297" s="693" t="s">
        <v>61</v>
      </c>
      <c r="L1297" s="694" t="s">
        <v>258</v>
      </c>
      <c r="M1297" s="694" t="s">
        <v>915</v>
      </c>
      <c r="N1297" s="694" t="s">
        <v>927</v>
      </c>
      <c r="O1297" s="694">
        <v>2021.0</v>
      </c>
      <c r="P1297" s="694" t="s">
        <v>919</v>
      </c>
      <c r="Q1297" s="695" t="s">
        <v>112</v>
      </c>
      <c r="R1297" s="696">
        <v>8.796109199</v>
      </c>
      <c r="S1297" s="696">
        <v>0.224701809</v>
      </c>
      <c r="T1297" s="697">
        <v>40.64315153</v>
      </c>
      <c r="AB1297" s="722"/>
    </row>
    <row r="1298">
      <c r="A1298" s="351"/>
      <c r="B1298" s="681" t="s">
        <v>32</v>
      </c>
      <c r="C1298" s="682" t="s">
        <v>915</v>
      </c>
      <c r="D1298" s="682" t="s">
        <v>924</v>
      </c>
      <c r="E1298" s="682" t="s">
        <v>179</v>
      </c>
      <c r="F1298" s="682">
        <v>2021.0</v>
      </c>
      <c r="G1298" s="683">
        <v>2.83003E-4</v>
      </c>
      <c r="H1298" s="683">
        <v>1.58306E-4</v>
      </c>
      <c r="I1298" s="684">
        <v>4.77719E-4</v>
      </c>
      <c r="K1298" s="693" t="s">
        <v>61</v>
      </c>
      <c r="L1298" s="694" t="s">
        <v>258</v>
      </c>
      <c r="M1298" s="694" t="s">
        <v>915</v>
      </c>
      <c r="N1298" s="694" t="s">
        <v>926</v>
      </c>
      <c r="O1298" s="694">
        <v>2021.0</v>
      </c>
      <c r="P1298" s="694" t="s">
        <v>919</v>
      </c>
      <c r="Q1298" s="695" t="s">
        <v>112</v>
      </c>
      <c r="R1298" s="696">
        <v>20.91062685</v>
      </c>
      <c r="S1298" s="696">
        <v>0.547851827</v>
      </c>
      <c r="T1298" s="697">
        <v>92.30091588</v>
      </c>
      <c r="AB1298" s="722"/>
    </row>
    <row r="1299">
      <c r="A1299" s="351"/>
      <c r="B1299" s="681" t="s">
        <v>32</v>
      </c>
      <c r="C1299" s="682" t="s">
        <v>915</v>
      </c>
      <c r="D1299" s="682" t="s">
        <v>926</v>
      </c>
      <c r="E1299" s="682" t="s">
        <v>179</v>
      </c>
      <c r="F1299" s="682">
        <v>2021.0</v>
      </c>
      <c r="G1299" s="683">
        <v>0.001723095</v>
      </c>
      <c r="H1299" s="683">
        <v>8.62917E-4</v>
      </c>
      <c r="I1299" s="684">
        <v>0.003056907</v>
      </c>
      <c r="K1299" s="693" t="s">
        <v>63</v>
      </c>
      <c r="L1299" s="694" t="s">
        <v>258</v>
      </c>
      <c r="M1299" s="694" t="s">
        <v>915</v>
      </c>
      <c r="N1299" s="694" t="s">
        <v>918</v>
      </c>
      <c r="O1299" s="694">
        <v>2021.0</v>
      </c>
      <c r="P1299" s="694" t="s">
        <v>919</v>
      </c>
      <c r="Q1299" s="695" t="s">
        <v>112</v>
      </c>
      <c r="R1299" s="696">
        <v>42.22460743</v>
      </c>
      <c r="S1299" s="696">
        <v>1.256836586</v>
      </c>
      <c r="T1299" s="697">
        <v>200.3061614</v>
      </c>
      <c r="AB1299" s="722"/>
    </row>
    <row r="1300">
      <c r="A1300" s="351"/>
      <c r="B1300" s="681" t="s">
        <v>33</v>
      </c>
      <c r="C1300" s="682" t="s">
        <v>915</v>
      </c>
      <c r="D1300" s="682" t="s">
        <v>916</v>
      </c>
      <c r="E1300" s="682" t="s">
        <v>179</v>
      </c>
      <c r="F1300" s="682">
        <v>2021.0</v>
      </c>
      <c r="G1300" s="683">
        <v>0.006867301</v>
      </c>
      <c r="H1300" s="683">
        <v>0.004176777</v>
      </c>
      <c r="I1300" s="684">
        <v>0.009862058</v>
      </c>
      <c r="K1300" s="693" t="s">
        <v>63</v>
      </c>
      <c r="L1300" s="694" t="s">
        <v>258</v>
      </c>
      <c r="M1300" s="694" t="s">
        <v>915</v>
      </c>
      <c r="N1300" s="694" t="s">
        <v>923</v>
      </c>
      <c r="O1300" s="694">
        <v>2021.0</v>
      </c>
      <c r="P1300" s="694" t="s">
        <v>919</v>
      </c>
      <c r="Q1300" s="695" t="s">
        <v>112</v>
      </c>
      <c r="R1300" s="696">
        <v>0.0</v>
      </c>
      <c r="S1300" s="696">
        <v>0.0</v>
      </c>
      <c r="T1300" s="697">
        <v>0.0</v>
      </c>
      <c r="AB1300" s="722"/>
    </row>
    <row r="1301">
      <c r="A1301" s="351"/>
      <c r="B1301" s="681" t="s">
        <v>33</v>
      </c>
      <c r="C1301" s="682" t="s">
        <v>915</v>
      </c>
      <c r="D1301" s="682" t="s">
        <v>922</v>
      </c>
      <c r="E1301" s="682" t="s">
        <v>179</v>
      </c>
      <c r="F1301" s="682">
        <v>2021.0</v>
      </c>
      <c r="G1301" s="683">
        <v>0.043092487</v>
      </c>
      <c r="H1301" s="683">
        <v>0.02722336</v>
      </c>
      <c r="I1301" s="684">
        <v>0.060436938</v>
      </c>
      <c r="K1301" s="693" t="s">
        <v>63</v>
      </c>
      <c r="L1301" s="694" t="s">
        <v>258</v>
      </c>
      <c r="M1301" s="694" t="s">
        <v>915</v>
      </c>
      <c r="N1301" s="694" t="s">
        <v>925</v>
      </c>
      <c r="O1301" s="694">
        <v>2021.0</v>
      </c>
      <c r="P1301" s="694" t="s">
        <v>919</v>
      </c>
      <c r="Q1301" s="695" t="s">
        <v>112</v>
      </c>
      <c r="R1301" s="696">
        <v>0.0</v>
      </c>
      <c r="S1301" s="696">
        <v>0.0</v>
      </c>
      <c r="T1301" s="697">
        <v>0.0</v>
      </c>
      <c r="AB1301" s="722"/>
    </row>
    <row r="1302">
      <c r="A1302" s="351"/>
      <c r="B1302" s="681" t="s">
        <v>33</v>
      </c>
      <c r="C1302" s="682" t="s">
        <v>915</v>
      </c>
      <c r="D1302" s="682" t="s">
        <v>924</v>
      </c>
      <c r="E1302" s="682" t="s">
        <v>179</v>
      </c>
      <c r="F1302" s="682">
        <v>2021.0</v>
      </c>
      <c r="G1302" s="683">
        <v>4.11465E-4</v>
      </c>
      <c r="H1302" s="683">
        <v>2.54212E-4</v>
      </c>
      <c r="I1302" s="684">
        <v>6.05345E-4</v>
      </c>
      <c r="K1302" s="693" t="s">
        <v>63</v>
      </c>
      <c r="L1302" s="694" t="s">
        <v>258</v>
      </c>
      <c r="M1302" s="694" t="s">
        <v>915</v>
      </c>
      <c r="N1302" s="694" t="s">
        <v>927</v>
      </c>
      <c r="O1302" s="694">
        <v>2021.0</v>
      </c>
      <c r="P1302" s="694" t="s">
        <v>919</v>
      </c>
      <c r="Q1302" s="695" t="s">
        <v>112</v>
      </c>
      <c r="R1302" s="696">
        <v>25.89045487</v>
      </c>
      <c r="S1302" s="696">
        <v>0.807617868</v>
      </c>
      <c r="T1302" s="697">
        <v>127.0944243</v>
      </c>
      <c r="AB1302" s="722"/>
    </row>
    <row r="1303">
      <c r="A1303" s="351"/>
      <c r="B1303" s="681" t="s">
        <v>33</v>
      </c>
      <c r="C1303" s="682" t="s">
        <v>915</v>
      </c>
      <c r="D1303" s="682" t="s">
        <v>926</v>
      </c>
      <c r="E1303" s="682" t="s">
        <v>179</v>
      </c>
      <c r="F1303" s="682">
        <v>2021.0</v>
      </c>
      <c r="G1303" s="683">
        <v>0.002687563</v>
      </c>
      <c r="H1303" s="683">
        <v>0.001454842</v>
      </c>
      <c r="I1303" s="684">
        <v>0.00406812</v>
      </c>
      <c r="K1303" s="693" t="s">
        <v>63</v>
      </c>
      <c r="L1303" s="694" t="s">
        <v>258</v>
      </c>
      <c r="M1303" s="694" t="s">
        <v>915</v>
      </c>
      <c r="N1303" s="694" t="s">
        <v>926</v>
      </c>
      <c r="O1303" s="694">
        <v>2021.0</v>
      </c>
      <c r="P1303" s="694" t="s">
        <v>919</v>
      </c>
      <c r="Q1303" s="695" t="s">
        <v>112</v>
      </c>
      <c r="R1303" s="696">
        <v>68.1150623</v>
      </c>
      <c r="S1303" s="696">
        <v>2.089746877</v>
      </c>
      <c r="T1303" s="697">
        <v>323.1533817</v>
      </c>
      <c r="AB1303" s="722"/>
    </row>
    <row r="1304">
      <c r="A1304" s="351"/>
      <c r="B1304" s="681" t="s">
        <v>34</v>
      </c>
      <c r="C1304" s="682" t="s">
        <v>915</v>
      </c>
      <c r="D1304" s="682" t="s">
        <v>916</v>
      </c>
      <c r="E1304" s="682" t="s">
        <v>179</v>
      </c>
      <c r="F1304" s="682">
        <v>2021.0</v>
      </c>
      <c r="G1304" s="683">
        <v>0.007345394</v>
      </c>
      <c r="H1304" s="683">
        <v>0.004525755</v>
      </c>
      <c r="I1304" s="684">
        <v>0.01049085</v>
      </c>
      <c r="K1304" s="693" t="s">
        <v>64</v>
      </c>
      <c r="L1304" s="694" t="s">
        <v>258</v>
      </c>
      <c r="M1304" s="694" t="s">
        <v>915</v>
      </c>
      <c r="N1304" s="694" t="s">
        <v>918</v>
      </c>
      <c r="O1304" s="694">
        <v>2021.0</v>
      </c>
      <c r="P1304" s="694" t="s">
        <v>919</v>
      </c>
      <c r="Q1304" s="695" t="s">
        <v>112</v>
      </c>
      <c r="R1304" s="696">
        <v>90.73321482</v>
      </c>
      <c r="S1304" s="696">
        <v>3.516261135</v>
      </c>
      <c r="T1304" s="697">
        <v>405.932908</v>
      </c>
      <c r="AB1304" s="722"/>
    </row>
    <row r="1305">
      <c r="A1305" s="351"/>
      <c r="B1305" s="681" t="s">
        <v>34</v>
      </c>
      <c r="C1305" s="682" t="s">
        <v>915</v>
      </c>
      <c r="D1305" s="682" t="s">
        <v>922</v>
      </c>
      <c r="E1305" s="682" t="s">
        <v>179</v>
      </c>
      <c r="F1305" s="682">
        <v>2021.0</v>
      </c>
      <c r="G1305" s="683">
        <v>0.052878712</v>
      </c>
      <c r="H1305" s="683">
        <v>0.036489827</v>
      </c>
      <c r="I1305" s="684">
        <v>0.073243436</v>
      </c>
      <c r="K1305" s="693" t="s">
        <v>64</v>
      </c>
      <c r="L1305" s="694" t="s">
        <v>258</v>
      </c>
      <c r="M1305" s="694" t="s">
        <v>915</v>
      </c>
      <c r="N1305" s="694" t="s">
        <v>923</v>
      </c>
      <c r="O1305" s="694">
        <v>2021.0</v>
      </c>
      <c r="P1305" s="694" t="s">
        <v>919</v>
      </c>
      <c r="Q1305" s="695" t="s">
        <v>112</v>
      </c>
      <c r="R1305" s="696">
        <v>0.0</v>
      </c>
      <c r="S1305" s="696">
        <v>0.0</v>
      </c>
      <c r="T1305" s="697">
        <v>0.0</v>
      </c>
      <c r="AB1305" s="722"/>
    </row>
    <row r="1306">
      <c r="A1306" s="351"/>
      <c r="B1306" s="681" t="s">
        <v>34</v>
      </c>
      <c r="C1306" s="682" t="s">
        <v>915</v>
      </c>
      <c r="D1306" s="682" t="s">
        <v>924</v>
      </c>
      <c r="E1306" s="682" t="s">
        <v>179</v>
      </c>
      <c r="F1306" s="682">
        <v>2021.0</v>
      </c>
      <c r="G1306" s="683">
        <v>4.46374E-4</v>
      </c>
      <c r="H1306" s="683">
        <v>2.87186E-4</v>
      </c>
      <c r="I1306" s="684">
        <v>6.44506E-4</v>
      </c>
      <c r="K1306" s="693" t="s">
        <v>64</v>
      </c>
      <c r="L1306" s="694" t="s">
        <v>258</v>
      </c>
      <c r="M1306" s="694" t="s">
        <v>915</v>
      </c>
      <c r="N1306" s="694" t="s">
        <v>925</v>
      </c>
      <c r="O1306" s="694">
        <v>2021.0</v>
      </c>
      <c r="P1306" s="694" t="s">
        <v>919</v>
      </c>
      <c r="Q1306" s="695" t="s">
        <v>112</v>
      </c>
      <c r="R1306" s="696">
        <v>0.0</v>
      </c>
      <c r="S1306" s="696">
        <v>0.0</v>
      </c>
      <c r="T1306" s="697">
        <v>0.0</v>
      </c>
      <c r="AB1306" s="722"/>
    </row>
    <row r="1307">
      <c r="A1307" s="351"/>
      <c r="B1307" s="681" t="s">
        <v>34</v>
      </c>
      <c r="C1307" s="682" t="s">
        <v>915</v>
      </c>
      <c r="D1307" s="682" t="s">
        <v>926</v>
      </c>
      <c r="E1307" s="682" t="s">
        <v>179</v>
      </c>
      <c r="F1307" s="682">
        <v>2021.0</v>
      </c>
      <c r="G1307" s="683">
        <v>0.002755632</v>
      </c>
      <c r="H1307" s="683">
        <v>0.001676152</v>
      </c>
      <c r="I1307" s="684">
        <v>0.004211848</v>
      </c>
      <c r="K1307" s="693" t="s">
        <v>64</v>
      </c>
      <c r="L1307" s="694" t="s">
        <v>258</v>
      </c>
      <c r="M1307" s="694" t="s">
        <v>915</v>
      </c>
      <c r="N1307" s="694" t="s">
        <v>927</v>
      </c>
      <c r="O1307" s="694">
        <v>2021.0</v>
      </c>
      <c r="P1307" s="694" t="s">
        <v>919</v>
      </c>
      <c r="Q1307" s="695" t="s">
        <v>112</v>
      </c>
      <c r="R1307" s="696">
        <v>69.51014856</v>
      </c>
      <c r="S1307" s="696">
        <v>3.04856271</v>
      </c>
      <c r="T1307" s="697">
        <v>331.9812354</v>
      </c>
      <c r="AB1307" s="722"/>
    </row>
    <row r="1308">
      <c r="A1308" s="351"/>
      <c r="B1308" s="681" t="s">
        <v>54</v>
      </c>
      <c r="C1308" s="682" t="s">
        <v>915</v>
      </c>
      <c r="D1308" s="682" t="s">
        <v>916</v>
      </c>
      <c r="E1308" s="682" t="s">
        <v>179</v>
      </c>
      <c r="F1308" s="682">
        <v>2021.0</v>
      </c>
      <c r="G1308" s="683">
        <v>0.002003066</v>
      </c>
      <c r="H1308" s="683">
        <v>0.001029711</v>
      </c>
      <c r="I1308" s="684">
        <v>0.003650542</v>
      </c>
      <c r="K1308" s="693" t="s">
        <v>64</v>
      </c>
      <c r="L1308" s="694" t="s">
        <v>258</v>
      </c>
      <c r="M1308" s="694" t="s">
        <v>915</v>
      </c>
      <c r="N1308" s="694" t="s">
        <v>926</v>
      </c>
      <c r="O1308" s="694">
        <v>2021.0</v>
      </c>
      <c r="P1308" s="694" t="s">
        <v>919</v>
      </c>
      <c r="Q1308" s="695" t="s">
        <v>112</v>
      </c>
      <c r="R1308" s="696">
        <v>160.2433634</v>
      </c>
      <c r="S1308" s="696">
        <v>6.832422286</v>
      </c>
      <c r="T1308" s="697">
        <v>728.8332061</v>
      </c>
      <c r="AB1308" s="722"/>
    </row>
    <row r="1309">
      <c r="A1309" s="351"/>
      <c r="B1309" s="681" t="s">
        <v>54</v>
      </c>
      <c r="C1309" s="682" t="s">
        <v>915</v>
      </c>
      <c r="D1309" s="682" t="s">
        <v>922</v>
      </c>
      <c r="E1309" s="682" t="s">
        <v>179</v>
      </c>
      <c r="F1309" s="682">
        <v>2021.0</v>
      </c>
      <c r="G1309" s="683">
        <v>0.015085468</v>
      </c>
      <c r="H1309" s="683">
        <v>0.009684485</v>
      </c>
      <c r="I1309" s="684">
        <v>0.023166631</v>
      </c>
      <c r="K1309" s="693" t="s">
        <v>65</v>
      </c>
      <c r="L1309" s="694" t="s">
        <v>258</v>
      </c>
      <c r="M1309" s="694" t="s">
        <v>915</v>
      </c>
      <c r="N1309" s="694" t="s">
        <v>918</v>
      </c>
      <c r="O1309" s="694">
        <v>2021.0</v>
      </c>
      <c r="P1309" s="694" t="s">
        <v>919</v>
      </c>
      <c r="Q1309" s="695" t="s">
        <v>112</v>
      </c>
      <c r="R1309" s="696">
        <v>20.83877824</v>
      </c>
      <c r="S1309" s="696">
        <v>0.659196651</v>
      </c>
      <c r="T1309" s="697">
        <v>88.65793734</v>
      </c>
      <c r="AB1309" s="722"/>
    </row>
    <row r="1310">
      <c r="A1310" s="351"/>
      <c r="B1310" s="681" t="s">
        <v>54</v>
      </c>
      <c r="C1310" s="682" t="s">
        <v>915</v>
      </c>
      <c r="D1310" s="682" t="s">
        <v>924</v>
      </c>
      <c r="E1310" s="682" t="s">
        <v>179</v>
      </c>
      <c r="F1310" s="682">
        <v>2021.0</v>
      </c>
      <c r="G1310" s="683">
        <v>5.79E-5</v>
      </c>
      <c r="H1310" s="683">
        <v>2.81E-5</v>
      </c>
      <c r="I1310" s="684">
        <v>1.14894E-4</v>
      </c>
      <c r="K1310" s="693" t="s">
        <v>65</v>
      </c>
      <c r="L1310" s="694" t="s">
        <v>258</v>
      </c>
      <c r="M1310" s="694" t="s">
        <v>915</v>
      </c>
      <c r="N1310" s="694" t="s">
        <v>923</v>
      </c>
      <c r="O1310" s="694">
        <v>2021.0</v>
      </c>
      <c r="P1310" s="694" t="s">
        <v>919</v>
      </c>
      <c r="Q1310" s="695" t="s">
        <v>112</v>
      </c>
      <c r="R1310" s="696">
        <v>0.0</v>
      </c>
      <c r="S1310" s="696">
        <v>0.0</v>
      </c>
      <c r="T1310" s="697">
        <v>0.0</v>
      </c>
      <c r="AB1310" s="722"/>
    </row>
    <row r="1311">
      <c r="A1311" s="351"/>
      <c r="B1311" s="681" t="s">
        <v>54</v>
      </c>
      <c r="C1311" s="682" t="s">
        <v>915</v>
      </c>
      <c r="D1311" s="682" t="s">
        <v>926</v>
      </c>
      <c r="E1311" s="682" t="s">
        <v>179</v>
      </c>
      <c r="F1311" s="682">
        <v>2021.0</v>
      </c>
      <c r="G1311" s="683">
        <v>2.43976E-4</v>
      </c>
      <c r="H1311" s="683">
        <v>1.06651E-4</v>
      </c>
      <c r="I1311" s="684">
        <v>5.28088E-4</v>
      </c>
      <c r="K1311" s="693" t="s">
        <v>65</v>
      </c>
      <c r="L1311" s="694" t="s">
        <v>258</v>
      </c>
      <c r="M1311" s="694" t="s">
        <v>915</v>
      </c>
      <c r="N1311" s="694" t="s">
        <v>925</v>
      </c>
      <c r="O1311" s="694">
        <v>2021.0</v>
      </c>
      <c r="P1311" s="694" t="s">
        <v>919</v>
      </c>
      <c r="Q1311" s="695" t="s">
        <v>112</v>
      </c>
      <c r="R1311" s="696">
        <v>0.0</v>
      </c>
      <c r="S1311" s="696">
        <v>0.0</v>
      </c>
      <c r="T1311" s="697">
        <v>0.0</v>
      </c>
      <c r="AB1311" s="722"/>
    </row>
    <row r="1312">
      <c r="A1312" s="351"/>
      <c r="B1312" s="681" t="s">
        <v>55</v>
      </c>
      <c r="C1312" s="682" t="s">
        <v>915</v>
      </c>
      <c r="D1312" s="682" t="s">
        <v>916</v>
      </c>
      <c r="E1312" s="682" t="s">
        <v>179</v>
      </c>
      <c r="F1312" s="682">
        <v>2021.0</v>
      </c>
      <c r="G1312" s="683">
        <v>0.002403157</v>
      </c>
      <c r="H1312" s="683">
        <v>0.001302568</v>
      </c>
      <c r="I1312" s="684">
        <v>0.004256816</v>
      </c>
      <c r="K1312" s="693" t="s">
        <v>65</v>
      </c>
      <c r="L1312" s="694" t="s">
        <v>258</v>
      </c>
      <c r="M1312" s="694" t="s">
        <v>915</v>
      </c>
      <c r="N1312" s="694" t="s">
        <v>927</v>
      </c>
      <c r="O1312" s="694">
        <v>2021.0</v>
      </c>
      <c r="P1312" s="694" t="s">
        <v>919</v>
      </c>
      <c r="Q1312" s="695" t="s">
        <v>112</v>
      </c>
      <c r="R1312" s="696">
        <v>13.6339952</v>
      </c>
      <c r="S1312" s="696">
        <v>0.406681538</v>
      </c>
      <c r="T1312" s="697">
        <v>58.91857088</v>
      </c>
      <c r="AB1312" s="722"/>
    </row>
    <row r="1313">
      <c r="A1313" s="351"/>
      <c r="B1313" s="681" t="s">
        <v>55</v>
      </c>
      <c r="C1313" s="682" t="s">
        <v>915</v>
      </c>
      <c r="D1313" s="682" t="s">
        <v>922</v>
      </c>
      <c r="E1313" s="682" t="s">
        <v>179</v>
      </c>
      <c r="F1313" s="682">
        <v>2021.0</v>
      </c>
      <c r="G1313" s="683">
        <v>0.013966852</v>
      </c>
      <c r="H1313" s="683">
        <v>0.009001421</v>
      </c>
      <c r="I1313" s="684">
        <v>0.021675256</v>
      </c>
      <c r="K1313" s="693" t="s">
        <v>65</v>
      </c>
      <c r="L1313" s="694" t="s">
        <v>258</v>
      </c>
      <c r="M1313" s="694" t="s">
        <v>915</v>
      </c>
      <c r="N1313" s="694" t="s">
        <v>926</v>
      </c>
      <c r="O1313" s="694">
        <v>2021.0</v>
      </c>
      <c r="P1313" s="694" t="s">
        <v>919</v>
      </c>
      <c r="Q1313" s="695" t="s">
        <v>112</v>
      </c>
      <c r="R1313" s="696">
        <v>34.47277344</v>
      </c>
      <c r="S1313" s="696">
        <v>1.042991913</v>
      </c>
      <c r="T1313" s="697">
        <v>144.8086412</v>
      </c>
      <c r="AB1313" s="722"/>
    </row>
    <row r="1314">
      <c r="A1314" s="351"/>
      <c r="B1314" s="681" t="s">
        <v>55</v>
      </c>
      <c r="C1314" s="682" t="s">
        <v>915</v>
      </c>
      <c r="D1314" s="682" t="s">
        <v>924</v>
      </c>
      <c r="E1314" s="682" t="s">
        <v>179</v>
      </c>
      <c r="F1314" s="682">
        <v>2021.0</v>
      </c>
      <c r="G1314" s="683">
        <v>5.45E-5</v>
      </c>
      <c r="H1314" s="683">
        <v>2.68E-5</v>
      </c>
      <c r="I1314" s="684">
        <v>1.08239E-4</v>
      </c>
      <c r="K1314" s="693" t="s">
        <v>35</v>
      </c>
      <c r="L1314" s="694" t="s">
        <v>258</v>
      </c>
      <c r="M1314" s="694" t="s">
        <v>915</v>
      </c>
      <c r="N1314" s="694" t="s">
        <v>918</v>
      </c>
      <c r="O1314" s="694">
        <v>2021.0</v>
      </c>
      <c r="P1314" s="694" t="s">
        <v>919</v>
      </c>
      <c r="Q1314" s="695" t="s">
        <v>112</v>
      </c>
      <c r="R1314" s="696">
        <v>441.1647078</v>
      </c>
      <c r="S1314" s="696">
        <v>17.84847555</v>
      </c>
      <c r="T1314" s="697">
        <v>1777.753868</v>
      </c>
      <c r="AB1314" s="722"/>
    </row>
    <row r="1315">
      <c r="A1315" s="351"/>
      <c r="B1315" s="681" t="s">
        <v>55</v>
      </c>
      <c r="C1315" s="682" t="s">
        <v>915</v>
      </c>
      <c r="D1315" s="682" t="s">
        <v>926</v>
      </c>
      <c r="E1315" s="682" t="s">
        <v>179</v>
      </c>
      <c r="F1315" s="682">
        <v>2021.0</v>
      </c>
      <c r="G1315" s="683">
        <v>1.89327E-4</v>
      </c>
      <c r="H1315" s="683">
        <v>8.0E-5</v>
      </c>
      <c r="I1315" s="684">
        <v>4.33728E-4</v>
      </c>
      <c r="K1315" s="693" t="s">
        <v>35</v>
      </c>
      <c r="L1315" s="694" t="s">
        <v>258</v>
      </c>
      <c r="M1315" s="694" t="s">
        <v>915</v>
      </c>
      <c r="N1315" s="694" t="s">
        <v>923</v>
      </c>
      <c r="O1315" s="694">
        <v>2021.0</v>
      </c>
      <c r="P1315" s="694" t="s">
        <v>919</v>
      </c>
      <c r="Q1315" s="695" t="s">
        <v>112</v>
      </c>
      <c r="R1315" s="696">
        <v>0.0</v>
      </c>
      <c r="S1315" s="696">
        <v>0.0</v>
      </c>
      <c r="T1315" s="697">
        <v>0.0</v>
      </c>
      <c r="AB1315" s="722"/>
    </row>
    <row r="1316">
      <c r="A1316" s="351"/>
      <c r="B1316" s="681" t="s">
        <v>56</v>
      </c>
      <c r="C1316" s="682" t="s">
        <v>915</v>
      </c>
      <c r="D1316" s="682" t="s">
        <v>916</v>
      </c>
      <c r="E1316" s="682" t="s">
        <v>179</v>
      </c>
      <c r="F1316" s="682">
        <v>2021.0</v>
      </c>
      <c r="G1316" s="683">
        <v>0.001213453</v>
      </c>
      <c r="H1316" s="683">
        <v>6.4913E-4</v>
      </c>
      <c r="I1316" s="684">
        <v>0.002353109</v>
      </c>
      <c r="K1316" s="693" t="s">
        <v>35</v>
      </c>
      <c r="L1316" s="694" t="s">
        <v>258</v>
      </c>
      <c r="M1316" s="694" t="s">
        <v>915</v>
      </c>
      <c r="N1316" s="694" t="s">
        <v>925</v>
      </c>
      <c r="O1316" s="694">
        <v>2021.0</v>
      </c>
      <c r="P1316" s="694" t="s">
        <v>919</v>
      </c>
      <c r="Q1316" s="695" t="s">
        <v>112</v>
      </c>
      <c r="R1316" s="696">
        <v>0.0</v>
      </c>
      <c r="S1316" s="696">
        <v>0.0</v>
      </c>
      <c r="T1316" s="697">
        <v>0.0</v>
      </c>
      <c r="AB1316" s="722"/>
    </row>
    <row r="1317">
      <c r="A1317" s="351"/>
      <c r="B1317" s="681" t="s">
        <v>56</v>
      </c>
      <c r="C1317" s="682" t="s">
        <v>915</v>
      </c>
      <c r="D1317" s="682" t="s">
        <v>922</v>
      </c>
      <c r="E1317" s="682" t="s">
        <v>179</v>
      </c>
      <c r="F1317" s="682">
        <v>2021.0</v>
      </c>
      <c r="G1317" s="683">
        <v>0.007392705</v>
      </c>
      <c r="H1317" s="683">
        <v>0.004499664</v>
      </c>
      <c r="I1317" s="684">
        <v>0.012527091</v>
      </c>
      <c r="K1317" s="693" t="s">
        <v>35</v>
      </c>
      <c r="L1317" s="694" t="s">
        <v>258</v>
      </c>
      <c r="M1317" s="694" t="s">
        <v>915</v>
      </c>
      <c r="N1317" s="694" t="s">
        <v>927</v>
      </c>
      <c r="O1317" s="694">
        <v>2021.0</v>
      </c>
      <c r="P1317" s="694" t="s">
        <v>919</v>
      </c>
      <c r="Q1317" s="695" t="s">
        <v>112</v>
      </c>
      <c r="R1317" s="696">
        <v>250.6856765</v>
      </c>
      <c r="S1317" s="696">
        <v>10.64880933</v>
      </c>
      <c r="T1317" s="697">
        <v>1039.980967</v>
      </c>
      <c r="AB1317" s="722"/>
    </row>
    <row r="1318">
      <c r="A1318" s="351"/>
      <c r="B1318" s="681" t="s">
        <v>56</v>
      </c>
      <c r="C1318" s="682" t="s">
        <v>915</v>
      </c>
      <c r="D1318" s="682" t="s">
        <v>924</v>
      </c>
      <c r="E1318" s="682" t="s">
        <v>179</v>
      </c>
      <c r="F1318" s="682">
        <v>2021.0</v>
      </c>
      <c r="G1318" s="683">
        <v>4.73E-5</v>
      </c>
      <c r="H1318" s="683">
        <v>2.26E-5</v>
      </c>
      <c r="I1318" s="684">
        <v>1.03727E-4</v>
      </c>
      <c r="K1318" s="693" t="s">
        <v>35</v>
      </c>
      <c r="L1318" s="694" t="s">
        <v>258</v>
      </c>
      <c r="M1318" s="694" t="s">
        <v>915</v>
      </c>
      <c r="N1318" s="694" t="s">
        <v>926</v>
      </c>
      <c r="O1318" s="694">
        <v>2021.0</v>
      </c>
      <c r="P1318" s="694" t="s">
        <v>919</v>
      </c>
      <c r="Q1318" s="695" t="s">
        <v>112</v>
      </c>
      <c r="R1318" s="696">
        <v>691.8503844</v>
      </c>
      <c r="S1318" s="696">
        <v>28.50488723</v>
      </c>
      <c r="T1318" s="697">
        <v>2751.0844</v>
      </c>
      <c r="AB1318" s="722"/>
    </row>
    <row r="1319">
      <c r="A1319" s="351"/>
      <c r="B1319" s="681" t="s">
        <v>56</v>
      </c>
      <c r="C1319" s="682" t="s">
        <v>915</v>
      </c>
      <c r="D1319" s="682" t="s">
        <v>926</v>
      </c>
      <c r="E1319" s="682" t="s">
        <v>179</v>
      </c>
      <c r="F1319" s="682">
        <v>2021.0</v>
      </c>
      <c r="G1319" s="683">
        <v>1.25611E-4</v>
      </c>
      <c r="H1319" s="683">
        <v>5.41E-5</v>
      </c>
      <c r="I1319" s="684">
        <v>2.85599E-4</v>
      </c>
      <c r="K1319" s="693" t="s">
        <v>66</v>
      </c>
      <c r="L1319" s="694" t="s">
        <v>258</v>
      </c>
      <c r="M1319" s="694" t="s">
        <v>915</v>
      </c>
      <c r="N1319" s="694" t="s">
        <v>918</v>
      </c>
      <c r="O1319" s="694">
        <v>2021.0</v>
      </c>
      <c r="P1319" s="694" t="s">
        <v>919</v>
      </c>
      <c r="Q1319" s="695" t="s">
        <v>112</v>
      </c>
      <c r="R1319" s="696">
        <v>217.7161128</v>
      </c>
      <c r="S1319" s="696">
        <v>6.00086493</v>
      </c>
      <c r="T1319" s="697">
        <v>950.6053132</v>
      </c>
      <c r="AB1319" s="722"/>
    </row>
    <row r="1320">
      <c r="A1320" s="351"/>
      <c r="B1320" s="681" t="s">
        <v>57</v>
      </c>
      <c r="C1320" s="682" t="s">
        <v>915</v>
      </c>
      <c r="D1320" s="682" t="s">
        <v>916</v>
      </c>
      <c r="E1320" s="682" t="s">
        <v>179</v>
      </c>
      <c r="F1320" s="682">
        <v>2021.0</v>
      </c>
      <c r="G1320" s="683">
        <v>0.003105895</v>
      </c>
      <c r="H1320" s="683">
        <v>0.001866246</v>
      </c>
      <c r="I1320" s="684">
        <v>0.005246937</v>
      </c>
      <c r="K1320" s="693" t="s">
        <v>66</v>
      </c>
      <c r="L1320" s="694" t="s">
        <v>258</v>
      </c>
      <c r="M1320" s="694" t="s">
        <v>915</v>
      </c>
      <c r="N1320" s="694" t="s">
        <v>923</v>
      </c>
      <c r="O1320" s="694">
        <v>2021.0</v>
      </c>
      <c r="P1320" s="694" t="s">
        <v>919</v>
      </c>
      <c r="Q1320" s="695" t="s">
        <v>112</v>
      </c>
      <c r="R1320" s="696">
        <v>0.0</v>
      </c>
      <c r="S1320" s="696">
        <v>0.0</v>
      </c>
      <c r="T1320" s="697">
        <v>0.0</v>
      </c>
      <c r="AB1320" s="722"/>
    </row>
    <row r="1321">
      <c r="A1321" s="351"/>
      <c r="B1321" s="681" t="s">
        <v>57</v>
      </c>
      <c r="C1321" s="682" t="s">
        <v>915</v>
      </c>
      <c r="D1321" s="682" t="s">
        <v>922</v>
      </c>
      <c r="E1321" s="682" t="s">
        <v>179</v>
      </c>
      <c r="F1321" s="682">
        <v>2021.0</v>
      </c>
      <c r="G1321" s="683">
        <v>0.015409974</v>
      </c>
      <c r="H1321" s="683">
        <v>0.010151985</v>
      </c>
      <c r="I1321" s="684">
        <v>0.023569506</v>
      </c>
      <c r="K1321" s="693" t="s">
        <v>66</v>
      </c>
      <c r="L1321" s="694" t="s">
        <v>258</v>
      </c>
      <c r="M1321" s="694" t="s">
        <v>915</v>
      </c>
      <c r="N1321" s="694" t="s">
        <v>925</v>
      </c>
      <c r="O1321" s="694">
        <v>2021.0</v>
      </c>
      <c r="P1321" s="694" t="s">
        <v>919</v>
      </c>
      <c r="Q1321" s="695" t="s">
        <v>112</v>
      </c>
      <c r="R1321" s="696">
        <v>0.0</v>
      </c>
      <c r="S1321" s="696">
        <v>0.0</v>
      </c>
      <c r="T1321" s="697">
        <v>0.0</v>
      </c>
      <c r="AB1321" s="722"/>
    </row>
    <row r="1322">
      <c r="A1322" s="351"/>
      <c r="B1322" s="681" t="s">
        <v>57</v>
      </c>
      <c r="C1322" s="682" t="s">
        <v>915</v>
      </c>
      <c r="D1322" s="682" t="s">
        <v>924</v>
      </c>
      <c r="E1322" s="682" t="s">
        <v>179</v>
      </c>
      <c r="F1322" s="682">
        <v>2021.0</v>
      </c>
      <c r="G1322" s="683">
        <v>1.16059E-4</v>
      </c>
      <c r="H1322" s="683">
        <v>6.24E-5</v>
      </c>
      <c r="I1322" s="684">
        <v>1.99094E-4</v>
      </c>
      <c r="K1322" s="693" t="s">
        <v>66</v>
      </c>
      <c r="L1322" s="694" t="s">
        <v>258</v>
      </c>
      <c r="M1322" s="694" t="s">
        <v>915</v>
      </c>
      <c r="N1322" s="694" t="s">
        <v>927</v>
      </c>
      <c r="O1322" s="694">
        <v>2021.0</v>
      </c>
      <c r="P1322" s="694" t="s">
        <v>919</v>
      </c>
      <c r="Q1322" s="695" t="s">
        <v>112</v>
      </c>
      <c r="R1322" s="696">
        <v>138.0998402</v>
      </c>
      <c r="S1322" s="696">
        <v>3.737077014</v>
      </c>
      <c r="T1322" s="697">
        <v>667.8139383</v>
      </c>
      <c r="AB1322" s="722"/>
    </row>
    <row r="1323">
      <c r="A1323" s="351"/>
      <c r="B1323" s="681" t="s">
        <v>57</v>
      </c>
      <c r="C1323" s="682" t="s">
        <v>915</v>
      </c>
      <c r="D1323" s="682" t="s">
        <v>926</v>
      </c>
      <c r="E1323" s="682" t="s">
        <v>179</v>
      </c>
      <c r="F1323" s="682">
        <v>2021.0</v>
      </c>
      <c r="G1323" s="683">
        <v>5.19729E-4</v>
      </c>
      <c r="H1323" s="683">
        <v>2.59337E-4</v>
      </c>
      <c r="I1323" s="684">
        <v>0.001021757</v>
      </c>
      <c r="K1323" s="693" t="s">
        <v>66</v>
      </c>
      <c r="L1323" s="694" t="s">
        <v>258</v>
      </c>
      <c r="M1323" s="694" t="s">
        <v>915</v>
      </c>
      <c r="N1323" s="694" t="s">
        <v>926</v>
      </c>
      <c r="O1323" s="694">
        <v>2021.0</v>
      </c>
      <c r="P1323" s="694" t="s">
        <v>919</v>
      </c>
      <c r="Q1323" s="695" t="s">
        <v>112</v>
      </c>
      <c r="R1323" s="696">
        <v>355.815953</v>
      </c>
      <c r="S1323" s="696">
        <v>10.81845577</v>
      </c>
      <c r="T1323" s="697">
        <v>1600.835535</v>
      </c>
      <c r="AB1323" s="722"/>
    </row>
    <row r="1324">
      <c r="A1324" s="351"/>
      <c r="B1324" s="681" t="s">
        <v>58</v>
      </c>
      <c r="C1324" s="682" t="s">
        <v>915</v>
      </c>
      <c r="D1324" s="682" t="s">
        <v>916</v>
      </c>
      <c r="E1324" s="682" t="s">
        <v>179</v>
      </c>
      <c r="F1324" s="682">
        <v>2021.0</v>
      </c>
      <c r="G1324" s="683">
        <v>0.003950397</v>
      </c>
      <c r="H1324" s="683">
        <v>0.002238557</v>
      </c>
      <c r="I1324" s="684">
        <v>0.006083847</v>
      </c>
      <c r="K1324" s="693" t="s">
        <v>67</v>
      </c>
      <c r="L1324" s="694" t="s">
        <v>258</v>
      </c>
      <c r="M1324" s="694" t="s">
        <v>915</v>
      </c>
      <c r="N1324" s="694" t="s">
        <v>918</v>
      </c>
      <c r="O1324" s="694">
        <v>2021.0</v>
      </c>
      <c r="P1324" s="694" t="s">
        <v>919</v>
      </c>
      <c r="Q1324" s="695" t="s">
        <v>112</v>
      </c>
      <c r="R1324" s="696">
        <v>164.6040583</v>
      </c>
      <c r="S1324" s="696">
        <v>4.941980476</v>
      </c>
      <c r="T1324" s="697">
        <v>672.5461503</v>
      </c>
      <c r="AB1324" s="722"/>
    </row>
    <row r="1325">
      <c r="A1325" s="351"/>
      <c r="B1325" s="681" t="s">
        <v>58</v>
      </c>
      <c r="C1325" s="682" t="s">
        <v>915</v>
      </c>
      <c r="D1325" s="682" t="s">
        <v>922</v>
      </c>
      <c r="E1325" s="682" t="s">
        <v>179</v>
      </c>
      <c r="F1325" s="682">
        <v>2021.0</v>
      </c>
      <c r="G1325" s="683">
        <v>0.024823515</v>
      </c>
      <c r="H1325" s="683">
        <v>0.015906767</v>
      </c>
      <c r="I1325" s="684">
        <v>0.035564152</v>
      </c>
      <c r="K1325" s="693" t="s">
        <v>67</v>
      </c>
      <c r="L1325" s="694" t="s">
        <v>258</v>
      </c>
      <c r="M1325" s="694" t="s">
        <v>915</v>
      </c>
      <c r="N1325" s="694" t="s">
        <v>923</v>
      </c>
      <c r="O1325" s="694">
        <v>2021.0</v>
      </c>
      <c r="P1325" s="694" t="s">
        <v>919</v>
      </c>
      <c r="Q1325" s="695" t="s">
        <v>112</v>
      </c>
      <c r="R1325" s="696">
        <v>0.0</v>
      </c>
      <c r="S1325" s="696">
        <v>0.0</v>
      </c>
      <c r="T1325" s="697">
        <v>0.0</v>
      </c>
      <c r="AB1325" s="722"/>
    </row>
    <row r="1326">
      <c r="A1326" s="351"/>
      <c r="B1326" s="681" t="s">
        <v>58</v>
      </c>
      <c r="C1326" s="682" t="s">
        <v>915</v>
      </c>
      <c r="D1326" s="682" t="s">
        <v>924</v>
      </c>
      <c r="E1326" s="682" t="s">
        <v>179</v>
      </c>
      <c r="F1326" s="682">
        <v>2021.0</v>
      </c>
      <c r="G1326" s="683">
        <v>1.79674E-4</v>
      </c>
      <c r="H1326" s="683">
        <v>1.02019E-4</v>
      </c>
      <c r="I1326" s="684">
        <v>2.9344E-4</v>
      </c>
      <c r="K1326" s="693" t="s">
        <v>67</v>
      </c>
      <c r="L1326" s="694" t="s">
        <v>258</v>
      </c>
      <c r="M1326" s="694" t="s">
        <v>915</v>
      </c>
      <c r="N1326" s="694" t="s">
        <v>925</v>
      </c>
      <c r="O1326" s="694">
        <v>2021.0</v>
      </c>
      <c r="P1326" s="694" t="s">
        <v>919</v>
      </c>
      <c r="Q1326" s="695" t="s">
        <v>112</v>
      </c>
      <c r="R1326" s="696">
        <v>0.0</v>
      </c>
      <c r="S1326" s="696">
        <v>0.0</v>
      </c>
      <c r="T1326" s="697">
        <v>0.0</v>
      </c>
      <c r="AB1326" s="722"/>
    </row>
    <row r="1327">
      <c r="A1327" s="351"/>
      <c r="B1327" s="681" t="s">
        <v>58</v>
      </c>
      <c r="C1327" s="682" t="s">
        <v>915</v>
      </c>
      <c r="D1327" s="682" t="s">
        <v>926</v>
      </c>
      <c r="E1327" s="682" t="s">
        <v>179</v>
      </c>
      <c r="F1327" s="682">
        <v>2021.0</v>
      </c>
      <c r="G1327" s="683">
        <v>9.03152E-4</v>
      </c>
      <c r="H1327" s="683">
        <v>4.75136E-4</v>
      </c>
      <c r="I1327" s="684">
        <v>0.001679205</v>
      </c>
      <c r="K1327" s="693" t="s">
        <v>67</v>
      </c>
      <c r="L1327" s="694" t="s">
        <v>258</v>
      </c>
      <c r="M1327" s="694" t="s">
        <v>915</v>
      </c>
      <c r="N1327" s="694" t="s">
        <v>927</v>
      </c>
      <c r="O1327" s="694">
        <v>2021.0</v>
      </c>
      <c r="P1327" s="694" t="s">
        <v>919</v>
      </c>
      <c r="Q1327" s="695" t="s">
        <v>112</v>
      </c>
      <c r="R1327" s="696">
        <v>102.6045024</v>
      </c>
      <c r="S1327" s="696">
        <v>2.55824724</v>
      </c>
      <c r="T1327" s="697">
        <v>465.7148156</v>
      </c>
      <c r="AB1327" s="722"/>
    </row>
    <row r="1328">
      <c r="A1328" s="351"/>
      <c r="B1328" s="681" t="s">
        <v>7</v>
      </c>
      <c r="C1328" s="682" t="s">
        <v>915</v>
      </c>
      <c r="D1328" s="682" t="s">
        <v>916</v>
      </c>
      <c r="E1328" s="682" t="s">
        <v>179</v>
      </c>
      <c r="F1328" s="682">
        <v>2021.0</v>
      </c>
      <c r="G1328" s="683">
        <v>0.003427451</v>
      </c>
      <c r="H1328" s="683">
        <v>0.002254173</v>
      </c>
      <c r="I1328" s="684">
        <v>0.004960541</v>
      </c>
      <c r="K1328" s="693" t="s">
        <v>67</v>
      </c>
      <c r="L1328" s="694" t="s">
        <v>258</v>
      </c>
      <c r="M1328" s="694" t="s">
        <v>915</v>
      </c>
      <c r="N1328" s="694" t="s">
        <v>926</v>
      </c>
      <c r="O1328" s="694">
        <v>2021.0</v>
      </c>
      <c r="P1328" s="694" t="s">
        <v>919</v>
      </c>
      <c r="Q1328" s="695" t="s">
        <v>112</v>
      </c>
      <c r="R1328" s="696">
        <v>267.2085607</v>
      </c>
      <c r="S1328" s="696">
        <v>8.416504172</v>
      </c>
      <c r="T1328" s="697">
        <v>1122.029216</v>
      </c>
      <c r="AB1328" s="722"/>
    </row>
    <row r="1329">
      <c r="A1329" s="351"/>
      <c r="B1329" s="681" t="s">
        <v>7</v>
      </c>
      <c r="C1329" s="682" t="s">
        <v>915</v>
      </c>
      <c r="D1329" s="682" t="s">
        <v>922</v>
      </c>
      <c r="E1329" s="682" t="s">
        <v>179</v>
      </c>
      <c r="F1329" s="682">
        <v>2021.0</v>
      </c>
      <c r="G1329" s="683">
        <v>0.020581483</v>
      </c>
      <c r="H1329" s="683">
        <v>0.014832425</v>
      </c>
      <c r="I1329" s="684">
        <v>0.027343741</v>
      </c>
      <c r="K1329" s="693" t="s">
        <v>37</v>
      </c>
      <c r="L1329" s="694" t="s">
        <v>258</v>
      </c>
      <c r="M1329" s="694" t="s">
        <v>915</v>
      </c>
      <c r="N1329" s="694" t="s">
        <v>918</v>
      </c>
      <c r="O1329" s="694">
        <v>2021.0</v>
      </c>
      <c r="P1329" s="694" t="s">
        <v>919</v>
      </c>
      <c r="Q1329" s="695" t="s">
        <v>112</v>
      </c>
      <c r="R1329" s="696">
        <v>286.2484871</v>
      </c>
      <c r="S1329" s="696">
        <v>9.247573312</v>
      </c>
      <c r="T1329" s="697">
        <v>1179.687588</v>
      </c>
      <c r="AB1329" s="722"/>
    </row>
    <row r="1330">
      <c r="A1330" s="351"/>
      <c r="B1330" s="681" t="s">
        <v>7</v>
      </c>
      <c r="C1330" s="682" t="s">
        <v>915</v>
      </c>
      <c r="D1330" s="682" t="s">
        <v>924</v>
      </c>
      <c r="E1330" s="682" t="s">
        <v>179</v>
      </c>
      <c r="F1330" s="682">
        <v>2021.0</v>
      </c>
      <c r="G1330" s="683">
        <v>2.13396E-4</v>
      </c>
      <c r="H1330" s="683">
        <v>1.41375E-4</v>
      </c>
      <c r="I1330" s="684">
        <v>3.06387E-4</v>
      </c>
      <c r="K1330" s="693" t="s">
        <v>37</v>
      </c>
      <c r="L1330" s="694" t="s">
        <v>258</v>
      </c>
      <c r="M1330" s="694" t="s">
        <v>915</v>
      </c>
      <c r="N1330" s="694" t="s">
        <v>923</v>
      </c>
      <c r="O1330" s="694">
        <v>2021.0</v>
      </c>
      <c r="P1330" s="694" t="s">
        <v>919</v>
      </c>
      <c r="Q1330" s="695" t="s">
        <v>112</v>
      </c>
      <c r="R1330" s="696">
        <v>0.0</v>
      </c>
      <c r="S1330" s="696">
        <v>0.0</v>
      </c>
      <c r="T1330" s="697">
        <v>0.0</v>
      </c>
      <c r="AB1330" s="722"/>
    </row>
    <row r="1331">
      <c r="A1331" s="351"/>
      <c r="B1331" s="681" t="s">
        <v>7</v>
      </c>
      <c r="C1331" s="682" t="s">
        <v>915</v>
      </c>
      <c r="D1331" s="682" t="s">
        <v>926</v>
      </c>
      <c r="E1331" s="682" t="s">
        <v>179</v>
      </c>
      <c r="F1331" s="682">
        <v>2021.0</v>
      </c>
      <c r="G1331" s="683">
        <v>0.001371759</v>
      </c>
      <c r="H1331" s="683">
        <v>8.19527E-4</v>
      </c>
      <c r="I1331" s="684">
        <v>0.002113745</v>
      </c>
      <c r="K1331" s="693" t="s">
        <v>37</v>
      </c>
      <c r="L1331" s="694" t="s">
        <v>258</v>
      </c>
      <c r="M1331" s="694" t="s">
        <v>915</v>
      </c>
      <c r="N1331" s="694" t="s">
        <v>925</v>
      </c>
      <c r="O1331" s="694">
        <v>2021.0</v>
      </c>
      <c r="P1331" s="694" t="s">
        <v>919</v>
      </c>
      <c r="Q1331" s="695" t="s">
        <v>112</v>
      </c>
      <c r="R1331" s="696">
        <v>0.0</v>
      </c>
      <c r="S1331" s="696">
        <v>0.0</v>
      </c>
      <c r="T1331" s="697">
        <v>0.0</v>
      </c>
      <c r="AB1331" s="722"/>
    </row>
    <row r="1332">
      <c r="A1332" s="351"/>
      <c r="B1332" s="681" t="s">
        <v>59</v>
      </c>
      <c r="C1332" s="682" t="s">
        <v>915</v>
      </c>
      <c r="D1332" s="682" t="s">
        <v>916</v>
      </c>
      <c r="E1332" s="682" t="s">
        <v>179</v>
      </c>
      <c r="F1332" s="682">
        <v>2021.0</v>
      </c>
      <c r="G1332" s="683">
        <v>0.00235567</v>
      </c>
      <c r="H1332" s="683">
        <v>0.001336856</v>
      </c>
      <c r="I1332" s="684">
        <v>0.004013449</v>
      </c>
      <c r="K1332" s="693" t="s">
        <v>37</v>
      </c>
      <c r="L1332" s="694" t="s">
        <v>258</v>
      </c>
      <c r="M1332" s="694" t="s">
        <v>915</v>
      </c>
      <c r="N1332" s="694" t="s">
        <v>927</v>
      </c>
      <c r="O1332" s="694">
        <v>2021.0</v>
      </c>
      <c r="P1332" s="694" t="s">
        <v>919</v>
      </c>
      <c r="Q1332" s="695" t="s">
        <v>112</v>
      </c>
      <c r="R1332" s="696">
        <v>155.0955003</v>
      </c>
      <c r="S1332" s="696">
        <v>4.164324796</v>
      </c>
      <c r="T1332" s="697">
        <v>650.303865</v>
      </c>
      <c r="AB1332" s="722"/>
    </row>
    <row r="1333">
      <c r="A1333" s="351"/>
      <c r="B1333" s="681" t="s">
        <v>59</v>
      </c>
      <c r="C1333" s="682" t="s">
        <v>915</v>
      </c>
      <c r="D1333" s="682" t="s">
        <v>922</v>
      </c>
      <c r="E1333" s="682" t="s">
        <v>179</v>
      </c>
      <c r="F1333" s="682">
        <v>2021.0</v>
      </c>
      <c r="G1333" s="683">
        <v>0.015866669</v>
      </c>
      <c r="H1333" s="683">
        <v>0.010730986</v>
      </c>
      <c r="I1333" s="684">
        <v>0.024248568</v>
      </c>
      <c r="K1333" s="693" t="s">
        <v>37</v>
      </c>
      <c r="L1333" s="694" t="s">
        <v>258</v>
      </c>
      <c r="M1333" s="694" t="s">
        <v>915</v>
      </c>
      <c r="N1333" s="694" t="s">
        <v>926</v>
      </c>
      <c r="O1333" s="694">
        <v>2021.0</v>
      </c>
      <c r="P1333" s="694" t="s">
        <v>919</v>
      </c>
      <c r="Q1333" s="695" t="s">
        <v>112</v>
      </c>
      <c r="R1333" s="696">
        <v>441.3439874</v>
      </c>
      <c r="S1333" s="696">
        <v>12.940918</v>
      </c>
      <c r="T1333" s="697">
        <v>1819.426077</v>
      </c>
      <c r="AB1333" s="722"/>
    </row>
    <row r="1334">
      <c r="A1334" s="351"/>
      <c r="B1334" s="681" t="s">
        <v>59</v>
      </c>
      <c r="C1334" s="682" t="s">
        <v>915</v>
      </c>
      <c r="D1334" s="682" t="s">
        <v>924</v>
      </c>
      <c r="E1334" s="682" t="s">
        <v>179</v>
      </c>
      <c r="F1334" s="682">
        <v>2021.0</v>
      </c>
      <c r="G1334" s="683">
        <v>7.43E-5</v>
      </c>
      <c r="H1334" s="683">
        <v>3.92E-5</v>
      </c>
      <c r="I1334" s="684">
        <v>1.43555E-4</v>
      </c>
      <c r="K1334" s="693" t="s">
        <v>38</v>
      </c>
      <c r="L1334" s="694" t="s">
        <v>302</v>
      </c>
      <c r="M1334" s="694" t="s">
        <v>915</v>
      </c>
      <c r="N1334" s="694" t="s">
        <v>918</v>
      </c>
      <c r="O1334" s="694">
        <v>2021.0</v>
      </c>
      <c r="P1334" s="694" t="s">
        <v>919</v>
      </c>
      <c r="Q1334" s="695" t="s">
        <v>112</v>
      </c>
      <c r="R1334" s="696">
        <v>0.577627562</v>
      </c>
      <c r="S1334" s="696">
        <v>0.008448639</v>
      </c>
      <c r="T1334" s="697">
        <v>2.401430122</v>
      </c>
      <c r="AB1334" s="722"/>
    </row>
    <row r="1335">
      <c r="A1335" s="351"/>
      <c r="B1335" s="681" t="s">
        <v>59</v>
      </c>
      <c r="C1335" s="682" t="s">
        <v>915</v>
      </c>
      <c r="D1335" s="682" t="s">
        <v>926</v>
      </c>
      <c r="E1335" s="682" t="s">
        <v>179</v>
      </c>
      <c r="F1335" s="682">
        <v>2021.0</v>
      </c>
      <c r="G1335" s="683">
        <v>2.4853E-4</v>
      </c>
      <c r="H1335" s="683">
        <v>1.24479E-4</v>
      </c>
      <c r="I1335" s="684">
        <v>5.31404E-4</v>
      </c>
      <c r="K1335" s="693" t="s">
        <v>38</v>
      </c>
      <c r="L1335" s="694" t="s">
        <v>302</v>
      </c>
      <c r="M1335" s="694" t="s">
        <v>915</v>
      </c>
      <c r="N1335" s="694" t="s">
        <v>923</v>
      </c>
      <c r="O1335" s="694">
        <v>2021.0</v>
      </c>
      <c r="P1335" s="694" t="s">
        <v>919</v>
      </c>
      <c r="Q1335" s="695" t="s">
        <v>112</v>
      </c>
      <c r="R1335" s="696">
        <v>5.79282685</v>
      </c>
      <c r="S1335" s="696">
        <v>0.180136186</v>
      </c>
      <c r="T1335" s="697">
        <v>15.18561797</v>
      </c>
      <c r="AB1335" s="722"/>
    </row>
    <row r="1336">
      <c r="A1336" s="351"/>
      <c r="B1336" s="681" t="s">
        <v>60</v>
      </c>
      <c r="C1336" s="682" t="s">
        <v>915</v>
      </c>
      <c r="D1336" s="682" t="s">
        <v>916</v>
      </c>
      <c r="E1336" s="682" t="s">
        <v>179</v>
      </c>
      <c r="F1336" s="682">
        <v>2021.0</v>
      </c>
      <c r="G1336" s="683">
        <v>0.002089846</v>
      </c>
      <c r="H1336" s="683">
        <v>0.001184391</v>
      </c>
      <c r="I1336" s="684">
        <v>0.003688197</v>
      </c>
      <c r="K1336" s="693" t="s">
        <v>38</v>
      </c>
      <c r="L1336" s="694" t="s">
        <v>302</v>
      </c>
      <c r="M1336" s="694" t="s">
        <v>915</v>
      </c>
      <c r="N1336" s="694" t="s">
        <v>925</v>
      </c>
      <c r="O1336" s="694">
        <v>2021.0</v>
      </c>
      <c r="P1336" s="694" t="s">
        <v>919</v>
      </c>
      <c r="Q1336" s="695" t="s">
        <v>112</v>
      </c>
      <c r="R1336" s="696">
        <v>2.612578044</v>
      </c>
      <c r="S1336" s="696">
        <v>0.061090105</v>
      </c>
      <c r="T1336" s="697">
        <v>8.168818456</v>
      </c>
      <c r="AB1336" s="722"/>
    </row>
    <row r="1337">
      <c r="A1337" s="351"/>
      <c r="B1337" s="681" t="s">
        <v>60</v>
      </c>
      <c r="C1337" s="682" t="s">
        <v>915</v>
      </c>
      <c r="D1337" s="682" t="s">
        <v>922</v>
      </c>
      <c r="E1337" s="682" t="s">
        <v>179</v>
      </c>
      <c r="F1337" s="682">
        <v>2021.0</v>
      </c>
      <c r="G1337" s="683">
        <v>0.01415755</v>
      </c>
      <c r="H1337" s="683">
        <v>0.009351515</v>
      </c>
      <c r="I1337" s="684">
        <v>0.021172771</v>
      </c>
      <c r="K1337" s="693" t="s">
        <v>38</v>
      </c>
      <c r="L1337" s="694" t="s">
        <v>302</v>
      </c>
      <c r="M1337" s="694" t="s">
        <v>915</v>
      </c>
      <c r="N1337" s="694" t="s">
        <v>927</v>
      </c>
      <c r="O1337" s="694">
        <v>2021.0</v>
      </c>
      <c r="P1337" s="694" t="s">
        <v>919</v>
      </c>
      <c r="Q1337" s="695" t="s">
        <v>112</v>
      </c>
      <c r="R1337" s="696">
        <v>0.591336458</v>
      </c>
      <c r="S1337" s="696">
        <v>0.010806159</v>
      </c>
      <c r="T1337" s="697">
        <v>1.753000966</v>
      </c>
      <c r="AB1337" s="722"/>
    </row>
    <row r="1338">
      <c r="A1338" s="351"/>
      <c r="B1338" s="681" t="s">
        <v>60</v>
      </c>
      <c r="C1338" s="682" t="s">
        <v>915</v>
      </c>
      <c r="D1338" s="682" t="s">
        <v>924</v>
      </c>
      <c r="E1338" s="682" t="s">
        <v>179</v>
      </c>
      <c r="F1338" s="682">
        <v>2021.0</v>
      </c>
      <c r="G1338" s="683">
        <v>6.96E-5</v>
      </c>
      <c r="H1338" s="683">
        <v>3.57E-5</v>
      </c>
      <c r="I1338" s="684">
        <v>1.40187E-4</v>
      </c>
      <c r="K1338" s="693" t="s">
        <v>38</v>
      </c>
      <c r="L1338" s="694" t="s">
        <v>302</v>
      </c>
      <c r="M1338" s="694" t="s">
        <v>915</v>
      </c>
      <c r="N1338" s="694" t="s">
        <v>926</v>
      </c>
      <c r="O1338" s="694">
        <v>2021.0</v>
      </c>
      <c r="P1338" s="694" t="s">
        <v>919</v>
      </c>
      <c r="Q1338" s="695" t="s">
        <v>112</v>
      </c>
      <c r="R1338" s="696">
        <v>9.574368913</v>
      </c>
      <c r="S1338" s="696">
        <v>0.261726957</v>
      </c>
      <c r="T1338" s="697">
        <v>22.5964935</v>
      </c>
      <c r="AB1338" s="722"/>
    </row>
    <row r="1339">
      <c r="A1339" s="351"/>
      <c r="B1339" s="681" t="s">
        <v>60</v>
      </c>
      <c r="C1339" s="682" t="s">
        <v>915</v>
      </c>
      <c r="D1339" s="682" t="s">
        <v>926</v>
      </c>
      <c r="E1339" s="682" t="s">
        <v>179</v>
      </c>
      <c r="F1339" s="682">
        <v>2021.0</v>
      </c>
      <c r="G1339" s="683">
        <v>2.98102E-4</v>
      </c>
      <c r="H1339" s="683">
        <v>1.35968E-4</v>
      </c>
      <c r="I1339" s="684">
        <v>6.2139E-4</v>
      </c>
      <c r="K1339" s="693" t="s">
        <v>39</v>
      </c>
      <c r="L1339" s="694" t="s">
        <v>302</v>
      </c>
      <c r="M1339" s="694" t="s">
        <v>915</v>
      </c>
      <c r="N1339" s="694" t="s">
        <v>918</v>
      </c>
      <c r="O1339" s="694">
        <v>2021.0</v>
      </c>
      <c r="P1339" s="694" t="s">
        <v>919</v>
      </c>
      <c r="Q1339" s="695" t="s">
        <v>112</v>
      </c>
      <c r="R1339" s="696">
        <v>1.463259148</v>
      </c>
      <c r="S1339" s="696">
        <v>0.289115056</v>
      </c>
      <c r="T1339" s="697">
        <v>5.54842509</v>
      </c>
      <c r="AB1339" s="722"/>
    </row>
    <row r="1340">
      <c r="A1340" s="351"/>
      <c r="B1340" s="681" t="s">
        <v>61</v>
      </c>
      <c r="C1340" s="682" t="s">
        <v>915</v>
      </c>
      <c r="D1340" s="682" t="s">
        <v>916</v>
      </c>
      <c r="E1340" s="682" t="s">
        <v>179</v>
      </c>
      <c r="F1340" s="682">
        <v>2021.0</v>
      </c>
      <c r="G1340" s="683">
        <v>0.001299033</v>
      </c>
      <c r="H1340" s="683">
        <v>6.10336E-4</v>
      </c>
      <c r="I1340" s="684">
        <v>0.002559706</v>
      </c>
      <c r="K1340" s="693" t="s">
        <v>39</v>
      </c>
      <c r="L1340" s="694" t="s">
        <v>302</v>
      </c>
      <c r="M1340" s="694" t="s">
        <v>915</v>
      </c>
      <c r="N1340" s="694" t="s">
        <v>923</v>
      </c>
      <c r="O1340" s="694">
        <v>2021.0</v>
      </c>
      <c r="P1340" s="694" t="s">
        <v>919</v>
      </c>
      <c r="Q1340" s="695" t="s">
        <v>112</v>
      </c>
      <c r="R1340" s="696">
        <v>6.176313845</v>
      </c>
      <c r="S1340" s="696">
        <v>1.465459749</v>
      </c>
      <c r="T1340" s="697">
        <v>15.69445338</v>
      </c>
      <c r="AB1340" s="722"/>
    </row>
    <row r="1341">
      <c r="A1341" s="351"/>
      <c r="B1341" s="681" t="s">
        <v>61</v>
      </c>
      <c r="C1341" s="682" t="s">
        <v>915</v>
      </c>
      <c r="D1341" s="682" t="s">
        <v>922</v>
      </c>
      <c r="E1341" s="682" t="s">
        <v>179</v>
      </c>
      <c r="F1341" s="682">
        <v>2021.0</v>
      </c>
      <c r="G1341" s="683">
        <v>0.011586001</v>
      </c>
      <c r="H1341" s="683">
        <v>0.006907052</v>
      </c>
      <c r="I1341" s="684">
        <v>0.018943076</v>
      </c>
      <c r="K1341" s="693" t="s">
        <v>39</v>
      </c>
      <c r="L1341" s="694" t="s">
        <v>302</v>
      </c>
      <c r="M1341" s="694" t="s">
        <v>915</v>
      </c>
      <c r="N1341" s="694" t="s">
        <v>925</v>
      </c>
      <c r="O1341" s="694">
        <v>2021.0</v>
      </c>
      <c r="P1341" s="694" t="s">
        <v>919</v>
      </c>
      <c r="Q1341" s="695" t="s">
        <v>112</v>
      </c>
      <c r="R1341" s="696">
        <v>3.601899175</v>
      </c>
      <c r="S1341" s="696">
        <v>0.636191952</v>
      </c>
      <c r="T1341" s="697">
        <v>12.3169831</v>
      </c>
      <c r="AB1341" s="722"/>
    </row>
    <row r="1342">
      <c r="A1342" s="351"/>
      <c r="B1342" s="681" t="s">
        <v>61</v>
      </c>
      <c r="C1342" s="682" t="s">
        <v>915</v>
      </c>
      <c r="D1342" s="682" t="s">
        <v>924</v>
      </c>
      <c r="E1342" s="682" t="s">
        <v>179</v>
      </c>
      <c r="F1342" s="682">
        <v>2021.0</v>
      </c>
      <c r="G1342" s="683">
        <v>3.91E-5</v>
      </c>
      <c r="H1342" s="683">
        <v>1.58E-5</v>
      </c>
      <c r="I1342" s="684">
        <v>8.15E-5</v>
      </c>
      <c r="K1342" s="693" t="s">
        <v>39</v>
      </c>
      <c r="L1342" s="694" t="s">
        <v>302</v>
      </c>
      <c r="M1342" s="694" t="s">
        <v>915</v>
      </c>
      <c r="N1342" s="694" t="s">
        <v>927</v>
      </c>
      <c r="O1342" s="694">
        <v>2021.0</v>
      </c>
      <c r="P1342" s="694" t="s">
        <v>919</v>
      </c>
      <c r="Q1342" s="695" t="s">
        <v>112</v>
      </c>
      <c r="R1342" s="696">
        <v>0.820059197</v>
      </c>
      <c r="S1342" s="696">
        <v>0.148195372</v>
      </c>
      <c r="T1342" s="697">
        <v>2.911157753</v>
      </c>
      <c r="AB1342" s="722"/>
    </row>
    <row r="1343">
      <c r="A1343" s="351"/>
      <c r="B1343" s="681" t="s">
        <v>61</v>
      </c>
      <c r="C1343" s="682" t="s">
        <v>915</v>
      </c>
      <c r="D1343" s="682" t="s">
        <v>926</v>
      </c>
      <c r="E1343" s="682" t="s">
        <v>179</v>
      </c>
      <c r="F1343" s="682">
        <v>2021.0</v>
      </c>
      <c r="G1343" s="683">
        <v>1.32551E-4</v>
      </c>
      <c r="H1343" s="683">
        <v>5.24E-5</v>
      </c>
      <c r="I1343" s="684">
        <v>2.9031E-4</v>
      </c>
      <c r="K1343" s="693" t="s">
        <v>39</v>
      </c>
      <c r="L1343" s="694" t="s">
        <v>302</v>
      </c>
      <c r="M1343" s="694" t="s">
        <v>915</v>
      </c>
      <c r="N1343" s="694" t="s">
        <v>926</v>
      </c>
      <c r="O1343" s="694">
        <v>2021.0</v>
      </c>
      <c r="P1343" s="694" t="s">
        <v>919</v>
      </c>
      <c r="Q1343" s="695" t="s">
        <v>112</v>
      </c>
      <c r="R1343" s="696">
        <v>12.06153137</v>
      </c>
      <c r="S1343" s="696">
        <v>2.914009088</v>
      </c>
      <c r="T1343" s="697">
        <v>30.84329612</v>
      </c>
      <c r="AB1343" s="722"/>
    </row>
    <row r="1344">
      <c r="A1344" s="351"/>
      <c r="B1344" s="681" t="s">
        <v>63</v>
      </c>
      <c r="C1344" s="682" t="s">
        <v>915</v>
      </c>
      <c r="D1344" s="682" t="s">
        <v>916</v>
      </c>
      <c r="E1344" s="682" t="s">
        <v>179</v>
      </c>
      <c r="F1344" s="682">
        <v>2021.0</v>
      </c>
      <c r="G1344" s="683">
        <v>0.001446772</v>
      </c>
      <c r="H1344" s="683">
        <v>7.84741E-4</v>
      </c>
      <c r="I1344" s="684">
        <v>0.002824052</v>
      </c>
      <c r="K1344" s="693" t="s">
        <v>40</v>
      </c>
      <c r="L1344" s="694" t="s">
        <v>302</v>
      </c>
      <c r="M1344" s="694" t="s">
        <v>915</v>
      </c>
      <c r="N1344" s="694" t="s">
        <v>918</v>
      </c>
      <c r="O1344" s="694">
        <v>2021.0</v>
      </c>
      <c r="P1344" s="694" t="s">
        <v>919</v>
      </c>
      <c r="Q1344" s="695" t="s">
        <v>112</v>
      </c>
      <c r="R1344" s="696">
        <v>0.155636997</v>
      </c>
      <c r="S1344" s="696">
        <v>0.004590669</v>
      </c>
      <c r="T1344" s="697">
        <v>0.65744916</v>
      </c>
      <c r="AB1344" s="722"/>
    </row>
    <row r="1345">
      <c r="A1345" s="351"/>
      <c r="B1345" s="681" t="s">
        <v>63</v>
      </c>
      <c r="C1345" s="682" t="s">
        <v>915</v>
      </c>
      <c r="D1345" s="682" t="s">
        <v>922</v>
      </c>
      <c r="E1345" s="682" t="s">
        <v>179</v>
      </c>
      <c r="F1345" s="682">
        <v>2021.0</v>
      </c>
      <c r="G1345" s="683">
        <v>0.008549682</v>
      </c>
      <c r="H1345" s="683">
        <v>0.005503145</v>
      </c>
      <c r="I1345" s="684">
        <v>0.014765208</v>
      </c>
      <c r="K1345" s="693" t="s">
        <v>40</v>
      </c>
      <c r="L1345" s="694" t="s">
        <v>302</v>
      </c>
      <c r="M1345" s="694" t="s">
        <v>915</v>
      </c>
      <c r="N1345" s="694" t="s">
        <v>923</v>
      </c>
      <c r="O1345" s="694">
        <v>2021.0</v>
      </c>
      <c r="P1345" s="694" t="s">
        <v>919</v>
      </c>
      <c r="Q1345" s="695" t="s">
        <v>112</v>
      </c>
      <c r="R1345" s="696">
        <v>2.448145769</v>
      </c>
      <c r="S1345" s="696">
        <v>0.118250466</v>
      </c>
      <c r="T1345" s="697">
        <v>6.924424653</v>
      </c>
      <c r="AB1345" s="722"/>
    </row>
    <row r="1346">
      <c r="A1346" s="351"/>
      <c r="B1346" s="681" t="s">
        <v>63</v>
      </c>
      <c r="C1346" s="682" t="s">
        <v>915</v>
      </c>
      <c r="D1346" s="682" t="s">
        <v>924</v>
      </c>
      <c r="E1346" s="682" t="s">
        <v>179</v>
      </c>
      <c r="F1346" s="682">
        <v>2021.0</v>
      </c>
      <c r="G1346" s="683">
        <v>3.29E-5</v>
      </c>
      <c r="H1346" s="683">
        <v>1.63E-5</v>
      </c>
      <c r="I1346" s="684">
        <v>7.21E-5</v>
      </c>
      <c r="K1346" s="693" t="s">
        <v>40</v>
      </c>
      <c r="L1346" s="694" t="s">
        <v>302</v>
      </c>
      <c r="M1346" s="694" t="s">
        <v>915</v>
      </c>
      <c r="N1346" s="694" t="s">
        <v>925</v>
      </c>
      <c r="O1346" s="694">
        <v>2021.0</v>
      </c>
      <c r="P1346" s="694" t="s">
        <v>919</v>
      </c>
      <c r="Q1346" s="695" t="s">
        <v>112</v>
      </c>
      <c r="R1346" s="696">
        <v>1.359625785</v>
      </c>
      <c r="S1346" s="696">
        <v>0.047947009</v>
      </c>
      <c r="T1346" s="697">
        <v>5.264008244</v>
      </c>
      <c r="AB1346" s="722"/>
    </row>
    <row r="1347">
      <c r="A1347" s="351"/>
      <c r="B1347" s="681" t="s">
        <v>63</v>
      </c>
      <c r="C1347" s="682" t="s">
        <v>915</v>
      </c>
      <c r="D1347" s="682" t="s">
        <v>926</v>
      </c>
      <c r="E1347" s="682" t="s">
        <v>179</v>
      </c>
      <c r="F1347" s="682">
        <v>2021.0</v>
      </c>
      <c r="G1347" s="683">
        <v>1.38701E-4</v>
      </c>
      <c r="H1347" s="683">
        <v>5.86E-5</v>
      </c>
      <c r="I1347" s="684">
        <v>3.44122E-4</v>
      </c>
      <c r="K1347" s="693" t="s">
        <v>40</v>
      </c>
      <c r="L1347" s="694" t="s">
        <v>302</v>
      </c>
      <c r="M1347" s="694" t="s">
        <v>915</v>
      </c>
      <c r="N1347" s="694" t="s">
        <v>927</v>
      </c>
      <c r="O1347" s="694">
        <v>2021.0</v>
      </c>
      <c r="P1347" s="694" t="s">
        <v>919</v>
      </c>
      <c r="Q1347" s="695" t="s">
        <v>112</v>
      </c>
      <c r="R1347" s="696">
        <v>0.207481595</v>
      </c>
      <c r="S1347" s="696">
        <v>0.005940694</v>
      </c>
      <c r="T1347" s="697">
        <v>0.703307075</v>
      </c>
      <c r="AB1347" s="722"/>
    </row>
    <row r="1348">
      <c r="A1348" s="351"/>
      <c r="B1348" s="681" t="s">
        <v>64</v>
      </c>
      <c r="C1348" s="682" t="s">
        <v>915</v>
      </c>
      <c r="D1348" s="682" t="s">
        <v>916</v>
      </c>
      <c r="E1348" s="682" t="s">
        <v>179</v>
      </c>
      <c r="F1348" s="682">
        <v>2021.0</v>
      </c>
      <c r="G1348" s="683">
        <v>0.00310694</v>
      </c>
      <c r="H1348" s="683">
        <v>0.001792243</v>
      </c>
      <c r="I1348" s="684">
        <v>0.005098716</v>
      </c>
      <c r="K1348" s="693" t="s">
        <v>40</v>
      </c>
      <c r="L1348" s="694" t="s">
        <v>302</v>
      </c>
      <c r="M1348" s="694" t="s">
        <v>915</v>
      </c>
      <c r="N1348" s="694" t="s">
        <v>926</v>
      </c>
      <c r="O1348" s="694">
        <v>2021.0</v>
      </c>
      <c r="P1348" s="694" t="s">
        <v>919</v>
      </c>
      <c r="Q1348" s="695" t="s">
        <v>112</v>
      </c>
      <c r="R1348" s="696">
        <v>4.170890145</v>
      </c>
      <c r="S1348" s="696">
        <v>0.179555208</v>
      </c>
      <c r="T1348" s="697">
        <v>11.39774038</v>
      </c>
      <c r="AB1348" s="722"/>
    </row>
    <row r="1349">
      <c r="A1349" s="351"/>
      <c r="B1349" s="681" t="s">
        <v>64</v>
      </c>
      <c r="C1349" s="682" t="s">
        <v>915</v>
      </c>
      <c r="D1349" s="682" t="s">
        <v>922</v>
      </c>
      <c r="E1349" s="682" t="s">
        <v>179</v>
      </c>
      <c r="F1349" s="682">
        <v>2021.0</v>
      </c>
      <c r="G1349" s="683">
        <v>0.015257187</v>
      </c>
      <c r="H1349" s="683">
        <v>0.009493728</v>
      </c>
      <c r="I1349" s="684">
        <v>0.02422726</v>
      </c>
      <c r="K1349" s="693" t="s">
        <v>41</v>
      </c>
      <c r="L1349" s="694" t="s">
        <v>302</v>
      </c>
      <c r="M1349" s="694" t="s">
        <v>915</v>
      </c>
      <c r="N1349" s="694" t="s">
        <v>918</v>
      </c>
      <c r="O1349" s="694">
        <v>2021.0</v>
      </c>
      <c r="P1349" s="694" t="s">
        <v>919</v>
      </c>
      <c r="Q1349" s="695" t="s">
        <v>112</v>
      </c>
      <c r="R1349" s="696">
        <v>0.415095532</v>
      </c>
      <c r="S1349" s="696">
        <v>0.007154434</v>
      </c>
      <c r="T1349" s="697">
        <v>1.734533691</v>
      </c>
      <c r="AB1349" s="722"/>
    </row>
    <row r="1350">
      <c r="A1350" s="351"/>
      <c r="B1350" s="681" t="s">
        <v>64</v>
      </c>
      <c r="C1350" s="682" t="s">
        <v>915</v>
      </c>
      <c r="D1350" s="682" t="s">
        <v>924</v>
      </c>
      <c r="E1350" s="682" t="s">
        <v>179</v>
      </c>
      <c r="F1350" s="682">
        <v>2021.0</v>
      </c>
      <c r="G1350" s="683">
        <v>1.14084E-4</v>
      </c>
      <c r="H1350" s="683">
        <v>6.32E-5</v>
      </c>
      <c r="I1350" s="684">
        <v>1.99223E-4</v>
      </c>
      <c r="K1350" s="693" t="s">
        <v>41</v>
      </c>
      <c r="L1350" s="694" t="s">
        <v>302</v>
      </c>
      <c r="M1350" s="694" t="s">
        <v>915</v>
      </c>
      <c r="N1350" s="694" t="s">
        <v>923</v>
      </c>
      <c r="O1350" s="694">
        <v>2021.0</v>
      </c>
      <c r="P1350" s="694" t="s">
        <v>919</v>
      </c>
      <c r="Q1350" s="695" t="s">
        <v>112</v>
      </c>
      <c r="R1350" s="696">
        <v>6.455351306</v>
      </c>
      <c r="S1350" s="696">
        <v>0.179358628</v>
      </c>
      <c r="T1350" s="697">
        <v>15.43560356</v>
      </c>
      <c r="AB1350" s="722"/>
    </row>
    <row r="1351">
      <c r="A1351" s="351"/>
      <c r="B1351" s="681" t="s">
        <v>64</v>
      </c>
      <c r="C1351" s="682" t="s">
        <v>915</v>
      </c>
      <c r="D1351" s="682" t="s">
        <v>926</v>
      </c>
      <c r="E1351" s="682" t="s">
        <v>179</v>
      </c>
      <c r="F1351" s="682">
        <v>2021.0</v>
      </c>
      <c r="G1351" s="683">
        <v>3.83821E-4</v>
      </c>
      <c r="H1351" s="683">
        <v>1.73835E-4</v>
      </c>
      <c r="I1351" s="684">
        <v>8.16951E-4</v>
      </c>
      <c r="K1351" s="693" t="s">
        <v>41</v>
      </c>
      <c r="L1351" s="694" t="s">
        <v>302</v>
      </c>
      <c r="M1351" s="694" t="s">
        <v>915</v>
      </c>
      <c r="N1351" s="694" t="s">
        <v>925</v>
      </c>
      <c r="O1351" s="694">
        <v>2021.0</v>
      </c>
      <c r="P1351" s="694" t="s">
        <v>919</v>
      </c>
      <c r="Q1351" s="695" t="s">
        <v>112</v>
      </c>
      <c r="R1351" s="696">
        <v>3.257913338</v>
      </c>
      <c r="S1351" s="696">
        <v>0.066150598</v>
      </c>
      <c r="T1351" s="697">
        <v>10.37063712</v>
      </c>
      <c r="AB1351" s="722"/>
    </row>
    <row r="1352">
      <c r="A1352" s="351"/>
      <c r="B1352" s="681" t="s">
        <v>65</v>
      </c>
      <c r="C1352" s="682" t="s">
        <v>915</v>
      </c>
      <c r="D1352" s="682" t="s">
        <v>916</v>
      </c>
      <c r="E1352" s="682" t="s">
        <v>179</v>
      </c>
      <c r="F1352" s="682">
        <v>2021.0</v>
      </c>
      <c r="G1352" s="683">
        <v>0.001856172</v>
      </c>
      <c r="H1352" s="683">
        <v>9.74489E-4</v>
      </c>
      <c r="I1352" s="684">
        <v>0.003352678</v>
      </c>
      <c r="K1352" s="693" t="s">
        <v>41</v>
      </c>
      <c r="L1352" s="694" t="s">
        <v>302</v>
      </c>
      <c r="M1352" s="694" t="s">
        <v>915</v>
      </c>
      <c r="N1352" s="694" t="s">
        <v>927</v>
      </c>
      <c r="O1352" s="694">
        <v>2021.0</v>
      </c>
      <c r="P1352" s="694" t="s">
        <v>919</v>
      </c>
      <c r="Q1352" s="695" t="s">
        <v>112</v>
      </c>
      <c r="R1352" s="696">
        <v>0.58194567</v>
      </c>
      <c r="S1352" s="696">
        <v>0.009622442</v>
      </c>
      <c r="T1352" s="697">
        <v>1.892285458</v>
      </c>
      <c r="AB1352" s="722"/>
    </row>
    <row r="1353">
      <c r="A1353" s="351"/>
      <c r="B1353" s="681" t="s">
        <v>65</v>
      </c>
      <c r="C1353" s="682" t="s">
        <v>915</v>
      </c>
      <c r="D1353" s="682" t="s">
        <v>922</v>
      </c>
      <c r="E1353" s="682" t="s">
        <v>179</v>
      </c>
      <c r="F1353" s="682">
        <v>2021.0</v>
      </c>
      <c r="G1353" s="683">
        <v>0.011869172</v>
      </c>
      <c r="H1353" s="683">
        <v>0.007286944</v>
      </c>
      <c r="I1353" s="684">
        <v>0.018527767</v>
      </c>
      <c r="K1353" s="693" t="s">
        <v>41</v>
      </c>
      <c r="L1353" s="694" t="s">
        <v>302</v>
      </c>
      <c r="M1353" s="694" t="s">
        <v>915</v>
      </c>
      <c r="N1353" s="694" t="s">
        <v>926</v>
      </c>
      <c r="O1353" s="694">
        <v>2021.0</v>
      </c>
      <c r="P1353" s="694" t="s">
        <v>919</v>
      </c>
      <c r="Q1353" s="695" t="s">
        <v>112</v>
      </c>
      <c r="R1353" s="696">
        <v>10.71030585</v>
      </c>
      <c r="S1353" s="696">
        <v>0.265373914</v>
      </c>
      <c r="T1353" s="697">
        <v>24.98358574</v>
      </c>
      <c r="AB1353" s="722"/>
    </row>
    <row r="1354">
      <c r="A1354" s="351"/>
      <c r="B1354" s="681" t="s">
        <v>65</v>
      </c>
      <c r="C1354" s="682" t="s">
        <v>915</v>
      </c>
      <c r="D1354" s="682" t="s">
        <v>924</v>
      </c>
      <c r="E1354" s="682" t="s">
        <v>179</v>
      </c>
      <c r="F1354" s="682">
        <v>2021.0</v>
      </c>
      <c r="G1354" s="683">
        <v>6.51E-5</v>
      </c>
      <c r="H1354" s="683">
        <v>2.96E-5</v>
      </c>
      <c r="I1354" s="684">
        <v>1.31314E-4</v>
      </c>
      <c r="K1354" s="693" t="s">
        <v>26</v>
      </c>
      <c r="L1354" s="694" t="s">
        <v>302</v>
      </c>
      <c r="M1354" s="694" t="s">
        <v>915</v>
      </c>
      <c r="N1354" s="694" t="s">
        <v>918</v>
      </c>
      <c r="O1354" s="694">
        <v>2021.0</v>
      </c>
      <c r="P1354" s="694" t="s">
        <v>919</v>
      </c>
      <c r="Q1354" s="695" t="s">
        <v>112</v>
      </c>
      <c r="R1354" s="696">
        <v>7.527003173</v>
      </c>
      <c r="S1354" s="696">
        <v>1.262018946</v>
      </c>
      <c r="T1354" s="697">
        <v>24.96461486</v>
      </c>
      <c r="AB1354" s="722"/>
    </row>
    <row r="1355">
      <c r="A1355" s="351"/>
      <c r="B1355" s="681" t="s">
        <v>65</v>
      </c>
      <c r="C1355" s="682" t="s">
        <v>915</v>
      </c>
      <c r="D1355" s="682" t="s">
        <v>926</v>
      </c>
      <c r="E1355" s="682" t="s">
        <v>179</v>
      </c>
      <c r="F1355" s="682">
        <v>2021.0</v>
      </c>
      <c r="G1355" s="683">
        <v>3.22044E-4</v>
      </c>
      <c r="H1355" s="683">
        <v>1.34655E-4</v>
      </c>
      <c r="I1355" s="684">
        <v>6.58972E-4</v>
      </c>
      <c r="K1355" s="693" t="s">
        <v>26</v>
      </c>
      <c r="L1355" s="694" t="s">
        <v>302</v>
      </c>
      <c r="M1355" s="694" t="s">
        <v>915</v>
      </c>
      <c r="N1355" s="694" t="s">
        <v>923</v>
      </c>
      <c r="O1355" s="694">
        <v>2021.0</v>
      </c>
      <c r="P1355" s="694" t="s">
        <v>919</v>
      </c>
      <c r="Q1355" s="695" t="s">
        <v>112</v>
      </c>
      <c r="R1355" s="696">
        <v>30.47888663</v>
      </c>
      <c r="S1355" s="696">
        <v>8.76897198</v>
      </c>
      <c r="T1355" s="697">
        <v>116.7708375</v>
      </c>
      <c r="AB1355" s="722"/>
    </row>
    <row r="1356">
      <c r="A1356" s="351"/>
      <c r="B1356" s="681" t="s">
        <v>35</v>
      </c>
      <c r="C1356" s="682" t="s">
        <v>915</v>
      </c>
      <c r="D1356" s="682" t="s">
        <v>916</v>
      </c>
      <c r="E1356" s="682" t="s">
        <v>179</v>
      </c>
      <c r="F1356" s="682">
        <v>2021.0</v>
      </c>
      <c r="G1356" s="683">
        <v>0.010104002</v>
      </c>
      <c r="H1356" s="683">
        <v>0.006634208</v>
      </c>
      <c r="I1356" s="684">
        <v>0.014182054</v>
      </c>
      <c r="K1356" s="693" t="s">
        <v>26</v>
      </c>
      <c r="L1356" s="694" t="s">
        <v>302</v>
      </c>
      <c r="M1356" s="694" t="s">
        <v>915</v>
      </c>
      <c r="N1356" s="694" t="s">
        <v>925</v>
      </c>
      <c r="O1356" s="694">
        <v>2021.0</v>
      </c>
      <c r="P1356" s="694" t="s">
        <v>919</v>
      </c>
      <c r="Q1356" s="695" t="s">
        <v>112</v>
      </c>
      <c r="R1356" s="696">
        <v>13.78822446</v>
      </c>
      <c r="S1356" s="696">
        <v>2.417494565</v>
      </c>
      <c r="T1356" s="697">
        <v>60.31025254</v>
      </c>
      <c r="AB1356" s="722"/>
    </row>
    <row r="1357">
      <c r="A1357" s="351"/>
      <c r="B1357" s="681" t="s">
        <v>35</v>
      </c>
      <c r="C1357" s="682" t="s">
        <v>915</v>
      </c>
      <c r="D1357" s="682" t="s">
        <v>922</v>
      </c>
      <c r="E1357" s="682" t="s">
        <v>179</v>
      </c>
      <c r="F1357" s="682">
        <v>2021.0</v>
      </c>
      <c r="G1357" s="683">
        <v>0.055929714</v>
      </c>
      <c r="H1357" s="683">
        <v>0.037169838</v>
      </c>
      <c r="I1357" s="684">
        <v>0.080007583</v>
      </c>
      <c r="K1357" s="693" t="s">
        <v>26</v>
      </c>
      <c r="L1357" s="694" t="s">
        <v>302</v>
      </c>
      <c r="M1357" s="694" t="s">
        <v>915</v>
      </c>
      <c r="N1357" s="694" t="s">
        <v>927</v>
      </c>
      <c r="O1357" s="694">
        <v>2021.0</v>
      </c>
      <c r="P1357" s="694" t="s">
        <v>919</v>
      </c>
      <c r="Q1357" s="695" t="s">
        <v>112</v>
      </c>
      <c r="R1357" s="696">
        <v>2.734942607</v>
      </c>
      <c r="S1357" s="696">
        <v>0.468886606</v>
      </c>
      <c r="T1357" s="697">
        <v>11.93106863</v>
      </c>
      <c r="AB1357" s="722"/>
    </row>
    <row r="1358">
      <c r="A1358" s="351"/>
      <c r="B1358" s="681" t="s">
        <v>35</v>
      </c>
      <c r="C1358" s="682" t="s">
        <v>915</v>
      </c>
      <c r="D1358" s="682" t="s">
        <v>924</v>
      </c>
      <c r="E1358" s="682" t="s">
        <v>179</v>
      </c>
      <c r="F1358" s="682">
        <v>2021.0</v>
      </c>
      <c r="G1358" s="683">
        <v>6.62009E-4</v>
      </c>
      <c r="H1358" s="683">
        <v>4.19068E-4</v>
      </c>
      <c r="I1358" s="684">
        <v>9.42301E-4</v>
      </c>
      <c r="K1358" s="693" t="s">
        <v>26</v>
      </c>
      <c r="L1358" s="694" t="s">
        <v>302</v>
      </c>
      <c r="M1358" s="694" t="s">
        <v>915</v>
      </c>
      <c r="N1358" s="694" t="s">
        <v>926</v>
      </c>
      <c r="O1358" s="694">
        <v>2021.0</v>
      </c>
      <c r="P1358" s="694" t="s">
        <v>919</v>
      </c>
      <c r="Q1358" s="695" t="s">
        <v>112</v>
      </c>
      <c r="R1358" s="696">
        <v>54.52905687</v>
      </c>
      <c r="S1358" s="696">
        <v>17.52752895</v>
      </c>
      <c r="T1358" s="697">
        <v>186.7679521</v>
      </c>
      <c r="AB1358" s="722"/>
    </row>
    <row r="1359">
      <c r="A1359" s="351"/>
      <c r="B1359" s="681" t="s">
        <v>35</v>
      </c>
      <c r="C1359" s="682" t="s">
        <v>915</v>
      </c>
      <c r="D1359" s="682" t="s">
        <v>926</v>
      </c>
      <c r="E1359" s="682" t="s">
        <v>179</v>
      </c>
      <c r="F1359" s="682">
        <v>2021.0</v>
      </c>
      <c r="G1359" s="683">
        <v>0.004692335</v>
      </c>
      <c r="H1359" s="683">
        <v>0.002951919</v>
      </c>
      <c r="I1359" s="684">
        <v>0.006914239</v>
      </c>
      <c r="K1359" s="693" t="s">
        <v>42</v>
      </c>
      <c r="L1359" s="694" t="s">
        <v>302</v>
      </c>
      <c r="M1359" s="694" t="s">
        <v>915</v>
      </c>
      <c r="N1359" s="694" t="s">
        <v>918</v>
      </c>
      <c r="O1359" s="694">
        <v>2021.0</v>
      </c>
      <c r="P1359" s="694" t="s">
        <v>919</v>
      </c>
      <c r="Q1359" s="695" t="s">
        <v>112</v>
      </c>
      <c r="R1359" s="696">
        <v>0.1299812</v>
      </c>
      <c r="S1359" s="696">
        <v>0.005581294</v>
      </c>
      <c r="T1359" s="697">
        <v>0.528776757</v>
      </c>
      <c r="AB1359" s="722"/>
    </row>
    <row r="1360">
      <c r="A1360" s="351"/>
      <c r="B1360" s="681" t="s">
        <v>66</v>
      </c>
      <c r="C1360" s="682" t="s">
        <v>915</v>
      </c>
      <c r="D1360" s="682" t="s">
        <v>916</v>
      </c>
      <c r="E1360" s="682" t="s">
        <v>179</v>
      </c>
      <c r="F1360" s="682">
        <v>2021.0</v>
      </c>
      <c r="G1360" s="683">
        <v>0.004273474</v>
      </c>
      <c r="H1360" s="683">
        <v>0.002615015</v>
      </c>
      <c r="I1360" s="684">
        <v>0.006526916</v>
      </c>
      <c r="K1360" s="693" t="s">
        <v>42</v>
      </c>
      <c r="L1360" s="694" t="s">
        <v>302</v>
      </c>
      <c r="M1360" s="694" t="s">
        <v>915</v>
      </c>
      <c r="N1360" s="694" t="s">
        <v>923</v>
      </c>
      <c r="O1360" s="694">
        <v>2021.0</v>
      </c>
      <c r="P1360" s="694" t="s">
        <v>919</v>
      </c>
      <c r="Q1360" s="695" t="s">
        <v>112</v>
      </c>
      <c r="R1360" s="696">
        <v>0.783819609</v>
      </c>
      <c r="S1360" s="696">
        <v>0.062873737</v>
      </c>
      <c r="T1360" s="697">
        <v>1.967146678</v>
      </c>
      <c r="AB1360" s="722"/>
    </row>
    <row r="1361">
      <c r="A1361" s="351"/>
      <c r="B1361" s="681" t="s">
        <v>66</v>
      </c>
      <c r="C1361" s="682" t="s">
        <v>915</v>
      </c>
      <c r="D1361" s="682" t="s">
        <v>922</v>
      </c>
      <c r="E1361" s="682" t="s">
        <v>179</v>
      </c>
      <c r="F1361" s="682">
        <v>2021.0</v>
      </c>
      <c r="G1361" s="683">
        <v>0.020851106</v>
      </c>
      <c r="H1361" s="683">
        <v>0.013718323</v>
      </c>
      <c r="I1361" s="684">
        <v>0.030734346</v>
      </c>
      <c r="K1361" s="693" t="s">
        <v>42</v>
      </c>
      <c r="L1361" s="694" t="s">
        <v>302</v>
      </c>
      <c r="M1361" s="694" t="s">
        <v>915</v>
      </c>
      <c r="N1361" s="694" t="s">
        <v>925</v>
      </c>
      <c r="O1361" s="694">
        <v>2021.0</v>
      </c>
      <c r="P1361" s="694" t="s">
        <v>919</v>
      </c>
      <c r="Q1361" s="695" t="s">
        <v>112</v>
      </c>
      <c r="R1361" s="696">
        <v>0.417991705</v>
      </c>
      <c r="S1361" s="696">
        <v>0.02704992</v>
      </c>
      <c r="T1361" s="697">
        <v>1.564695905</v>
      </c>
      <c r="AB1361" s="722"/>
    </row>
    <row r="1362">
      <c r="A1362" s="351"/>
      <c r="B1362" s="681" t="s">
        <v>66</v>
      </c>
      <c r="C1362" s="682" t="s">
        <v>915</v>
      </c>
      <c r="D1362" s="682" t="s">
        <v>924</v>
      </c>
      <c r="E1362" s="682" t="s">
        <v>179</v>
      </c>
      <c r="F1362" s="682">
        <v>2021.0</v>
      </c>
      <c r="G1362" s="683">
        <v>2.35176E-4</v>
      </c>
      <c r="H1362" s="683">
        <v>1.41769E-4</v>
      </c>
      <c r="I1362" s="684">
        <v>3.7754E-4</v>
      </c>
      <c r="K1362" s="693" t="s">
        <v>42</v>
      </c>
      <c r="L1362" s="694" t="s">
        <v>302</v>
      </c>
      <c r="M1362" s="694" t="s">
        <v>915</v>
      </c>
      <c r="N1362" s="694" t="s">
        <v>927</v>
      </c>
      <c r="O1362" s="694">
        <v>2021.0</v>
      </c>
      <c r="P1362" s="694" t="s">
        <v>919</v>
      </c>
      <c r="Q1362" s="695" t="s">
        <v>112</v>
      </c>
      <c r="R1362" s="696">
        <v>0.074010954</v>
      </c>
      <c r="S1362" s="696">
        <v>0.003881377</v>
      </c>
      <c r="T1362" s="697">
        <v>0.252756384</v>
      </c>
      <c r="AB1362" s="722"/>
    </row>
    <row r="1363">
      <c r="A1363" s="351"/>
      <c r="B1363" s="681" t="s">
        <v>66</v>
      </c>
      <c r="C1363" s="682" t="s">
        <v>915</v>
      </c>
      <c r="D1363" s="682" t="s">
        <v>926</v>
      </c>
      <c r="E1363" s="682" t="s">
        <v>179</v>
      </c>
      <c r="F1363" s="682">
        <v>2021.0</v>
      </c>
      <c r="G1363" s="683">
        <v>0.001380717</v>
      </c>
      <c r="H1363" s="683">
        <v>8.20094E-4</v>
      </c>
      <c r="I1363" s="684">
        <v>0.002336915</v>
      </c>
      <c r="K1363" s="693" t="s">
        <v>42</v>
      </c>
      <c r="L1363" s="694" t="s">
        <v>302</v>
      </c>
      <c r="M1363" s="694" t="s">
        <v>915</v>
      </c>
      <c r="N1363" s="694" t="s">
        <v>926</v>
      </c>
      <c r="O1363" s="694">
        <v>2021.0</v>
      </c>
      <c r="P1363" s="694" t="s">
        <v>919</v>
      </c>
      <c r="Q1363" s="695" t="s">
        <v>112</v>
      </c>
      <c r="R1363" s="696">
        <v>1.405803468</v>
      </c>
      <c r="S1363" s="696">
        <v>0.101379638</v>
      </c>
      <c r="T1363" s="697">
        <v>3.773434918</v>
      </c>
      <c r="AB1363" s="722"/>
    </row>
    <row r="1364">
      <c r="A1364" s="351"/>
      <c r="B1364" s="681" t="s">
        <v>67</v>
      </c>
      <c r="C1364" s="682" t="s">
        <v>915</v>
      </c>
      <c r="D1364" s="682" t="s">
        <v>916</v>
      </c>
      <c r="E1364" s="682" t="s">
        <v>179</v>
      </c>
      <c r="F1364" s="682">
        <v>2021.0</v>
      </c>
      <c r="G1364" s="683">
        <v>0.006708114</v>
      </c>
      <c r="H1364" s="683">
        <v>0.00425909</v>
      </c>
      <c r="I1364" s="684">
        <v>0.009788973</v>
      </c>
      <c r="K1364" s="693" t="s">
        <v>44</v>
      </c>
      <c r="L1364" s="694" t="s">
        <v>302</v>
      </c>
      <c r="M1364" s="694" t="s">
        <v>915</v>
      </c>
      <c r="N1364" s="694" t="s">
        <v>918</v>
      </c>
      <c r="O1364" s="694">
        <v>2021.0</v>
      </c>
      <c r="P1364" s="694" t="s">
        <v>919</v>
      </c>
      <c r="Q1364" s="695" t="s">
        <v>112</v>
      </c>
      <c r="R1364" s="696">
        <v>1.134650592</v>
      </c>
      <c r="S1364" s="696">
        <v>0.168704561</v>
      </c>
      <c r="T1364" s="697">
        <v>3.627649224</v>
      </c>
      <c r="AB1364" s="722"/>
    </row>
    <row r="1365">
      <c r="A1365" s="351"/>
      <c r="B1365" s="681" t="s">
        <v>67</v>
      </c>
      <c r="C1365" s="682" t="s">
        <v>915</v>
      </c>
      <c r="D1365" s="682" t="s">
        <v>922</v>
      </c>
      <c r="E1365" s="682" t="s">
        <v>179</v>
      </c>
      <c r="F1365" s="682">
        <v>2021.0</v>
      </c>
      <c r="G1365" s="683">
        <v>0.043770944</v>
      </c>
      <c r="H1365" s="683">
        <v>0.029097123</v>
      </c>
      <c r="I1365" s="684">
        <v>0.063571649</v>
      </c>
      <c r="K1365" s="693" t="s">
        <v>44</v>
      </c>
      <c r="L1365" s="694" t="s">
        <v>302</v>
      </c>
      <c r="M1365" s="694" t="s">
        <v>915</v>
      </c>
      <c r="N1365" s="694" t="s">
        <v>923</v>
      </c>
      <c r="O1365" s="694">
        <v>2021.0</v>
      </c>
      <c r="P1365" s="694" t="s">
        <v>919</v>
      </c>
      <c r="Q1365" s="695" t="s">
        <v>112</v>
      </c>
      <c r="R1365" s="696">
        <v>14.18173748</v>
      </c>
      <c r="S1365" s="696">
        <v>2.639034641</v>
      </c>
      <c r="T1365" s="697">
        <v>34.21844761</v>
      </c>
      <c r="AB1365" s="722"/>
    </row>
    <row r="1366">
      <c r="A1366" s="351"/>
      <c r="B1366" s="681" t="s">
        <v>67</v>
      </c>
      <c r="C1366" s="682" t="s">
        <v>915</v>
      </c>
      <c r="D1366" s="682" t="s">
        <v>924</v>
      </c>
      <c r="E1366" s="682" t="s">
        <v>179</v>
      </c>
      <c r="F1366" s="682">
        <v>2021.0</v>
      </c>
      <c r="G1366" s="683">
        <v>3.88626E-4</v>
      </c>
      <c r="H1366" s="683">
        <v>2.52368E-4</v>
      </c>
      <c r="I1366" s="684">
        <v>5.54908E-4</v>
      </c>
      <c r="K1366" s="693" t="s">
        <v>44</v>
      </c>
      <c r="L1366" s="694" t="s">
        <v>302</v>
      </c>
      <c r="M1366" s="694" t="s">
        <v>915</v>
      </c>
      <c r="N1366" s="694" t="s">
        <v>925</v>
      </c>
      <c r="O1366" s="694">
        <v>2021.0</v>
      </c>
      <c r="P1366" s="694" t="s">
        <v>919</v>
      </c>
      <c r="Q1366" s="695" t="s">
        <v>112</v>
      </c>
      <c r="R1366" s="696">
        <v>7.373690901</v>
      </c>
      <c r="S1366" s="696">
        <v>1.143794323</v>
      </c>
      <c r="T1366" s="697">
        <v>24.02100808</v>
      </c>
      <c r="AB1366" s="722"/>
    </row>
    <row r="1367">
      <c r="A1367" s="351"/>
      <c r="B1367" s="681" t="s">
        <v>67</v>
      </c>
      <c r="C1367" s="682" t="s">
        <v>915</v>
      </c>
      <c r="D1367" s="682" t="s">
        <v>926</v>
      </c>
      <c r="E1367" s="682" t="s">
        <v>179</v>
      </c>
      <c r="F1367" s="682">
        <v>2021.0</v>
      </c>
      <c r="G1367" s="683">
        <v>0.00187352</v>
      </c>
      <c r="H1367" s="683">
        <v>9.94396E-4</v>
      </c>
      <c r="I1367" s="684">
        <v>0.003347952</v>
      </c>
      <c r="K1367" s="693" t="s">
        <v>44</v>
      </c>
      <c r="L1367" s="694" t="s">
        <v>302</v>
      </c>
      <c r="M1367" s="694" t="s">
        <v>915</v>
      </c>
      <c r="N1367" s="694" t="s">
        <v>927</v>
      </c>
      <c r="O1367" s="694">
        <v>2021.0</v>
      </c>
      <c r="P1367" s="694" t="s">
        <v>919</v>
      </c>
      <c r="Q1367" s="695" t="s">
        <v>112</v>
      </c>
      <c r="R1367" s="696">
        <v>1.477641694</v>
      </c>
      <c r="S1367" s="696">
        <v>0.207998068</v>
      </c>
      <c r="T1367" s="697">
        <v>4.643741135</v>
      </c>
      <c r="AB1367" s="722"/>
    </row>
    <row r="1368">
      <c r="A1368" s="351"/>
      <c r="B1368" s="681" t="s">
        <v>37</v>
      </c>
      <c r="C1368" s="682" t="s">
        <v>915</v>
      </c>
      <c r="D1368" s="682" t="s">
        <v>916</v>
      </c>
      <c r="E1368" s="682" t="s">
        <v>179</v>
      </c>
      <c r="F1368" s="682">
        <v>2021.0</v>
      </c>
      <c r="G1368" s="683">
        <v>0.008822924</v>
      </c>
      <c r="H1368" s="683">
        <v>0.005463851</v>
      </c>
      <c r="I1368" s="684">
        <v>0.0125297</v>
      </c>
      <c r="K1368" s="693" t="s">
        <v>44</v>
      </c>
      <c r="L1368" s="694" t="s">
        <v>302</v>
      </c>
      <c r="M1368" s="694" t="s">
        <v>915</v>
      </c>
      <c r="N1368" s="694" t="s">
        <v>926</v>
      </c>
      <c r="O1368" s="694">
        <v>2021.0</v>
      </c>
      <c r="P1368" s="694" t="s">
        <v>919</v>
      </c>
      <c r="Q1368" s="695" t="s">
        <v>112</v>
      </c>
      <c r="R1368" s="696">
        <v>24.16772067</v>
      </c>
      <c r="S1368" s="696">
        <v>4.406249253</v>
      </c>
      <c r="T1368" s="697">
        <v>60.6731904</v>
      </c>
      <c r="AB1368" s="722"/>
    </row>
    <row r="1369">
      <c r="A1369" s="351"/>
      <c r="B1369" s="681" t="s">
        <v>37</v>
      </c>
      <c r="C1369" s="682" t="s">
        <v>915</v>
      </c>
      <c r="D1369" s="682" t="s">
        <v>922</v>
      </c>
      <c r="E1369" s="682" t="s">
        <v>179</v>
      </c>
      <c r="F1369" s="682">
        <v>2021.0</v>
      </c>
      <c r="G1369" s="683">
        <v>0.065277222</v>
      </c>
      <c r="H1369" s="683">
        <v>0.043522948</v>
      </c>
      <c r="I1369" s="684">
        <v>0.090380877</v>
      </c>
      <c r="K1369" s="693" t="s">
        <v>45</v>
      </c>
      <c r="L1369" s="694" t="s">
        <v>302</v>
      </c>
      <c r="M1369" s="694" t="s">
        <v>915</v>
      </c>
      <c r="N1369" s="694" t="s">
        <v>918</v>
      </c>
      <c r="O1369" s="694">
        <v>2021.0</v>
      </c>
      <c r="P1369" s="694" t="s">
        <v>919</v>
      </c>
      <c r="Q1369" s="695" t="s">
        <v>112</v>
      </c>
      <c r="R1369" s="696">
        <v>0.668091664</v>
      </c>
      <c r="S1369" s="696">
        <v>0.099920747</v>
      </c>
      <c r="T1369" s="697">
        <v>2.543437683</v>
      </c>
      <c r="AB1369" s="722"/>
    </row>
    <row r="1370">
      <c r="A1370" s="351"/>
      <c r="B1370" s="681" t="s">
        <v>37</v>
      </c>
      <c r="C1370" s="682" t="s">
        <v>915</v>
      </c>
      <c r="D1370" s="682" t="s">
        <v>924</v>
      </c>
      <c r="E1370" s="682" t="s">
        <v>179</v>
      </c>
      <c r="F1370" s="682">
        <v>2021.0</v>
      </c>
      <c r="G1370" s="683">
        <v>7.43129E-4</v>
      </c>
      <c r="H1370" s="683">
        <v>4.71478E-4</v>
      </c>
      <c r="I1370" s="684">
        <v>0.001053182</v>
      </c>
      <c r="K1370" s="693" t="s">
        <v>45</v>
      </c>
      <c r="L1370" s="694" t="s">
        <v>302</v>
      </c>
      <c r="M1370" s="694" t="s">
        <v>915</v>
      </c>
      <c r="N1370" s="694" t="s">
        <v>923</v>
      </c>
      <c r="O1370" s="694">
        <v>2021.0</v>
      </c>
      <c r="P1370" s="694" t="s">
        <v>919</v>
      </c>
      <c r="Q1370" s="695" t="s">
        <v>112</v>
      </c>
      <c r="R1370" s="696">
        <v>5.691886711</v>
      </c>
      <c r="S1370" s="696">
        <v>1.815615879</v>
      </c>
      <c r="T1370" s="697">
        <v>15.59401658</v>
      </c>
      <c r="AB1370" s="722"/>
    </row>
    <row r="1371">
      <c r="A1371" s="351"/>
      <c r="B1371" s="717" t="s">
        <v>37</v>
      </c>
      <c r="C1371" s="718" t="s">
        <v>915</v>
      </c>
      <c r="D1371" s="718" t="s">
        <v>926</v>
      </c>
      <c r="E1371" s="718" t="s">
        <v>179</v>
      </c>
      <c r="F1371" s="718">
        <v>2021.0</v>
      </c>
      <c r="G1371" s="896">
        <v>0.005920174</v>
      </c>
      <c r="H1371" s="896">
        <v>0.003928611</v>
      </c>
      <c r="I1371" s="897">
        <v>0.008549403</v>
      </c>
      <c r="K1371" s="693" t="s">
        <v>45</v>
      </c>
      <c r="L1371" s="694" t="s">
        <v>302</v>
      </c>
      <c r="M1371" s="694" t="s">
        <v>915</v>
      </c>
      <c r="N1371" s="694" t="s">
        <v>925</v>
      </c>
      <c r="O1371" s="694">
        <v>2021.0</v>
      </c>
      <c r="P1371" s="694" t="s">
        <v>919</v>
      </c>
      <c r="Q1371" s="695" t="s">
        <v>112</v>
      </c>
      <c r="R1371" s="696">
        <v>3.112678576</v>
      </c>
      <c r="S1371" s="696">
        <v>0.568665612</v>
      </c>
      <c r="T1371" s="697">
        <v>11.07608214</v>
      </c>
      <c r="AB1371" s="722"/>
    </row>
    <row r="1372">
      <c r="A1372" s="351"/>
      <c r="K1372" s="693" t="s">
        <v>45</v>
      </c>
      <c r="L1372" s="694" t="s">
        <v>302</v>
      </c>
      <c r="M1372" s="694" t="s">
        <v>915</v>
      </c>
      <c r="N1372" s="694" t="s">
        <v>927</v>
      </c>
      <c r="O1372" s="694">
        <v>2021.0</v>
      </c>
      <c r="P1372" s="694" t="s">
        <v>919</v>
      </c>
      <c r="Q1372" s="695" t="s">
        <v>112</v>
      </c>
      <c r="R1372" s="696">
        <v>0.441280782</v>
      </c>
      <c r="S1372" s="696">
        <v>0.082282572</v>
      </c>
      <c r="T1372" s="697">
        <v>1.645686091</v>
      </c>
      <c r="AB1372" s="722"/>
    </row>
    <row r="1373">
      <c r="A1373" s="351"/>
      <c r="K1373" s="693" t="s">
        <v>45</v>
      </c>
      <c r="L1373" s="694" t="s">
        <v>302</v>
      </c>
      <c r="M1373" s="694" t="s">
        <v>915</v>
      </c>
      <c r="N1373" s="694" t="s">
        <v>926</v>
      </c>
      <c r="O1373" s="694">
        <v>2021.0</v>
      </c>
      <c r="P1373" s="694" t="s">
        <v>919</v>
      </c>
      <c r="Q1373" s="695" t="s">
        <v>112</v>
      </c>
      <c r="R1373" s="696">
        <v>9.913937734</v>
      </c>
      <c r="S1373" s="696">
        <v>3.352785651</v>
      </c>
      <c r="T1373" s="697">
        <v>27.46779939</v>
      </c>
      <c r="AB1373" s="722"/>
    </row>
    <row r="1374">
      <c r="A1374" s="351"/>
      <c r="K1374" s="693" t="s">
        <v>46</v>
      </c>
      <c r="L1374" s="694" t="s">
        <v>302</v>
      </c>
      <c r="M1374" s="694" t="s">
        <v>915</v>
      </c>
      <c r="N1374" s="694" t="s">
        <v>918</v>
      </c>
      <c r="O1374" s="694">
        <v>2021.0</v>
      </c>
      <c r="P1374" s="694" t="s">
        <v>919</v>
      </c>
      <c r="Q1374" s="695" t="s">
        <v>112</v>
      </c>
      <c r="R1374" s="696">
        <v>0.2417026</v>
      </c>
      <c r="S1374" s="696">
        <v>0.00836361</v>
      </c>
      <c r="T1374" s="697">
        <v>0.919118222</v>
      </c>
      <c r="AB1374" s="722"/>
    </row>
    <row r="1375">
      <c r="A1375" s="351"/>
      <c r="K1375" s="693" t="s">
        <v>46</v>
      </c>
      <c r="L1375" s="694" t="s">
        <v>302</v>
      </c>
      <c r="M1375" s="694" t="s">
        <v>915</v>
      </c>
      <c r="N1375" s="694" t="s">
        <v>923</v>
      </c>
      <c r="O1375" s="694">
        <v>2021.0</v>
      </c>
      <c r="P1375" s="694" t="s">
        <v>919</v>
      </c>
      <c r="Q1375" s="695" t="s">
        <v>112</v>
      </c>
      <c r="R1375" s="696">
        <v>2.364898348</v>
      </c>
      <c r="S1375" s="696">
        <v>0.12771561</v>
      </c>
      <c r="T1375" s="697">
        <v>5.800622653</v>
      </c>
      <c r="AB1375" s="722"/>
    </row>
    <row r="1376">
      <c r="A1376" s="351"/>
      <c r="K1376" s="693" t="s">
        <v>46</v>
      </c>
      <c r="L1376" s="694" t="s">
        <v>302</v>
      </c>
      <c r="M1376" s="694" t="s">
        <v>915</v>
      </c>
      <c r="N1376" s="694" t="s">
        <v>925</v>
      </c>
      <c r="O1376" s="694">
        <v>2021.0</v>
      </c>
      <c r="P1376" s="694" t="s">
        <v>919</v>
      </c>
      <c r="Q1376" s="695" t="s">
        <v>112</v>
      </c>
      <c r="R1376" s="696">
        <v>1.319127884</v>
      </c>
      <c r="S1376" s="696">
        <v>0.057780548</v>
      </c>
      <c r="T1376" s="697">
        <v>4.26888573</v>
      </c>
      <c r="AB1376" s="722"/>
    </row>
    <row r="1377">
      <c r="A1377" s="351"/>
      <c r="K1377" s="693" t="s">
        <v>46</v>
      </c>
      <c r="L1377" s="694" t="s">
        <v>302</v>
      </c>
      <c r="M1377" s="694" t="s">
        <v>915</v>
      </c>
      <c r="N1377" s="694" t="s">
        <v>927</v>
      </c>
      <c r="O1377" s="694">
        <v>2021.0</v>
      </c>
      <c r="P1377" s="694" t="s">
        <v>919</v>
      </c>
      <c r="Q1377" s="695" t="s">
        <v>112</v>
      </c>
      <c r="R1377" s="696">
        <v>0.256410765</v>
      </c>
      <c r="S1377" s="696">
        <v>0.010451091</v>
      </c>
      <c r="T1377" s="697">
        <v>0.802597232</v>
      </c>
      <c r="AB1377" s="722"/>
    </row>
    <row r="1378">
      <c r="A1378" s="351"/>
      <c r="K1378" s="693" t="s">
        <v>46</v>
      </c>
      <c r="L1378" s="694" t="s">
        <v>302</v>
      </c>
      <c r="M1378" s="694" t="s">
        <v>915</v>
      </c>
      <c r="N1378" s="694" t="s">
        <v>926</v>
      </c>
      <c r="O1378" s="694">
        <v>2021.0</v>
      </c>
      <c r="P1378" s="694" t="s">
        <v>919</v>
      </c>
      <c r="Q1378" s="695" t="s">
        <v>112</v>
      </c>
      <c r="R1378" s="696">
        <v>4.182139598</v>
      </c>
      <c r="S1378" s="696">
        <v>0.212955188</v>
      </c>
      <c r="T1378" s="697">
        <v>9.331600584</v>
      </c>
      <c r="AB1378" s="722"/>
    </row>
    <row r="1379">
      <c r="A1379" s="351"/>
      <c r="K1379" s="693" t="s">
        <v>47</v>
      </c>
      <c r="L1379" s="694" t="s">
        <v>302</v>
      </c>
      <c r="M1379" s="694" t="s">
        <v>915</v>
      </c>
      <c r="N1379" s="694" t="s">
        <v>918</v>
      </c>
      <c r="O1379" s="694">
        <v>2021.0</v>
      </c>
      <c r="P1379" s="694" t="s">
        <v>919</v>
      </c>
      <c r="Q1379" s="695" t="s">
        <v>112</v>
      </c>
      <c r="R1379" s="696">
        <v>0.432317794</v>
      </c>
      <c r="S1379" s="696">
        <v>0.009413205</v>
      </c>
      <c r="T1379" s="697">
        <v>1.835393277</v>
      </c>
      <c r="AB1379" s="722"/>
    </row>
    <row r="1380">
      <c r="A1380" s="351"/>
      <c r="K1380" s="693" t="s">
        <v>47</v>
      </c>
      <c r="L1380" s="694" t="s">
        <v>302</v>
      </c>
      <c r="M1380" s="694" t="s">
        <v>915</v>
      </c>
      <c r="N1380" s="694" t="s">
        <v>923</v>
      </c>
      <c r="O1380" s="694">
        <v>2021.0</v>
      </c>
      <c r="P1380" s="694" t="s">
        <v>919</v>
      </c>
      <c r="Q1380" s="695" t="s">
        <v>112</v>
      </c>
      <c r="R1380" s="696">
        <v>6.378451158</v>
      </c>
      <c r="S1380" s="696">
        <v>0.233395974</v>
      </c>
      <c r="T1380" s="697">
        <v>14.46475303</v>
      </c>
      <c r="AB1380" s="722"/>
    </row>
    <row r="1381">
      <c r="A1381" s="351"/>
      <c r="K1381" s="693" t="s">
        <v>47</v>
      </c>
      <c r="L1381" s="694" t="s">
        <v>302</v>
      </c>
      <c r="M1381" s="694" t="s">
        <v>915</v>
      </c>
      <c r="N1381" s="694" t="s">
        <v>925</v>
      </c>
      <c r="O1381" s="694">
        <v>2021.0</v>
      </c>
      <c r="P1381" s="694" t="s">
        <v>919</v>
      </c>
      <c r="Q1381" s="695" t="s">
        <v>112</v>
      </c>
      <c r="R1381" s="696">
        <v>3.834320554</v>
      </c>
      <c r="S1381" s="696">
        <v>0.113677108</v>
      </c>
      <c r="T1381" s="697">
        <v>13.18191616</v>
      </c>
      <c r="AB1381" s="722"/>
    </row>
    <row r="1382">
      <c r="A1382" s="351"/>
      <c r="K1382" s="693" t="s">
        <v>47</v>
      </c>
      <c r="L1382" s="694" t="s">
        <v>302</v>
      </c>
      <c r="M1382" s="694" t="s">
        <v>915</v>
      </c>
      <c r="N1382" s="694" t="s">
        <v>927</v>
      </c>
      <c r="O1382" s="694">
        <v>2021.0</v>
      </c>
      <c r="P1382" s="694" t="s">
        <v>919</v>
      </c>
      <c r="Q1382" s="695" t="s">
        <v>112</v>
      </c>
      <c r="R1382" s="696">
        <v>0.606500246</v>
      </c>
      <c r="S1382" s="696">
        <v>0.012238015</v>
      </c>
      <c r="T1382" s="697">
        <v>2.129671153</v>
      </c>
      <c r="AB1382" s="722"/>
    </row>
    <row r="1383">
      <c r="A1383" s="351"/>
      <c r="K1383" s="693" t="s">
        <v>47</v>
      </c>
      <c r="L1383" s="694" t="s">
        <v>302</v>
      </c>
      <c r="M1383" s="694" t="s">
        <v>915</v>
      </c>
      <c r="N1383" s="694" t="s">
        <v>926</v>
      </c>
      <c r="O1383" s="694">
        <v>2021.0</v>
      </c>
      <c r="P1383" s="694" t="s">
        <v>919</v>
      </c>
      <c r="Q1383" s="695" t="s">
        <v>112</v>
      </c>
      <c r="R1383" s="696">
        <v>11.25158975</v>
      </c>
      <c r="S1383" s="696">
        <v>0.374324547</v>
      </c>
      <c r="T1383" s="697">
        <v>27.28174799</v>
      </c>
      <c r="AB1383" s="722"/>
    </row>
    <row r="1384">
      <c r="A1384" s="351"/>
      <c r="K1384" s="693" t="s">
        <v>48</v>
      </c>
      <c r="L1384" s="694" t="s">
        <v>302</v>
      </c>
      <c r="M1384" s="694" t="s">
        <v>915</v>
      </c>
      <c r="N1384" s="694" t="s">
        <v>918</v>
      </c>
      <c r="O1384" s="694">
        <v>2021.0</v>
      </c>
      <c r="P1384" s="694" t="s">
        <v>919</v>
      </c>
      <c r="Q1384" s="695" t="s">
        <v>112</v>
      </c>
      <c r="R1384" s="696">
        <v>0.484903423</v>
      </c>
      <c r="S1384" s="696">
        <v>0.024065193</v>
      </c>
      <c r="T1384" s="697">
        <v>1.814088538</v>
      </c>
      <c r="AB1384" s="722"/>
    </row>
    <row r="1385">
      <c r="A1385" s="351"/>
      <c r="K1385" s="693" t="s">
        <v>48</v>
      </c>
      <c r="L1385" s="694" t="s">
        <v>302</v>
      </c>
      <c r="M1385" s="694" t="s">
        <v>915</v>
      </c>
      <c r="N1385" s="694" t="s">
        <v>923</v>
      </c>
      <c r="O1385" s="694">
        <v>2021.0</v>
      </c>
      <c r="P1385" s="694" t="s">
        <v>919</v>
      </c>
      <c r="Q1385" s="695" t="s">
        <v>112</v>
      </c>
      <c r="R1385" s="696">
        <v>8.035664095</v>
      </c>
      <c r="S1385" s="696">
        <v>0.613525048</v>
      </c>
      <c r="T1385" s="697">
        <v>20.16366811</v>
      </c>
      <c r="AB1385" s="722"/>
    </row>
    <row r="1386">
      <c r="A1386" s="351"/>
      <c r="K1386" s="693" t="s">
        <v>48</v>
      </c>
      <c r="L1386" s="694" t="s">
        <v>302</v>
      </c>
      <c r="M1386" s="694" t="s">
        <v>915</v>
      </c>
      <c r="N1386" s="694" t="s">
        <v>925</v>
      </c>
      <c r="O1386" s="694">
        <v>2021.0</v>
      </c>
      <c r="P1386" s="694" t="s">
        <v>919</v>
      </c>
      <c r="Q1386" s="695" t="s">
        <v>112</v>
      </c>
      <c r="R1386" s="696">
        <v>4.02433628</v>
      </c>
      <c r="S1386" s="696">
        <v>0.232841481</v>
      </c>
      <c r="T1386" s="697">
        <v>14.04305174</v>
      </c>
      <c r="AB1386" s="722"/>
    </row>
    <row r="1387">
      <c r="A1387" s="351"/>
      <c r="K1387" s="693" t="s">
        <v>48</v>
      </c>
      <c r="L1387" s="694" t="s">
        <v>302</v>
      </c>
      <c r="M1387" s="694" t="s">
        <v>915</v>
      </c>
      <c r="N1387" s="694" t="s">
        <v>927</v>
      </c>
      <c r="O1387" s="694">
        <v>2021.0</v>
      </c>
      <c r="P1387" s="694" t="s">
        <v>919</v>
      </c>
      <c r="Q1387" s="695" t="s">
        <v>112</v>
      </c>
      <c r="R1387" s="696">
        <v>0.753581245</v>
      </c>
      <c r="S1387" s="696">
        <v>0.036817162</v>
      </c>
      <c r="T1387" s="697">
        <v>2.373951169</v>
      </c>
      <c r="AB1387" s="722"/>
    </row>
    <row r="1388">
      <c r="A1388" s="351"/>
      <c r="K1388" s="693" t="s">
        <v>48</v>
      </c>
      <c r="L1388" s="694" t="s">
        <v>302</v>
      </c>
      <c r="M1388" s="694" t="s">
        <v>915</v>
      </c>
      <c r="N1388" s="694" t="s">
        <v>926</v>
      </c>
      <c r="O1388" s="694">
        <v>2021.0</v>
      </c>
      <c r="P1388" s="694" t="s">
        <v>919</v>
      </c>
      <c r="Q1388" s="695" t="s">
        <v>112</v>
      </c>
      <c r="R1388" s="696">
        <v>13.29848504</v>
      </c>
      <c r="S1388" s="696">
        <v>0.889242487</v>
      </c>
      <c r="T1388" s="697">
        <v>33.86835417</v>
      </c>
      <c r="AB1388" s="722"/>
    </row>
    <row r="1389">
      <c r="A1389" s="351"/>
      <c r="K1389" s="693" t="s">
        <v>49</v>
      </c>
      <c r="L1389" s="694" t="s">
        <v>302</v>
      </c>
      <c r="M1389" s="694" t="s">
        <v>915</v>
      </c>
      <c r="N1389" s="694" t="s">
        <v>918</v>
      </c>
      <c r="O1389" s="694">
        <v>2021.0</v>
      </c>
      <c r="P1389" s="694" t="s">
        <v>919</v>
      </c>
      <c r="Q1389" s="695" t="s">
        <v>112</v>
      </c>
      <c r="R1389" s="696">
        <v>0.476464386</v>
      </c>
      <c r="S1389" s="696">
        <v>0.009192433</v>
      </c>
      <c r="T1389" s="697">
        <v>1.973934182</v>
      </c>
      <c r="AB1389" s="722"/>
    </row>
    <row r="1390">
      <c r="A1390" s="351"/>
      <c r="K1390" s="693" t="s">
        <v>49</v>
      </c>
      <c r="L1390" s="694" t="s">
        <v>302</v>
      </c>
      <c r="M1390" s="694" t="s">
        <v>915</v>
      </c>
      <c r="N1390" s="694" t="s">
        <v>923</v>
      </c>
      <c r="O1390" s="694">
        <v>2021.0</v>
      </c>
      <c r="P1390" s="694" t="s">
        <v>919</v>
      </c>
      <c r="Q1390" s="695" t="s">
        <v>112</v>
      </c>
      <c r="R1390" s="696">
        <v>4.553855496</v>
      </c>
      <c r="S1390" s="696">
        <v>0.128613526</v>
      </c>
      <c r="T1390" s="697">
        <v>11.01700163</v>
      </c>
      <c r="AB1390" s="722"/>
    </row>
    <row r="1391">
      <c r="A1391" s="351"/>
      <c r="K1391" s="693" t="s">
        <v>49</v>
      </c>
      <c r="L1391" s="694" t="s">
        <v>302</v>
      </c>
      <c r="M1391" s="694" t="s">
        <v>915</v>
      </c>
      <c r="N1391" s="694" t="s">
        <v>925</v>
      </c>
      <c r="O1391" s="694">
        <v>2021.0</v>
      </c>
      <c r="P1391" s="694" t="s">
        <v>919</v>
      </c>
      <c r="Q1391" s="695" t="s">
        <v>112</v>
      </c>
      <c r="R1391" s="696">
        <v>2.453681959</v>
      </c>
      <c r="S1391" s="696">
        <v>0.059858048</v>
      </c>
      <c r="T1391" s="697">
        <v>8.512840399</v>
      </c>
      <c r="AB1391" s="722"/>
    </row>
    <row r="1392">
      <c r="A1392" s="351"/>
      <c r="K1392" s="693" t="s">
        <v>49</v>
      </c>
      <c r="L1392" s="694" t="s">
        <v>302</v>
      </c>
      <c r="M1392" s="694" t="s">
        <v>915</v>
      </c>
      <c r="N1392" s="694" t="s">
        <v>927</v>
      </c>
      <c r="O1392" s="694">
        <v>2021.0</v>
      </c>
      <c r="P1392" s="694" t="s">
        <v>919</v>
      </c>
      <c r="Q1392" s="695" t="s">
        <v>112</v>
      </c>
      <c r="R1392" s="696">
        <v>0.2938081</v>
      </c>
      <c r="S1392" s="696">
        <v>0.004938511</v>
      </c>
      <c r="T1392" s="697">
        <v>0.9413914</v>
      </c>
      <c r="AB1392" s="722"/>
    </row>
    <row r="1393">
      <c r="A1393" s="351"/>
      <c r="K1393" s="693" t="s">
        <v>49</v>
      </c>
      <c r="L1393" s="694" t="s">
        <v>302</v>
      </c>
      <c r="M1393" s="694" t="s">
        <v>915</v>
      </c>
      <c r="N1393" s="694" t="s">
        <v>926</v>
      </c>
      <c r="O1393" s="694">
        <v>2021.0</v>
      </c>
      <c r="P1393" s="694" t="s">
        <v>919</v>
      </c>
      <c r="Q1393" s="695" t="s">
        <v>112</v>
      </c>
      <c r="R1393" s="696">
        <v>7.777809942</v>
      </c>
      <c r="S1393" s="696">
        <v>0.199658234</v>
      </c>
      <c r="T1393" s="697">
        <v>18.49526834</v>
      </c>
      <c r="AB1393" s="722"/>
    </row>
    <row r="1394">
      <c r="A1394" s="351"/>
      <c r="K1394" s="693" t="s">
        <v>50</v>
      </c>
      <c r="L1394" s="694" t="s">
        <v>302</v>
      </c>
      <c r="M1394" s="694" t="s">
        <v>915</v>
      </c>
      <c r="N1394" s="694" t="s">
        <v>918</v>
      </c>
      <c r="O1394" s="694">
        <v>2021.0</v>
      </c>
      <c r="P1394" s="694" t="s">
        <v>919</v>
      </c>
      <c r="Q1394" s="695" t="s">
        <v>112</v>
      </c>
      <c r="R1394" s="696">
        <v>0.166115489</v>
      </c>
      <c r="S1394" s="696">
        <v>0.002325155</v>
      </c>
      <c r="T1394" s="697">
        <v>0.714553245</v>
      </c>
      <c r="AB1394" s="722"/>
    </row>
    <row r="1395">
      <c r="A1395" s="351"/>
      <c r="K1395" s="693" t="s">
        <v>50</v>
      </c>
      <c r="L1395" s="694" t="s">
        <v>302</v>
      </c>
      <c r="M1395" s="694" t="s">
        <v>915</v>
      </c>
      <c r="N1395" s="694" t="s">
        <v>923</v>
      </c>
      <c r="O1395" s="694">
        <v>2021.0</v>
      </c>
      <c r="P1395" s="694" t="s">
        <v>919</v>
      </c>
      <c r="Q1395" s="695" t="s">
        <v>112</v>
      </c>
      <c r="R1395" s="696">
        <v>2.490712103</v>
      </c>
      <c r="S1395" s="696">
        <v>0.067926506</v>
      </c>
      <c r="T1395" s="697">
        <v>5.746288314</v>
      </c>
      <c r="AB1395" s="722"/>
    </row>
    <row r="1396">
      <c r="A1396" s="351"/>
      <c r="K1396" s="693" t="s">
        <v>50</v>
      </c>
      <c r="L1396" s="694" t="s">
        <v>302</v>
      </c>
      <c r="M1396" s="694" t="s">
        <v>915</v>
      </c>
      <c r="N1396" s="694" t="s">
        <v>925</v>
      </c>
      <c r="O1396" s="694">
        <v>2021.0</v>
      </c>
      <c r="P1396" s="694" t="s">
        <v>919</v>
      </c>
      <c r="Q1396" s="695" t="s">
        <v>112</v>
      </c>
      <c r="R1396" s="696">
        <v>1.071696054</v>
      </c>
      <c r="S1396" s="696">
        <v>0.020259513</v>
      </c>
      <c r="T1396" s="697">
        <v>3.468671918</v>
      </c>
      <c r="AB1396" s="722"/>
    </row>
    <row r="1397">
      <c r="A1397" s="351"/>
      <c r="K1397" s="693" t="s">
        <v>50</v>
      </c>
      <c r="L1397" s="694" t="s">
        <v>302</v>
      </c>
      <c r="M1397" s="694" t="s">
        <v>915</v>
      </c>
      <c r="N1397" s="694" t="s">
        <v>927</v>
      </c>
      <c r="O1397" s="694">
        <v>2021.0</v>
      </c>
      <c r="P1397" s="694" t="s">
        <v>919</v>
      </c>
      <c r="Q1397" s="695" t="s">
        <v>112</v>
      </c>
      <c r="R1397" s="696">
        <v>0.167819224</v>
      </c>
      <c r="S1397" s="696">
        <v>0.002318253</v>
      </c>
      <c r="T1397" s="697">
        <v>0.528414414</v>
      </c>
      <c r="AB1397" s="722"/>
    </row>
    <row r="1398">
      <c r="A1398" s="351"/>
      <c r="K1398" s="693" t="s">
        <v>50</v>
      </c>
      <c r="L1398" s="694" t="s">
        <v>302</v>
      </c>
      <c r="M1398" s="694" t="s">
        <v>915</v>
      </c>
      <c r="N1398" s="694" t="s">
        <v>926</v>
      </c>
      <c r="O1398" s="694">
        <v>2021.0</v>
      </c>
      <c r="P1398" s="694" t="s">
        <v>919</v>
      </c>
      <c r="Q1398" s="695" t="s">
        <v>112</v>
      </c>
      <c r="R1398" s="696">
        <v>3.896342869</v>
      </c>
      <c r="S1398" s="696">
        <v>0.093068942</v>
      </c>
      <c r="T1398" s="697">
        <v>8.812162067</v>
      </c>
      <c r="AB1398" s="722"/>
    </row>
    <row r="1399">
      <c r="A1399" s="351"/>
      <c r="K1399" s="693" t="s">
        <v>51</v>
      </c>
      <c r="L1399" s="694" t="s">
        <v>302</v>
      </c>
      <c r="M1399" s="694" t="s">
        <v>915</v>
      </c>
      <c r="N1399" s="694" t="s">
        <v>918</v>
      </c>
      <c r="O1399" s="694">
        <v>2021.0</v>
      </c>
      <c r="P1399" s="694" t="s">
        <v>919</v>
      </c>
      <c r="Q1399" s="695" t="s">
        <v>112</v>
      </c>
      <c r="R1399" s="696">
        <v>0.276278237</v>
      </c>
      <c r="S1399" s="696">
        <v>0.00397917</v>
      </c>
      <c r="T1399" s="697">
        <v>1.138479771</v>
      </c>
      <c r="AB1399" s="722"/>
    </row>
    <row r="1400">
      <c r="A1400" s="351"/>
      <c r="K1400" s="693" t="s">
        <v>51</v>
      </c>
      <c r="L1400" s="694" t="s">
        <v>302</v>
      </c>
      <c r="M1400" s="694" t="s">
        <v>915</v>
      </c>
      <c r="N1400" s="694" t="s">
        <v>923</v>
      </c>
      <c r="O1400" s="694">
        <v>2021.0</v>
      </c>
      <c r="P1400" s="694" t="s">
        <v>919</v>
      </c>
      <c r="Q1400" s="695" t="s">
        <v>112</v>
      </c>
      <c r="R1400" s="696">
        <v>4.105372745</v>
      </c>
      <c r="S1400" s="696">
        <v>0.130762265</v>
      </c>
      <c r="T1400" s="697">
        <v>10.44356906</v>
      </c>
      <c r="AB1400" s="722"/>
    </row>
    <row r="1401">
      <c r="A1401" s="351"/>
      <c r="K1401" s="693" t="s">
        <v>51</v>
      </c>
      <c r="L1401" s="694" t="s">
        <v>302</v>
      </c>
      <c r="M1401" s="694" t="s">
        <v>915</v>
      </c>
      <c r="N1401" s="694" t="s">
        <v>925</v>
      </c>
      <c r="O1401" s="694">
        <v>2021.0</v>
      </c>
      <c r="P1401" s="694" t="s">
        <v>919</v>
      </c>
      <c r="Q1401" s="695" t="s">
        <v>112</v>
      </c>
      <c r="R1401" s="696">
        <v>2.942227922</v>
      </c>
      <c r="S1401" s="696">
        <v>0.071061514</v>
      </c>
      <c r="T1401" s="697">
        <v>9.290205463</v>
      </c>
      <c r="AB1401" s="722"/>
    </row>
    <row r="1402">
      <c r="A1402" s="351"/>
      <c r="K1402" s="693" t="s">
        <v>51</v>
      </c>
      <c r="L1402" s="694" t="s">
        <v>302</v>
      </c>
      <c r="M1402" s="694" t="s">
        <v>915</v>
      </c>
      <c r="N1402" s="694" t="s">
        <v>927</v>
      </c>
      <c r="O1402" s="694">
        <v>2021.0</v>
      </c>
      <c r="P1402" s="694" t="s">
        <v>919</v>
      </c>
      <c r="Q1402" s="695" t="s">
        <v>112</v>
      </c>
      <c r="R1402" s="696">
        <v>0.331861696</v>
      </c>
      <c r="S1402" s="696">
        <v>0.004992747</v>
      </c>
      <c r="T1402" s="697">
        <v>1.036283709</v>
      </c>
      <c r="AB1402" s="722"/>
    </row>
    <row r="1403">
      <c r="A1403" s="351"/>
      <c r="K1403" s="693" t="s">
        <v>51</v>
      </c>
      <c r="L1403" s="694" t="s">
        <v>302</v>
      </c>
      <c r="M1403" s="694" t="s">
        <v>915</v>
      </c>
      <c r="N1403" s="694" t="s">
        <v>926</v>
      </c>
      <c r="O1403" s="694">
        <v>2021.0</v>
      </c>
      <c r="P1403" s="694" t="s">
        <v>919</v>
      </c>
      <c r="Q1403" s="695" t="s">
        <v>112</v>
      </c>
      <c r="R1403" s="696">
        <v>7.6557406</v>
      </c>
      <c r="S1403" s="696">
        <v>0.214569572</v>
      </c>
      <c r="T1403" s="697">
        <v>18.46699712</v>
      </c>
      <c r="AB1403" s="722"/>
    </row>
    <row r="1404">
      <c r="A1404" s="351"/>
      <c r="K1404" s="693" t="s">
        <v>52</v>
      </c>
      <c r="L1404" s="694" t="s">
        <v>302</v>
      </c>
      <c r="M1404" s="694" t="s">
        <v>915</v>
      </c>
      <c r="N1404" s="694" t="s">
        <v>918</v>
      </c>
      <c r="O1404" s="694">
        <v>2021.0</v>
      </c>
      <c r="P1404" s="694" t="s">
        <v>919</v>
      </c>
      <c r="Q1404" s="695" t="s">
        <v>112</v>
      </c>
      <c r="R1404" s="696">
        <v>0.616470031</v>
      </c>
      <c r="S1404" s="696">
        <v>0.011146391</v>
      </c>
      <c r="T1404" s="697">
        <v>2.551246411</v>
      </c>
      <c r="AB1404" s="722"/>
    </row>
    <row r="1405">
      <c r="A1405" s="351"/>
      <c r="K1405" s="693" t="s">
        <v>52</v>
      </c>
      <c r="L1405" s="694" t="s">
        <v>302</v>
      </c>
      <c r="M1405" s="694" t="s">
        <v>915</v>
      </c>
      <c r="N1405" s="694" t="s">
        <v>923</v>
      </c>
      <c r="O1405" s="694">
        <v>2021.0</v>
      </c>
      <c r="P1405" s="694" t="s">
        <v>919</v>
      </c>
      <c r="Q1405" s="695" t="s">
        <v>112</v>
      </c>
      <c r="R1405" s="696">
        <v>10.69612408</v>
      </c>
      <c r="S1405" s="696">
        <v>0.397219556</v>
      </c>
      <c r="T1405" s="697">
        <v>26.77104601</v>
      </c>
      <c r="AB1405" s="722"/>
    </row>
    <row r="1406">
      <c r="A1406" s="351"/>
      <c r="K1406" s="693" t="s">
        <v>52</v>
      </c>
      <c r="L1406" s="694" t="s">
        <v>302</v>
      </c>
      <c r="M1406" s="694" t="s">
        <v>915</v>
      </c>
      <c r="N1406" s="694" t="s">
        <v>925</v>
      </c>
      <c r="O1406" s="694">
        <v>2021.0</v>
      </c>
      <c r="P1406" s="694" t="s">
        <v>919</v>
      </c>
      <c r="Q1406" s="695" t="s">
        <v>112</v>
      </c>
      <c r="R1406" s="696">
        <v>5.088316432</v>
      </c>
      <c r="S1406" s="696">
        <v>0.110108719</v>
      </c>
      <c r="T1406" s="697">
        <v>16.63913295</v>
      </c>
      <c r="AB1406" s="722"/>
    </row>
    <row r="1407">
      <c r="A1407" s="351"/>
      <c r="K1407" s="693" t="s">
        <v>52</v>
      </c>
      <c r="L1407" s="694" t="s">
        <v>302</v>
      </c>
      <c r="M1407" s="694" t="s">
        <v>915</v>
      </c>
      <c r="N1407" s="694" t="s">
        <v>927</v>
      </c>
      <c r="O1407" s="694">
        <v>2021.0</v>
      </c>
      <c r="P1407" s="694" t="s">
        <v>919</v>
      </c>
      <c r="Q1407" s="695" t="s">
        <v>112</v>
      </c>
      <c r="R1407" s="696">
        <v>0.895986821</v>
      </c>
      <c r="S1407" s="696">
        <v>0.015905587</v>
      </c>
      <c r="T1407" s="697">
        <v>2.809671697</v>
      </c>
      <c r="AB1407" s="722"/>
    </row>
    <row r="1408">
      <c r="A1408" s="351"/>
      <c r="K1408" s="693" t="s">
        <v>52</v>
      </c>
      <c r="L1408" s="694" t="s">
        <v>302</v>
      </c>
      <c r="M1408" s="694" t="s">
        <v>915</v>
      </c>
      <c r="N1408" s="694" t="s">
        <v>926</v>
      </c>
      <c r="O1408" s="694">
        <v>2021.0</v>
      </c>
      <c r="P1408" s="694" t="s">
        <v>919</v>
      </c>
      <c r="Q1408" s="695" t="s">
        <v>112</v>
      </c>
      <c r="R1408" s="696">
        <v>17.29689736</v>
      </c>
      <c r="S1408" s="696">
        <v>0.526596671</v>
      </c>
      <c r="T1408" s="697">
        <v>40.78512162</v>
      </c>
      <c r="AB1408" s="722"/>
    </row>
    <row r="1409">
      <c r="A1409" s="351"/>
      <c r="K1409" s="693" t="s">
        <v>28</v>
      </c>
      <c r="L1409" s="694" t="s">
        <v>302</v>
      </c>
      <c r="M1409" s="694" t="s">
        <v>915</v>
      </c>
      <c r="N1409" s="694" t="s">
        <v>918</v>
      </c>
      <c r="O1409" s="694">
        <v>2021.0</v>
      </c>
      <c r="P1409" s="694" t="s">
        <v>919</v>
      </c>
      <c r="Q1409" s="695" t="s">
        <v>112</v>
      </c>
      <c r="R1409" s="696">
        <v>3.635120108</v>
      </c>
      <c r="S1409" s="696">
        <v>0.583391198</v>
      </c>
      <c r="T1409" s="697">
        <v>13.29865723</v>
      </c>
      <c r="AB1409" s="722"/>
    </row>
    <row r="1410">
      <c r="A1410" s="351"/>
      <c r="K1410" s="693" t="s">
        <v>28</v>
      </c>
      <c r="L1410" s="694" t="s">
        <v>302</v>
      </c>
      <c r="M1410" s="694" t="s">
        <v>915</v>
      </c>
      <c r="N1410" s="694" t="s">
        <v>923</v>
      </c>
      <c r="O1410" s="694">
        <v>2021.0</v>
      </c>
      <c r="P1410" s="694" t="s">
        <v>919</v>
      </c>
      <c r="Q1410" s="695" t="s">
        <v>112</v>
      </c>
      <c r="R1410" s="696">
        <v>10.96428607</v>
      </c>
      <c r="S1410" s="696">
        <v>3.260019111</v>
      </c>
      <c r="T1410" s="697">
        <v>30.64091599</v>
      </c>
      <c r="AB1410" s="722"/>
    </row>
    <row r="1411">
      <c r="A1411" s="351"/>
      <c r="K1411" s="693" t="s">
        <v>28</v>
      </c>
      <c r="L1411" s="694" t="s">
        <v>302</v>
      </c>
      <c r="M1411" s="694" t="s">
        <v>915</v>
      </c>
      <c r="N1411" s="694" t="s">
        <v>925</v>
      </c>
      <c r="O1411" s="694">
        <v>2021.0</v>
      </c>
      <c r="P1411" s="694" t="s">
        <v>919</v>
      </c>
      <c r="Q1411" s="695" t="s">
        <v>112</v>
      </c>
      <c r="R1411" s="696">
        <v>5.840665</v>
      </c>
      <c r="S1411" s="696">
        <v>1.043344044</v>
      </c>
      <c r="T1411" s="697">
        <v>20.7747698</v>
      </c>
      <c r="AB1411" s="722"/>
    </row>
    <row r="1412">
      <c r="A1412" s="351"/>
      <c r="K1412" s="693" t="s">
        <v>28</v>
      </c>
      <c r="L1412" s="694" t="s">
        <v>302</v>
      </c>
      <c r="M1412" s="694" t="s">
        <v>915</v>
      </c>
      <c r="N1412" s="694" t="s">
        <v>927</v>
      </c>
      <c r="O1412" s="694">
        <v>2021.0</v>
      </c>
      <c r="P1412" s="694" t="s">
        <v>919</v>
      </c>
      <c r="Q1412" s="695" t="s">
        <v>112</v>
      </c>
      <c r="R1412" s="696">
        <v>1.174285869</v>
      </c>
      <c r="S1412" s="696">
        <v>0.254834601</v>
      </c>
      <c r="T1412" s="697">
        <v>3.898800233</v>
      </c>
      <c r="AB1412" s="722"/>
    </row>
    <row r="1413">
      <c r="A1413" s="351"/>
      <c r="K1413" s="693" t="s">
        <v>28</v>
      </c>
      <c r="L1413" s="694" t="s">
        <v>302</v>
      </c>
      <c r="M1413" s="694" t="s">
        <v>915</v>
      </c>
      <c r="N1413" s="694" t="s">
        <v>926</v>
      </c>
      <c r="O1413" s="694">
        <v>2021.0</v>
      </c>
      <c r="P1413" s="694" t="s">
        <v>919</v>
      </c>
      <c r="Q1413" s="695" t="s">
        <v>112</v>
      </c>
      <c r="R1413" s="696">
        <v>21.61435705</v>
      </c>
      <c r="S1413" s="696">
        <v>7.635284901</v>
      </c>
      <c r="T1413" s="697">
        <v>58.83558057</v>
      </c>
      <c r="AB1413" s="722"/>
    </row>
    <row r="1414">
      <c r="A1414" s="351"/>
      <c r="K1414" s="693" t="s">
        <v>53</v>
      </c>
      <c r="L1414" s="694" t="s">
        <v>302</v>
      </c>
      <c r="M1414" s="694" t="s">
        <v>915</v>
      </c>
      <c r="N1414" s="694" t="s">
        <v>918</v>
      </c>
      <c r="O1414" s="694">
        <v>2021.0</v>
      </c>
      <c r="P1414" s="694" t="s">
        <v>919</v>
      </c>
      <c r="Q1414" s="695" t="s">
        <v>112</v>
      </c>
      <c r="R1414" s="696">
        <v>0.768501017</v>
      </c>
      <c r="S1414" s="696">
        <v>0.008112875</v>
      </c>
      <c r="T1414" s="697">
        <v>3.374995841</v>
      </c>
      <c r="AB1414" s="722"/>
    </row>
    <row r="1415">
      <c r="A1415" s="351"/>
      <c r="K1415" s="693" t="s">
        <v>53</v>
      </c>
      <c r="L1415" s="694" t="s">
        <v>302</v>
      </c>
      <c r="M1415" s="694" t="s">
        <v>915</v>
      </c>
      <c r="N1415" s="694" t="s">
        <v>923</v>
      </c>
      <c r="O1415" s="694">
        <v>2021.0</v>
      </c>
      <c r="P1415" s="694" t="s">
        <v>919</v>
      </c>
      <c r="Q1415" s="695" t="s">
        <v>112</v>
      </c>
      <c r="R1415" s="696">
        <v>12.47815421</v>
      </c>
      <c r="S1415" s="696">
        <v>0.328542</v>
      </c>
      <c r="T1415" s="697">
        <v>30.49083003</v>
      </c>
      <c r="AB1415" s="722"/>
    </row>
    <row r="1416">
      <c r="A1416" s="351"/>
      <c r="K1416" s="693" t="s">
        <v>53</v>
      </c>
      <c r="L1416" s="694" t="s">
        <v>302</v>
      </c>
      <c r="M1416" s="694" t="s">
        <v>915</v>
      </c>
      <c r="N1416" s="694" t="s">
        <v>925</v>
      </c>
      <c r="O1416" s="694">
        <v>2021.0</v>
      </c>
      <c r="P1416" s="694" t="s">
        <v>919</v>
      </c>
      <c r="Q1416" s="695" t="s">
        <v>112</v>
      </c>
      <c r="R1416" s="696">
        <v>3.924052851</v>
      </c>
      <c r="S1416" s="696">
        <v>0.060640296</v>
      </c>
      <c r="T1416" s="697">
        <v>13.73683366</v>
      </c>
      <c r="AB1416" s="722"/>
    </row>
    <row r="1417">
      <c r="A1417" s="351"/>
      <c r="K1417" s="693" t="s">
        <v>53</v>
      </c>
      <c r="L1417" s="694" t="s">
        <v>302</v>
      </c>
      <c r="M1417" s="694" t="s">
        <v>915</v>
      </c>
      <c r="N1417" s="694" t="s">
        <v>927</v>
      </c>
      <c r="O1417" s="694">
        <v>2021.0</v>
      </c>
      <c r="P1417" s="694" t="s">
        <v>919</v>
      </c>
      <c r="Q1417" s="695" t="s">
        <v>112</v>
      </c>
      <c r="R1417" s="696">
        <v>0.846695459</v>
      </c>
      <c r="S1417" s="696">
        <v>0.011783238</v>
      </c>
      <c r="T1417" s="697">
        <v>2.563544979</v>
      </c>
      <c r="AB1417" s="722"/>
    </row>
    <row r="1418">
      <c r="A1418" s="351"/>
      <c r="K1418" s="693" t="s">
        <v>53</v>
      </c>
      <c r="L1418" s="694" t="s">
        <v>302</v>
      </c>
      <c r="M1418" s="694" t="s">
        <v>915</v>
      </c>
      <c r="N1418" s="694" t="s">
        <v>926</v>
      </c>
      <c r="O1418" s="694">
        <v>2021.0</v>
      </c>
      <c r="P1418" s="694" t="s">
        <v>919</v>
      </c>
      <c r="Q1418" s="695" t="s">
        <v>112</v>
      </c>
      <c r="R1418" s="696">
        <v>18.01740353</v>
      </c>
      <c r="S1418" s="696">
        <v>0.409887206</v>
      </c>
      <c r="T1418" s="697">
        <v>43.39517938</v>
      </c>
      <c r="AB1418" s="722"/>
    </row>
    <row r="1419">
      <c r="A1419" s="351"/>
      <c r="K1419" s="693" t="s">
        <v>30</v>
      </c>
      <c r="L1419" s="694" t="s">
        <v>302</v>
      </c>
      <c r="M1419" s="694" t="s">
        <v>915</v>
      </c>
      <c r="N1419" s="694" t="s">
        <v>918</v>
      </c>
      <c r="O1419" s="694">
        <v>2021.0</v>
      </c>
      <c r="P1419" s="694" t="s">
        <v>919</v>
      </c>
      <c r="Q1419" s="695" t="s">
        <v>112</v>
      </c>
      <c r="R1419" s="696">
        <v>6.129653543</v>
      </c>
      <c r="S1419" s="696">
        <v>0.975569721</v>
      </c>
      <c r="T1419" s="697">
        <v>20.77268586</v>
      </c>
      <c r="AB1419" s="722"/>
    </row>
    <row r="1420">
      <c r="A1420" s="351"/>
      <c r="K1420" s="693" t="s">
        <v>30</v>
      </c>
      <c r="L1420" s="694" t="s">
        <v>302</v>
      </c>
      <c r="M1420" s="694" t="s">
        <v>915</v>
      </c>
      <c r="N1420" s="694" t="s">
        <v>923</v>
      </c>
      <c r="O1420" s="694">
        <v>2021.0</v>
      </c>
      <c r="P1420" s="694" t="s">
        <v>919</v>
      </c>
      <c r="Q1420" s="695" t="s">
        <v>112</v>
      </c>
      <c r="R1420" s="696">
        <v>15.56390594</v>
      </c>
      <c r="S1420" s="696">
        <v>3.110285678</v>
      </c>
      <c r="T1420" s="697">
        <v>69.35867899</v>
      </c>
      <c r="AB1420" s="722"/>
    </row>
    <row r="1421">
      <c r="A1421" s="351"/>
      <c r="K1421" s="693" t="s">
        <v>30</v>
      </c>
      <c r="L1421" s="694" t="s">
        <v>302</v>
      </c>
      <c r="M1421" s="694" t="s">
        <v>915</v>
      </c>
      <c r="N1421" s="694" t="s">
        <v>925</v>
      </c>
      <c r="O1421" s="694">
        <v>2021.0</v>
      </c>
      <c r="P1421" s="694" t="s">
        <v>919</v>
      </c>
      <c r="Q1421" s="695" t="s">
        <v>112</v>
      </c>
      <c r="R1421" s="696">
        <v>7.862766221</v>
      </c>
      <c r="S1421" s="696">
        <v>1.038878486</v>
      </c>
      <c r="T1421" s="697">
        <v>34.60605579</v>
      </c>
      <c r="AB1421" s="722"/>
    </row>
    <row r="1422">
      <c r="A1422" s="351"/>
      <c r="K1422" s="693" t="s">
        <v>30</v>
      </c>
      <c r="L1422" s="694" t="s">
        <v>302</v>
      </c>
      <c r="M1422" s="694" t="s">
        <v>915</v>
      </c>
      <c r="N1422" s="694" t="s">
        <v>927</v>
      </c>
      <c r="O1422" s="694">
        <v>2021.0</v>
      </c>
      <c r="P1422" s="694" t="s">
        <v>919</v>
      </c>
      <c r="Q1422" s="695" t="s">
        <v>112</v>
      </c>
      <c r="R1422" s="696">
        <v>1.7877509</v>
      </c>
      <c r="S1422" s="696">
        <v>0.223693204</v>
      </c>
      <c r="T1422" s="697">
        <v>7.873538606</v>
      </c>
      <c r="AB1422" s="722"/>
    </row>
    <row r="1423">
      <c r="A1423" s="351"/>
      <c r="K1423" s="693" t="s">
        <v>30</v>
      </c>
      <c r="L1423" s="694" t="s">
        <v>302</v>
      </c>
      <c r="M1423" s="694" t="s">
        <v>915</v>
      </c>
      <c r="N1423" s="694" t="s">
        <v>926</v>
      </c>
      <c r="O1423" s="694">
        <v>2021.0</v>
      </c>
      <c r="P1423" s="694" t="s">
        <v>919</v>
      </c>
      <c r="Q1423" s="695" t="s">
        <v>112</v>
      </c>
      <c r="R1423" s="696">
        <v>31.34407661</v>
      </c>
      <c r="S1423" s="696">
        <v>7.937776813</v>
      </c>
      <c r="T1423" s="697">
        <v>115.5530098</v>
      </c>
      <c r="AB1423" s="722"/>
    </row>
    <row r="1424">
      <c r="A1424" s="351"/>
      <c r="K1424" s="693" t="s">
        <v>31</v>
      </c>
      <c r="L1424" s="694" t="s">
        <v>302</v>
      </c>
      <c r="M1424" s="694" t="s">
        <v>915</v>
      </c>
      <c r="N1424" s="694" t="s">
        <v>918</v>
      </c>
      <c r="O1424" s="694">
        <v>2021.0</v>
      </c>
      <c r="P1424" s="694" t="s">
        <v>919</v>
      </c>
      <c r="Q1424" s="695" t="s">
        <v>112</v>
      </c>
      <c r="R1424" s="696">
        <v>5.304681985</v>
      </c>
      <c r="S1424" s="696">
        <v>0.896154094</v>
      </c>
      <c r="T1424" s="697">
        <v>20.17075452</v>
      </c>
      <c r="AB1424" s="722"/>
    </row>
    <row r="1425">
      <c r="A1425" s="351"/>
      <c r="K1425" s="693" t="s">
        <v>31</v>
      </c>
      <c r="L1425" s="694" t="s">
        <v>302</v>
      </c>
      <c r="M1425" s="694" t="s">
        <v>915</v>
      </c>
      <c r="N1425" s="694" t="s">
        <v>923</v>
      </c>
      <c r="O1425" s="694">
        <v>2021.0</v>
      </c>
      <c r="P1425" s="694" t="s">
        <v>919</v>
      </c>
      <c r="Q1425" s="695" t="s">
        <v>112</v>
      </c>
      <c r="R1425" s="696">
        <v>23.68307774</v>
      </c>
      <c r="S1425" s="696">
        <v>5.720190382</v>
      </c>
      <c r="T1425" s="697">
        <v>66.19608007</v>
      </c>
      <c r="AB1425" s="722"/>
    </row>
    <row r="1426">
      <c r="A1426" s="351"/>
      <c r="K1426" s="693" t="s">
        <v>31</v>
      </c>
      <c r="L1426" s="694" t="s">
        <v>302</v>
      </c>
      <c r="M1426" s="694" t="s">
        <v>915</v>
      </c>
      <c r="N1426" s="694" t="s">
        <v>925</v>
      </c>
      <c r="O1426" s="694">
        <v>2021.0</v>
      </c>
      <c r="P1426" s="694" t="s">
        <v>919</v>
      </c>
      <c r="Q1426" s="695" t="s">
        <v>112</v>
      </c>
      <c r="R1426" s="696">
        <v>14.89126409</v>
      </c>
      <c r="S1426" s="696">
        <v>2.526503802</v>
      </c>
      <c r="T1426" s="697">
        <v>53.64656299</v>
      </c>
      <c r="AB1426" s="722"/>
    </row>
    <row r="1427">
      <c r="A1427" s="351"/>
      <c r="K1427" s="693" t="s">
        <v>31</v>
      </c>
      <c r="L1427" s="694" t="s">
        <v>302</v>
      </c>
      <c r="M1427" s="694" t="s">
        <v>915</v>
      </c>
      <c r="N1427" s="694" t="s">
        <v>927</v>
      </c>
      <c r="O1427" s="694">
        <v>2021.0</v>
      </c>
      <c r="P1427" s="694" t="s">
        <v>919</v>
      </c>
      <c r="Q1427" s="695" t="s">
        <v>112</v>
      </c>
      <c r="R1427" s="696">
        <v>3.280658257</v>
      </c>
      <c r="S1427" s="696">
        <v>0.565796569</v>
      </c>
      <c r="T1427" s="697">
        <v>12.03777851</v>
      </c>
      <c r="AB1427" s="722"/>
    </row>
    <row r="1428">
      <c r="A1428" s="351"/>
      <c r="K1428" s="693" t="s">
        <v>31</v>
      </c>
      <c r="L1428" s="694" t="s">
        <v>302</v>
      </c>
      <c r="M1428" s="694" t="s">
        <v>915</v>
      </c>
      <c r="N1428" s="694" t="s">
        <v>926</v>
      </c>
      <c r="O1428" s="694">
        <v>2021.0</v>
      </c>
      <c r="P1428" s="694" t="s">
        <v>919</v>
      </c>
      <c r="Q1428" s="695" t="s">
        <v>112</v>
      </c>
      <c r="R1428" s="696">
        <v>47.15968207</v>
      </c>
      <c r="S1428" s="696">
        <v>12.17475095</v>
      </c>
      <c r="T1428" s="697">
        <v>130.5987828</v>
      </c>
      <c r="AB1428" s="722"/>
    </row>
    <row r="1429">
      <c r="A1429" s="351"/>
      <c r="K1429" s="693" t="s">
        <v>32</v>
      </c>
      <c r="L1429" s="694" t="s">
        <v>302</v>
      </c>
      <c r="M1429" s="694" t="s">
        <v>915</v>
      </c>
      <c r="N1429" s="694" t="s">
        <v>918</v>
      </c>
      <c r="O1429" s="694">
        <v>2021.0</v>
      </c>
      <c r="P1429" s="694" t="s">
        <v>919</v>
      </c>
      <c r="Q1429" s="695" t="s">
        <v>112</v>
      </c>
      <c r="R1429" s="696">
        <v>12.5723952</v>
      </c>
      <c r="S1429" s="696">
        <v>2.596062356</v>
      </c>
      <c r="T1429" s="697">
        <v>41.50028424</v>
      </c>
      <c r="AB1429" s="722"/>
    </row>
    <row r="1430">
      <c r="A1430" s="351"/>
      <c r="K1430" s="693" t="s">
        <v>32</v>
      </c>
      <c r="L1430" s="694" t="s">
        <v>302</v>
      </c>
      <c r="M1430" s="694" t="s">
        <v>915</v>
      </c>
      <c r="N1430" s="694" t="s">
        <v>923</v>
      </c>
      <c r="O1430" s="694">
        <v>2021.0</v>
      </c>
      <c r="P1430" s="694" t="s">
        <v>919</v>
      </c>
      <c r="Q1430" s="695" t="s">
        <v>112</v>
      </c>
      <c r="R1430" s="696">
        <v>43.1227603</v>
      </c>
      <c r="S1430" s="696">
        <v>12.50713462</v>
      </c>
      <c r="T1430" s="697">
        <v>114.5422783</v>
      </c>
      <c r="AB1430" s="722"/>
    </row>
    <row r="1431">
      <c r="A1431" s="351"/>
      <c r="K1431" s="693" t="s">
        <v>32</v>
      </c>
      <c r="L1431" s="694" t="s">
        <v>302</v>
      </c>
      <c r="M1431" s="694" t="s">
        <v>915</v>
      </c>
      <c r="N1431" s="694" t="s">
        <v>925</v>
      </c>
      <c r="O1431" s="694">
        <v>2021.0</v>
      </c>
      <c r="P1431" s="694" t="s">
        <v>919</v>
      </c>
      <c r="Q1431" s="695" t="s">
        <v>112</v>
      </c>
      <c r="R1431" s="696">
        <v>25.74459587</v>
      </c>
      <c r="S1431" s="696">
        <v>4.931174492</v>
      </c>
      <c r="T1431" s="697">
        <v>91.78077651</v>
      </c>
      <c r="AB1431" s="722"/>
    </row>
    <row r="1432">
      <c r="A1432" s="351"/>
      <c r="K1432" s="693" t="s">
        <v>32</v>
      </c>
      <c r="L1432" s="694" t="s">
        <v>302</v>
      </c>
      <c r="M1432" s="694" t="s">
        <v>915</v>
      </c>
      <c r="N1432" s="694" t="s">
        <v>927</v>
      </c>
      <c r="O1432" s="694">
        <v>2021.0</v>
      </c>
      <c r="P1432" s="694" t="s">
        <v>919</v>
      </c>
      <c r="Q1432" s="695" t="s">
        <v>112</v>
      </c>
      <c r="R1432" s="696">
        <v>3.887302429</v>
      </c>
      <c r="S1432" s="696">
        <v>0.701187817</v>
      </c>
      <c r="T1432" s="697">
        <v>14.17828773</v>
      </c>
      <c r="AB1432" s="722"/>
    </row>
    <row r="1433">
      <c r="A1433" s="351"/>
      <c r="K1433" s="693" t="s">
        <v>32</v>
      </c>
      <c r="L1433" s="694" t="s">
        <v>302</v>
      </c>
      <c r="M1433" s="694" t="s">
        <v>915</v>
      </c>
      <c r="N1433" s="694" t="s">
        <v>926</v>
      </c>
      <c r="O1433" s="694">
        <v>2021.0</v>
      </c>
      <c r="P1433" s="694" t="s">
        <v>919</v>
      </c>
      <c r="Q1433" s="695" t="s">
        <v>112</v>
      </c>
      <c r="R1433" s="696">
        <v>85.3270538</v>
      </c>
      <c r="S1433" s="696">
        <v>29.58015968</v>
      </c>
      <c r="T1433" s="697">
        <v>215.0184583</v>
      </c>
      <c r="AB1433" s="722"/>
    </row>
    <row r="1434">
      <c r="A1434" s="351"/>
      <c r="K1434" s="693" t="s">
        <v>33</v>
      </c>
      <c r="L1434" s="694" t="s">
        <v>302</v>
      </c>
      <c r="M1434" s="694" t="s">
        <v>915</v>
      </c>
      <c r="N1434" s="694" t="s">
        <v>918</v>
      </c>
      <c r="O1434" s="694">
        <v>2021.0</v>
      </c>
      <c r="P1434" s="694" t="s">
        <v>919</v>
      </c>
      <c r="Q1434" s="695" t="s">
        <v>112</v>
      </c>
      <c r="R1434" s="696">
        <v>7.981022408</v>
      </c>
      <c r="S1434" s="696">
        <v>1.015512634</v>
      </c>
      <c r="T1434" s="697">
        <v>28.5854781</v>
      </c>
      <c r="AB1434" s="722"/>
    </row>
    <row r="1435">
      <c r="A1435" s="351"/>
      <c r="K1435" s="693" t="s">
        <v>33</v>
      </c>
      <c r="L1435" s="694" t="s">
        <v>302</v>
      </c>
      <c r="M1435" s="694" t="s">
        <v>915</v>
      </c>
      <c r="N1435" s="694" t="s">
        <v>923</v>
      </c>
      <c r="O1435" s="694">
        <v>2021.0</v>
      </c>
      <c r="P1435" s="694" t="s">
        <v>919</v>
      </c>
      <c r="Q1435" s="695" t="s">
        <v>112</v>
      </c>
      <c r="R1435" s="696">
        <v>28.61757985</v>
      </c>
      <c r="S1435" s="696">
        <v>5.102828995</v>
      </c>
      <c r="T1435" s="697">
        <v>112.7251632</v>
      </c>
      <c r="AB1435" s="722"/>
    </row>
    <row r="1436">
      <c r="A1436" s="351"/>
      <c r="K1436" s="693" t="s">
        <v>33</v>
      </c>
      <c r="L1436" s="694" t="s">
        <v>302</v>
      </c>
      <c r="M1436" s="694" t="s">
        <v>915</v>
      </c>
      <c r="N1436" s="694" t="s">
        <v>925</v>
      </c>
      <c r="O1436" s="694">
        <v>2021.0</v>
      </c>
      <c r="P1436" s="694" t="s">
        <v>919</v>
      </c>
      <c r="Q1436" s="695" t="s">
        <v>112</v>
      </c>
      <c r="R1436" s="696">
        <v>21.06859248</v>
      </c>
      <c r="S1436" s="696">
        <v>2.915264384</v>
      </c>
      <c r="T1436" s="697">
        <v>88.23053148</v>
      </c>
      <c r="AB1436" s="722"/>
    </row>
    <row r="1437">
      <c r="A1437" s="351"/>
      <c r="K1437" s="693" t="s">
        <v>33</v>
      </c>
      <c r="L1437" s="694" t="s">
        <v>302</v>
      </c>
      <c r="M1437" s="694" t="s">
        <v>915</v>
      </c>
      <c r="N1437" s="694" t="s">
        <v>927</v>
      </c>
      <c r="O1437" s="694">
        <v>2021.0</v>
      </c>
      <c r="P1437" s="694" t="s">
        <v>919</v>
      </c>
      <c r="Q1437" s="695" t="s">
        <v>112</v>
      </c>
      <c r="R1437" s="696">
        <v>2.976558455</v>
      </c>
      <c r="S1437" s="696">
        <v>0.352967037</v>
      </c>
      <c r="T1437" s="697">
        <v>13.60431391</v>
      </c>
      <c r="AB1437" s="722"/>
    </row>
    <row r="1438">
      <c r="A1438" s="351"/>
      <c r="K1438" s="693" t="s">
        <v>33</v>
      </c>
      <c r="L1438" s="694" t="s">
        <v>302</v>
      </c>
      <c r="M1438" s="694" t="s">
        <v>915</v>
      </c>
      <c r="N1438" s="694" t="s">
        <v>926</v>
      </c>
      <c r="O1438" s="694">
        <v>2021.0</v>
      </c>
      <c r="P1438" s="694" t="s">
        <v>919</v>
      </c>
      <c r="Q1438" s="695" t="s">
        <v>112</v>
      </c>
      <c r="R1438" s="696">
        <v>60.64375318</v>
      </c>
      <c r="S1438" s="696">
        <v>14.28308559</v>
      </c>
      <c r="T1438" s="697">
        <v>209.4178155</v>
      </c>
      <c r="AB1438" s="722"/>
    </row>
    <row r="1439">
      <c r="A1439" s="351"/>
      <c r="K1439" s="693" t="s">
        <v>34</v>
      </c>
      <c r="L1439" s="694" t="s">
        <v>302</v>
      </c>
      <c r="M1439" s="694" t="s">
        <v>915</v>
      </c>
      <c r="N1439" s="694" t="s">
        <v>918</v>
      </c>
      <c r="O1439" s="694">
        <v>2021.0</v>
      </c>
      <c r="P1439" s="694" t="s">
        <v>919</v>
      </c>
      <c r="Q1439" s="695" t="s">
        <v>112</v>
      </c>
      <c r="R1439" s="696">
        <v>6.146854313</v>
      </c>
      <c r="S1439" s="696">
        <v>0.802086249</v>
      </c>
      <c r="T1439" s="697">
        <v>23.64328985</v>
      </c>
      <c r="AB1439" s="722"/>
    </row>
    <row r="1440">
      <c r="A1440" s="351"/>
      <c r="K1440" s="693" t="s">
        <v>34</v>
      </c>
      <c r="L1440" s="694" t="s">
        <v>302</v>
      </c>
      <c r="M1440" s="694" t="s">
        <v>915</v>
      </c>
      <c r="N1440" s="694" t="s">
        <v>923</v>
      </c>
      <c r="O1440" s="694">
        <v>2021.0</v>
      </c>
      <c r="P1440" s="694" t="s">
        <v>919</v>
      </c>
      <c r="Q1440" s="695" t="s">
        <v>112</v>
      </c>
      <c r="R1440" s="696">
        <v>31.95701187</v>
      </c>
      <c r="S1440" s="696">
        <v>8.414748004</v>
      </c>
      <c r="T1440" s="697">
        <v>119.9087223</v>
      </c>
      <c r="AB1440" s="722"/>
    </row>
    <row r="1441">
      <c r="A1441" s="351"/>
      <c r="K1441" s="693" t="s">
        <v>34</v>
      </c>
      <c r="L1441" s="694" t="s">
        <v>302</v>
      </c>
      <c r="M1441" s="694" t="s">
        <v>915</v>
      </c>
      <c r="N1441" s="694" t="s">
        <v>925</v>
      </c>
      <c r="O1441" s="694">
        <v>2021.0</v>
      </c>
      <c r="P1441" s="694" t="s">
        <v>919</v>
      </c>
      <c r="Q1441" s="695" t="s">
        <v>112</v>
      </c>
      <c r="R1441" s="696">
        <v>16.16964646</v>
      </c>
      <c r="S1441" s="696">
        <v>3.251402074</v>
      </c>
      <c r="T1441" s="697">
        <v>65.00177271</v>
      </c>
      <c r="AB1441" s="722"/>
    </row>
    <row r="1442">
      <c r="A1442" s="351"/>
      <c r="K1442" s="693" t="s">
        <v>34</v>
      </c>
      <c r="L1442" s="694" t="s">
        <v>302</v>
      </c>
      <c r="M1442" s="694" t="s">
        <v>915</v>
      </c>
      <c r="N1442" s="694" t="s">
        <v>927</v>
      </c>
      <c r="O1442" s="694">
        <v>2021.0</v>
      </c>
      <c r="P1442" s="694" t="s">
        <v>919</v>
      </c>
      <c r="Q1442" s="695" t="s">
        <v>112</v>
      </c>
      <c r="R1442" s="696">
        <v>3.409599932</v>
      </c>
      <c r="S1442" s="696">
        <v>0.623595024</v>
      </c>
      <c r="T1442" s="697">
        <v>16.69863837</v>
      </c>
      <c r="AB1442" s="722"/>
    </row>
    <row r="1443">
      <c r="A1443" s="351"/>
      <c r="K1443" s="693" t="s">
        <v>34</v>
      </c>
      <c r="L1443" s="694" t="s">
        <v>302</v>
      </c>
      <c r="M1443" s="694" t="s">
        <v>915</v>
      </c>
      <c r="N1443" s="694" t="s">
        <v>926</v>
      </c>
      <c r="O1443" s="694">
        <v>2021.0</v>
      </c>
      <c r="P1443" s="694" t="s">
        <v>919</v>
      </c>
      <c r="Q1443" s="695" t="s">
        <v>112</v>
      </c>
      <c r="R1443" s="696">
        <v>57.68311257</v>
      </c>
      <c r="S1443" s="696">
        <v>19.83885512</v>
      </c>
      <c r="T1443" s="697">
        <v>201.7051015</v>
      </c>
      <c r="AB1443" s="722"/>
    </row>
    <row r="1444">
      <c r="A1444" s="351"/>
      <c r="K1444" s="693" t="s">
        <v>54</v>
      </c>
      <c r="L1444" s="694" t="s">
        <v>302</v>
      </c>
      <c r="M1444" s="694" t="s">
        <v>915</v>
      </c>
      <c r="N1444" s="694" t="s">
        <v>918</v>
      </c>
      <c r="O1444" s="694">
        <v>2021.0</v>
      </c>
      <c r="P1444" s="694" t="s">
        <v>919</v>
      </c>
      <c r="Q1444" s="695" t="s">
        <v>112</v>
      </c>
      <c r="R1444" s="696">
        <v>0.435890603</v>
      </c>
      <c r="S1444" s="696">
        <v>0.014577154</v>
      </c>
      <c r="T1444" s="697">
        <v>1.94548538</v>
      </c>
      <c r="AB1444" s="722"/>
    </row>
    <row r="1445">
      <c r="A1445" s="351"/>
      <c r="K1445" s="693" t="s">
        <v>54</v>
      </c>
      <c r="L1445" s="694" t="s">
        <v>302</v>
      </c>
      <c r="M1445" s="694" t="s">
        <v>915</v>
      </c>
      <c r="N1445" s="694" t="s">
        <v>923</v>
      </c>
      <c r="O1445" s="694">
        <v>2021.0</v>
      </c>
      <c r="P1445" s="694" t="s">
        <v>919</v>
      </c>
      <c r="Q1445" s="695" t="s">
        <v>112</v>
      </c>
      <c r="R1445" s="696">
        <v>3.585001826</v>
      </c>
      <c r="S1445" s="696">
        <v>0.222021669</v>
      </c>
      <c r="T1445" s="697">
        <v>8.94596733</v>
      </c>
      <c r="AB1445" s="722"/>
    </row>
    <row r="1446">
      <c r="A1446" s="351"/>
      <c r="K1446" s="693" t="s">
        <v>54</v>
      </c>
      <c r="L1446" s="694" t="s">
        <v>302</v>
      </c>
      <c r="M1446" s="694" t="s">
        <v>915</v>
      </c>
      <c r="N1446" s="694" t="s">
        <v>925</v>
      </c>
      <c r="O1446" s="694">
        <v>2021.0</v>
      </c>
      <c r="P1446" s="694" t="s">
        <v>919</v>
      </c>
      <c r="Q1446" s="695" t="s">
        <v>112</v>
      </c>
      <c r="R1446" s="696">
        <v>1.948413438</v>
      </c>
      <c r="S1446" s="696">
        <v>0.086703754</v>
      </c>
      <c r="T1446" s="697">
        <v>6.571180819</v>
      </c>
      <c r="AB1446" s="722"/>
    </row>
    <row r="1447">
      <c r="A1447" s="351"/>
      <c r="K1447" s="693" t="s">
        <v>54</v>
      </c>
      <c r="L1447" s="694" t="s">
        <v>302</v>
      </c>
      <c r="M1447" s="694" t="s">
        <v>915</v>
      </c>
      <c r="N1447" s="694" t="s">
        <v>927</v>
      </c>
      <c r="O1447" s="694">
        <v>2021.0</v>
      </c>
      <c r="P1447" s="694" t="s">
        <v>919</v>
      </c>
      <c r="Q1447" s="695" t="s">
        <v>112</v>
      </c>
      <c r="R1447" s="696">
        <v>0.252014969</v>
      </c>
      <c r="S1447" s="696">
        <v>0.008120565</v>
      </c>
      <c r="T1447" s="697">
        <v>0.736282808</v>
      </c>
      <c r="AB1447" s="722"/>
    </row>
    <row r="1448">
      <c r="A1448" s="351"/>
      <c r="K1448" s="693" t="s">
        <v>54</v>
      </c>
      <c r="L1448" s="694" t="s">
        <v>302</v>
      </c>
      <c r="M1448" s="694" t="s">
        <v>915</v>
      </c>
      <c r="N1448" s="694" t="s">
        <v>926</v>
      </c>
      <c r="O1448" s="694">
        <v>2021.0</v>
      </c>
      <c r="P1448" s="694" t="s">
        <v>919</v>
      </c>
      <c r="Q1448" s="695" t="s">
        <v>112</v>
      </c>
      <c r="R1448" s="696">
        <v>6.221320837</v>
      </c>
      <c r="S1448" s="696">
        <v>0.334052344</v>
      </c>
      <c r="T1448" s="697">
        <v>15.29361232</v>
      </c>
      <c r="AB1448" s="722"/>
    </row>
    <row r="1449">
      <c r="A1449" s="351"/>
      <c r="K1449" s="693" t="s">
        <v>55</v>
      </c>
      <c r="L1449" s="694" t="s">
        <v>302</v>
      </c>
      <c r="M1449" s="694" t="s">
        <v>915</v>
      </c>
      <c r="N1449" s="694" t="s">
        <v>918</v>
      </c>
      <c r="O1449" s="694">
        <v>2021.0</v>
      </c>
      <c r="P1449" s="694" t="s">
        <v>919</v>
      </c>
      <c r="Q1449" s="695" t="s">
        <v>112</v>
      </c>
      <c r="R1449" s="696">
        <v>0.269674045</v>
      </c>
      <c r="S1449" s="696">
        <v>0.012471981</v>
      </c>
      <c r="T1449" s="697">
        <v>1.139960892</v>
      </c>
      <c r="AB1449" s="722"/>
    </row>
    <row r="1450">
      <c r="A1450" s="351"/>
      <c r="K1450" s="693" t="s">
        <v>55</v>
      </c>
      <c r="L1450" s="694" t="s">
        <v>302</v>
      </c>
      <c r="M1450" s="694" t="s">
        <v>915</v>
      </c>
      <c r="N1450" s="694" t="s">
        <v>923</v>
      </c>
      <c r="O1450" s="694">
        <v>2021.0</v>
      </c>
      <c r="P1450" s="694" t="s">
        <v>919</v>
      </c>
      <c r="Q1450" s="695" t="s">
        <v>112</v>
      </c>
      <c r="R1450" s="696">
        <v>4.086182425</v>
      </c>
      <c r="S1450" s="696">
        <v>0.302733952</v>
      </c>
      <c r="T1450" s="697">
        <v>9.883251445</v>
      </c>
      <c r="AB1450" s="722"/>
    </row>
    <row r="1451">
      <c r="A1451" s="351"/>
      <c r="K1451" s="693" t="s">
        <v>55</v>
      </c>
      <c r="L1451" s="694" t="s">
        <v>302</v>
      </c>
      <c r="M1451" s="694" t="s">
        <v>915</v>
      </c>
      <c r="N1451" s="694" t="s">
        <v>925</v>
      </c>
      <c r="O1451" s="694">
        <v>2021.0</v>
      </c>
      <c r="P1451" s="694" t="s">
        <v>919</v>
      </c>
      <c r="Q1451" s="695" t="s">
        <v>112</v>
      </c>
      <c r="R1451" s="696">
        <v>2.546767408</v>
      </c>
      <c r="S1451" s="696">
        <v>0.175761951</v>
      </c>
      <c r="T1451" s="697">
        <v>8.594566918</v>
      </c>
      <c r="AB1451" s="722"/>
    </row>
    <row r="1452">
      <c r="A1452" s="351"/>
      <c r="K1452" s="693" t="s">
        <v>55</v>
      </c>
      <c r="L1452" s="694" t="s">
        <v>302</v>
      </c>
      <c r="M1452" s="694" t="s">
        <v>915</v>
      </c>
      <c r="N1452" s="694" t="s">
        <v>927</v>
      </c>
      <c r="O1452" s="694">
        <v>2021.0</v>
      </c>
      <c r="P1452" s="694" t="s">
        <v>919</v>
      </c>
      <c r="Q1452" s="695" t="s">
        <v>112</v>
      </c>
      <c r="R1452" s="696">
        <v>0.269702912</v>
      </c>
      <c r="S1452" s="696">
        <v>0.01248755</v>
      </c>
      <c r="T1452" s="697">
        <v>0.874665885</v>
      </c>
      <c r="AB1452" s="722"/>
    </row>
    <row r="1453">
      <c r="A1453" s="351"/>
      <c r="K1453" s="693" t="s">
        <v>55</v>
      </c>
      <c r="L1453" s="694" t="s">
        <v>302</v>
      </c>
      <c r="M1453" s="694" t="s">
        <v>915</v>
      </c>
      <c r="N1453" s="694" t="s">
        <v>926</v>
      </c>
      <c r="O1453" s="694">
        <v>2021.0</v>
      </c>
      <c r="P1453" s="694" t="s">
        <v>919</v>
      </c>
      <c r="Q1453" s="695" t="s">
        <v>112</v>
      </c>
      <c r="R1453" s="696">
        <v>7.172326789</v>
      </c>
      <c r="S1453" s="696">
        <v>0.513211195</v>
      </c>
      <c r="T1453" s="697">
        <v>17.09950013</v>
      </c>
      <c r="AB1453" s="722"/>
    </row>
    <row r="1454">
      <c r="A1454" s="351"/>
      <c r="K1454" s="693" t="s">
        <v>56</v>
      </c>
      <c r="L1454" s="694" t="s">
        <v>302</v>
      </c>
      <c r="M1454" s="694" t="s">
        <v>915</v>
      </c>
      <c r="N1454" s="694" t="s">
        <v>918</v>
      </c>
      <c r="O1454" s="694">
        <v>2021.0</v>
      </c>
      <c r="P1454" s="694" t="s">
        <v>919</v>
      </c>
      <c r="Q1454" s="695" t="s">
        <v>112</v>
      </c>
      <c r="R1454" s="696">
        <v>0.168694212</v>
      </c>
      <c r="S1454" s="696">
        <v>0.001269967</v>
      </c>
      <c r="T1454" s="697">
        <v>0.756064782</v>
      </c>
      <c r="AB1454" s="722"/>
    </row>
    <row r="1455">
      <c r="A1455" s="351"/>
      <c r="K1455" s="693" t="s">
        <v>56</v>
      </c>
      <c r="L1455" s="694" t="s">
        <v>302</v>
      </c>
      <c r="M1455" s="694" t="s">
        <v>915</v>
      </c>
      <c r="N1455" s="694" t="s">
        <v>923</v>
      </c>
      <c r="O1455" s="694">
        <v>2021.0</v>
      </c>
      <c r="P1455" s="694" t="s">
        <v>919</v>
      </c>
      <c r="Q1455" s="695" t="s">
        <v>112</v>
      </c>
      <c r="R1455" s="696">
        <v>5.425082302</v>
      </c>
      <c r="S1455" s="696">
        <v>0.109079784</v>
      </c>
      <c r="T1455" s="697">
        <v>13.28727221</v>
      </c>
      <c r="AB1455" s="722"/>
    </row>
    <row r="1456">
      <c r="A1456" s="351"/>
      <c r="K1456" s="693" t="s">
        <v>56</v>
      </c>
      <c r="L1456" s="694" t="s">
        <v>302</v>
      </c>
      <c r="M1456" s="694" t="s">
        <v>915</v>
      </c>
      <c r="N1456" s="694" t="s">
        <v>925</v>
      </c>
      <c r="O1456" s="694">
        <v>2021.0</v>
      </c>
      <c r="P1456" s="694" t="s">
        <v>919</v>
      </c>
      <c r="Q1456" s="695" t="s">
        <v>112</v>
      </c>
      <c r="R1456" s="696">
        <v>2.84886257</v>
      </c>
      <c r="S1456" s="696">
        <v>0.034637463</v>
      </c>
      <c r="T1456" s="697">
        <v>9.214753614</v>
      </c>
      <c r="AB1456" s="722"/>
    </row>
    <row r="1457">
      <c r="A1457" s="351"/>
      <c r="K1457" s="693" t="s">
        <v>56</v>
      </c>
      <c r="L1457" s="694" t="s">
        <v>302</v>
      </c>
      <c r="M1457" s="694" t="s">
        <v>915</v>
      </c>
      <c r="N1457" s="694" t="s">
        <v>927</v>
      </c>
      <c r="O1457" s="694">
        <v>2021.0</v>
      </c>
      <c r="P1457" s="694" t="s">
        <v>919</v>
      </c>
      <c r="Q1457" s="695" t="s">
        <v>112</v>
      </c>
      <c r="R1457" s="696">
        <v>0.293968</v>
      </c>
      <c r="S1457" s="696">
        <v>0.002497532</v>
      </c>
      <c r="T1457" s="697">
        <v>0.961086714</v>
      </c>
      <c r="AB1457" s="722"/>
    </row>
    <row r="1458">
      <c r="A1458" s="351"/>
      <c r="K1458" s="693" t="s">
        <v>56</v>
      </c>
      <c r="L1458" s="694" t="s">
        <v>302</v>
      </c>
      <c r="M1458" s="694" t="s">
        <v>915</v>
      </c>
      <c r="N1458" s="694" t="s">
        <v>926</v>
      </c>
      <c r="O1458" s="694">
        <v>2021.0</v>
      </c>
      <c r="P1458" s="694" t="s">
        <v>919</v>
      </c>
      <c r="Q1458" s="695" t="s">
        <v>112</v>
      </c>
      <c r="R1458" s="696">
        <v>8.736607085</v>
      </c>
      <c r="S1458" s="696">
        <v>0.146086167</v>
      </c>
      <c r="T1458" s="697">
        <v>21.8966202</v>
      </c>
      <c r="AB1458" s="722"/>
    </row>
    <row r="1459">
      <c r="A1459" s="351"/>
      <c r="K1459" s="693" t="s">
        <v>57</v>
      </c>
      <c r="L1459" s="694" t="s">
        <v>302</v>
      </c>
      <c r="M1459" s="694" t="s">
        <v>915</v>
      </c>
      <c r="N1459" s="694" t="s">
        <v>918</v>
      </c>
      <c r="O1459" s="694">
        <v>2021.0</v>
      </c>
      <c r="P1459" s="694" t="s">
        <v>919</v>
      </c>
      <c r="Q1459" s="695" t="s">
        <v>112</v>
      </c>
      <c r="R1459" s="696">
        <v>1.041543929</v>
      </c>
      <c r="S1459" s="696">
        <v>0.125192903</v>
      </c>
      <c r="T1459" s="697">
        <v>4.17855603</v>
      </c>
      <c r="AB1459" s="722"/>
    </row>
    <row r="1460">
      <c r="A1460" s="351"/>
      <c r="K1460" s="693" t="s">
        <v>57</v>
      </c>
      <c r="L1460" s="694" t="s">
        <v>302</v>
      </c>
      <c r="M1460" s="694" t="s">
        <v>915</v>
      </c>
      <c r="N1460" s="694" t="s">
        <v>923</v>
      </c>
      <c r="O1460" s="694">
        <v>2021.0</v>
      </c>
      <c r="P1460" s="694" t="s">
        <v>919</v>
      </c>
      <c r="Q1460" s="695" t="s">
        <v>112</v>
      </c>
      <c r="R1460" s="696">
        <v>10.13230532</v>
      </c>
      <c r="S1460" s="696">
        <v>1.639349608</v>
      </c>
      <c r="T1460" s="697">
        <v>24.33191743</v>
      </c>
      <c r="AB1460" s="722"/>
    </row>
    <row r="1461">
      <c r="A1461" s="351"/>
      <c r="K1461" s="693" t="s">
        <v>57</v>
      </c>
      <c r="L1461" s="694" t="s">
        <v>302</v>
      </c>
      <c r="M1461" s="694" t="s">
        <v>915</v>
      </c>
      <c r="N1461" s="694" t="s">
        <v>925</v>
      </c>
      <c r="O1461" s="694">
        <v>2021.0</v>
      </c>
      <c r="P1461" s="694" t="s">
        <v>919</v>
      </c>
      <c r="Q1461" s="695" t="s">
        <v>112</v>
      </c>
      <c r="R1461" s="696">
        <v>5.807692329</v>
      </c>
      <c r="S1461" s="696">
        <v>0.771793046</v>
      </c>
      <c r="T1461" s="697">
        <v>19.76768513</v>
      </c>
      <c r="AB1461" s="722"/>
    </row>
    <row r="1462">
      <c r="A1462" s="351"/>
      <c r="K1462" s="693" t="s">
        <v>57</v>
      </c>
      <c r="L1462" s="694" t="s">
        <v>302</v>
      </c>
      <c r="M1462" s="694" t="s">
        <v>915</v>
      </c>
      <c r="N1462" s="694" t="s">
        <v>927</v>
      </c>
      <c r="O1462" s="694">
        <v>2021.0</v>
      </c>
      <c r="P1462" s="694" t="s">
        <v>919</v>
      </c>
      <c r="Q1462" s="695" t="s">
        <v>112</v>
      </c>
      <c r="R1462" s="696">
        <v>0.866405074</v>
      </c>
      <c r="S1462" s="696">
        <v>0.115353059</v>
      </c>
      <c r="T1462" s="697">
        <v>2.645438563</v>
      </c>
      <c r="AB1462" s="722"/>
    </row>
    <row r="1463">
      <c r="A1463" s="351"/>
      <c r="K1463" s="693" t="s">
        <v>57</v>
      </c>
      <c r="L1463" s="694" t="s">
        <v>302</v>
      </c>
      <c r="M1463" s="694" t="s">
        <v>915</v>
      </c>
      <c r="N1463" s="694" t="s">
        <v>926</v>
      </c>
      <c r="O1463" s="694">
        <v>2021.0</v>
      </c>
      <c r="P1463" s="694" t="s">
        <v>919</v>
      </c>
      <c r="Q1463" s="695" t="s">
        <v>112</v>
      </c>
      <c r="R1463" s="696">
        <v>17.84794665</v>
      </c>
      <c r="S1463" s="696">
        <v>2.808697003</v>
      </c>
      <c r="T1463" s="697">
        <v>39.65574988</v>
      </c>
      <c r="AB1463" s="722"/>
    </row>
    <row r="1464">
      <c r="A1464" s="351"/>
      <c r="K1464" s="693" t="s">
        <v>58</v>
      </c>
      <c r="L1464" s="694" t="s">
        <v>302</v>
      </c>
      <c r="M1464" s="694" t="s">
        <v>915</v>
      </c>
      <c r="N1464" s="694" t="s">
        <v>918</v>
      </c>
      <c r="O1464" s="694">
        <v>2021.0</v>
      </c>
      <c r="P1464" s="694" t="s">
        <v>919</v>
      </c>
      <c r="Q1464" s="695" t="s">
        <v>112</v>
      </c>
      <c r="R1464" s="696">
        <v>4.764769113</v>
      </c>
      <c r="S1464" s="696">
        <v>0.84804931</v>
      </c>
      <c r="T1464" s="697">
        <v>16.64301643</v>
      </c>
      <c r="AB1464" s="722"/>
    </row>
    <row r="1465">
      <c r="A1465" s="351"/>
      <c r="K1465" s="693" t="s">
        <v>58</v>
      </c>
      <c r="L1465" s="694" t="s">
        <v>302</v>
      </c>
      <c r="M1465" s="694" t="s">
        <v>915</v>
      </c>
      <c r="N1465" s="694" t="s">
        <v>923</v>
      </c>
      <c r="O1465" s="694">
        <v>2021.0</v>
      </c>
      <c r="P1465" s="694" t="s">
        <v>919</v>
      </c>
      <c r="Q1465" s="695" t="s">
        <v>112</v>
      </c>
      <c r="R1465" s="696">
        <v>24.81793769</v>
      </c>
      <c r="S1465" s="696">
        <v>6.817772076</v>
      </c>
      <c r="T1465" s="697">
        <v>62.01046975</v>
      </c>
      <c r="AB1465" s="722"/>
    </row>
    <row r="1466">
      <c r="A1466" s="351"/>
      <c r="K1466" s="693" t="s">
        <v>58</v>
      </c>
      <c r="L1466" s="694" t="s">
        <v>302</v>
      </c>
      <c r="M1466" s="694" t="s">
        <v>915</v>
      </c>
      <c r="N1466" s="694" t="s">
        <v>925</v>
      </c>
      <c r="O1466" s="694">
        <v>2021.0</v>
      </c>
      <c r="P1466" s="694" t="s">
        <v>919</v>
      </c>
      <c r="Q1466" s="695" t="s">
        <v>112</v>
      </c>
      <c r="R1466" s="696">
        <v>18.32742634</v>
      </c>
      <c r="S1466" s="696">
        <v>4.191316586</v>
      </c>
      <c r="T1466" s="697">
        <v>65.40385106</v>
      </c>
      <c r="AB1466" s="722"/>
    </row>
    <row r="1467">
      <c r="A1467" s="351"/>
      <c r="K1467" s="693" t="s">
        <v>58</v>
      </c>
      <c r="L1467" s="694" t="s">
        <v>302</v>
      </c>
      <c r="M1467" s="694" t="s">
        <v>915</v>
      </c>
      <c r="N1467" s="694" t="s">
        <v>927</v>
      </c>
      <c r="O1467" s="694">
        <v>2021.0</v>
      </c>
      <c r="P1467" s="694" t="s">
        <v>919</v>
      </c>
      <c r="Q1467" s="695" t="s">
        <v>112</v>
      </c>
      <c r="R1467" s="696">
        <v>2.98531894</v>
      </c>
      <c r="S1467" s="696">
        <v>0.619169251</v>
      </c>
      <c r="T1467" s="697">
        <v>9.482936618</v>
      </c>
      <c r="AB1467" s="722"/>
    </row>
    <row r="1468">
      <c r="A1468" s="351"/>
      <c r="K1468" s="693" t="s">
        <v>58</v>
      </c>
      <c r="L1468" s="694" t="s">
        <v>302</v>
      </c>
      <c r="M1468" s="694" t="s">
        <v>915</v>
      </c>
      <c r="N1468" s="694" t="s">
        <v>926</v>
      </c>
      <c r="O1468" s="694">
        <v>2021.0</v>
      </c>
      <c r="P1468" s="694" t="s">
        <v>919</v>
      </c>
      <c r="Q1468" s="695" t="s">
        <v>112</v>
      </c>
      <c r="R1468" s="696">
        <v>50.89545208</v>
      </c>
      <c r="S1468" s="696">
        <v>17.59051482</v>
      </c>
      <c r="T1468" s="697">
        <v>126.8036967</v>
      </c>
      <c r="AB1468" s="722"/>
    </row>
    <row r="1469">
      <c r="A1469" s="351"/>
      <c r="K1469" s="693" t="s">
        <v>7</v>
      </c>
      <c r="L1469" s="694" t="s">
        <v>302</v>
      </c>
      <c r="M1469" s="694" t="s">
        <v>915</v>
      </c>
      <c r="N1469" s="694" t="s">
        <v>918</v>
      </c>
      <c r="O1469" s="694">
        <v>2021.0</v>
      </c>
      <c r="P1469" s="694" t="s">
        <v>919</v>
      </c>
      <c r="Q1469" s="695" t="s">
        <v>112</v>
      </c>
      <c r="R1469" s="696">
        <v>99.90496921</v>
      </c>
      <c r="S1469" s="696">
        <v>24.92920372</v>
      </c>
      <c r="T1469" s="697">
        <v>267.6415351</v>
      </c>
      <c r="AB1469" s="722"/>
    </row>
    <row r="1470">
      <c r="A1470" s="351"/>
      <c r="K1470" s="693" t="s">
        <v>7</v>
      </c>
      <c r="L1470" s="694" t="s">
        <v>302</v>
      </c>
      <c r="M1470" s="694" t="s">
        <v>915</v>
      </c>
      <c r="N1470" s="694" t="s">
        <v>923</v>
      </c>
      <c r="O1470" s="694">
        <v>2021.0</v>
      </c>
      <c r="P1470" s="694" t="s">
        <v>919</v>
      </c>
      <c r="Q1470" s="695" t="s">
        <v>112</v>
      </c>
      <c r="R1470" s="696">
        <v>486.8581443</v>
      </c>
      <c r="S1470" s="696">
        <v>262.7213307</v>
      </c>
      <c r="T1470" s="697">
        <v>1061.757172</v>
      </c>
      <c r="AB1470" s="722"/>
    </row>
    <row r="1471">
      <c r="A1471" s="351"/>
      <c r="K1471" s="693" t="s">
        <v>7</v>
      </c>
      <c r="L1471" s="694" t="s">
        <v>302</v>
      </c>
      <c r="M1471" s="694" t="s">
        <v>915</v>
      </c>
      <c r="N1471" s="694" t="s">
        <v>925</v>
      </c>
      <c r="O1471" s="694">
        <v>2021.0</v>
      </c>
      <c r="P1471" s="694" t="s">
        <v>919</v>
      </c>
      <c r="Q1471" s="695" t="s">
        <v>112</v>
      </c>
      <c r="R1471" s="696">
        <v>285.2395733</v>
      </c>
      <c r="S1471" s="696">
        <v>107.5156005</v>
      </c>
      <c r="T1471" s="697">
        <v>771.0982311</v>
      </c>
      <c r="AB1471" s="722"/>
    </row>
    <row r="1472">
      <c r="A1472" s="351"/>
      <c r="K1472" s="693" t="s">
        <v>7</v>
      </c>
      <c r="L1472" s="694" t="s">
        <v>302</v>
      </c>
      <c r="M1472" s="694" t="s">
        <v>915</v>
      </c>
      <c r="N1472" s="694" t="s">
        <v>927</v>
      </c>
      <c r="O1472" s="694">
        <v>2021.0</v>
      </c>
      <c r="P1472" s="694" t="s">
        <v>919</v>
      </c>
      <c r="Q1472" s="695" t="s">
        <v>112</v>
      </c>
      <c r="R1472" s="696">
        <v>50.62424937</v>
      </c>
      <c r="S1472" s="696">
        <v>14.33428508</v>
      </c>
      <c r="T1472" s="697">
        <v>148.2185068</v>
      </c>
      <c r="AB1472" s="722"/>
    </row>
    <row r="1473">
      <c r="A1473" s="351"/>
      <c r="K1473" s="693" t="s">
        <v>7</v>
      </c>
      <c r="L1473" s="694" t="s">
        <v>302</v>
      </c>
      <c r="M1473" s="694" t="s">
        <v>915</v>
      </c>
      <c r="N1473" s="694" t="s">
        <v>926</v>
      </c>
      <c r="O1473" s="694">
        <v>2021.0</v>
      </c>
      <c r="P1473" s="694" t="s">
        <v>919</v>
      </c>
      <c r="Q1473" s="695" t="s">
        <v>112</v>
      </c>
      <c r="R1473" s="696">
        <v>922.6269362</v>
      </c>
      <c r="S1473" s="696">
        <v>471.7951701</v>
      </c>
      <c r="T1473" s="697">
        <v>2157.937812</v>
      </c>
      <c r="AB1473" s="722"/>
    </row>
    <row r="1474">
      <c r="A1474" s="351"/>
      <c r="K1474" s="693" t="s">
        <v>59</v>
      </c>
      <c r="L1474" s="694" t="s">
        <v>302</v>
      </c>
      <c r="M1474" s="694" t="s">
        <v>915</v>
      </c>
      <c r="N1474" s="694" t="s">
        <v>918</v>
      </c>
      <c r="O1474" s="694">
        <v>2021.0</v>
      </c>
      <c r="P1474" s="694" t="s">
        <v>919</v>
      </c>
      <c r="Q1474" s="695" t="s">
        <v>112</v>
      </c>
      <c r="R1474" s="696">
        <v>1.106549785</v>
      </c>
      <c r="S1474" s="696">
        <v>0.045455342</v>
      </c>
      <c r="T1474" s="697">
        <v>4.885707038</v>
      </c>
      <c r="AB1474" s="722"/>
    </row>
    <row r="1475">
      <c r="A1475" s="351"/>
      <c r="K1475" s="693" t="s">
        <v>59</v>
      </c>
      <c r="L1475" s="694" t="s">
        <v>302</v>
      </c>
      <c r="M1475" s="694" t="s">
        <v>915</v>
      </c>
      <c r="N1475" s="694" t="s">
        <v>923</v>
      </c>
      <c r="O1475" s="694">
        <v>2021.0</v>
      </c>
      <c r="P1475" s="694" t="s">
        <v>919</v>
      </c>
      <c r="Q1475" s="695" t="s">
        <v>112</v>
      </c>
      <c r="R1475" s="696">
        <v>18.67628757</v>
      </c>
      <c r="S1475" s="696">
        <v>1.225309959</v>
      </c>
      <c r="T1475" s="697">
        <v>44.22170708</v>
      </c>
      <c r="AB1475" s="722"/>
    </row>
    <row r="1476">
      <c r="A1476" s="351"/>
      <c r="K1476" s="693" t="s">
        <v>59</v>
      </c>
      <c r="L1476" s="694" t="s">
        <v>302</v>
      </c>
      <c r="M1476" s="694" t="s">
        <v>915</v>
      </c>
      <c r="N1476" s="694" t="s">
        <v>925</v>
      </c>
      <c r="O1476" s="694">
        <v>2021.0</v>
      </c>
      <c r="P1476" s="694" t="s">
        <v>919</v>
      </c>
      <c r="Q1476" s="695" t="s">
        <v>112</v>
      </c>
      <c r="R1476" s="696">
        <v>12.56677019</v>
      </c>
      <c r="S1476" s="696">
        <v>0.790590383</v>
      </c>
      <c r="T1476" s="697">
        <v>41.42586013</v>
      </c>
      <c r="AB1476" s="722"/>
    </row>
    <row r="1477">
      <c r="A1477" s="351"/>
      <c r="K1477" s="693" t="s">
        <v>59</v>
      </c>
      <c r="L1477" s="694" t="s">
        <v>302</v>
      </c>
      <c r="M1477" s="694" t="s">
        <v>915</v>
      </c>
      <c r="N1477" s="694" t="s">
        <v>927</v>
      </c>
      <c r="O1477" s="694">
        <v>2021.0</v>
      </c>
      <c r="P1477" s="694" t="s">
        <v>919</v>
      </c>
      <c r="Q1477" s="695" t="s">
        <v>112</v>
      </c>
      <c r="R1477" s="696">
        <v>1.239646195</v>
      </c>
      <c r="S1477" s="696">
        <v>0.056914387</v>
      </c>
      <c r="T1477" s="697">
        <v>4.236022171</v>
      </c>
      <c r="AB1477" s="722"/>
    </row>
    <row r="1478">
      <c r="A1478" s="351"/>
      <c r="K1478" s="693" t="s">
        <v>59</v>
      </c>
      <c r="L1478" s="694" t="s">
        <v>302</v>
      </c>
      <c r="M1478" s="694" t="s">
        <v>915</v>
      </c>
      <c r="N1478" s="694" t="s">
        <v>926</v>
      </c>
      <c r="O1478" s="694">
        <v>2021.0</v>
      </c>
      <c r="P1478" s="694" t="s">
        <v>919</v>
      </c>
      <c r="Q1478" s="695" t="s">
        <v>112</v>
      </c>
      <c r="R1478" s="696">
        <v>33.58925374</v>
      </c>
      <c r="S1478" s="696">
        <v>2.146310252</v>
      </c>
      <c r="T1478" s="697">
        <v>80.52639328</v>
      </c>
      <c r="AB1478" s="722"/>
    </row>
    <row r="1479">
      <c r="A1479" s="351"/>
      <c r="K1479" s="693" t="s">
        <v>60</v>
      </c>
      <c r="L1479" s="694" t="s">
        <v>302</v>
      </c>
      <c r="M1479" s="694" t="s">
        <v>915</v>
      </c>
      <c r="N1479" s="694" t="s">
        <v>918</v>
      </c>
      <c r="O1479" s="694">
        <v>2021.0</v>
      </c>
      <c r="P1479" s="694" t="s">
        <v>919</v>
      </c>
      <c r="Q1479" s="695" t="s">
        <v>112</v>
      </c>
      <c r="R1479" s="696">
        <v>0.427341461</v>
      </c>
      <c r="S1479" s="696">
        <v>0.013980716</v>
      </c>
      <c r="T1479" s="697">
        <v>1.727413826</v>
      </c>
      <c r="AB1479" s="722"/>
    </row>
    <row r="1480">
      <c r="A1480" s="351"/>
      <c r="K1480" s="693" t="s">
        <v>60</v>
      </c>
      <c r="L1480" s="694" t="s">
        <v>302</v>
      </c>
      <c r="M1480" s="694" t="s">
        <v>915</v>
      </c>
      <c r="N1480" s="694" t="s">
        <v>923</v>
      </c>
      <c r="O1480" s="694">
        <v>2021.0</v>
      </c>
      <c r="P1480" s="694" t="s">
        <v>919</v>
      </c>
      <c r="Q1480" s="695" t="s">
        <v>112</v>
      </c>
      <c r="R1480" s="696">
        <v>4.360320599</v>
      </c>
      <c r="S1480" s="696">
        <v>0.213297179</v>
      </c>
      <c r="T1480" s="697">
        <v>10.40343388</v>
      </c>
      <c r="AB1480" s="722"/>
    </row>
    <row r="1481">
      <c r="A1481" s="351"/>
      <c r="K1481" s="693" t="s">
        <v>60</v>
      </c>
      <c r="L1481" s="694" t="s">
        <v>302</v>
      </c>
      <c r="M1481" s="694" t="s">
        <v>915</v>
      </c>
      <c r="N1481" s="694" t="s">
        <v>925</v>
      </c>
      <c r="O1481" s="694">
        <v>2021.0</v>
      </c>
      <c r="P1481" s="694" t="s">
        <v>919</v>
      </c>
      <c r="Q1481" s="695" t="s">
        <v>112</v>
      </c>
      <c r="R1481" s="696">
        <v>2.098506261</v>
      </c>
      <c r="S1481" s="696">
        <v>0.073957118</v>
      </c>
      <c r="T1481" s="697">
        <v>6.898301818</v>
      </c>
      <c r="AB1481" s="722"/>
    </row>
    <row r="1482">
      <c r="A1482" s="351"/>
      <c r="K1482" s="693" t="s">
        <v>60</v>
      </c>
      <c r="L1482" s="694" t="s">
        <v>302</v>
      </c>
      <c r="M1482" s="694" t="s">
        <v>915</v>
      </c>
      <c r="N1482" s="694" t="s">
        <v>927</v>
      </c>
      <c r="O1482" s="694">
        <v>2021.0</v>
      </c>
      <c r="P1482" s="694" t="s">
        <v>919</v>
      </c>
      <c r="Q1482" s="695" t="s">
        <v>112</v>
      </c>
      <c r="R1482" s="696">
        <v>0.245519337</v>
      </c>
      <c r="S1482" s="696">
        <v>0.006284004</v>
      </c>
      <c r="T1482" s="697">
        <v>0.757174384</v>
      </c>
      <c r="AB1482" s="722"/>
    </row>
    <row r="1483">
      <c r="A1483" s="351"/>
      <c r="K1483" s="693" t="s">
        <v>60</v>
      </c>
      <c r="L1483" s="694" t="s">
        <v>302</v>
      </c>
      <c r="M1483" s="694" t="s">
        <v>915</v>
      </c>
      <c r="N1483" s="694" t="s">
        <v>926</v>
      </c>
      <c r="O1483" s="694">
        <v>2021.0</v>
      </c>
      <c r="P1483" s="694" t="s">
        <v>919</v>
      </c>
      <c r="Q1483" s="695" t="s">
        <v>112</v>
      </c>
      <c r="R1483" s="696">
        <v>7.131687658</v>
      </c>
      <c r="S1483" s="696">
        <v>0.320947197</v>
      </c>
      <c r="T1483" s="697">
        <v>17.21340307</v>
      </c>
      <c r="AB1483" s="722"/>
    </row>
    <row r="1484">
      <c r="A1484" s="351"/>
      <c r="K1484" s="693" t="s">
        <v>61</v>
      </c>
      <c r="L1484" s="694" t="s">
        <v>302</v>
      </c>
      <c r="M1484" s="694" t="s">
        <v>915</v>
      </c>
      <c r="N1484" s="694" t="s">
        <v>918</v>
      </c>
      <c r="O1484" s="694">
        <v>2021.0</v>
      </c>
      <c r="P1484" s="694" t="s">
        <v>919</v>
      </c>
      <c r="Q1484" s="695" t="s">
        <v>112</v>
      </c>
      <c r="R1484" s="696">
        <v>0.192995304</v>
      </c>
      <c r="S1484" s="696">
        <v>0.002264357</v>
      </c>
      <c r="T1484" s="697">
        <v>0.876027257</v>
      </c>
      <c r="AB1484" s="722"/>
    </row>
    <row r="1485">
      <c r="A1485" s="351"/>
      <c r="K1485" s="693" t="s">
        <v>61</v>
      </c>
      <c r="L1485" s="694" t="s">
        <v>302</v>
      </c>
      <c r="M1485" s="694" t="s">
        <v>915</v>
      </c>
      <c r="N1485" s="694" t="s">
        <v>923</v>
      </c>
      <c r="O1485" s="694">
        <v>2021.0</v>
      </c>
      <c r="P1485" s="694" t="s">
        <v>919</v>
      </c>
      <c r="Q1485" s="695" t="s">
        <v>112</v>
      </c>
      <c r="R1485" s="696">
        <v>4.308711985</v>
      </c>
      <c r="S1485" s="696">
        <v>0.106200136</v>
      </c>
      <c r="T1485" s="697">
        <v>9.779528827</v>
      </c>
      <c r="AB1485" s="722"/>
    </row>
    <row r="1486">
      <c r="A1486" s="351"/>
      <c r="K1486" s="693" t="s">
        <v>61</v>
      </c>
      <c r="L1486" s="694" t="s">
        <v>302</v>
      </c>
      <c r="M1486" s="694" t="s">
        <v>915</v>
      </c>
      <c r="N1486" s="694" t="s">
        <v>925</v>
      </c>
      <c r="O1486" s="694">
        <v>2021.0</v>
      </c>
      <c r="P1486" s="694" t="s">
        <v>919</v>
      </c>
      <c r="Q1486" s="695" t="s">
        <v>112</v>
      </c>
      <c r="R1486" s="696">
        <v>2.606632921</v>
      </c>
      <c r="S1486" s="696">
        <v>0.052246833</v>
      </c>
      <c r="T1486" s="697">
        <v>8.906261125</v>
      </c>
      <c r="AB1486" s="722"/>
    </row>
    <row r="1487">
      <c r="A1487" s="351"/>
      <c r="K1487" s="693" t="s">
        <v>61</v>
      </c>
      <c r="L1487" s="694" t="s">
        <v>302</v>
      </c>
      <c r="M1487" s="694" t="s">
        <v>915</v>
      </c>
      <c r="N1487" s="694" t="s">
        <v>927</v>
      </c>
      <c r="O1487" s="694">
        <v>2021.0</v>
      </c>
      <c r="P1487" s="694" t="s">
        <v>919</v>
      </c>
      <c r="Q1487" s="695" t="s">
        <v>112</v>
      </c>
      <c r="R1487" s="696">
        <v>0.233644618</v>
      </c>
      <c r="S1487" s="696">
        <v>0.002997827</v>
      </c>
      <c r="T1487" s="697">
        <v>0.724923525</v>
      </c>
      <c r="AB1487" s="722"/>
    </row>
    <row r="1488">
      <c r="A1488" s="351"/>
      <c r="K1488" s="693" t="s">
        <v>61</v>
      </c>
      <c r="L1488" s="694" t="s">
        <v>302</v>
      </c>
      <c r="M1488" s="694" t="s">
        <v>915</v>
      </c>
      <c r="N1488" s="694" t="s">
        <v>926</v>
      </c>
      <c r="O1488" s="694">
        <v>2021.0</v>
      </c>
      <c r="P1488" s="694" t="s">
        <v>919</v>
      </c>
      <c r="Q1488" s="695" t="s">
        <v>112</v>
      </c>
      <c r="R1488" s="696">
        <v>7.341984829</v>
      </c>
      <c r="S1488" s="696">
        <v>0.166840561</v>
      </c>
      <c r="T1488" s="697">
        <v>16.83722731</v>
      </c>
      <c r="AB1488" s="722"/>
    </row>
    <row r="1489">
      <c r="A1489" s="351"/>
      <c r="K1489" s="693" t="s">
        <v>63</v>
      </c>
      <c r="L1489" s="694" t="s">
        <v>302</v>
      </c>
      <c r="M1489" s="694" t="s">
        <v>915</v>
      </c>
      <c r="N1489" s="694" t="s">
        <v>918</v>
      </c>
      <c r="O1489" s="694">
        <v>2021.0</v>
      </c>
      <c r="P1489" s="694" t="s">
        <v>919</v>
      </c>
      <c r="Q1489" s="695" t="s">
        <v>112</v>
      </c>
      <c r="R1489" s="696">
        <v>0.538328151</v>
      </c>
      <c r="S1489" s="696">
        <v>0.012863752</v>
      </c>
      <c r="T1489" s="697">
        <v>2.676143036</v>
      </c>
      <c r="AB1489" s="722"/>
    </row>
    <row r="1490">
      <c r="A1490" s="351"/>
      <c r="K1490" s="693" t="s">
        <v>63</v>
      </c>
      <c r="L1490" s="694" t="s">
        <v>302</v>
      </c>
      <c r="M1490" s="694" t="s">
        <v>915</v>
      </c>
      <c r="N1490" s="694" t="s">
        <v>923</v>
      </c>
      <c r="O1490" s="694">
        <v>2021.0</v>
      </c>
      <c r="P1490" s="694" t="s">
        <v>919</v>
      </c>
      <c r="Q1490" s="695" t="s">
        <v>112</v>
      </c>
      <c r="R1490" s="696">
        <v>5.979455422</v>
      </c>
      <c r="S1490" s="696">
        <v>0.353023493</v>
      </c>
      <c r="T1490" s="697">
        <v>14.80829687</v>
      </c>
      <c r="AB1490" s="722"/>
    </row>
    <row r="1491">
      <c r="A1491" s="351"/>
      <c r="K1491" s="693" t="s">
        <v>63</v>
      </c>
      <c r="L1491" s="694" t="s">
        <v>302</v>
      </c>
      <c r="M1491" s="694" t="s">
        <v>915</v>
      </c>
      <c r="N1491" s="694" t="s">
        <v>925</v>
      </c>
      <c r="O1491" s="694">
        <v>2021.0</v>
      </c>
      <c r="P1491" s="694" t="s">
        <v>919</v>
      </c>
      <c r="Q1491" s="695" t="s">
        <v>112</v>
      </c>
      <c r="R1491" s="696">
        <v>1.351413197</v>
      </c>
      <c r="S1491" s="696">
        <v>0.036005783</v>
      </c>
      <c r="T1491" s="697">
        <v>4.619943449</v>
      </c>
      <c r="AB1491" s="722"/>
    </row>
    <row r="1492">
      <c r="A1492" s="351"/>
      <c r="K1492" s="693" t="s">
        <v>63</v>
      </c>
      <c r="L1492" s="694" t="s">
        <v>302</v>
      </c>
      <c r="M1492" s="694" t="s">
        <v>915</v>
      </c>
      <c r="N1492" s="694" t="s">
        <v>927</v>
      </c>
      <c r="O1492" s="694">
        <v>2021.0</v>
      </c>
      <c r="P1492" s="694" t="s">
        <v>919</v>
      </c>
      <c r="Q1492" s="695" t="s">
        <v>112</v>
      </c>
      <c r="R1492" s="696">
        <v>0.330519147</v>
      </c>
      <c r="S1492" s="696">
        <v>0.010857568</v>
      </c>
      <c r="T1492" s="697">
        <v>1.028794258</v>
      </c>
      <c r="AB1492" s="722"/>
    </row>
    <row r="1493">
      <c r="A1493" s="351"/>
      <c r="K1493" s="693" t="s">
        <v>63</v>
      </c>
      <c r="L1493" s="694" t="s">
        <v>302</v>
      </c>
      <c r="M1493" s="694" t="s">
        <v>915</v>
      </c>
      <c r="N1493" s="694" t="s">
        <v>926</v>
      </c>
      <c r="O1493" s="694">
        <v>2021.0</v>
      </c>
      <c r="P1493" s="694" t="s">
        <v>919</v>
      </c>
      <c r="Q1493" s="695" t="s">
        <v>112</v>
      </c>
      <c r="R1493" s="696">
        <v>8.199715917</v>
      </c>
      <c r="S1493" s="696">
        <v>0.402318498</v>
      </c>
      <c r="T1493" s="697">
        <v>20.45006808</v>
      </c>
      <c r="AB1493" s="722"/>
    </row>
    <row r="1494">
      <c r="A1494" s="351"/>
      <c r="K1494" s="693" t="s">
        <v>64</v>
      </c>
      <c r="L1494" s="694" t="s">
        <v>302</v>
      </c>
      <c r="M1494" s="694" t="s">
        <v>915</v>
      </c>
      <c r="N1494" s="694" t="s">
        <v>918</v>
      </c>
      <c r="O1494" s="694">
        <v>2021.0</v>
      </c>
      <c r="P1494" s="694" t="s">
        <v>919</v>
      </c>
      <c r="Q1494" s="695" t="s">
        <v>112</v>
      </c>
      <c r="R1494" s="696">
        <v>1.045729133</v>
      </c>
      <c r="S1494" s="696">
        <v>0.084630081</v>
      </c>
      <c r="T1494" s="697">
        <v>3.943493318</v>
      </c>
      <c r="AB1494" s="722"/>
    </row>
    <row r="1495">
      <c r="A1495" s="351"/>
      <c r="K1495" s="693" t="s">
        <v>64</v>
      </c>
      <c r="L1495" s="694" t="s">
        <v>302</v>
      </c>
      <c r="M1495" s="694" t="s">
        <v>915</v>
      </c>
      <c r="N1495" s="694" t="s">
        <v>923</v>
      </c>
      <c r="O1495" s="694">
        <v>2021.0</v>
      </c>
      <c r="P1495" s="694" t="s">
        <v>919</v>
      </c>
      <c r="Q1495" s="695" t="s">
        <v>112</v>
      </c>
      <c r="R1495" s="696">
        <v>17.15657445</v>
      </c>
      <c r="S1495" s="696">
        <v>2.035120921</v>
      </c>
      <c r="T1495" s="697">
        <v>39.43584009</v>
      </c>
      <c r="AB1495" s="722"/>
    </row>
    <row r="1496">
      <c r="A1496" s="351"/>
      <c r="K1496" s="693" t="s">
        <v>64</v>
      </c>
      <c r="L1496" s="694" t="s">
        <v>302</v>
      </c>
      <c r="M1496" s="694" t="s">
        <v>915</v>
      </c>
      <c r="N1496" s="694" t="s">
        <v>925</v>
      </c>
      <c r="O1496" s="694">
        <v>2021.0</v>
      </c>
      <c r="P1496" s="694" t="s">
        <v>919</v>
      </c>
      <c r="Q1496" s="695" t="s">
        <v>112</v>
      </c>
      <c r="R1496" s="696">
        <v>10.34257607</v>
      </c>
      <c r="S1496" s="696">
        <v>1.116325277</v>
      </c>
      <c r="T1496" s="697">
        <v>35.95471328</v>
      </c>
      <c r="AB1496" s="722"/>
    </row>
    <row r="1497">
      <c r="A1497" s="351"/>
      <c r="K1497" s="693" t="s">
        <v>64</v>
      </c>
      <c r="L1497" s="694" t="s">
        <v>302</v>
      </c>
      <c r="M1497" s="694" t="s">
        <v>915</v>
      </c>
      <c r="N1497" s="694" t="s">
        <v>927</v>
      </c>
      <c r="O1497" s="694">
        <v>2021.0</v>
      </c>
      <c r="P1497" s="694" t="s">
        <v>919</v>
      </c>
      <c r="Q1497" s="695" t="s">
        <v>112</v>
      </c>
      <c r="R1497" s="696">
        <v>1.665454369</v>
      </c>
      <c r="S1497" s="696">
        <v>0.126898542</v>
      </c>
      <c r="T1497" s="697">
        <v>5.194699196</v>
      </c>
      <c r="AB1497" s="722"/>
    </row>
    <row r="1498">
      <c r="A1498" s="351"/>
      <c r="K1498" s="693" t="s">
        <v>64</v>
      </c>
      <c r="L1498" s="694" t="s">
        <v>302</v>
      </c>
      <c r="M1498" s="694" t="s">
        <v>915</v>
      </c>
      <c r="N1498" s="694" t="s">
        <v>926</v>
      </c>
      <c r="O1498" s="694">
        <v>2021.0</v>
      </c>
      <c r="P1498" s="694" t="s">
        <v>919</v>
      </c>
      <c r="Q1498" s="695" t="s">
        <v>112</v>
      </c>
      <c r="R1498" s="696">
        <v>30.21033403</v>
      </c>
      <c r="S1498" s="696">
        <v>3.41119576</v>
      </c>
      <c r="T1498" s="697">
        <v>73.59303737</v>
      </c>
      <c r="AB1498" s="722"/>
    </row>
    <row r="1499">
      <c r="A1499" s="351"/>
      <c r="K1499" s="693" t="s">
        <v>65</v>
      </c>
      <c r="L1499" s="694" t="s">
        <v>302</v>
      </c>
      <c r="M1499" s="694" t="s">
        <v>915</v>
      </c>
      <c r="N1499" s="694" t="s">
        <v>918</v>
      </c>
      <c r="O1499" s="694">
        <v>2021.0</v>
      </c>
      <c r="P1499" s="694" t="s">
        <v>919</v>
      </c>
      <c r="Q1499" s="695" t="s">
        <v>112</v>
      </c>
      <c r="R1499" s="696">
        <v>0.389104721</v>
      </c>
      <c r="S1499" s="696">
        <v>0.005886139</v>
      </c>
      <c r="T1499" s="697">
        <v>1.64814638</v>
      </c>
      <c r="AB1499" s="722"/>
    </row>
    <row r="1500">
      <c r="A1500" s="351"/>
      <c r="K1500" s="693" t="s">
        <v>65</v>
      </c>
      <c r="L1500" s="694" t="s">
        <v>302</v>
      </c>
      <c r="M1500" s="694" t="s">
        <v>915</v>
      </c>
      <c r="N1500" s="694" t="s">
        <v>923</v>
      </c>
      <c r="O1500" s="694">
        <v>2021.0</v>
      </c>
      <c r="P1500" s="694" t="s">
        <v>919</v>
      </c>
      <c r="Q1500" s="695" t="s">
        <v>112</v>
      </c>
      <c r="R1500" s="696">
        <v>4.962703781</v>
      </c>
      <c r="S1500" s="696">
        <v>0.139405626</v>
      </c>
      <c r="T1500" s="697">
        <v>12.27726379</v>
      </c>
      <c r="AB1500" s="722"/>
    </row>
    <row r="1501">
      <c r="A1501" s="351"/>
      <c r="K1501" s="693" t="s">
        <v>65</v>
      </c>
      <c r="L1501" s="694" t="s">
        <v>302</v>
      </c>
      <c r="M1501" s="694" t="s">
        <v>915</v>
      </c>
      <c r="N1501" s="694" t="s">
        <v>925</v>
      </c>
      <c r="O1501" s="694">
        <v>2021.0</v>
      </c>
      <c r="P1501" s="694" t="s">
        <v>919</v>
      </c>
      <c r="Q1501" s="695" t="s">
        <v>112</v>
      </c>
      <c r="R1501" s="696">
        <v>2.425935606</v>
      </c>
      <c r="S1501" s="696">
        <v>0.042962679</v>
      </c>
      <c r="T1501" s="697">
        <v>8.765010303</v>
      </c>
      <c r="AB1501" s="722"/>
    </row>
    <row r="1502">
      <c r="A1502" s="351"/>
      <c r="K1502" s="693" t="s">
        <v>65</v>
      </c>
      <c r="L1502" s="694" t="s">
        <v>302</v>
      </c>
      <c r="M1502" s="694" t="s">
        <v>915</v>
      </c>
      <c r="N1502" s="694" t="s">
        <v>927</v>
      </c>
      <c r="O1502" s="694">
        <v>2021.0</v>
      </c>
      <c r="P1502" s="694" t="s">
        <v>919</v>
      </c>
      <c r="Q1502" s="695" t="s">
        <v>112</v>
      </c>
      <c r="R1502" s="696">
        <v>0.408105974</v>
      </c>
      <c r="S1502" s="696">
        <v>0.006174789</v>
      </c>
      <c r="T1502" s="697">
        <v>1.439319335</v>
      </c>
      <c r="AB1502" s="722"/>
    </row>
    <row r="1503">
      <c r="A1503" s="351"/>
      <c r="K1503" s="693" t="s">
        <v>65</v>
      </c>
      <c r="L1503" s="694" t="s">
        <v>302</v>
      </c>
      <c r="M1503" s="694" t="s">
        <v>915</v>
      </c>
      <c r="N1503" s="694" t="s">
        <v>926</v>
      </c>
      <c r="O1503" s="694">
        <v>2021.0</v>
      </c>
      <c r="P1503" s="694" t="s">
        <v>919</v>
      </c>
      <c r="Q1503" s="695" t="s">
        <v>112</v>
      </c>
      <c r="R1503" s="696">
        <v>8.185850082</v>
      </c>
      <c r="S1503" s="696">
        <v>0.196142855</v>
      </c>
      <c r="T1503" s="697">
        <v>19.67974101</v>
      </c>
      <c r="AB1503" s="722"/>
    </row>
    <row r="1504">
      <c r="A1504" s="351"/>
      <c r="K1504" s="693" t="s">
        <v>35</v>
      </c>
      <c r="L1504" s="694" t="s">
        <v>302</v>
      </c>
      <c r="M1504" s="694" t="s">
        <v>915</v>
      </c>
      <c r="N1504" s="694" t="s">
        <v>918</v>
      </c>
      <c r="O1504" s="694">
        <v>2021.0</v>
      </c>
      <c r="P1504" s="694" t="s">
        <v>919</v>
      </c>
      <c r="Q1504" s="695" t="s">
        <v>112</v>
      </c>
      <c r="R1504" s="696">
        <v>16.22631121</v>
      </c>
      <c r="S1504" s="696">
        <v>2.556816281</v>
      </c>
      <c r="T1504" s="697">
        <v>62.0552333</v>
      </c>
      <c r="AB1504" s="722"/>
    </row>
    <row r="1505">
      <c r="A1505" s="351"/>
      <c r="K1505" s="693" t="s">
        <v>35</v>
      </c>
      <c r="L1505" s="694" t="s">
        <v>302</v>
      </c>
      <c r="M1505" s="694" t="s">
        <v>915</v>
      </c>
      <c r="N1505" s="694" t="s">
        <v>923</v>
      </c>
      <c r="O1505" s="694">
        <v>2021.0</v>
      </c>
      <c r="P1505" s="694" t="s">
        <v>919</v>
      </c>
      <c r="Q1505" s="695" t="s">
        <v>112</v>
      </c>
      <c r="R1505" s="696">
        <v>54.16983297</v>
      </c>
      <c r="S1505" s="696">
        <v>13.12185422</v>
      </c>
      <c r="T1505" s="697">
        <v>251.0805879</v>
      </c>
      <c r="AB1505" s="722"/>
    </row>
    <row r="1506">
      <c r="A1506" s="351"/>
      <c r="K1506" s="693" t="s">
        <v>35</v>
      </c>
      <c r="L1506" s="694" t="s">
        <v>302</v>
      </c>
      <c r="M1506" s="694" t="s">
        <v>915</v>
      </c>
      <c r="N1506" s="694" t="s">
        <v>925</v>
      </c>
      <c r="O1506" s="694">
        <v>2021.0</v>
      </c>
      <c r="P1506" s="694" t="s">
        <v>919</v>
      </c>
      <c r="Q1506" s="695" t="s">
        <v>112</v>
      </c>
      <c r="R1506" s="696">
        <v>36.70287667</v>
      </c>
      <c r="S1506" s="696">
        <v>7.305567571</v>
      </c>
      <c r="T1506" s="697">
        <v>178.7779247</v>
      </c>
      <c r="AB1506" s="722"/>
    </row>
    <row r="1507">
      <c r="A1507" s="351"/>
      <c r="K1507" s="693" t="s">
        <v>35</v>
      </c>
      <c r="L1507" s="694" t="s">
        <v>302</v>
      </c>
      <c r="M1507" s="694" t="s">
        <v>915</v>
      </c>
      <c r="N1507" s="694" t="s">
        <v>927</v>
      </c>
      <c r="O1507" s="694">
        <v>2021.0</v>
      </c>
      <c r="P1507" s="694" t="s">
        <v>919</v>
      </c>
      <c r="Q1507" s="695" t="s">
        <v>112</v>
      </c>
      <c r="R1507" s="696">
        <v>6.643340997</v>
      </c>
      <c r="S1507" s="696">
        <v>1.075171472</v>
      </c>
      <c r="T1507" s="697">
        <v>31.55560018</v>
      </c>
      <c r="AB1507" s="722"/>
    </row>
    <row r="1508">
      <c r="A1508" s="351"/>
      <c r="K1508" s="693" t="s">
        <v>35</v>
      </c>
      <c r="L1508" s="694" t="s">
        <v>302</v>
      </c>
      <c r="M1508" s="694" t="s">
        <v>915</v>
      </c>
      <c r="N1508" s="694" t="s">
        <v>926</v>
      </c>
      <c r="O1508" s="694">
        <v>2021.0</v>
      </c>
      <c r="P1508" s="694" t="s">
        <v>919</v>
      </c>
      <c r="Q1508" s="695" t="s">
        <v>112</v>
      </c>
      <c r="R1508" s="696">
        <v>113.7423618</v>
      </c>
      <c r="S1508" s="696">
        <v>37.0548609</v>
      </c>
      <c r="T1508" s="697">
        <v>487.1421115</v>
      </c>
      <c r="AB1508" s="722"/>
    </row>
    <row r="1509">
      <c r="A1509" s="351"/>
      <c r="K1509" s="693" t="s">
        <v>66</v>
      </c>
      <c r="L1509" s="694" t="s">
        <v>302</v>
      </c>
      <c r="M1509" s="694" t="s">
        <v>915</v>
      </c>
      <c r="N1509" s="694" t="s">
        <v>918</v>
      </c>
      <c r="O1509" s="694">
        <v>2021.0</v>
      </c>
      <c r="P1509" s="694" t="s">
        <v>919</v>
      </c>
      <c r="Q1509" s="695" t="s">
        <v>112</v>
      </c>
      <c r="R1509" s="696">
        <v>4.164510321</v>
      </c>
      <c r="S1509" s="696">
        <v>1.015913445</v>
      </c>
      <c r="T1509" s="697">
        <v>13.96287982</v>
      </c>
      <c r="AB1509" s="722"/>
    </row>
    <row r="1510">
      <c r="A1510" s="351"/>
      <c r="K1510" s="693" t="s">
        <v>66</v>
      </c>
      <c r="L1510" s="694" t="s">
        <v>302</v>
      </c>
      <c r="M1510" s="694" t="s">
        <v>915</v>
      </c>
      <c r="N1510" s="694" t="s">
        <v>923</v>
      </c>
      <c r="O1510" s="694">
        <v>2021.0</v>
      </c>
      <c r="P1510" s="694" t="s">
        <v>919</v>
      </c>
      <c r="Q1510" s="695" t="s">
        <v>112</v>
      </c>
      <c r="R1510" s="696">
        <v>15.13290745</v>
      </c>
      <c r="S1510" s="696">
        <v>4.469585404</v>
      </c>
      <c r="T1510" s="697">
        <v>38.32380823</v>
      </c>
      <c r="AB1510" s="722"/>
    </row>
    <row r="1511">
      <c r="A1511" s="351"/>
      <c r="K1511" s="693" t="s">
        <v>66</v>
      </c>
      <c r="L1511" s="694" t="s">
        <v>302</v>
      </c>
      <c r="M1511" s="694" t="s">
        <v>915</v>
      </c>
      <c r="N1511" s="694" t="s">
        <v>925</v>
      </c>
      <c r="O1511" s="694">
        <v>2021.0</v>
      </c>
      <c r="P1511" s="694" t="s">
        <v>919</v>
      </c>
      <c r="Q1511" s="695" t="s">
        <v>112</v>
      </c>
      <c r="R1511" s="696">
        <v>8.190185532</v>
      </c>
      <c r="S1511" s="696">
        <v>1.514957814</v>
      </c>
      <c r="T1511" s="697">
        <v>27.18189603</v>
      </c>
      <c r="AB1511" s="722"/>
    </row>
    <row r="1512">
      <c r="A1512" s="351"/>
      <c r="K1512" s="693" t="s">
        <v>66</v>
      </c>
      <c r="L1512" s="694" t="s">
        <v>302</v>
      </c>
      <c r="M1512" s="694" t="s">
        <v>915</v>
      </c>
      <c r="N1512" s="694" t="s">
        <v>927</v>
      </c>
      <c r="O1512" s="694">
        <v>2021.0</v>
      </c>
      <c r="P1512" s="694" t="s">
        <v>919</v>
      </c>
      <c r="Q1512" s="695" t="s">
        <v>112</v>
      </c>
      <c r="R1512" s="696">
        <v>2.381168211</v>
      </c>
      <c r="S1512" s="696">
        <v>0.595974152</v>
      </c>
      <c r="T1512" s="697">
        <v>7.552166882</v>
      </c>
      <c r="AB1512" s="722"/>
    </row>
    <row r="1513">
      <c r="A1513" s="351"/>
      <c r="K1513" s="693" t="s">
        <v>66</v>
      </c>
      <c r="L1513" s="694" t="s">
        <v>302</v>
      </c>
      <c r="M1513" s="694" t="s">
        <v>915</v>
      </c>
      <c r="N1513" s="694" t="s">
        <v>926</v>
      </c>
      <c r="O1513" s="694">
        <v>2021.0</v>
      </c>
      <c r="P1513" s="694" t="s">
        <v>919</v>
      </c>
      <c r="Q1513" s="695" t="s">
        <v>112</v>
      </c>
      <c r="R1513" s="696">
        <v>29.86877151</v>
      </c>
      <c r="S1513" s="696">
        <v>10.63812703</v>
      </c>
      <c r="T1513" s="697">
        <v>71.90957321</v>
      </c>
      <c r="AB1513" s="722"/>
    </row>
    <row r="1514">
      <c r="A1514" s="351"/>
      <c r="K1514" s="693" t="s">
        <v>67</v>
      </c>
      <c r="L1514" s="694" t="s">
        <v>302</v>
      </c>
      <c r="M1514" s="694" t="s">
        <v>915</v>
      </c>
      <c r="N1514" s="694" t="s">
        <v>918</v>
      </c>
      <c r="O1514" s="694">
        <v>2021.0</v>
      </c>
      <c r="P1514" s="694" t="s">
        <v>919</v>
      </c>
      <c r="Q1514" s="695" t="s">
        <v>112</v>
      </c>
      <c r="R1514" s="696">
        <v>2.64122616</v>
      </c>
      <c r="S1514" s="696">
        <v>0.40911791</v>
      </c>
      <c r="T1514" s="697">
        <v>9.339066023</v>
      </c>
      <c r="AB1514" s="722"/>
    </row>
    <row r="1515">
      <c r="A1515" s="351"/>
      <c r="K1515" s="693" t="s">
        <v>67</v>
      </c>
      <c r="L1515" s="694" t="s">
        <v>302</v>
      </c>
      <c r="M1515" s="694" t="s">
        <v>915</v>
      </c>
      <c r="N1515" s="694" t="s">
        <v>923</v>
      </c>
      <c r="O1515" s="694">
        <v>2021.0</v>
      </c>
      <c r="P1515" s="694" t="s">
        <v>919</v>
      </c>
      <c r="Q1515" s="695" t="s">
        <v>112</v>
      </c>
      <c r="R1515" s="696">
        <v>13.35720932</v>
      </c>
      <c r="S1515" s="696">
        <v>3.372363557</v>
      </c>
      <c r="T1515" s="697">
        <v>54.22668955</v>
      </c>
      <c r="AB1515" s="722"/>
    </row>
    <row r="1516">
      <c r="A1516" s="351"/>
      <c r="K1516" s="693" t="s">
        <v>67</v>
      </c>
      <c r="L1516" s="694" t="s">
        <v>302</v>
      </c>
      <c r="M1516" s="694" t="s">
        <v>915</v>
      </c>
      <c r="N1516" s="694" t="s">
        <v>925</v>
      </c>
      <c r="O1516" s="694">
        <v>2021.0</v>
      </c>
      <c r="P1516" s="694" t="s">
        <v>919</v>
      </c>
      <c r="Q1516" s="695" t="s">
        <v>112</v>
      </c>
      <c r="R1516" s="696">
        <v>5.70125199</v>
      </c>
      <c r="S1516" s="696">
        <v>0.820335546</v>
      </c>
      <c r="T1516" s="697">
        <v>27.0072131</v>
      </c>
      <c r="AB1516" s="722"/>
    </row>
    <row r="1517">
      <c r="A1517" s="351"/>
      <c r="K1517" s="693" t="s">
        <v>67</v>
      </c>
      <c r="L1517" s="694" t="s">
        <v>302</v>
      </c>
      <c r="M1517" s="694" t="s">
        <v>915</v>
      </c>
      <c r="N1517" s="694" t="s">
        <v>927</v>
      </c>
      <c r="O1517" s="694">
        <v>2021.0</v>
      </c>
      <c r="P1517" s="694" t="s">
        <v>919</v>
      </c>
      <c r="Q1517" s="695" t="s">
        <v>112</v>
      </c>
      <c r="R1517" s="696">
        <v>1.008322032</v>
      </c>
      <c r="S1517" s="696">
        <v>0.135762897</v>
      </c>
      <c r="T1517" s="697">
        <v>4.718531245</v>
      </c>
      <c r="AB1517" s="722"/>
    </row>
    <row r="1518">
      <c r="A1518" s="351"/>
      <c r="K1518" s="693" t="s">
        <v>67</v>
      </c>
      <c r="L1518" s="694" t="s">
        <v>302</v>
      </c>
      <c r="M1518" s="694" t="s">
        <v>915</v>
      </c>
      <c r="N1518" s="694" t="s">
        <v>926</v>
      </c>
      <c r="O1518" s="694">
        <v>2021.0</v>
      </c>
      <c r="P1518" s="694" t="s">
        <v>919</v>
      </c>
      <c r="Q1518" s="695" t="s">
        <v>112</v>
      </c>
      <c r="R1518" s="696">
        <v>22.7080095</v>
      </c>
      <c r="S1518" s="696">
        <v>7.109982068</v>
      </c>
      <c r="T1518" s="697">
        <v>86.55024168</v>
      </c>
      <c r="AB1518" s="722"/>
    </row>
    <row r="1519">
      <c r="A1519" s="351"/>
      <c r="K1519" s="693" t="s">
        <v>37</v>
      </c>
      <c r="L1519" s="694" t="s">
        <v>302</v>
      </c>
      <c r="M1519" s="694" t="s">
        <v>915</v>
      </c>
      <c r="N1519" s="694" t="s">
        <v>918</v>
      </c>
      <c r="O1519" s="694">
        <v>2021.0</v>
      </c>
      <c r="P1519" s="694" t="s">
        <v>919</v>
      </c>
      <c r="Q1519" s="695" t="s">
        <v>112</v>
      </c>
      <c r="R1519" s="696">
        <v>9.188474653</v>
      </c>
      <c r="S1519" s="696">
        <v>1.416174961</v>
      </c>
      <c r="T1519" s="697">
        <v>34.05787219</v>
      </c>
      <c r="AB1519" s="722"/>
    </row>
    <row r="1520">
      <c r="A1520" s="351"/>
      <c r="K1520" s="693" t="s">
        <v>37</v>
      </c>
      <c r="L1520" s="694" t="s">
        <v>302</v>
      </c>
      <c r="M1520" s="694" t="s">
        <v>915</v>
      </c>
      <c r="N1520" s="694" t="s">
        <v>923</v>
      </c>
      <c r="O1520" s="694">
        <v>2021.0</v>
      </c>
      <c r="P1520" s="694" t="s">
        <v>919</v>
      </c>
      <c r="Q1520" s="695" t="s">
        <v>112</v>
      </c>
      <c r="R1520" s="696">
        <v>23.68680904</v>
      </c>
      <c r="S1520" s="696">
        <v>5.116797954</v>
      </c>
      <c r="T1520" s="697">
        <v>131.6169324</v>
      </c>
      <c r="AB1520" s="722"/>
    </row>
    <row r="1521">
      <c r="A1521" s="351"/>
      <c r="K1521" s="693" t="s">
        <v>37</v>
      </c>
      <c r="L1521" s="694" t="s">
        <v>302</v>
      </c>
      <c r="M1521" s="694" t="s">
        <v>915</v>
      </c>
      <c r="N1521" s="694" t="s">
        <v>925</v>
      </c>
      <c r="O1521" s="694">
        <v>2021.0</v>
      </c>
      <c r="P1521" s="694" t="s">
        <v>919</v>
      </c>
      <c r="Q1521" s="695" t="s">
        <v>112</v>
      </c>
      <c r="R1521" s="696">
        <v>20.01437074</v>
      </c>
      <c r="S1521" s="696">
        <v>3.410078909</v>
      </c>
      <c r="T1521" s="697">
        <v>110.8021773</v>
      </c>
      <c r="AB1521" s="722"/>
    </row>
    <row r="1522">
      <c r="A1522" s="351"/>
      <c r="K1522" s="693" t="s">
        <v>37</v>
      </c>
      <c r="L1522" s="694" t="s">
        <v>302</v>
      </c>
      <c r="M1522" s="694" t="s">
        <v>915</v>
      </c>
      <c r="N1522" s="694" t="s">
        <v>927</v>
      </c>
      <c r="O1522" s="694">
        <v>2021.0</v>
      </c>
      <c r="P1522" s="694" t="s">
        <v>919</v>
      </c>
      <c r="Q1522" s="695" t="s">
        <v>112</v>
      </c>
      <c r="R1522" s="696">
        <v>4.203600242</v>
      </c>
      <c r="S1522" s="696">
        <v>0.747010495</v>
      </c>
      <c r="T1522" s="697">
        <v>24.16323477</v>
      </c>
      <c r="AB1522" s="722"/>
    </row>
    <row r="1523">
      <c r="A1523" s="351"/>
      <c r="K1523" s="693" t="s">
        <v>37</v>
      </c>
      <c r="L1523" s="694" t="s">
        <v>302</v>
      </c>
      <c r="M1523" s="694" t="s">
        <v>915</v>
      </c>
      <c r="N1523" s="694" t="s">
        <v>926</v>
      </c>
      <c r="O1523" s="694">
        <v>2021.0</v>
      </c>
      <c r="P1523" s="694" t="s">
        <v>919</v>
      </c>
      <c r="Q1523" s="695" t="s">
        <v>112</v>
      </c>
      <c r="R1523" s="696">
        <v>57.09325468</v>
      </c>
      <c r="S1523" s="696">
        <v>16.272383</v>
      </c>
      <c r="T1523" s="697">
        <v>289.6657763</v>
      </c>
      <c r="AB1523" s="722"/>
    </row>
    <row r="1524">
      <c r="A1524" s="351"/>
      <c r="K1524" s="693" t="s">
        <v>38</v>
      </c>
      <c r="L1524" s="694" t="s">
        <v>179</v>
      </c>
      <c r="M1524" s="694" t="s">
        <v>915</v>
      </c>
      <c r="N1524" s="694" t="s">
        <v>918</v>
      </c>
      <c r="O1524" s="694">
        <v>2021.0</v>
      </c>
      <c r="P1524" s="694" t="s">
        <v>919</v>
      </c>
      <c r="Q1524" s="695" t="s">
        <v>112</v>
      </c>
      <c r="R1524" s="696">
        <v>24.21346365</v>
      </c>
      <c r="S1524" s="696">
        <v>10.22626394</v>
      </c>
      <c r="T1524" s="697">
        <v>52.3601617</v>
      </c>
      <c r="AB1524" s="722"/>
    </row>
    <row r="1525">
      <c r="A1525" s="351"/>
      <c r="K1525" s="693" t="s">
        <v>38</v>
      </c>
      <c r="L1525" s="694" t="s">
        <v>179</v>
      </c>
      <c r="M1525" s="694" t="s">
        <v>915</v>
      </c>
      <c r="N1525" s="694" t="s">
        <v>923</v>
      </c>
      <c r="O1525" s="694">
        <v>2021.0</v>
      </c>
      <c r="P1525" s="694" t="s">
        <v>919</v>
      </c>
      <c r="Q1525" s="695" t="s">
        <v>112</v>
      </c>
      <c r="R1525" s="696">
        <v>0.0</v>
      </c>
      <c r="S1525" s="696">
        <v>0.0</v>
      </c>
      <c r="T1525" s="697">
        <v>0.0</v>
      </c>
      <c r="AB1525" s="722"/>
    </row>
    <row r="1526">
      <c r="A1526" s="351"/>
      <c r="K1526" s="693" t="s">
        <v>38</v>
      </c>
      <c r="L1526" s="694" t="s">
        <v>179</v>
      </c>
      <c r="M1526" s="694" t="s">
        <v>915</v>
      </c>
      <c r="N1526" s="694" t="s">
        <v>925</v>
      </c>
      <c r="O1526" s="694">
        <v>2021.0</v>
      </c>
      <c r="P1526" s="694" t="s">
        <v>919</v>
      </c>
      <c r="Q1526" s="695" t="s">
        <v>112</v>
      </c>
      <c r="R1526" s="696">
        <v>0.0</v>
      </c>
      <c r="S1526" s="696">
        <v>0.0</v>
      </c>
      <c r="T1526" s="697">
        <v>0.0</v>
      </c>
      <c r="AB1526" s="722"/>
    </row>
    <row r="1527">
      <c r="A1527" s="351"/>
      <c r="K1527" s="693" t="s">
        <v>38</v>
      </c>
      <c r="L1527" s="694" t="s">
        <v>179</v>
      </c>
      <c r="M1527" s="694" t="s">
        <v>915</v>
      </c>
      <c r="N1527" s="694" t="s">
        <v>927</v>
      </c>
      <c r="O1527" s="694">
        <v>2021.0</v>
      </c>
      <c r="P1527" s="694" t="s">
        <v>919</v>
      </c>
      <c r="Q1527" s="695" t="s">
        <v>112</v>
      </c>
      <c r="R1527" s="696">
        <v>22.9655114</v>
      </c>
      <c r="S1527" s="696">
        <v>10.57276089</v>
      </c>
      <c r="T1527" s="697">
        <v>47.10682948</v>
      </c>
      <c r="AB1527" s="722"/>
    </row>
    <row r="1528">
      <c r="A1528" s="351"/>
      <c r="K1528" s="693" t="s">
        <v>38</v>
      </c>
      <c r="L1528" s="694" t="s">
        <v>179</v>
      </c>
      <c r="M1528" s="694" t="s">
        <v>915</v>
      </c>
      <c r="N1528" s="694" t="s">
        <v>926</v>
      </c>
      <c r="O1528" s="694">
        <v>2021.0</v>
      </c>
      <c r="P1528" s="694" t="s">
        <v>919</v>
      </c>
      <c r="Q1528" s="695" t="s">
        <v>112</v>
      </c>
      <c r="R1528" s="696">
        <v>47.17897505</v>
      </c>
      <c r="S1528" s="696">
        <v>21.43519457</v>
      </c>
      <c r="T1528" s="697">
        <v>99.96231011</v>
      </c>
      <c r="AB1528" s="722"/>
    </row>
    <row r="1529">
      <c r="A1529" s="351"/>
      <c r="K1529" s="693" t="s">
        <v>39</v>
      </c>
      <c r="L1529" s="694" t="s">
        <v>179</v>
      </c>
      <c r="M1529" s="694" t="s">
        <v>915</v>
      </c>
      <c r="N1529" s="694" t="s">
        <v>918</v>
      </c>
      <c r="O1529" s="694">
        <v>2021.0</v>
      </c>
      <c r="P1529" s="694" t="s">
        <v>919</v>
      </c>
      <c r="Q1529" s="695" t="s">
        <v>112</v>
      </c>
      <c r="R1529" s="696">
        <v>76.03931442</v>
      </c>
      <c r="S1529" s="696">
        <v>35.28588398</v>
      </c>
      <c r="T1529" s="697">
        <v>146.8485611</v>
      </c>
      <c r="AB1529" s="722"/>
    </row>
    <row r="1530">
      <c r="A1530" s="351"/>
      <c r="K1530" s="693" t="s">
        <v>39</v>
      </c>
      <c r="L1530" s="694" t="s">
        <v>179</v>
      </c>
      <c r="M1530" s="694" t="s">
        <v>915</v>
      </c>
      <c r="N1530" s="694" t="s">
        <v>923</v>
      </c>
      <c r="O1530" s="694">
        <v>2021.0</v>
      </c>
      <c r="P1530" s="694" t="s">
        <v>919</v>
      </c>
      <c r="Q1530" s="695" t="s">
        <v>112</v>
      </c>
      <c r="R1530" s="696">
        <v>0.0</v>
      </c>
      <c r="S1530" s="696">
        <v>0.0</v>
      </c>
      <c r="T1530" s="697">
        <v>0.0</v>
      </c>
      <c r="AB1530" s="722"/>
    </row>
    <row r="1531">
      <c r="A1531" s="351"/>
      <c r="K1531" s="693" t="s">
        <v>39</v>
      </c>
      <c r="L1531" s="694" t="s">
        <v>179</v>
      </c>
      <c r="M1531" s="694" t="s">
        <v>915</v>
      </c>
      <c r="N1531" s="694" t="s">
        <v>925</v>
      </c>
      <c r="O1531" s="694">
        <v>2021.0</v>
      </c>
      <c r="P1531" s="694" t="s">
        <v>919</v>
      </c>
      <c r="Q1531" s="695" t="s">
        <v>112</v>
      </c>
      <c r="R1531" s="696">
        <v>0.0</v>
      </c>
      <c r="S1531" s="696">
        <v>0.0</v>
      </c>
      <c r="T1531" s="697">
        <v>0.0</v>
      </c>
      <c r="AB1531" s="722"/>
    </row>
    <row r="1532">
      <c r="A1532" s="351"/>
      <c r="K1532" s="693" t="s">
        <v>39</v>
      </c>
      <c r="L1532" s="694" t="s">
        <v>179</v>
      </c>
      <c r="M1532" s="694" t="s">
        <v>915</v>
      </c>
      <c r="N1532" s="694" t="s">
        <v>927</v>
      </c>
      <c r="O1532" s="694">
        <v>2021.0</v>
      </c>
      <c r="P1532" s="694" t="s">
        <v>919</v>
      </c>
      <c r="Q1532" s="695" t="s">
        <v>112</v>
      </c>
      <c r="R1532" s="696">
        <v>63.59443898</v>
      </c>
      <c r="S1532" s="696">
        <v>37.12695292</v>
      </c>
      <c r="T1532" s="697">
        <v>102.5166409</v>
      </c>
      <c r="AB1532" s="722"/>
    </row>
    <row r="1533">
      <c r="A1533" s="351"/>
      <c r="K1533" s="693" t="s">
        <v>39</v>
      </c>
      <c r="L1533" s="694" t="s">
        <v>179</v>
      </c>
      <c r="M1533" s="694" t="s">
        <v>915</v>
      </c>
      <c r="N1533" s="694" t="s">
        <v>926</v>
      </c>
      <c r="O1533" s="694">
        <v>2021.0</v>
      </c>
      <c r="P1533" s="694" t="s">
        <v>919</v>
      </c>
      <c r="Q1533" s="695" t="s">
        <v>112</v>
      </c>
      <c r="R1533" s="696">
        <v>139.6337534</v>
      </c>
      <c r="S1533" s="696">
        <v>75.88216724</v>
      </c>
      <c r="T1533" s="697">
        <v>240.6742283</v>
      </c>
      <c r="AB1533" s="722"/>
    </row>
    <row r="1534">
      <c r="A1534" s="351"/>
      <c r="K1534" s="693" t="s">
        <v>40</v>
      </c>
      <c r="L1534" s="694" t="s">
        <v>179</v>
      </c>
      <c r="M1534" s="694" t="s">
        <v>915</v>
      </c>
      <c r="N1534" s="694" t="s">
        <v>918</v>
      </c>
      <c r="O1534" s="694">
        <v>2021.0</v>
      </c>
      <c r="P1534" s="694" t="s">
        <v>919</v>
      </c>
      <c r="Q1534" s="695" t="s">
        <v>112</v>
      </c>
      <c r="R1534" s="696">
        <v>7.398202339</v>
      </c>
      <c r="S1534" s="696">
        <v>2.702010088</v>
      </c>
      <c r="T1534" s="697">
        <v>18.58540487</v>
      </c>
      <c r="AB1534" s="722"/>
    </row>
    <row r="1535">
      <c r="A1535" s="351"/>
      <c r="K1535" s="693" t="s">
        <v>40</v>
      </c>
      <c r="L1535" s="694" t="s">
        <v>179</v>
      </c>
      <c r="M1535" s="694" t="s">
        <v>915</v>
      </c>
      <c r="N1535" s="694" t="s">
        <v>923</v>
      </c>
      <c r="O1535" s="694">
        <v>2021.0</v>
      </c>
      <c r="P1535" s="694" t="s">
        <v>919</v>
      </c>
      <c r="Q1535" s="695" t="s">
        <v>112</v>
      </c>
      <c r="R1535" s="696">
        <v>0.0</v>
      </c>
      <c r="S1535" s="696">
        <v>0.0</v>
      </c>
      <c r="T1535" s="697">
        <v>0.0</v>
      </c>
      <c r="AB1535" s="722"/>
    </row>
    <row r="1536">
      <c r="A1536" s="351"/>
      <c r="K1536" s="693" t="s">
        <v>40</v>
      </c>
      <c r="L1536" s="694" t="s">
        <v>179</v>
      </c>
      <c r="M1536" s="694" t="s">
        <v>915</v>
      </c>
      <c r="N1536" s="694" t="s">
        <v>925</v>
      </c>
      <c r="O1536" s="694">
        <v>2021.0</v>
      </c>
      <c r="P1536" s="694" t="s">
        <v>919</v>
      </c>
      <c r="Q1536" s="695" t="s">
        <v>112</v>
      </c>
      <c r="R1536" s="696">
        <v>0.0</v>
      </c>
      <c r="S1536" s="696">
        <v>0.0</v>
      </c>
      <c r="T1536" s="697">
        <v>0.0</v>
      </c>
      <c r="AB1536" s="722"/>
    </row>
    <row r="1537">
      <c r="A1537" s="351"/>
      <c r="K1537" s="693" t="s">
        <v>40</v>
      </c>
      <c r="L1537" s="694" t="s">
        <v>179</v>
      </c>
      <c r="M1537" s="694" t="s">
        <v>915</v>
      </c>
      <c r="N1537" s="694" t="s">
        <v>927</v>
      </c>
      <c r="O1537" s="694">
        <v>2021.0</v>
      </c>
      <c r="P1537" s="694" t="s">
        <v>919</v>
      </c>
      <c r="Q1537" s="695" t="s">
        <v>112</v>
      </c>
      <c r="R1537" s="696">
        <v>6.564784287</v>
      </c>
      <c r="S1537" s="696">
        <v>2.926315408</v>
      </c>
      <c r="T1537" s="697">
        <v>13.44140929</v>
      </c>
      <c r="AB1537" s="722"/>
    </row>
    <row r="1538">
      <c r="A1538" s="351"/>
      <c r="K1538" s="693" t="s">
        <v>40</v>
      </c>
      <c r="L1538" s="694" t="s">
        <v>179</v>
      </c>
      <c r="M1538" s="694" t="s">
        <v>915</v>
      </c>
      <c r="N1538" s="694" t="s">
        <v>926</v>
      </c>
      <c r="O1538" s="694">
        <v>2021.0</v>
      </c>
      <c r="P1538" s="694" t="s">
        <v>919</v>
      </c>
      <c r="Q1538" s="695" t="s">
        <v>112</v>
      </c>
      <c r="R1538" s="696">
        <v>13.96298663</v>
      </c>
      <c r="S1538" s="696">
        <v>5.716494285</v>
      </c>
      <c r="T1538" s="697">
        <v>32.15482749</v>
      </c>
      <c r="AB1538" s="722"/>
    </row>
    <row r="1539">
      <c r="A1539" s="351"/>
      <c r="K1539" s="693" t="s">
        <v>41</v>
      </c>
      <c r="L1539" s="694" t="s">
        <v>179</v>
      </c>
      <c r="M1539" s="694" t="s">
        <v>915</v>
      </c>
      <c r="N1539" s="694" t="s">
        <v>918</v>
      </c>
      <c r="O1539" s="694">
        <v>2021.0</v>
      </c>
      <c r="P1539" s="694" t="s">
        <v>919</v>
      </c>
      <c r="Q1539" s="695" t="s">
        <v>112</v>
      </c>
      <c r="R1539" s="696">
        <v>22.55563515</v>
      </c>
      <c r="S1539" s="696">
        <v>8.209768519</v>
      </c>
      <c r="T1539" s="697">
        <v>57.75180783</v>
      </c>
      <c r="AB1539" s="722"/>
    </row>
    <row r="1540">
      <c r="A1540" s="351"/>
      <c r="K1540" s="693" t="s">
        <v>41</v>
      </c>
      <c r="L1540" s="694" t="s">
        <v>179</v>
      </c>
      <c r="M1540" s="694" t="s">
        <v>915</v>
      </c>
      <c r="N1540" s="694" t="s">
        <v>923</v>
      </c>
      <c r="O1540" s="694">
        <v>2021.0</v>
      </c>
      <c r="P1540" s="694" t="s">
        <v>919</v>
      </c>
      <c r="Q1540" s="695" t="s">
        <v>112</v>
      </c>
      <c r="R1540" s="696">
        <v>0.0</v>
      </c>
      <c r="S1540" s="696">
        <v>0.0</v>
      </c>
      <c r="T1540" s="697">
        <v>0.0</v>
      </c>
      <c r="AB1540" s="722"/>
    </row>
    <row r="1541">
      <c r="A1541" s="351"/>
      <c r="K1541" s="693" t="s">
        <v>41</v>
      </c>
      <c r="L1541" s="694" t="s">
        <v>179</v>
      </c>
      <c r="M1541" s="694" t="s">
        <v>915</v>
      </c>
      <c r="N1541" s="694" t="s">
        <v>925</v>
      </c>
      <c r="O1541" s="694">
        <v>2021.0</v>
      </c>
      <c r="P1541" s="694" t="s">
        <v>919</v>
      </c>
      <c r="Q1541" s="695" t="s">
        <v>112</v>
      </c>
      <c r="R1541" s="696">
        <v>0.0</v>
      </c>
      <c r="S1541" s="696">
        <v>0.0</v>
      </c>
      <c r="T1541" s="697">
        <v>0.0</v>
      </c>
      <c r="AB1541" s="722"/>
    </row>
    <row r="1542">
      <c r="A1542" s="351"/>
      <c r="K1542" s="693" t="s">
        <v>41</v>
      </c>
      <c r="L1542" s="694" t="s">
        <v>179</v>
      </c>
      <c r="M1542" s="694" t="s">
        <v>915</v>
      </c>
      <c r="N1542" s="694" t="s">
        <v>927</v>
      </c>
      <c r="O1542" s="694">
        <v>2021.0</v>
      </c>
      <c r="P1542" s="694" t="s">
        <v>919</v>
      </c>
      <c r="Q1542" s="695" t="s">
        <v>112</v>
      </c>
      <c r="R1542" s="696">
        <v>22.15555702</v>
      </c>
      <c r="S1542" s="696">
        <v>9.079289665</v>
      </c>
      <c r="T1542" s="697">
        <v>47.68375947</v>
      </c>
      <c r="AB1542" s="722"/>
    </row>
    <row r="1543">
      <c r="A1543" s="351"/>
      <c r="K1543" s="693" t="s">
        <v>41</v>
      </c>
      <c r="L1543" s="694" t="s">
        <v>179</v>
      </c>
      <c r="M1543" s="694" t="s">
        <v>915</v>
      </c>
      <c r="N1543" s="694" t="s">
        <v>926</v>
      </c>
      <c r="O1543" s="694">
        <v>2021.0</v>
      </c>
      <c r="P1543" s="694" t="s">
        <v>919</v>
      </c>
      <c r="Q1543" s="695" t="s">
        <v>112</v>
      </c>
      <c r="R1543" s="696">
        <v>44.71119217</v>
      </c>
      <c r="S1543" s="696">
        <v>17.69403952</v>
      </c>
      <c r="T1543" s="697">
        <v>101.5438795</v>
      </c>
      <c r="AB1543" s="722"/>
    </row>
    <row r="1544">
      <c r="A1544" s="351"/>
      <c r="K1544" s="693" t="s">
        <v>26</v>
      </c>
      <c r="L1544" s="694" t="s">
        <v>179</v>
      </c>
      <c r="M1544" s="694" t="s">
        <v>915</v>
      </c>
      <c r="N1544" s="694" t="s">
        <v>918</v>
      </c>
      <c r="O1544" s="694">
        <v>2021.0</v>
      </c>
      <c r="P1544" s="694" t="s">
        <v>919</v>
      </c>
      <c r="Q1544" s="695" t="s">
        <v>112</v>
      </c>
      <c r="R1544" s="696">
        <v>729.506003</v>
      </c>
      <c r="S1544" s="696">
        <v>413.3696807</v>
      </c>
      <c r="T1544" s="697">
        <v>1116.266846</v>
      </c>
      <c r="AB1544" s="722"/>
    </row>
    <row r="1545">
      <c r="A1545" s="351"/>
      <c r="K1545" s="693" t="s">
        <v>26</v>
      </c>
      <c r="L1545" s="694" t="s">
        <v>179</v>
      </c>
      <c r="M1545" s="694" t="s">
        <v>915</v>
      </c>
      <c r="N1545" s="694" t="s">
        <v>923</v>
      </c>
      <c r="O1545" s="694">
        <v>2021.0</v>
      </c>
      <c r="P1545" s="694" t="s">
        <v>919</v>
      </c>
      <c r="Q1545" s="695" t="s">
        <v>112</v>
      </c>
      <c r="R1545" s="696">
        <v>0.0</v>
      </c>
      <c r="S1545" s="696">
        <v>0.0</v>
      </c>
      <c r="T1545" s="697">
        <v>0.0</v>
      </c>
      <c r="AB1545" s="722"/>
    </row>
    <row r="1546">
      <c r="A1546" s="351"/>
      <c r="K1546" s="693" t="s">
        <v>26</v>
      </c>
      <c r="L1546" s="694" t="s">
        <v>179</v>
      </c>
      <c r="M1546" s="694" t="s">
        <v>915</v>
      </c>
      <c r="N1546" s="694" t="s">
        <v>925</v>
      </c>
      <c r="O1546" s="694">
        <v>2021.0</v>
      </c>
      <c r="P1546" s="694" t="s">
        <v>919</v>
      </c>
      <c r="Q1546" s="695" t="s">
        <v>112</v>
      </c>
      <c r="R1546" s="696">
        <v>0.0</v>
      </c>
      <c r="S1546" s="696">
        <v>0.0</v>
      </c>
      <c r="T1546" s="697">
        <v>0.0</v>
      </c>
      <c r="AB1546" s="722"/>
    </row>
    <row r="1547">
      <c r="A1547" s="351"/>
      <c r="K1547" s="693" t="s">
        <v>26</v>
      </c>
      <c r="L1547" s="694" t="s">
        <v>179</v>
      </c>
      <c r="M1547" s="694" t="s">
        <v>915</v>
      </c>
      <c r="N1547" s="694" t="s">
        <v>927</v>
      </c>
      <c r="O1547" s="694">
        <v>2021.0</v>
      </c>
      <c r="P1547" s="694" t="s">
        <v>919</v>
      </c>
      <c r="Q1547" s="695" t="s">
        <v>112</v>
      </c>
      <c r="R1547" s="696">
        <v>290.6020629</v>
      </c>
      <c r="S1547" s="696">
        <v>176.2393765</v>
      </c>
      <c r="T1547" s="697">
        <v>444.7170888</v>
      </c>
      <c r="AB1547" s="722"/>
    </row>
    <row r="1548">
      <c r="A1548" s="351"/>
      <c r="K1548" s="693" t="s">
        <v>26</v>
      </c>
      <c r="L1548" s="694" t="s">
        <v>179</v>
      </c>
      <c r="M1548" s="694" t="s">
        <v>915</v>
      </c>
      <c r="N1548" s="694" t="s">
        <v>926</v>
      </c>
      <c r="O1548" s="694">
        <v>2021.0</v>
      </c>
      <c r="P1548" s="694" t="s">
        <v>919</v>
      </c>
      <c r="Q1548" s="695" t="s">
        <v>112</v>
      </c>
      <c r="R1548" s="696">
        <v>1020.108066</v>
      </c>
      <c r="S1548" s="696">
        <v>605.5428739</v>
      </c>
      <c r="T1548" s="697">
        <v>1530.544732</v>
      </c>
      <c r="AB1548" s="722"/>
    </row>
    <row r="1549">
      <c r="A1549" s="351"/>
      <c r="K1549" s="693" t="s">
        <v>42</v>
      </c>
      <c r="L1549" s="694" t="s">
        <v>179</v>
      </c>
      <c r="M1549" s="694" t="s">
        <v>915</v>
      </c>
      <c r="N1549" s="694" t="s">
        <v>918</v>
      </c>
      <c r="O1549" s="694">
        <v>2021.0</v>
      </c>
      <c r="P1549" s="694" t="s">
        <v>919</v>
      </c>
      <c r="Q1549" s="695" t="s">
        <v>112</v>
      </c>
      <c r="R1549" s="696">
        <v>4.567331177</v>
      </c>
      <c r="S1549" s="696">
        <v>1.868198046</v>
      </c>
      <c r="T1549" s="697">
        <v>10.3942567</v>
      </c>
      <c r="AB1549" s="722"/>
    </row>
    <row r="1550">
      <c r="A1550" s="351"/>
      <c r="K1550" s="693" t="s">
        <v>42</v>
      </c>
      <c r="L1550" s="694" t="s">
        <v>179</v>
      </c>
      <c r="M1550" s="694" t="s">
        <v>915</v>
      </c>
      <c r="N1550" s="694" t="s">
        <v>923</v>
      </c>
      <c r="O1550" s="694">
        <v>2021.0</v>
      </c>
      <c r="P1550" s="694" t="s">
        <v>919</v>
      </c>
      <c r="Q1550" s="695" t="s">
        <v>112</v>
      </c>
      <c r="R1550" s="696">
        <v>0.0</v>
      </c>
      <c r="S1550" s="696">
        <v>0.0</v>
      </c>
      <c r="T1550" s="697">
        <v>0.0</v>
      </c>
      <c r="AB1550" s="722"/>
    </row>
    <row r="1551">
      <c r="A1551" s="351"/>
      <c r="K1551" s="693" t="s">
        <v>42</v>
      </c>
      <c r="L1551" s="694" t="s">
        <v>179</v>
      </c>
      <c r="M1551" s="694" t="s">
        <v>915</v>
      </c>
      <c r="N1551" s="694" t="s">
        <v>925</v>
      </c>
      <c r="O1551" s="694">
        <v>2021.0</v>
      </c>
      <c r="P1551" s="694" t="s">
        <v>919</v>
      </c>
      <c r="Q1551" s="695" t="s">
        <v>112</v>
      </c>
      <c r="R1551" s="696">
        <v>0.0</v>
      </c>
      <c r="S1551" s="696">
        <v>0.0</v>
      </c>
      <c r="T1551" s="697">
        <v>0.0</v>
      </c>
      <c r="AB1551" s="722"/>
    </row>
    <row r="1552">
      <c r="A1552" s="351"/>
      <c r="K1552" s="693" t="s">
        <v>42</v>
      </c>
      <c r="L1552" s="694" t="s">
        <v>179</v>
      </c>
      <c r="M1552" s="694" t="s">
        <v>915</v>
      </c>
      <c r="N1552" s="694" t="s">
        <v>927</v>
      </c>
      <c r="O1552" s="694">
        <v>2021.0</v>
      </c>
      <c r="P1552" s="694" t="s">
        <v>919</v>
      </c>
      <c r="Q1552" s="695" t="s">
        <v>112</v>
      </c>
      <c r="R1552" s="696">
        <v>2.849942789</v>
      </c>
      <c r="S1552" s="696">
        <v>1.433553812</v>
      </c>
      <c r="T1552" s="697">
        <v>5.555521239</v>
      </c>
      <c r="AB1552" s="722"/>
    </row>
    <row r="1553">
      <c r="A1553" s="351"/>
      <c r="K1553" s="693" t="s">
        <v>42</v>
      </c>
      <c r="L1553" s="694" t="s">
        <v>179</v>
      </c>
      <c r="M1553" s="694" t="s">
        <v>915</v>
      </c>
      <c r="N1553" s="694" t="s">
        <v>926</v>
      </c>
      <c r="O1553" s="694">
        <v>2021.0</v>
      </c>
      <c r="P1553" s="694" t="s">
        <v>919</v>
      </c>
      <c r="Q1553" s="695" t="s">
        <v>112</v>
      </c>
      <c r="R1553" s="696">
        <v>7.417273966</v>
      </c>
      <c r="S1553" s="696">
        <v>3.292650633</v>
      </c>
      <c r="T1553" s="697">
        <v>16.14708412</v>
      </c>
      <c r="AB1553" s="722"/>
    </row>
    <row r="1554">
      <c r="A1554" s="351"/>
      <c r="K1554" s="693" t="s">
        <v>44</v>
      </c>
      <c r="L1554" s="694" t="s">
        <v>179</v>
      </c>
      <c r="M1554" s="694" t="s">
        <v>915</v>
      </c>
      <c r="N1554" s="694" t="s">
        <v>918</v>
      </c>
      <c r="O1554" s="694">
        <v>2021.0</v>
      </c>
      <c r="P1554" s="694" t="s">
        <v>919</v>
      </c>
      <c r="Q1554" s="695" t="s">
        <v>112</v>
      </c>
      <c r="R1554" s="696">
        <v>67.82659868</v>
      </c>
      <c r="S1554" s="696">
        <v>27.17621141</v>
      </c>
      <c r="T1554" s="697">
        <v>172.3827949</v>
      </c>
      <c r="AB1554" s="722"/>
    </row>
    <row r="1555">
      <c r="A1555" s="351"/>
      <c r="K1555" s="693" t="s">
        <v>44</v>
      </c>
      <c r="L1555" s="694" t="s">
        <v>179</v>
      </c>
      <c r="M1555" s="694" t="s">
        <v>915</v>
      </c>
      <c r="N1555" s="694" t="s">
        <v>923</v>
      </c>
      <c r="O1555" s="694">
        <v>2021.0</v>
      </c>
      <c r="P1555" s="694" t="s">
        <v>919</v>
      </c>
      <c r="Q1555" s="695" t="s">
        <v>112</v>
      </c>
      <c r="R1555" s="696">
        <v>0.0</v>
      </c>
      <c r="S1555" s="696">
        <v>0.0</v>
      </c>
      <c r="T1555" s="697">
        <v>0.0</v>
      </c>
      <c r="AB1555" s="722"/>
    </row>
    <row r="1556">
      <c r="A1556" s="351"/>
      <c r="K1556" s="693" t="s">
        <v>44</v>
      </c>
      <c r="L1556" s="694" t="s">
        <v>179</v>
      </c>
      <c r="M1556" s="694" t="s">
        <v>915</v>
      </c>
      <c r="N1556" s="694" t="s">
        <v>925</v>
      </c>
      <c r="O1556" s="694">
        <v>2021.0</v>
      </c>
      <c r="P1556" s="694" t="s">
        <v>919</v>
      </c>
      <c r="Q1556" s="695" t="s">
        <v>112</v>
      </c>
      <c r="R1556" s="696">
        <v>0.0</v>
      </c>
      <c r="S1556" s="696">
        <v>0.0</v>
      </c>
      <c r="T1556" s="697">
        <v>0.0</v>
      </c>
      <c r="AB1556" s="722"/>
    </row>
    <row r="1557">
      <c r="A1557" s="351"/>
      <c r="K1557" s="693" t="s">
        <v>44</v>
      </c>
      <c r="L1557" s="694" t="s">
        <v>179</v>
      </c>
      <c r="M1557" s="694" t="s">
        <v>915</v>
      </c>
      <c r="N1557" s="694" t="s">
        <v>927</v>
      </c>
      <c r="O1557" s="694">
        <v>2021.0</v>
      </c>
      <c r="P1557" s="694" t="s">
        <v>919</v>
      </c>
      <c r="Q1557" s="695" t="s">
        <v>112</v>
      </c>
      <c r="R1557" s="696">
        <v>102.1814173</v>
      </c>
      <c r="S1557" s="696">
        <v>55.18903229</v>
      </c>
      <c r="T1557" s="697">
        <v>175.2675496</v>
      </c>
      <c r="AB1557" s="722"/>
    </row>
    <row r="1558">
      <c r="A1558" s="351"/>
      <c r="K1558" s="693" t="s">
        <v>44</v>
      </c>
      <c r="L1558" s="694" t="s">
        <v>179</v>
      </c>
      <c r="M1558" s="694" t="s">
        <v>915</v>
      </c>
      <c r="N1558" s="694" t="s">
        <v>926</v>
      </c>
      <c r="O1558" s="694">
        <v>2021.0</v>
      </c>
      <c r="P1558" s="694" t="s">
        <v>919</v>
      </c>
      <c r="Q1558" s="695" t="s">
        <v>112</v>
      </c>
      <c r="R1558" s="696">
        <v>170.008016</v>
      </c>
      <c r="S1558" s="696">
        <v>87.31579445</v>
      </c>
      <c r="T1558" s="697">
        <v>342.6625133</v>
      </c>
      <c r="AB1558" s="722"/>
    </row>
    <row r="1559">
      <c r="A1559" s="351"/>
      <c r="K1559" s="693" t="s">
        <v>45</v>
      </c>
      <c r="L1559" s="694" t="s">
        <v>179</v>
      </c>
      <c r="M1559" s="694" t="s">
        <v>915</v>
      </c>
      <c r="N1559" s="694" t="s">
        <v>918</v>
      </c>
      <c r="O1559" s="694">
        <v>2021.0</v>
      </c>
      <c r="P1559" s="694" t="s">
        <v>919</v>
      </c>
      <c r="Q1559" s="695" t="s">
        <v>112</v>
      </c>
      <c r="R1559" s="696">
        <v>47.92424228</v>
      </c>
      <c r="S1559" s="696">
        <v>17.54595847</v>
      </c>
      <c r="T1559" s="697">
        <v>124.6838604</v>
      </c>
      <c r="AB1559" s="722"/>
    </row>
    <row r="1560">
      <c r="A1560" s="351"/>
      <c r="K1560" s="693" t="s">
        <v>45</v>
      </c>
      <c r="L1560" s="694" t="s">
        <v>179</v>
      </c>
      <c r="M1560" s="694" t="s">
        <v>915</v>
      </c>
      <c r="N1560" s="694" t="s">
        <v>923</v>
      </c>
      <c r="O1560" s="694">
        <v>2021.0</v>
      </c>
      <c r="P1560" s="694" t="s">
        <v>919</v>
      </c>
      <c r="Q1560" s="695" t="s">
        <v>112</v>
      </c>
      <c r="R1560" s="696">
        <v>0.0</v>
      </c>
      <c r="S1560" s="696">
        <v>0.0</v>
      </c>
      <c r="T1560" s="697">
        <v>0.0</v>
      </c>
      <c r="AB1560" s="722"/>
    </row>
    <row r="1561">
      <c r="A1561" s="351"/>
      <c r="K1561" s="693" t="s">
        <v>45</v>
      </c>
      <c r="L1561" s="694" t="s">
        <v>179</v>
      </c>
      <c r="M1561" s="694" t="s">
        <v>915</v>
      </c>
      <c r="N1561" s="694" t="s">
        <v>925</v>
      </c>
      <c r="O1561" s="694">
        <v>2021.0</v>
      </c>
      <c r="P1561" s="694" t="s">
        <v>919</v>
      </c>
      <c r="Q1561" s="695" t="s">
        <v>112</v>
      </c>
      <c r="R1561" s="696">
        <v>0.0</v>
      </c>
      <c r="S1561" s="696">
        <v>0.0</v>
      </c>
      <c r="T1561" s="697">
        <v>0.0</v>
      </c>
      <c r="AB1561" s="722"/>
    </row>
    <row r="1562">
      <c r="A1562" s="351"/>
      <c r="K1562" s="693" t="s">
        <v>45</v>
      </c>
      <c r="L1562" s="694" t="s">
        <v>179</v>
      </c>
      <c r="M1562" s="694" t="s">
        <v>915</v>
      </c>
      <c r="N1562" s="694" t="s">
        <v>927</v>
      </c>
      <c r="O1562" s="694">
        <v>2021.0</v>
      </c>
      <c r="P1562" s="694" t="s">
        <v>919</v>
      </c>
      <c r="Q1562" s="695" t="s">
        <v>112</v>
      </c>
      <c r="R1562" s="696">
        <v>42.05372621</v>
      </c>
      <c r="S1562" s="696">
        <v>20.70142694</v>
      </c>
      <c r="T1562" s="697">
        <v>75.73377554</v>
      </c>
      <c r="AB1562" s="722"/>
    </row>
    <row r="1563">
      <c r="A1563" s="351"/>
      <c r="K1563" s="693" t="s">
        <v>45</v>
      </c>
      <c r="L1563" s="694" t="s">
        <v>179</v>
      </c>
      <c r="M1563" s="694" t="s">
        <v>915</v>
      </c>
      <c r="N1563" s="694" t="s">
        <v>926</v>
      </c>
      <c r="O1563" s="694">
        <v>2021.0</v>
      </c>
      <c r="P1563" s="694" t="s">
        <v>919</v>
      </c>
      <c r="Q1563" s="695" t="s">
        <v>112</v>
      </c>
      <c r="R1563" s="696">
        <v>89.97796849</v>
      </c>
      <c r="S1563" s="696">
        <v>40.07479706</v>
      </c>
      <c r="T1563" s="697">
        <v>192.8497518</v>
      </c>
      <c r="AB1563" s="722"/>
    </row>
    <row r="1564">
      <c r="A1564" s="351"/>
      <c r="K1564" s="693" t="s">
        <v>46</v>
      </c>
      <c r="L1564" s="694" t="s">
        <v>179</v>
      </c>
      <c r="M1564" s="694" t="s">
        <v>915</v>
      </c>
      <c r="N1564" s="694" t="s">
        <v>918</v>
      </c>
      <c r="O1564" s="694">
        <v>2021.0</v>
      </c>
      <c r="P1564" s="694" t="s">
        <v>919</v>
      </c>
      <c r="Q1564" s="695" t="s">
        <v>112</v>
      </c>
      <c r="R1564" s="696">
        <v>9.706553389</v>
      </c>
      <c r="S1564" s="696">
        <v>3.980437404</v>
      </c>
      <c r="T1564" s="697">
        <v>22.73700575</v>
      </c>
      <c r="AB1564" s="722"/>
    </row>
    <row r="1565">
      <c r="A1565" s="351"/>
      <c r="K1565" s="693" t="s">
        <v>46</v>
      </c>
      <c r="L1565" s="694" t="s">
        <v>179</v>
      </c>
      <c r="M1565" s="694" t="s">
        <v>915</v>
      </c>
      <c r="N1565" s="694" t="s">
        <v>923</v>
      </c>
      <c r="O1565" s="694">
        <v>2021.0</v>
      </c>
      <c r="P1565" s="694" t="s">
        <v>919</v>
      </c>
      <c r="Q1565" s="695" t="s">
        <v>112</v>
      </c>
      <c r="R1565" s="696">
        <v>0.0</v>
      </c>
      <c r="S1565" s="696">
        <v>0.0</v>
      </c>
      <c r="T1565" s="697">
        <v>0.0</v>
      </c>
      <c r="AB1565" s="722"/>
    </row>
    <row r="1566">
      <c r="A1566" s="351"/>
      <c r="K1566" s="693" t="s">
        <v>46</v>
      </c>
      <c r="L1566" s="694" t="s">
        <v>179</v>
      </c>
      <c r="M1566" s="694" t="s">
        <v>915</v>
      </c>
      <c r="N1566" s="694" t="s">
        <v>925</v>
      </c>
      <c r="O1566" s="694">
        <v>2021.0</v>
      </c>
      <c r="P1566" s="694" t="s">
        <v>919</v>
      </c>
      <c r="Q1566" s="695" t="s">
        <v>112</v>
      </c>
      <c r="R1566" s="696">
        <v>0.0</v>
      </c>
      <c r="S1566" s="696">
        <v>0.0</v>
      </c>
      <c r="T1566" s="697">
        <v>0.0</v>
      </c>
      <c r="AB1566" s="722"/>
    </row>
    <row r="1567">
      <c r="A1567" s="351"/>
      <c r="K1567" s="693" t="s">
        <v>46</v>
      </c>
      <c r="L1567" s="694" t="s">
        <v>179</v>
      </c>
      <c r="M1567" s="694" t="s">
        <v>915</v>
      </c>
      <c r="N1567" s="694" t="s">
        <v>927</v>
      </c>
      <c r="O1567" s="694">
        <v>2021.0</v>
      </c>
      <c r="P1567" s="694" t="s">
        <v>919</v>
      </c>
      <c r="Q1567" s="695" t="s">
        <v>112</v>
      </c>
      <c r="R1567" s="696">
        <v>9.878478055</v>
      </c>
      <c r="S1567" s="696">
        <v>4.741406243</v>
      </c>
      <c r="T1567" s="697">
        <v>19.34387162</v>
      </c>
      <c r="AB1567" s="722"/>
    </row>
    <row r="1568">
      <c r="A1568" s="351"/>
      <c r="K1568" s="693" t="s">
        <v>46</v>
      </c>
      <c r="L1568" s="694" t="s">
        <v>179</v>
      </c>
      <c r="M1568" s="694" t="s">
        <v>915</v>
      </c>
      <c r="N1568" s="694" t="s">
        <v>926</v>
      </c>
      <c r="O1568" s="694">
        <v>2021.0</v>
      </c>
      <c r="P1568" s="694" t="s">
        <v>919</v>
      </c>
      <c r="Q1568" s="695" t="s">
        <v>112</v>
      </c>
      <c r="R1568" s="696">
        <v>19.58503144</v>
      </c>
      <c r="S1568" s="696">
        <v>9.334157275</v>
      </c>
      <c r="T1568" s="697">
        <v>39.70871356</v>
      </c>
      <c r="AB1568" s="722"/>
    </row>
    <row r="1569">
      <c r="A1569" s="351"/>
      <c r="K1569" s="693" t="s">
        <v>47</v>
      </c>
      <c r="L1569" s="694" t="s">
        <v>179</v>
      </c>
      <c r="M1569" s="694" t="s">
        <v>915</v>
      </c>
      <c r="N1569" s="694" t="s">
        <v>918</v>
      </c>
      <c r="O1569" s="694">
        <v>2021.0</v>
      </c>
      <c r="P1569" s="694" t="s">
        <v>919</v>
      </c>
      <c r="Q1569" s="695" t="s">
        <v>112</v>
      </c>
      <c r="R1569" s="696">
        <v>20.14038231</v>
      </c>
      <c r="S1569" s="696">
        <v>7.331554545</v>
      </c>
      <c r="T1569" s="697">
        <v>49.59627578</v>
      </c>
      <c r="AB1569" s="722"/>
    </row>
    <row r="1570">
      <c r="A1570" s="351"/>
      <c r="K1570" s="693" t="s">
        <v>47</v>
      </c>
      <c r="L1570" s="694" t="s">
        <v>179</v>
      </c>
      <c r="M1570" s="694" t="s">
        <v>915</v>
      </c>
      <c r="N1570" s="694" t="s">
        <v>923</v>
      </c>
      <c r="O1570" s="694">
        <v>2021.0</v>
      </c>
      <c r="P1570" s="694" t="s">
        <v>919</v>
      </c>
      <c r="Q1570" s="695" t="s">
        <v>112</v>
      </c>
      <c r="R1570" s="696">
        <v>0.0</v>
      </c>
      <c r="S1570" s="696">
        <v>0.0</v>
      </c>
      <c r="T1570" s="697">
        <v>0.0</v>
      </c>
      <c r="AB1570" s="722"/>
    </row>
    <row r="1571">
      <c r="A1571" s="351"/>
      <c r="K1571" s="693" t="s">
        <v>47</v>
      </c>
      <c r="L1571" s="694" t="s">
        <v>179</v>
      </c>
      <c r="M1571" s="694" t="s">
        <v>915</v>
      </c>
      <c r="N1571" s="694" t="s">
        <v>925</v>
      </c>
      <c r="O1571" s="694">
        <v>2021.0</v>
      </c>
      <c r="P1571" s="694" t="s">
        <v>919</v>
      </c>
      <c r="Q1571" s="695" t="s">
        <v>112</v>
      </c>
      <c r="R1571" s="696">
        <v>0.0</v>
      </c>
      <c r="S1571" s="696">
        <v>0.0</v>
      </c>
      <c r="T1571" s="697">
        <v>0.0</v>
      </c>
      <c r="AB1571" s="722"/>
    </row>
    <row r="1572">
      <c r="A1572" s="351"/>
      <c r="K1572" s="693" t="s">
        <v>47</v>
      </c>
      <c r="L1572" s="694" t="s">
        <v>179</v>
      </c>
      <c r="M1572" s="694" t="s">
        <v>915</v>
      </c>
      <c r="N1572" s="694" t="s">
        <v>927</v>
      </c>
      <c r="O1572" s="694">
        <v>2021.0</v>
      </c>
      <c r="P1572" s="694" t="s">
        <v>919</v>
      </c>
      <c r="Q1572" s="695" t="s">
        <v>112</v>
      </c>
      <c r="R1572" s="696">
        <v>21.65377264</v>
      </c>
      <c r="S1572" s="696">
        <v>10.08900239</v>
      </c>
      <c r="T1572" s="697">
        <v>41.17371665</v>
      </c>
      <c r="AB1572" s="722"/>
    </row>
    <row r="1573">
      <c r="A1573" s="351"/>
      <c r="K1573" s="693" t="s">
        <v>47</v>
      </c>
      <c r="L1573" s="694" t="s">
        <v>179</v>
      </c>
      <c r="M1573" s="694" t="s">
        <v>915</v>
      </c>
      <c r="N1573" s="694" t="s">
        <v>926</v>
      </c>
      <c r="O1573" s="694">
        <v>2021.0</v>
      </c>
      <c r="P1573" s="694" t="s">
        <v>919</v>
      </c>
      <c r="Q1573" s="695" t="s">
        <v>112</v>
      </c>
      <c r="R1573" s="696">
        <v>41.79415495</v>
      </c>
      <c r="S1573" s="696">
        <v>17.57976167</v>
      </c>
      <c r="T1573" s="697">
        <v>84.7890802</v>
      </c>
      <c r="AB1573" s="722"/>
    </row>
    <row r="1574">
      <c r="A1574" s="351"/>
      <c r="K1574" s="693" t="s">
        <v>48</v>
      </c>
      <c r="L1574" s="694" t="s">
        <v>179</v>
      </c>
      <c r="M1574" s="694" t="s">
        <v>915</v>
      </c>
      <c r="N1574" s="694" t="s">
        <v>918</v>
      </c>
      <c r="O1574" s="694">
        <v>2021.0</v>
      </c>
      <c r="P1574" s="694" t="s">
        <v>919</v>
      </c>
      <c r="Q1574" s="695" t="s">
        <v>112</v>
      </c>
      <c r="R1574" s="696">
        <v>20.63239215</v>
      </c>
      <c r="S1574" s="696">
        <v>8.329494778</v>
      </c>
      <c r="T1574" s="697">
        <v>46.54141827</v>
      </c>
      <c r="AB1574" s="722"/>
    </row>
    <row r="1575">
      <c r="A1575" s="351"/>
      <c r="K1575" s="693" t="s">
        <v>48</v>
      </c>
      <c r="L1575" s="694" t="s">
        <v>179</v>
      </c>
      <c r="M1575" s="694" t="s">
        <v>915</v>
      </c>
      <c r="N1575" s="694" t="s">
        <v>923</v>
      </c>
      <c r="O1575" s="694">
        <v>2021.0</v>
      </c>
      <c r="P1575" s="694" t="s">
        <v>919</v>
      </c>
      <c r="Q1575" s="695" t="s">
        <v>112</v>
      </c>
      <c r="R1575" s="696">
        <v>0.0</v>
      </c>
      <c r="S1575" s="696">
        <v>0.0</v>
      </c>
      <c r="T1575" s="697">
        <v>0.0</v>
      </c>
      <c r="AB1575" s="722"/>
    </row>
    <row r="1576">
      <c r="A1576" s="351"/>
      <c r="K1576" s="693" t="s">
        <v>48</v>
      </c>
      <c r="L1576" s="694" t="s">
        <v>179</v>
      </c>
      <c r="M1576" s="694" t="s">
        <v>915</v>
      </c>
      <c r="N1576" s="694" t="s">
        <v>925</v>
      </c>
      <c r="O1576" s="694">
        <v>2021.0</v>
      </c>
      <c r="P1576" s="694" t="s">
        <v>919</v>
      </c>
      <c r="Q1576" s="695" t="s">
        <v>112</v>
      </c>
      <c r="R1576" s="696">
        <v>0.0</v>
      </c>
      <c r="S1576" s="696">
        <v>0.0</v>
      </c>
      <c r="T1576" s="697">
        <v>0.0</v>
      </c>
      <c r="AB1576" s="722"/>
    </row>
    <row r="1577">
      <c r="A1577" s="351"/>
      <c r="K1577" s="693" t="s">
        <v>48</v>
      </c>
      <c r="L1577" s="694" t="s">
        <v>179</v>
      </c>
      <c r="M1577" s="694" t="s">
        <v>915</v>
      </c>
      <c r="N1577" s="694" t="s">
        <v>927</v>
      </c>
      <c r="O1577" s="694">
        <v>2021.0</v>
      </c>
      <c r="P1577" s="694" t="s">
        <v>919</v>
      </c>
      <c r="Q1577" s="695" t="s">
        <v>112</v>
      </c>
      <c r="R1577" s="696">
        <v>29.71912908</v>
      </c>
      <c r="S1577" s="696">
        <v>15.38062457</v>
      </c>
      <c r="T1577" s="697">
        <v>54.65928803</v>
      </c>
      <c r="AB1577" s="722"/>
    </row>
    <row r="1578">
      <c r="A1578" s="351"/>
      <c r="K1578" s="693" t="s">
        <v>48</v>
      </c>
      <c r="L1578" s="694" t="s">
        <v>179</v>
      </c>
      <c r="M1578" s="694" t="s">
        <v>915</v>
      </c>
      <c r="N1578" s="694" t="s">
        <v>926</v>
      </c>
      <c r="O1578" s="694">
        <v>2021.0</v>
      </c>
      <c r="P1578" s="694" t="s">
        <v>919</v>
      </c>
      <c r="Q1578" s="695" t="s">
        <v>112</v>
      </c>
      <c r="R1578" s="696">
        <v>50.35152123</v>
      </c>
      <c r="S1578" s="696">
        <v>24.258331</v>
      </c>
      <c r="T1578" s="697">
        <v>96.90484275</v>
      </c>
      <c r="AB1578" s="722"/>
    </row>
    <row r="1579">
      <c r="A1579" s="351"/>
      <c r="K1579" s="693" t="s">
        <v>49</v>
      </c>
      <c r="L1579" s="694" t="s">
        <v>179</v>
      </c>
      <c r="M1579" s="694" t="s">
        <v>915</v>
      </c>
      <c r="N1579" s="694" t="s">
        <v>918</v>
      </c>
      <c r="O1579" s="694">
        <v>2021.0</v>
      </c>
      <c r="P1579" s="694" t="s">
        <v>919</v>
      </c>
      <c r="Q1579" s="695" t="s">
        <v>112</v>
      </c>
      <c r="R1579" s="696">
        <v>22.79464262</v>
      </c>
      <c r="S1579" s="696">
        <v>9.407346526</v>
      </c>
      <c r="T1579" s="697">
        <v>52.88905804</v>
      </c>
      <c r="AB1579" s="722"/>
    </row>
    <row r="1580">
      <c r="A1580" s="351"/>
      <c r="K1580" s="693" t="s">
        <v>49</v>
      </c>
      <c r="L1580" s="694" t="s">
        <v>179</v>
      </c>
      <c r="M1580" s="694" t="s">
        <v>915</v>
      </c>
      <c r="N1580" s="694" t="s">
        <v>923</v>
      </c>
      <c r="O1580" s="694">
        <v>2021.0</v>
      </c>
      <c r="P1580" s="694" t="s">
        <v>919</v>
      </c>
      <c r="Q1580" s="695" t="s">
        <v>112</v>
      </c>
      <c r="R1580" s="696">
        <v>0.0</v>
      </c>
      <c r="S1580" s="696">
        <v>0.0</v>
      </c>
      <c r="T1580" s="697">
        <v>0.0</v>
      </c>
      <c r="AB1580" s="722"/>
    </row>
    <row r="1581">
      <c r="A1581" s="351"/>
      <c r="K1581" s="693" t="s">
        <v>49</v>
      </c>
      <c r="L1581" s="694" t="s">
        <v>179</v>
      </c>
      <c r="M1581" s="694" t="s">
        <v>915</v>
      </c>
      <c r="N1581" s="694" t="s">
        <v>925</v>
      </c>
      <c r="O1581" s="694">
        <v>2021.0</v>
      </c>
      <c r="P1581" s="694" t="s">
        <v>919</v>
      </c>
      <c r="Q1581" s="695" t="s">
        <v>112</v>
      </c>
      <c r="R1581" s="696">
        <v>0.0</v>
      </c>
      <c r="S1581" s="696">
        <v>0.0</v>
      </c>
      <c r="T1581" s="697">
        <v>0.0</v>
      </c>
      <c r="AB1581" s="722"/>
    </row>
    <row r="1582">
      <c r="A1582" s="351"/>
      <c r="K1582" s="693" t="s">
        <v>49</v>
      </c>
      <c r="L1582" s="694" t="s">
        <v>179</v>
      </c>
      <c r="M1582" s="694" t="s">
        <v>915</v>
      </c>
      <c r="N1582" s="694" t="s">
        <v>927</v>
      </c>
      <c r="O1582" s="694">
        <v>2021.0</v>
      </c>
      <c r="P1582" s="694" t="s">
        <v>919</v>
      </c>
      <c r="Q1582" s="695" t="s">
        <v>112</v>
      </c>
      <c r="R1582" s="696">
        <v>10.32784395</v>
      </c>
      <c r="S1582" s="696">
        <v>4.273070686</v>
      </c>
      <c r="T1582" s="697">
        <v>21.62953584</v>
      </c>
      <c r="AB1582" s="722"/>
    </row>
    <row r="1583">
      <c r="A1583" s="351"/>
      <c r="K1583" s="693" t="s">
        <v>49</v>
      </c>
      <c r="L1583" s="694" t="s">
        <v>179</v>
      </c>
      <c r="M1583" s="694" t="s">
        <v>915</v>
      </c>
      <c r="N1583" s="694" t="s">
        <v>926</v>
      </c>
      <c r="O1583" s="694">
        <v>2021.0</v>
      </c>
      <c r="P1583" s="694" t="s">
        <v>919</v>
      </c>
      <c r="Q1583" s="695" t="s">
        <v>112</v>
      </c>
      <c r="R1583" s="696">
        <v>33.12248657</v>
      </c>
      <c r="S1583" s="696">
        <v>13.94661188</v>
      </c>
      <c r="T1583" s="697">
        <v>74.62691353</v>
      </c>
      <c r="AB1583" s="722"/>
    </row>
    <row r="1584">
      <c r="A1584" s="351"/>
      <c r="K1584" s="693" t="s">
        <v>50</v>
      </c>
      <c r="L1584" s="694" t="s">
        <v>179</v>
      </c>
      <c r="M1584" s="694" t="s">
        <v>915</v>
      </c>
      <c r="N1584" s="694" t="s">
        <v>918</v>
      </c>
      <c r="O1584" s="694">
        <v>2021.0</v>
      </c>
      <c r="P1584" s="694" t="s">
        <v>919</v>
      </c>
      <c r="Q1584" s="695" t="s">
        <v>112</v>
      </c>
      <c r="R1584" s="696">
        <v>7.254929652</v>
      </c>
      <c r="S1584" s="696">
        <v>2.641019094</v>
      </c>
      <c r="T1584" s="697">
        <v>16.2251651</v>
      </c>
      <c r="AB1584" s="722"/>
    </row>
    <row r="1585">
      <c r="A1585" s="351"/>
      <c r="K1585" s="693" t="s">
        <v>50</v>
      </c>
      <c r="L1585" s="694" t="s">
        <v>179</v>
      </c>
      <c r="M1585" s="694" t="s">
        <v>915</v>
      </c>
      <c r="N1585" s="694" t="s">
        <v>923</v>
      </c>
      <c r="O1585" s="694">
        <v>2021.0</v>
      </c>
      <c r="P1585" s="694" t="s">
        <v>919</v>
      </c>
      <c r="Q1585" s="695" t="s">
        <v>112</v>
      </c>
      <c r="R1585" s="696">
        <v>0.0</v>
      </c>
      <c r="S1585" s="696">
        <v>0.0</v>
      </c>
      <c r="T1585" s="697">
        <v>0.0</v>
      </c>
      <c r="AB1585" s="722"/>
    </row>
    <row r="1586">
      <c r="A1586" s="351"/>
      <c r="K1586" s="693" t="s">
        <v>50</v>
      </c>
      <c r="L1586" s="694" t="s">
        <v>179</v>
      </c>
      <c r="M1586" s="694" t="s">
        <v>915</v>
      </c>
      <c r="N1586" s="694" t="s">
        <v>925</v>
      </c>
      <c r="O1586" s="694">
        <v>2021.0</v>
      </c>
      <c r="P1586" s="694" t="s">
        <v>919</v>
      </c>
      <c r="Q1586" s="695" t="s">
        <v>112</v>
      </c>
      <c r="R1586" s="696">
        <v>0.0</v>
      </c>
      <c r="S1586" s="696">
        <v>0.0</v>
      </c>
      <c r="T1586" s="697">
        <v>0.0</v>
      </c>
      <c r="AB1586" s="722"/>
    </row>
    <row r="1587">
      <c r="A1587" s="351"/>
      <c r="K1587" s="693" t="s">
        <v>50</v>
      </c>
      <c r="L1587" s="694" t="s">
        <v>179</v>
      </c>
      <c r="M1587" s="694" t="s">
        <v>915</v>
      </c>
      <c r="N1587" s="694" t="s">
        <v>927</v>
      </c>
      <c r="O1587" s="694">
        <v>2021.0</v>
      </c>
      <c r="P1587" s="694" t="s">
        <v>919</v>
      </c>
      <c r="Q1587" s="695" t="s">
        <v>112</v>
      </c>
      <c r="R1587" s="696">
        <v>6.051913527</v>
      </c>
      <c r="S1587" s="696">
        <v>2.656792521</v>
      </c>
      <c r="T1587" s="697">
        <v>11.75944235</v>
      </c>
      <c r="AB1587" s="722"/>
    </row>
    <row r="1588">
      <c r="A1588" s="351"/>
      <c r="K1588" s="693" t="s">
        <v>50</v>
      </c>
      <c r="L1588" s="694" t="s">
        <v>179</v>
      </c>
      <c r="M1588" s="694" t="s">
        <v>915</v>
      </c>
      <c r="N1588" s="694" t="s">
        <v>926</v>
      </c>
      <c r="O1588" s="694">
        <v>2021.0</v>
      </c>
      <c r="P1588" s="694" t="s">
        <v>919</v>
      </c>
      <c r="Q1588" s="695" t="s">
        <v>112</v>
      </c>
      <c r="R1588" s="696">
        <v>13.30684318</v>
      </c>
      <c r="S1588" s="696">
        <v>5.36934134</v>
      </c>
      <c r="T1588" s="697">
        <v>27.32046959</v>
      </c>
      <c r="AB1588" s="722"/>
    </row>
    <row r="1589">
      <c r="A1589" s="351"/>
      <c r="K1589" s="693" t="s">
        <v>51</v>
      </c>
      <c r="L1589" s="694" t="s">
        <v>179</v>
      </c>
      <c r="M1589" s="694" t="s">
        <v>915</v>
      </c>
      <c r="N1589" s="694" t="s">
        <v>918</v>
      </c>
      <c r="O1589" s="694">
        <v>2021.0</v>
      </c>
      <c r="P1589" s="694" t="s">
        <v>919</v>
      </c>
      <c r="Q1589" s="695" t="s">
        <v>112</v>
      </c>
      <c r="R1589" s="696">
        <v>11.28160486</v>
      </c>
      <c r="S1589" s="696">
        <v>3.79191599</v>
      </c>
      <c r="T1589" s="697">
        <v>30.26912984</v>
      </c>
      <c r="AB1589" s="722"/>
    </row>
    <row r="1590">
      <c r="A1590" s="351"/>
      <c r="K1590" s="693" t="s">
        <v>51</v>
      </c>
      <c r="L1590" s="694" t="s">
        <v>179</v>
      </c>
      <c r="M1590" s="694" t="s">
        <v>915</v>
      </c>
      <c r="N1590" s="694" t="s">
        <v>923</v>
      </c>
      <c r="O1590" s="694">
        <v>2021.0</v>
      </c>
      <c r="P1590" s="694" t="s">
        <v>919</v>
      </c>
      <c r="Q1590" s="695" t="s">
        <v>112</v>
      </c>
      <c r="R1590" s="696">
        <v>0.0</v>
      </c>
      <c r="S1590" s="696">
        <v>0.0</v>
      </c>
      <c r="T1590" s="697">
        <v>0.0</v>
      </c>
      <c r="AB1590" s="722"/>
    </row>
    <row r="1591">
      <c r="A1591" s="351"/>
      <c r="K1591" s="693" t="s">
        <v>51</v>
      </c>
      <c r="L1591" s="694" t="s">
        <v>179</v>
      </c>
      <c r="M1591" s="694" t="s">
        <v>915</v>
      </c>
      <c r="N1591" s="694" t="s">
        <v>925</v>
      </c>
      <c r="O1591" s="694">
        <v>2021.0</v>
      </c>
      <c r="P1591" s="694" t="s">
        <v>919</v>
      </c>
      <c r="Q1591" s="695" t="s">
        <v>112</v>
      </c>
      <c r="R1591" s="696">
        <v>0.0</v>
      </c>
      <c r="S1591" s="696">
        <v>0.0</v>
      </c>
      <c r="T1591" s="697">
        <v>0.0</v>
      </c>
      <c r="AB1591" s="722"/>
    </row>
    <row r="1592">
      <c r="A1592" s="351"/>
      <c r="K1592" s="693" t="s">
        <v>51</v>
      </c>
      <c r="L1592" s="694" t="s">
        <v>179</v>
      </c>
      <c r="M1592" s="694" t="s">
        <v>915</v>
      </c>
      <c r="N1592" s="694" t="s">
        <v>927</v>
      </c>
      <c r="O1592" s="694">
        <v>2021.0</v>
      </c>
      <c r="P1592" s="694" t="s">
        <v>919</v>
      </c>
      <c r="Q1592" s="695" t="s">
        <v>112</v>
      </c>
      <c r="R1592" s="696">
        <v>10.5533836</v>
      </c>
      <c r="S1592" s="696">
        <v>4.187180116</v>
      </c>
      <c r="T1592" s="697">
        <v>21.81147832</v>
      </c>
      <c r="AB1592" s="722"/>
    </row>
    <row r="1593">
      <c r="A1593" s="351"/>
      <c r="K1593" s="693" t="s">
        <v>51</v>
      </c>
      <c r="L1593" s="694" t="s">
        <v>179</v>
      </c>
      <c r="M1593" s="694" t="s">
        <v>915</v>
      </c>
      <c r="N1593" s="694" t="s">
        <v>926</v>
      </c>
      <c r="O1593" s="694">
        <v>2021.0</v>
      </c>
      <c r="P1593" s="694" t="s">
        <v>919</v>
      </c>
      <c r="Q1593" s="695" t="s">
        <v>112</v>
      </c>
      <c r="R1593" s="696">
        <v>21.83498846</v>
      </c>
      <c r="S1593" s="696">
        <v>8.060618617</v>
      </c>
      <c r="T1593" s="697">
        <v>48.6980642</v>
      </c>
      <c r="AB1593" s="722"/>
    </row>
    <row r="1594">
      <c r="A1594" s="351"/>
      <c r="K1594" s="693" t="s">
        <v>52</v>
      </c>
      <c r="L1594" s="694" t="s">
        <v>179</v>
      </c>
      <c r="M1594" s="694" t="s">
        <v>915</v>
      </c>
      <c r="N1594" s="694" t="s">
        <v>918</v>
      </c>
      <c r="O1594" s="694">
        <v>2021.0</v>
      </c>
      <c r="P1594" s="694" t="s">
        <v>919</v>
      </c>
      <c r="Q1594" s="695" t="s">
        <v>112</v>
      </c>
      <c r="R1594" s="696">
        <v>25.69158786</v>
      </c>
      <c r="S1594" s="696">
        <v>8.359295453</v>
      </c>
      <c r="T1594" s="697">
        <v>65.35220569</v>
      </c>
      <c r="AB1594" s="722"/>
    </row>
    <row r="1595">
      <c r="A1595" s="351"/>
      <c r="K1595" s="693" t="s">
        <v>52</v>
      </c>
      <c r="L1595" s="694" t="s">
        <v>179</v>
      </c>
      <c r="M1595" s="694" t="s">
        <v>915</v>
      </c>
      <c r="N1595" s="694" t="s">
        <v>923</v>
      </c>
      <c r="O1595" s="694">
        <v>2021.0</v>
      </c>
      <c r="P1595" s="694" t="s">
        <v>919</v>
      </c>
      <c r="Q1595" s="695" t="s">
        <v>112</v>
      </c>
      <c r="R1595" s="696">
        <v>0.0</v>
      </c>
      <c r="S1595" s="696">
        <v>0.0</v>
      </c>
      <c r="T1595" s="697">
        <v>0.0</v>
      </c>
      <c r="AB1595" s="722"/>
    </row>
    <row r="1596">
      <c r="A1596" s="351"/>
      <c r="K1596" s="693" t="s">
        <v>52</v>
      </c>
      <c r="L1596" s="694" t="s">
        <v>179</v>
      </c>
      <c r="M1596" s="694" t="s">
        <v>915</v>
      </c>
      <c r="N1596" s="694" t="s">
        <v>925</v>
      </c>
      <c r="O1596" s="694">
        <v>2021.0</v>
      </c>
      <c r="P1596" s="694" t="s">
        <v>919</v>
      </c>
      <c r="Q1596" s="695" t="s">
        <v>112</v>
      </c>
      <c r="R1596" s="696">
        <v>0.0</v>
      </c>
      <c r="S1596" s="696">
        <v>0.0</v>
      </c>
      <c r="T1596" s="697">
        <v>0.0</v>
      </c>
      <c r="AB1596" s="722"/>
    </row>
    <row r="1597">
      <c r="A1597" s="351"/>
      <c r="K1597" s="693" t="s">
        <v>52</v>
      </c>
      <c r="L1597" s="694" t="s">
        <v>179</v>
      </c>
      <c r="M1597" s="694" t="s">
        <v>915</v>
      </c>
      <c r="N1597" s="694" t="s">
        <v>927</v>
      </c>
      <c r="O1597" s="694">
        <v>2021.0</v>
      </c>
      <c r="P1597" s="694" t="s">
        <v>919</v>
      </c>
      <c r="Q1597" s="695" t="s">
        <v>112</v>
      </c>
      <c r="R1597" s="696">
        <v>30.3031165</v>
      </c>
      <c r="S1597" s="696">
        <v>13.54482831</v>
      </c>
      <c r="T1597" s="697">
        <v>59.87272377</v>
      </c>
      <c r="AB1597" s="722"/>
    </row>
    <row r="1598">
      <c r="A1598" s="351"/>
      <c r="K1598" s="693" t="s">
        <v>52</v>
      </c>
      <c r="L1598" s="694" t="s">
        <v>179</v>
      </c>
      <c r="M1598" s="694" t="s">
        <v>915</v>
      </c>
      <c r="N1598" s="694" t="s">
        <v>926</v>
      </c>
      <c r="O1598" s="694">
        <v>2021.0</v>
      </c>
      <c r="P1598" s="694" t="s">
        <v>919</v>
      </c>
      <c r="Q1598" s="695" t="s">
        <v>112</v>
      </c>
      <c r="R1598" s="696">
        <v>55.99470436</v>
      </c>
      <c r="S1598" s="696">
        <v>22.61478893</v>
      </c>
      <c r="T1598" s="697">
        <v>123.1117982</v>
      </c>
      <c r="AB1598" s="722"/>
    </row>
    <row r="1599">
      <c r="A1599" s="351"/>
      <c r="K1599" s="693" t="s">
        <v>28</v>
      </c>
      <c r="L1599" s="694" t="s">
        <v>179</v>
      </c>
      <c r="M1599" s="694" t="s">
        <v>915</v>
      </c>
      <c r="N1599" s="694" t="s">
        <v>918</v>
      </c>
      <c r="O1599" s="694">
        <v>2021.0</v>
      </c>
      <c r="P1599" s="694" t="s">
        <v>919</v>
      </c>
      <c r="Q1599" s="695" t="s">
        <v>112</v>
      </c>
      <c r="R1599" s="696">
        <v>143.4276111</v>
      </c>
      <c r="S1599" s="696">
        <v>70.80008839</v>
      </c>
      <c r="T1599" s="697">
        <v>255.7231638</v>
      </c>
      <c r="AB1599" s="722"/>
    </row>
    <row r="1600">
      <c r="A1600" s="351"/>
      <c r="K1600" s="693" t="s">
        <v>28</v>
      </c>
      <c r="L1600" s="694" t="s">
        <v>179</v>
      </c>
      <c r="M1600" s="694" t="s">
        <v>915</v>
      </c>
      <c r="N1600" s="694" t="s">
        <v>923</v>
      </c>
      <c r="O1600" s="694">
        <v>2021.0</v>
      </c>
      <c r="P1600" s="694" t="s">
        <v>919</v>
      </c>
      <c r="Q1600" s="695" t="s">
        <v>112</v>
      </c>
      <c r="R1600" s="696">
        <v>0.0</v>
      </c>
      <c r="S1600" s="696">
        <v>0.0</v>
      </c>
      <c r="T1600" s="697">
        <v>0.0</v>
      </c>
      <c r="AB1600" s="722"/>
    </row>
    <row r="1601">
      <c r="A1601" s="351"/>
      <c r="K1601" s="693" t="s">
        <v>28</v>
      </c>
      <c r="L1601" s="694" t="s">
        <v>179</v>
      </c>
      <c r="M1601" s="694" t="s">
        <v>915</v>
      </c>
      <c r="N1601" s="694" t="s">
        <v>925</v>
      </c>
      <c r="O1601" s="694">
        <v>2021.0</v>
      </c>
      <c r="P1601" s="694" t="s">
        <v>919</v>
      </c>
      <c r="Q1601" s="695" t="s">
        <v>112</v>
      </c>
      <c r="R1601" s="696">
        <v>0.0</v>
      </c>
      <c r="S1601" s="696">
        <v>0.0</v>
      </c>
      <c r="T1601" s="697">
        <v>0.0</v>
      </c>
      <c r="AB1601" s="722"/>
    </row>
    <row r="1602">
      <c r="A1602" s="351"/>
      <c r="K1602" s="693" t="s">
        <v>28</v>
      </c>
      <c r="L1602" s="694" t="s">
        <v>179</v>
      </c>
      <c r="M1602" s="694" t="s">
        <v>915</v>
      </c>
      <c r="N1602" s="694" t="s">
        <v>927</v>
      </c>
      <c r="O1602" s="694">
        <v>2021.0</v>
      </c>
      <c r="P1602" s="694" t="s">
        <v>919</v>
      </c>
      <c r="Q1602" s="695" t="s">
        <v>112</v>
      </c>
      <c r="R1602" s="696">
        <v>78.00837398</v>
      </c>
      <c r="S1602" s="696">
        <v>45.60748491</v>
      </c>
      <c r="T1602" s="697">
        <v>122.5572163</v>
      </c>
      <c r="AB1602" s="722"/>
    </row>
    <row r="1603">
      <c r="A1603" s="351"/>
      <c r="K1603" s="693" t="s">
        <v>28</v>
      </c>
      <c r="L1603" s="694" t="s">
        <v>179</v>
      </c>
      <c r="M1603" s="694" t="s">
        <v>915</v>
      </c>
      <c r="N1603" s="694" t="s">
        <v>926</v>
      </c>
      <c r="O1603" s="694">
        <v>2021.0</v>
      </c>
      <c r="P1603" s="694" t="s">
        <v>919</v>
      </c>
      <c r="Q1603" s="695" t="s">
        <v>112</v>
      </c>
      <c r="R1603" s="696">
        <v>221.435985</v>
      </c>
      <c r="S1603" s="696">
        <v>118.1425761</v>
      </c>
      <c r="T1603" s="697">
        <v>373.5429738</v>
      </c>
      <c r="AB1603" s="722"/>
    </row>
    <row r="1604">
      <c r="A1604" s="351"/>
      <c r="K1604" s="693" t="s">
        <v>53</v>
      </c>
      <c r="L1604" s="694" t="s">
        <v>179</v>
      </c>
      <c r="M1604" s="694" t="s">
        <v>915</v>
      </c>
      <c r="N1604" s="694" t="s">
        <v>918</v>
      </c>
      <c r="O1604" s="694">
        <v>2021.0</v>
      </c>
      <c r="P1604" s="694" t="s">
        <v>919</v>
      </c>
      <c r="Q1604" s="695" t="s">
        <v>112</v>
      </c>
      <c r="R1604" s="696">
        <v>28.2602685</v>
      </c>
      <c r="S1604" s="696">
        <v>10.15672622</v>
      </c>
      <c r="T1604" s="697">
        <v>72.42249392</v>
      </c>
      <c r="AB1604" s="722"/>
    </row>
    <row r="1605">
      <c r="A1605" s="351"/>
      <c r="K1605" s="693" t="s">
        <v>53</v>
      </c>
      <c r="L1605" s="694" t="s">
        <v>179</v>
      </c>
      <c r="M1605" s="694" t="s">
        <v>915</v>
      </c>
      <c r="N1605" s="694" t="s">
        <v>923</v>
      </c>
      <c r="O1605" s="694">
        <v>2021.0</v>
      </c>
      <c r="P1605" s="694" t="s">
        <v>919</v>
      </c>
      <c r="Q1605" s="695" t="s">
        <v>112</v>
      </c>
      <c r="R1605" s="696">
        <v>0.0</v>
      </c>
      <c r="S1605" s="696">
        <v>0.0</v>
      </c>
      <c r="T1605" s="697">
        <v>0.0</v>
      </c>
      <c r="AB1605" s="722"/>
    </row>
    <row r="1606">
      <c r="A1606" s="351"/>
      <c r="K1606" s="693" t="s">
        <v>53</v>
      </c>
      <c r="L1606" s="694" t="s">
        <v>179</v>
      </c>
      <c r="M1606" s="694" t="s">
        <v>915</v>
      </c>
      <c r="N1606" s="694" t="s">
        <v>925</v>
      </c>
      <c r="O1606" s="694">
        <v>2021.0</v>
      </c>
      <c r="P1606" s="694" t="s">
        <v>919</v>
      </c>
      <c r="Q1606" s="695" t="s">
        <v>112</v>
      </c>
      <c r="R1606" s="696">
        <v>0.0</v>
      </c>
      <c r="S1606" s="696">
        <v>0.0</v>
      </c>
      <c r="T1606" s="697">
        <v>0.0</v>
      </c>
      <c r="AB1606" s="722"/>
    </row>
    <row r="1607">
      <c r="A1607" s="351"/>
      <c r="K1607" s="693" t="s">
        <v>53</v>
      </c>
      <c r="L1607" s="694" t="s">
        <v>179</v>
      </c>
      <c r="M1607" s="694" t="s">
        <v>915</v>
      </c>
      <c r="N1607" s="694" t="s">
        <v>927</v>
      </c>
      <c r="O1607" s="694">
        <v>2021.0</v>
      </c>
      <c r="P1607" s="694" t="s">
        <v>919</v>
      </c>
      <c r="Q1607" s="695" t="s">
        <v>112</v>
      </c>
      <c r="R1607" s="696">
        <v>29.34056446</v>
      </c>
      <c r="S1607" s="696">
        <v>11.74495551</v>
      </c>
      <c r="T1607" s="697">
        <v>64.10833218</v>
      </c>
      <c r="AB1607" s="722"/>
    </row>
    <row r="1608">
      <c r="A1608" s="351"/>
      <c r="K1608" s="693" t="s">
        <v>53</v>
      </c>
      <c r="L1608" s="694" t="s">
        <v>179</v>
      </c>
      <c r="M1608" s="694" t="s">
        <v>915</v>
      </c>
      <c r="N1608" s="694" t="s">
        <v>926</v>
      </c>
      <c r="O1608" s="694">
        <v>2021.0</v>
      </c>
      <c r="P1608" s="694" t="s">
        <v>919</v>
      </c>
      <c r="Q1608" s="695" t="s">
        <v>112</v>
      </c>
      <c r="R1608" s="696">
        <v>57.60083295</v>
      </c>
      <c r="S1608" s="696">
        <v>23.20513273</v>
      </c>
      <c r="T1608" s="697">
        <v>130.3475232</v>
      </c>
      <c r="AB1608" s="722"/>
    </row>
    <row r="1609">
      <c r="A1609" s="351"/>
      <c r="K1609" s="693" t="s">
        <v>30</v>
      </c>
      <c r="L1609" s="694" t="s">
        <v>179</v>
      </c>
      <c r="M1609" s="694" t="s">
        <v>915</v>
      </c>
      <c r="N1609" s="694" t="s">
        <v>918</v>
      </c>
      <c r="O1609" s="694">
        <v>2021.0</v>
      </c>
      <c r="P1609" s="694" t="s">
        <v>919</v>
      </c>
      <c r="Q1609" s="695" t="s">
        <v>112</v>
      </c>
      <c r="R1609" s="696">
        <v>685.4713902</v>
      </c>
      <c r="S1609" s="696">
        <v>357.8555158</v>
      </c>
      <c r="T1609" s="697">
        <v>1096.365542</v>
      </c>
      <c r="AB1609" s="722"/>
    </row>
    <row r="1610">
      <c r="A1610" s="351"/>
      <c r="K1610" s="693" t="s">
        <v>30</v>
      </c>
      <c r="L1610" s="694" t="s">
        <v>179</v>
      </c>
      <c r="M1610" s="694" t="s">
        <v>915</v>
      </c>
      <c r="N1610" s="694" t="s">
        <v>923</v>
      </c>
      <c r="O1610" s="694">
        <v>2021.0</v>
      </c>
      <c r="P1610" s="694" t="s">
        <v>919</v>
      </c>
      <c r="Q1610" s="695" t="s">
        <v>112</v>
      </c>
      <c r="R1610" s="696">
        <v>0.0</v>
      </c>
      <c r="S1610" s="696">
        <v>0.0</v>
      </c>
      <c r="T1610" s="697">
        <v>0.0</v>
      </c>
      <c r="AB1610" s="722"/>
    </row>
    <row r="1611">
      <c r="A1611" s="351"/>
      <c r="K1611" s="693" t="s">
        <v>30</v>
      </c>
      <c r="L1611" s="694" t="s">
        <v>179</v>
      </c>
      <c r="M1611" s="694" t="s">
        <v>915</v>
      </c>
      <c r="N1611" s="694" t="s">
        <v>925</v>
      </c>
      <c r="O1611" s="694">
        <v>2021.0</v>
      </c>
      <c r="P1611" s="694" t="s">
        <v>919</v>
      </c>
      <c r="Q1611" s="695" t="s">
        <v>112</v>
      </c>
      <c r="R1611" s="696">
        <v>0.0</v>
      </c>
      <c r="S1611" s="696">
        <v>0.0</v>
      </c>
      <c r="T1611" s="697">
        <v>0.0</v>
      </c>
      <c r="AB1611" s="722"/>
    </row>
    <row r="1612">
      <c r="A1612" s="351"/>
      <c r="K1612" s="693" t="s">
        <v>30</v>
      </c>
      <c r="L1612" s="694" t="s">
        <v>179</v>
      </c>
      <c r="M1612" s="694" t="s">
        <v>915</v>
      </c>
      <c r="N1612" s="694" t="s">
        <v>927</v>
      </c>
      <c r="O1612" s="694">
        <v>2021.0</v>
      </c>
      <c r="P1612" s="694" t="s">
        <v>919</v>
      </c>
      <c r="Q1612" s="695" t="s">
        <v>112</v>
      </c>
      <c r="R1612" s="696">
        <v>311.2980709</v>
      </c>
      <c r="S1612" s="696">
        <v>194.0218619</v>
      </c>
      <c r="T1612" s="697">
        <v>455.8422812</v>
      </c>
      <c r="AB1612" s="722"/>
    </row>
    <row r="1613">
      <c r="A1613" s="351"/>
      <c r="K1613" s="693" t="s">
        <v>30</v>
      </c>
      <c r="L1613" s="694" t="s">
        <v>179</v>
      </c>
      <c r="M1613" s="694" t="s">
        <v>915</v>
      </c>
      <c r="N1613" s="694" t="s">
        <v>926</v>
      </c>
      <c r="O1613" s="694">
        <v>2021.0</v>
      </c>
      <c r="P1613" s="694" t="s">
        <v>919</v>
      </c>
      <c r="Q1613" s="695" t="s">
        <v>112</v>
      </c>
      <c r="R1613" s="696">
        <v>996.7694611</v>
      </c>
      <c r="S1613" s="696">
        <v>571.5430723</v>
      </c>
      <c r="T1613" s="697">
        <v>1517.515904</v>
      </c>
      <c r="AB1613" s="722"/>
    </row>
    <row r="1614">
      <c r="A1614" s="351"/>
      <c r="K1614" s="693" t="s">
        <v>31</v>
      </c>
      <c r="L1614" s="694" t="s">
        <v>179</v>
      </c>
      <c r="M1614" s="694" t="s">
        <v>915</v>
      </c>
      <c r="N1614" s="694" t="s">
        <v>918</v>
      </c>
      <c r="O1614" s="694">
        <v>2021.0</v>
      </c>
      <c r="P1614" s="694" t="s">
        <v>919</v>
      </c>
      <c r="Q1614" s="695" t="s">
        <v>112</v>
      </c>
      <c r="R1614" s="696">
        <v>160.9540327</v>
      </c>
      <c r="S1614" s="696">
        <v>70.35086225</v>
      </c>
      <c r="T1614" s="697">
        <v>357.5266532</v>
      </c>
      <c r="AB1614" s="722"/>
    </row>
    <row r="1615">
      <c r="A1615" s="351"/>
      <c r="K1615" s="693" t="s">
        <v>31</v>
      </c>
      <c r="L1615" s="694" t="s">
        <v>179</v>
      </c>
      <c r="M1615" s="694" t="s">
        <v>915</v>
      </c>
      <c r="N1615" s="694" t="s">
        <v>923</v>
      </c>
      <c r="O1615" s="694">
        <v>2021.0</v>
      </c>
      <c r="P1615" s="694" t="s">
        <v>919</v>
      </c>
      <c r="Q1615" s="695" t="s">
        <v>112</v>
      </c>
      <c r="R1615" s="696">
        <v>0.0</v>
      </c>
      <c r="S1615" s="696">
        <v>0.0</v>
      </c>
      <c r="T1615" s="697">
        <v>0.0</v>
      </c>
      <c r="AB1615" s="722"/>
    </row>
    <row r="1616">
      <c r="A1616" s="351"/>
      <c r="K1616" s="693" t="s">
        <v>31</v>
      </c>
      <c r="L1616" s="694" t="s">
        <v>179</v>
      </c>
      <c r="M1616" s="694" t="s">
        <v>915</v>
      </c>
      <c r="N1616" s="694" t="s">
        <v>925</v>
      </c>
      <c r="O1616" s="694">
        <v>2021.0</v>
      </c>
      <c r="P1616" s="694" t="s">
        <v>919</v>
      </c>
      <c r="Q1616" s="695" t="s">
        <v>112</v>
      </c>
      <c r="R1616" s="696">
        <v>0.0</v>
      </c>
      <c r="S1616" s="696">
        <v>0.0</v>
      </c>
      <c r="T1616" s="697">
        <v>0.0</v>
      </c>
      <c r="AB1616" s="722"/>
    </row>
    <row r="1617">
      <c r="A1617" s="351"/>
      <c r="K1617" s="693" t="s">
        <v>31</v>
      </c>
      <c r="L1617" s="694" t="s">
        <v>179</v>
      </c>
      <c r="M1617" s="694" t="s">
        <v>915</v>
      </c>
      <c r="N1617" s="694" t="s">
        <v>927</v>
      </c>
      <c r="O1617" s="694">
        <v>2021.0</v>
      </c>
      <c r="P1617" s="694" t="s">
        <v>919</v>
      </c>
      <c r="Q1617" s="695" t="s">
        <v>112</v>
      </c>
      <c r="R1617" s="696">
        <v>181.2279969</v>
      </c>
      <c r="S1617" s="696">
        <v>104.4151573</v>
      </c>
      <c r="T1617" s="697">
        <v>301.3689367</v>
      </c>
      <c r="AB1617" s="722"/>
    </row>
    <row r="1618">
      <c r="A1618" s="351"/>
      <c r="K1618" s="693" t="s">
        <v>31</v>
      </c>
      <c r="L1618" s="694" t="s">
        <v>179</v>
      </c>
      <c r="M1618" s="694" t="s">
        <v>915</v>
      </c>
      <c r="N1618" s="694" t="s">
        <v>926</v>
      </c>
      <c r="O1618" s="694">
        <v>2021.0</v>
      </c>
      <c r="P1618" s="694" t="s">
        <v>919</v>
      </c>
      <c r="Q1618" s="695" t="s">
        <v>112</v>
      </c>
      <c r="R1618" s="696">
        <v>342.1820296</v>
      </c>
      <c r="S1618" s="696">
        <v>184.6241156</v>
      </c>
      <c r="T1618" s="697">
        <v>635.7386461</v>
      </c>
      <c r="AB1618" s="722"/>
    </row>
    <row r="1619">
      <c r="A1619" s="351"/>
      <c r="K1619" s="693" t="s">
        <v>32</v>
      </c>
      <c r="L1619" s="694" t="s">
        <v>179</v>
      </c>
      <c r="M1619" s="694" t="s">
        <v>915</v>
      </c>
      <c r="N1619" s="694" t="s">
        <v>918</v>
      </c>
      <c r="O1619" s="694">
        <v>2021.0</v>
      </c>
      <c r="P1619" s="694" t="s">
        <v>919</v>
      </c>
      <c r="Q1619" s="695" t="s">
        <v>112</v>
      </c>
      <c r="R1619" s="696">
        <v>796.9516806</v>
      </c>
      <c r="S1619" s="696">
        <v>362.0761397</v>
      </c>
      <c r="T1619" s="697">
        <v>1513.308456</v>
      </c>
      <c r="AB1619" s="722"/>
    </row>
    <row r="1620">
      <c r="A1620" s="351"/>
      <c r="K1620" s="693" t="s">
        <v>32</v>
      </c>
      <c r="L1620" s="694" t="s">
        <v>179</v>
      </c>
      <c r="M1620" s="694" t="s">
        <v>915</v>
      </c>
      <c r="N1620" s="694" t="s">
        <v>923</v>
      </c>
      <c r="O1620" s="694">
        <v>2021.0</v>
      </c>
      <c r="P1620" s="694" t="s">
        <v>919</v>
      </c>
      <c r="Q1620" s="695" t="s">
        <v>112</v>
      </c>
      <c r="R1620" s="696">
        <v>0.0</v>
      </c>
      <c r="S1620" s="696">
        <v>0.0</v>
      </c>
      <c r="T1620" s="697">
        <v>0.0</v>
      </c>
      <c r="AB1620" s="722"/>
    </row>
    <row r="1621">
      <c r="A1621" s="351"/>
      <c r="K1621" s="693" t="s">
        <v>32</v>
      </c>
      <c r="L1621" s="694" t="s">
        <v>179</v>
      </c>
      <c r="M1621" s="694" t="s">
        <v>915</v>
      </c>
      <c r="N1621" s="694" t="s">
        <v>925</v>
      </c>
      <c r="O1621" s="694">
        <v>2021.0</v>
      </c>
      <c r="P1621" s="694" t="s">
        <v>919</v>
      </c>
      <c r="Q1621" s="695" t="s">
        <v>112</v>
      </c>
      <c r="R1621" s="696">
        <v>0.0</v>
      </c>
      <c r="S1621" s="696">
        <v>0.0</v>
      </c>
      <c r="T1621" s="697">
        <v>0.0</v>
      </c>
      <c r="AB1621" s="722"/>
    </row>
    <row r="1622">
      <c r="A1622" s="351"/>
      <c r="K1622" s="693" t="s">
        <v>32</v>
      </c>
      <c r="L1622" s="694" t="s">
        <v>179</v>
      </c>
      <c r="M1622" s="694" t="s">
        <v>915</v>
      </c>
      <c r="N1622" s="694" t="s">
        <v>927</v>
      </c>
      <c r="O1622" s="694">
        <v>2021.0</v>
      </c>
      <c r="P1622" s="694" t="s">
        <v>919</v>
      </c>
      <c r="Q1622" s="695" t="s">
        <v>112</v>
      </c>
      <c r="R1622" s="696">
        <v>380.4584128</v>
      </c>
      <c r="S1622" s="696">
        <v>210.8088333</v>
      </c>
      <c r="T1622" s="697">
        <v>636.6868386</v>
      </c>
      <c r="AB1622" s="722"/>
    </row>
    <row r="1623">
      <c r="A1623" s="351"/>
      <c r="K1623" s="693" t="s">
        <v>32</v>
      </c>
      <c r="L1623" s="694" t="s">
        <v>179</v>
      </c>
      <c r="M1623" s="694" t="s">
        <v>915</v>
      </c>
      <c r="N1623" s="694" t="s">
        <v>926</v>
      </c>
      <c r="O1623" s="694">
        <v>2021.0</v>
      </c>
      <c r="P1623" s="694" t="s">
        <v>919</v>
      </c>
      <c r="Q1623" s="695" t="s">
        <v>112</v>
      </c>
      <c r="R1623" s="696">
        <v>1177.410093</v>
      </c>
      <c r="S1623" s="696">
        <v>589.2860742</v>
      </c>
      <c r="T1623" s="697">
        <v>2090.773767</v>
      </c>
      <c r="AB1623" s="722"/>
    </row>
    <row r="1624">
      <c r="A1624" s="351"/>
      <c r="K1624" s="693" t="s">
        <v>33</v>
      </c>
      <c r="L1624" s="694" t="s">
        <v>179</v>
      </c>
      <c r="M1624" s="694" t="s">
        <v>915</v>
      </c>
      <c r="N1624" s="694" t="s">
        <v>918</v>
      </c>
      <c r="O1624" s="694">
        <v>2021.0</v>
      </c>
      <c r="P1624" s="694" t="s">
        <v>919</v>
      </c>
      <c r="Q1624" s="695" t="s">
        <v>112</v>
      </c>
      <c r="R1624" s="696">
        <v>722.2080092</v>
      </c>
      <c r="S1624" s="696">
        <v>353.5175409</v>
      </c>
      <c r="T1624" s="697">
        <v>1182.341503</v>
      </c>
      <c r="AB1624" s="722"/>
    </row>
    <row r="1625">
      <c r="A1625" s="351"/>
      <c r="K1625" s="693" t="s">
        <v>33</v>
      </c>
      <c r="L1625" s="694" t="s">
        <v>179</v>
      </c>
      <c r="M1625" s="694" t="s">
        <v>915</v>
      </c>
      <c r="N1625" s="694" t="s">
        <v>923</v>
      </c>
      <c r="O1625" s="694">
        <v>2021.0</v>
      </c>
      <c r="P1625" s="694" t="s">
        <v>919</v>
      </c>
      <c r="Q1625" s="695" t="s">
        <v>112</v>
      </c>
      <c r="R1625" s="696">
        <v>0.0</v>
      </c>
      <c r="S1625" s="696">
        <v>0.0</v>
      </c>
      <c r="T1625" s="697">
        <v>0.0</v>
      </c>
      <c r="AB1625" s="722"/>
    </row>
    <row r="1626">
      <c r="A1626" s="351"/>
      <c r="K1626" s="693" t="s">
        <v>33</v>
      </c>
      <c r="L1626" s="694" t="s">
        <v>179</v>
      </c>
      <c r="M1626" s="694" t="s">
        <v>915</v>
      </c>
      <c r="N1626" s="694" t="s">
        <v>925</v>
      </c>
      <c r="O1626" s="694">
        <v>2021.0</v>
      </c>
      <c r="P1626" s="694" t="s">
        <v>919</v>
      </c>
      <c r="Q1626" s="695" t="s">
        <v>112</v>
      </c>
      <c r="R1626" s="696">
        <v>0.0</v>
      </c>
      <c r="S1626" s="696">
        <v>0.0</v>
      </c>
      <c r="T1626" s="697">
        <v>0.0</v>
      </c>
      <c r="AB1626" s="722"/>
    </row>
    <row r="1627">
      <c r="A1627" s="351"/>
      <c r="K1627" s="693" t="s">
        <v>33</v>
      </c>
      <c r="L1627" s="694" t="s">
        <v>179</v>
      </c>
      <c r="M1627" s="694" t="s">
        <v>915</v>
      </c>
      <c r="N1627" s="694" t="s">
        <v>927</v>
      </c>
      <c r="O1627" s="694">
        <v>2021.0</v>
      </c>
      <c r="P1627" s="694" t="s">
        <v>919</v>
      </c>
      <c r="Q1627" s="695" t="s">
        <v>112</v>
      </c>
      <c r="R1627" s="696">
        <v>410.4812162</v>
      </c>
      <c r="S1627" s="696">
        <v>239.1141172</v>
      </c>
      <c r="T1627" s="697">
        <v>616.6315849</v>
      </c>
      <c r="AB1627" s="722"/>
    </row>
    <row r="1628">
      <c r="A1628" s="351"/>
      <c r="K1628" s="693" t="s">
        <v>33</v>
      </c>
      <c r="L1628" s="694" t="s">
        <v>179</v>
      </c>
      <c r="M1628" s="694" t="s">
        <v>915</v>
      </c>
      <c r="N1628" s="694" t="s">
        <v>926</v>
      </c>
      <c r="O1628" s="694">
        <v>2021.0</v>
      </c>
      <c r="P1628" s="694" t="s">
        <v>919</v>
      </c>
      <c r="Q1628" s="695" t="s">
        <v>112</v>
      </c>
      <c r="R1628" s="696">
        <v>1132.689225</v>
      </c>
      <c r="S1628" s="696">
        <v>612.6220733</v>
      </c>
      <c r="T1628" s="697">
        <v>1716.194978</v>
      </c>
      <c r="AB1628" s="722"/>
    </row>
    <row r="1629">
      <c r="A1629" s="351"/>
      <c r="K1629" s="693" t="s">
        <v>34</v>
      </c>
      <c r="L1629" s="694" t="s">
        <v>179</v>
      </c>
      <c r="M1629" s="694" t="s">
        <v>915</v>
      </c>
      <c r="N1629" s="694" t="s">
        <v>918</v>
      </c>
      <c r="O1629" s="694">
        <v>2021.0</v>
      </c>
      <c r="P1629" s="694" t="s">
        <v>919</v>
      </c>
      <c r="Q1629" s="695" t="s">
        <v>112</v>
      </c>
      <c r="R1629" s="696">
        <v>342.6300134</v>
      </c>
      <c r="S1629" s="696">
        <v>188.5921633</v>
      </c>
      <c r="T1629" s="697">
        <v>570.437696</v>
      </c>
      <c r="AB1629" s="722"/>
    </row>
    <row r="1630">
      <c r="A1630" s="351"/>
      <c r="K1630" s="693" t="s">
        <v>34</v>
      </c>
      <c r="L1630" s="694" t="s">
        <v>179</v>
      </c>
      <c r="M1630" s="694" t="s">
        <v>915</v>
      </c>
      <c r="N1630" s="694" t="s">
        <v>923</v>
      </c>
      <c r="O1630" s="694">
        <v>2021.0</v>
      </c>
      <c r="P1630" s="694" t="s">
        <v>919</v>
      </c>
      <c r="Q1630" s="695" t="s">
        <v>112</v>
      </c>
      <c r="R1630" s="696">
        <v>0.0</v>
      </c>
      <c r="S1630" s="696">
        <v>0.0</v>
      </c>
      <c r="T1630" s="697">
        <v>0.0</v>
      </c>
      <c r="AB1630" s="722"/>
    </row>
    <row r="1631">
      <c r="A1631" s="351"/>
      <c r="K1631" s="693" t="s">
        <v>34</v>
      </c>
      <c r="L1631" s="694" t="s">
        <v>179</v>
      </c>
      <c r="M1631" s="694" t="s">
        <v>915</v>
      </c>
      <c r="N1631" s="694" t="s">
        <v>925</v>
      </c>
      <c r="O1631" s="694">
        <v>2021.0</v>
      </c>
      <c r="P1631" s="694" t="s">
        <v>919</v>
      </c>
      <c r="Q1631" s="695" t="s">
        <v>112</v>
      </c>
      <c r="R1631" s="696">
        <v>0.0</v>
      </c>
      <c r="S1631" s="696">
        <v>0.0</v>
      </c>
      <c r="T1631" s="697">
        <v>0.0</v>
      </c>
      <c r="AB1631" s="722"/>
    </row>
    <row r="1632">
      <c r="A1632" s="351"/>
      <c r="K1632" s="693" t="s">
        <v>34</v>
      </c>
      <c r="L1632" s="694" t="s">
        <v>179</v>
      </c>
      <c r="M1632" s="694" t="s">
        <v>915</v>
      </c>
      <c r="N1632" s="694" t="s">
        <v>927</v>
      </c>
      <c r="O1632" s="694">
        <v>2021.0</v>
      </c>
      <c r="P1632" s="694" t="s">
        <v>919</v>
      </c>
      <c r="Q1632" s="695" t="s">
        <v>112</v>
      </c>
      <c r="R1632" s="696">
        <v>207.5730729</v>
      </c>
      <c r="S1632" s="696">
        <v>134.242312</v>
      </c>
      <c r="T1632" s="697">
        <v>296.3691233</v>
      </c>
      <c r="AB1632" s="722"/>
    </row>
    <row r="1633">
      <c r="A1633" s="351"/>
      <c r="K1633" s="693" t="s">
        <v>34</v>
      </c>
      <c r="L1633" s="694" t="s">
        <v>179</v>
      </c>
      <c r="M1633" s="694" t="s">
        <v>915</v>
      </c>
      <c r="N1633" s="694" t="s">
        <v>926</v>
      </c>
      <c r="O1633" s="694">
        <v>2021.0</v>
      </c>
      <c r="P1633" s="694" t="s">
        <v>919</v>
      </c>
      <c r="Q1633" s="695" t="s">
        <v>112</v>
      </c>
      <c r="R1633" s="696">
        <v>550.2030862</v>
      </c>
      <c r="S1633" s="696">
        <v>334.4155702</v>
      </c>
      <c r="T1633" s="697">
        <v>841.8181857</v>
      </c>
      <c r="AB1633" s="722"/>
    </row>
    <row r="1634">
      <c r="A1634" s="351"/>
      <c r="K1634" s="693" t="s">
        <v>54</v>
      </c>
      <c r="L1634" s="694" t="s">
        <v>179</v>
      </c>
      <c r="M1634" s="694" t="s">
        <v>915</v>
      </c>
      <c r="N1634" s="694" t="s">
        <v>918</v>
      </c>
      <c r="O1634" s="694">
        <v>2021.0</v>
      </c>
      <c r="P1634" s="694" t="s">
        <v>919</v>
      </c>
      <c r="Q1634" s="695" t="s">
        <v>112</v>
      </c>
      <c r="R1634" s="696">
        <v>12.62228724</v>
      </c>
      <c r="S1634" s="696">
        <v>4.89894448</v>
      </c>
      <c r="T1634" s="697">
        <v>29.72200908</v>
      </c>
      <c r="AB1634" s="722"/>
    </row>
    <row r="1635">
      <c r="A1635" s="351"/>
      <c r="K1635" s="693" t="s">
        <v>54</v>
      </c>
      <c r="L1635" s="694" t="s">
        <v>179</v>
      </c>
      <c r="M1635" s="694" t="s">
        <v>915</v>
      </c>
      <c r="N1635" s="694" t="s">
        <v>923</v>
      </c>
      <c r="O1635" s="694">
        <v>2021.0</v>
      </c>
      <c r="P1635" s="694" t="s">
        <v>919</v>
      </c>
      <c r="Q1635" s="695" t="s">
        <v>112</v>
      </c>
      <c r="R1635" s="696">
        <v>0.0</v>
      </c>
      <c r="S1635" s="696">
        <v>0.0</v>
      </c>
      <c r="T1635" s="697">
        <v>0.0</v>
      </c>
      <c r="AB1635" s="722"/>
    </row>
    <row r="1636">
      <c r="A1636" s="351"/>
      <c r="K1636" s="693" t="s">
        <v>54</v>
      </c>
      <c r="L1636" s="694" t="s">
        <v>179</v>
      </c>
      <c r="M1636" s="694" t="s">
        <v>915</v>
      </c>
      <c r="N1636" s="694" t="s">
        <v>925</v>
      </c>
      <c r="O1636" s="694">
        <v>2021.0</v>
      </c>
      <c r="P1636" s="694" t="s">
        <v>919</v>
      </c>
      <c r="Q1636" s="695" t="s">
        <v>112</v>
      </c>
      <c r="R1636" s="696">
        <v>0.0</v>
      </c>
      <c r="S1636" s="696">
        <v>0.0</v>
      </c>
      <c r="T1636" s="697">
        <v>0.0</v>
      </c>
      <c r="AB1636" s="722"/>
    </row>
    <row r="1637">
      <c r="A1637" s="351"/>
      <c r="K1637" s="693" t="s">
        <v>54</v>
      </c>
      <c r="L1637" s="694" t="s">
        <v>179</v>
      </c>
      <c r="M1637" s="694" t="s">
        <v>915</v>
      </c>
      <c r="N1637" s="694" t="s">
        <v>927</v>
      </c>
      <c r="O1637" s="694">
        <v>2021.0</v>
      </c>
      <c r="P1637" s="694" t="s">
        <v>919</v>
      </c>
      <c r="Q1637" s="695" t="s">
        <v>112</v>
      </c>
      <c r="R1637" s="696">
        <v>7.792658349</v>
      </c>
      <c r="S1637" s="696">
        <v>3.55503711</v>
      </c>
      <c r="T1637" s="697">
        <v>15.31278371</v>
      </c>
      <c r="AB1637" s="722"/>
    </row>
    <row r="1638">
      <c r="A1638" s="351"/>
      <c r="K1638" s="693" t="s">
        <v>54</v>
      </c>
      <c r="L1638" s="694" t="s">
        <v>179</v>
      </c>
      <c r="M1638" s="694" t="s">
        <v>915</v>
      </c>
      <c r="N1638" s="694" t="s">
        <v>926</v>
      </c>
      <c r="O1638" s="694">
        <v>2021.0</v>
      </c>
      <c r="P1638" s="694" t="s">
        <v>919</v>
      </c>
      <c r="Q1638" s="695" t="s">
        <v>112</v>
      </c>
      <c r="R1638" s="696">
        <v>20.41494559</v>
      </c>
      <c r="S1638" s="696">
        <v>8.923225345</v>
      </c>
      <c r="T1638" s="697">
        <v>44.19706479</v>
      </c>
      <c r="AB1638" s="722"/>
    </row>
    <row r="1639">
      <c r="A1639" s="351"/>
      <c r="K1639" s="693" t="s">
        <v>55</v>
      </c>
      <c r="L1639" s="694" t="s">
        <v>179</v>
      </c>
      <c r="M1639" s="694" t="s">
        <v>915</v>
      </c>
      <c r="N1639" s="694" t="s">
        <v>918</v>
      </c>
      <c r="O1639" s="694">
        <v>2021.0</v>
      </c>
      <c r="P1639" s="694" t="s">
        <v>919</v>
      </c>
      <c r="Q1639" s="695" t="s">
        <v>112</v>
      </c>
      <c r="R1639" s="696">
        <v>8.936599831</v>
      </c>
      <c r="S1639" s="696">
        <v>3.449467434</v>
      </c>
      <c r="T1639" s="697">
        <v>23.66463446</v>
      </c>
      <c r="AB1639" s="722"/>
    </row>
    <row r="1640">
      <c r="A1640" s="351"/>
      <c r="K1640" s="693" t="s">
        <v>55</v>
      </c>
      <c r="L1640" s="694" t="s">
        <v>179</v>
      </c>
      <c r="M1640" s="694" t="s">
        <v>915</v>
      </c>
      <c r="N1640" s="694" t="s">
        <v>923</v>
      </c>
      <c r="O1640" s="694">
        <v>2021.0</v>
      </c>
      <c r="P1640" s="694" t="s">
        <v>919</v>
      </c>
      <c r="Q1640" s="695" t="s">
        <v>112</v>
      </c>
      <c r="R1640" s="696">
        <v>0.0</v>
      </c>
      <c r="S1640" s="696">
        <v>0.0</v>
      </c>
      <c r="T1640" s="697">
        <v>0.0</v>
      </c>
      <c r="AB1640" s="722"/>
    </row>
    <row r="1641">
      <c r="A1641" s="351"/>
      <c r="K1641" s="693" t="s">
        <v>55</v>
      </c>
      <c r="L1641" s="694" t="s">
        <v>179</v>
      </c>
      <c r="M1641" s="694" t="s">
        <v>915</v>
      </c>
      <c r="N1641" s="694" t="s">
        <v>925</v>
      </c>
      <c r="O1641" s="694">
        <v>2021.0</v>
      </c>
      <c r="P1641" s="694" t="s">
        <v>919</v>
      </c>
      <c r="Q1641" s="695" t="s">
        <v>112</v>
      </c>
      <c r="R1641" s="696">
        <v>0.0</v>
      </c>
      <c r="S1641" s="696">
        <v>0.0</v>
      </c>
      <c r="T1641" s="697">
        <v>0.0</v>
      </c>
      <c r="AB1641" s="722"/>
    </row>
    <row r="1642">
      <c r="A1642" s="351"/>
      <c r="K1642" s="693" t="s">
        <v>55</v>
      </c>
      <c r="L1642" s="694" t="s">
        <v>179</v>
      </c>
      <c r="M1642" s="694" t="s">
        <v>915</v>
      </c>
      <c r="N1642" s="694" t="s">
        <v>927</v>
      </c>
      <c r="O1642" s="694">
        <v>2021.0</v>
      </c>
      <c r="P1642" s="694" t="s">
        <v>919</v>
      </c>
      <c r="Q1642" s="695" t="s">
        <v>112</v>
      </c>
      <c r="R1642" s="696">
        <v>8.394001523</v>
      </c>
      <c r="S1642" s="696">
        <v>3.724551707</v>
      </c>
      <c r="T1642" s="697">
        <v>18.30557552</v>
      </c>
      <c r="AB1642" s="722"/>
    </row>
    <row r="1643">
      <c r="A1643" s="351"/>
      <c r="K1643" s="693" t="s">
        <v>55</v>
      </c>
      <c r="L1643" s="694" t="s">
        <v>179</v>
      </c>
      <c r="M1643" s="694" t="s">
        <v>915</v>
      </c>
      <c r="N1643" s="694" t="s">
        <v>926</v>
      </c>
      <c r="O1643" s="694">
        <v>2021.0</v>
      </c>
      <c r="P1643" s="694" t="s">
        <v>919</v>
      </c>
      <c r="Q1643" s="695" t="s">
        <v>112</v>
      </c>
      <c r="R1643" s="696">
        <v>17.33060135</v>
      </c>
      <c r="S1643" s="696">
        <v>7.324852143</v>
      </c>
      <c r="T1643" s="697">
        <v>39.70936086</v>
      </c>
      <c r="AB1643" s="722"/>
    </row>
    <row r="1644">
      <c r="A1644" s="351"/>
      <c r="K1644" s="693" t="s">
        <v>56</v>
      </c>
      <c r="L1644" s="694" t="s">
        <v>179</v>
      </c>
      <c r="M1644" s="694" t="s">
        <v>915</v>
      </c>
      <c r="N1644" s="694" t="s">
        <v>918</v>
      </c>
      <c r="O1644" s="694">
        <v>2021.0</v>
      </c>
      <c r="P1644" s="694" t="s">
        <v>919</v>
      </c>
      <c r="Q1644" s="695" t="s">
        <v>112</v>
      </c>
      <c r="R1644" s="696">
        <v>7.354634268</v>
      </c>
      <c r="S1644" s="696">
        <v>2.598892106</v>
      </c>
      <c r="T1644" s="697">
        <v>19.95102196</v>
      </c>
      <c r="AB1644" s="722"/>
    </row>
    <row r="1645">
      <c r="A1645" s="351"/>
      <c r="K1645" s="693" t="s">
        <v>56</v>
      </c>
      <c r="L1645" s="694" t="s">
        <v>179</v>
      </c>
      <c r="M1645" s="694" t="s">
        <v>915</v>
      </c>
      <c r="N1645" s="694" t="s">
        <v>923</v>
      </c>
      <c r="O1645" s="694">
        <v>2021.0</v>
      </c>
      <c r="P1645" s="694" t="s">
        <v>919</v>
      </c>
      <c r="Q1645" s="695" t="s">
        <v>112</v>
      </c>
      <c r="R1645" s="696">
        <v>0.0</v>
      </c>
      <c r="S1645" s="696">
        <v>0.0</v>
      </c>
      <c r="T1645" s="697">
        <v>0.0</v>
      </c>
      <c r="AB1645" s="722"/>
    </row>
    <row r="1646">
      <c r="A1646" s="351"/>
      <c r="K1646" s="693" t="s">
        <v>56</v>
      </c>
      <c r="L1646" s="694" t="s">
        <v>179</v>
      </c>
      <c r="M1646" s="694" t="s">
        <v>915</v>
      </c>
      <c r="N1646" s="694" t="s">
        <v>925</v>
      </c>
      <c r="O1646" s="694">
        <v>2021.0</v>
      </c>
      <c r="P1646" s="694" t="s">
        <v>919</v>
      </c>
      <c r="Q1646" s="695" t="s">
        <v>112</v>
      </c>
      <c r="R1646" s="696">
        <v>0.0</v>
      </c>
      <c r="S1646" s="696">
        <v>0.0</v>
      </c>
      <c r="T1646" s="697">
        <v>0.0</v>
      </c>
      <c r="AB1646" s="722"/>
    </row>
    <row r="1647">
      <c r="A1647" s="351"/>
      <c r="K1647" s="693" t="s">
        <v>56</v>
      </c>
      <c r="L1647" s="694" t="s">
        <v>179</v>
      </c>
      <c r="M1647" s="694" t="s">
        <v>915</v>
      </c>
      <c r="N1647" s="694" t="s">
        <v>927</v>
      </c>
      <c r="O1647" s="694">
        <v>2021.0</v>
      </c>
      <c r="P1647" s="694" t="s">
        <v>919</v>
      </c>
      <c r="Q1647" s="695" t="s">
        <v>112</v>
      </c>
      <c r="R1647" s="696">
        <v>9.454574061</v>
      </c>
      <c r="S1647" s="696">
        <v>4.393234409</v>
      </c>
      <c r="T1647" s="697">
        <v>19.3785179</v>
      </c>
      <c r="AB1647" s="722"/>
    </row>
    <row r="1648">
      <c r="A1648" s="351"/>
      <c r="K1648" s="693" t="s">
        <v>56</v>
      </c>
      <c r="L1648" s="694" t="s">
        <v>179</v>
      </c>
      <c r="M1648" s="694" t="s">
        <v>915</v>
      </c>
      <c r="N1648" s="694" t="s">
        <v>926</v>
      </c>
      <c r="O1648" s="694">
        <v>2021.0</v>
      </c>
      <c r="P1648" s="694" t="s">
        <v>919</v>
      </c>
      <c r="Q1648" s="695" t="s">
        <v>112</v>
      </c>
      <c r="R1648" s="696">
        <v>16.80920833</v>
      </c>
      <c r="S1648" s="696">
        <v>7.234794074</v>
      </c>
      <c r="T1648" s="697">
        <v>38.22310015</v>
      </c>
      <c r="AB1648" s="722"/>
    </row>
    <row r="1649">
      <c r="A1649" s="351"/>
      <c r="K1649" s="693" t="s">
        <v>57</v>
      </c>
      <c r="L1649" s="694" t="s">
        <v>179</v>
      </c>
      <c r="M1649" s="694" t="s">
        <v>915</v>
      </c>
      <c r="N1649" s="694" t="s">
        <v>918</v>
      </c>
      <c r="O1649" s="694">
        <v>2021.0</v>
      </c>
      <c r="P1649" s="694" t="s">
        <v>919</v>
      </c>
      <c r="Q1649" s="695" t="s">
        <v>112</v>
      </c>
      <c r="R1649" s="696">
        <v>51.88280128</v>
      </c>
      <c r="S1649" s="696">
        <v>22.60792451</v>
      </c>
      <c r="T1649" s="697">
        <v>118.9459717</v>
      </c>
      <c r="AB1649" s="722"/>
    </row>
    <row r="1650">
      <c r="A1650" s="351"/>
      <c r="K1650" s="693" t="s">
        <v>57</v>
      </c>
      <c r="L1650" s="694" t="s">
        <v>179</v>
      </c>
      <c r="M1650" s="694" t="s">
        <v>915</v>
      </c>
      <c r="N1650" s="694" t="s">
        <v>923</v>
      </c>
      <c r="O1650" s="694">
        <v>2021.0</v>
      </c>
      <c r="P1650" s="694" t="s">
        <v>919</v>
      </c>
      <c r="Q1650" s="695" t="s">
        <v>112</v>
      </c>
      <c r="R1650" s="696">
        <v>0.0</v>
      </c>
      <c r="S1650" s="696">
        <v>0.0</v>
      </c>
      <c r="T1650" s="697">
        <v>0.0</v>
      </c>
      <c r="AB1650" s="722"/>
    </row>
    <row r="1651">
      <c r="A1651" s="351"/>
      <c r="K1651" s="693" t="s">
        <v>57</v>
      </c>
      <c r="L1651" s="694" t="s">
        <v>179</v>
      </c>
      <c r="M1651" s="694" t="s">
        <v>915</v>
      </c>
      <c r="N1651" s="694" t="s">
        <v>925</v>
      </c>
      <c r="O1651" s="694">
        <v>2021.0</v>
      </c>
      <c r="P1651" s="694" t="s">
        <v>919</v>
      </c>
      <c r="Q1651" s="695" t="s">
        <v>112</v>
      </c>
      <c r="R1651" s="696">
        <v>0.0</v>
      </c>
      <c r="S1651" s="696">
        <v>0.0</v>
      </c>
      <c r="T1651" s="697">
        <v>0.0</v>
      </c>
      <c r="AB1651" s="722"/>
    </row>
    <row r="1652">
      <c r="A1652" s="351"/>
      <c r="K1652" s="693" t="s">
        <v>57</v>
      </c>
      <c r="L1652" s="694" t="s">
        <v>179</v>
      </c>
      <c r="M1652" s="694" t="s">
        <v>915</v>
      </c>
      <c r="N1652" s="694" t="s">
        <v>927</v>
      </c>
      <c r="O1652" s="694">
        <v>2021.0</v>
      </c>
      <c r="P1652" s="694" t="s">
        <v>919</v>
      </c>
      <c r="Q1652" s="695" t="s">
        <v>112</v>
      </c>
      <c r="R1652" s="696">
        <v>49.55119908</v>
      </c>
      <c r="S1652" s="696">
        <v>26.87053548</v>
      </c>
      <c r="T1652" s="697">
        <v>86.2249929</v>
      </c>
      <c r="AB1652" s="722"/>
    </row>
    <row r="1653">
      <c r="A1653" s="351"/>
      <c r="K1653" s="693" t="s">
        <v>57</v>
      </c>
      <c r="L1653" s="694" t="s">
        <v>179</v>
      </c>
      <c r="M1653" s="694" t="s">
        <v>915</v>
      </c>
      <c r="N1653" s="694" t="s">
        <v>926</v>
      </c>
      <c r="O1653" s="694">
        <v>2021.0</v>
      </c>
      <c r="P1653" s="694" t="s">
        <v>919</v>
      </c>
      <c r="Q1653" s="695" t="s">
        <v>112</v>
      </c>
      <c r="R1653" s="696">
        <v>101.4340004</v>
      </c>
      <c r="S1653" s="696">
        <v>50.60475599</v>
      </c>
      <c r="T1653" s="697">
        <v>199.4835236</v>
      </c>
      <c r="AB1653" s="722"/>
    </row>
    <row r="1654">
      <c r="A1654" s="351"/>
      <c r="K1654" s="693" t="s">
        <v>58</v>
      </c>
      <c r="L1654" s="694" t="s">
        <v>179</v>
      </c>
      <c r="M1654" s="694" t="s">
        <v>915</v>
      </c>
      <c r="N1654" s="694" t="s">
        <v>918</v>
      </c>
      <c r="O1654" s="694">
        <v>2021.0</v>
      </c>
      <c r="P1654" s="694" t="s">
        <v>919</v>
      </c>
      <c r="Q1654" s="695" t="s">
        <v>112</v>
      </c>
      <c r="R1654" s="696">
        <v>196.5909533</v>
      </c>
      <c r="S1654" s="696">
        <v>88.87007526</v>
      </c>
      <c r="T1654" s="697">
        <v>422.2042889</v>
      </c>
      <c r="AB1654" s="722"/>
    </row>
    <row r="1655">
      <c r="A1655" s="351"/>
      <c r="K1655" s="693" t="s">
        <v>58</v>
      </c>
      <c r="L1655" s="694" t="s">
        <v>179</v>
      </c>
      <c r="M1655" s="694" t="s">
        <v>915</v>
      </c>
      <c r="N1655" s="694" t="s">
        <v>923</v>
      </c>
      <c r="O1655" s="694">
        <v>2021.0</v>
      </c>
      <c r="P1655" s="694" t="s">
        <v>919</v>
      </c>
      <c r="Q1655" s="695" t="s">
        <v>112</v>
      </c>
      <c r="R1655" s="696">
        <v>0.0</v>
      </c>
      <c r="S1655" s="696">
        <v>0.0</v>
      </c>
      <c r="T1655" s="697">
        <v>0.0</v>
      </c>
      <c r="AB1655" s="722"/>
    </row>
    <row r="1656">
      <c r="A1656" s="351"/>
      <c r="K1656" s="693" t="s">
        <v>58</v>
      </c>
      <c r="L1656" s="694" t="s">
        <v>179</v>
      </c>
      <c r="M1656" s="694" t="s">
        <v>915</v>
      </c>
      <c r="N1656" s="694" t="s">
        <v>925</v>
      </c>
      <c r="O1656" s="694">
        <v>2021.0</v>
      </c>
      <c r="P1656" s="694" t="s">
        <v>919</v>
      </c>
      <c r="Q1656" s="695" t="s">
        <v>112</v>
      </c>
      <c r="R1656" s="696">
        <v>0.0</v>
      </c>
      <c r="S1656" s="696">
        <v>0.0</v>
      </c>
      <c r="T1656" s="697">
        <v>0.0</v>
      </c>
      <c r="AB1656" s="722"/>
    </row>
    <row r="1657">
      <c r="A1657" s="351"/>
      <c r="K1657" s="693" t="s">
        <v>58</v>
      </c>
      <c r="L1657" s="694" t="s">
        <v>179</v>
      </c>
      <c r="M1657" s="694" t="s">
        <v>915</v>
      </c>
      <c r="N1657" s="694" t="s">
        <v>927</v>
      </c>
      <c r="O1657" s="694">
        <v>2021.0</v>
      </c>
      <c r="P1657" s="694" t="s">
        <v>919</v>
      </c>
      <c r="Q1657" s="695" t="s">
        <v>112</v>
      </c>
      <c r="R1657" s="696">
        <v>184.411394</v>
      </c>
      <c r="S1657" s="696">
        <v>106.8089917</v>
      </c>
      <c r="T1657" s="697">
        <v>295.6034475</v>
      </c>
      <c r="AB1657" s="722"/>
    </row>
    <row r="1658">
      <c r="A1658" s="351"/>
      <c r="K1658" s="693" t="s">
        <v>58</v>
      </c>
      <c r="L1658" s="694" t="s">
        <v>179</v>
      </c>
      <c r="M1658" s="694" t="s">
        <v>915</v>
      </c>
      <c r="N1658" s="694" t="s">
        <v>926</v>
      </c>
      <c r="O1658" s="694">
        <v>2021.0</v>
      </c>
      <c r="P1658" s="694" t="s">
        <v>919</v>
      </c>
      <c r="Q1658" s="695" t="s">
        <v>112</v>
      </c>
      <c r="R1658" s="696">
        <v>381.0023473</v>
      </c>
      <c r="S1658" s="696">
        <v>200.3800285</v>
      </c>
      <c r="T1658" s="697">
        <v>708.7720021</v>
      </c>
      <c r="AB1658" s="722"/>
    </row>
    <row r="1659">
      <c r="A1659" s="351"/>
      <c r="K1659" s="693" t="s">
        <v>7</v>
      </c>
      <c r="L1659" s="694" t="s">
        <v>179</v>
      </c>
      <c r="M1659" s="694" t="s">
        <v>915</v>
      </c>
      <c r="N1659" s="694" t="s">
        <v>918</v>
      </c>
      <c r="O1659" s="694">
        <v>2021.0</v>
      </c>
      <c r="P1659" s="694" t="s">
        <v>919</v>
      </c>
      <c r="Q1659" s="695" t="s">
        <v>112</v>
      </c>
      <c r="R1659" s="696">
        <v>6382.815006</v>
      </c>
      <c r="S1659" s="696">
        <v>3529.117566</v>
      </c>
      <c r="T1659" s="697">
        <v>10198.44872</v>
      </c>
      <c r="AB1659" s="722"/>
    </row>
    <row r="1660">
      <c r="A1660" s="351"/>
      <c r="K1660" s="693" t="s">
        <v>7</v>
      </c>
      <c r="L1660" s="694" t="s">
        <v>179</v>
      </c>
      <c r="M1660" s="694" t="s">
        <v>915</v>
      </c>
      <c r="N1660" s="694" t="s">
        <v>923</v>
      </c>
      <c r="O1660" s="694">
        <v>2021.0</v>
      </c>
      <c r="P1660" s="694" t="s">
        <v>919</v>
      </c>
      <c r="Q1660" s="695" t="s">
        <v>112</v>
      </c>
      <c r="R1660" s="696">
        <v>0.0</v>
      </c>
      <c r="S1660" s="696">
        <v>0.0</v>
      </c>
      <c r="T1660" s="697">
        <v>0.0</v>
      </c>
      <c r="AB1660" s="722"/>
    </row>
    <row r="1661">
      <c r="A1661" s="351"/>
      <c r="K1661" s="693" t="s">
        <v>7</v>
      </c>
      <c r="L1661" s="694" t="s">
        <v>179</v>
      </c>
      <c r="M1661" s="694" t="s">
        <v>915</v>
      </c>
      <c r="N1661" s="694" t="s">
        <v>925</v>
      </c>
      <c r="O1661" s="694">
        <v>2021.0</v>
      </c>
      <c r="P1661" s="694" t="s">
        <v>919</v>
      </c>
      <c r="Q1661" s="695" t="s">
        <v>112</v>
      </c>
      <c r="R1661" s="696">
        <v>0.0</v>
      </c>
      <c r="S1661" s="696">
        <v>0.0</v>
      </c>
      <c r="T1661" s="697">
        <v>0.0</v>
      </c>
      <c r="AB1661" s="722"/>
    </row>
    <row r="1662">
      <c r="A1662" s="351"/>
      <c r="K1662" s="693" t="s">
        <v>7</v>
      </c>
      <c r="L1662" s="694" t="s">
        <v>179</v>
      </c>
      <c r="M1662" s="694" t="s">
        <v>915</v>
      </c>
      <c r="N1662" s="694" t="s">
        <v>927</v>
      </c>
      <c r="O1662" s="694">
        <v>2021.0</v>
      </c>
      <c r="P1662" s="694" t="s">
        <v>919</v>
      </c>
      <c r="Q1662" s="695" t="s">
        <v>112</v>
      </c>
      <c r="R1662" s="696">
        <v>3810.323075</v>
      </c>
      <c r="S1662" s="696">
        <v>2567.969594</v>
      </c>
      <c r="T1662" s="697">
        <v>5298.419538</v>
      </c>
      <c r="AB1662" s="722"/>
    </row>
    <row r="1663">
      <c r="A1663" s="351"/>
      <c r="K1663" s="693" t="s">
        <v>7</v>
      </c>
      <c r="L1663" s="694" t="s">
        <v>179</v>
      </c>
      <c r="M1663" s="694" t="s">
        <v>915</v>
      </c>
      <c r="N1663" s="694" t="s">
        <v>926</v>
      </c>
      <c r="O1663" s="694">
        <v>2021.0</v>
      </c>
      <c r="P1663" s="694" t="s">
        <v>919</v>
      </c>
      <c r="Q1663" s="695" t="s">
        <v>112</v>
      </c>
      <c r="R1663" s="696">
        <v>10193.13808</v>
      </c>
      <c r="S1663" s="696">
        <v>6087.304948</v>
      </c>
      <c r="T1663" s="697">
        <v>15714.78499</v>
      </c>
      <c r="AB1663" s="722"/>
    </row>
    <row r="1664">
      <c r="A1664" s="351"/>
      <c r="K1664" s="693" t="s">
        <v>59</v>
      </c>
      <c r="L1664" s="694" t="s">
        <v>179</v>
      </c>
      <c r="M1664" s="694" t="s">
        <v>915</v>
      </c>
      <c r="N1664" s="694" t="s">
        <v>918</v>
      </c>
      <c r="O1664" s="694">
        <v>2021.0</v>
      </c>
      <c r="P1664" s="694" t="s">
        <v>919</v>
      </c>
      <c r="Q1664" s="695" t="s">
        <v>112</v>
      </c>
      <c r="R1664" s="696">
        <v>43.67685607</v>
      </c>
      <c r="S1664" s="696">
        <v>18.7351739</v>
      </c>
      <c r="T1664" s="697">
        <v>106.5437494</v>
      </c>
      <c r="AB1664" s="722"/>
    </row>
    <row r="1665">
      <c r="A1665" s="351"/>
      <c r="K1665" s="693" t="s">
        <v>59</v>
      </c>
      <c r="L1665" s="694" t="s">
        <v>179</v>
      </c>
      <c r="M1665" s="694" t="s">
        <v>915</v>
      </c>
      <c r="N1665" s="694" t="s">
        <v>923</v>
      </c>
      <c r="O1665" s="694">
        <v>2021.0</v>
      </c>
      <c r="P1665" s="694" t="s">
        <v>919</v>
      </c>
      <c r="Q1665" s="695" t="s">
        <v>112</v>
      </c>
      <c r="R1665" s="696">
        <v>0.0</v>
      </c>
      <c r="S1665" s="696">
        <v>0.0</v>
      </c>
      <c r="T1665" s="697">
        <v>0.0</v>
      </c>
      <c r="AB1665" s="722"/>
    </row>
    <row r="1666">
      <c r="A1666" s="351"/>
      <c r="K1666" s="693" t="s">
        <v>59</v>
      </c>
      <c r="L1666" s="694" t="s">
        <v>179</v>
      </c>
      <c r="M1666" s="694" t="s">
        <v>915</v>
      </c>
      <c r="N1666" s="694" t="s">
        <v>925</v>
      </c>
      <c r="O1666" s="694">
        <v>2021.0</v>
      </c>
      <c r="P1666" s="694" t="s">
        <v>919</v>
      </c>
      <c r="Q1666" s="695" t="s">
        <v>112</v>
      </c>
      <c r="R1666" s="696">
        <v>0.0</v>
      </c>
      <c r="S1666" s="696">
        <v>0.0</v>
      </c>
      <c r="T1666" s="697">
        <v>0.0</v>
      </c>
      <c r="AB1666" s="722"/>
    </row>
    <row r="1667">
      <c r="A1667" s="351"/>
      <c r="K1667" s="693" t="s">
        <v>59</v>
      </c>
      <c r="L1667" s="694" t="s">
        <v>179</v>
      </c>
      <c r="M1667" s="694" t="s">
        <v>915</v>
      </c>
      <c r="N1667" s="694" t="s">
        <v>927</v>
      </c>
      <c r="O1667" s="694">
        <v>2021.0</v>
      </c>
      <c r="P1667" s="694" t="s">
        <v>919</v>
      </c>
      <c r="Q1667" s="695" t="s">
        <v>112</v>
      </c>
      <c r="R1667" s="696">
        <v>42.00912898</v>
      </c>
      <c r="S1667" s="696">
        <v>22.56916578</v>
      </c>
      <c r="T1667" s="697">
        <v>80.79272446</v>
      </c>
      <c r="AB1667" s="722"/>
    </row>
    <row r="1668">
      <c r="A1668" s="351"/>
      <c r="K1668" s="693" t="s">
        <v>59</v>
      </c>
      <c r="L1668" s="694" t="s">
        <v>179</v>
      </c>
      <c r="M1668" s="694" t="s">
        <v>915</v>
      </c>
      <c r="N1668" s="694" t="s">
        <v>926</v>
      </c>
      <c r="O1668" s="694">
        <v>2021.0</v>
      </c>
      <c r="P1668" s="694" t="s">
        <v>919</v>
      </c>
      <c r="Q1668" s="695" t="s">
        <v>112</v>
      </c>
      <c r="R1668" s="696">
        <v>85.68598506</v>
      </c>
      <c r="S1668" s="696">
        <v>42.91307941</v>
      </c>
      <c r="T1668" s="697">
        <v>183.2491017</v>
      </c>
      <c r="AB1668" s="722"/>
    </row>
    <row r="1669">
      <c r="A1669" s="351"/>
      <c r="K1669" s="693" t="s">
        <v>60</v>
      </c>
      <c r="L1669" s="694" t="s">
        <v>179</v>
      </c>
      <c r="M1669" s="694" t="s">
        <v>915</v>
      </c>
      <c r="N1669" s="694" t="s">
        <v>918</v>
      </c>
      <c r="O1669" s="694">
        <v>2021.0</v>
      </c>
      <c r="P1669" s="694" t="s">
        <v>919</v>
      </c>
      <c r="Q1669" s="695" t="s">
        <v>112</v>
      </c>
      <c r="R1669" s="696">
        <v>20.41307342</v>
      </c>
      <c r="S1669" s="696">
        <v>8.746722094</v>
      </c>
      <c r="T1669" s="697">
        <v>45.12055813</v>
      </c>
      <c r="AB1669" s="722"/>
    </row>
    <row r="1670">
      <c r="A1670" s="351"/>
      <c r="K1670" s="693" t="s">
        <v>60</v>
      </c>
      <c r="L1670" s="694" t="s">
        <v>179</v>
      </c>
      <c r="M1670" s="694" t="s">
        <v>915</v>
      </c>
      <c r="N1670" s="694" t="s">
        <v>923</v>
      </c>
      <c r="O1670" s="694">
        <v>2021.0</v>
      </c>
      <c r="P1670" s="694" t="s">
        <v>919</v>
      </c>
      <c r="Q1670" s="695" t="s">
        <v>112</v>
      </c>
      <c r="R1670" s="696">
        <v>0.0</v>
      </c>
      <c r="S1670" s="696">
        <v>0.0</v>
      </c>
      <c r="T1670" s="697">
        <v>0.0</v>
      </c>
      <c r="AB1670" s="722"/>
    </row>
    <row r="1671">
      <c r="A1671" s="351"/>
      <c r="K1671" s="693" t="s">
        <v>60</v>
      </c>
      <c r="L1671" s="694" t="s">
        <v>179</v>
      </c>
      <c r="M1671" s="694" t="s">
        <v>915</v>
      </c>
      <c r="N1671" s="694" t="s">
        <v>925</v>
      </c>
      <c r="O1671" s="694">
        <v>2021.0</v>
      </c>
      <c r="P1671" s="694" t="s">
        <v>919</v>
      </c>
      <c r="Q1671" s="695" t="s">
        <v>112</v>
      </c>
      <c r="R1671" s="696">
        <v>0.0</v>
      </c>
      <c r="S1671" s="696">
        <v>0.0</v>
      </c>
      <c r="T1671" s="697">
        <v>0.0</v>
      </c>
      <c r="AB1671" s="722"/>
    </row>
    <row r="1672">
      <c r="A1672" s="351"/>
      <c r="K1672" s="693" t="s">
        <v>60</v>
      </c>
      <c r="L1672" s="694" t="s">
        <v>179</v>
      </c>
      <c r="M1672" s="694" t="s">
        <v>915</v>
      </c>
      <c r="N1672" s="694" t="s">
        <v>927</v>
      </c>
      <c r="O1672" s="694">
        <v>2021.0</v>
      </c>
      <c r="P1672" s="694" t="s">
        <v>919</v>
      </c>
      <c r="Q1672" s="695" t="s">
        <v>112</v>
      </c>
      <c r="R1672" s="696">
        <v>8.820970068</v>
      </c>
      <c r="S1672" s="696">
        <v>4.023219602</v>
      </c>
      <c r="T1672" s="697">
        <v>18.01320182</v>
      </c>
      <c r="AB1672" s="722"/>
    </row>
    <row r="1673">
      <c r="A1673" s="351"/>
      <c r="K1673" s="693" t="s">
        <v>60</v>
      </c>
      <c r="L1673" s="694" t="s">
        <v>179</v>
      </c>
      <c r="M1673" s="694" t="s">
        <v>915</v>
      </c>
      <c r="N1673" s="694" t="s">
        <v>926</v>
      </c>
      <c r="O1673" s="694">
        <v>2021.0</v>
      </c>
      <c r="P1673" s="694" t="s">
        <v>919</v>
      </c>
      <c r="Q1673" s="695" t="s">
        <v>112</v>
      </c>
      <c r="R1673" s="696">
        <v>29.23404349</v>
      </c>
      <c r="S1673" s="696">
        <v>13.33251243</v>
      </c>
      <c r="T1673" s="697">
        <v>60.95189356</v>
      </c>
      <c r="AB1673" s="722"/>
    </row>
    <row r="1674">
      <c r="A1674" s="351"/>
      <c r="K1674" s="693" t="s">
        <v>61</v>
      </c>
      <c r="L1674" s="694" t="s">
        <v>179</v>
      </c>
      <c r="M1674" s="694" t="s">
        <v>915</v>
      </c>
      <c r="N1674" s="694" t="s">
        <v>918</v>
      </c>
      <c r="O1674" s="694">
        <v>2021.0</v>
      </c>
      <c r="P1674" s="694" t="s">
        <v>919</v>
      </c>
      <c r="Q1674" s="695" t="s">
        <v>112</v>
      </c>
      <c r="R1674" s="696">
        <v>7.477071561</v>
      </c>
      <c r="S1674" s="696">
        <v>2.540183068</v>
      </c>
      <c r="T1674" s="697">
        <v>18.88186591</v>
      </c>
      <c r="AB1674" s="722"/>
    </row>
    <row r="1675">
      <c r="A1675" s="351"/>
      <c r="K1675" s="693" t="s">
        <v>61</v>
      </c>
      <c r="L1675" s="694" t="s">
        <v>179</v>
      </c>
      <c r="M1675" s="694" t="s">
        <v>915</v>
      </c>
      <c r="N1675" s="694" t="s">
        <v>923</v>
      </c>
      <c r="O1675" s="694">
        <v>2021.0</v>
      </c>
      <c r="P1675" s="694" t="s">
        <v>919</v>
      </c>
      <c r="Q1675" s="695" t="s">
        <v>112</v>
      </c>
      <c r="R1675" s="696">
        <v>0.0</v>
      </c>
      <c r="S1675" s="696">
        <v>0.0</v>
      </c>
      <c r="T1675" s="697">
        <v>0.0</v>
      </c>
      <c r="AB1675" s="722"/>
    </row>
    <row r="1676">
      <c r="A1676" s="351"/>
      <c r="K1676" s="693" t="s">
        <v>61</v>
      </c>
      <c r="L1676" s="694" t="s">
        <v>179</v>
      </c>
      <c r="M1676" s="694" t="s">
        <v>915</v>
      </c>
      <c r="N1676" s="694" t="s">
        <v>925</v>
      </c>
      <c r="O1676" s="694">
        <v>2021.0</v>
      </c>
      <c r="P1676" s="694" t="s">
        <v>919</v>
      </c>
      <c r="Q1676" s="695" t="s">
        <v>112</v>
      </c>
      <c r="R1676" s="696">
        <v>0.0</v>
      </c>
      <c r="S1676" s="696">
        <v>0.0</v>
      </c>
      <c r="T1676" s="697">
        <v>0.0</v>
      </c>
      <c r="AB1676" s="722"/>
    </row>
    <row r="1677">
      <c r="A1677" s="351"/>
      <c r="K1677" s="693" t="s">
        <v>61</v>
      </c>
      <c r="L1677" s="694" t="s">
        <v>179</v>
      </c>
      <c r="M1677" s="694" t="s">
        <v>915</v>
      </c>
      <c r="N1677" s="694" t="s">
        <v>927</v>
      </c>
      <c r="O1677" s="694">
        <v>2021.0</v>
      </c>
      <c r="P1677" s="694" t="s">
        <v>919</v>
      </c>
      <c r="Q1677" s="695" t="s">
        <v>112</v>
      </c>
      <c r="R1677" s="696">
        <v>7.504297303</v>
      </c>
      <c r="S1677" s="696">
        <v>3.139785988</v>
      </c>
      <c r="T1677" s="697">
        <v>14.65697915</v>
      </c>
      <c r="AB1677" s="722"/>
    </row>
    <row r="1678">
      <c r="A1678" s="351"/>
      <c r="K1678" s="693" t="s">
        <v>61</v>
      </c>
      <c r="L1678" s="694" t="s">
        <v>179</v>
      </c>
      <c r="M1678" s="694" t="s">
        <v>915</v>
      </c>
      <c r="N1678" s="694" t="s">
        <v>926</v>
      </c>
      <c r="O1678" s="694">
        <v>2021.0</v>
      </c>
      <c r="P1678" s="694" t="s">
        <v>919</v>
      </c>
      <c r="Q1678" s="695" t="s">
        <v>112</v>
      </c>
      <c r="R1678" s="696">
        <v>14.98136886</v>
      </c>
      <c r="S1678" s="696">
        <v>5.924921742</v>
      </c>
      <c r="T1678" s="697">
        <v>32.81550592</v>
      </c>
      <c r="AB1678" s="722"/>
    </row>
    <row r="1679">
      <c r="A1679" s="351"/>
      <c r="K1679" s="693" t="s">
        <v>63</v>
      </c>
      <c r="L1679" s="694" t="s">
        <v>179</v>
      </c>
      <c r="M1679" s="694" t="s">
        <v>915</v>
      </c>
      <c r="N1679" s="694" t="s">
        <v>918</v>
      </c>
      <c r="O1679" s="694">
        <v>2021.0</v>
      </c>
      <c r="P1679" s="694" t="s">
        <v>919</v>
      </c>
      <c r="Q1679" s="695" t="s">
        <v>112</v>
      </c>
      <c r="R1679" s="696">
        <v>13.2605464</v>
      </c>
      <c r="S1679" s="696">
        <v>4.992798145</v>
      </c>
      <c r="T1679" s="697">
        <v>35.97665408</v>
      </c>
      <c r="AB1679" s="722"/>
    </row>
    <row r="1680">
      <c r="A1680" s="351"/>
      <c r="K1680" s="693" t="s">
        <v>63</v>
      </c>
      <c r="L1680" s="694" t="s">
        <v>179</v>
      </c>
      <c r="M1680" s="694" t="s">
        <v>915</v>
      </c>
      <c r="N1680" s="694" t="s">
        <v>923</v>
      </c>
      <c r="O1680" s="694">
        <v>2021.0</v>
      </c>
      <c r="P1680" s="694" t="s">
        <v>919</v>
      </c>
      <c r="Q1680" s="695" t="s">
        <v>112</v>
      </c>
      <c r="R1680" s="696">
        <v>0.0</v>
      </c>
      <c r="S1680" s="696">
        <v>0.0</v>
      </c>
      <c r="T1680" s="697">
        <v>0.0</v>
      </c>
      <c r="AB1680" s="722"/>
    </row>
    <row r="1681">
      <c r="A1681" s="351"/>
      <c r="K1681" s="693" t="s">
        <v>63</v>
      </c>
      <c r="L1681" s="694" t="s">
        <v>179</v>
      </c>
      <c r="M1681" s="694" t="s">
        <v>915</v>
      </c>
      <c r="N1681" s="694" t="s">
        <v>925</v>
      </c>
      <c r="O1681" s="694">
        <v>2021.0</v>
      </c>
      <c r="P1681" s="694" t="s">
        <v>919</v>
      </c>
      <c r="Q1681" s="695" t="s">
        <v>112</v>
      </c>
      <c r="R1681" s="696">
        <v>0.0</v>
      </c>
      <c r="S1681" s="696">
        <v>0.0</v>
      </c>
      <c r="T1681" s="697">
        <v>0.0</v>
      </c>
      <c r="AB1681" s="722"/>
    </row>
    <row r="1682">
      <c r="A1682" s="351"/>
      <c r="K1682" s="693" t="s">
        <v>63</v>
      </c>
      <c r="L1682" s="694" t="s">
        <v>179</v>
      </c>
      <c r="M1682" s="694" t="s">
        <v>915</v>
      </c>
      <c r="N1682" s="694" t="s">
        <v>927</v>
      </c>
      <c r="O1682" s="694">
        <v>2021.0</v>
      </c>
      <c r="P1682" s="694" t="s">
        <v>919</v>
      </c>
      <c r="Q1682" s="695" t="s">
        <v>112</v>
      </c>
      <c r="R1682" s="696">
        <v>8.701571091</v>
      </c>
      <c r="S1682" s="696">
        <v>3.780528718</v>
      </c>
      <c r="T1682" s="697">
        <v>20.15022388</v>
      </c>
      <c r="AB1682" s="722"/>
    </row>
    <row r="1683">
      <c r="A1683" s="351"/>
      <c r="K1683" s="693" t="s">
        <v>63</v>
      </c>
      <c r="L1683" s="694" t="s">
        <v>179</v>
      </c>
      <c r="M1683" s="694" t="s">
        <v>915</v>
      </c>
      <c r="N1683" s="694" t="s">
        <v>926</v>
      </c>
      <c r="O1683" s="694">
        <v>2021.0</v>
      </c>
      <c r="P1683" s="694" t="s">
        <v>919</v>
      </c>
      <c r="Q1683" s="695" t="s">
        <v>112</v>
      </c>
      <c r="R1683" s="696">
        <v>21.96211749</v>
      </c>
      <c r="S1683" s="696">
        <v>9.284776545</v>
      </c>
      <c r="T1683" s="697">
        <v>54.49676146</v>
      </c>
      <c r="AB1683" s="722"/>
    </row>
    <row r="1684">
      <c r="A1684" s="351"/>
      <c r="K1684" s="693" t="s">
        <v>64</v>
      </c>
      <c r="L1684" s="694" t="s">
        <v>179</v>
      </c>
      <c r="M1684" s="694" t="s">
        <v>915</v>
      </c>
      <c r="N1684" s="694" t="s">
        <v>918</v>
      </c>
      <c r="O1684" s="694">
        <v>2021.0</v>
      </c>
      <c r="P1684" s="694" t="s">
        <v>919</v>
      </c>
      <c r="Q1684" s="695" t="s">
        <v>112</v>
      </c>
      <c r="R1684" s="696">
        <v>60.25968666</v>
      </c>
      <c r="S1684" s="696">
        <v>22.13016786</v>
      </c>
      <c r="T1684" s="697">
        <v>167.4073222</v>
      </c>
      <c r="AB1684" s="722"/>
    </row>
    <row r="1685">
      <c r="A1685" s="351"/>
      <c r="K1685" s="693" t="s">
        <v>64</v>
      </c>
      <c r="L1685" s="694" t="s">
        <v>179</v>
      </c>
      <c r="M1685" s="694" t="s">
        <v>915</v>
      </c>
      <c r="N1685" s="694" t="s">
        <v>923</v>
      </c>
      <c r="O1685" s="694">
        <v>2021.0</v>
      </c>
      <c r="P1685" s="694" t="s">
        <v>919</v>
      </c>
      <c r="Q1685" s="695" t="s">
        <v>112</v>
      </c>
      <c r="R1685" s="696">
        <v>0.0</v>
      </c>
      <c r="S1685" s="696">
        <v>0.0</v>
      </c>
      <c r="T1685" s="697">
        <v>0.0</v>
      </c>
      <c r="AB1685" s="722"/>
    </row>
    <row r="1686">
      <c r="A1686" s="351"/>
      <c r="K1686" s="693" t="s">
        <v>64</v>
      </c>
      <c r="L1686" s="694" t="s">
        <v>179</v>
      </c>
      <c r="M1686" s="694" t="s">
        <v>915</v>
      </c>
      <c r="N1686" s="694" t="s">
        <v>925</v>
      </c>
      <c r="O1686" s="694">
        <v>2021.0</v>
      </c>
      <c r="P1686" s="694" t="s">
        <v>919</v>
      </c>
      <c r="Q1686" s="695" t="s">
        <v>112</v>
      </c>
      <c r="R1686" s="696">
        <v>0.0</v>
      </c>
      <c r="S1686" s="696">
        <v>0.0</v>
      </c>
      <c r="T1686" s="697">
        <v>0.0</v>
      </c>
      <c r="AB1686" s="722"/>
    </row>
    <row r="1687">
      <c r="A1687" s="351"/>
      <c r="K1687" s="693" t="s">
        <v>64</v>
      </c>
      <c r="L1687" s="694" t="s">
        <v>179</v>
      </c>
      <c r="M1687" s="694" t="s">
        <v>915</v>
      </c>
      <c r="N1687" s="694" t="s">
        <v>927</v>
      </c>
      <c r="O1687" s="694">
        <v>2021.0</v>
      </c>
      <c r="P1687" s="694" t="s">
        <v>919</v>
      </c>
      <c r="Q1687" s="695" t="s">
        <v>112</v>
      </c>
      <c r="R1687" s="696">
        <v>88.5297341</v>
      </c>
      <c r="S1687" s="696">
        <v>44.04490756</v>
      </c>
      <c r="T1687" s="697">
        <v>169.868305</v>
      </c>
      <c r="AB1687" s="722"/>
    </row>
    <row r="1688">
      <c r="A1688" s="351"/>
      <c r="K1688" s="693" t="s">
        <v>64</v>
      </c>
      <c r="L1688" s="694" t="s">
        <v>179</v>
      </c>
      <c r="M1688" s="694" t="s">
        <v>915</v>
      </c>
      <c r="N1688" s="694" t="s">
        <v>926</v>
      </c>
      <c r="O1688" s="694">
        <v>2021.0</v>
      </c>
      <c r="P1688" s="694" t="s">
        <v>919</v>
      </c>
      <c r="Q1688" s="695" t="s">
        <v>112</v>
      </c>
      <c r="R1688" s="696">
        <v>148.7894208</v>
      </c>
      <c r="S1688" s="696">
        <v>67.37772688</v>
      </c>
      <c r="T1688" s="697">
        <v>316.7892205</v>
      </c>
      <c r="AB1688" s="722"/>
    </row>
    <row r="1689">
      <c r="A1689" s="351"/>
      <c r="K1689" s="693" t="s">
        <v>65</v>
      </c>
      <c r="L1689" s="694" t="s">
        <v>179</v>
      </c>
      <c r="M1689" s="694" t="s">
        <v>915</v>
      </c>
      <c r="N1689" s="694" t="s">
        <v>918</v>
      </c>
      <c r="O1689" s="694">
        <v>2021.0</v>
      </c>
      <c r="P1689" s="694" t="s">
        <v>919</v>
      </c>
      <c r="Q1689" s="695" t="s">
        <v>112</v>
      </c>
      <c r="R1689" s="696">
        <v>17.79543555</v>
      </c>
      <c r="S1689" s="696">
        <v>7.042279131</v>
      </c>
      <c r="T1689" s="697">
        <v>38.48711215</v>
      </c>
      <c r="AB1689" s="722"/>
    </row>
    <row r="1690">
      <c r="A1690" s="351"/>
      <c r="K1690" s="693" t="s">
        <v>65</v>
      </c>
      <c r="L1690" s="694" t="s">
        <v>179</v>
      </c>
      <c r="M1690" s="694" t="s">
        <v>915</v>
      </c>
      <c r="N1690" s="694" t="s">
        <v>923</v>
      </c>
      <c r="O1690" s="694">
        <v>2021.0</v>
      </c>
      <c r="P1690" s="694" t="s">
        <v>919</v>
      </c>
      <c r="Q1690" s="695" t="s">
        <v>112</v>
      </c>
      <c r="R1690" s="696">
        <v>0.0</v>
      </c>
      <c r="S1690" s="696">
        <v>0.0</v>
      </c>
      <c r="T1690" s="697">
        <v>0.0</v>
      </c>
      <c r="AB1690" s="722"/>
    </row>
    <row r="1691">
      <c r="A1691" s="351"/>
      <c r="K1691" s="693" t="s">
        <v>65</v>
      </c>
      <c r="L1691" s="694" t="s">
        <v>179</v>
      </c>
      <c r="M1691" s="694" t="s">
        <v>915</v>
      </c>
      <c r="N1691" s="694" t="s">
        <v>925</v>
      </c>
      <c r="O1691" s="694">
        <v>2021.0</v>
      </c>
      <c r="P1691" s="694" t="s">
        <v>919</v>
      </c>
      <c r="Q1691" s="695" t="s">
        <v>112</v>
      </c>
      <c r="R1691" s="696">
        <v>0.0</v>
      </c>
      <c r="S1691" s="696">
        <v>0.0</v>
      </c>
      <c r="T1691" s="697">
        <v>0.0</v>
      </c>
      <c r="AB1691" s="722"/>
    </row>
    <row r="1692">
      <c r="A1692" s="351"/>
      <c r="K1692" s="693" t="s">
        <v>65</v>
      </c>
      <c r="L1692" s="694" t="s">
        <v>179</v>
      </c>
      <c r="M1692" s="694" t="s">
        <v>915</v>
      </c>
      <c r="N1692" s="694" t="s">
        <v>927</v>
      </c>
      <c r="O1692" s="694">
        <v>2021.0</v>
      </c>
      <c r="P1692" s="694" t="s">
        <v>919</v>
      </c>
      <c r="Q1692" s="695" t="s">
        <v>112</v>
      </c>
      <c r="R1692" s="696">
        <v>13.2531635</v>
      </c>
      <c r="S1692" s="696">
        <v>5.61537845</v>
      </c>
      <c r="T1692" s="697">
        <v>27.14500992</v>
      </c>
      <c r="AB1692" s="722"/>
    </row>
    <row r="1693">
      <c r="A1693" s="351"/>
      <c r="K1693" s="693" t="s">
        <v>65</v>
      </c>
      <c r="L1693" s="694" t="s">
        <v>179</v>
      </c>
      <c r="M1693" s="694" t="s">
        <v>915</v>
      </c>
      <c r="N1693" s="694" t="s">
        <v>926</v>
      </c>
      <c r="O1693" s="694">
        <v>2021.0</v>
      </c>
      <c r="P1693" s="694" t="s">
        <v>919</v>
      </c>
      <c r="Q1693" s="695" t="s">
        <v>112</v>
      </c>
      <c r="R1693" s="696">
        <v>31.04859905</v>
      </c>
      <c r="S1693" s="696">
        <v>12.98051548</v>
      </c>
      <c r="T1693" s="697">
        <v>63.54726418</v>
      </c>
      <c r="AB1693" s="722"/>
    </row>
    <row r="1694">
      <c r="A1694" s="351"/>
      <c r="K1694" s="693" t="s">
        <v>35</v>
      </c>
      <c r="L1694" s="694" t="s">
        <v>179</v>
      </c>
      <c r="M1694" s="694" t="s">
        <v>915</v>
      </c>
      <c r="N1694" s="694" t="s">
        <v>918</v>
      </c>
      <c r="O1694" s="694">
        <v>2021.0</v>
      </c>
      <c r="P1694" s="694" t="s">
        <v>919</v>
      </c>
      <c r="Q1694" s="695" t="s">
        <v>112</v>
      </c>
      <c r="R1694" s="696">
        <v>947.2517913</v>
      </c>
      <c r="S1694" s="696">
        <v>552.4760759</v>
      </c>
      <c r="T1694" s="697">
        <v>1436.023507</v>
      </c>
      <c r="AB1694" s="722"/>
    </row>
    <row r="1695">
      <c r="A1695" s="351"/>
      <c r="K1695" s="693" t="s">
        <v>35</v>
      </c>
      <c r="L1695" s="694" t="s">
        <v>179</v>
      </c>
      <c r="M1695" s="694" t="s">
        <v>915</v>
      </c>
      <c r="N1695" s="694" t="s">
        <v>923</v>
      </c>
      <c r="O1695" s="694">
        <v>2021.0</v>
      </c>
      <c r="P1695" s="694" t="s">
        <v>919</v>
      </c>
      <c r="Q1695" s="695" t="s">
        <v>112</v>
      </c>
      <c r="R1695" s="696">
        <v>0.0</v>
      </c>
      <c r="S1695" s="696">
        <v>0.0</v>
      </c>
      <c r="T1695" s="697">
        <v>0.0</v>
      </c>
      <c r="AB1695" s="722"/>
    </row>
    <row r="1696">
      <c r="A1696" s="351"/>
      <c r="K1696" s="693" t="s">
        <v>35</v>
      </c>
      <c r="L1696" s="694" t="s">
        <v>179</v>
      </c>
      <c r="M1696" s="694" t="s">
        <v>915</v>
      </c>
      <c r="N1696" s="694" t="s">
        <v>925</v>
      </c>
      <c r="O1696" s="694">
        <v>2021.0</v>
      </c>
      <c r="P1696" s="694" t="s">
        <v>919</v>
      </c>
      <c r="Q1696" s="695" t="s">
        <v>112</v>
      </c>
      <c r="R1696" s="696">
        <v>0.0</v>
      </c>
      <c r="S1696" s="696">
        <v>0.0</v>
      </c>
      <c r="T1696" s="697">
        <v>0.0</v>
      </c>
      <c r="AB1696" s="722"/>
    </row>
    <row r="1697">
      <c r="A1697" s="351"/>
      <c r="K1697" s="693" t="s">
        <v>35</v>
      </c>
      <c r="L1697" s="694" t="s">
        <v>179</v>
      </c>
      <c r="M1697" s="694" t="s">
        <v>915</v>
      </c>
      <c r="N1697" s="694" t="s">
        <v>927</v>
      </c>
      <c r="O1697" s="694">
        <v>2021.0</v>
      </c>
      <c r="P1697" s="694" t="s">
        <v>919</v>
      </c>
      <c r="Q1697" s="695" t="s">
        <v>112</v>
      </c>
      <c r="R1697" s="696">
        <v>450.0713011</v>
      </c>
      <c r="S1697" s="696">
        <v>271.7158806</v>
      </c>
      <c r="T1697" s="697">
        <v>694.6585008</v>
      </c>
      <c r="AB1697" s="722"/>
    </row>
    <row r="1698">
      <c r="A1698" s="351"/>
      <c r="K1698" s="693" t="s">
        <v>35</v>
      </c>
      <c r="L1698" s="694" t="s">
        <v>179</v>
      </c>
      <c r="M1698" s="694" t="s">
        <v>915</v>
      </c>
      <c r="N1698" s="694" t="s">
        <v>926</v>
      </c>
      <c r="O1698" s="694">
        <v>2021.0</v>
      </c>
      <c r="P1698" s="694" t="s">
        <v>919</v>
      </c>
      <c r="Q1698" s="695" t="s">
        <v>112</v>
      </c>
      <c r="R1698" s="696">
        <v>1397.323092</v>
      </c>
      <c r="S1698" s="696">
        <v>877.973988</v>
      </c>
      <c r="T1698" s="697">
        <v>2062.198185</v>
      </c>
      <c r="AB1698" s="722"/>
    </row>
    <row r="1699">
      <c r="A1699" s="351"/>
      <c r="K1699" s="693" t="s">
        <v>66</v>
      </c>
      <c r="L1699" s="694" t="s">
        <v>179</v>
      </c>
      <c r="M1699" s="694" t="s">
        <v>915</v>
      </c>
      <c r="N1699" s="694" t="s">
        <v>918</v>
      </c>
      <c r="O1699" s="694">
        <v>2021.0</v>
      </c>
      <c r="P1699" s="694" t="s">
        <v>919</v>
      </c>
      <c r="Q1699" s="695" t="s">
        <v>112</v>
      </c>
      <c r="R1699" s="696">
        <v>198.7835093</v>
      </c>
      <c r="S1699" s="696">
        <v>101.8399107</v>
      </c>
      <c r="T1699" s="697">
        <v>382.2512989</v>
      </c>
      <c r="AB1699" s="722"/>
    </row>
    <row r="1700">
      <c r="A1700" s="351"/>
      <c r="K1700" s="693" t="s">
        <v>66</v>
      </c>
      <c r="L1700" s="694" t="s">
        <v>179</v>
      </c>
      <c r="M1700" s="694" t="s">
        <v>915</v>
      </c>
      <c r="N1700" s="694" t="s">
        <v>923</v>
      </c>
      <c r="O1700" s="694">
        <v>2021.0</v>
      </c>
      <c r="P1700" s="694" t="s">
        <v>919</v>
      </c>
      <c r="Q1700" s="695" t="s">
        <v>112</v>
      </c>
      <c r="R1700" s="696">
        <v>0.0</v>
      </c>
      <c r="S1700" s="696">
        <v>0.0</v>
      </c>
      <c r="T1700" s="697">
        <v>0.0</v>
      </c>
      <c r="AB1700" s="722"/>
    </row>
    <row r="1701">
      <c r="A1701" s="351"/>
      <c r="K1701" s="693" t="s">
        <v>66</v>
      </c>
      <c r="L1701" s="694" t="s">
        <v>179</v>
      </c>
      <c r="M1701" s="694" t="s">
        <v>915</v>
      </c>
      <c r="N1701" s="694" t="s">
        <v>925</v>
      </c>
      <c r="O1701" s="694">
        <v>2021.0</v>
      </c>
      <c r="P1701" s="694" t="s">
        <v>919</v>
      </c>
      <c r="Q1701" s="695" t="s">
        <v>112</v>
      </c>
      <c r="R1701" s="696">
        <v>0.0</v>
      </c>
      <c r="S1701" s="696">
        <v>0.0</v>
      </c>
      <c r="T1701" s="697">
        <v>0.0</v>
      </c>
      <c r="AB1701" s="722"/>
    </row>
    <row r="1702">
      <c r="A1702" s="351"/>
      <c r="K1702" s="693" t="s">
        <v>66</v>
      </c>
      <c r="L1702" s="694" t="s">
        <v>179</v>
      </c>
      <c r="M1702" s="694" t="s">
        <v>915</v>
      </c>
      <c r="N1702" s="694" t="s">
        <v>927</v>
      </c>
      <c r="O1702" s="694">
        <v>2021.0</v>
      </c>
      <c r="P1702" s="694" t="s">
        <v>919</v>
      </c>
      <c r="Q1702" s="695" t="s">
        <v>112</v>
      </c>
      <c r="R1702" s="696">
        <v>209.5247851</v>
      </c>
      <c r="S1702" s="696">
        <v>129.1225299</v>
      </c>
      <c r="T1702" s="697">
        <v>343.0627104</v>
      </c>
      <c r="AB1702" s="722"/>
    </row>
    <row r="1703">
      <c r="A1703" s="351"/>
      <c r="K1703" s="693" t="s">
        <v>66</v>
      </c>
      <c r="L1703" s="694" t="s">
        <v>179</v>
      </c>
      <c r="M1703" s="694" t="s">
        <v>915</v>
      </c>
      <c r="N1703" s="694" t="s">
        <v>926</v>
      </c>
      <c r="O1703" s="694">
        <v>2021.0</v>
      </c>
      <c r="P1703" s="694" t="s">
        <v>919</v>
      </c>
      <c r="Q1703" s="695" t="s">
        <v>112</v>
      </c>
      <c r="R1703" s="696">
        <v>408.3082944</v>
      </c>
      <c r="S1703" s="696">
        <v>242.4247026</v>
      </c>
      <c r="T1703" s="697">
        <v>691.5404409</v>
      </c>
      <c r="AB1703" s="722"/>
    </row>
    <row r="1704">
      <c r="A1704" s="351"/>
      <c r="K1704" s="693" t="s">
        <v>67</v>
      </c>
      <c r="L1704" s="694" t="s">
        <v>179</v>
      </c>
      <c r="M1704" s="694" t="s">
        <v>915</v>
      </c>
      <c r="N1704" s="694" t="s">
        <v>918</v>
      </c>
      <c r="O1704" s="694">
        <v>2021.0</v>
      </c>
      <c r="P1704" s="694" t="s">
        <v>919</v>
      </c>
      <c r="Q1704" s="695" t="s">
        <v>112</v>
      </c>
      <c r="R1704" s="696">
        <v>201.9085055</v>
      </c>
      <c r="S1704" s="696">
        <v>96.59764843</v>
      </c>
      <c r="T1704" s="697">
        <v>386.0606991</v>
      </c>
      <c r="AB1704" s="722"/>
    </row>
    <row r="1705">
      <c r="A1705" s="351"/>
      <c r="K1705" s="693" t="s">
        <v>67</v>
      </c>
      <c r="L1705" s="694" t="s">
        <v>179</v>
      </c>
      <c r="M1705" s="694" t="s">
        <v>915</v>
      </c>
      <c r="N1705" s="694" t="s">
        <v>923</v>
      </c>
      <c r="O1705" s="694">
        <v>2021.0</v>
      </c>
      <c r="P1705" s="694" t="s">
        <v>919</v>
      </c>
      <c r="Q1705" s="695" t="s">
        <v>112</v>
      </c>
      <c r="R1705" s="696">
        <v>0.0</v>
      </c>
      <c r="S1705" s="696">
        <v>0.0</v>
      </c>
      <c r="T1705" s="697">
        <v>0.0</v>
      </c>
      <c r="AB1705" s="722"/>
    </row>
    <row r="1706">
      <c r="A1706" s="351"/>
      <c r="K1706" s="693" t="s">
        <v>67</v>
      </c>
      <c r="L1706" s="694" t="s">
        <v>179</v>
      </c>
      <c r="M1706" s="694" t="s">
        <v>915</v>
      </c>
      <c r="N1706" s="694" t="s">
        <v>925</v>
      </c>
      <c r="O1706" s="694">
        <v>2021.0</v>
      </c>
      <c r="P1706" s="694" t="s">
        <v>919</v>
      </c>
      <c r="Q1706" s="695" t="s">
        <v>112</v>
      </c>
      <c r="R1706" s="696">
        <v>0.0</v>
      </c>
      <c r="S1706" s="696">
        <v>0.0</v>
      </c>
      <c r="T1706" s="697">
        <v>0.0</v>
      </c>
      <c r="AB1706" s="722"/>
    </row>
    <row r="1707">
      <c r="A1707" s="351"/>
      <c r="K1707" s="693" t="s">
        <v>67</v>
      </c>
      <c r="L1707" s="694" t="s">
        <v>179</v>
      </c>
      <c r="M1707" s="694" t="s">
        <v>915</v>
      </c>
      <c r="N1707" s="694" t="s">
        <v>927</v>
      </c>
      <c r="O1707" s="694">
        <v>2021.0</v>
      </c>
      <c r="P1707" s="694" t="s">
        <v>919</v>
      </c>
      <c r="Q1707" s="695" t="s">
        <v>112</v>
      </c>
      <c r="R1707" s="696">
        <v>117.1810516</v>
      </c>
      <c r="S1707" s="696">
        <v>69.96755685</v>
      </c>
      <c r="T1707" s="697">
        <v>187.3371874</v>
      </c>
      <c r="AB1707" s="722"/>
    </row>
    <row r="1708">
      <c r="A1708" s="351"/>
      <c r="K1708" s="693" t="s">
        <v>67</v>
      </c>
      <c r="L1708" s="694" t="s">
        <v>179</v>
      </c>
      <c r="M1708" s="694" t="s">
        <v>915</v>
      </c>
      <c r="N1708" s="694" t="s">
        <v>926</v>
      </c>
      <c r="O1708" s="694">
        <v>2021.0</v>
      </c>
      <c r="P1708" s="694" t="s">
        <v>919</v>
      </c>
      <c r="Q1708" s="695" t="s">
        <v>112</v>
      </c>
      <c r="R1708" s="696">
        <v>319.0895571</v>
      </c>
      <c r="S1708" s="696">
        <v>169.2567789</v>
      </c>
      <c r="T1708" s="697">
        <v>570.7979483</v>
      </c>
      <c r="AB1708" s="722"/>
    </row>
    <row r="1709">
      <c r="A1709" s="351"/>
      <c r="K1709" s="693" t="s">
        <v>37</v>
      </c>
      <c r="L1709" s="694" t="s">
        <v>179</v>
      </c>
      <c r="M1709" s="694" t="s">
        <v>915</v>
      </c>
      <c r="N1709" s="694" t="s">
        <v>918</v>
      </c>
      <c r="O1709" s="694">
        <v>2021.0</v>
      </c>
      <c r="P1709" s="694" t="s">
        <v>919</v>
      </c>
      <c r="Q1709" s="695" t="s">
        <v>112</v>
      </c>
      <c r="R1709" s="696">
        <v>617.1653648</v>
      </c>
      <c r="S1709" s="696">
        <v>390.2377427</v>
      </c>
      <c r="T1709" s="697">
        <v>944.4978231</v>
      </c>
      <c r="AB1709" s="722"/>
    </row>
    <row r="1710">
      <c r="A1710" s="351"/>
      <c r="K1710" s="693" t="s">
        <v>37</v>
      </c>
      <c r="L1710" s="694" t="s">
        <v>179</v>
      </c>
      <c r="M1710" s="694" t="s">
        <v>915</v>
      </c>
      <c r="N1710" s="694" t="s">
        <v>923</v>
      </c>
      <c r="O1710" s="694">
        <v>2021.0</v>
      </c>
      <c r="P1710" s="694" t="s">
        <v>919</v>
      </c>
      <c r="Q1710" s="695" t="s">
        <v>112</v>
      </c>
      <c r="R1710" s="696">
        <v>0.0</v>
      </c>
      <c r="S1710" s="696">
        <v>0.0</v>
      </c>
      <c r="T1710" s="697">
        <v>0.0</v>
      </c>
      <c r="AB1710" s="722"/>
    </row>
    <row r="1711">
      <c r="A1711" s="351"/>
      <c r="K1711" s="693" t="s">
        <v>37</v>
      </c>
      <c r="L1711" s="694" t="s">
        <v>179</v>
      </c>
      <c r="M1711" s="694" t="s">
        <v>915</v>
      </c>
      <c r="N1711" s="694" t="s">
        <v>925</v>
      </c>
      <c r="O1711" s="694">
        <v>2021.0</v>
      </c>
      <c r="P1711" s="694" t="s">
        <v>919</v>
      </c>
      <c r="Q1711" s="695" t="s">
        <v>112</v>
      </c>
      <c r="R1711" s="696">
        <v>0.0</v>
      </c>
      <c r="S1711" s="696">
        <v>0.0</v>
      </c>
      <c r="T1711" s="697">
        <v>0.0</v>
      </c>
      <c r="AB1711" s="722"/>
    </row>
    <row r="1712">
      <c r="A1712" s="351"/>
      <c r="K1712" s="693" t="s">
        <v>37</v>
      </c>
      <c r="L1712" s="694" t="s">
        <v>179</v>
      </c>
      <c r="M1712" s="694" t="s">
        <v>915</v>
      </c>
      <c r="N1712" s="694" t="s">
        <v>927</v>
      </c>
      <c r="O1712" s="694">
        <v>2021.0</v>
      </c>
      <c r="P1712" s="694" t="s">
        <v>919</v>
      </c>
      <c r="Q1712" s="695" t="s">
        <v>112</v>
      </c>
      <c r="R1712" s="696">
        <v>335.2804586</v>
      </c>
      <c r="S1712" s="696">
        <v>220.7788866</v>
      </c>
      <c r="T1712" s="697">
        <v>479.8547337</v>
      </c>
      <c r="AB1712" s="722"/>
    </row>
    <row r="1713">
      <c r="A1713" s="351"/>
      <c r="K1713" s="965" t="s">
        <v>37</v>
      </c>
      <c r="L1713" s="967" t="s">
        <v>179</v>
      </c>
      <c r="M1713" s="967" t="s">
        <v>915</v>
      </c>
      <c r="N1713" s="967" t="s">
        <v>926</v>
      </c>
      <c r="O1713" s="967">
        <v>2021.0</v>
      </c>
      <c r="P1713" s="967" t="s">
        <v>919</v>
      </c>
      <c r="Q1713" s="968" t="s">
        <v>112</v>
      </c>
      <c r="R1713" s="970">
        <v>952.4458234</v>
      </c>
      <c r="S1713" s="970">
        <v>631.1567321</v>
      </c>
      <c r="T1713" s="971">
        <v>1377.986506</v>
      </c>
      <c r="AB1713" s="722"/>
    </row>
    <row r="1714">
      <c r="A1714" s="351"/>
      <c r="K1714" s="972"/>
      <c r="L1714" s="972"/>
      <c r="M1714" s="972"/>
      <c r="N1714" s="972"/>
      <c r="O1714" s="972"/>
      <c r="P1714" s="972"/>
      <c r="Q1714" s="973"/>
      <c r="R1714" s="972"/>
      <c r="S1714" s="972"/>
      <c r="T1714" s="972"/>
      <c r="AB1714" s="722"/>
    </row>
  </sheetData>
  <mergeCells count="3">
    <mergeCell ref="B2:I2"/>
    <mergeCell ref="K2:T2"/>
    <mergeCell ref="V2:AE2"/>
  </mergeCells>
  <drawing r:id="rId2"/>
  <legacyDrawing r:id="rId3"/>
  <tableParts count="3">
    <tablePart r:id="rId7"/>
    <tablePart r:id="rId8"/>
    <tablePart r:id="rId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4" width="1.88"/>
    <col customWidth="1" min="5" max="5" width="50.0"/>
    <col customWidth="1" min="6" max="7" width="7.25"/>
    <col customWidth="1" min="8" max="45" width="12.13"/>
    <col customWidth="1" min="46" max="46" width="3.63"/>
  </cols>
  <sheetData>
    <row r="1">
      <c r="A1" s="1"/>
      <c r="B1" s="3"/>
      <c r="C1" s="3"/>
      <c r="D1" s="3"/>
      <c r="E1" s="5"/>
      <c r="F1" s="7"/>
      <c r="G1" s="8"/>
      <c r="H1" s="9"/>
      <c r="I1" s="20" t="s">
        <v>1</v>
      </c>
      <c r="J1" s="14"/>
      <c r="K1" s="14"/>
      <c r="L1" s="14"/>
      <c r="M1" s="14"/>
      <c r="N1" s="14"/>
      <c r="O1" s="14"/>
      <c r="P1" s="14"/>
      <c r="Q1" s="14"/>
      <c r="R1" s="16" t="s">
        <v>3</v>
      </c>
      <c r="S1" s="14"/>
      <c r="T1" s="14"/>
      <c r="U1" s="14"/>
      <c r="V1" s="14"/>
      <c r="W1" s="14"/>
      <c r="X1" s="14"/>
      <c r="Y1" s="14"/>
      <c r="Z1" s="14"/>
      <c r="AA1" s="14"/>
      <c r="AB1" s="14"/>
      <c r="AC1" s="14"/>
      <c r="AD1" s="14"/>
      <c r="AE1" s="14"/>
      <c r="AF1" s="20" t="s">
        <v>3</v>
      </c>
      <c r="AG1" s="14"/>
      <c r="AH1" s="14"/>
      <c r="AI1" s="14"/>
      <c r="AJ1" s="14"/>
      <c r="AK1" s="14"/>
      <c r="AL1" s="14"/>
      <c r="AM1" s="14"/>
      <c r="AN1" s="14"/>
      <c r="AO1" s="14"/>
      <c r="AP1" s="14"/>
      <c r="AQ1" s="14"/>
      <c r="AR1" s="14"/>
      <c r="AS1" s="14"/>
      <c r="AT1" s="23"/>
    </row>
    <row r="2">
      <c r="A2" s="24"/>
      <c r="B2" s="25"/>
      <c r="C2" s="25"/>
      <c r="D2" s="25"/>
      <c r="E2" s="26"/>
      <c r="F2" s="28"/>
      <c r="G2" s="28"/>
      <c r="H2" s="31"/>
      <c r="I2" s="35" t="s">
        <v>7</v>
      </c>
      <c r="J2" s="35" t="s">
        <v>7</v>
      </c>
      <c r="K2" s="35" t="s">
        <v>7</v>
      </c>
      <c r="L2" s="35" t="s">
        <v>7</v>
      </c>
      <c r="M2" s="35" t="s">
        <v>7</v>
      </c>
      <c r="N2" s="35" t="s">
        <v>7</v>
      </c>
      <c r="O2" s="35" t="s">
        <v>7</v>
      </c>
      <c r="P2" s="35" t="s">
        <v>7</v>
      </c>
      <c r="Q2" s="40" t="s">
        <v>7</v>
      </c>
      <c r="R2" s="35" t="s">
        <v>7</v>
      </c>
      <c r="S2" s="35" t="s">
        <v>7</v>
      </c>
      <c r="T2" s="35" t="s">
        <v>7</v>
      </c>
      <c r="U2" s="35" t="s">
        <v>7</v>
      </c>
      <c r="V2" s="35" t="s">
        <v>7</v>
      </c>
      <c r="W2" s="35" t="s">
        <v>7</v>
      </c>
      <c r="X2" s="35" t="s">
        <v>7</v>
      </c>
      <c r="Y2" s="35" t="s">
        <v>7</v>
      </c>
      <c r="Z2" s="35" t="s">
        <v>7</v>
      </c>
      <c r="AA2" s="35" t="s">
        <v>7</v>
      </c>
      <c r="AB2" s="35" t="s">
        <v>7</v>
      </c>
      <c r="AC2" s="35" t="s">
        <v>7</v>
      </c>
      <c r="AD2" s="35" t="s">
        <v>7</v>
      </c>
      <c r="AE2" s="35" t="s">
        <v>7</v>
      </c>
      <c r="AF2" s="35" t="s">
        <v>7</v>
      </c>
      <c r="AG2" s="35" t="s">
        <v>7</v>
      </c>
      <c r="AH2" s="35" t="s">
        <v>7</v>
      </c>
      <c r="AI2" s="35" t="s">
        <v>7</v>
      </c>
      <c r="AJ2" s="35" t="s">
        <v>7</v>
      </c>
      <c r="AK2" s="35" t="s">
        <v>7</v>
      </c>
      <c r="AL2" s="35" t="s">
        <v>7</v>
      </c>
      <c r="AM2" s="35" t="s">
        <v>7</v>
      </c>
      <c r="AN2" s="35" t="s">
        <v>7</v>
      </c>
      <c r="AO2" s="35" t="s">
        <v>7</v>
      </c>
      <c r="AP2" s="35" t="s">
        <v>7</v>
      </c>
      <c r="AQ2" s="35" t="s">
        <v>7</v>
      </c>
      <c r="AR2" s="35" t="s">
        <v>7</v>
      </c>
      <c r="AS2" s="35" t="s">
        <v>7</v>
      </c>
      <c r="AT2" s="42"/>
    </row>
    <row r="3">
      <c r="A3" s="43"/>
      <c r="B3" s="12"/>
      <c r="C3" s="12"/>
      <c r="D3" s="12"/>
      <c r="E3" s="12"/>
      <c r="F3" s="44" t="s">
        <v>21</v>
      </c>
      <c r="G3" s="44" t="s">
        <v>22</v>
      </c>
      <c r="H3" s="46" t="s">
        <v>24</v>
      </c>
      <c r="I3" s="47" t="s">
        <v>26</v>
      </c>
      <c r="J3" s="47" t="s">
        <v>28</v>
      </c>
      <c r="K3" s="47" t="s">
        <v>30</v>
      </c>
      <c r="L3" s="47" t="s">
        <v>31</v>
      </c>
      <c r="M3" s="47" t="s">
        <v>32</v>
      </c>
      <c r="N3" s="47" t="s">
        <v>33</v>
      </c>
      <c r="O3" s="47" t="s">
        <v>34</v>
      </c>
      <c r="P3" s="47" t="s">
        <v>35</v>
      </c>
      <c r="Q3" s="48" t="s">
        <v>37</v>
      </c>
      <c r="R3" s="47" t="s">
        <v>38</v>
      </c>
      <c r="S3" s="47" t="s">
        <v>39</v>
      </c>
      <c r="T3" s="47" t="s">
        <v>40</v>
      </c>
      <c r="U3" s="47" t="s">
        <v>41</v>
      </c>
      <c r="V3" s="47" t="s">
        <v>42</v>
      </c>
      <c r="W3" s="47" t="s">
        <v>44</v>
      </c>
      <c r="X3" s="47" t="s">
        <v>45</v>
      </c>
      <c r="Y3" s="47" t="s">
        <v>46</v>
      </c>
      <c r="Z3" s="47" t="s">
        <v>47</v>
      </c>
      <c r="AA3" s="47" t="s">
        <v>48</v>
      </c>
      <c r="AB3" s="47" t="s">
        <v>49</v>
      </c>
      <c r="AC3" s="47" t="s">
        <v>50</v>
      </c>
      <c r="AD3" s="47" t="s">
        <v>51</v>
      </c>
      <c r="AE3" s="47" t="s">
        <v>52</v>
      </c>
      <c r="AF3" s="47" t="s">
        <v>53</v>
      </c>
      <c r="AG3" s="47" t="s">
        <v>54</v>
      </c>
      <c r="AH3" s="47" t="s">
        <v>55</v>
      </c>
      <c r="AI3" s="47" t="s">
        <v>56</v>
      </c>
      <c r="AJ3" s="47" t="s">
        <v>57</v>
      </c>
      <c r="AK3" s="47" t="s">
        <v>58</v>
      </c>
      <c r="AL3" s="47" t="s">
        <v>59</v>
      </c>
      <c r="AM3" s="47" t="s">
        <v>60</v>
      </c>
      <c r="AN3" s="47" t="s">
        <v>61</v>
      </c>
      <c r="AO3" s="47" t="s">
        <v>63</v>
      </c>
      <c r="AP3" s="47" t="s">
        <v>64</v>
      </c>
      <c r="AQ3" s="47" t="s">
        <v>65</v>
      </c>
      <c r="AR3" s="47" t="s">
        <v>66</v>
      </c>
      <c r="AS3" s="47" t="s">
        <v>67</v>
      </c>
      <c r="AT3" s="53"/>
    </row>
    <row r="4">
      <c r="A4" s="72" t="s">
        <v>29</v>
      </c>
      <c r="B4" s="14"/>
      <c r="C4" s="14"/>
      <c r="D4" s="14"/>
      <c r="E4" s="14"/>
      <c r="F4" s="14"/>
      <c r="G4" s="14"/>
      <c r="H4" s="73"/>
      <c r="I4" s="707"/>
      <c r="J4" s="707"/>
      <c r="K4" s="707"/>
      <c r="L4" s="707"/>
      <c r="M4" s="707"/>
      <c r="N4" s="707"/>
      <c r="O4" s="707"/>
      <c r="P4" s="707"/>
      <c r="Q4" s="707"/>
      <c r="R4" s="707"/>
      <c r="S4" s="707"/>
      <c r="T4" s="707"/>
      <c r="U4" s="707"/>
      <c r="V4" s="707"/>
      <c r="W4" s="707"/>
      <c r="X4" s="707"/>
      <c r="Y4" s="707"/>
      <c r="Z4" s="707"/>
      <c r="AA4" s="707"/>
      <c r="AB4" s="707"/>
      <c r="AC4" s="707"/>
      <c r="AD4" s="707"/>
      <c r="AE4" s="707"/>
      <c r="AF4" s="707"/>
      <c r="AG4" s="707"/>
      <c r="AH4" s="707"/>
      <c r="AI4" s="707"/>
      <c r="AJ4" s="707"/>
      <c r="AK4" s="707"/>
      <c r="AL4" s="707"/>
      <c r="AM4" s="707"/>
      <c r="AN4" s="707"/>
      <c r="AO4" s="707"/>
      <c r="AP4" s="707"/>
      <c r="AQ4" s="707"/>
      <c r="AR4" s="707"/>
      <c r="AS4" s="707"/>
      <c r="AT4" s="708"/>
    </row>
    <row r="5">
      <c r="A5" s="80"/>
      <c r="B5" s="81"/>
      <c r="C5" s="81"/>
      <c r="D5" s="81"/>
      <c r="E5" s="102"/>
      <c r="F5" s="83"/>
      <c r="G5" s="83"/>
      <c r="H5" s="85"/>
      <c r="I5" s="709"/>
      <c r="J5" s="709"/>
      <c r="K5" s="709"/>
      <c r="L5" s="709"/>
      <c r="M5" s="709"/>
      <c r="N5" s="709"/>
      <c r="O5" s="709"/>
      <c r="P5" s="709"/>
      <c r="Q5" s="709"/>
      <c r="R5" s="709"/>
      <c r="S5" s="709"/>
      <c r="T5" s="709"/>
      <c r="U5" s="709"/>
      <c r="V5" s="709"/>
      <c r="W5" s="709"/>
      <c r="X5" s="709"/>
      <c r="Y5" s="709"/>
      <c r="Z5" s="709"/>
      <c r="AA5" s="709"/>
      <c r="AB5" s="709"/>
      <c r="AC5" s="709"/>
      <c r="AD5" s="709"/>
      <c r="AE5" s="709"/>
      <c r="AF5" s="709"/>
      <c r="AG5" s="709"/>
      <c r="AH5" s="709"/>
      <c r="AI5" s="709"/>
      <c r="AJ5" s="709"/>
      <c r="AK5" s="709"/>
      <c r="AL5" s="709"/>
      <c r="AM5" s="709"/>
      <c r="AN5" s="709"/>
      <c r="AO5" s="709"/>
      <c r="AP5" s="709"/>
      <c r="AQ5" s="709"/>
      <c r="AR5" s="709"/>
      <c r="AS5" s="709"/>
      <c r="AT5" s="710"/>
    </row>
    <row r="6">
      <c r="A6" s="80"/>
      <c r="B6" s="81"/>
      <c r="C6" s="90" t="s">
        <v>929</v>
      </c>
      <c r="F6" s="83"/>
      <c r="G6" s="135"/>
      <c r="H6" s="85"/>
      <c r="I6" s="709"/>
      <c r="J6" s="709"/>
      <c r="K6" s="709"/>
      <c r="L6" s="709"/>
      <c r="M6" s="709"/>
      <c r="N6" s="709"/>
      <c r="O6" s="709"/>
      <c r="P6" s="709"/>
      <c r="Q6" s="709"/>
      <c r="R6" s="709"/>
      <c r="S6" s="709"/>
      <c r="T6" s="709"/>
      <c r="U6" s="709"/>
      <c r="V6" s="709"/>
      <c r="W6" s="709"/>
      <c r="X6" s="709"/>
      <c r="Y6" s="709"/>
      <c r="Z6" s="709"/>
      <c r="AA6" s="709"/>
      <c r="AB6" s="709"/>
      <c r="AC6" s="709"/>
      <c r="AD6" s="709"/>
      <c r="AE6" s="709"/>
      <c r="AF6" s="709"/>
      <c r="AG6" s="709"/>
      <c r="AH6" s="709"/>
      <c r="AI6" s="709"/>
      <c r="AJ6" s="709"/>
      <c r="AK6" s="709"/>
      <c r="AL6" s="709"/>
      <c r="AM6" s="709"/>
      <c r="AN6" s="709"/>
      <c r="AO6" s="709"/>
      <c r="AP6" s="709"/>
      <c r="AQ6" s="709"/>
      <c r="AR6" s="709"/>
      <c r="AS6" s="709"/>
      <c r="AT6" s="710"/>
    </row>
    <row r="7">
      <c r="A7" s="80"/>
      <c r="B7" s="81"/>
      <c r="C7" s="81"/>
      <c r="D7" s="81"/>
      <c r="E7" s="530" t="s">
        <v>103</v>
      </c>
      <c r="F7" s="93" t="s">
        <v>118</v>
      </c>
      <c r="G7" s="307" t="s">
        <v>203</v>
      </c>
      <c r="H7" s="96">
        <f>Inputs!H8</f>
        <v>1000000</v>
      </c>
      <c r="I7" s="98" t="str">
        <f>Inputs!I8</f>
        <v>-</v>
      </c>
      <c r="J7" s="98" t="str">
        <f>Inputs!J8</f>
        <v>-</v>
      </c>
      <c r="K7" s="98" t="str">
        <f>Inputs!K8</f>
        <v>-</v>
      </c>
      <c r="L7" s="98" t="str">
        <f>Inputs!L8</f>
        <v>-</v>
      </c>
      <c r="M7" s="98" t="str">
        <f>Inputs!M8</f>
        <v>-</v>
      </c>
      <c r="N7" s="98" t="str">
        <f>Inputs!N8</f>
        <v>-</v>
      </c>
      <c r="O7" s="98" t="str">
        <f>Inputs!O8</f>
        <v>-</v>
      </c>
      <c r="P7" s="98" t="str">
        <f>Inputs!P8</f>
        <v>-</v>
      </c>
      <c r="Q7" s="98" t="str">
        <f>Inputs!Q8</f>
        <v>-</v>
      </c>
      <c r="R7" s="98" t="str">
        <f>Inputs!R8</f>
        <v>-</v>
      </c>
      <c r="S7" s="98" t="str">
        <f>Inputs!S8</f>
        <v>-</v>
      </c>
      <c r="T7" s="98" t="str">
        <f>Inputs!T8</f>
        <v>-</v>
      </c>
      <c r="U7" s="98" t="str">
        <f>Inputs!U8</f>
        <v>-</v>
      </c>
      <c r="V7" s="98" t="str">
        <f>Inputs!V8</f>
        <v>-</v>
      </c>
      <c r="W7" s="98" t="str">
        <f>Inputs!W8</f>
        <v>-</v>
      </c>
      <c r="X7" s="98" t="str">
        <f>Inputs!X8</f>
        <v>-</v>
      </c>
      <c r="Y7" s="98" t="str">
        <f>Inputs!Y8</f>
        <v>-</v>
      </c>
      <c r="Z7" s="98" t="str">
        <f>Inputs!Z8</f>
        <v>-</v>
      </c>
      <c r="AA7" s="98" t="str">
        <f>Inputs!AA8</f>
        <v>-</v>
      </c>
      <c r="AB7" s="98" t="str">
        <f>Inputs!AB8</f>
        <v>-</v>
      </c>
      <c r="AC7" s="98" t="str">
        <f>Inputs!AC8</f>
        <v>-</v>
      </c>
      <c r="AD7" s="98" t="str">
        <f>Inputs!AD8</f>
        <v>-</v>
      </c>
      <c r="AE7" s="98" t="str">
        <f>Inputs!AE8</f>
        <v>-</v>
      </c>
      <c r="AF7" s="98" t="str">
        <f>Inputs!AF8</f>
        <v>-</v>
      </c>
      <c r="AG7" s="98" t="str">
        <f>Inputs!AG8</f>
        <v>-</v>
      </c>
      <c r="AH7" s="98" t="str">
        <f>Inputs!AH8</f>
        <v>-</v>
      </c>
      <c r="AI7" s="98" t="str">
        <f>Inputs!AI8</f>
        <v>-</v>
      </c>
      <c r="AJ7" s="98" t="str">
        <f>Inputs!AJ8</f>
        <v>-</v>
      </c>
      <c r="AK7" s="98" t="str">
        <f>Inputs!AK8</f>
        <v>-</v>
      </c>
      <c r="AL7" s="98" t="str">
        <f>Inputs!AL8</f>
        <v>-</v>
      </c>
      <c r="AM7" s="98" t="str">
        <f>Inputs!AM8</f>
        <v>-</v>
      </c>
      <c r="AN7" s="98" t="str">
        <f>Inputs!AN8</f>
        <v>-</v>
      </c>
      <c r="AO7" s="98" t="str">
        <f>Inputs!AO8</f>
        <v>-</v>
      </c>
      <c r="AP7" s="98" t="str">
        <f>Inputs!AP8</f>
        <v>-</v>
      </c>
      <c r="AQ7" s="98" t="str">
        <f>Inputs!AQ8</f>
        <v>-</v>
      </c>
      <c r="AR7" s="98" t="str">
        <f>Inputs!AR8</f>
        <v>-</v>
      </c>
      <c r="AS7" s="98" t="str">
        <f>Inputs!AS8</f>
        <v>-</v>
      </c>
      <c r="AT7" s="711"/>
    </row>
    <row r="8">
      <c r="A8" s="80"/>
      <c r="B8" s="81"/>
      <c r="C8" s="126"/>
      <c r="D8" s="81"/>
      <c r="E8" s="541"/>
      <c r="F8" s="108"/>
      <c r="G8" s="108"/>
      <c r="H8" s="110"/>
      <c r="I8" s="639"/>
      <c r="J8" s="639"/>
      <c r="K8" s="639"/>
      <c r="L8" s="639"/>
      <c r="M8" s="639"/>
      <c r="N8" s="639"/>
      <c r="O8" s="639"/>
      <c r="P8" s="639"/>
      <c r="Q8" s="639"/>
      <c r="R8" s="639"/>
      <c r="S8" s="639"/>
      <c r="T8" s="639"/>
      <c r="U8" s="639"/>
      <c r="V8" s="639"/>
      <c r="W8" s="639"/>
      <c r="X8" s="639"/>
      <c r="Y8" s="639"/>
      <c r="Z8" s="639"/>
      <c r="AA8" s="639"/>
      <c r="AB8" s="639"/>
      <c r="AC8" s="639"/>
      <c r="AD8" s="639"/>
      <c r="AE8" s="639"/>
      <c r="AF8" s="639"/>
      <c r="AG8" s="639"/>
      <c r="AH8" s="639"/>
      <c r="AI8" s="639"/>
      <c r="AJ8" s="639"/>
      <c r="AK8" s="639"/>
      <c r="AL8" s="639"/>
      <c r="AM8" s="639"/>
      <c r="AN8" s="639"/>
      <c r="AO8" s="639"/>
      <c r="AP8" s="639"/>
      <c r="AQ8" s="639"/>
      <c r="AR8" s="639"/>
      <c r="AS8" s="639"/>
      <c r="AT8" s="710"/>
    </row>
    <row r="9">
      <c r="A9" s="80"/>
      <c r="B9" s="81"/>
      <c r="C9" s="126" t="s">
        <v>932</v>
      </c>
      <c r="F9" s="108"/>
      <c r="G9" s="108"/>
      <c r="H9" s="110"/>
      <c r="I9" s="639"/>
      <c r="J9" s="639"/>
      <c r="K9" s="639"/>
      <c r="L9" s="639"/>
      <c r="M9" s="639"/>
      <c r="N9" s="639"/>
      <c r="O9" s="639"/>
      <c r="P9" s="639"/>
      <c r="Q9" s="639"/>
      <c r="R9" s="639"/>
      <c r="S9" s="639"/>
      <c r="T9" s="639"/>
      <c r="U9" s="639"/>
      <c r="V9" s="639"/>
      <c r="W9" s="639"/>
      <c r="X9" s="639"/>
      <c r="Y9" s="639"/>
      <c r="Z9" s="639"/>
      <c r="AA9" s="639"/>
      <c r="AB9" s="639"/>
      <c r="AC9" s="639"/>
      <c r="AD9" s="639"/>
      <c r="AE9" s="639"/>
      <c r="AF9" s="639"/>
      <c r="AG9" s="639"/>
      <c r="AH9" s="639"/>
      <c r="AI9" s="639"/>
      <c r="AJ9" s="639"/>
      <c r="AK9" s="639"/>
      <c r="AL9" s="639"/>
      <c r="AM9" s="639"/>
      <c r="AN9" s="639"/>
      <c r="AO9" s="639"/>
      <c r="AP9" s="639"/>
      <c r="AQ9" s="639"/>
      <c r="AR9" s="639"/>
      <c r="AS9" s="639"/>
      <c r="AT9" s="710"/>
    </row>
    <row r="10">
      <c r="A10" s="80"/>
      <c r="B10" s="81"/>
      <c r="C10" s="126"/>
      <c r="D10" s="81"/>
      <c r="E10" s="548" t="s">
        <v>933</v>
      </c>
      <c r="F10" s="189" t="s">
        <v>118</v>
      </c>
      <c r="G10" s="189" t="s">
        <v>203</v>
      </c>
      <c r="H10" s="712">
        <f>'Main CEA'!H14</f>
        <v>21.27455</v>
      </c>
      <c r="I10" s="713" t="str">
        <f>'Main CEA'!I14</f>
        <v>-</v>
      </c>
      <c r="J10" s="713" t="str">
        <f>'Main CEA'!J14</f>
        <v>-</v>
      </c>
      <c r="K10" s="713" t="str">
        <f>'Main CEA'!K14</f>
        <v>-</v>
      </c>
      <c r="L10" s="713" t="str">
        <f>'Main CEA'!L14</f>
        <v>-</v>
      </c>
      <c r="M10" s="713" t="str">
        <f>'Main CEA'!M14</f>
        <v>-</v>
      </c>
      <c r="N10" s="713" t="str">
        <f>'Main CEA'!N14</f>
        <v>-</v>
      </c>
      <c r="O10" s="713" t="str">
        <f>'Main CEA'!O14</f>
        <v>-</v>
      </c>
      <c r="P10" s="713" t="str">
        <f>'Main CEA'!P14</f>
        <v>-</v>
      </c>
      <c r="Q10" s="713" t="str">
        <f>'Main CEA'!Q14</f>
        <v>-</v>
      </c>
      <c r="R10" s="713" t="str">
        <f>'Main CEA'!R14</f>
        <v>-</v>
      </c>
      <c r="S10" s="713" t="str">
        <f>'Main CEA'!S14</f>
        <v>-</v>
      </c>
      <c r="T10" s="713" t="str">
        <f>'Main CEA'!T14</f>
        <v>-</v>
      </c>
      <c r="U10" s="713" t="str">
        <f>'Main CEA'!U14</f>
        <v>-</v>
      </c>
      <c r="V10" s="713" t="str">
        <f>'Main CEA'!V14</f>
        <v>-</v>
      </c>
      <c r="W10" s="713" t="str">
        <f>'Main CEA'!W14</f>
        <v>-</v>
      </c>
      <c r="X10" s="713" t="str">
        <f>'Main CEA'!X14</f>
        <v>-</v>
      </c>
      <c r="Y10" s="713" t="str">
        <f>'Main CEA'!Y14</f>
        <v>-</v>
      </c>
      <c r="Z10" s="713" t="str">
        <f>'Main CEA'!Z14</f>
        <v>-</v>
      </c>
      <c r="AA10" s="713" t="str">
        <f>'Main CEA'!AA14</f>
        <v>-</v>
      </c>
      <c r="AB10" s="713" t="str">
        <f>'Main CEA'!AB14</f>
        <v>-</v>
      </c>
      <c r="AC10" s="713" t="str">
        <f>'Main CEA'!AC14</f>
        <v>-</v>
      </c>
      <c r="AD10" s="713" t="str">
        <f>'Main CEA'!AD14</f>
        <v>-</v>
      </c>
      <c r="AE10" s="713" t="str">
        <f>'Main CEA'!AE14</f>
        <v>-</v>
      </c>
      <c r="AF10" s="713" t="str">
        <f>'Main CEA'!AF14</f>
        <v>-</v>
      </c>
      <c r="AG10" s="713" t="str">
        <f>'Main CEA'!AG14</f>
        <v>-</v>
      </c>
      <c r="AH10" s="713" t="str">
        <f>'Main CEA'!AH14</f>
        <v>-</v>
      </c>
      <c r="AI10" s="713" t="str">
        <f>'Main CEA'!AI14</f>
        <v>-</v>
      </c>
      <c r="AJ10" s="713" t="str">
        <f>'Main CEA'!AJ14</f>
        <v>-</v>
      </c>
      <c r="AK10" s="713" t="str">
        <f>'Main CEA'!AK14</f>
        <v>-</v>
      </c>
      <c r="AL10" s="713" t="str">
        <f>'Main CEA'!AL14</f>
        <v>-</v>
      </c>
      <c r="AM10" s="713" t="str">
        <f>'Main CEA'!AM14</f>
        <v>-</v>
      </c>
      <c r="AN10" s="713" t="str">
        <f>'Main CEA'!AN14</f>
        <v>-</v>
      </c>
      <c r="AO10" s="713" t="str">
        <f>'Main CEA'!AO14</f>
        <v>-</v>
      </c>
      <c r="AP10" s="713" t="str">
        <f>'Main CEA'!AP14</f>
        <v>-</v>
      </c>
      <c r="AQ10" s="713" t="str">
        <f>'Main CEA'!AQ14</f>
        <v>-</v>
      </c>
      <c r="AR10" s="713" t="str">
        <f>'Main CEA'!AR14</f>
        <v>-</v>
      </c>
      <c r="AS10" s="713" t="str">
        <f>'Main CEA'!AS14</f>
        <v>-</v>
      </c>
      <c r="AT10" s="714"/>
    </row>
    <row r="11">
      <c r="A11" s="80"/>
      <c r="B11" s="81"/>
      <c r="C11" s="126"/>
      <c r="D11" s="81"/>
      <c r="E11" s="553" t="s">
        <v>936</v>
      </c>
      <c r="F11" s="215" t="s">
        <v>111</v>
      </c>
      <c r="G11" s="215" t="s">
        <v>149</v>
      </c>
      <c r="H11" s="187" t="s">
        <v>150</v>
      </c>
      <c r="I11" s="420">
        <f t="shared" ref="I11:AS11" si="1">IF(I7="-",$H7/$H10,I7/$H10)</f>
        <v>47004.51948</v>
      </c>
      <c r="J11" s="420">
        <f t="shared" si="1"/>
        <v>47004.51948</v>
      </c>
      <c r="K11" s="420">
        <f t="shared" si="1"/>
        <v>47004.51948</v>
      </c>
      <c r="L11" s="420">
        <f t="shared" si="1"/>
        <v>47004.51948</v>
      </c>
      <c r="M11" s="420">
        <f t="shared" si="1"/>
        <v>47004.51948</v>
      </c>
      <c r="N11" s="420">
        <f t="shared" si="1"/>
        <v>47004.51948</v>
      </c>
      <c r="O11" s="420">
        <f t="shared" si="1"/>
        <v>47004.51948</v>
      </c>
      <c r="P11" s="420">
        <f t="shared" si="1"/>
        <v>47004.51948</v>
      </c>
      <c r="Q11" s="420">
        <f t="shared" si="1"/>
        <v>47004.51948</v>
      </c>
      <c r="R11" s="420">
        <f t="shared" si="1"/>
        <v>47004.51948</v>
      </c>
      <c r="S11" s="420">
        <f t="shared" si="1"/>
        <v>47004.51948</v>
      </c>
      <c r="T11" s="420">
        <f t="shared" si="1"/>
        <v>47004.51948</v>
      </c>
      <c r="U11" s="420">
        <f t="shared" si="1"/>
        <v>47004.51948</v>
      </c>
      <c r="V11" s="420">
        <f t="shared" si="1"/>
        <v>47004.51948</v>
      </c>
      <c r="W11" s="420">
        <f t="shared" si="1"/>
        <v>47004.51948</v>
      </c>
      <c r="X11" s="420">
        <f t="shared" si="1"/>
        <v>47004.51948</v>
      </c>
      <c r="Y11" s="420">
        <f t="shared" si="1"/>
        <v>47004.51948</v>
      </c>
      <c r="Z11" s="420">
        <f t="shared" si="1"/>
        <v>47004.51948</v>
      </c>
      <c r="AA11" s="420">
        <f t="shared" si="1"/>
        <v>47004.51948</v>
      </c>
      <c r="AB11" s="420">
        <f t="shared" si="1"/>
        <v>47004.51948</v>
      </c>
      <c r="AC11" s="420">
        <f t="shared" si="1"/>
        <v>47004.51948</v>
      </c>
      <c r="AD11" s="420">
        <f t="shared" si="1"/>
        <v>47004.51948</v>
      </c>
      <c r="AE11" s="420">
        <f t="shared" si="1"/>
        <v>47004.51948</v>
      </c>
      <c r="AF11" s="420">
        <f t="shared" si="1"/>
        <v>47004.51948</v>
      </c>
      <c r="AG11" s="420">
        <f t="shared" si="1"/>
        <v>47004.51948</v>
      </c>
      <c r="AH11" s="420">
        <f t="shared" si="1"/>
        <v>47004.51948</v>
      </c>
      <c r="AI11" s="420">
        <f t="shared" si="1"/>
        <v>47004.51948</v>
      </c>
      <c r="AJ11" s="420">
        <f t="shared" si="1"/>
        <v>47004.51948</v>
      </c>
      <c r="AK11" s="420">
        <f t="shared" si="1"/>
        <v>47004.51948</v>
      </c>
      <c r="AL11" s="420">
        <f t="shared" si="1"/>
        <v>47004.51948</v>
      </c>
      <c r="AM11" s="420">
        <f t="shared" si="1"/>
        <v>47004.51948</v>
      </c>
      <c r="AN11" s="420">
        <f t="shared" si="1"/>
        <v>47004.51948</v>
      </c>
      <c r="AO11" s="420">
        <f t="shared" si="1"/>
        <v>47004.51948</v>
      </c>
      <c r="AP11" s="420">
        <f t="shared" si="1"/>
        <v>47004.51948</v>
      </c>
      <c r="AQ11" s="420">
        <f t="shared" si="1"/>
        <v>47004.51948</v>
      </c>
      <c r="AR11" s="420">
        <f t="shared" si="1"/>
        <v>47004.51948</v>
      </c>
      <c r="AS11" s="420">
        <f t="shared" si="1"/>
        <v>47004.51948</v>
      </c>
      <c r="AT11" s="715"/>
    </row>
    <row r="12">
      <c r="A12" s="80"/>
      <c r="B12" s="81"/>
      <c r="C12" s="126"/>
      <c r="D12" s="81"/>
      <c r="E12" s="553" t="s">
        <v>938</v>
      </c>
      <c r="F12" s="215" t="s">
        <v>122</v>
      </c>
      <c r="G12" s="215" t="s">
        <v>203</v>
      </c>
      <c r="H12" s="187" t="s">
        <v>150</v>
      </c>
      <c r="I12" s="149">
        <f>1-('Main CEA'!I38/'Main CEA'!I19)</f>
        <v>0.742839458</v>
      </c>
      <c r="J12" s="149">
        <f>1-('Main CEA'!J38/'Main CEA'!J19)</f>
        <v>0.8423463699</v>
      </c>
      <c r="K12" s="149">
        <f>1-('Main CEA'!K38/'Main CEA'!K19)</f>
        <v>0.7978559561</v>
      </c>
      <c r="L12" s="149">
        <f>1-('Main CEA'!L38/'Main CEA'!L19)</f>
        <v>0.878932448</v>
      </c>
      <c r="M12" s="149">
        <f>1-('Main CEA'!M38/'Main CEA'!M19)</f>
        <v>0.7853784959</v>
      </c>
      <c r="N12" s="149">
        <f>1-('Main CEA'!N38/'Main CEA'!N19)</f>
        <v>0.713116576</v>
      </c>
      <c r="O12" s="149">
        <f>1-('Main CEA'!O38/'Main CEA'!O19)</f>
        <v>0.5977437181</v>
      </c>
      <c r="P12" s="149">
        <f>1-('Main CEA'!P38/'Main CEA'!P19)</f>
        <v>0.5024244507</v>
      </c>
      <c r="Q12" s="149">
        <f>1-('Main CEA'!Q38/'Main CEA'!Q19)</f>
        <v>0.681979258</v>
      </c>
      <c r="R12" s="149">
        <f>1-('Main CEA'!R38/'Main CEA'!R19)</f>
        <v>0.9522796464</v>
      </c>
      <c r="S12" s="149">
        <f>1-('Main CEA'!S38/'Main CEA'!S19)</f>
        <v>0.9394589735</v>
      </c>
      <c r="T12" s="149">
        <f>1-('Main CEA'!T38/'Main CEA'!T19)</f>
        <v>0.9375635345</v>
      </c>
      <c r="U12" s="149">
        <f>1-('Main CEA'!U38/'Main CEA'!U19)</f>
        <v>0.9220558284</v>
      </c>
      <c r="V12" s="149">
        <f>1-('Main CEA'!V38/'Main CEA'!V19)</f>
        <v>0.9090012015</v>
      </c>
      <c r="W12" s="149">
        <f>1-('Main CEA'!W38/'Main CEA'!W19)</f>
        <v>0.9092162472</v>
      </c>
      <c r="X12" s="149">
        <f>1-('Main CEA'!X38/'Main CEA'!X19)</f>
        <v>0.7587882369</v>
      </c>
      <c r="Y12" s="149">
        <f>1-('Main CEA'!Y38/'Main CEA'!Y19)</f>
        <v>0.9692282</v>
      </c>
      <c r="Z12" s="149">
        <f>1-('Main CEA'!Z38/'Main CEA'!Z19)</f>
        <v>0.9159251399</v>
      </c>
      <c r="AA12" s="149">
        <f>1-('Main CEA'!AA38/'Main CEA'!AA19)</f>
        <v>0.9967626784</v>
      </c>
      <c r="AB12" s="149">
        <f>1-('Main CEA'!AB38/'Main CEA'!AB19)</f>
        <v>0.960007158</v>
      </c>
      <c r="AC12" s="149">
        <f>1-('Main CEA'!AC38/'Main CEA'!AC19)</f>
        <v>0.9788288287</v>
      </c>
      <c r="AD12" s="149">
        <f>1-('Main CEA'!AD38/'Main CEA'!AD19)</f>
        <v>0.9884685171</v>
      </c>
      <c r="AE12" s="149">
        <f>1-('Main CEA'!AE38/'Main CEA'!AE19)</f>
        <v>0.9646082986</v>
      </c>
      <c r="AF12" s="149">
        <f>1-('Main CEA'!AF38/'Main CEA'!AF19)</f>
        <v>0.9738255042</v>
      </c>
      <c r="AG12" s="149">
        <f>1-('Main CEA'!AG38/'Main CEA'!AG19)</f>
        <v>0.9221498224</v>
      </c>
      <c r="AH12" s="149">
        <f>1-('Main CEA'!AH38/'Main CEA'!AH19)</f>
        <v>0.8498354139</v>
      </c>
      <c r="AI12" s="149">
        <f>1-('Main CEA'!AI38/'Main CEA'!AI19)</f>
        <v>0.9681303049</v>
      </c>
      <c r="AJ12" s="149">
        <f>1-('Main CEA'!AJ38/'Main CEA'!AJ19)</f>
        <v>0.8708113888</v>
      </c>
      <c r="AK12" s="149">
        <f>1-('Main CEA'!AK38/'Main CEA'!AK19)</f>
        <v>0.8001622205</v>
      </c>
      <c r="AL12" s="149">
        <f>1-('Main CEA'!AL38/'Main CEA'!AL19)</f>
        <v>0.8333372611</v>
      </c>
      <c r="AM12" s="149">
        <f>1-('Main CEA'!AM38/'Main CEA'!AM19)</f>
        <v>0.8793815815</v>
      </c>
      <c r="AN12" s="149">
        <f>1-('Main CEA'!AN38/'Main CEA'!AN19)</f>
        <v>0.9564328015</v>
      </c>
      <c r="AO12" s="149">
        <f>1-('Main CEA'!AO38/'Main CEA'!AO19)</f>
        <v>0.8772188432</v>
      </c>
      <c r="AP12" s="149">
        <f>1-('Main CEA'!AP38/'Main CEA'!AP19)</f>
        <v>0.9125392063</v>
      </c>
      <c r="AQ12" s="149">
        <f>1-('Main CEA'!AQ38/'Main CEA'!AQ19)</f>
        <v>0.9569895822</v>
      </c>
      <c r="AR12" s="149">
        <f>1-('Main CEA'!AR38/'Main CEA'!AR19)</f>
        <v>0.8784412605</v>
      </c>
      <c r="AS12" s="149">
        <f>1-('Main CEA'!AS38/'Main CEA'!AS19)</f>
        <v>0.8904777931</v>
      </c>
      <c r="AT12" s="715"/>
    </row>
    <row r="13">
      <c r="A13" s="80"/>
      <c r="B13" s="81"/>
      <c r="C13" s="126"/>
      <c r="D13" s="81"/>
      <c r="E13" s="553" t="s">
        <v>941</v>
      </c>
      <c r="F13" s="215" t="s">
        <v>122</v>
      </c>
      <c r="G13" s="215" t="s">
        <v>149</v>
      </c>
      <c r="H13" s="187" t="s">
        <v>150</v>
      </c>
      <c r="I13" s="420">
        <f t="shared" ref="I13:AS13" si="2">I11*(1-I12)</f>
        <v>12087.70771</v>
      </c>
      <c r="J13" s="420">
        <f t="shared" si="2"/>
        <v>7410.433128</v>
      </c>
      <c r="K13" s="420">
        <f t="shared" si="2"/>
        <v>9501.68365</v>
      </c>
      <c r="L13" s="420">
        <f t="shared" si="2"/>
        <v>5690.722107</v>
      </c>
      <c r="M13" s="420">
        <f t="shared" si="2"/>
        <v>10088.18067</v>
      </c>
      <c r="N13" s="420">
        <f t="shared" si="2"/>
        <v>13484.8175</v>
      </c>
      <c r="O13" s="420">
        <f t="shared" si="2"/>
        <v>18907.86324</v>
      </c>
      <c r="P13" s="420">
        <f t="shared" si="2"/>
        <v>23388.2996</v>
      </c>
      <c r="Q13" s="420">
        <f t="shared" si="2"/>
        <v>14948.41216</v>
      </c>
      <c r="R13" s="420">
        <f t="shared" si="2"/>
        <v>2243.072291</v>
      </c>
      <c r="S13" s="420">
        <f t="shared" si="2"/>
        <v>2845.701858</v>
      </c>
      <c r="T13" s="420">
        <f t="shared" si="2"/>
        <v>2934.796058</v>
      </c>
      <c r="U13" s="420">
        <f t="shared" si="2"/>
        <v>3663.728334</v>
      </c>
      <c r="V13" s="420">
        <f t="shared" si="2"/>
        <v>4277.354796</v>
      </c>
      <c r="W13" s="420">
        <f t="shared" si="2"/>
        <v>4267.246679</v>
      </c>
      <c r="X13" s="420">
        <f t="shared" si="2"/>
        <v>11338.04302</v>
      </c>
      <c r="Y13" s="420">
        <f t="shared" si="2"/>
        <v>1446.413673</v>
      </c>
      <c r="Z13" s="420">
        <f t="shared" si="2"/>
        <v>3951.898399</v>
      </c>
      <c r="AA13" s="420">
        <f t="shared" si="2"/>
        <v>152.1687448</v>
      </c>
      <c r="AB13" s="420">
        <f t="shared" si="2"/>
        <v>1879.844323</v>
      </c>
      <c r="AC13" s="420">
        <f t="shared" si="2"/>
        <v>995.1407344</v>
      </c>
      <c r="AD13" s="420">
        <f t="shared" si="2"/>
        <v>542.0318103</v>
      </c>
      <c r="AE13" s="420">
        <f t="shared" si="2"/>
        <v>1663.569919</v>
      </c>
      <c r="AF13" s="420">
        <f t="shared" si="2"/>
        <v>1230.319597</v>
      </c>
      <c r="AG13" s="420">
        <f t="shared" si="2"/>
        <v>3659.310189</v>
      </c>
      <c r="AH13" s="420">
        <f t="shared" si="2"/>
        <v>7058.414215</v>
      </c>
      <c r="AI13" s="420">
        <f t="shared" si="2"/>
        <v>1498.019702</v>
      </c>
      <c r="AJ13" s="420">
        <f t="shared" si="2"/>
        <v>6072.448593</v>
      </c>
      <c r="AK13" s="420">
        <f t="shared" si="2"/>
        <v>9393.278799</v>
      </c>
      <c r="AL13" s="420">
        <f t="shared" si="2"/>
        <v>7833.901957</v>
      </c>
      <c r="AM13" s="420">
        <f t="shared" si="2"/>
        <v>5669.610801</v>
      </c>
      <c r="AN13" s="420">
        <f t="shared" si="2"/>
        <v>2047.855231</v>
      </c>
      <c r="AO13" s="420">
        <f t="shared" si="2"/>
        <v>5771.269278</v>
      </c>
      <c r="AP13" s="420">
        <f t="shared" si="2"/>
        <v>4111.05258</v>
      </c>
      <c r="AQ13" s="420">
        <f t="shared" si="2"/>
        <v>2021.68402</v>
      </c>
      <c r="AR13" s="420">
        <f t="shared" si="2"/>
        <v>5713.81014</v>
      </c>
      <c r="AS13" s="420">
        <f t="shared" si="2"/>
        <v>5148.038709</v>
      </c>
      <c r="AT13" s="715"/>
    </row>
    <row r="14">
      <c r="A14" s="80"/>
      <c r="B14" s="81"/>
      <c r="C14" s="126"/>
      <c r="D14" s="81"/>
      <c r="E14" s="553" t="s">
        <v>943</v>
      </c>
      <c r="F14" s="215" t="s">
        <v>122</v>
      </c>
      <c r="G14" s="215" t="s">
        <v>203</v>
      </c>
      <c r="H14" s="187" t="str">
        <f>'Main CEA'!H48</f>
        <v>-</v>
      </c>
      <c r="I14" s="284">
        <f>'Main CEA'!I48</f>
        <v>0.06054672743</v>
      </c>
      <c r="J14" s="284">
        <f>'Main CEA'!J48</f>
        <v>0.04511526194</v>
      </c>
      <c r="K14" s="284">
        <f>'Main CEA'!K48</f>
        <v>0.06133996053</v>
      </c>
      <c r="L14" s="284">
        <f>'Main CEA'!L48</f>
        <v>0.02916813329</v>
      </c>
      <c r="M14" s="284">
        <f>'Main CEA'!M48</f>
        <v>0.04180462245</v>
      </c>
      <c r="N14" s="284">
        <f>'Main CEA'!N48</f>
        <v>0.04439009848</v>
      </c>
      <c r="O14" s="284">
        <f>'Main CEA'!O48</f>
        <v>0.04917387969</v>
      </c>
      <c r="P14" s="284">
        <f>'Main CEA'!P48</f>
        <v>0.06646582697</v>
      </c>
      <c r="Q14" s="284">
        <f>'Main CEA'!Q48</f>
        <v>0.07748245322</v>
      </c>
      <c r="R14" s="284">
        <f>'Main CEA'!R48</f>
        <v>0.01847011537</v>
      </c>
      <c r="S14" s="284">
        <f>'Main CEA'!S48</f>
        <v>0.04147298771</v>
      </c>
      <c r="T14" s="284">
        <f>'Main CEA'!T48</f>
        <v>0.0117810474</v>
      </c>
      <c r="U14" s="284">
        <f>'Main CEA'!U48</f>
        <v>0.01298781127</v>
      </c>
      <c r="V14" s="284">
        <f>'Main CEA'!V48</f>
        <v>0.01795773841</v>
      </c>
      <c r="W14" s="284">
        <f>'Main CEA'!W48</f>
        <v>0.02259519682</v>
      </c>
      <c r="X14" s="284">
        <f>'Main CEA'!X48</f>
        <v>0.01885971147</v>
      </c>
      <c r="Y14" s="284">
        <f>'Main CEA'!Y48</f>
        <v>0.01501738267</v>
      </c>
      <c r="Z14" s="284">
        <f>'Main CEA'!Z48</f>
        <v>0.01509308533</v>
      </c>
      <c r="AA14" s="284">
        <f>'Main CEA'!AA48</f>
        <v>0.0223139072</v>
      </c>
      <c r="AB14" s="284">
        <f>'Main CEA'!AB48</f>
        <v>0.01710952126</v>
      </c>
      <c r="AC14" s="284">
        <f>'Main CEA'!AC48</f>
        <v>0.01334125427</v>
      </c>
      <c r="AD14" s="284">
        <f>'Main CEA'!AD48</f>
        <v>0.009346093515</v>
      </c>
      <c r="AE14" s="284">
        <f>'Main CEA'!AE48</f>
        <v>0.01442037928</v>
      </c>
      <c r="AF14" s="284">
        <f>'Main CEA'!AF48</f>
        <v>0.009537669304</v>
      </c>
      <c r="AG14" s="284">
        <f>'Main CEA'!AG48</f>
        <v>0.01352941875</v>
      </c>
      <c r="AH14" s="284">
        <f>'Main CEA'!AH48</f>
        <v>0.008316032293</v>
      </c>
      <c r="AI14" s="284">
        <f>'Main CEA'!AI48</f>
        <v>0.007264699163</v>
      </c>
      <c r="AJ14" s="284">
        <f>'Main CEA'!AJ48</f>
        <v>0.01792740765</v>
      </c>
      <c r="AK14" s="284">
        <f>'Main CEA'!AK48</f>
        <v>0.02594518189</v>
      </c>
      <c r="AL14" s="284">
        <f>'Main CEA'!AL48</f>
        <v>0.01080508271</v>
      </c>
      <c r="AM14" s="284">
        <f>'Main CEA'!AM48</f>
        <v>0.01289493125</v>
      </c>
      <c r="AN14" s="284">
        <f>'Main CEA'!AN48</f>
        <v>0.00620065671</v>
      </c>
      <c r="AO14" s="284">
        <f>'Main CEA'!AO48</f>
        <v>0.008024663456</v>
      </c>
      <c r="AP14" s="284">
        <f>'Main CEA'!AP48</f>
        <v>0.01466494063</v>
      </c>
      <c r="AQ14" s="284">
        <f>'Main CEA'!AQ48</f>
        <v>0.01507610226</v>
      </c>
      <c r="AR14" s="284">
        <f>'Main CEA'!AR48</f>
        <v>0.04154140477</v>
      </c>
      <c r="AS14" s="284">
        <f>'Main CEA'!AS48</f>
        <v>0.03346554251</v>
      </c>
      <c r="AT14" s="715"/>
    </row>
    <row r="15">
      <c r="A15" s="80"/>
      <c r="B15" s="81"/>
      <c r="C15" s="126"/>
      <c r="D15" s="81"/>
      <c r="E15" s="553" t="s">
        <v>945</v>
      </c>
      <c r="F15" s="215" t="s">
        <v>122</v>
      </c>
      <c r="G15" s="215" t="s">
        <v>203</v>
      </c>
      <c r="H15" s="187" t="str">
        <f>'Main CEA'!H45</f>
        <v>-</v>
      </c>
      <c r="I15" s="149">
        <f>'Main CEA'!I45</f>
        <v>0.5287084837</v>
      </c>
      <c r="J15" s="149">
        <f>'Main CEA'!J45</f>
        <v>0.5247627397</v>
      </c>
      <c r="K15" s="149">
        <f>'Main CEA'!K45</f>
        <v>0.5454354393</v>
      </c>
      <c r="L15" s="149">
        <f>'Main CEA'!L45</f>
        <v>0.5307904056</v>
      </c>
      <c r="M15" s="149">
        <f>'Main CEA'!M45</f>
        <v>0.5176692163</v>
      </c>
      <c r="N15" s="149">
        <f>'Main CEA'!N45</f>
        <v>0.5381405824</v>
      </c>
      <c r="O15" s="149">
        <f>'Main CEA'!O45</f>
        <v>0.538858141</v>
      </c>
      <c r="P15" s="149">
        <f>'Main CEA'!P45</f>
        <v>0.531109417</v>
      </c>
      <c r="Q15" s="149">
        <f>'Main CEA'!Q45</f>
        <v>0.5387587382</v>
      </c>
      <c r="R15" s="149">
        <f>'Main CEA'!R45</f>
        <v>0.4999931305</v>
      </c>
      <c r="S15" s="149">
        <f>'Main CEA'!S45</f>
        <v>0.5192446133</v>
      </c>
      <c r="T15" s="149">
        <f>'Main CEA'!T45</f>
        <v>0.5343549238</v>
      </c>
      <c r="U15" s="149">
        <f>'Main CEA'!U45</f>
        <v>0.5442070874</v>
      </c>
      <c r="V15" s="149">
        <f>'Main CEA'!V45</f>
        <v>0.523175617</v>
      </c>
      <c r="W15" s="149">
        <f>'Main CEA'!W45</f>
        <v>0.5128136608</v>
      </c>
      <c r="X15" s="149">
        <f>'Main CEA'!X45</f>
        <v>0.5322428809</v>
      </c>
      <c r="Y15" s="149">
        <f>'Main CEA'!Y45</f>
        <v>0.5403761152</v>
      </c>
      <c r="Z15" s="149">
        <f>'Main CEA'!Z45</f>
        <v>0.5327682771</v>
      </c>
      <c r="AA15" s="149">
        <f>'Main CEA'!AA45</f>
        <v>0.5291220554</v>
      </c>
      <c r="AB15" s="149">
        <f>'Main CEA'!AB45</f>
        <v>0.536921373</v>
      </c>
      <c r="AC15" s="149">
        <f>'Main CEA'!AC45</f>
        <v>0.5341613979</v>
      </c>
      <c r="AD15" s="149">
        <f>'Main CEA'!AD45</f>
        <v>0.5434280004</v>
      </c>
      <c r="AE15" s="149">
        <f>'Main CEA'!AE45</f>
        <v>0.5336286128</v>
      </c>
      <c r="AF15" s="149">
        <f>'Main CEA'!AF45</f>
        <v>0.5342724363</v>
      </c>
      <c r="AG15" s="149">
        <f>'Main CEA'!AG45</f>
        <v>0.562895648</v>
      </c>
      <c r="AH15" s="149">
        <f>'Main CEA'!AH45</f>
        <v>0.5435486015</v>
      </c>
      <c r="AI15" s="149">
        <f>'Main CEA'!AI45</f>
        <v>0.5332836888</v>
      </c>
      <c r="AJ15" s="149">
        <f>'Main CEA'!AJ45</f>
        <v>0.5338991666</v>
      </c>
      <c r="AK15" s="149">
        <f>'Main CEA'!AK45</f>
        <v>0.5222842187</v>
      </c>
      <c r="AL15" s="149">
        <f>'Main CEA'!AL45</f>
        <v>0.533645565</v>
      </c>
      <c r="AM15" s="149">
        <f>'Main CEA'!AM45</f>
        <v>0.5297069041</v>
      </c>
      <c r="AN15" s="149">
        <f>'Main CEA'!AN45</f>
        <v>0.5382112619</v>
      </c>
      <c r="AO15" s="149">
        <f>'Main CEA'!AO45</f>
        <v>0.5441972248</v>
      </c>
      <c r="AP15" s="149">
        <f>'Main CEA'!AP45</f>
        <v>0.5283940919</v>
      </c>
      <c r="AQ15" s="149">
        <f>'Main CEA'!AQ45</f>
        <v>0.53219937</v>
      </c>
      <c r="AR15" s="149">
        <f>'Main CEA'!AR45</f>
        <v>0.5114832602</v>
      </c>
      <c r="AS15" s="149">
        <f>'Main CEA'!AS45</f>
        <v>0.5424146878</v>
      </c>
      <c r="AT15" s="715"/>
    </row>
    <row r="16">
      <c r="A16" s="80"/>
      <c r="B16" s="81"/>
      <c r="C16" s="126"/>
      <c r="D16" s="81"/>
      <c r="E16" s="558" t="s">
        <v>947</v>
      </c>
      <c r="F16" s="195" t="s">
        <v>111</v>
      </c>
      <c r="G16" s="195" t="s">
        <v>149</v>
      </c>
      <c r="H16" s="197" t="s">
        <v>150</v>
      </c>
      <c r="I16" s="397">
        <f t="shared" ref="I16:AS16" si="3">I13*I14*I15</f>
        <v>386.9464827</v>
      </c>
      <c r="J16" s="397">
        <f t="shared" si="3"/>
        <v>175.4405849</v>
      </c>
      <c r="K16" s="397">
        <f t="shared" si="3"/>
        <v>317.8977189</v>
      </c>
      <c r="L16" s="397">
        <f t="shared" si="3"/>
        <v>88.10470035</v>
      </c>
      <c r="M16" s="397">
        <f t="shared" si="3"/>
        <v>218.3179762</v>
      </c>
      <c r="N16" s="397">
        <f t="shared" si="3"/>
        <v>322.1268501</v>
      </c>
      <c r="O16" s="397">
        <f t="shared" si="3"/>
        <v>501.0157461</v>
      </c>
      <c r="P16" s="397">
        <f t="shared" si="3"/>
        <v>825.6216313</v>
      </c>
      <c r="Q16" s="397">
        <f t="shared" si="3"/>
        <v>624.0117303</v>
      </c>
      <c r="R16" s="397">
        <f t="shared" si="3"/>
        <v>20.7146174</v>
      </c>
      <c r="S16" s="397">
        <f t="shared" si="3"/>
        <v>61.28112369</v>
      </c>
      <c r="T16" s="397">
        <f t="shared" si="3"/>
        <v>18.47530624</v>
      </c>
      <c r="U16" s="397">
        <f t="shared" si="3"/>
        <v>25.89544782</v>
      </c>
      <c r="V16" s="397">
        <f t="shared" si="3"/>
        <v>40.18596591</v>
      </c>
      <c r="W16" s="397">
        <f t="shared" si="3"/>
        <v>49.44512322</v>
      </c>
      <c r="X16" s="397">
        <f t="shared" si="3"/>
        <v>113.8106768</v>
      </c>
      <c r="Y16" s="397">
        <f t="shared" si="3"/>
        <v>11.73769744</v>
      </c>
      <c r="Z16" s="397">
        <f t="shared" si="3"/>
        <v>31.77767767</v>
      </c>
      <c r="AA16" s="397">
        <f t="shared" si="3"/>
        <v>1.79662296</v>
      </c>
      <c r="AB16" s="397">
        <f t="shared" si="3"/>
        <v>17.26912905</v>
      </c>
      <c r="AC16" s="397">
        <f t="shared" si="3"/>
        <v>7.091754042</v>
      </c>
      <c r="AD16" s="397">
        <f t="shared" si="3"/>
        <v>2.752941032</v>
      </c>
      <c r="AE16" s="397">
        <f t="shared" si="3"/>
        <v>12.80138178</v>
      </c>
      <c r="AF16" s="397">
        <f t="shared" si="3"/>
        <v>6.269356567</v>
      </c>
      <c r="AG16" s="397">
        <f t="shared" si="3"/>
        <v>27.86802905</v>
      </c>
      <c r="AH16" s="397">
        <f t="shared" si="3"/>
        <v>31.90521611</v>
      </c>
      <c r="AI16" s="397">
        <f t="shared" si="3"/>
        <v>5.80354639</v>
      </c>
      <c r="AJ16" s="397">
        <f t="shared" si="3"/>
        <v>58.12200452</v>
      </c>
      <c r="AK16" s="397">
        <f t="shared" si="3"/>
        <v>127.2860577</v>
      </c>
      <c r="AL16" s="397">
        <f t="shared" si="3"/>
        <v>45.1709404</v>
      </c>
      <c r="AM16" s="397">
        <f t="shared" si="3"/>
        <v>38.72646996</v>
      </c>
      <c r="AN16" s="397">
        <f t="shared" si="3"/>
        <v>6.83423205</v>
      </c>
      <c r="AO16" s="397">
        <f t="shared" si="3"/>
        <v>25.20313053</v>
      </c>
      <c r="AP16" s="397">
        <f t="shared" si="3"/>
        <v>31.85600374</v>
      </c>
      <c r="AQ16" s="397">
        <f t="shared" si="3"/>
        <v>16.22096581</v>
      </c>
      <c r="AR16" s="397">
        <f t="shared" si="3"/>
        <v>121.4055131</v>
      </c>
      <c r="AS16" s="397">
        <f t="shared" si="3"/>
        <v>93.44823746</v>
      </c>
      <c r="AT16" s="716"/>
    </row>
    <row r="17">
      <c r="A17" s="80"/>
      <c r="B17" s="81"/>
      <c r="C17" s="126"/>
      <c r="D17" s="81"/>
      <c r="E17" s="541"/>
      <c r="F17" s="108"/>
      <c r="G17" s="108"/>
      <c r="H17" s="110"/>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710"/>
    </row>
    <row r="18">
      <c r="A18" s="80"/>
      <c r="B18" s="81"/>
      <c r="C18" s="126" t="s">
        <v>948</v>
      </c>
      <c r="F18" s="108"/>
      <c r="G18" s="108"/>
      <c r="H18" s="110"/>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710"/>
    </row>
    <row r="19">
      <c r="A19" s="80"/>
      <c r="B19" s="81"/>
      <c r="C19" s="126"/>
      <c r="D19" s="81"/>
      <c r="E19" s="548" t="s">
        <v>949</v>
      </c>
      <c r="F19" s="189" t="s">
        <v>118</v>
      </c>
      <c r="G19" s="189" t="s">
        <v>149</v>
      </c>
      <c r="H19" s="200" t="s">
        <v>150</v>
      </c>
      <c r="I19" s="432">
        <f t="shared" ref="I19:AS19" si="4">IF(I7="-",$H7/I16,I7/I16)</f>
        <v>2584.33671</v>
      </c>
      <c r="J19" s="432">
        <f t="shared" si="4"/>
        <v>5699.935397</v>
      </c>
      <c r="K19" s="432">
        <f t="shared" si="4"/>
        <v>3145.665856</v>
      </c>
      <c r="L19" s="432">
        <f t="shared" si="4"/>
        <v>11350.13224</v>
      </c>
      <c r="M19" s="432">
        <f t="shared" si="4"/>
        <v>4580.474852</v>
      </c>
      <c r="N19" s="432">
        <f t="shared" si="4"/>
        <v>3104.367114</v>
      </c>
      <c r="O19" s="432">
        <f t="shared" si="4"/>
        <v>1995.945253</v>
      </c>
      <c r="P19" s="432">
        <f t="shared" si="4"/>
        <v>1211.208576</v>
      </c>
      <c r="Q19" s="432">
        <f t="shared" si="4"/>
        <v>1602.533977</v>
      </c>
      <c r="R19" s="432">
        <f t="shared" si="4"/>
        <v>48275.08908</v>
      </c>
      <c r="S19" s="432">
        <f t="shared" si="4"/>
        <v>16318.23863</v>
      </c>
      <c r="T19" s="432">
        <f t="shared" si="4"/>
        <v>54126.30171</v>
      </c>
      <c r="U19" s="432">
        <f t="shared" si="4"/>
        <v>38616.82589</v>
      </c>
      <c r="V19" s="432">
        <f t="shared" si="4"/>
        <v>24884.30917</v>
      </c>
      <c r="W19" s="432">
        <f t="shared" si="4"/>
        <v>20224.44146</v>
      </c>
      <c r="X19" s="432">
        <f t="shared" si="4"/>
        <v>8786.521864</v>
      </c>
      <c r="Y19" s="432">
        <f t="shared" si="4"/>
        <v>85195.58499</v>
      </c>
      <c r="Z19" s="432">
        <f t="shared" si="4"/>
        <v>31468.63061</v>
      </c>
      <c r="AA19" s="432">
        <f t="shared" si="4"/>
        <v>556599.8109</v>
      </c>
      <c r="AB19" s="432">
        <f t="shared" si="4"/>
        <v>57906.79987</v>
      </c>
      <c r="AC19" s="432">
        <f t="shared" si="4"/>
        <v>141008.8384</v>
      </c>
      <c r="AD19" s="432">
        <f t="shared" si="4"/>
        <v>363247.8823</v>
      </c>
      <c r="AE19" s="432">
        <f t="shared" si="4"/>
        <v>78116.56718</v>
      </c>
      <c r="AF19" s="432">
        <f t="shared" si="4"/>
        <v>159506.0018</v>
      </c>
      <c r="AG19" s="432">
        <f t="shared" si="4"/>
        <v>35883.41315</v>
      </c>
      <c r="AH19" s="432">
        <f t="shared" si="4"/>
        <v>31342.83738</v>
      </c>
      <c r="AI19" s="432">
        <f t="shared" si="4"/>
        <v>172308.4357</v>
      </c>
      <c r="AJ19" s="432">
        <f t="shared" si="4"/>
        <v>17205.18775</v>
      </c>
      <c r="AK19" s="432">
        <f t="shared" si="4"/>
        <v>7856.319991</v>
      </c>
      <c r="AL19" s="432">
        <f t="shared" si="4"/>
        <v>22138.12666</v>
      </c>
      <c r="AM19" s="432">
        <f t="shared" si="4"/>
        <v>25822.13151</v>
      </c>
      <c r="AN19" s="432">
        <f t="shared" si="4"/>
        <v>146322.2192</v>
      </c>
      <c r="AO19" s="432">
        <f t="shared" si="4"/>
        <v>39677.61064</v>
      </c>
      <c r="AP19" s="432">
        <f t="shared" si="4"/>
        <v>31391.25699</v>
      </c>
      <c r="AQ19" s="432">
        <f t="shared" si="4"/>
        <v>61648.61029</v>
      </c>
      <c r="AR19" s="432">
        <f t="shared" si="4"/>
        <v>8236.858232</v>
      </c>
      <c r="AS19" s="432">
        <f t="shared" si="4"/>
        <v>10701.11141</v>
      </c>
      <c r="AT19" s="714"/>
    </row>
    <row r="20">
      <c r="A20" s="80"/>
      <c r="B20" s="81"/>
      <c r="C20" s="126"/>
      <c r="D20" s="81"/>
      <c r="E20" s="553" t="s">
        <v>950</v>
      </c>
      <c r="F20" s="215" t="s">
        <v>127</v>
      </c>
      <c r="G20" s="215" t="s">
        <v>203</v>
      </c>
      <c r="H20" s="345">
        <f>'Main CEA'!H$123</f>
        <v>116.25262</v>
      </c>
      <c r="I20" s="310" t="str">
        <f>'Main CEA'!I$123</f>
        <v>-</v>
      </c>
      <c r="J20" s="310" t="str">
        <f>'Main CEA'!J$123</f>
        <v>-</v>
      </c>
      <c r="K20" s="310" t="str">
        <f>'Main CEA'!K$123</f>
        <v>-</v>
      </c>
      <c r="L20" s="310" t="str">
        <f>'Main CEA'!L$123</f>
        <v>-</v>
      </c>
      <c r="M20" s="310" t="str">
        <f>'Main CEA'!M$123</f>
        <v>-</v>
      </c>
      <c r="N20" s="310" t="str">
        <f>'Main CEA'!N$123</f>
        <v>-</v>
      </c>
      <c r="O20" s="310" t="str">
        <f>'Main CEA'!O$123</f>
        <v>-</v>
      </c>
      <c r="P20" s="310" t="str">
        <f>'Main CEA'!P$123</f>
        <v>-</v>
      </c>
      <c r="Q20" s="310" t="str">
        <f>'Main CEA'!Q$123</f>
        <v>-</v>
      </c>
      <c r="R20" s="310" t="str">
        <f>'Main CEA'!R$123</f>
        <v>-</v>
      </c>
      <c r="S20" s="310" t="str">
        <f>'Main CEA'!S$123</f>
        <v>-</v>
      </c>
      <c r="T20" s="310" t="str">
        <f>'Main CEA'!T$123</f>
        <v>-</v>
      </c>
      <c r="U20" s="310" t="str">
        <f>'Main CEA'!U$123</f>
        <v>-</v>
      </c>
      <c r="V20" s="310" t="str">
        <f>'Main CEA'!V$123</f>
        <v>-</v>
      </c>
      <c r="W20" s="310" t="str">
        <f>'Main CEA'!W$123</f>
        <v>-</v>
      </c>
      <c r="X20" s="310" t="str">
        <f>'Main CEA'!X$123</f>
        <v>-</v>
      </c>
      <c r="Y20" s="310" t="str">
        <f>'Main CEA'!Y$123</f>
        <v>-</v>
      </c>
      <c r="Z20" s="310" t="str">
        <f>'Main CEA'!Z$123</f>
        <v>-</v>
      </c>
      <c r="AA20" s="310" t="str">
        <f>'Main CEA'!AA$123</f>
        <v>-</v>
      </c>
      <c r="AB20" s="310" t="str">
        <f>'Main CEA'!AB$123</f>
        <v>-</v>
      </c>
      <c r="AC20" s="310" t="str">
        <f>'Main CEA'!AC$123</f>
        <v>-</v>
      </c>
      <c r="AD20" s="310" t="str">
        <f>'Main CEA'!AD$123</f>
        <v>-</v>
      </c>
      <c r="AE20" s="310" t="str">
        <f>'Main CEA'!AE$123</f>
        <v>-</v>
      </c>
      <c r="AF20" s="310" t="str">
        <f>'Main CEA'!AF$123</f>
        <v>-</v>
      </c>
      <c r="AG20" s="310" t="str">
        <f>'Main CEA'!AG$123</f>
        <v>-</v>
      </c>
      <c r="AH20" s="310" t="str">
        <f>'Main CEA'!AH$123</f>
        <v>-</v>
      </c>
      <c r="AI20" s="310" t="str">
        <f>'Main CEA'!AI$123</f>
        <v>-</v>
      </c>
      <c r="AJ20" s="310" t="str">
        <f>'Main CEA'!AJ$123</f>
        <v>-</v>
      </c>
      <c r="AK20" s="310" t="str">
        <f>'Main CEA'!AK$123</f>
        <v>-</v>
      </c>
      <c r="AL20" s="310" t="str">
        <f>'Main CEA'!AL$123</f>
        <v>-</v>
      </c>
      <c r="AM20" s="310" t="str">
        <f>'Main CEA'!AM$123</f>
        <v>-</v>
      </c>
      <c r="AN20" s="310" t="str">
        <f>'Main CEA'!AN$123</f>
        <v>-</v>
      </c>
      <c r="AO20" s="310" t="str">
        <f>'Main CEA'!AO$123</f>
        <v>-</v>
      </c>
      <c r="AP20" s="310" t="str">
        <f>'Main CEA'!AP$123</f>
        <v>-</v>
      </c>
      <c r="AQ20" s="310" t="str">
        <f>'Main CEA'!AQ$123</f>
        <v>-</v>
      </c>
      <c r="AR20" s="310" t="str">
        <f>'Main CEA'!AR$123</f>
        <v>-</v>
      </c>
      <c r="AS20" s="310" t="str">
        <f>'Main CEA'!AS$123</f>
        <v>-</v>
      </c>
      <c r="AT20" s="715"/>
    </row>
    <row r="21">
      <c r="A21" s="80"/>
      <c r="B21" s="81"/>
      <c r="C21" s="126"/>
      <c r="D21" s="81"/>
      <c r="E21" s="723" t="s">
        <v>952</v>
      </c>
      <c r="F21" s="467" t="s">
        <v>129</v>
      </c>
      <c r="G21" s="467" t="s">
        <v>149</v>
      </c>
      <c r="H21" s="724" t="s">
        <v>150</v>
      </c>
      <c r="I21" s="471">
        <f>IF(I7="-",((I16*$H20)/$H7)/'Main CEA'!$H$176,((I16*$H20)/I7)/'Main CEA'!$H$176)</f>
        <v>13.4099098</v>
      </c>
      <c r="J21" s="471">
        <f>IF(J7="-",((J16*$H20)/$H7)/'Main CEA'!$H$176,((J16*$H20)/J7)/'Main CEA'!$H$176)</f>
        <v>6.080020167</v>
      </c>
      <c r="K21" s="471">
        <f>IF(K7="-",((K16*$H20)/$H7)/'Main CEA'!$H$176,((K16*$H20)/K7)/'Main CEA'!$H$176)</f>
        <v>11.01697502</v>
      </c>
      <c r="L21" s="471">
        <f>IF(L7="-",((L16*$H20)/$H7)/'Main CEA'!$H$176,((L16*$H20)/L7)/'Main CEA'!$H$176)</f>
        <v>3.053332017</v>
      </c>
      <c r="M21" s="471">
        <f>IF(M7="-",((M16*$H20)/$H7)/'Main CEA'!$H$176,((M16*$H20)/M7)/'Main CEA'!$H$176)</f>
        <v>7.565967128</v>
      </c>
      <c r="N21" s="471">
        <f>IF(N7="-",((N16*$H20)/$H7)/'Main CEA'!$H$176,((N16*$H20)/N7)/'Main CEA'!$H$176)</f>
        <v>11.16353862</v>
      </c>
      <c r="O21" s="471">
        <f>IF(O7="-",((O16*$H20)/$H7)/'Main CEA'!$H$176,((O16*$H20)/O7)/'Main CEA'!$H$176)</f>
        <v>17.3630625</v>
      </c>
      <c r="P21" s="471">
        <f>IF(P7="-",((P16*$H20)/$H7)/'Main CEA'!$H$176,((P16*$H20)/P7)/'Main CEA'!$H$176)</f>
        <v>28.61251387</v>
      </c>
      <c r="Q21" s="471">
        <f>IF(Q7="-",((Q16*$H20)/$H7)/'Main CEA'!$H$176,((Q16*$H20)/Q7)/'Main CEA'!$H$176)</f>
        <v>21.62557715</v>
      </c>
      <c r="R21" s="471">
        <f>IF(R7="-",((R16*$H20)/$H7)/'Main CEA'!$H$176,((R16*$H20)/R7)/'Main CEA'!$H$176)</f>
        <v>0.7178800253</v>
      </c>
      <c r="S21" s="471">
        <f>IF(S7="-",((S16*$H20)/$H7)/'Main CEA'!$H$176,((S16*$H20)/S7)/'Main CEA'!$H$176)</f>
        <v>2.123741597</v>
      </c>
      <c r="T21" s="471">
        <f>IF(T7="-",((T16*$H20)/$H7)/'Main CEA'!$H$176,((T16*$H20)/T7)/'Main CEA'!$H$176)</f>
        <v>0.6402750801</v>
      </c>
      <c r="U21" s="471">
        <f>IF(U7="-",((U16*$H20)/$H7)/'Main CEA'!$H$176,((U16*$H20)/U7)/'Main CEA'!$H$176)</f>
        <v>0.897425445</v>
      </c>
      <c r="V21" s="471">
        <f>IF(V7="-",((V16*$H20)/$H7)/'Main CEA'!$H$176,((V16*$H20)/V7)/'Main CEA'!$H$176)</f>
        <v>1.392673669</v>
      </c>
      <c r="W21" s="471">
        <f>IF(W7="-",((W16*$H20)/$H7)/'Main CEA'!$H$176,((W16*$H20)/W7)/'Main CEA'!$H$176)</f>
        <v>1.713556453</v>
      </c>
      <c r="X21" s="471">
        <f>IF(X7="-",((X16*$H20)/$H7)/'Main CEA'!$H$176,((X16*$H20)/X7)/'Main CEA'!$H$176)</f>
        <v>3.944191194</v>
      </c>
      <c r="Y21" s="471">
        <f>IF(Y7="-",((Y16*$H20)/$H7)/'Main CEA'!$H$176,((Y16*$H20)/Y7)/'Main CEA'!$H$176)</f>
        <v>0.4067783814</v>
      </c>
      <c r="Z21" s="471">
        <f>IF(Z7="-",((Z16*$H20)/$H7)/'Main CEA'!$H$176,((Z16*$H20)/Z7)/'Main CEA'!$H$176)</f>
        <v>1.101278368</v>
      </c>
      <c r="AA21" s="471">
        <f>IF(AA7="-",((AA16*$H20)/$H7)/'Main CEA'!$H$176,((AA16*$H20)/AA7)/'Main CEA'!$H$176)</f>
        <v>0.06226326615</v>
      </c>
      <c r="AB21" s="471">
        <f>IF(AB7="-",((AB16*$H20)/$H7)/'Main CEA'!$H$176,((AB16*$H20)/AB7)/'Main CEA'!$H$176)</f>
        <v>0.5984741385</v>
      </c>
      <c r="AC21" s="471">
        <f>IF(AC7="-",((AC16*$H20)/$H7)/'Main CEA'!$H$176,((AC16*$H20)/AC7)/'Main CEA'!$H$176)</f>
        <v>0.2457698577</v>
      </c>
      <c r="AD21" s="471">
        <f>IF(AD7="-",((AD16*$H20)/$H7)/'Main CEA'!$H$176,((AD16*$H20)/AD7)/'Main CEA'!$H$176)</f>
        <v>0.09540515954</v>
      </c>
      <c r="AE21" s="471">
        <f>IF(AE7="-",((AE16*$H20)/$H7)/'Main CEA'!$H$176,((AE16*$H20)/AE7)/'Main CEA'!$H$176)</f>
        <v>0.4436411304</v>
      </c>
      <c r="AF21" s="471">
        <f>IF(AF7="-",((AF16*$H20)/$H7)/'Main CEA'!$H$176,((AF16*$H20)/AF7)/'Main CEA'!$H$176)</f>
        <v>0.2172690793</v>
      </c>
      <c r="AG21" s="471">
        <f>IF(AG7="-",((AG16*$H20)/$H7)/'Main CEA'!$H$176,((AG16*$H20)/AG7)/'Main CEA'!$H$176)</f>
        <v>0.965786672</v>
      </c>
      <c r="AH21" s="471">
        <f>IF(AH7="-",((AH16*$H20)/$H7)/'Main CEA'!$H$176,((AH16*$H20)/AH7)/'Main CEA'!$H$176)</f>
        <v>1.105698305</v>
      </c>
      <c r="AI21" s="471">
        <f>IF(AI7="-",((AI16*$H20)/$H7)/'Main CEA'!$H$176,((AI16*$H20)/AI7)/'Main CEA'!$H$176)</f>
        <v>0.2011260912</v>
      </c>
      <c r="AJ21" s="471">
        <f>IF(AJ7="-",((AJ16*$H20)/$H7)/'Main CEA'!$H$176,((AJ16*$H20)/AJ7)/'Main CEA'!$H$176)</f>
        <v>2.01426004</v>
      </c>
      <c r="AK21" s="471">
        <f>IF(AK7="-",((AK16*$H20)/$H7)/'Main CEA'!$H$176,((AK16*$H20)/AK7)/'Main CEA'!$H$176)</f>
        <v>4.411190252</v>
      </c>
      <c r="AL21" s="471">
        <f>IF(AL7="-",((AL16*$H20)/$H7)/'Main CEA'!$H$176,((AL16*$H20)/AL7)/'Main CEA'!$H$176)</f>
        <v>1.56543156</v>
      </c>
      <c r="AM21" s="471">
        <f>IF(AM7="-",((AM16*$H20)/$H7)/'Main CEA'!$H$176,((AM16*$H20)/AM7)/'Main CEA'!$H$176)</f>
        <v>1.342093783</v>
      </c>
      <c r="AN21" s="471">
        <f>IF(AN7="-",((AN16*$H20)/$H7)/'Main CEA'!$H$176,((AN16*$H20)/AN7)/'Main CEA'!$H$176)</f>
        <v>0.2368452471</v>
      </c>
      <c r="AO21" s="471">
        <f>IF(AO7="-",((AO16*$H20)/$H7)/'Main CEA'!$H$176,((AO16*$H20)/AO7)/'Main CEA'!$H$176)</f>
        <v>0.8734326893</v>
      </c>
      <c r="AP21" s="471">
        <f>IF(AP7="-",((AP16*$H20)/$H7)/'Main CEA'!$H$176,((AP16*$H20)/AP7)/'Main CEA'!$H$176)</f>
        <v>1.103992815</v>
      </c>
      <c r="AQ21" s="471">
        <f>IF(AQ7="-",((AQ16*$H20)/$H7)/'Main CEA'!$H$176,((AQ16*$H20)/AQ7)/'Main CEA'!$H$176)</f>
        <v>0.5621492845</v>
      </c>
      <c r="AR21" s="471">
        <f>IF(AR7="-",((AR16*$H20)/$H7)/'Main CEA'!$H$176,((AR16*$H20)/AR7)/'Main CEA'!$H$176)</f>
        <v>4.207395731</v>
      </c>
      <c r="AS21" s="471">
        <f>IF(AS7="-",((AS16*$H20)/$H7)/'Main CEA'!$H$176,((AS16*$H20)/AS7)/'Main CEA'!$H$176)</f>
        <v>3.238516154</v>
      </c>
      <c r="AT21" s="716"/>
    </row>
    <row r="22">
      <c r="A22" s="80"/>
      <c r="B22" s="81"/>
      <c r="C22" s="126"/>
      <c r="D22" s="81"/>
      <c r="E22" s="541"/>
      <c r="F22" s="108"/>
      <c r="G22" s="108"/>
      <c r="H22" s="85"/>
      <c r="I22" s="709"/>
      <c r="J22" s="709"/>
      <c r="K22" s="709"/>
      <c r="L22" s="709"/>
      <c r="M22" s="709"/>
      <c r="N22" s="709"/>
      <c r="O22" s="709"/>
      <c r="P22" s="709"/>
      <c r="Q22" s="709"/>
      <c r="R22" s="709"/>
      <c r="S22" s="709"/>
      <c r="T22" s="709"/>
      <c r="U22" s="709"/>
      <c r="V22" s="709"/>
      <c r="W22" s="709"/>
      <c r="X22" s="709"/>
      <c r="Y22" s="709"/>
      <c r="Z22" s="709"/>
      <c r="AA22" s="709"/>
      <c r="AB22" s="709"/>
      <c r="AC22" s="709"/>
      <c r="AD22" s="709"/>
      <c r="AE22" s="709"/>
      <c r="AF22" s="709"/>
      <c r="AG22" s="709"/>
      <c r="AH22" s="709"/>
      <c r="AI22" s="709"/>
      <c r="AJ22" s="709"/>
      <c r="AK22" s="709"/>
      <c r="AL22" s="709"/>
      <c r="AM22" s="709"/>
      <c r="AN22" s="709"/>
      <c r="AO22" s="709"/>
      <c r="AP22" s="709"/>
      <c r="AQ22" s="709"/>
      <c r="AR22" s="709"/>
      <c r="AS22" s="709"/>
      <c r="AT22" s="710"/>
    </row>
    <row r="23" hidden="1">
      <c r="A23" s="80"/>
      <c r="B23" s="81"/>
      <c r="C23" s="126" t="s">
        <v>957</v>
      </c>
      <c r="F23" s="108"/>
      <c r="G23" s="108"/>
      <c r="H23" s="85"/>
      <c r="I23" s="709"/>
      <c r="J23" s="709"/>
      <c r="K23" s="709"/>
      <c r="L23" s="709"/>
      <c r="M23" s="709"/>
      <c r="N23" s="709"/>
      <c r="O23" s="709"/>
      <c r="P23" s="709"/>
      <c r="Q23" s="709"/>
      <c r="R23" s="709"/>
      <c r="S23" s="709"/>
      <c r="T23" s="709"/>
      <c r="U23" s="709"/>
      <c r="V23" s="709"/>
      <c r="W23" s="709"/>
      <c r="X23" s="709"/>
      <c r="Y23" s="709"/>
      <c r="Z23" s="709"/>
      <c r="AA23" s="709"/>
      <c r="AB23" s="709"/>
      <c r="AC23" s="709"/>
      <c r="AD23" s="709"/>
      <c r="AE23" s="709"/>
      <c r="AF23" s="709"/>
      <c r="AG23" s="709"/>
      <c r="AH23" s="709"/>
      <c r="AI23" s="709"/>
      <c r="AJ23" s="709"/>
      <c r="AK23" s="709"/>
      <c r="AL23" s="709"/>
      <c r="AM23" s="709"/>
      <c r="AN23" s="709"/>
      <c r="AO23" s="709"/>
      <c r="AP23" s="709"/>
      <c r="AQ23" s="709"/>
      <c r="AR23" s="709"/>
      <c r="AS23" s="709"/>
      <c r="AT23" s="710"/>
    </row>
    <row r="24" hidden="1">
      <c r="A24" s="80"/>
      <c r="B24" s="81"/>
      <c r="C24" s="126"/>
      <c r="D24" s="81"/>
      <c r="E24" s="548" t="s">
        <v>959</v>
      </c>
      <c r="F24" s="189" t="s">
        <v>122</v>
      </c>
      <c r="G24" s="189" t="s">
        <v>203</v>
      </c>
      <c r="H24" s="200" t="s">
        <v>150</v>
      </c>
      <c r="I24" s="725">
        <f>SUM('Main CEA'!I166:I168)/'Main CEA'!I165</f>
        <v>0.293301004</v>
      </c>
      <c r="J24" s="725">
        <f>SUM('Main CEA'!J166:J168)/'Main CEA'!J165</f>
        <v>0.2595881992</v>
      </c>
      <c r="K24" s="725">
        <f>SUM('Main CEA'!K166:K168)/'Main CEA'!K165</f>
        <v>0.3063399285</v>
      </c>
      <c r="L24" s="725">
        <f>SUM('Main CEA'!L166:L168)/'Main CEA'!L165</f>
        <v>0.2680135127</v>
      </c>
      <c r="M24" s="725">
        <f>SUM('Main CEA'!M166:M168)/'Main CEA'!M165</f>
        <v>0.2547956114</v>
      </c>
      <c r="N24" s="725">
        <f>SUM('Main CEA'!N166:N168)/'Main CEA'!N165</f>
        <v>0.3491284534</v>
      </c>
      <c r="O24" s="725">
        <f>SUM('Main CEA'!O166:O168)/'Main CEA'!O165</f>
        <v>0.3564076893</v>
      </c>
      <c r="P24" s="725">
        <f>SUM('Main CEA'!P166:P168)/'Main CEA'!P165</f>
        <v>0.3294559618</v>
      </c>
      <c r="Q24" s="725">
        <f>SUM('Main CEA'!Q166:Q168)/'Main CEA'!Q165</f>
        <v>0.2830226022</v>
      </c>
      <c r="R24" s="725">
        <f>SUM('Main CEA'!R166:R168)/'Main CEA'!R165</f>
        <v>0.2916767967</v>
      </c>
      <c r="S24" s="725">
        <f>SUM('Main CEA'!S166:S168)/'Main CEA'!S165</f>
        <v>0.2433719871</v>
      </c>
      <c r="T24" s="725">
        <f>SUM('Main CEA'!T166:T168)/'Main CEA'!T165</f>
        <v>0.4402521491</v>
      </c>
      <c r="U24" s="725">
        <f>SUM('Main CEA'!U166:U168)/'Main CEA'!U165</f>
        <v>0.3886735164</v>
      </c>
      <c r="V24" s="725">
        <f>SUM('Main CEA'!V166:V168)/'Main CEA'!V165</f>
        <v>0.3622797723</v>
      </c>
      <c r="W24" s="725">
        <f>SUM('Main CEA'!W166:W168)/'Main CEA'!W165</f>
        <v>0.4076752128</v>
      </c>
      <c r="X24" s="725">
        <f>SUM('Main CEA'!X166:X168)/'Main CEA'!X165</f>
        <v>0.4360147442</v>
      </c>
      <c r="Y24" s="725">
        <f>SUM('Main CEA'!Y166:Y168)/'Main CEA'!Y165</f>
        <v>0.4666427247</v>
      </c>
      <c r="Z24" s="725">
        <f>SUM('Main CEA'!Z166:Z168)/'Main CEA'!Z165</f>
        <v>0.3715702232</v>
      </c>
      <c r="AA24" s="725">
        <f>SUM('Main CEA'!AA166:AA168)/'Main CEA'!AA165</f>
        <v>0.3459646877</v>
      </c>
      <c r="AB24" s="725">
        <f>SUM('Main CEA'!AB166:AB168)/'Main CEA'!AB165</f>
        <v>0.2945897451</v>
      </c>
      <c r="AC24" s="725">
        <f>SUM('Main CEA'!AC166:AC168)/'Main CEA'!AC165</f>
        <v>0.3671936399</v>
      </c>
      <c r="AD24" s="725">
        <f>SUM('Main CEA'!AD166:AD168)/'Main CEA'!AD165</f>
        <v>0.544950886</v>
      </c>
      <c r="AE24" s="725">
        <f>SUM('Main CEA'!AE166:AE168)/'Main CEA'!AE165</f>
        <v>0.3277730697</v>
      </c>
      <c r="AF24" s="725">
        <f>SUM('Main CEA'!AF166:AF168)/'Main CEA'!AF165</f>
        <v>0.4724771253</v>
      </c>
      <c r="AG24" s="725">
        <f>SUM('Main CEA'!AG166:AG168)/'Main CEA'!AG165</f>
        <v>0.4253778138</v>
      </c>
      <c r="AH24" s="725">
        <f>SUM('Main CEA'!AH166:AH168)/'Main CEA'!AH165</f>
        <v>0.684338212</v>
      </c>
      <c r="AI24" s="725">
        <f>SUM('Main CEA'!AI166:AI168)/'Main CEA'!AI165</f>
        <v>0.4804309953</v>
      </c>
      <c r="AJ24" s="725">
        <f>SUM('Main CEA'!AJ166:AJ168)/'Main CEA'!AJ165</f>
        <v>0.4179848322</v>
      </c>
      <c r="AK24" s="725">
        <f>SUM('Main CEA'!AK166:AK168)/'Main CEA'!AK165</f>
        <v>0.3922732005</v>
      </c>
      <c r="AL24" s="725">
        <f>SUM('Main CEA'!AL166:AL168)/'Main CEA'!AL165</f>
        <v>0.5576831242</v>
      </c>
      <c r="AM24" s="725">
        <f>SUM('Main CEA'!AM166:AM168)/'Main CEA'!AM165</f>
        <v>0.4467773579</v>
      </c>
      <c r="AN24" s="725">
        <f>SUM('Main CEA'!AN166:AN168)/'Main CEA'!AN165</f>
        <v>0.6146959729</v>
      </c>
      <c r="AO24" s="725">
        <f>SUM('Main CEA'!AO166:AO168)/'Main CEA'!AO165</f>
        <v>0.4925487521</v>
      </c>
      <c r="AP24" s="725">
        <f>SUM('Main CEA'!AP166:AP168)/'Main CEA'!AP165</f>
        <v>0.5152437018</v>
      </c>
      <c r="AQ24" s="725">
        <f>SUM('Main CEA'!AQ166:AQ168)/'Main CEA'!AQ165</f>
        <v>0.3371912395</v>
      </c>
      <c r="AR24" s="725">
        <f>SUM('Main CEA'!AR166:AR168)/'Main CEA'!AR165</f>
        <v>0.2687365316</v>
      </c>
      <c r="AS24" s="725">
        <f>SUM('Main CEA'!AS166:AS168)/'Main CEA'!AS165</f>
        <v>0.4504581992</v>
      </c>
      <c r="AT24" s="714"/>
    </row>
    <row r="25" hidden="1">
      <c r="A25" s="80"/>
      <c r="B25" s="81"/>
      <c r="C25" s="126"/>
      <c r="D25" s="81"/>
      <c r="E25" s="553" t="s">
        <v>962</v>
      </c>
      <c r="F25" s="215" t="s">
        <v>122</v>
      </c>
      <c r="G25" s="215" t="s">
        <v>203</v>
      </c>
      <c r="H25" s="187" t="s">
        <v>150</v>
      </c>
      <c r="I25" s="726">
        <f>'Main CEA'!I169/SUM('Main CEA'!I165:I168)</f>
        <v>0.2559366722</v>
      </c>
      <c r="J25" s="726">
        <f>'Main CEA'!J169/SUM('Main CEA'!J165:J168)</f>
        <v>0.2621242633</v>
      </c>
      <c r="K25" s="726">
        <f>'Main CEA'!K169/SUM('Main CEA'!K165:K168)</f>
        <v>0.2535306558</v>
      </c>
      <c r="L25" s="726">
        <f>'Main CEA'!L169/SUM('Main CEA'!L165:L168)</f>
        <v>0.2611903988</v>
      </c>
      <c r="M25" s="726">
        <f>'Main CEA'!M169/SUM('Main CEA'!M165:M168)</f>
        <v>0.2642293825</v>
      </c>
      <c r="N25" s="726">
        <f>'Main CEA'!N169/SUM('Main CEA'!N165:N168)</f>
        <v>0.247381241</v>
      </c>
      <c r="O25" s="726">
        <f>'Main CEA'!O169/SUM('Main CEA'!O165:O168)</f>
        <v>0.2464007895</v>
      </c>
      <c r="P25" s="726">
        <f>'Main CEA'!P169/SUM('Main CEA'!P165:P168)</f>
        <v>0.2505782577</v>
      </c>
      <c r="Q25" s="726">
        <f>'Main CEA'!Q169/SUM('Main CEA'!Q165:Q168)</f>
        <v>0.2581354983</v>
      </c>
      <c r="R25" s="726">
        <f>'Main CEA'!R169/SUM('Main CEA'!R165:R168)</f>
        <v>0.2541844902</v>
      </c>
      <c r="S25" s="726">
        <f>'Main CEA'!S169/SUM('Main CEA'!S165:S168)</f>
        <v>0.2643506979</v>
      </c>
      <c r="T25" s="726">
        <f>'Main CEA'!T169/SUM('Main CEA'!T165:T168)</f>
        <v>0.2315805478</v>
      </c>
      <c r="U25" s="726">
        <f>'Main CEA'!U169/SUM('Main CEA'!U165:U168)</f>
        <v>0.2402442225</v>
      </c>
      <c r="V25" s="726">
        <f>'Main CEA'!V169/SUM('Main CEA'!V165:V168)</f>
        <v>0.2433139166</v>
      </c>
      <c r="W25" s="726">
        <f>'Main CEA'!W169/SUM('Main CEA'!W165:W168)</f>
        <v>0.2392687399</v>
      </c>
      <c r="X25" s="726">
        <f>'Main CEA'!X169/SUM('Main CEA'!X165:X168)</f>
        <v>0.2361469566</v>
      </c>
      <c r="Y25" s="726">
        <f>'Main CEA'!Y169/SUM('Main CEA'!Y165:Y168)</f>
        <v>0.2291197331</v>
      </c>
      <c r="Z25" s="726">
        <f>'Main CEA'!Z169/SUM('Main CEA'!Z165:Z168)</f>
        <v>0.2437004894</v>
      </c>
      <c r="AA25" s="726">
        <f>'Main CEA'!AA169/SUM('Main CEA'!AA165:AA168)</f>
        <v>0.2476283311</v>
      </c>
      <c r="AB25" s="726">
        <f>'Main CEA'!AB169/SUM('Main CEA'!AB165:AB168)</f>
        <v>0.2519701637</v>
      </c>
      <c r="AC25" s="726">
        <f>'Main CEA'!AC169/SUM('Main CEA'!AC165:AC168)</f>
        <v>0.2413572215</v>
      </c>
      <c r="AD25" s="726">
        <f>'Main CEA'!AD169/SUM('Main CEA'!AD165:AD168)</f>
        <v>0.2187982674</v>
      </c>
      <c r="AE25" s="726">
        <f>'Main CEA'!AE169/SUM('Main CEA'!AE165:AE168)</f>
        <v>0.251521404</v>
      </c>
      <c r="AF25" s="726">
        <f>'Main CEA'!AF169/SUM('Main CEA'!AF165:AF168)</f>
        <v>0.2279941639</v>
      </c>
      <c r="AG25" s="726">
        <f>'Main CEA'!AG169/SUM('Main CEA'!AG165:AG168)</f>
        <v>0.2373653154</v>
      </c>
      <c r="AH25" s="726">
        <f>'Main CEA'!AH169/SUM('Main CEA'!AH165:AH168)</f>
        <v>0.2044914315</v>
      </c>
      <c r="AI25" s="726">
        <f>'Main CEA'!AI169/SUM('Main CEA'!AI165:AI168)</f>
        <v>0.2316097593</v>
      </c>
      <c r="AJ25" s="726">
        <f>'Main CEA'!AJ169/SUM('Main CEA'!AJ165:AJ168)</f>
        <v>0.2383517938</v>
      </c>
      <c r="AK25" s="726">
        <f>'Main CEA'!AK169/SUM('Main CEA'!AK165:AK168)</f>
        <v>0.2407988113</v>
      </c>
      <c r="AL25" s="726">
        <f>'Main CEA'!AL169/SUM('Main CEA'!AL165:AL168)</f>
        <v>0.2182945594</v>
      </c>
      <c r="AM25" s="726">
        <f>'Main CEA'!AM169/SUM('Main CEA'!AM165:AM168)</f>
        <v>0.2326384879</v>
      </c>
      <c r="AN25" s="726">
        <f>'Main CEA'!AN169/SUM('Main CEA'!AN165:AN168)</f>
        <v>0.2107080997</v>
      </c>
      <c r="AO25" s="726">
        <f>'Main CEA'!AO169/SUM('Main CEA'!AO165:AO168)</f>
        <v>0.2256799779</v>
      </c>
      <c r="AP25" s="726">
        <f>'Main CEA'!AP169/SUM('Main CEA'!AP165:AP168)</f>
        <v>0.2259988017</v>
      </c>
      <c r="AQ25" s="726">
        <f>'Main CEA'!AQ169/SUM('Main CEA'!AQ165:AQ168)</f>
        <v>0.246937123</v>
      </c>
      <c r="AR25" s="726">
        <f>'Main CEA'!AR169/SUM('Main CEA'!AR165:AR168)</f>
        <v>0.260408582</v>
      </c>
      <c r="AS25" s="726">
        <f>'Main CEA'!AS169/SUM('Main CEA'!AS165:AS168)</f>
        <v>0.2332480744</v>
      </c>
      <c r="AT25" s="715"/>
    </row>
    <row r="26" hidden="1">
      <c r="A26" s="80"/>
      <c r="B26" s="81"/>
      <c r="C26" s="126"/>
      <c r="D26" s="81"/>
      <c r="E26" s="558" t="s">
        <v>963</v>
      </c>
      <c r="F26" s="195" t="s">
        <v>122</v>
      </c>
      <c r="G26" s="195" t="s">
        <v>203</v>
      </c>
      <c r="H26" s="197" t="s">
        <v>150</v>
      </c>
      <c r="I26" s="727">
        <f>'Main CEA'!I170/SUM('Main CEA'!I165:I169)</f>
        <v>0.02681981767</v>
      </c>
      <c r="J26" s="727">
        <f>'Main CEA'!J170/SUM('Main CEA'!J165:J169)</f>
        <v>0.06043844961</v>
      </c>
      <c r="K26" s="727">
        <f>'Main CEA'!K170/SUM('Main CEA'!K165:K169)</f>
        <v>0.03238139158</v>
      </c>
      <c r="L26" s="727">
        <f>'Main CEA'!L170/SUM('Main CEA'!L165:L169)</f>
        <v>0.1196383637</v>
      </c>
      <c r="M26" s="727">
        <f>'Main CEA'!M170/SUM('Main CEA'!M165:M169)</f>
        <v>0.04867273078</v>
      </c>
      <c r="N26" s="727">
        <f>'Main CEA'!N170/SUM('Main CEA'!N165:N169)</f>
        <v>0.03109529236</v>
      </c>
      <c r="O26" s="727">
        <f>'Main CEA'!O170/SUM('Main CEA'!O165:O169)</f>
        <v>0.019900993</v>
      </c>
      <c r="P26" s="727">
        <f>'Main CEA'!P170/SUM('Main CEA'!P165:P169)</f>
        <v>0.0122802777</v>
      </c>
      <c r="Q26" s="727">
        <f>'Main CEA'!Q170/SUM('Main CEA'!Q165:Q169)</f>
        <v>0.01673476444</v>
      </c>
      <c r="R26" s="727">
        <f>'Main CEA'!R170/SUM('Main CEA'!R165:R169)</f>
        <v>0.5023216315</v>
      </c>
      <c r="S26" s="727">
        <f>'Main CEA'!S170/SUM('Main CEA'!S165:S169)</f>
        <v>0.1749760987</v>
      </c>
      <c r="T26" s="727">
        <f>'Main CEA'!T170/SUM('Main CEA'!T165:T169)</f>
        <v>0.5143764561</v>
      </c>
      <c r="U26" s="727">
        <f>'Main CEA'!U170/SUM('Main CEA'!U165:U169)</f>
        <v>0.3779577797</v>
      </c>
      <c r="V26" s="727">
        <f>'Main CEA'!V170/SUM('Main CEA'!V165:V169)</f>
        <v>0.2476581169</v>
      </c>
      <c r="W26" s="727">
        <f>'Main CEA'!W170/SUM('Main CEA'!W165:W169)</f>
        <v>0.1954261422</v>
      </c>
      <c r="X26" s="727">
        <f>'Main CEA'!X170/SUM('Main CEA'!X165:X169)</f>
        <v>0.08343765153</v>
      </c>
      <c r="Y26" s="727">
        <f>'Main CEA'!Y170/SUM('Main CEA'!Y165:Y169)</f>
        <v>0.7966593297</v>
      </c>
      <c r="Z26" s="727">
        <f>'Main CEA'!Z170/SUM('Main CEA'!Z165:Z169)</f>
        <v>0.3109696981</v>
      </c>
      <c r="AA26" s="727">
        <f>'Main CEA'!AA170/SUM('Main CEA'!AA165:AA169)</f>
        <v>5.587251759</v>
      </c>
      <c r="AB26" s="727">
        <f>'Main CEA'!AB170/SUM('Main CEA'!AB165:AB169)</f>
        <v>0.6022509643</v>
      </c>
      <c r="AC26" s="727">
        <f>'Main CEA'!AC170/SUM('Main CEA'!AC165:AC169)</f>
        <v>1.400533855</v>
      </c>
      <c r="AD26" s="727">
        <f>'Main CEA'!AD170/SUM('Main CEA'!AD165:AD169)</f>
        <v>3.251851209</v>
      </c>
      <c r="AE26" s="727">
        <f>'Main CEA'!AE170/SUM('Main CEA'!AE165:AE169)</f>
        <v>0.792419389</v>
      </c>
      <c r="AF26" s="727">
        <f>'Main CEA'!AF170/SUM('Main CEA'!AF165:AF169)</f>
        <v>1.486983845</v>
      </c>
      <c r="AG26" s="727">
        <f>'Main CEA'!AG170/SUM('Main CEA'!AG165:AG169)</f>
        <v>0.3429571751</v>
      </c>
      <c r="AH26" s="727">
        <f>'Main CEA'!AH170/SUM('Main CEA'!AH165:AH169)</f>
        <v>0.2604230217</v>
      </c>
      <c r="AI26" s="727">
        <f>'Main CEA'!AI170/SUM('Main CEA'!AI165:AI169)</f>
        <v>1.593013036</v>
      </c>
      <c r="AJ26" s="727">
        <f>'Main CEA'!AJ170/SUM('Main CEA'!AJ165:AJ169)</f>
        <v>0.1651649438</v>
      </c>
      <c r="AK26" s="727">
        <f>'Main CEA'!AK170/SUM('Main CEA'!AK165:AK169)</f>
        <v>0.07665975244</v>
      </c>
      <c r="AL26" s="727">
        <f>'Main CEA'!AL170/SUM('Main CEA'!AL165:AL169)</f>
        <v>0.1966452811</v>
      </c>
      <c r="AM26" s="727">
        <f>'Main CEA'!AM170/SUM('Main CEA'!AM165:AM169)</f>
        <v>0.2440780594</v>
      </c>
      <c r="AN26" s="727">
        <f>'Main CEA'!AN170/SUM('Main CEA'!AN165:AN169)</f>
        <v>1.261694326</v>
      </c>
      <c r="AO26" s="727">
        <f>'Main CEA'!AO170/SUM('Main CEA'!AO165:AO169)</f>
        <v>0.3656065558</v>
      </c>
      <c r="AP26" s="727">
        <f>'Main CEA'!AP170/SUM('Main CEA'!AP165:AP169)</f>
        <v>0.2848460844</v>
      </c>
      <c r="AQ26" s="727">
        <f>'Main CEA'!AQ170/SUM('Main CEA'!AQ165:AQ169)</f>
        <v>0.623245705</v>
      </c>
      <c r="AR26" s="727">
        <f>'Main CEA'!AR170/SUM('Main CEA'!AR165:AR169)</f>
        <v>0.08682661605</v>
      </c>
      <c r="AS26" s="727">
        <f>'Main CEA'!AS170/SUM('Main CEA'!AS165:AS169)</f>
        <v>0.1008433589</v>
      </c>
      <c r="AT26" s="716"/>
    </row>
    <row r="27" hidden="1">
      <c r="A27" s="80"/>
      <c r="B27" s="81"/>
      <c r="C27" s="126"/>
      <c r="D27" s="81"/>
      <c r="E27" s="541"/>
      <c r="F27" s="108"/>
      <c r="G27" s="108"/>
      <c r="H27" s="85"/>
      <c r="I27" s="709"/>
      <c r="J27" s="709"/>
      <c r="K27" s="709"/>
      <c r="L27" s="709"/>
      <c r="M27" s="709"/>
      <c r="N27" s="709"/>
      <c r="O27" s="709"/>
      <c r="P27" s="709"/>
      <c r="Q27" s="709"/>
      <c r="R27" s="709"/>
      <c r="S27" s="709"/>
      <c r="T27" s="709"/>
      <c r="U27" s="709"/>
      <c r="V27" s="709"/>
      <c r="W27" s="709"/>
      <c r="X27" s="709"/>
      <c r="Y27" s="709"/>
      <c r="Z27" s="709"/>
      <c r="AA27" s="709"/>
      <c r="AB27" s="709"/>
      <c r="AC27" s="709"/>
      <c r="AD27" s="709"/>
      <c r="AE27" s="709"/>
      <c r="AF27" s="709"/>
      <c r="AG27" s="709"/>
      <c r="AH27" s="709"/>
      <c r="AI27" s="709"/>
      <c r="AJ27" s="709"/>
      <c r="AK27" s="709"/>
      <c r="AL27" s="709"/>
      <c r="AM27" s="709"/>
      <c r="AN27" s="709"/>
      <c r="AO27" s="709"/>
      <c r="AP27" s="709"/>
      <c r="AQ27" s="709"/>
      <c r="AR27" s="709"/>
      <c r="AS27" s="709"/>
      <c r="AT27" s="710"/>
    </row>
    <row r="28">
      <c r="A28" s="80"/>
      <c r="B28" s="81"/>
      <c r="C28" s="126" t="s">
        <v>964</v>
      </c>
      <c r="F28" s="108"/>
      <c r="G28" s="108"/>
      <c r="H28" s="85"/>
      <c r="AT28" s="710"/>
    </row>
    <row r="29">
      <c r="A29" s="80"/>
      <c r="B29" s="81"/>
      <c r="C29" s="126"/>
      <c r="D29" s="81"/>
      <c r="E29" s="548" t="s">
        <v>965</v>
      </c>
      <c r="F29" s="189" t="s">
        <v>122</v>
      </c>
      <c r="G29" s="189" t="s">
        <v>203</v>
      </c>
      <c r="H29" s="200" t="s">
        <v>150</v>
      </c>
      <c r="I29" s="119">
        <f t="shared" ref="I29:AS29" si="5">1-SUM(I30:I32)</f>
        <v>0.5995679391</v>
      </c>
      <c r="J29" s="119">
        <f t="shared" si="5"/>
        <v>0.5931763604</v>
      </c>
      <c r="K29" s="119">
        <f t="shared" si="5"/>
        <v>0.5915189624</v>
      </c>
      <c r="L29" s="119">
        <f t="shared" si="5"/>
        <v>0.5584929452</v>
      </c>
      <c r="M29" s="119">
        <f t="shared" si="5"/>
        <v>0.6011199675</v>
      </c>
      <c r="N29" s="119">
        <f t="shared" si="5"/>
        <v>0.5763000877</v>
      </c>
      <c r="O29" s="119">
        <f t="shared" si="5"/>
        <v>0.5799546393</v>
      </c>
      <c r="P29" s="119">
        <f t="shared" si="5"/>
        <v>0.5941750271</v>
      </c>
      <c r="Q29" s="119">
        <f t="shared" si="5"/>
        <v>0.6092991937</v>
      </c>
      <c r="R29" s="119">
        <f t="shared" si="5"/>
        <v>0.4108864273</v>
      </c>
      <c r="S29" s="119">
        <f t="shared" si="5"/>
        <v>0.5413801605</v>
      </c>
      <c r="T29" s="119">
        <f t="shared" si="5"/>
        <v>0.3722757936</v>
      </c>
      <c r="U29" s="119">
        <f t="shared" si="5"/>
        <v>0.4213633161</v>
      </c>
      <c r="V29" s="119">
        <f t="shared" si="5"/>
        <v>0.4732136906</v>
      </c>
      <c r="W29" s="119">
        <f t="shared" si="5"/>
        <v>0.4795228345</v>
      </c>
      <c r="X29" s="119">
        <f t="shared" si="5"/>
        <v>0.5199565733</v>
      </c>
      <c r="Y29" s="119">
        <f t="shared" si="5"/>
        <v>0.3087562372</v>
      </c>
      <c r="Z29" s="119">
        <f t="shared" si="5"/>
        <v>0.4471708584</v>
      </c>
      <c r="AA29" s="119">
        <f t="shared" si="5"/>
        <v>0.09040175126</v>
      </c>
      <c r="AB29" s="119">
        <f t="shared" si="5"/>
        <v>0.3850732202</v>
      </c>
      <c r="AC29" s="119">
        <f t="shared" si="5"/>
        <v>0.2454513134</v>
      </c>
      <c r="AD29" s="119">
        <f t="shared" si="5"/>
        <v>0.124903738</v>
      </c>
      <c r="AE29" s="119">
        <f t="shared" si="5"/>
        <v>0.3357362455</v>
      </c>
      <c r="AF29" s="119">
        <f t="shared" si="5"/>
        <v>0.222373062</v>
      </c>
      <c r="AG29" s="119">
        <f t="shared" si="5"/>
        <v>0.4221919063</v>
      </c>
      <c r="AH29" s="119">
        <f t="shared" si="5"/>
        <v>0.391066538</v>
      </c>
      <c r="AI29" s="119">
        <f t="shared" si="5"/>
        <v>0.2115115117</v>
      </c>
      <c r="AJ29" s="119">
        <f t="shared" si="5"/>
        <v>0.4887614758</v>
      </c>
      <c r="AK29" s="119">
        <f t="shared" si="5"/>
        <v>0.5376450962</v>
      </c>
      <c r="AL29" s="119">
        <f t="shared" si="5"/>
        <v>0.440355219</v>
      </c>
      <c r="AM29" s="119">
        <f t="shared" si="5"/>
        <v>0.4507284189</v>
      </c>
      <c r="AN29" s="119">
        <f t="shared" si="5"/>
        <v>0.2261704601</v>
      </c>
      <c r="AO29" s="119">
        <f t="shared" si="5"/>
        <v>0.4002845148</v>
      </c>
      <c r="AP29" s="119">
        <f t="shared" si="5"/>
        <v>0.4189636664</v>
      </c>
      <c r="AQ29" s="119">
        <f t="shared" si="5"/>
        <v>0.3694687066</v>
      </c>
      <c r="AR29" s="119">
        <f t="shared" si="5"/>
        <v>0.5753828828</v>
      </c>
      <c r="AS29" s="119">
        <f t="shared" si="5"/>
        <v>0.5078305339</v>
      </c>
      <c r="AT29" s="714"/>
    </row>
    <row r="30">
      <c r="A30" s="80"/>
      <c r="B30" s="81"/>
      <c r="C30" s="126"/>
      <c r="D30" s="81"/>
      <c r="E30" s="548" t="s">
        <v>966</v>
      </c>
      <c r="F30" s="189" t="s">
        <v>122</v>
      </c>
      <c r="G30" s="189" t="s">
        <v>203</v>
      </c>
      <c r="H30" s="200" t="s">
        <v>150</v>
      </c>
      <c r="I30" s="119">
        <f t="shared" ref="I30:AS30" si="6">I24/((1+I24)*(1+I25)*(1+I26))</f>
        <v>0.1758538785</v>
      </c>
      <c r="J30" s="119">
        <f t="shared" si="6"/>
        <v>0.1539815832</v>
      </c>
      <c r="K30" s="119">
        <f t="shared" si="6"/>
        <v>0.1812058766</v>
      </c>
      <c r="L30" s="119">
        <f t="shared" si="6"/>
        <v>0.1496836561</v>
      </c>
      <c r="M30" s="119">
        <f t="shared" si="6"/>
        <v>0.1531627296</v>
      </c>
      <c r="N30" s="119">
        <f t="shared" si="6"/>
        <v>0.2012027583</v>
      </c>
      <c r="O30" s="119">
        <f t="shared" si="6"/>
        <v>0.2067002929</v>
      </c>
      <c r="P30" s="119">
        <f t="shared" si="6"/>
        <v>0.195754505</v>
      </c>
      <c r="Q30" s="119">
        <f t="shared" si="6"/>
        <v>0.1724454433</v>
      </c>
      <c r="R30" s="119">
        <f t="shared" si="6"/>
        <v>0.1198460369</v>
      </c>
      <c r="S30" s="119">
        <f t="shared" si="6"/>
        <v>0.1317567654</v>
      </c>
      <c r="T30" s="119">
        <f t="shared" si="6"/>
        <v>0.1638952182</v>
      </c>
      <c r="U30" s="119">
        <f t="shared" si="6"/>
        <v>0.1637727618</v>
      </c>
      <c r="V30" s="119">
        <f t="shared" si="6"/>
        <v>0.1714357481</v>
      </c>
      <c r="W30" s="119">
        <f t="shared" si="6"/>
        <v>0.1954895736</v>
      </c>
      <c r="X30" s="119">
        <f t="shared" si="6"/>
        <v>0.2267087323</v>
      </c>
      <c r="Y30" s="119">
        <f t="shared" si="6"/>
        <v>0.1440788518</v>
      </c>
      <c r="Z30" s="119">
        <f t="shared" si="6"/>
        <v>0.1661553756</v>
      </c>
      <c r="AA30" s="119">
        <f t="shared" si="6"/>
        <v>0.03127581365</v>
      </c>
      <c r="AB30" s="119">
        <f t="shared" si="6"/>
        <v>0.1134386218</v>
      </c>
      <c r="AC30" s="119">
        <f t="shared" si="6"/>
        <v>0.0901281612</v>
      </c>
      <c r="AD30" s="119">
        <f t="shared" si="6"/>
        <v>0.06806640271</v>
      </c>
      <c r="AE30" s="119">
        <f t="shared" si="6"/>
        <v>0.1100452998</v>
      </c>
      <c r="AF30" s="119">
        <f t="shared" si="6"/>
        <v>0.1050661851</v>
      </c>
      <c r="AG30" s="119">
        <f t="shared" si="6"/>
        <v>0.1795910701</v>
      </c>
      <c r="AH30" s="119">
        <f t="shared" si="6"/>
        <v>0.2676217754</v>
      </c>
      <c r="AI30" s="119">
        <f t="shared" si="6"/>
        <v>0.1016166861</v>
      </c>
      <c r="AJ30" s="119">
        <f t="shared" si="6"/>
        <v>0.2042948835</v>
      </c>
      <c r="AK30" s="119">
        <f t="shared" si="6"/>
        <v>0.2109037626</v>
      </c>
      <c r="AL30" s="119">
        <f t="shared" si="6"/>
        <v>0.2455786743</v>
      </c>
      <c r="AM30" s="119">
        <f t="shared" si="6"/>
        <v>0.2013752521</v>
      </c>
      <c r="AN30" s="119">
        <f t="shared" si="6"/>
        <v>0.139026071</v>
      </c>
      <c r="AO30" s="119">
        <f t="shared" si="6"/>
        <v>0.1971596383</v>
      </c>
      <c r="AP30" s="119">
        <f t="shared" si="6"/>
        <v>0.2158683904</v>
      </c>
      <c r="AQ30" s="119">
        <f t="shared" si="6"/>
        <v>0.1245816111</v>
      </c>
      <c r="AR30" s="119">
        <f t="shared" si="6"/>
        <v>0.1546264002</v>
      </c>
      <c r="AS30" s="119">
        <f t="shared" si="6"/>
        <v>0.2287564278</v>
      </c>
      <c r="AT30" s="714"/>
    </row>
    <row r="31">
      <c r="A31" s="80"/>
      <c r="B31" s="81"/>
      <c r="C31" s="126"/>
      <c r="D31" s="81"/>
      <c r="E31" s="553" t="s">
        <v>967</v>
      </c>
      <c r="F31" s="215" t="s">
        <v>122</v>
      </c>
      <c r="G31" s="215" t="s">
        <v>203</v>
      </c>
      <c r="H31" s="187" t="s">
        <v>150</v>
      </c>
      <c r="I31" s="149">
        <f t="shared" ref="I31:AS31" si="7">I25/((1+I25)*(1+I26))</f>
        <v>0.1984588796</v>
      </c>
      <c r="J31" s="149">
        <f t="shared" si="7"/>
        <v>0.1958482255</v>
      </c>
      <c r="K31" s="149">
        <f t="shared" si="7"/>
        <v>0.1959094352</v>
      </c>
      <c r="L31" s="149">
        <f t="shared" si="7"/>
        <v>0.1849689289</v>
      </c>
      <c r="M31" s="149">
        <f t="shared" si="7"/>
        <v>0.1993036513</v>
      </c>
      <c r="N31" s="149">
        <f t="shared" si="7"/>
        <v>0.192339619</v>
      </c>
      <c r="O31" s="149">
        <f t="shared" si="7"/>
        <v>0.1938323964</v>
      </c>
      <c r="P31" s="149">
        <f t="shared" si="7"/>
        <v>0.1979391659</v>
      </c>
      <c r="Q31" s="149">
        <f t="shared" si="7"/>
        <v>0.2017960414</v>
      </c>
      <c r="R31" s="149">
        <f t="shared" si="7"/>
        <v>0.1349039608</v>
      </c>
      <c r="S31" s="149">
        <f t="shared" si="7"/>
        <v>0.1779442162</v>
      </c>
      <c r="T31" s="149">
        <f t="shared" si="7"/>
        <v>0.1241667766</v>
      </c>
      <c r="U31" s="149">
        <f t="shared" si="7"/>
        <v>0.1405755621</v>
      </c>
      <c r="V31" s="149">
        <f t="shared" si="7"/>
        <v>0.1568521798</v>
      </c>
      <c r="W31" s="149">
        <f t="shared" si="7"/>
        <v>0.1615093683</v>
      </c>
      <c r="X31" s="149">
        <f t="shared" si="7"/>
        <v>0.1763227395</v>
      </c>
      <c r="Y31" s="149">
        <f t="shared" si="7"/>
        <v>0.1037534548</v>
      </c>
      <c r="Z31" s="149">
        <f t="shared" si="7"/>
        <v>0.1494679034</v>
      </c>
      <c r="AA31" s="149">
        <f t="shared" si="7"/>
        <v>0.03013081233</v>
      </c>
      <c r="AB31" s="149">
        <f t="shared" si="7"/>
        <v>0.1256101104</v>
      </c>
      <c r="AC31" s="149">
        <f t="shared" si="7"/>
        <v>0.08099452958</v>
      </c>
      <c r="AD31" s="149">
        <f t="shared" si="7"/>
        <v>0.04222153245</v>
      </c>
      <c r="AE31" s="149">
        <f t="shared" si="7"/>
        <v>0.1121236001</v>
      </c>
      <c r="AF31" s="149">
        <f t="shared" si="7"/>
        <v>0.07465423738</v>
      </c>
      <c r="AG31" s="149">
        <f t="shared" si="7"/>
        <v>0.142842406</v>
      </c>
      <c r="AH31" s="149">
        <f t="shared" si="7"/>
        <v>0.1346961161</v>
      </c>
      <c r="AI31" s="149">
        <f t="shared" si="7"/>
        <v>0.0725235465</v>
      </c>
      <c r="AJ31" s="149">
        <f t="shared" si="7"/>
        <v>0.1651912264</v>
      </c>
      <c r="AK31" s="149">
        <f t="shared" si="7"/>
        <v>0.1802496754</v>
      </c>
      <c r="AL31" s="149">
        <f t="shared" si="7"/>
        <v>0.149735637</v>
      </c>
      <c r="AM31" s="149">
        <f t="shared" si="7"/>
        <v>0.151704412</v>
      </c>
      <c r="AN31" s="149">
        <f t="shared" si="7"/>
        <v>0.07694986708</v>
      </c>
      <c r="AO31" s="149">
        <f t="shared" si="7"/>
        <v>0.1348311833</v>
      </c>
      <c r="AP31" s="149">
        <f t="shared" si="7"/>
        <v>0.1434712841</v>
      </c>
      <c r="AQ31" s="149">
        <f t="shared" si="7"/>
        <v>0.1219993641</v>
      </c>
      <c r="AR31" s="149">
        <f t="shared" si="7"/>
        <v>0.1901006823</v>
      </c>
      <c r="AS31" s="149">
        <f t="shared" si="7"/>
        <v>0.1718074905</v>
      </c>
      <c r="AT31" s="715"/>
    </row>
    <row r="32">
      <c r="A32" s="80"/>
      <c r="B32" s="81"/>
      <c r="C32" s="126"/>
      <c r="D32" s="81"/>
      <c r="E32" s="558" t="s">
        <v>968</v>
      </c>
      <c r="F32" s="195" t="s">
        <v>122</v>
      </c>
      <c r="G32" s="195" t="s">
        <v>203</v>
      </c>
      <c r="H32" s="197" t="s">
        <v>150</v>
      </c>
      <c r="I32" s="240">
        <f t="shared" ref="I32:AS32" si="8">I26/(1+I26)</f>
        <v>0.02611930273</v>
      </c>
      <c r="J32" s="240">
        <f t="shared" si="8"/>
        <v>0.05699383084</v>
      </c>
      <c r="K32" s="240">
        <f t="shared" si="8"/>
        <v>0.03136572573</v>
      </c>
      <c r="L32" s="240">
        <f t="shared" si="8"/>
        <v>0.1068544698</v>
      </c>
      <c r="M32" s="240">
        <f t="shared" si="8"/>
        <v>0.04641365161</v>
      </c>
      <c r="N32" s="240">
        <f t="shared" si="8"/>
        <v>0.03015753499</v>
      </c>
      <c r="O32" s="240">
        <f t="shared" si="8"/>
        <v>0.01951267146</v>
      </c>
      <c r="P32" s="240">
        <f t="shared" si="8"/>
        <v>0.01213130195</v>
      </c>
      <c r="Q32" s="240">
        <f t="shared" si="8"/>
        <v>0.01645932157</v>
      </c>
      <c r="R32" s="240">
        <f t="shared" si="8"/>
        <v>0.334363575</v>
      </c>
      <c r="S32" s="240">
        <f t="shared" si="8"/>
        <v>0.1489188579</v>
      </c>
      <c r="T32" s="240">
        <f t="shared" si="8"/>
        <v>0.3396622115</v>
      </c>
      <c r="U32" s="240">
        <f t="shared" si="8"/>
        <v>0.2742883601</v>
      </c>
      <c r="V32" s="240">
        <f t="shared" si="8"/>
        <v>0.1984983815</v>
      </c>
      <c r="W32" s="240">
        <f t="shared" si="8"/>
        <v>0.1634782236</v>
      </c>
      <c r="X32" s="240">
        <f t="shared" si="8"/>
        <v>0.07701195488</v>
      </c>
      <c r="Y32" s="240">
        <f t="shared" si="8"/>
        <v>0.4434114562</v>
      </c>
      <c r="Z32" s="240">
        <f t="shared" si="8"/>
        <v>0.2372058626</v>
      </c>
      <c r="AA32" s="240">
        <f t="shared" si="8"/>
        <v>0.8481916228</v>
      </c>
      <c r="AB32" s="240">
        <f t="shared" si="8"/>
        <v>0.3758780477</v>
      </c>
      <c r="AC32" s="240">
        <f t="shared" si="8"/>
        <v>0.5834259958</v>
      </c>
      <c r="AD32" s="240">
        <f t="shared" si="8"/>
        <v>0.7648083268</v>
      </c>
      <c r="AE32" s="240">
        <f t="shared" si="8"/>
        <v>0.4420948545</v>
      </c>
      <c r="AF32" s="240">
        <f t="shared" si="8"/>
        <v>0.5979065155</v>
      </c>
      <c r="AG32" s="240">
        <f t="shared" si="8"/>
        <v>0.2553746176</v>
      </c>
      <c r="AH32" s="240">
        <f t="shared" si="8"/>
        <v>0.2066155705</v>
      </c>
      <c r="AI32" s="240">
        <f t="shared" si="8"/>
        <v>0.6143482558</v>
      </c>
      <c r="AJ32" s="240">
        <f t="shared" si="8"/>
        <v>0.1417524142</v>
      </c>
      <c r="AK32" s="240">
        <f t="shared" si="8"/>
        <v>0.07120146571</v>
      </c>
      <c r="AL32" s="240">
        <f t="shared" si="8"/>
        <v>0.1643304697</v>
      </c>
      <c r="AM32" s="240">
        <f t="shared" si="8"/>
        <v>0.1961919171</v>
      </c>
      <c r="AN32" s="240">
        <f t="shared" si="8"/>
        <v>0.5578536018</v>
      </c>
      <c r="AO32" s="240">
        <f t="shared" si="8"/>
        <v>0.2677246636</v>
      </c>
      <c r="AP32" s="240">
        <f t="shared" si="8"/>
        <v>0.2216966591</v>
      </c>
      <c r="AQ32" s="240">
        <f t="shared" si="8"/>
        <v>0.3839503182</v>
      </c>
      <c r="AR32" s="240">
        <f t="shared" si="8"/>
        <v>0.07989003468</v>
      </c>
      <c r="AS32" s="240">
        <f t="shared" si="8"/>
        <v>0.09160554777</v>
      </c>
      <c r="AT32" s="716"/>
    </row>
    <row r="33">
      <c r="A33" s="80"/>
      <c r="B33" s="81"/>
      <c r="C33" s="126"/>
      <c r="D33" s="81"/>
      <c r="E33" s="541"/>
      <c r="F33" s="108"/>
      <c r="G33" s="108"/>
      <c r="H33" s="85"/>
      <c r="I33" s="111"/>
      <c r="J33" s="111"/>
      <c r="K33" s="111"/>
      <c r="L33" s="111"/>
      <c r="M33" s="111"/>
      <c r="N33" s="111"/>
      <c r="O33" s="111"/>
      <c r="P33" s="111"/>
      <c r="Q33" s="111"/>
      <c r="R33" s="86"/>
      <c r="S33" s="86"/>
      <c r="T33" s="86"/>
      <c r="U33" s="86"/>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710"/>
    </row>
    <row r="34">
      <c r="A34" s="80"/>
      <c r="B34" s="81"/>
      <c r="C34" s="126" t="s">
        <v>969</v>
      </c>
      <c r="F34" s="108"/>
      <c r="G34" s="108"/>
      <c r="H34" s="85"/>
      <c r="I34" s="709"/>
      <c r="J34" s="709"/>
      <c r="K34" s="709"/>
      <c r="L34" s="709"/>
      <c r="M34" s="709"/>
      <c r="N34" s="709"/>
      <c r="O34" s="709"/>
      <c r="P34" s="709"/>
      <c r="Q34" s="709"/>
      <c r="R34" s="709"/>
      <c r="S34" s="709"/>
      <c r="T34" s="709"/>
      <c r="U34" s="709"/>
      <c r="V34" s="709"/>
      <c r="W34" s="709"/>
      <c r="X34" s="709"/>
      <c r="Y34" s="709"/>
      <c r="Z34" s="709"/>
      <c r="AA34" s="709"/>
      <c r="AB34" s="709"/>
      <c r="AC34" s="709"/>
      <c r="AD34" s="709"/>
      <c r="AE34" s="709"/>
      <c r="AF34" s="709"/>
      <c r="AG34" s="709"/>
      <c r="AH34" s="709"/>
      <c r="AI34" s="709"/>
      <c r="AJ34" s="709"/>
      <c r="AK34" s="709"/>
      <c r="AL34" s="709"/>
      <c r="AM34" s="709"/>
      <c r="AN34" s="709"/>
      <c r="AO34" s="709"/>
      <c r="AP34" s="709"/>
      <c r="AQ34" s="709"/>
      <c r="AR34" s="709"/>
      <c r="AS34" s="709"/>
      <c r="AT34" s="710"/>
    </row>
    <row r="35">
      <c r="A35" s="80"/>
      <c r="B35" s="81"/>
      <c r="C35" s="126"/>
      <c r="D35" s="81"/>
      <c r="E35" s="548" t="s">
        <v>971</v>
      </c>
      <c r="F35" s="189" t="s">
        <v>122</v>
      </c>
      <c r="G35" s="189" t="s">
        <v>203</v>
      </c>
      <c r="H35" s="191">
        <f>'Main CEA'!H227</f>
        <v>0.328</v>
      </c>
      <c r="I35" s="119" t="str">
        <f>'Main CEA'!I227</f>
        <v>-</v>
      </c>
      <c r="J35" s="119" t="str">
        <f>'Main CEA'!J227</f>
        <v>-</v>
      </c>
      <c r="K35" s="119" t="str">
        <f>'Main CEA'!K227</f>
        <v>-</v>
      </c>
      <c r="L35" s="119" t="str">
        <f>'Main CEA'!L227</f>
        <v>-</v>
      </c>
      <c r="M35" s="119" t="str">
        <f>'Main CEA'!M227</f>
        <v>-</v>
      </c>
      <c r="N35" s="119" t="str">
        <f>'Main CEA'!N227</f>
        <v>-</v>
      </c>
      <c r="O35" s="119" t="str">
        <f>'Main CEA'!O227</f>
        <v>-</v>
      </c>
      <c r="P35" s="119" t="str">
        <f>'Main CEA'!P227</f>
        <v>-</v>
      </c>
      <c r="Q35" s="119" t="str">
        <f>'Main CEA'!Q227</f>
        <v>-</v>
      </c>
      <c r="R35" s="119" t="str">
        <f>'Main CEA'!R227</f>
        <v>-</v>
      </c>
      <c r="S35" s="119" t="str">
        <f>'Main CEA'!S227</f>
        <v>-</v>
      </c>
      <c r="T35" s="119" t="str">
        <f>'Main CEA'!T227</f>
        <v>-</v>
      </c>
      <c r="U35" s="119" t="str">
        <f>'Main CEA'!U227</f>
        <v>-</v>
      </c>
      <c r="V35" s="119" t="str">
        <f>'Main CEA'!V227</f>
        <v>-</v>
      </c>
      <c r="W35" s="119" t="str">
        <f>'Main CEA'!W227</f>
        <v>-</v>
      </c>
      <c r="X35" s="119" t="str">
        <f>'Main CEA'!X227</f>
        <v>-</v>
      </c>
      <c r="Y35" s="119" t="str">
        <f>'Main CEA'!Y227</f>
        <v>-</v>
      </c>
      <c r="Z35" s="119" t="str">
        <f>'Main CEA'!Z227</f>
        <v>-</v>
      </c>
      <c r="AA35" s="119" t="str">
        <f>'Main CEA'!AA227</f>
        <v>-</v>
      </c>
      <c r="AB35" s="119" t="str">
        <f>'Main CEA'!AB227</f>
        <v>-</v>
      </c>
      <c r="AC35" s="119" t="str">
        <f>'Main CEA'!AC227</f>
        <v>-</v>
      </c>
      <c r="AD35" s="119" t="str">
        <f>'Main CEA'!AD227</f>
        <v>-</v>
      </c>
      <c r="AE35" s="119" t="str">
        <f>'Main CEA'!AE227</f>
        <v>-</v>
      </c>
      <c r="AF35" s="119" t="str">
        <f>'Main CEA'!AF227</f>
        <v>-</v>
      </c>
      <c r="AG35" s="119" t="str">
        <f>'Main CEA'!AG227</f>
        <v>-</v>
      </c>
      <c r="AH35" s="119" t="str">
        <f>'Main CEA'!AH227</f>
        <v>-</v>
      </c>
      <c r="AI35" s="119" t="str">
        <f>'Main CEA'!AI227</f>
        <v>-</v>
      </c>
      <c r="AJ35" s="119" t="str">
        <f>'Main CEA'!AJ227</f>
        <v>-</v>
      </c>
      <c r="AK35" s="119" t="str">
        <f>'Main CEA'!AK227</f>
        <v>-</v>
      </c>
      <c r="AL35" s="119" t="str">
        <f>'Main CEA'!AL227</f>
        <v>-</v>
      </c>
      <c r="AM35" s="119" t="str">
        <f>'Main CEA'!AM227</f>
        <v>-</v>
      </c>
      <c r="AN35" s="119" t="str">
        <f>'Main CEA'!AN227</f>
        <v>-</v>
      </c>
      <c r="AO35" s="119" t="str">
        <f>'Main CEA'!AO227</f>
        <v>-</v>
      </c>
      <c r="AP35" s="119" t="str">
        <f>'Main CEA'!AP227</f>
        <v>-</v>
      </c>
      <c r="AQ35" s="119" t="str">
        <f>'Main CEA'!AQ227</f>
        <v>-</v>
      </c>
      <c r="AR35" s="119" t="str">
        <f>'Main CEA'!AR227</f>
        <v>-</v>
      </c>
      <c r="AS35" s="119" t="str">
        <f>'Main CEA'!AS227</f>
        <v>-</v>
      </c>
      <c r="AT35" s="714"/>
    </row>
    <row r="36">
      <c r="A36" s="80"/>
      <c r="B36" s="81"/>
      <c r="C36" s="126"/>
      <c r="D36" s="81"/>
      <c r="E36" s="553" t="s">
        <v>972</v>
      </c>
      <c r="F36" s="215" t="s">
        <v>122</v>
      </c>
      <c r="G36" s="215" t="s">
        <v>203</v>
      </c>
      <c r="H36" s="217">
        <f>'Main CEA'!H207</f>
        <v>-0.07</v>
      </c>
      <c r="I36" s="149" t="str">
        <f>'Main CEA'!I207</f>
        <v>-</v>
      </c>
      <c r="J36" s="149" t="str">
        <f>'Main CEA'!J207</f>
        <v>-</v>
      </c>
      <c r="K36" s="149" t="str">
        <f>'Main CEA'!K207</f>
        <v>-</v>
      </c>
      <c r="L36" s="149" t="str">
        <f>'Main CEA'!L207</f>
        <v>-</v>
      </c>
      <c r="M36" s="149" t="str">
        <f>'Main CEA'!M207</f>
        <v>-</v>
      </c>
      <c r="N36" s="149" t="str">
        <f>'Main CEA'!N207</f>
        <v>-</v>
      </c>
      <c r="O36" s="149" t="str">
        <f>'Main CEA'!O207</f>
        <v>-</v>
      </c>
      <c r="P36" s="149" t="str">
        <f>'Main CEA'!P207</f>
        <v>-</v>
      </c>
      <c r="Q36" s="149" t="str">
        <f>'Main CEA'!Q207</f>
        <v>-</v>
      </c>
      <c r="R36" s="149" t="str">
        <f>'Main CEA'!R207</f>
        <v>-</v>
      </c>
      <c r="S36" s="149" t="str">
        <f>'Main CEA'!S207</f>
        <v>-</v>
      </c>
      <c r="T36" s="149" t="str">
        <f>'Main CEA'!T207</f>
        <v>-</v>
      </c>
      <c r="U36" s="149" t="str">
        <f>'Main CEA'!U207</f>
        <v>-</v>
      </c>
      <c r="V36" s="149" t="str">
        <f>'Main CEA'!V207</f>
        <v>-</v>
      </c>
      <c r="W36" s="149" t="str">
        <f>'Main CEA'!W207</f>
        <v>-</v>
      </c>
      <c r="X36" s="149" t="str">
        <f>'Main CEA'!X207</f>
        <v>-</v>
      </c>
      <c r="Y36" s="149" t="str">
        <f>'Main CEA'!Y207</f>
        <v>-</v>
      </c>
      <c r="Z36" s="149" t="str">
        <f>'Main CEA'!Z207</f>
        <v>-</v>
      </c>
      <c r="AA36" s="149" t="str">
        <f>'Main CEA'!AA207</f>
        <v>-</v>
      </c>
      <c r="AB36" s="149" t="str">
        <f>'Main CEA'!AB207</f>
        <v>-</v>
      </c>
      <c r="AC36" s="149" t="str">
        <f>'Main CEA'!AC207</f>
        <v>-</v>
      </c>
      <c r="AD36" s="149" t="str">
        <f>'Main CEA'!AD207</f>
        <v>-</v>
      </c>
      <c r="AE36" s="149" t="str">
        <f>'Main CEA'!AE207</f>
        <v>-</v>
      </c>
      <c r="AF36" s="149" t="str">
        <f>'Main CEA'!AF207</f>
        <v>-</v>
      </c>
      <c r="AG36" s="149" t="str">
        <f>'Main CEA'!AG207</f>
        <v>-</v>
      </c>
      <c r="AH36" s="149" t="str">
        <f>'Main CEA'!AH207</f>
        <v>-</v>
      </c>
      <c r="AI36" s="149" t="str">
        <f>'Main CEA'!AI207</f>
        <v>-</v>
      </c>
      <c r="AJ36" s="149" t="str">
        <f>'Main CEA'!AJ207</f>
        <v>-</v>
      </c>
      <c r="AK36" s="149" t="str">
        <f>'Main CEA'!AK207</f>
        <v>-</v>
      </c>
      <c r="AL36" s="149" t="str">
        <f>'Main CEA'!AL207</f>
        <v>-</v>
      </c>
      <c r="AM36" s="149" t="str">
        <f>'Main CEA'!AM207</f>
        <v>-</v>
      </c>
      <c r="AN36" s="149" t="str">
        <f>'Main CEA'!AN207</f>
        <v>-</v>
      </c>
      <c r="AO36" s="149" t="str">
        <f>'Main CEA'!AO207</f>
        <v>-</v>
      </c>
      <c r="AP36" s="149" t="str">
        <f>'Main CEA'!AP207</f>
        <v>-</v>
      </c>
      <c r="AQ36" s="149" t="str">
        <f>'Main CEA'!AQ207</f>
        <v>-</v>
      </c>
      <c r="AR36" s="149" t="str">
        <f>'Main CEA'!AR207</f>
        <v>-</v>
      </c>
      <c r="AS36" s="149" t="str">
        <f>'Main CEA'!AS207</f>
        <v>-</v>
      </c>
      <c r="AT36" s="715"/>
    </row>
    <row r="37">
      <c r="A37" s="80"/>
      <c r="B37" s="81"/>
      <c r="C37" s="126"/>
      <c r="D37" s="81"/>
      <c r="E37" s="553" t="s">
        <v>974</v>
      </c>
      <c r="F37" s="215" t="s">
        <v>122</v>
      </c>
      <c r="G37" s="215" t="s">
        <v>203</v>
      </c>
      <c r="H37" s="217" t="str">
        <f>LeverageFunging!H95</f>
        <v>-</v>
      </c>
      <c r="I37" s="149">
        <f>LeverageFunging!I95</f>
        <v>-0.04389222939</v>
      </c>
      <c r="J37" s="149">
        <f>LeverageFunging!J95</f>
        <v>-0.05871560674</v>
      </c>
      <c r="K37" s="149">
        <f>LeverageFunging!K95</f>
        <v>-0.04143220233</v>
      </c>
      <c r="L37" s="149">
        <f>LeverageFunging!L95</f>
        <v>-0.08453609522</v>
      </c>
      <c r="M37" s="149">
        <f>LeverageFunging!M95</f>
        <v>-0.06509396122</v>
      </c>
      <c r="N37" s="149">
        <f>LeverageFunging!N95</f>
        <v>-0.05653573269</v>
      </c>
      <c r="O37" s="149">
        <f>LeverageFunging!O95</f>
        <v>-0.05129101533</v>
      </c>
      <c r="P37" s="149">
        <f>LeverageFunging!P95</f>
        <v>-0.03944465594</v>
      </c>
      <c r="Q37" s="149">
        <f>LeverageFunging!Q95</f>
        <v>-0.03420496148</v>
      </c>
      <c r="R37" s="149">
        <f>LeverageFunging!R95</f>
        <v>-0.1042663911</v>
      </c>
      <c r="S37" s="149">
        <f>LeverageFunging!S95</f>
        <v>-0.05891436564</v>
      </c>
      <c r="T37" s="149">
        <f>LeverageFunging!T95</f>
        <v>-0.1385821425</v>
      </c>
      <c r="U37" s="149">
        <f>LeverageFunging!U95</f>
        <v>-0.1397052583</v>
      </c>
      <c r="V37" s="149">
        <f>LeverageFunging!V95</f>
        <v>-0.1180359655</v>
      </c>
      <c r="W37" s="149">
        <f>LeverageFunging!W95</f>
        <v>-0.09698169505</v>
      </c>
      <c r="X37" s="149">
        <f>LeverageFunging!X95</f>
        <v>-0.1213887277</v>
      </c>
      <c r="Y37" s="149">
        <f>LeverageFunging!Y95</f>
        <v>-0.08916235679</v>
      </c>
      <c r="Z37" s="149">
        <f>LeverageFunging!Z95</f>
        <v>-0.130320669</v>
      </c>
      <c r="AA37" s="149">
        <f>LeverageFunging!AA95</f>
        <v>-0.0179432682</v>
      </c>
      <c r="AB37" s="149">
        <f>LeverageFunging!AB95</f>
        <v>-0.09823154147</v>
      </c>
      <c r="AC37" s="149">
        <f>LeverageFunging!AC95</f>
        <v>-0.08071465435</v>
      </c>
      <c r="AD37" s="149">
        <f>LeverageFunging!AD95</f>
        <v>-0.05763144302</v>
      </c>
      <c r="AE37" s="149">
        <f>LeverageFunging!AE95</f>
        <v>-0.1022441881</v>
      </c>
      <c r="AF37" s="149">
        <f>LeverageFunging!AF95</f>
        <v>-0.1022664874</v>
      </c>
      <c r="AG37" s="149">
        <f>LeverageFunging!AG95</f>
        <v>-0.1299149306</v>
      </c>
      <c r="AH37" s="149">
        <f>LeverageFunging!AH95</f>
        <v>-0.202746002</v>
      </c>
      <c r="AI37" s="149">
        <f>LeverageFunging!AI95</f>
        <v>-0.1279423332</v>
      </c>
      <c r="AJ37" s="149">
        <f>LeverageFunging!AJ95</f>
        <v>-0.1196675563</v>
      </c>
      <c r="AK37" s="149">
        <f>LeverageFunging!AK95</f>
        <v>-0.09297972513</v>
      </c>
      <c r="AL37" s="149">
        <f>LeverageFunging!AL95</f>
        <v>-0.1789692178</v>
      </c>
      <c r="AM37" s="149">
        <f>LeverageFunging!AM95</f>
        <v>-0.1546380873</v>
      </c>
      <c r="AN37" s="149">
        <f>LeverageFunging!AN95</f>
        <v>-0.1588186883</v>
      </c>
      <c r="AO37" s="149">
        <f>LeverageFunging!AO95</f>
        <v>-0.2148037363</v>
      </c>
      <c r="AP37" s="149">
        <f>LeverageFunging!AP95</f>
        <v>-0.126705157</v>
      </c>
      <c r="AQ37" s="149">
        <f>LeverageFunging!AQ95</f>
        <v>-0.107912169</v>
      </c>
      <c r="AR37" s="149">
        <f>LeverageFunging!AR95</f>
        <v>-0.06346006704</v>
      </c>
      <c r="AS37" s="149">
        <f>LeverageFunging!AS95</f>
        <v>-0.06556101841</v>
      </c>
      <c r="AT37" s="715"/>
    </row>
    <row r="38">
      <c r="A38" s="80"/>
      <c r="B38" s="81"/>
      <c r="C38" s="126"/>
      <c r="D38" s="81"/>
      <c r="E38" s="558" t="s">
        <v>975</v>
      </c>
      <c r="F38" s="195" t="s">
        <v>122</v>
      </c>
      <c r="G38" s="195" t="s">
        <v>203</v>
      </c>
      <c r="H38" s="315" t="str">
        <f>LeverageFunging!H96</f>
        <v>-</v>
      </c>
      <c r="I38" s="240">
        <f>LeverageFunging!I96</f>
        <v>-0.09454246312</v>
      </c>
      <c r="J38" s="240">
        <f>LeverageFunging!J96</f>
        <v>-0.08809133855</v>
      </c>
      <c r="K38" s="240">
        <f>LeverageFunging!K96</f>
        <v>-0.0934462414</v>
      </c>
      <c r="L38" s="240">
        <f>LeverageFunging!L96</f>
        <v>-0.07767313257</v>
      </c>
      <c r="M38" s="240">
        <f>LeverageFunging!M96</f>
        <v>-0.09030202996</v>
      </c>
      <c r="N38" s="240">
        <f>LeverageFunging!N96</f>
        <v>-0.09369868863</v>
      </c>
      <c r="O38" s="240">
        <f>LeverageFunging!O96</f>
        <v>-0.0959228956</v>
      </c>
      <c r="P38" s="240">
        <f>LeverageFunging!P96</f>
        <v>-0.09746520692</v>
      </c>
      <c r="Q38" s="240">
        <f>LeverageFunging!Q96</f>
        <v>-0.09656088237</v>
      </c>
      <c r="R38" s="240">
        <f>LeverageFunging!R96</f>
        <v>-0.03013590142</v>
      </c>
      <c r="S38" s="240">
        <f>LeverageFunging!S96</f>
        <v>-0.06888392591</v>
      </c>
      <c r="T38" s="240">
        <f>LeverageFunging!T96</f>
        <v>-0.02902876987</v>
      </c>
      <c r="U38" s="240">
        <f>LeverageFunging!U96</f>
        <v>-0.04268840727</v>
      </c>
      <c r="V38" s="240">
        <f>LeverageFunging!V96</f>
        <v>-0.05852445801</v>
      </c>
      <c r="W38" s="240">
        <f>LeverageFunging!W96</f>
        <v>-0.06584179742</v>
      </c>
      <c r="X38" s="240">
        <f>LeverageFunging!X96</f>
        <v>-0.0839086216</v>
      </c>
      <c r="Y38" s="240">
        <f>LeverageFunging!Y96</f>
        <v>-0.007350728345</v>
      </c>
      <c r="Z38" s="240">
        <f>LeverageFunging!Z96</f>
        <v>-0.05043666533</v>
      </c>
      <c r="AA38" s="240">
        <f>LeverageFunging!AA96</f>
        <v>0.07722667056</v>
      </c>
      <c r="AB38" s="240">
        <f>LeverageFunging!AB96</f>
        <v>-0.02146159767</v>
      </c>
      <c r="AC38" s="240">
        <f>LeverageFunging!AC96</f>
        <v>0.02190481959</v>
      </c>
      <c r="AD38" s="240">
        <f>LeverageFunging!AD96</f>
        <v>0.05980402274</v>
      </c>
      <c r="AE38" s="240">
        <f>LeverageFunging!AE96</f>
        <v>-0.007625827666</v>
      </c>
      <c r="AF38" s="240">
        <f>LeverageFunging!AF96</f>
        <v>0.0249304735</v>
      </c>
      <c r="AG38" s="240">
        <f>LeverageFunging!AG96</f>
        <v>-0.04664036756</v>
      </c>
      <c r="AH38" s="240">
        <f>LeverageFunging!AH96</f>
        <v>-0.05682839979</v>
      </c>
      <c r="AI38" s="240">
        <f>LeverageFunging!AI96</f>
        <v>0.02836591757</v>
      </c>
      <c r="AJ38" s="240">
        <f>LeverageFunging!AJ96</f>
        <v>-0.07038132924</v>
      </c>
      <c r="AK38" s="240">
        <f>LeverageFunging!AK96</f>
        <v>-0.08512270297</v>
      </c>
      <c r="AL38" s="240">
        <f>LeverageFunging!AL96</f>
        <v>-0.06566372359</v>
      </c>
      <c r="AM38" s="240">
        <f>LeverageFunging!AM96</f>
        <v>-0.05900638568</v>
      </c>
      <c r="AN38" s="240">
        <f>LeverageFunging!AN96</f>
        <v>0.01656155738</v>
      </c>
      <c r="AO38" s="240">
        <f>LeverageFunging!AO96</f>
        <v>-0.04405986868</v>
      </c>
      <c r="AP38" s="240">
        <f>LeverageFunging!AP96</f>
        <v>-0.05367725911</v>
      </c>
      <c r="AQ38" s="240">
        <f>LeverageFunging!AQ96</f>
        <v>-0.01977492499</v>
      </c>
      <c r="AR38" s="240">
        <f>LeverageFunging!AR96</f>
        <v>-0.0833072569</v>
      </c>
      <c r="AS38" s="240">
        <f>LeverageFunging!AS96</f>
        <v>-0.08085934145</v>
      </c>
      <c r="AT38" s="716"/>
    </row>
    <row r="39">
      <c r="A39" s="80"/>
      <c r="B39" s="81"/>
      <c r="C39" s="126"/>
      <c r="D39" s="81"/>
      <c r="E39" s="541"/>
      <c r="F39" s="108"/>
      <c r="G39" s="108"/>
      <c r="H39" s="85"/>
      <c r="I39" s="709"/>
      <c r="J39" s="709"/>
      <c r="K39" s="709"/>
      <c r="L39" s="709"/>
      <c r="M39" s="709"/>
      <c r="N39" s="709"/>
      <c r="O39" s="709"/>
      <c r="P39" s="709"/>
      <c r="Q39" s="709"/>
      <c r="R39" s="709"/>
      <c r="S39" s="709"/>
      <c r="T39" s="709"/>
      <c r="U39" s="709"/>
      <c r="V39" s="709"/>
      <c r="W39" s="709"/>
      <c r="X39" s="709"/>
      <c r="Y39" s="709"/>
      <c r="Z39" s="709"/>
      <c r="AA39" s="709"/>
      <c r="AB39" s="709"/>
      <c r="AC39" s="709"/>
      <c r="AD39" s="709"/>
      <c r="AE39" s="709"/>
      <c r="AF39" s="709"/>
      <c r="AG39" s="709"/>
      <c r="AH39" s="709"/>
      <c r="AI39" s="709"/>
      <c r="AJ39" s="709"/>
      <c r="AK39" s="709"/>
      <c r="AL39" s="709"/>
      <c r="AM39" s="709"/>
      <c r="AN39" s="709"/>
      <c r="AO39" s="709"/>
      <c r="AP39" s="709"/>
      <c r="AQ39" s="709"/>
      <c r="AR39" s="709"/>
      <c r="AS39" s="709"/>
      <c r="AT39" s="710"/>
    </row>
    <row r="40">
      <c r="A40" s="80"/>
      <c r="B40" s="81"/>
      <c r="C40" s="126" t="s">
        <v>978</v>
      </c>
      <c r="F40" s="326"/>
      <c r="G40" s="326"/>
      <c r="H40" s="728"/>
      <c r="I40" s="729"/>
      <c r="J40" s="729"/>
      <c r="K40" s="729"/>
      <c r="L40" s="729"/>
      <c r="M40" s="729"/>
      <c r="N40" s="729"/>
      <c r="O40" s="729"/>
      <c r="P40" s="729"/>
      <c r="Q40" s="729"/>
      <c r="R40" s="729"/>
      <c r="S40" s="729"/>
      <c r="T40" s="729"/>
      <c r="U40" s="729"/>
      <c r="V40" s="729"/>
      <c r="W40" s="729"/>
      <c r="X40" s="729"/>
      <c r="Y40" s="729"/>
      <c r="Z40" s="729"/>
      <c r="AA40" s="729"/>
      <c r="AB40" s="729"/>
      <c r="AC40" s="729"/>
      <c r="AD40" s="729"/>
      <c r="AE40" s="729"/>
      <c r="AF40" s="729"/>
      <c r="AG40" s="729"/>
      <c r="AH40" s="729"/>
      <c r="AI40" s="729"/>
      <c r="AJ40" s="729"/>
      <c r="AK40" s="729"/>
      <c r="AL40" s="729"/>
      <c r="AM40" s="729"/>
      <c r="AN40" s="729"/>
      <c r="AO40" s="729"/>
      <c r="AP40" s="729"/>
      <c r="AQ40" s="729"/>
      <c r="AR40" s="729"/>
      <c r="AS40" s="729"/>
      <c r="AT40" s="710"/>
    </row>
    <row r="41">
      <c r="A41" s="80"/>
      <c r="B41" s="81"/>
      <c r="C41" s="126"/>
      <c r="D41" s="81"/>
      <c r="E41" s="730" t="s">
        <v>979</v>
      </c>
      <c r="F41" s="731" t="s">
        <v>129</v>
      </c>
      <c r="G41" s="731" t="s">
        <v>149</v>
      </c>
      <c r="H41" s="732" t="s">
        <v>150</v>
      </c>
      <c r="I41" s="733">
        <f t="shared" ref="I41:AS41" si="9">I21/I29*(1+$H35)*(1+$H36)*(1+SUM(I37:I38))</f>
        <v>23.79888889</v>
      </c>
      <c r="J41" s="733">
        <f t="shared" si="9"/>
        <v>10.80064073</v>
      </c>
      <c r="K41" s="733">
        <f t="shared" si="9"/>
        <v>19.89994382</v>
      </c>
      <c r="L41" s="733">
        <f t="shared" si="9"/>
        <v>5.656827509</v>
      </c>
      <c r="M41" s="733">
        <f t="shared" si="9"/>
        <v>13.12917563</v>
      </c>
      <c r="N41" s="733">
        <f t="shared" si="9"/>
        <v>20.32981152</v>
      </c>
      <c r="O41" s="733">
        <f t="shared" si="9"/>
        <v>31.53213901</v>
      </c>
      <c r="P41" s="733">
        <f t="shared" si="9"/>
        <v>51.33089054</v>
      </c>
      <c r="Q41" s="733">
        <f t="shared" si="9"/>
        <v>38.10262623</v>
      </c>
      <c r="R41" s="733">
        <f t="shared" si="9"/>
        <v>1.867786341</v>
      </c>
      <c r="S41" s="733">
        <f t="shared" si="9"/>
        <v>4.225686691</v>
      </c>
      <c r="T41" s="733">
        <f t="shared" si="9"/>
        <v>1.768109683</v>
      </c>
      <c r="U41" s="733">
        <f t="shared" si="9"/>
        <v>2.150636078</v>
      </c>
      <c r="V41" s="733">
        <f t="shared" si="9"/>
        <v>2.992986954</v>
      </c>
      <c r="W41" s="733">
        <f t="shared" si="9"/>
        <v>3.694768058</v>
      </c>
      <c r="X41" s="733">
        <f t="shared" si="9"/>
        <v>7.445203475</v>
      </c>
      <c r="Y41" s="733">
        <f t="shared" si="9"/>
        <v>1.470093695</v>
      </c>
      <c r="Z41" s="733">
        <f t="shared" si="9"/>
        <v>2.491823062</v>
      </c>
      <c r="AA41" s="733">
        <f t="shared" si="9"/>
        <v>0.9010486621</v>
      </c>
      <c r="AB41" s="733">
        <f t="shared" si="9"/>
        <v>1.689729482</v>
      </c>
      <c r="AC41" s="733">
        <f t="shared" si="9"/>
        <v>1.163916063</v>
      </c>
      <c r="AD41" s="733">
        <f t="shared" si="9"/>
        <v>0.9454095081</v>
      </c>
      <c r="AE41" s="733">
        <f t="shared" si="9"/>
        <v>1.452673546</v>
      </c>
      <c r="AF41" s="733">
        <f t="shared" si="9"/>
        <v>1.113372117</v>
      </c>
      <c r="AG41" s="733">
        <f t="shared" si="9"/>
        <v>2.326412741</v>
      </c>
      <c r="AH41" s="733">
        <f t="shared" si="9"/>
        <v>2.58552318</v>
      </c>
      <c r="AI41" s="733">
        <f t="shared" si="9"/>
        <v>1.057455961</v>
      </c>
      <c r="AJ41" s="733">
        <f t="shared" si="9"/>
        <v>4.122478511</v>
      </c>
      <c r="AK41" s="733">
        <f t="shared" si="9"/>
        <v>8.328347179</v>
      </c>
      <c r="AL41" s="733">
        <f t="shared" si="9"/>
        <v>3.316423642</v>
      </c>
      <c r="AM41" s="733">
        <f t="shared" si="9"/>
        <v>2.891797582</v>
      </c>
      <c r="AN41" s="733">
        <f t="shared" si="9"/>
        <v>1.109345771</v>
      </c>
      <c r="AO41" s="733">
        <f t="shared" si="9"/>
        <v>1.997283971</v>
      </c>
      <c r="AP41" s="733">
        <f t="shared" si="9"/>
        <v>2.667363328</v>
      </c>
      <c r="AQ41" s="733">
        <f t="shared" si="9"/>
        <v>1.639182556</v>
      </c>
      <c r="AR41" s="733">
        <f t="shared" si="9"/>
        <v>7.705572783</v>
      </c>
      <c r="AS41" s="733">
        <f t="shared" si="9"/>
        <v>6.722833091</v>
      </c>
      <c r="AT41" s="714"/>
    </row>
    <row r="42">
      <c r="A42" s="80"/>
      <c r="B42" s="81"/>
      <c r="C42" s="126"/>
      <c r="D42" s="81"/>
      <c r="E42" s="530" t="s">
        <v>981</v>
      </c>
      <c r="F42" s="93" t="s">
        <v>118</v>
      </c>
      <c r="G42" s="93" t="s">
        <v>149</v>
      </c>
      <c r="H42" s="129" t="s">
        <v>150</v>
      </c>
      <c r="I42" s="131">
        <f>I19*('Main CEA'!I50/SUM('Main CEA'!I50,'Main CEA'!I63,'Main CEA'!I76,'Main CEA'!I89))/(1+'Main CEA'!I254)</f>
        <v>2098.444589</v>
      </c>
      <c r="J42" s="131">
        <f>J19*('Main CEA'!J50/SUM('Main CEA'!J50,'Main CEA'!J63,'Main CEA'!J76,'Main CEA'!J89))/(1+'Main CEA'!J254)</f>
        <v>4833.199767</v>
      </c>
      <c r="K42" s="131">
        <f>K19*('Main CEA'!K50/SUM('Main CEA'!K50,'Main CEA'!K63,'Main CEA'!K76,'Main CEA'!K89))/(1+'Main CEA'!K254)</f>
        <v>2526.146723</v>
      </c>
      <c r="L42" s="131">
        <f>L19*('Main CEA'!L50/SUM('Main CEA'!L50,'Main CEA'!L63,'Main CEA'!L76,'Main CEA'!L89))/(1+'Main CEA'!L254)</f>
        <v>9843.173171</v>
      </c>
      <c r="M42" s="131">
        <f>M19*('Main CEA'!M50/SUM('Main CEA'!M50,'Main CEA'!M63,'Main CEA'!M76,'Main CEA'!M89))/(1+'Main CEA'!M254)</f>
        <v>3998.812456</v>
      </c>
      <c r="N42" s="131">
        <f>N19*('Main CEA'!N50/SUM('Main CEA'!N50,'Main CEA'!N63,'Main CEA'!N76,'Main CEA'!N89))/(1+'Main CEA'!N254)</f>
        <v>2419.441217</v>
      </c>
      <c r="O42" s="131">
        <f>O19*('Main CEA'!O50/SUM('Main CEA'!O50,'Main CEA'!O63,'Main CEA'!O76,'Main CEA'!O89))/(1+'Main CEA'!O254)</f>
        <v>1524.275516</v>
      </c>
      <c r="P42" s="131">
        <f>P19*('Main CEA'!P50/SUM('Main CEA'!P50,'Main CEA'!P63,'Main CEA'!P76,'Main CEA'!P89))/(1+'Main CEA'!P254)</f>
        <v>956.836408</v>
      </c>
      <c r="Q42" s="131">
        <f>Q19*('Main CEA'!Q50/SUM('Main CEA'!Q50,'Main CEA'!Q63,'Main CEA'!Q76,'Main CEA'!Q89))/(1+'Main CEA'!Q254)</f>
        <v>1301.769857</v>
      </c>
      <c r="R42" s="131">
        <f>R19*('Main CEA'!R50/SUM('Main CEA'!R50,'Main CEA'!R63,'Main CEA'!R76,'Main CEA'!R89))/(1+'Main CEA'!R254)</f>
        <v>38823.81502</v>
      </c>
      <c r="S42" s="131">
        <f>S19*('Main CEA'!S50/SUM('Main CEA'!S50,'Main CEA'!S63,'Main CEA'!S76,'Main CEA'!S89))/(1+'Main CEA'!S254)</f>
        <v>13860.17991</v>
      </c>
      <c r="T42" s="131">
        <f>T19*('Main CEA'!T50/SUM('Main CEA'!T50,'Main CEA'!T63,'Main CEA'!T76,'Main CEA'!T89))/(1+'Main CEA'!T254)</f>
        <v>38740.36558</v>
      </c>
      <c r="U42" s="131">
        <f>U19*('Main CEA'!U50/SUM('Main CEA'!U50,'Main CEA'!U63,'Main CEA'!U76,'Main CEA'!U89))/(1+'Main CEA'!U254)</f>
        <v>29866.53829</v>
      </c>
      <c r="V42" s="131">
        <f>V19*('Main CEA'!V50/SUM('Main CEA'!V50,'Main CEA'!V63,'Main CEA'!V76,'Main CEA'!V89))/(1+'Main CEA'!V254)</f>
        <v>19539.28122</v>
      </c>
      <c r="W42" s="131">
        <f>W19*('Main CEA'!W50/SUM('Main CEA'!W50,'Main CEA'!W63,'Main CEA'!W76,'Main CEA'!W89))/(1+'Main CEA'!W254)</f>
        <v>15047.2437</v>
      </c>
      <c r="X42" s="131">
        <f>X19*('Main CEA'!X50/SUM('Main CEA'!X50,'Main CEA'!X63,'Main CEA'!X76,'Main CEA'!X89))/(1+'Main CEA'!X254)</f>
        <v>6627.157653</v>
      </c>
      <c r="Y42" s="131">
        <f>Y19*('Main CEA'!Y50/SUM('Main CEA'!Y50,'Main CEA'!Y63,'Main CEA'!Y76,'Main CEA'!Y89))/(1+'Main CEA'!Y254)</f>
        <v>54796.00786</v>
      </c>
      <c r="Z42" s="131">
        <f>Z19*('Main CEA'!Z50/SUM('Main CEA'!Z50,'Main CEA'!Z63,'Main CEA'!Z76,'Main CEA'!Z89))/(1+'Main CEA'!Z254)</f>
        <v>25006.86887</v>
      </c>
      <c r="AA42" s="131">
        <f>AA19*('Main CEA'!AA50/SUM('Main CEA'!AA50,'Main CEA'!AA63,'Main CEA'!AA76,'Main CEA'!AA89))/(1+'Main CEA'!AA254)</f>
        <v>375843.3226</v>
      </c>
      <c r="AB42" s="131">
        <f>AB19*('Main CEA'!AB50/SUM('Main CEA'!AB50,'Main CEA'!AB63,'Main CEA'!AB76,'Main CEA'!AB89))/(1+'Main CEA'!AB254)</f>
        <v>46168.62542</v>
      </c>
      <c r="AC42" s="131">
        <f>AC19*('Main CEA'!AC50/SUM('Main CEA'!AC50,'Main CEA'!AC63,'Main CEA'!AC76,'Main CEA'!AC89))/(1+'Main CEA'!AC254)</f>
        <v>98474.74691</v>
      </c>
      <c r="AD42" s="131">
        <f>AD19*('Main CEA'!AD50/SUM('Main CEA'!AD50,'Main CEA'!AD63,'Main CEA'!AD76,'Main CEA'!AD89))/(1+'Main CEA'!AD254)</f>
        <v>207912.6016</v>
      </c>
      <c r="AE42" s="131">
        <f>AE19*('Main CEA'!AE50/SUM('Main CEA'!AE50,'Main CEA'!AE63,'Main CEA'!AE76,'Main CEA'!AE89))/(1+'Main CEA'!AE254)</f>
        <v>60194.32321</v>
      </c>
      <c r="AF42" s="131">
        <f>AF19*('Main CEA'!AF50/SUM('Main CEA'!AF50,'Main CEA'!AF63,'Main CEA'!AF76,'Main CEA'!AF89))/(1+'Main CEA'!AF254)</f>
        <v>102954.2122</v>
      </c>
      <c r="AG42" s="131">
        <f>AG19*('Main CEA'!AG50/SUM('Main CEA'!AG50,'Main CEA'!AG63,'Main CEA'!AG76,'Main CEA'!AG89))/(1+'Main CEA'!AG254)</f>
        <v>26429.2006</v>
      </c>
      <c r="AH42" s="131">
        <f>AH19*('Main CEA'!AH50/SUM('Main CEA'!AH50,'Main CEA'!AH63,'Main CEA'!AH76,'Main CEA'!AH89))/(1+'Main CEA'!AH254)</f>
        <v>20715.15394</v>
      </c>
      <c r="AI42" s="131">
        <f>AI19*('Main CEA'!AI50/SUM('Main CEA'!AI50,'Main CEA'!AI63,'Main CEA'!AI76,'Main CEA'!AI89))/(1+'Main CEA'!AI254)</f>
        <v>115978.0218</v>
      </c>
      <c r="AJ42" s="131">
        <f>AJ19*('Main CEA'!AJ50/SUM('Main CEA'!AJ50,'Main CEA'!AJ63,'Main CEA'!AJ76,'Main CEA'!AJ89))/(1+'Main CEA'!AJ254)</f>
        <v>13369.02125</v>
      </c>
      <c r="AK42" s="131">
        <f>AK19*('Main CEA'!AK50/SUM('Main CEA'!AK50,'Main CEA'!AK63,'Main CEA'!AK76,'Main CEA'!AK89))/(1+'Main CEA'!AK254)</f>
        <v>6052.446062</v>
      </c>
      <c r="AL42" s="131">
        <f>AL19*('Main CEA'!AL50/SUM('Main CEA'!AL50,'Main CEA'!AL63,'Main CEA'!AL76,'Main CEA'!AL89))/(1+'Main CEA'!AL254)</f>
        <v>15749.44405</v>
      </c>
      <c r="AM42" s="131">
        <f>AM19*('Main CEA'!AM50/SUM('Main CEA'!AM50,'Main CEA'!AM63,'Main CEA'!AM76,'Main CEA'!AM89))/(1+'Main CEA'!AM254)</f>
        <v>19523.78241</v>
      </c>
      <c r="AN42" s="131">
        <f>AN19*('Main CEA'!AN50/SUM('Main CEA'!AN50,'Main CEA'!AN63,'Main CEA'!AN76,'Main CEA'!AN89))/(1+'Main CEA'!AN254)</f>
        <v>86592.83093</v>
      </c>
      <c r="AO42" s="131">
        <f>AO19*('Main CEA'!AO50/SUM('Main CEA'!AO50,'Main CEA'!AO63,'Main CEA'!AO76,'Main CEA'!AO89))/(1+'Main CEA'!AO254)</f>
        <v>30640.75286</v>
      </c>
      <c r="AP42" s="131">
        <f>AP19*('Main CEA'!AP50/SUM('Main CEA'!AP50,'Main CEA'!AP63,'Main CEA'!AP76,'Main CEA'!AP89))/(1+'Main CEA'!AP254)</f>
        <v>22084.39378</v>
      </c>
      <c r="AQ42" s="131">
        <f>AQ19*('Main CEA'!AQ50/SUM('Main CEA'!AQ50,'Main CEA'!AQ63,'Main CEA'!AQ76,'Main CEA'!AQ89))/(1+'Main CEA'!AQ254)</f>
        <v>47114.95684</v>
      </c>
      <c r="AR42" s="131">
        <f>AR19*('Main CEA'!AR50/SUM('Main CEA'!AR50,'Main CEA'!AR63,'Main CEA'!AR76,'Main CEA'!AR89))/(1+'Main CEA'!AR254)</f>
        <v>7077.1339</v>
      </c>
      <c r="AS42" s="131">
        <f>AS19*('Main CEA'!AS50/SUM('Main CEA'!AS50,'Main CEA'!AS63,'Main CEA'!AS76,'Main CEA'!AS89))/(1+'Main CEA'!AS254)</f>
        <v>7481.395159</v>
      </c>
      <c r="AT42" s="711"/>
    </row>
    <row r="43">
      <c r="A43" s="333"/>
      <c r="B43" s="334"/>
      <c r="C43" s="737"/>
      <c r="D43" s="334"/>
      <c r="E43" s="738"/>
      <c r="F43" s="93"/>
      <c r="G43" s="93"/>
      <c r="H43" s="337"/>
      <c r="I43" s="739"/>
      <c r="J43" s="739"/>
      <c r="K43" s="739"/>
      <c r="L43" s="739"/>
      <c r="M43" s="739"/>
      <c r="N43" s="739"/>
      <c r="O43" s="739"/>
      <c r="P43" s="739"/>
      <c r="Q43" s="739"/>
      <c r="R43" s="739"/>
      <c r="S43" s="739"/>
      <c r="T43" s="739"/>
      <c r="U43" s="739"/>
      <c r="V43" s="739"/>
      <c r="W43" s="739"/>
      <c r="X43" s="739"/>
      <c r="Y43" s="739"/>
      <c r="Z43" s="739"/>
      <c r="AA43" s="739"/>
      <c r="AB43" s="739"/>
      <c r="AC43" s="739"/>
      <c r="AD43" s="739"/>
      <c r="AE43" s="739"/>
      <c r="AF43" s="739"/>
      <c r="AG43" s="739"/>
      <c r="AH43" s="739"/>
      <c r="AI43" s="739"/>
      <c r="AJ43" s="739"/>
      <c r="AK43" s="739"/>
      <c r="AL43" s="739"/>
      <c r="AM43" s="739"/>
      <c r="AN43" s="739"/>
      <c r="AO43" s="739"/>
      <c r="AP43" s="739"/>
      <c r="AQ43" s="739"/>
      <c r="AR43" s="739"/>
      <c r="AS43" s="739"/>
      <c r="AT43" s="711"/>
    </row>
    <row r="44" hidden="1">
      <c r="A44" s="740" t="s">
        <v>988</v>
      </c>
      <c r="B44" s="14"/>
      <c r="C44" s="14"/>
      <c r="D44" s="14"/>
      <c r="E44" s="14"/>
      <c r="F44" s="14"/>
      <c r="G44" s="482"/>
      <c r="H44" s="73"/>
      <c r="I44" s="707"/>
      <c r="J44" s="707"/>
      <c r="K44" s="707"/>
      <c r="L44" s="707"/>
      <c r="M44" s="707"/>
      <c r="N44" s="707"/>
      <c r="O44" s="707"/>
      <c r="P44" s="707"/>
      <c r="Q44" s="707"/>
      <c r="R44" s="707"/>
      <c r="S44" s="707"/>
      <c r="T44" s="707"/>
      <c r="U44" s="707"/>
      <c r="V44" s="707"/>
      <c r="W44" s="707"/>
      <c r="X44" s="707"/>
      <c r="Y44" s="707"/>
      <c r="Z44" s="707"/>
      <c r="AA44" s="707"/>
      <c r="AB44" s="707"/>
      <c r="AC44" s="707"/>
      <c r="AD44" s="707"/>
      <c r="AE44" s="707"/>
      <c r="AF44" s="707"/>
      <c r="AG44" s="707"/>
      <c r="AH44" s="707"/>
      <c r="AI44" s="707"/>
      <c r="AJ44" s="707"/>
      <c r="AK44" s="707"/>
      <c r="AL44" s="707"/>
      <c r="AM44" s="707"/>
      <c r="AN44" s="707"/>
      <c r="AO44" s="707"/>
      <c r="AP44" s="707"/>
      <c r="AQ44" s="707"/>
      <c r="AR44" s="707"/>
      <c r="AS44" s="707"/>
      <c r="AT44" s="708"/>
    </row>
    <row r="45" hidden="1">
      <c r="A45" s="80"/>
      <c r="B45" s="81"/>
      <c r="C45" s="126"/>
      <c r="D45" s="81"/>
      <c r="E45" s="624"/>
      <c r="F45" s="326"/>
      <c r="G45" s="326"/>
      <c r="H45" s="728"/>
      <c r="I45" s="729"/>
      <c r="J45" s="729"/>
      <c r="K45" s="729"/>
      <c r="L45" s="729"/>
      <c r="M45" s="729"/>
      <c r="N45" s="729"/>
      <c r="O45" s="729"/>
      <c r="P45" s="729"/>
      <c r="Q45" s="729"/>
      <c r="R45" s="729"/>
      <c r="S45" s="729"/>
      <c r="T45" s="729"/>
      <c r="U45" s="729"/>
      <c r="V45" s="729"/>
      <c r="W45" s="729"/>
      <c r="X45" s="729"/>
      <c r="Y45" s="729"/>
      <c r="Z45" s="729"/>
      <c r="AA45" s="729"/>
      <c r="AB45" s="729"/>
      <c r="AC45" s="729"/>
      <c r="AD45" s="729"/>
      <c r="AE45" s="729"/>
      <c r="AF45" s="729"/>
      <c r="AG45" s="729"/>
      <c r="AH45" s="729"/>
      <c r="AI45" s="729"/>
      <c r="AJ45" s="729"/>
      <c r="AK45" s="729"/>
      <c r="AL45" s="729"/>
      <c r="AM45" s="729"/>
      <c r="AN45" s="729"/>
      <c r="AO45" s="729"/>
      <c r="AP45" s="729"/>
      <c r="AQ45" s="729"/>
      <c r="AR45" s="729"/>
      <c r="AS45" s="729"/>
      <c r="AT45" s="710"/>
    </row>
    <row r="46" hidden="1">
      <c r="A46" s="80"/>
      <c r="B46" s="81"/>
      <c r="C46" s="126" t="s">
        <v>932</v>
      </c>
      <c r="F46" s="326"/>
      <c r="G46" s="326"/>
      <c r="H46" s="728"/>
      <c r="I46" s="729"/>
      <c r="J46" s="729"/>
      <c r="K46" s="729"/>
      <c r="L46" s="729"/>
      <c r="M46" s="729"/>
      <c r="N46" s="729"/>
      <c r="O46" s="729"/>
      <c r="P46" s="729"/>
      <c r="Q46" s="729"/>
      <c r="R46" s="729"/>
      <c r="S46" s="729"/>
      <c r="T46" s="729"/>
      <c r="U46" s="729"/>
      <c r="V46" s="729"/>
      <c r="W46" s="729"/>
      <c r="X46" s="729"/>
      <c r="Y46" s="729"/>
      <c r="Z46" s="729"/>
      <c r="AA46" s="729"/>
      <c r="AB46" s="729"/>
      <c r="AC46" s="729"/>
      <c r="AD46" s="729"/>
      <c r="AE46" s="729"/>
      <c r="AF46" s="729"/>
      <c r="AG46" s="729"/>
      <c r="AH46" s="729"/>
      <c r="AI46" s="729"/>
      <c r="AJ46" s="729"/>
      <c r="AK46" s="729"/>
      <c r="AL46" s="729"/>
      <c r="AM46" s="729"/>
      <c r="AN46" s="729"/>
      <c r="AO46" s="729"/>
      <c r="AP46" s="729"/>
      <c r="AQ46" s="729"/>
      <c r="AR46" s="729"/>
      <c r="AS46" s="729"/>
      <c r="AT46" s="710"/>
    </row>
    <row r="47" hidden="1">
      <c r="A47" s="80"/>
      <c r="B47" s="81"/>
      <c r="C47" s="126"/>
      <c r="D47" s="81"/>
      <c r="E47" s="548" t="s">
        <v>933</v>
      </c>
      <c r="F47" s="189" t="s">
        <v>118</v>
      </c>
      <c r="G47" s="189" t="s">
        <v>203</v>
      </c>
      <c r="H47" s="712"/>
      <c r="I47" s="713">
        <f>'Sensitivity analysis'!F9</f>
        <v>16.5</v>
      </c>
      <c r="J47" s="713">
        <f>'Sensitivity analysis'!I9</f>
        <v>16.5</v>
      </c>
      <c r="K47" s="713">
        <f>'Sensitivity analysis'!L9</f>
        <v>16.5</v>
      </c>
      <c r="L47" s="713">
        <f>'Sensitivity analysis'!O9</f>
        <v>16.5</v>
      </c>
      <c r="M47" s="713">
        <f>'Sensitivity analysis'!R9</f>
        <v>16.5</v>
      </c>
      <c r="N47" s="713">
        <f>'Sensitivity analysis'!U9</f>
        <v>16.5</v>
      </c>
      <c r="O47" s="713">
        <f>'Sensitivity analysis'!X9</f>
        <v>16.5</v>
      </c>
      <c r="P47" s="713">
        <f>'Sensitivity analysis'!AA9</f>
        <v>16.5</v>
      </c>
      <c r="Q47" s="713">
        <f>'Sensitivity analysis'!AD9</f>
        <v>16.5</v>
      </c>
      <c r="R47" s="713" t="s">
        <v>150</v>
      </c>
      <c r="S47" s="713">
        <f>'Sensitivity analysis'!AG9</f>
        <v>16.5</v>
      </c>
      <c r="T47" s="713" t="s">
        <v>150</v>
      </c>
      <c r="U47" s="713" t="s">
        <v>150</v>
      </c>
      <c r="V47" s="713" t="s">
        <v>150</v>
      </c>
      <c r="W47" s="713" t="s">
        <v>150</v>
      </c>
      <c r="X47" s="713" t="s">
        <v>150</v>
      </c>
      <c r="Y47" s="713" t="s">
        <v>150</v>
      </c>
      <c r="Z47" s="713" t="s">
        <v>150</v>
      </c>
      <c r="AA47" s="713" t="s">
        <v>150</v>
      </c>
      <c r="AB47" s="713" t="s">
        <v>150</v>
      </c>
      <c r="AC47" s="713" t="s">
        <v>150</v>
      </c>
      <c r="AD47" s="713" t="s">
        <v>150</v>
      </c>
      <c r="AE47" s="713" t="s">
        <v>150</v>
      </c>
      <c r="AF47" s="713" t="s">
        <v>150</v>
      </c>
      <c r="AG47" s="713" t="s">
        <v>150</v>
      </c>
      <c r="AH47" s="713" t="s">
        <v>150</v>
      </c>
      <c r="AI47" s="713" t="s">
        <v>150</v>
      </c>
      <c r="AJ47" s="713" t="s">
        <v>150</v>
      </c>
      <c r="AK47" s="713">
        <f>'Sensitivity analysis'!AJ9</f>
        <v>16.5</v>
      </c>
      <c r="AL47" s="713" t="s">
        <v>150</v>
      </c>
      <c r="AM47" s="713" t="s">
        <v>150</v>
      </c>
      <c r="AN47" s="713" t="s">
        <v>150</v>
      </c>
      <c r="AO47" s="713" t="s">
        <v>150</v>
      </c>
      <c r="AP47" s="713" t="s">
        <v>150</v>
      </c>
      <c r="AQ47" s="713" t="s">
        <v>150</v>
      </c>
      <c r="AR47" s="713">
        <f>'Sensitivity analysis'!AM9</f>
        <v>16.5</v>
      </c>
      <c r="AS47" s="713">
        <f>'Sensitivity analysis'!AP9</f>
        <v>16.5</v>
      </c>
      <c r="AT47" s="714"/>
    </row>
    <row r="48" hidden="1">
      <c r="A48" s="80"/>
      <c r="B48" s="81"/>
      <c r="C48" s="126"/>
      <c r="D48" s="81"/>
      <c r="E48" s="553" t="s">
        <v>938</v>
      </c>
      <c r="F48" s="215" t="s">
        <v>122</v>
      </c>
      <c r="G48" s="215" t="s">
        <v>203</v>
      </c>
      <c r="H48" s="187" t="s">
        <v>150</v>
      </c>
      <c r="I48" s="149">
        <f>'Sensitivity analysis'!F10</f>
        <v>0.62</v>
      </c>
      <c r="J48" s="149">
        <f>'Sensitivity analysis'!I10</f>
        <v>0.76</v>
      </c>
      <c r="K48" s="149">
        <f>'Sensitivity analysis'!L10</f>
        <v>0.71</v>
      </c>
      <c r="L48" s="149">
        <f>'Sensitivity analysis'!O10</f>
        <v>0.81</v>
      </c>
      <c r="M48" s="149">
        <f>'Sensitivity analysis'!R10</f>
        <v>0.69</v>
      </c>
      <c r="N48" s="149">
        <f>'Sensitivity analysis'!U10</f>
        <v>0.59</v>
      </c>
      <c r="O48" s="149">
        <f>'Sensitivity analysis'!X10</f>
        <v>0.44</v>
      </c>
      <c r="P48" s="149">
        <f>'Sensitivity analysis'!AA10</f>
        <v>0.31</v>
      </c>
      <c r="Q48" s="149">
        <f>'Sensitivity analysis'!AD10</f>
        <v>0.55</v>
      </c>
      <c r="R48" s="149" t="s">
        <v>150</v>
      </c>
      <c r="S48" s="149">
        <f>'Sensitivity analysis'!AG10</f>
        <v>0.89</v>
      </c>
      <c r="T48" s="149" t="s">
        <v>150</v>
      </c>
      <c r="U48" s="149" t="s">
        <v>150</v>
      </c>
      <c r="V48" s="149" t="s">
        <v>150</v>
      </c>
      <c r="W48" s="149" t="s">
        <v>150</v>
      </c>
      <c r="X48" s="149" t="s">
        <v>150</v>
      </c>
      <c r="Y48" s="149" t="s">
        <v>150</v>
      </c>
      <c r="Z48" s="149" t="s">
        <v>150</v>
      </c>
      <c r="AA48" s="149" t="s">
        <v>150</v>
      </c>
      <c r="AB48" s="149" t="s">
        <v>150</v>
      </c>
      <c r="AC48" s="149" t="s">
        <v>150</v>
      </c>
      <c r="AD48" s="149" t="s">
        <v>150</v>
      </c>
      <c r="AE48" s="149" t="s">
        <v>150</v>
      </c>
      <c r="AF48" s="149" t="s">
        <v>150</v>
      </c>
      <c r="AG48" s="149" t="s">
        <v>150</v>
      </c>
      <c r="AH48" s="149" t="s">
        <v>150</v>
      </c>
      <c r="AI48" s="149" t="s">
        <v>150</v>
      </c>
      <c r="AJ48" s="149" t="s">
        <v>150</v>
      </c>
      <c r="AK48" s="149">
        <f>'Sensitivity analysis'!AJ10</f>
        <v>0.71</v>
      </c>
      <c r="AL48" s="149" t="s">
        <v>150</v>
      </c>
      <c r="AM48" s="149" t="s">
        <v>150</v>
      </c>
      <c r="AN48" s="149" t="s">
        <v>150</v>
      </c>
      <c r="AO48" s="149" t="s">
        <v>150</v>
      </c>
      <c r="AP48" s="149" t="s">
        <v>150</v>
      </c>
      <c r="AQ48" s="149" t="s">
        <v>150</v>
      </c>
      <c r="AR48" s="149">
        <f>'Sensitivity analysis'!AM10</f>
        <v>0.81</v>
      </c>
      <c r="AS48" s="149">
        <f>'Sensitivity analysis'!AP10</f>
        <v>0.82</v>
      </c>
      <c r="AT48" s="715"/>
    </row>
    <row r="49" hidden="1">
      <c r="A49" s="80"/>
      <c r="B49" s="81"/>
      <c r="C49" s="126"/>
      <c r="D49" s="81"/>
      <c r="E49" s="553" t="s">
        <v>943</v>
      </c>
      <c r="F49" s="215" t="s">
        <v>122</v>
      </c>
      <c r="G49" s="215" t="s">
        <v>203</v>
      </c>
      <c r="H49" s="187" t="s">
        <v>150</v>
      </c>
      <c r="I49" s="284">
        <f>'Sensitivity analysis'!F11</f>
        <v>0.0371</v>
      </c>
      <c r="J49" s="284">
        <f>'Sensitivity analysis'!I11</f>
        <v>0.0272</v>
      </c>
      <c r="K49" s="284">
        <f>'Sensitivity analysis'!L11</f>
        <v>0.0403</v>
      </c>
      <c r="L49" s="284">
        <f>'Sensitivity analysis'!O11</f>
        <v>0.0166</v>
      </c>
      <c r="M49" s="284">
        <f>'Sensitivity analysis'!R11</f>
        <v>0.0235</v>
      </c>
      <c r="N49" s="284">
        <f>'Sensitivity analysis'!U11</f>
        <v>0.0286</v>
      </c>
      <c r="O49" s="284">
        <f>'Sensitivity analysis'!X11</f>
        <v>0.0286</v>
      </c>
      <c r="P49" s="284">
        <f>'Sensitivity analysis'!AA11</f>
        <v>0.0412</v>
      </c>
      <c r="Q49" s="284">
        <f>'Sensitivity analysis'!AD11</f>
        <v>0.0498</v>
      </c>
      <c r="R49" s="284" t="s">
        <v>150</v>
      </c>
      <c r="S49" s="284">
        <f>'Sensitivity analysis'!AG11</f>
        <v>0.0229</v>
      </c>
      <c r="T49" s="284" t="s">
        <v>150</v>
      </c>
      <c r="U49" s="284" t="s">
        <v>150</v>
      </c>
      <c r="V49" s="284" t="s">
        <v>150</v>
      </c>
      <c r="W49" s="284" t="s">
        <v>150</v>
      </c>
      <c r="X49" s="284" t="s">
        <v>150</v>
      </c>
      <c r="Y49" s="284" t="s">
        <v>150</v>
      </c>
      <c r="Z49" s="284" t="s">
        <v>150</v>
      </c>
      <c r="AA49" s="284" t="s">
        <v>150</v>
      </c>
      <c r="AB49" s="284" t="s">
        <v>150</v>
      </c>
      <c r="AC49" s="284" t="s">
        <v>150</v>
      </c>
      <c r="AD49" s="284" t="s">
        <v>150</v>
      </c>
      <c r="AE49" s="284" t="s">
        <v>150</v>
      </c>
      <c r="AF49" s="284" t="s">
        <v>150</v>
      </c>
      <c r="AG49" s="284" t="s">
        <v>150</v>
      </c>
      <c r="AH49" s="284" t="s">
        <v>150</v>
      </c>
      <c r="AI49" s="284" t="s">
        <v>150</v>
      </c>
      <c r="AJ49" s="284" t="s">
        <v>150</v>
      </c>
      <c r="AK49" s="284">
        <f>'Sensitivity analysis'!AJ11</f>
        <v>0.0154</v>
      </c>
      <c r="AL49" s="284" t="s">
        <v>150</v>
      </c>
      <c r="AM49" s="284" t="s">
        <v>150</v>
      </c>
      <c r="AN49" s="284" t="s">
        <v>150</v>
      </c>
      <c r="AO49" s="284" t="s">
        <v>150</v>
      </c>
      <c r="AP49" s="284" t="s">
        <v>150</v>
      </c>
      <c r="AQ49" s="284" t="s">
        <v>150</v>
      </c>
      <c r="AR49" s="284">
        <f>'Sensitivity analysis'!AM11</f>
        <v>0.0241</v>
      </c>
      <c r="AS49" s="284">
        <f>'Sensitivity analysis'!AP11</f>
        <v>0.0191</v>
      </c>
      <c r="AT49" s="715"/>
    </row>
    <row r="50" hidden="1">
      <c r="A50" s="80"/>
      <c r="B50" s="81"/>
      <c r="C50" s="126"/>
      <c r="D50" s="81"/>
      <c r="E50" s="558" t="s">
        <v>945</v>
      </c>
      <c r="F50" s="195" t="s">
        <v>122</v>
      </c>
      <c r="G50" s="195" t="s">
        <v>203</v>
      </c>
      <c r="H50" s="197" t="s">
        <v>150</v>
      </c>
      <c r="I50" s="240">
        <f>'Sensitivity analysis'!F12</f>
        <v>0.38</v>
      </c>
      <c r="J50" s="240">
        <f>'Sensitivity analysis'!I12</f>
        <v>0.37</v>
      </c>
      <c r="K50" s="240">
        <f>'Sensitivity analysis'!L12</f>
        <v>0.4</v>
      </c>
      <c r="L50" s="240">
        <f>'Sensitivity analysis'!O12</f>
        <v>0.38</v>
      </c>
      <c r="M50" s="240">
        <f>'Sensitivity analysis'!R12</f>
        <v>0.37</v>
      </c>
      <c r="N50" s="240">
        <f>'Sensitivity analysis'!U12</f>
        <v>0.39</v>
      </c>
      <c r="O50" s="240">
        <f>'Sensitivity analysis'!X12</f>
        <v>0.39</v>
      </c>
      <c r="P50" s="240">
        <f>'Sensitivity analysis'!AA12</f>
        <v>0.38</v>
      </c>
      <c r="Q50" s="240">
        <f>'Sensitivity analysis'!AD12</f>
        <v>0.39</v>
      </c>
      <c r="R50" s="240" t="s">
        <v>150</v>
      </c>
      <c r="S50" s="240">
        <f>'Sensitivity analysis'!AG12</f>
        <v>0.37</v>
      </c>
      <c r="T50" s="240" t="s">
        <v>150</v>
      </c>
      <c r="U50" s="240" t="s">
        <v>150</v>
      </c>
      <c r="V50" s="240" t="s">
        <v>150</v>
      </c>
      <c r="W50" s="240" t="s">
        <v>150</v>
      </c>
      <c r="X50" s="240" t="s">
        <v>150</v>
      </c>
      <c r="Y50" s="240" t="s">
        <v>150</v>
      </c>
      <c r="Z50" s="240" t="s">
        <v>150</v>
      </c>
      <c r="AA50" s="240" t="s">
        <v>150</v>
      </c>
      <c r="AB50" s="240" t="s">
        <v>150</v>
      </c>
      <c r="AC50" s="240" t="s">
        <v>150</v>
      </c>
      <c r="AD50" s="240" t="s">
        <v>150</v>
      </c>
      <c r="AE50" s="240" t="s">
        <v>150</v>
      </c>
      <c r="AF50" s="240" t="s">
        <v>150</v>
      </c>
      <c r="AG50" s="240" t="s">
        <v>150</v>
      </c>
      <c r="AH50" s="240" t="s">
        <v>150</v>
      </c>
      <c r="AI50" s="240" t="s">
        <v>150</v>
      </c>
      <c r="AJ50" s="240" t="s">
        <v>150</v>
      </c>
      <c r="AK50" s="240">
        <f>'Sensitivity analysis'!AJ12</f>
        <v>0.37</v>
      </c>
      <c r="AL50" s="240" t="s">
        <v>150</v>
      </c>
      <c r="AM50" s="240" t="s">
        <v>150</v>
      </c>
      <c r="AN50" s="240" t="s">
        <v>150</v>
      </c>
      <c r="AO50" s="240" t="s">
        <v>150</v>
      </c>
      <c r="AP50" s="240" t="s">
        <v>150</v>
      </c>
      <c r="AQ50" s="240" t="s">
        <v>150</v>
      </c>
      <c r="AR50" s="240">
        <f>'Sensitivity analysis'!AM12</f>
        <v>0.36</v>
      </c>
      <c r="AS50" s="240">
        <f>'Sensitivity analysis'!AP12</f>
        <v>0.39</v>
      </c>
      <c r="AT50" s="716"/>
    </row>
    <row r="51" hidden="1">
      <c r="A51" s="80"/>
      <c r="B51" s="81"/>
      <c r="C51" s="126"/>
      <c r="D51" s="81"/>
      <c r="E51" s="624"/>
      <c r="F51" s="326"/>
      <c r="G51" s="326"/>
      <c r="H51" s="728"/>
      <c r="I51" s="729" t="str">
        <f>'Sensitivity analysis'!F13</f>
        <v/>
      </c>
      <c r="J51" s="729" t="str">
        <f>'Sensitivity analysis'!I13</f>
        <v/>
      </c>
      <c r="K51" s="729" t="str">
        <f>'Sensitivity analysis'!L13</f>
        <v/>
      </c>
      <c r="L51" s="729" t="str">
        <f>'Sensitivity analysis'!O13</f>
        <v/>
      </c>
      <c r="M51" s="729" t="str">
        <f>'Sensitivity analysis'!R13</f>
        <v/>
      </c>
      <c r="N51" s="729" t="str">
        <f>'Sensitivity analysis'!U13</f>
        <v/>
      </c>
      <c r="O51" s="729" t="str">
        <f>'Sensitivity analysis'!X13</f>
        <v/>
      </c>
      <c r="P51" s="729" t="str">
        <f>'Sensitivity analysis'!AA13</f>
        <v/>
      </c>
      <c r="Q51" s="729" t="str">
        <f>'Sensitivity analysis'!AD13</f>
        <v/>
      </c>
      <c r="R51" s="729" t="s">
        <v>150</v>
      </c>
      <c r="S51" s="729" t="str">
        <f>'Sensitivity analysis'!AG13</f>
        <v/>
      </c>
      <c r="T51" s="729" t="s">
        <v>150</v>
      </c>
      <c r="U51" s="729" t="s">
        <v>150</v>
      </c>
      <c r="V51" s="729" t="s">
        <v>150</v>
      </c>
      <c r="W51" s="729" t="s">
        <v>150</v>
      </c>
      <c r="X51" s="729" t="s">
        <v>150</v>
      </c>
      <c r="Y51" s="729" t="s">
        <v>150</v>
      </c>
      <c r="Z51" s="729" t="s">
        <v>150</v>
      </c>
      <c r="AA51" s="729" t="s">
        <v>150</v>
      </c>
      <c r="AB51" s="729" t="s">
        <v>150</v>
      </c>
      <c r="AC51" s="729" t="s">
        <v>150</v>
      </c>
      <c r="AD51" s="729" t="s">
        <v>150</v>
      </c>
      <c r="AE51" s="729" t="s">
        <v>150</v>
      </c>
      <c r="AF51" s="729" t="s">
        <v>150</v>
      </c>
      <c r="AG51" s="729" t="s">
        <v>150</v>
      </c>
      <c r="AH51" s="729" t="s">
        <v>150</v>
      </c>
      <c r="AI51" s="729" t="s">
        <v>150</v>
      </c>
      <c r="AJ51" s="729" t="s">
        <v>150</v>
      </c>
      <c r="AK51" s="729" t="str">
        <f>'Sensitivity analysis'!AJ13</f>
        <v/>
      </c>
      <c r="AL51" s="729" t="s">
        <v>150</v>
      </c>
      <c r="AM51" s="729" t="s">
        <v>150</v>
      </c>
      <c r="AN51" s="729" t="s">
        <v>150</v>
      </c>
      <c r="AO51" s="729" t="s">
        <v>150</v>
      </c>
      <c r="AP51" s="729" t="s">
        <v>150</v>
      </c>
      <c r="AQ51" s="729" t="s">
        <v>150</v>
      </c>
      <c r="AR51" s="729" t="str">
        <f>'Sensitivity analysis'!AM13</f>
        <v/>
      </c>
      <c r="AS51" s="729" t="str">
        <f>'Sensitivity analysis'!AP13</f>
        <v/>
      </c>
      <c r="AT51" s="710"/>
    </row>
    <row r="52" hidden="1">
      <c r="A52" s="80"/>
      <c r="B52" s="81"/>
      <c r="C52" s="126" t="s">
        <v>957</v>
      </c>
      <c r="F52" s="326"/>
      <c r="G52" s="326"/>
      <c r="H52" s="728"/>
      <c r="I52" s="729" t="str">
        <f>'Sensitivity analysis'!F14</f>
        <v/>
      </c>
      <c r="J52" s="729" t="str">
        <f>'Sensitivity analysis'!I14</f>
        <v/>
      </c>
      <c r="K52" s="729" t="str">
        <f>'Sensitivity analysis'!L14</f>
        <v/>
      </c>
      <c r="L52" s="729" t="str">
        <f>'Sensitivity analysis'!O14</f>
        <v/>
      </c>
      <c r="M52" s="729" t="str">
        <f>'Sensitivity analysis'!R14</f>
        <v/>
      </c>
      <c r="N52" s="729" t="str">
        <f>'Sensitivity analysis'!U14</f>
        <v/>
      </c>
      <c r="O52" s="729" t="str">
        <f>'Sensitivity analysis'!X14</f>
        <v/>
      </c>
      <c r="P52" s="729" t="str">
        <f>'Sensitivity analysis'!AA14</f>
        <v/>
      </c>
      <c r="Q52" s="729" t="str">
        <f>'Sensitivity analysis'!AD14</f>
        <v/>
      </c>
      <c r="R52" s="729" t="s">
        <v>150</v>
      </c>
      <c r="S52" s="729" t="str">
        <f>'Sensitivity analysis'!AG14</f>
        <v/>
      </c>
      <c r="T52" s="729" t="s">
        <v>150</v>
      </c>
      <c r="U52" s="729" t="s">
        <v>150</v>
      </c>
      <c r="V52" s="729" t="s">
        <v>150</v>
      </c>
      <c r="W52" s="729" t="s">
        <v>150</v>
      </c>
      <c r="X52" s="729" t="s">
        <v>150</v>
      </c>
      <c r="Y52" s="729" t="s">
        <v>150</v>
      </c>
      <c r="Z52" s="729" t="s">
        <v>150</v>
      </c>
      <c r="AA52" s="729" t="s">
        <v>150</v>
      </c>
      <c r="AB52" s="729" t="s">
        <v>150</v>
      </c>
      <c r="AC52" s="729" t="s">
        <v>150</v>
      </c>
      <c r="AD52" s="729" t="s">
        <v>150</v>
      </c>
      <c r="AE52" s="729" t="s">
        <v>150</v>
      </c>
      <c r="AF52" s="729" t="s">
        <v>150</v>
      </c>
      <c r="AG52" s="729" t="s">
        <v>150</v>
      </c>
      <c r="AH52" s="729" t="s">
        <v>150</v>
      </c>
      <c r="AI52" s="729" t="s">
        <v>150</v>
      </c>
      <c r="AJ52" s="729" t="s">
        <v>150</v>
      </c>
      <c r="AK52" s="729" t="str">
        <f>'Sensitivity analysis'!AJ14</f>
        <v/>
      </c>
      <c r="AL52" s="729" t="s">
        <v>150</v>
      </c>
      <c r="AM52" s="729" t="s">
        <v>150</v>
      </c>
      <c r="AN52" s="729" t="s">
        <v>150</v>
      </c>
      <c r="AO52" s="729" t="s">
        <v>150</v>
      </c>
      <c r="AP52" s="729" t="s">
        <v>150</v>
      </c>
      <c r="AQ52" s="729" t="s">
        <v>150</v>
      </c>
      <c r="AR52" s="729" t="str">
        <f>'Sensitivity analysis'!AM14</f>
        <v/>
      </c>
      <c r="AS52" s="729" t="str">
        <f>'Sensitivity analysis'!AP14</f>
        <v/>
      </c>
      <c r="AT52" s="710"/>
    </row>
    <row r="53" hidden="1">
      <c r="A53" s="80"/>
      <c r="B53" s="81"/>
      <c r="C53" s="126"/>
      <c r="D53" s="81"/>
      <c r="E53" s="548" t="s">
        <v>959</v>
      </c>
      <c r="F53" s="189" t="s">
        <v>122</v>
      </c>
      <c r="G53" s="189" t="s">
        <v>203</v>
      </c>
      <c r="H53" s="200" t="s">
        <v>150</v>
      </c>
      <c r="I53" s="725">
        <f>'Sensitivity analysis'!F15</f>
        <v>0.1</v>
      </c>
      <c r="J53" s="725">
        <f>'Sensitivity analysis'!I15</f>
        <v>0.08</v>
      </c>
      <c r="K53" s="725">
        <f>'Sensitivity analysis'!L15</f>
        <v>0.11</v>
      </c>
      <c r="L53" s="725">
        <f>'Sensitivity analysis'!O15</f>
        <v>0.09</v>
      </c>
      <c r="M53" s="725">
        <f>'Sensitivity analysis'!R15</f>
        <v>0.08</v>
      </c>
      <c r="N53" s="725">
        <f>'Sensitivity analysis'!U15</f>
        <v>0.13</v>
      </c>
      <c r="O53" s="725">
        <f>'Sensitivity analysis'!X15</f>
        <v>0.13</v>
      </c>
      <c r="P53" s="725">
        <f>'Sensitivity analysis'!AA15</f>
        <v>0.12</v>
      </c>
      <c r="Q53" s="725">
        <f>'Sensitivity analysis'!AD15</f>
        <v>0.09</v>
      </c>
      <c r="R53" s="725" t="s">
        <v>150</v>
      </c>
      <c r="S53" s="725">
        <f>'Sensitivity analysis'!AG15</f>
        <v>0.07</v>
      </c>
      <c r="T53" s="725" t="s">
        <v>150</v>
      </c>
      <c r="U53" s="725" t="s">
        <v>150</v>
      </c>
      <c r="V53" s="725" t="s">
        <v>150</v>
      </c>
      <c r="W53" s="725" t="s">
        <v>150</v>
      </c>
      <c r="X53" s="725" t="s">
        <v>150</v>
      </c>
      <c r="Y53" s="725" t="s">
        <v>150</v>
      </c>
      <c r="Z53" s="725" t="s">
        <v>150</v>
      </c>
      <c r="AA53" s="725" t="s">
        <v>150</v>
      </c>
      <c r="AB53" s="725" t="s">
        <v>150</v>
      </c>
      <c r="AC53" s="725" t="s">
        <v>150</v>
      </c>
      <c r="AD53" s="725" t="s">
        <v>150</v>
      </c>
      <c r="AE53" s="725" t="s">
        <v>150</v>
      </c>
      <c r="AF53" s="725" t="s">
        <v>150</v>
      </c>
      <c r="AG53" s="725" t="s">
        <v>150</v>
      </c>
      <c r="AH53" s="725" t="s">
        <v>150</v>
      </c>
      <c r="AI53" s="725" t="s">
        <v>150</v>
      </c>
      <c r="AJ53" s="725" t="s">
        <v>150</v>
      </c>
      <c r="AK53" s="725">
        <f>'Sensitivity analysis'!AJ15</f>
        <v>0.15</v>
      </c>
      <c r="AL53" s="725" t="s">
        <v>150</v>
      </c>
      <c r="AM53" s="725" t="s">
        <v>150</v>
      </c>
      <c r="AN53" s="725" t="s">
        <v>150</v>
      </c>
      <c r="AO53" s="725" t="s">
        <v>150</v>
      </c>
      <c r="AP53" s="725" t="s">
        <v>150</v>
      </c>
      <c r="AQ53" s="725" t="s">
        <v>150</v>
      </c>
      <c r="AR53" s="725">
        <f>'Sensitivity analysis'!AM15</f>
        <v>0.09</v>
      </c>
      <c r="AS53" s="725">
        <f>'Sensitivity analysis'!AP15</f>
        <v>0.19</v>
      </c>
      <c r="AT53" s="714"/>
    </row>
    <row r="54" hidden="1">
      <c r="A54" s="80"/>
      <c r="B54" s="81"/>
      <c r="C54" s="126"/>
      <c r="D54" s="81"/>
      <c r="E54" s="553" t="s">
        <v>962</v>
      </c>
      <c r="F54" s="215" t="s">
        <v>122</v>
      </c>
      <c r="G54" s="215" t="s">
        <v>203</v>
      </c>
      <c r="H54" s="187" t="s">
        <v>150</v>
      </c>
      <c r="I54" s="726">
        <f>'Sensitivity analysis'!F16</f>
        <v>0.05</v>
      </c>
      <c r="J54" s="726">
        <f>'Sensitivity analysis'!I16</f>
        <v>0.05</v>
      </c>
      <c r="K54" s="726">
        <f>'Sensitivity analysis'!L16</f>
        <v>0.05</v>
      </c>
      <c r="L54" s="726">
        <f>'Sensitivity analysis'!O16</f>
        <v>0.05</v>
      </c>
      <c r="M54" s="726">
        <f>'Sensitivity analysis'!R16</f>
        <v>0.05</v>
      </c>
      <c r="N54" s="726">
        <f>'Sensitivity analysis'!U16</f>
        <v>0.05</v>
      </c>
      <c r="O54" s="726">
        <f>'Sensitivity analysis'!X16</f>
        <v>0.05</v>
      </c>
      <c r="P54" s="726">
        <f>'Sensitivity analysis'!AA16</f>
        <v>0.05</v>
      </c>
      <c r="Q54" s="726">
        <f>'Sensitivity analysis'!AD16</f>
        <v>0.05</v>
      </c>
      <c r="R54" s="726" t="s">
        <v>150</v>
      </c>
      <c r="S54" s="726">
        <f>'Sensitivity analysis'!AG16</f>
        <v>0.05</v>
      </c>
      <c r="T54" s="726" t="s">
        <v>150</v>
      </c>
      <c r="U54" s="726" t="s">
        <v>150</v>
      </c>
      <c r="V54" s="726" t="s">
        <v>150</v>
      </c>
      <c r="W54" s="726" t="s">
        <v>150</v>
      </c>
      <c r="X54" s="726" t="s">
        <v>150</v>
      </c>
      <c r="Y54" s="726" t="s">
        <v>150</v>
      </c>
      <c r="Z54" s="726" t="s">
        <v>150</v>
      </c>
      <c r="AA54" s="726" t="s">
        <v>150</v>
      </c>
      <c r="AB54" s="726" t="s">
        <v>150</v>
      </c>
      <c r="AC54" s="726" t="s">
        <v>150</v>
      </c>
      <c r="AD54" s="726" t="s">
        <v>150</v>
      </c>
      <c r="AE54" s="726" t="s">
        <v>150</v>
      </c>
      <c r="AF54" s="726" t="s">
        <v>150</v>
      </c>
      <c r="AG54" s="726" t="s">
        <v>150</v>
      </c>
      <c r="AH54" s="726" t="s">
        <v>150</v>
      </c>
      <c r="AI54" s="726" t="s">
        <v>150</v>
      </c>
      <c r="AJ54" s="726" t="s">
        <v>150</v>
      </c>
      <c r="AK54" s="726">
        <f>'Sensitivity analysis'!AJ16</f>
        <v>0.04</v>
      </c>
      <c r="AL54" s="726" t="s">
        <v>150</v>
      </c>
      <c r="AM54" s="726" t="s">
        <v>150</v>
      </c>
      <c r="AN54" s="726" t="s">
        <v>150</v>
      </c>
      <c r="AO54" s="726" t="s">
        <v>150</v>
      </c>
      <c r="AP54" s="726" t="s">
        <v>150</v>
      </c>
      <c r="AQ54" s="726" t="s">
        <v>150</v>
      </c>
      <c r="AR54" s="726">
        <f>'Sensitivity analysis'!AM16</f>
        <v>0.05</v>
      </c>
      <c r="AS54" s="726">
        <f>'Sensitivity analysis'!AP16</f>
        <v>0.04</v>
      </c>
      <c r="AT54" s="715"/>
    </row>
    <row r="55" hidden="1">
      <c r="A55" s="80"/>
      <c r="B55" s="81"/>
      <c r="C55" s="126"/>
      <c r="D55" s="81"/>
      <c r="E55" s="558" t="s">
        <v>963</v>
      </c>
      <c r="F55" s="195" t="s">
        <v>122</v>
      </c>
      <c r="G55" s="195" t="s">
        <v>203</v>
      </c>
      <c r="H55" s="197" t="s">
        <v>150</v>
      </c>
      <c r="I55" s="727">
        <f>'Sensitivity analysis'!F17</f>
        <v>0.02</v>
      </c>
      <c r="J55" s="727">
        <f>'Sensitivity analysis'!I17</f>
        <v>0.04</v>
      </c>
      <c r="K55" s="727">
        <f>'Sensitivity analysis'!L17</f>
        <v>0.02</v>
      </c>
      <c r="L55" s="727">
        <f>'Sensitivity analysis'!O17</f>
        <v>0.08</v>
      </c>
      <c r="M55" s="727">
        <f>'Sensitivity analysis'!R17</f>
        <v>0.03</v>
      </c>
      <c r="N55" s="727">
        <f>'Sensitivity analysis'!U17</f>
        <v>0.02</v>
      </c>
      <c r="O55" s="727">
        <f>'Sensitivity analysis'!X17</f>
        <v>0.01</v>
      </c>
      <c r="P55" s="727">
        <f>'Sensitivity analysis'!AA17</f>
        <v>0</v>
      </c>
      <c r="Q55" s="727">
        <f>'Sensitivity analysis'!AD17</f>
        <v>0.01</v>
      </c>
      <c r="R55" s="727" t="s">
        <v>150</v>
      </c>
      <c r="S55" s="727">
        <f>'Sensitivity analysis'!AG17</f>
        <v>0.12</v>
      </c>
      <c r="T55" s="727" t="s">
        <v>150</v>
      </c>
      <c r="U55" s="727" t="s">
        <v>150</v>
      </c>
      <c r="V55" s="727" t="s">
        <v>150</v>
      </c>
      <c r="W55" s="727" t="s">
        <v>150</v>
      </c>
      <c r="X55" s="727" t="s">
        <v>150</v>
      </c>
      <c r="Y55" s="727" t="s">
        <v>150</v>
      </c>
      <c r="Z55" s="727" t="s">
        <v>150</v>
      </c>
      <c r="AA55" s="727" t="s">
        <v>150</v>
      </c>
      <c r="AB55" s="727" t="s">
        <v>150</v>
      </c>
      <c r="AC55" s="727" t="s">
        <v>150</v>
      </c>
      <c r="AD55" s="727" t="s">
        <v>150</v>
      </c>
      <c r="AE55" s="727" t="s">
        <v>150</v>
      </c>
      <c r="AF55" s="727" t="s">
        <v>150</v>
      </c>
      <c r="AG55" s="727" t="s">
        <v>150</v>
      </c>
      <c r="AH55" s="727" t="s">
        <v>150</v>
      </c>
      <c r="AI55" s="727" t="s">
        <v>150</v>
      </c>
      <c r="AJ55" s="727" t="s">
        <v>150</v>
      </c>
      <c r="AK55" s="727">
        <f>'Sensitivity analysis'!AJ17</f>
        <v>0.05</v>
      </c>
      <c r="AL55" s="727" t="s">
        <v>150</v>
      </c>
      <c r="AM55" s="727" t="s">
        <v>150</v>
      </c>
      <c r="AN55" s="727" t="s">
        <v>150</v>
      </c>
      <c r="AO55" s="727" t="s">
        <v>150</v>
      </c>
      <c r="AP55" s="727" t="s">
        <v>150</v>
      </c>
      <c r="AQ55" s="727" t="s">
        <v>150</v>
      </c>
      <c r="AR55" s="727">
        <f>'Sensitivity analysis'!AM17</f>
        <v>0.06</v>
      </c>
      <c r="AS55" s="727">
        <f>'Sensitivity analysis'!AP17</f>
        <v>0.07</v>
      </c>
      <c r="AT55" s="716"/>
    </row>
    <row r="56" hidden="1">
      <c r="A56" s="80"/>
      <c r="B56" s="81"/>
      <c r="C56" s="126"/>
      <c r="D56" s="81"/>
      <c r="E56" s="624"/>
      <c r="F56" s="326"/>
      <c r="G56" s="326"/>
      <c r="H56" s="728"/>
      <c r="I56" s="729" t="str">
        <f>'Sensitivity analysis'!F18</f>
        <v/>
      </c>
      <c r="J56" s="729" t="str">
        <f>'Sensitivity analysis'!I18</f>
        <v/>
      </c>
      <c r="K56" s="729" t="str">
        <f>'Sensitivity analysis'!L18</f>
        <v/>
      </c>
      <c r="L56" s="729" t="str">
        <f>'Sensitivity analysis'!O18</f>
        <v/>
      </c>
      <c r="M56" s="729" t="str">
        <f>'Sensitivity analysis'!R18</f>
        <v/>
      </c>
      <c r="N56" s="729" t="str">
        <f>'Sensitivity analysis'!U18</f>
        <v/>
      </c>
      <c r="O56" s="729" t="str">
        <f>'Sensitivity analysis'!X18</f>
        <v/>
      </c>
      <c r="P56" s="729" t="str">
        <f>'Sensitivity analysis'!AA18</f>
        <v/>
      </c>
      <c r="Q56" s="729" t="str">
        <f>'Sensitivity analysis'!AD18</f>
        <v/>
      </c>
      <c r="R56" s="729" t="s">
        <v>150</v>
      </c>
      <c r="S56" s="729" t="str">
        <f>'Sensitivity analysis'!AG18</f>
        <v/>
      </c>
      <c r="T56" s="729" t="s">
        <v>150</v>
      </c>
      <c r="U56" s="729" t="s">
        <v>150</v>
      </c>
      <c r="V56" s="729" t="s">
        <v>150</v>
      </c>
      <c r="W56" s="729" t="s">
        <v>150</v>
      </c>
      <c r="X56" s="729" t="s">
        <v>150</v>
      </c>
      <c r="Y56" s="729" t="s">
        <v>150</v>
      </c>
      <c r="Z56" s="729" t="s">
        <v>150</v>
      </c>
      <c r="AA56" s="729" t="s">
        <v>150</v>
      </c>
      <c r="AB56" s="729" t="s">
        <v>150</v>
      </c>
      <c r="AC56" s="729" t="s">
        <v>150</v>
      </c>
      <c r="AD56" s="729" t="s">
        <v>150</v>
      </c>
      <c r="AE56" s="729" t="s">
        <v>150</v>
      </c>
      <c r="AF56" s="729" t="s">
        <v>150</v>
      </c>
      <c r="AG56" s="729" t="s">
        <v>150</v>
      </c>
      <c r="AH56" s="729" t="s">
        <v>150</v>
      </c>
      <c r="AI56" s="729" t="s">
        <v>150</v>
      </c>
      <c r="AJ56" s="729" t="s">
        <v>150</v>
      </c>
      <c r="AK56" s="729" t="str">
        <f>'Sensitivity analysis'!AJ18</f>
        <v/>
      </c>
      <c r="AL56" s="729" t="s">
        <v>150</v>
      </c>
      <c r="AM56" s="729" t="s">
        <v>150</v>
      </c>
      <c r="AN56" s="729" t="s">
        <v>150</v>
      </c>
      <c r="AO56" s="729" t="s">
        <v>150</v>
      </c>
      <c r="AP56" s="729" t="s">
        <v>150</v>
      </c>
      <c r="AQ56" s="729" t="s">
        <v>150</v>
      </c>
      <c r="AR56" s="729" t="str">
        <f>'Sensitivity analysis'!AM18</f>
        <v/>
      </c>
      <c r="AS56" s="729" t="str">
        <f>'Sensitivity analysis'!AP18</f>
        <v/>
      </c>
      <c r="AT56" s="710"/>
    </row>
    <row r="57" hidden="1">
      <c r="A57" s="80"/>
      <c r="B57" s="81"/>
      <c r="C57" s="126" t="s">
        <v>969</v>
      </c>
      <c r="F57" s="326"/>
      <c r="G57" s="326"/>
      <c r="H57" s="728"/>
      <c r="I57" s="729" t="str">
        <f>'Sensitivity analysis'!F19</f>
        <v/>
      </c>
      <c r="J57" s="729" t="str">
        <f>'Sensitivity analysis'!I19</f>
        <v/>
      </c>
      <c r="K57" s="729" t="str">
        <f>'Sensitivity analysis'!L19</f>
        <v/>
      </c>
      <c r="L57" s="729" t="str">
        <f>'Sensitivity analysis'!O19</f>
        <v/>
      </c>
      <c r="M57" s="729" t="str">
        <f>'Sensitivity analysis'!R19</f>
        <v/>
      </c>
      <c r="N57" s="729" t="str">
        <f>'Sensitivity analysis'!U19</f>
        <v/>
      </c>
      <c r="O57" s="729" t="str">
        <f>'Sensitivity analysis'!X19</f>
        <v/>
      </c>
      <c r="P57" s="729" t="str">
        <f>'Sensitivity analysis'!AA19</f>
        <v/>
      </c>
      <c r="Q57" s="729" t="str">
        <f>'Sensitivity analysis'!AD19</f>
        <v/>
      </c>
      <c r="R57" s="729" t="s">
        <v>150</v>
      </c>
      <c r="S57" s="729" t="str">
        <f>'Sensitivity analysis'!AG19</f>
        <v/>
      </c>
      <c r="T57" s="729" t="s">
        <v>150</v>
      </c>
      <c r="U57" s="729" t="s">
        <v>150</v>
      </c>
      <c r="V57" s="729" t="s">
        <v>150</v>
      </c>
      <c r="W57" s="729" t="s">
        <v>150</v>
      </c>
      <c r="X57" s="729" t="s">
        <v>150</v>
      </c>
      <c r="Y57" s="729" t="s">
        <v>150</v>
      </c>
      <c r="Z57" s="729" t="s">
        <v>150</v>
      </c>
      <c r="AA57" s="729" t="s">
        <v>150</v>
      </c>
      <c r="AB57" s="729" t="s">
        <v>150</v>
      </c>
      <c r="AC57" s="729" t="s">
        <v>150</v>
      </c>
      <c r="AD57" s="729" t="s">
        <v>150</v>
      </c>
      <c r="AE57" s="729" t="s">
        <v>150</v>
      </c>
      <c r="AF57" s="729" t="s">
        <v>150</v>
      </c>
      <c r="AG57" s="729" t="s">
        <v>150</v>
      </c>
      <c r="AH57" s="729" t="s">
        <v>150</v>
      </c>
      <c r="AI57" s="729" t="s">
        <v>150</v>
      </c>
      <c r="AJ57" s="729" t="s">
        <v>150</v>
      </c>
      <c r="AK57" s="729" t="str">
        <f>'Sensitivity analysis'!AJ19</f>
        <v/>
      </c>
      <c r="AL57" s="729" t="s">
        <v>150</v>
      </c>
      <c r="AM57" s="729" t="s">
        <v>150</v>
      </c>
      <c r="AN57" s="729" t="s">
        <v>150</v>
      </c>
      <c r="AO57" s="729" t="s">
        <v>150</v>
      </c>
      <c r="AP57" s="729" t="s">
        <v>150</v>
      </c>
      <c r="AQ57" s="729" t="s">
        <v>150</v>
      </c>
      <c r="AR57" s="729" t="str">
        <f>'Sensitivity analysis'!AM19</f>
        <v/>
      </c>
      <c r="AS57" s="729" t="str">
        <f>'Sensitivity analysis'!AP19</f>
        <v/>
      </c>
      <c r="AT57" s="710"/>
    </row>
    <row r="58" hidden="1">
      <c r="A58" s="80"/>
      <c r="B58" s="81"/>
      <c r="C58" s="126"/>
      <c r="D58" s="81"/>
      <c r="E58" s="548" t="s">
        <v>971</v>
      </c>
      <c r="F58" s="189" t="s">
        <v>122</v>
      </c>
      <c r="G58" s="189" t="s">
        <v>203</v>
      </c>
      <c r="H58" s="200" t="s">
        <v>150</v>
      </c>
      <c r="I58" s="119">
        <f>'Sensitivity analysis'!F20</f>
        <v>0.14</v>
      </c>
      <c r="J58" s="119">
        <f>'Sensitivity analysis'!I20</f>
        <v>0.14</v>
      </c>
      <c r="K58" s="119">
        <f>'Sensitivity analysis'!L20</f>
        <v>0.14</v>
      </c>
      <c r="L58" s="119">
        <f>'Sensitivity analysis'!O20</f>
        <v>0.14</v>
      </c>
      <c r="M58" s="119">
        <f>'Sensitivity analysis'!R20</f>
        <v>0.14</v>
      </c>
      <c r="N58" s="119">
        <f>'Sensitivity analysis'!U20</f>
        <v>0.14</v>
      </c>
      <c r="O58" s="119">
        <f>'Sensitivity analysis'!X20</f>
        <v>0.14</v>
      </c>
      <c r="P58" s="119">
        <f>'Sensitivity analysis'!AA20</f>
        <v>0.14</v>
      </c>
      <c r="Q58" s="119">
        <f>'Sensitivity analysis'!AD20</f>
        <v>0.14</v>
      </c>
      <c r="R58" s="119" t="s">
        <v>150</v>
      </c>
      <c r="S58" s="119">
        <f>'Sensitivity analysis'!AG20</f>
        <v>0.14</v>
      </c>
      <c r="T58" s="119" t="s">
        <v>150</v>
      </c>
      <c r="U58" s="119" t="s">
        <v>150</v>
      </c>
      <c r="V58" s="119" t="s">
        <v>150</v>
      </c>
      <c r="W58" s="119" t="s">
        <v>150</v>
      </c>
      <c r="X58" s="119" t="s">
        <v>150</v>
      </c>
      <c r="Y58" s="119" t="s">
        <v>150</v>
      </c>
      <c r="Z58" s="119" t="s">
        <v>150</v>
      </c>
      <c r="AA58" s="119" t="s">
        <v>150</v>
      </c>
      <c r="AB58" s="119" t="s">
        <v>150</v>
      </c>
      <c r="AC58" s="119" t="s">
        <v>150</v>
      </c>
      <c r="AD58" s="119" t="s">
        <v>150</v>
      </c>
      <c r="AE58" s="119" t="s">
        <v>150</v>
      </c>
      <c r="AF58" s="119" t="s">
        <v>150</v>
      </c>
      <c r="AG58" s="119" t="s">
        <v>150</v>
      </c>
      <c r="AH58" s="119" t="s">
        <v>150</v>
      </c>
      <c r="AI58" s="119" t="s">
        <v>150</v>
      </c>
      <c r="AJ58" s="119" t="s">
        <v>150</v>
      </c>
      <c r="AK58" s="119">
        <f>'Sensitivity analysis'!AJ20</f>
        <v>0.14</v>
      </c>
      <c r="AL58" s="119" t="s">
        <v>150</v>
      </c>
      <c r="AM58" s="119" t="s">
        <v>150</v>
      </c>
      <c r="AN58" s="119" t="s">
        <v>150</v>
      </c>
      <c r="AO58" s="119" t="s">
        <v>150</v>
      </c>
      <c r="AP58" s="119" t="s">
        <v>150</v>
      </c>
      <c r="AQ58" s="119" t="s">
        <v>150</v>
      </c>
      <c r="AR58" s="119">
        <f>'Sensitivity analysis'!AM20</f>
        <v>0.14</v>
      </c>
      <c r="AS58" s="119">
        <f>'Sensitivity analysis'!AP20</f>
        <v>0.14</v>
      </c>
      <c r="AT58" s="714"/>
    </row>
    <row r="59" hidden="1">
      <c r="A59" s="80"/>
      <c r="B59" s="81"/>
      <c r="C59" s="126"/>
      <c r="D59" s="81"/>
      <c r="E59" s="553" t="s">
        <v>972</v>
      </c>
      <c r="F59" s="215" t="s">
        <v>122</v>
      </c>
      <c r="G59" s="215" t="s">
        <v>203</v>
      </c>
      <c r="H59" s="187" t="s">
        <v>150</v>
      </c>
      <c r="I59" s="149">
        <f>'Sensitivity analysis'!F21</f>
        <v>-0.13</v>
      </c>
      <c r="J59" s="149">
        <f>'Sensitivity analysis'!I21</f>
        <v>-0.13</v>
      </c>
      <c r="K59" s="149">
        <f>'Sensitivity analysis'!L21</f>
        <v>-0.13</v>
      </c>
      <c r="L59" s="149">
        <f>'Sensitivity analysis'!O21</f>
        <v>-0.13</v>
      </c>
      <c r="M59" s="149">
        <f>'Sensitivity analysis'!R21</f>
        <v>-0.13</v>
      </c>
      <c r="N59" s="149">
        <f>'Sensitivity analysis'!U21</f>
        <v>-0.13</v>
      </c>
      <c r="O59" s="149">
        <f>'Sensitivity analysis'!X21</f>
        <v>-0.13</v>
      </c>
      <c r="P59" s="149">
        <f>'Sensitivity analysis'!AA21</f>
        <v>-0.13</v>
      </c>
      <c r="Q59" s="149">
        <f>'Sensitivity analysis'!AD21</f>
        <v>-0.13</v>
      </c>
      <c r="R59" s="149" t="s">
        <v>150</v>
      </c>
      <c r="S59" s="149">
        <f>'Sensitivity analysis'!AG21</f>
        <v>-0.13</v>
      </c>
      <c r="T59" s="149" t="s">
        <v>150</v>
      </c>
      <c r="U59" s="149" t="s">
        <v>150</v>
      </c>
      <c r="V59" s="149" t="s">
        <v>150</v>
      </c>
      <c r="W59" s="149" t="s">
        <v>150</v>
      </c>
      <c r="X59" s="149" t="s">
        <v>150</v>
      </c>
      <c r="Y59" s="149" t="s">
        <v>150</v>
      </c>
      <c r="Z59" s="149" t="s">
        <v>150</v>
      </c>
      <c r="AA59" s="149" t="s">
        <v>150</v>
      </c>
      <c r="AB59" s="149" t="s">
        <v>150</v>
      </c>
      <c r="AC59" s="149" t="s">
        <v>150</v>
      </c>
      <c r="AD59" s="149" t="s">
        <v>150</v>
      </c>
      <c r="AE59" s="149" t="s">
        <v>150</v>
      </c>
      <c r="AF59" s="149" t="s">
        <v>150</v>
      </c>
      <c r="AG59" s="149" t="s">
        <v>150</v>
      </c>
      <c r="AH59" s="149" t="s">
        <v>150</v>
      </c>
      <c r="AI59" s="149" t="s">
        <v>150</v>
      </c>
      <c r="AJ59" s="149" t="s">
        <v>150</v>
      </c>
      <c r="AK59" s="149">
        <f>'Sensitivity analysis'!AJ21</f>
        <v>-0.13</v>
      </c>
      <c r="AL59" s="149" t="s">
        <v>150</v>
      </c>
      <c r="AM59" s="149" t="s">
        <v>150</v>
      </c>
      <c r="AN59" s="149" t="s">
        <v>150</v>
      </c>
      <c r="AO59" s="149" t="s">
        <v>150</v>
      </c>
      <c r="AP59" s="149" t="s">
        <v>150</v>
      </c>
      <c r="AQ59" s="149" t="s">
        <v>150</v>
      </c>
      <c r="AR59" s="149">
        <f>'Sensitivity analysis'!AM21</f>
        <v>-0.13</v>
      </c>
      <c r="AS59" s="149">
        <f>'Sensitivity analysis'!AP21</f>
        <v>-0.13</v>
      </c>
      <c r="AT59" s="715"/>
    </row>
    <row r="60" hidden="1">
      <c r="A60" s="80"/>
      <c r="B60" s="81"/>
      <c r="C60" s="126"/>
      <c r="D60" s="81"/>
      <c r="E60" s="558" t="s">
        <v>975</v>
      </c>
      <c r="F60" s="195" t="s">
        <v>122</v>
      </c>
      <c r="G60" s="195" t="s">
        <v>203</v>
      </c>
      <c r="H60" s="197" t="s">
        <v>150</v>
      </c>
      <c r="I60" s="240">
        <f>'Sensitivity analysis'!F22</f>
        <v>-0.17</v>
      </c>
      <c r="J60" s="240">
        <f>'Sensitivity analysis'!I22</f>
        <v>-0.17</v>
      </c>
      <c r="K60" s="240">
        <f>'Sensitivity analysis'!L22</f>
        <v>-0.17</v>
      </c>
      <c r="L60" s="240">
        <f>'Sensitivity analysis'!O22</f>
        <v>-0.15</v>
      </c>
      <c r="M60" s="240">
        <f>'Sensitivity analysis'!R22</f>
        <v>-0.17</v>
      </c>
      <c r="N60" s="240">
        <f>'Sensitivity analysis'!U22</f>
        <v>-0.17</v>
      </c>
      <c r="O60" s="240">
        <f>'Sensitivity analysis'!X22</f>
        <v>-0.17</v>
      </c>
      <c r="P60" s="240">
        <f>'Sensitivity analysis'!AA22</f>
        <v>-0.18</v>
      </c>
      <c r="Q60" s="240">
        <f>'Sensitivity analysis'!AD22</f>
        <v>-0.17</v>
      </c>
      <c r="R60" s="240" t="s">
        <v>150</v>
      </c>
      <c r="S60" s="240">
        <f>'Sensitivity analysis'!AG22</f>
        <v>-0.15</v>
      </c>
      <c r="T60" s="240" t="s">
        <v>150</v>
      </c>
      <c r="U60" s="240" t="s">
        <v>150</v>
      </c>
      <c r="V60" s="240" t="s">
        <v>150</v>
      </c>
      <c r="W60" s="240" t="s">
        <v>150</v>
      </c>
      <c r="X60" s="240" t="s">
        <v>150</v>
      </c>
      <c r="Y60" s="240" t="s">
        <v>150</v>
      </c>
      <c r="Z60" s="240" t="s">
        <v>150</v>
      </c>
      <c r="AA60" s="240" t="s">
        <v>150</v>
      </c>
      <c r="AB60" s="240" t="s">
        <v>150</v>
      </c>
      <c r="AC60" s="240" t="s">
        <v>150</v>
      </c>
      <c r="AD60" s="240" t="s">
        <v>150</v>
      </c>
      <c r="AE60" s="240" t="s">
        <v>150</v>
      </c>
      <c r="AF60" s="240" t="s">
        <v>150</v>
      </c>
      <c r="AG60" s="240" t="s">
        <v>150</v>
      </c>
      <c r="AH60" s="240" t="s">
        <v>150</v>
      </c>
      <c r="AI60" s="240" t="s">
        <v>150</v>
      </c>
      <c r="AJ60" s="240" t="s">
        <v>150</v>
      </c>
      <c r="AK60" s="240">
        <f>'Sensitivity analysis'!AJ22</f>
        <v>-0.15</v>
      </c>
      <c r="AL60" s="240" t="s">
        <v>150</v>
      </c>
      <c r="AM60" s="240" t="s">
        <v>150</v>
      </c>
      <c r="AN60" s="240" t="s">
        <v>150</v>
      </c>
      <c r="AO60" s="240" t="s">
        <v>150</v>
      </c>
      <c r="AP60" s="240" t="s">
        <v>150</v>
      </c>
      <c r="AQ60" s="240" t="s">
        <v>150</v>
      </c>
      <c r="AR60" s="240">
        <f>'Sensitivity analysis'!AM22</f>
        <v>-0.15</v>
      </c>
      <c r="AS60" s="240">
        <f>'Sensitivity analysis'!AP22</f>
        <v>-0.15</v>
      </c>
      <c r="AT60" s="716"/>
    </row>
    <row r="61" hidden="1">
      <c r="A61" s="80"/>
      <c r="B61" s="81"/>
      <c r="C61" s="126"/>
      <c r="D61" s="81"/>
      <c r="E61" s="624"/>
      <c r="F61" s="326"/>
      <c r="G61" s="326"/>
      <c r="H61" s="728"/>
      <c r="I61" s="729"/>
      <c r="J61" s="729"/>
      <c r="K61" s="729"/>
      <c r="L61" s="729"/>
      <c r="M61" s="729"/>
      <c r="N61" s="729"/>
      <c r="O61" s="729"/>
      <c r="P61" s="729"/>
      <c r="Q61" s="729"/>
      <c r="R61" s="729"/>
      <c r="S61" s="729"/>
      <c r="T61" s="729"/>
      <c r="U61" s="729"/>
      <c r="V61" s="729"/>
      <c r="W61" s="729"/>
      <c r="X61" s="729"/>
      <c r="Y61" s="729"/>
      <c r="Z61" s="729"/>
      <c r="AA61" s="729"/>
      <c r="AB61" s="729"/>
      <c r="AC61" s="729"/>
      <c r="AD61" s="729"/>
      <c r="AE61" s="729"/>
      <c r="AF61" s="729"/>
      <c r="AG61" s="729"/>
      <c r="AH61" s="729"/>
      <c r="AI61" s="729"/>
      <c r="AJ61" s="729"/>
      <c r="AK61" s="729"/>
      <c r="AL61" s="729"/>
      <c r="AM61" s="729"/>
      <c r="AN61" s="729"/>
      <c r="AO61" s="729"/>
      <c r="AP61" s="729"/>
      <c r="AQ61" s="729"/>
      <c r="AR61" s="729"/>
      <c r="AS61" s="729"/>
      <c r="AT61" s="710"/>
    </row>
    <row r="62" hidden="1">
      <c r="A62" s="741" t="s">
        <v>994</v>
      </c>
      <c r="B62" s="14"/>
      <c r="C62" s="14"/>
      <c r="D62" s="14"/>
      <c r="E62" s="14"/>
      <c r="F62" s="14"/>
      <c r="G62" s="482"/>
      <c r="H62" s="73"/>
      <c r="I62" s="707"/>
      <c r="J62" s="707"/>
      <c r="K62" s="707"/>
      <c r="L62" s="707"/>
      <c r="M62" s="707"/>
      <c r="N62" s="707"/>
      <c r="O62" s="707"/>
      <c r="P62" s="707"/>
      <c r="Q62" s="707"/>
      <c r="R62" s="707"/>
      <c r="S62" s="707"/>
      <c r="T62" s="707"/>
      <c r="U62" s="707"/>
      <c r="V62" s="707"/>
      <c r="W62" s="707"/>
      <c r="X62" s="707"/>
      <c r="Y62" s="707"/>
      <c r="Z62" s="707"/>
      <c r="AA62" s="707"/>
      <c r="AB62" s="707"/>
      <c r="AC62" s="707"/>
      <c r="AD62" s="707"/>
      <c r="AE62" s="707"/>
      <c r="AF62" s="707"/>
      <c r="AG62" s="707"/>
      <c r="AH62" s="707"/>
      <c r="AI62" s="707"/>
      <c r="AJ62" s="707"/>
      <c r="AK62" s="707"/>
      <c r="AL62" s="707"/>
      <c r="AM62" s="707"/>
      <c r="AN62" s="707"/>
      <c r="AO62" s="707"/>
      <c r="AP62" s="707"/>
      <c r="AQ62" s="707"/>
      <c r="AR62" s="707"/>
      <c r="AS62" s="707"/>
      <c r="AT62" s="708"/>
    </row>
    <row r="63" hidden="1">
      <c r="A63" s="80"/>
      <c r="B63" s="81"/>
      <c r="C63" s="126"/>
      <c r="D63" s="81"/>
      <c r="E63" s="624"/>
      <c r="F63" s="326"/>
      <c r="G63" s="326"/>
      <c r="H63" s="728"/>
      <c r="I63" s="729"/>
      <c r="J63" s="729"/>
      <c r="K63" s="729"/>
      <c r="L63" s="729"/>
      <c r="M63" s="729"/>
      <c r="N63" s="729"/>
      <c r="O63" s="729"/>
      <c r="P63" s="729"/>
      <c r="Q63" s="729"/>
      <c r="R63" s="729"/>
      <c r="S63" s="729"/>
      <c r="T63" s="729"/>
      <c r="U63" s="729"/>
      <c r="V63" s="729"/>
      <c r="W63" s="729"/>
      <c r="X63" s="729"/>
      <c r="Y63" s="729"/>
      <c r="Z63" s="729"/>
      <c r="AA63" s="729"/>
      <c r="AB63" s="729"/>
      <c r="AC63" s="729"/>
      <c r="AD63" s="729"/>
      <c r="AE63" s="729"/>
      <c r="AF63" s="729"/>
      <c r="AG63" s="729"/>
      <c r="AH63" s="729"/>
      <c r="AI63" s="729"/>
      <c r="AJ63" s="729"/>
      <c r="AK63" s="729"/>
      <c r="AL63" s="729"/>
      <c r="AM63" s="729"/>
      <c r="AN63" s="729"/>
      <c r="AO63" s="729"/>
      <c r="AP63" s="729"/>
      <c r="AQ63" s="729"/>
      <c r="AR63" s="729"/>
      <c r="AS63" s="729"/>
      <c r="AT63" s="710"/>
    </row>
    <row r="64" hidden="1">
      <c r="A64" s="80"/>
      <c r="B64" s="81"/>
      <c r="C64" s="126" t="s">
        <v>932</v>
      </c>
      <c r="F64" s="326"/>
      <c r="G64" s="326"/>
      <c r="H64" s="728"/>
      <c r="I64" s="729"/>
      <c r="J64" s="729"/>
      <c r="K64" s="729"/>
      <c r="L64" s="729"/>
      <c r="M64" s="729"/>
      <c r="N64" s="729"/>
      <c r="O64" s="729"/>
      <c r="P64" s="729"/>
      <c r="Q64" s="729"/>
      <c r="R64" s="729"/>
      <c r="S64" s="729"/>
      <c r="T64" s="729"/>
      <c r="U64" s="729"/>
      <c r="V64" s="729"/>
      <c r="W64" s="729"/>
      <c r="X64" s="729"/>
      <c r="Y64" s="729"/>
      <c r="Z64" s="729"/>
      <c r="AA64" s="729"/>
      <c r="AB64" s="729"/>
      <c r="AC64" s="729"/>
      <c r="AD64" s="729"/>
      <c r="AE64" s="729"/>
      <c r="AF64" s="729"/>
      <c r="AG64" s="729"/>
      <c r="AH64" s="729"/>
      <c r="AI64" s="729"/>
      <c r="AJ64" s="729"/>
      <c r="AK64" s="729"/>
      <c r="AL64" s="729"/>
      <c r="AM64" s="729"/>
      <c r="AN64" s="729"/>
      <c r="AO64" s="729"/>
      <c r="AP64" s="729"/>
      <c r="AQ64" s="729"/>
      <c r="AR64" s="729"/>
      <c r="AS64" s="729"/>
      <c r="AT64" s="710"/>
    </row>
    <row r="65" hidden="1">
      <c r="A65" s="80"/>
      <c r="B65" s="81"/>
      <c r="C65" s="126"/>
      <c r="D65" s="81"/>
      <c r="E65" s="548" t="s">
        <v>933</v>
      </c>
      <c r="F65" s="189" t="s">
        <v>118</v>
      </c>
      <c r="G65" s="189" t="s">
        <v>203</v>
      </c>
      <c r="H65" s="712" t="s">
        <v>150</v>
      </c>
      <c r="I65" s="713">
        <f>'Sensitivity analysis'!H9</f>
        <v>26</v>
      </c>
      <c r="J65" s="713">
        <f>'Sensitivity analysis'!K9</f>
        <v>26</v>
      </c>
      <c r="K65" s="713">
        <f>'Sensitivity analysis'!N9</f>
        <v>26</v>
      </c>
      <c r="L65" s="713">
        <f>'Sensitivity analysis'!Q9</f>
        <v>26</v>
      </c>
      <c r="M65" s="713">
        <f>'Sensitivity analysis'!T9</f>
        <v>26</v>
      </c>
      <c r="N65" s="713">
        <f>'Sensitivity analysis'!W9</f>
        <v>26</v>
      </c>
      <c r="O65" s="713">
        <f>'Sensitivity analysis'!Z9</f>
        <v>26</v>
      </c>
      <c r="P65" s="713">
        <f>'Sensitivity analysis'!AC9</f>
        <v>26</v>
      </c>
      <c r="Q65" s="713">
        <f>'Sensitivity analysis'!AF9</f>
        <v>26</v>
      </c>
      <c r="R65" s="713" t="s">
        <v>150</v>
      </c>
      <c r="S65" s="713">
        <f>'Sensitivity analysis'!AI9</f>
        <v>26</v>
      </c>
      <c r="T65" s="713" t="s">
        <v>150</v>
      </c>
      <c r="U65" s="713" t="s">
        <v>150</v>
      </c>
      <c r="V65" s="713" t="s">
        <v>150</v>
      </c>
      <c r="W65" s="713" t="s">
        <v>150</v>
      </c>
      <c r="X65" s="713" t="s">
        <v>150</v>
      </c>
      <c r="Y65" s="713" t="s">
        <v>150</v>
      </c>
      <c r="Z65" s="713" t="s">
        <v>150</v>
      </c>
      <c r="AA65" s="713" t="s">
        <v>150</v>
      </c>
      <c r="AB65" s="713" t="s">
        <v>150</v>
      </c>
      <c r="AC65" s="713" t="s">
        <v>150</v>
      </c>
      <c r="AD65" s="713" t="s">
        <v>150</v>
      </c>
      <c r="AE65" s="713" t="s">
        <v>150</v>
      </c>
      <c r="AF65" s="713" t="s">
        <v>150</v>
      </c>
      <c r="AG65" s="713" t="s">
        <v>150</v>
      </c>
      <c r="AH65" s="713" t="s">
        <v>150</v>
      </c>
      <c r="AI65" s="713" t="s">
        <v>150</v>
      </c>
      <c r="AJ65" s="713" t="s">
        <v>150</v>
      </c>
      <c r="AK65" s="713">
        <f>'Sensitivity analysis'!AL9</f>
        <v>26</v>
      </c>
      <c r="AL65" s="713" t="s">
        <v>150</v>
      </c>
      <c r="AM65" s="713" t="s">
        <v>150</v>
      </c>
      <c r="AN65" s="713" t="s">
        <v>150</v>
      </c>
      <c r="AO65" s="713" t="s">
        <v>150</v>
      </c>
      <c r="AP65" s="713" t="s">
        <v>150</v>
      </c>
      <c r="AQ65" s="713" t="s">
        <v>150</v>
      </c>
      <c r="AR65" s="713">
        <f>'Sensitivity analysis'!AO9</f>
        <v>26</v>
      </c>
      <c r="AS65" s="713">
        <f>'Sensitivity analysis'!AR9</f>
        <v>26</v>
      </c>
      <c r="AT65" s="714"/>
    </row>
    <row r="66" hidden="1">
      <c r="A66" s="80"/>
      <c r="B66" s="81"/>
      <c r="C66" s="126"/>
      <c r="D66" s="81"/>
      <c r="E66" s="553" t="s">
        <v>938</v>
      </c>
      <c r="F66" s="215" t="s">
        <v>122</v>
      </c>
      <c r="G66" s="215" t="s">
        <v>203</v>
      </c>
      <c r="H66" s="187" t="s">
        <v>150</v>
      </c>
      <c r="I66" s="149">
        <f>'Sensitivity analysis'!H10</f>
        <v>0.87</v>
      </c>
      <c r="J66" s="149">
        <f>'Sensitivity analysis'!K10</f>
        <v>0.94</v>
      </c>
      <c r="K66" s="149">
        <f>'Sensitivity analysis'!N10</f>
        <v>0.91</v>
      </c>
      <c r="L66" s="149">
        <f>'Sensitivity analysis'!Q10</f>
        <v>0.96</v>
      </c>
      <c r="M66" s="149">
        <f>'Sensitivity analysis'!T10</f>
        <v>0.9</v>
      </c>
      <c r="N66" s="149">
        <f>'Sensitivity analysis'!W10</f>
        <v>0.85</v>
      </c>
      <c r="O66" s="149">
        <f>'Sensitivity analysis'!Z10</f>
        <v>0.78</v>
      </c>
      <c r="P66" s="149">
        <f>'Sensitivity analysis'!AC10</f>
        <v>0.73</v>
      </c>
      <c r="Q66" s="149">
        <f>'Sensitivity analysis'!AF10</f>
        <v>0.83</v>
      </c>
      <c r="R66" s="149" t="s">
        <v>150</v>
      </c>
      <c r="S66" s="149">
        <f>'Sensitivity analysis'!AI10</f>
        <v>0.99</v>
      </c>
      <c r="T66" s="149" t="s">
        <v>150</v>
      </c>
      <c r="U66" s="149" t="s">
        <v>150</v>
      </c>
      <c r="V66" s="149" t="s">
        <v>150</v>
      </c>
      <c r="W66" s="149" t="s">
        <v>150</v>
      </c>
      <c r="X66" s="149" t="s">
        <v>150</v>
      </c>
      <c r="Y66" s="149" t="s">
        <v>150</v>
      </c>
      <c r="Z66" s="149" t="s">
        <v>150</v>
      </c>
      <c r="AA66" s="149" t="s">
        <v>150</v>
      </c>
      <c r="AB66" s="149" t="s">
        <v>150</v>
      </c>
      <c r="AC66" s="149" t="s">
        <v>150</v>
      </c>
      <c r="AD66" s="149" t="s">
        <v>150</v>
      </c>
      <c r="AE66" s="149" t="s">
        <v>150</v>
      </c>
      <c r="AF66" s="149" t="s">
        <v>150</v>
      </c>
      <c r="AG66" s="149" t="s">
        <v>150</v>
      </c>
      <c r="AH66" s="149" t="s">
        <v>150</v>
      </c>
      <c r="AI66" s="149" t="s">
        <v>150</v>
      </c>
      <c r="AJ66" s="149" t="s">
        <v>150</v>
      </c>
      <c r="AK66" s="149">
        <f>'Sensitivity analysis'!AL10</f>
        <v>0.91</v>
      </c>
      <c r="AL66" s="149" t="s">
        <v>150</v>
      </c>
      <c r="AM66" s="149" t="s">
        <v>150</v>
      </c>
      <c r="AN66" s="149" t="s">
        <v>150</v>
      </c>
      <c r="AO66" s="149" t="s">
        <v>150</v>
      </c>
      <c r="AP66" s="149" t="s">
        <v>150</v>
      </c>
      <c r="AQ66" s="149" t="s">
        <v>150</v>
      </c>
      <c r="AR66" s="149">
        <f>'Sensitivity analysis'!AO10</f>
        <v>0.96</v>
      </c>
      <c r="AS66" s="149">
        <f>'Sensitivity analysis'!AR10</f>
        <v>0.97</v>
      </c>
      <c r="AT66" s="715"/>
    </row>
    <row r="67" hidden="1">
      <c r="A67" s="80"/>
      <c r="B67" s="81"/>
      <c r="C67" s="126"/>
      <c r="D67" s="81"/>
      <c r="E67" s="553" t="s">
        <v>943</v>
      </c>
      <c r="F67" s="215" t="s">
        <v>122</v>
      </c>
      <c r="G67" s="215" t="s">
        <v>203</v>
      </c>
      <c r="H67" s="187" t="s">
        <v>150</v>
      </c>
      <c r="I67" s="284">
        <f>'Sensitivity analysis'!H11</f>
        <v>0.0793</v>
      </c>
      <c r="J67" s="284">
        <f>'Sensitivity analysis'!K11</f>
        <v>0.0589</v>
      </c>
      <c r="K67" s="284">
        <f>'Sensitivity analysis'!N11</f>
        <v>0.0811</v>
      </c>
      <c r="L67" s="284">
        <f>'Sensitivity analysis'!Q11</f>
        <v>0.0396</v>
      </c>
      <c r="M67" s="284">
        <f>'Sensitivity analysis'!T11</f>
        <v>0.0549</v>
      </c>
      <c r="N67" s="284">
        <f>'Sensitivity analysis'!W11</f>
        <v>0.0605</v>
      </c>
      <c r="O67" s="284">
        <f>'Sensitivity analysis'!Z11</f>
        <v>0.0645</v>
      </c>
      <c r="P67" s="284">
        <f>'Sensitivity analysis'!AC11</f>
        <v>0.0874</v>
      </c>
      <c r="Q67" s="284">
        <f>'Sensitivity analysis'!AF11</f>
        <v>0.0999</v>
      </c>
      <c r="R67" s="284" t="s">
        <v>150</v>
      </c>
      <c r="S67" s="284">
        <f>'Sensitivity analysis'!AI11</f>
        <v>0.0549</v>
      </c>
      <c r="T67" s="284" t="s">
        <v>150</v>
      </c>
      <c r="U67" s="284" t="s">
        <v>150</v>
      </c>
      <c r="V67" s="284" t="s">
        <v>150</v>
      </c>
      <c r="W67" s="284" t="s">
        <v>150</v>
      </c>
      <c r="X67" s="284" t="s">
        <v>150</v>
      </c>
      <c r="Y67" s="284" t="s">
        <v>150</v>
      </c>
      <c r="Z67" s="284" t="s">
        <v>150</v>
      </c>
      <c r="AA67" s="284" t="s">
        <v>150</v>
      </c>
      <c r="AB67" s="284" t="s">
        <v>150</v>
      </c>
      <c r="AC67" s="284" t="s">
        <v>150</v>
      </c>
      <c r="AD67" s="284" t="s">
        <v>150</v>
      </c>
      <c r="AE67" s="284" t="s">
        <v>150</v>
      </c>
      <c r="AF67" s="284" t="s">
        <v>150</v>
      </c>
      <c r="AG67" s="284" t="s">
        <v>150</v>
      </c>
      <c r="AH67" s="284" t="s">
        <v>150</v>
      </c>
      <c r="AI67" s="284" t="s">
        <v>150</v>
      </c>
      <c r="AJ67" s="284" t="s">
        <v>150</v>
      </c>
      <c r="AK67" s="284">
        <f>'Sensitivity analysis'!AL11</f>
        <v>0.0356</v>
      </c>
      <c r="AL67" s="284" t="s">
        <v>150</v>
      </c>
      <c r="AM67" s="284" t="s">
        <v>150</v>
      </c>
      <c r="AN67" s="284" t="s">
        <v>150</v>
      </c>
      <c r="AO67" s="284" t="s">
        <v>150</v>
      </c>
      <c r="AP67" s="284" t="s">
        <v>150</v>
      </c>
      <c r="AQ67" s="284" t="s">
        <v>150</v>
      </c>
      <c r="AR67" s="284">
        <f>'Sensitivity analysis'!AO11</f>
        <v>0.0544</v>
      </c>
      <c r="AS67" s="284">
        <f>'Sensitivity analysis'!AR11</f>
        <v>0.0461</v>
      </c>
      <c r="AT67" s="715"/>
    </row>
    <row r="68" hidden="1">
      <c r="A68" s="80"/>
      <c r="B68" s="81"/>
      <c r="C68" s="126"/>
      <c r="D68" s="81"/>
      <c r="E68" s="558" t="s">
        <v>945</v>
      </c>
      <c r="F68" s="195" t="s">
        <v>122</v>
      </c>
      <c r="G68" s="195" t="s">
        <v>203</v>
      </c>
      <c r="H68" s="197" t="s">
        <v>150</v>
      </c>
      <c r="I68" s="240">
        <f>'Sensitivity analysis'!H12</f>
        <v>0.68</v>
      </c>
      <c r="J68" s="240">
        <f>'Sensitivity analysis'!K12</f>
        <v>0.66</v>
      </c>
      <c r="K68" s="240">
        <f>'Sensitivity analysis'!N12</f>
        <v>0.7</v>
      </c>
      <c r="L68" s="240">
        <f>'Sensitivity analysis'!Q12</f>
        <v>0.68</v>
      </c>
      <c r="M68" s="240">
        <f>'Sensitivity analysis'!T12</f>
        <v>0.66</v>
      </c>
      <c r="N68" s="240">
        <f>'Sensitivity analysis'!W12</f>
        <v>0.69</v>
      </c>
      <c r="O68" s="240">
        <f>'Sensitivity analysis'!Z12</f>
        <v>0.69</v>
      </c>
      <c r="P68" s="240">
        <f>'Sensitivity analysis'!AC12</f>
        <v>0.68</v>
      </c>
      <c r="Q68" s="240">
        <f>'Sensitivity analysis'!AF12</f>
        <v>0.69</v>
      </c>
      <c r="R68" s="240" t="s">
        <v>150</v>
      </c>
      <c r="S68" s="240">
        <f>'Sensitivity analysis'!AI12</f>
        <v>0.66</v>
      </c>
      <c r="T68" s="240" t="s">
        <v>150</v>
      </c>
      <c r="U68" s="240" t="s">
        <v>150</v>
      </c>
      <c r="V68" s="240" t="s">
        <v>150</v>
      </c>
      <c r="W68" s="240" t="s">
        <v>150</v>
      </c>
      <c r="X68" s="240" t="s">
        <v>150</v>
      </c>
      <c r="Y68" s="240" t="s">
        <v>150</v>
      </c>
      <c r="Z68" s="240" t="s">
        <v>150</v>
      </c>
      <c r="AA68" s="240" t="s">
        <v>150</v>
      </c>
      <c r="AB68" s="240" t="s">
        <v>150</v>
      </c>
      <c r="AC68" s="240" t="s">
        <v>150</v>
      </c>
      <c r="AD68" s="240" t="s">
        <v>150</v>
      </c>
      <c r="AE68" s="240" t="s">
        <v>150</v>
      </c>
      <c r="AF68" s="240" t="s">
        <v>150</v>
      </c>
      <c r="AG68" s="240" t="s">
        <v>150</v>
      </c>
      <c r="AH68" s="240" t="s">
        <v>150</v>
      </c>
      <c r="AI68" s="240" t="s">
        <v>150</v>
      </c>
      <c r="AJ68" s="240" t="s">
        <v>150</v>
      </c>
      <c r="AK68" s="240">
        <f>'Sensitivity analysis'!AL12</f>
        <v>0.66</v>
      </c>
      <c r="AL68" s="240" t="s">
        <v>150</v>
      </c>
      <c r="AM68" s="240" t="s">
        <v>150</v>
      </c>
      <c r="AN68" s="240" t="s">
        <v>150</v>
      </c>
      <c r="AO68" s="240" t="s">
        <v>150</v>
      </c>
      <c r="AP68" s="240" t="s">
        <v>150</v>
      </c>
      <c r="AQ68" s="240" t="s">
        <v>150</v>
      </c>
      <c r="AR68" s="240">
        <f>'Sensitivity analysis'!AO12</f>
        <v>0.65</v>
      </c>
      <c r="AS68" s="240">
        <f>'Sensitivity analysis'!AR12</f>
        <v>0.69</v>
      </c>
      <c r="AT68" s="716"/>
    </row>
    <row r="69" hidden="1">
      <c r="A69" s="80"/>
      <c r="B69" s="81"/>
      <c r="C69" s="126"/>
      <c r="D69" s="81"/>
      <c r="E69" s="624"/>
      <c r="F69" s="326"/>
      <c r="G69" s="326"/>
      <c r="H69" s="728"/>
      <c r="I69" s="729" t="str">
        <f>'Sensitivity analysis'!H13</f>
        <v/>
      </c>
      <c r="J69" s="729" t="str">
        <f>'Sensitivity analysis'!K13</f>
        <v/>
      </c>
      <c r="K69" s="729" t="str">
        <f>'Sensitivity analysis'!N13</f>
        <v/>
      </c>
      <c r="L69" s="729" t="str">
        <f>'Sensitivity analysis'!Q13</f>
        <v/>
      </c>
      <c r="M69" s="729" t="str">
        <f>'Sensitivity analysis'!T13</f>
        <v/>
      </c>
      <c r="N69" s="729" t="str">
        <f>'Sensitivity analysis'!W13</f>
        <v/>
      </c>
      <c r="O69" s="729" t="str">
        <f>'Sensitivity analysis'!Z13</f>
        <v/>
      </c>
      <c r="P69" s="729" t="str">
        <f>'Sensitivity analysis'!AC13</f>
        <v/>
      </c>
      <c r="Q69" s="729" t="str">
        <f>'Sensitivity analysis'!AF13</f>
        <v/>
      </c>
      <c r="R69" s="729" t="s">
        <v>150</v>
      </c>
      <c r="S69" s="729" t="str">
        <f>'Sensitivity analysis'!AI13</f>
        <v/>
      </c>
      <c r="T69" s="729" t="s">
        <v>150</v>
      </c>
      <c r="U69" s="729" t="s">
        <v>150</v>
      </c>
      <c r="V69" s="729" t="s">
        <v>150</v>
      </c>
      <c r="W69" s="729" t="s">
        <v>150</v>
      </c>
      <c r="X69" s="729" t="s">
        <v>150</v>
      </c>
      <c r="Y69" s="729" t="s">
        <v>150</v>
      </c>
      <c r="Z69" s="729" t="s">
        <v>150</v>
      </c>
      <c r="AA69" s="729" t="s">
        <v>150</v>
      </c>
      <c r="AB69" s="729" t="s">
        <v>150</v>
      </c>
      <c r="AC69" s="729" t="s">
        <v>150</v>
      </c>
      <c r="AD69" s="729" t="s">
        <v>150</v>
      </c>
      <c r="AE69" s="729" t="s">
        <v>150</v>
      </c>
      <c r="AF69" s="729" t="s">
        <v>150</v>
      </c>
      <c r="AG69" s="729" t="s">
        <v>150</v>
      </c>
      <c r="AH69" s="729" t="s">
        <v>150</v>
      </c>
      <c r="AI69" s="729" t="s">
        <v>150</v>
      </c>
      <c r="AJ69" s="729" t="s">
        <v>150</v>
      </c>
      <c r="AK69" s="729" t="str">
        <f>'Sensitivity analysis'!AL13</f>
        <v/>
      </c>
      <c r="AL69" s="729" t="s">
        <v>150</v>
      </c>
      <c r="AM69" s="729" t="s">
        <v>150</v>
      </c>
      <c r="AN69" s="729" t="s">
        <v>150</v>
      </c>
      <c r="AO69" s="729" t="s">
        <v>150</v>
      </c>
      <c r="AP69" s="729" t="s">
        <v>150</v>
      </c>
      <c r="AQ69" s="729" t="s">
        <v>150</v>
      </c>
      <c r="AR69" s="729" t="str">
        <f>'Sensitivity analysis'!AO13</f>
        <v/>
      </c>
      <c r="AS69" s="729" t="str">
        <f>'Sensitivity analysis'!AR13</f>
        <v/>
      </c>
      <c r="AT69" s="710"/>
    </row>
    <row r="70" hidden="1">
      <c r="A70" s="80"/>
      <c r="B70" s="81"/>
      <c r="C70" s="126" t="s">
        <v>957</v>
      </c>
      <c r="F70" s="326"/>
      <c r="G70" s="326"/>
      <c r="H70" s="728"/>
      <c r="I70" s="729" t="str">
        <f>'Sensitivity analysis'!H14</f>
        <v/>
      </c>
      <c r="J70" s="729" t="str">
        <f>'Sensitivity analysis'!K14</f>
        <v/>
      </c>
      <c r="K70" s="729" t="str">
        <f>'Sensitivity analysis'!N14</f>
        <v/>
      </c>
      <c r="L70" s="729" t="str">
        <f>'Sensitivity analysis'!Q14</f>
        <v/>
      </c>
      <c r="M70" s="729" t="str">
        <f>'Sensitivity analysis'!T14</f>
        <v/>
      </c>
      <c r="N70" s="729" t="str">
        <f>'Sensitivity analysis'!W14</f>
        <v/>
      </c>
      <c r="O70" s="729" t="str">
        <f>'Sensitivity analysis'!Z14</f>
        <v/>
      </c>
      <c r="P70" s="729" t="str">
        <f>'Sensitivity analysis'!AC14</f>
        <v/>
      </c>
      <c r="Q70" s="729" t="str">
        <f>'Sensitivity analysis'!AF14</f>
        <v/>
      </c>
      <c r="R70" s="729" t="s">
        <v>150</v>
      </c>
      <c r="S70" s="729" t="str">
        <f>'Sensitivity analysis'!AI14</f>
        <v/>
      </c>
      <c r="T70" s="729" t="s">
        <v>150</v>
      </c>
      <c r="U70" s="729" t="s">
        <v>150</v>
      </c>
      <c r="V70" s="729" t="s">
        <v>150</v>
      </c>
      <c r="W70" s="729" t="s">
        <v>150</v>
      </c>
      <c r="X70" s="729" t="s">
        <v>150</v>
      </c>
      <c r="Y70" s="729" t="s">
        <v>150</v>
      </c>
      <c r="Z70" s="729" t="s">
        <v>150</v>
      </c>
      <c r="AA70" s="729" t="s">
        <v>150</v>
      </c>
      <c r="AB70" s="729" t="s">
        <v>150</v>
      </c>
      <c r="AC70" s="729" t="s">
        <v>150</v>
      </c>
      <c r="AD70" s="729" t="s">
        <v>150</v>
      </c>
      <c r="AE70" s="729" t="s">
        <v>150</v>
      </c>
      <c r="AF70" s="729" t="s">
        <v>150</v>
      </c>
      <c r="AG70" s="729" t="s">
        <v>150</v>
      </c>
      <c r="AH70" s="729" t="s">
        <v>150</v>
      </c>
      <c r="AI70" s="729" t="s">
        <v>150</v>
      </c>
      <c r="AJ70" s="729" t="s">
        <v>150</v>
      </c>
      <c r="AK70" s="729" t="str">
        <f>'Sensitivity analysis'!AL14</f>
        <v/>
      </c>
      <c r="AL70" s="729" t="s">
        <v>150</v>
      </c>
      <c r="AM70" s="729" t="s">
        <v>150</v>
      </c>
      <c r="AN70" s="729" t="s">
        <v>150</v>
      </c>
      <c r="AO70" s="729" t="s">
        <v>150</v>
      </c>
      <c r="AP70" s="729" t="s">
        <v>150</v>
      </c>
      <c r="AQ70" s="729" t="s">
        <v>150</v>
      </c>
      <c r="AR70" s="729" t="str">
        <f>'Sensitivity analysis'!AO14</f>
        <v/>
      </c>
      <c r="AS70" s="729" t="str">
        <f>'Sensitivity analysis'!AR14</f>
        <v/>
      </c>
      <c r="AT70" s="710"/>
    </row>
    <row r="71" hidden="1">
      <c r="A71" s="80"/>
      <c r="B71" s="81"/>
      <c r="C71" s="126"/>
      <c r="D71" s="81"/>
      <c r="E71" s="548" t="s">
        <v>959</v>
      </c>
      <c r="F71" s="189" t="s">
        <v>122</v>
      </c>
      <c r="G71" s="189" t="s">
        <v>203</v>
      </c>
      <c r="H71" s="200" t="s">
        <v>150</v>
      </c>
      <c r="I71" s="725">
        <f>'Sensitivity analysis'!H15</f>
        <v>0.44</v>
      </c>
      <c r="J71" s="725">
        <f>'Sensitivity analysis'!K15</f>
        <v>0.4</v>
      </c>
      <c r="K71" s="725">
        <f>'Sensitivity analysis'!N15</f>
        <v>0.47</v>
      </c>
      <c r="L71" s="725">
        <f>'Sensitivity analysis'!Q15</f>
        <v>0.41</v>
      </c>
      <c r="M71" s="725">
        <f>'Sensitivity analysis'!T15</f>
        <v>0.38</v>
      </c>
      <c r="N71" s="725">
        <f>'Sensitivity analysis'!W15</f>
        <v>0.52</v>
      </c>
      <c r="O71" s="725">
        <f>'Sensitivity analysis'!Z15</f>
        <v>0.53</v>
      </c>
      <c r="P71" s="725">
        <f>'Sensitivity analysis'!AC15</f>
        <v>0.49</v>
      </c>
      <c r="Q71" s="725">
        <f>'Sensitivity analysis'!AF15</f>
        <v>0.42</v>
      </c>
      <c r="R71" s="725" t="s">
        <v>150</v>
      </c>
      <c r="S71" s="725">
        <f>'Sensitivity analysis'!AI15</f>
        <v>0.37</v>
      </c>
      <c r="T71" s="725" t="s">
        <v>150</v>
      </c>
      <c r="U71" s="725" t="s">
        <v>150</v>
      </c>
      <c r="V71" s="725" t="s">
        <v>150</v>
      </c>
      <c r="W71" s="725" t="s">
        <v>150</v>
      </c>
      <c r="X71" s="725" t="s">
        <v>150</v>
      </c>
      <c r="Y71" s="725" t="s">
        <v>150</v>
      </c>
      <c r="Z71" s="725" t="s">
        <v>150</v>
      </c>
      <c r="AA71" s="725" t="s">
        <v>150</v>
      </c>
      <c r="AB71" s="725" t="s">
        <v>150</v>
      </c>
      <c r="AC71" s="725" t="s">
        <v>150</v>
      </c>
      <c r="AD71" s="725" t="s">
        <v>150</v>
      </c>
      <c r="AE71" s="725" t="s">
        <v>150</v>
      </c>
      <c r="AF71" s="725" t="s">
        <v>150</v>
      </c>
      <c r="AG71" s="725" t="s">
        <v>150</v>
      </c>
      <c r="AH71" s="725" t="s">
        <v>150</v>
      </c>
      <c r="AI71" s="725" t="s">
        <v>150</v>
      </c>
      <c r="AJ71" s="725" t="s">
        <v>150</v>
      </c>
      <c r="AK71" s="725">
        <f>'Sensitivity analysis'!AL15</f>
        <v>0.57</v>
      </c>
      <c r="AL71" s="725" t="s">
        <v>150</v>
      </c>
      <c r="AM71" s="725" t="s">
        <v>150</v>
      </c>
      <c r="AN71" s="725" t="s">
        <v>150</v>
      </c>
      <c r="AO71" s="725" t="s">
        <v>150</v>
      </c>
      <c r="AP71" s="725" t="s">
        <v>150</v>
      </c>
      <c r="AQ71" s="725" t="s">
        <v>150</v>
      </c>
      <c r="AR71" s="725">
        <f>'Sensitivity analysis'!AO15</f>
        <v>0.41</v>
      </c>
      <c r="AS71" s="725">
        <f>'Sensitivity analysis'!AR15</f>
        <v>0.65</v>
      </c>
      <c r="AT71" s="714"/>
    </row>
    <row r="72" hidden="1">
      <c r="A72" s="80"/>
      <c r="B72" s="81"/>
      <c r="C72" s="126"/>
      <c r="D72" s="81"/>
      <c r="E72" s="553" t="s">
        <v>962</v>
      </c>
      <c r="F72" s="215" t="s">
        <v>122</v>
      </c>
      <c r="G72" s="215" t="s">
        <v>203</v>
      </c>
      <c r="H72" s="187" t="s">
        <v>150</v>
      </c>
      <c r="I72" s="726">
        <f>'Sensitivity analysis'!H16</f>
        <v>0.6</v>
      </c>
      <c r="J72" s="726">
        <f>'Sensitivity analysis'!K16</f>
        <v>0.6</v>
      </c>
      <c r="K72" s="726">
        <f>'Sensitivity analysis'!N16</f>
        <v>0.58</v>
      </c>
      <c r="L72" s="726">
        <f>'Sensitivity analysis'!Q16</f>
        <v>0.6</v>
      </c>
      <c r="M72" s="726">
        <f>'Sensitivity analysis'!T16</f>
        <v>0.6</v>
      </c>
      <c r="N72" s="726">
        <f>'Sensitivity analysis'!W16</f>
        <v>0.58</v>
      </c>
      <c r="O72" s="726">
        <f>'Sensitivity analysis'!Z16</f>
        <v>0.58</v>
      </c>
      <c r="P72" s="726">
        <f>'Sensitivity analysis'!AC16</f>
        <v>0.58</v>
      </c>
      <c r="Q72" s="726">
        <f>'Sensitivity analysis'!AF16</f>
        <v>0.6</v>
      </c>
      <c r="R72" s="726" t="s">
        <v>150</v>
      </c>
      <c r="S72" s="726">
        <f>'Sensitivity analysis'!AI16</f>
        <v>0.6</v>
      </c>
      <c r="T72" s="726" t="s">
        <v>150</v>
      </c>
      <c r="U72" s="726" t="s">
        <v>150</v>
      </c>
      <c r="V72" s="726" t="s">
        <v>150</v>
      </c>
      <c r="W72" s="726" t="s">
        <v>150</v>
      </c>
      <c r="X72" s="726" t="s">
        <v>150</v>
      </c>
      <c r="Y72" s="726" t="s">
        <v>150</v>
      </c>
      <c r="Z72" s="726" t="s">
        <v>150</v>
      </c>
      <c r="AA72" s="726" t="s">
        <v>150</v>
      </c>
      <c r="AB72" s="726" t="s">
        <v>150</v>
      </c>
      <c r="AC72" s="726" t="s">
        <v>150</v>
      </c>
      <c r="AD72" s="726" t="s">
        <v>150</v>
      </c>
      <c r="AE72" s="726" t="s">
        <v>150</v>
      </c>
      <c r="AF72" s="726" t="s">
        <v>150</v>
      </c>
      <c r="AG72" s="726" t="s">
        <v>150</v>
      </c>
      <c r="AH72" s="726" t="s">
        <v>150</v>
      </c>
      <c r="AI72" s="726" t="s">
        <v>150</v>
      </c>
      <c r="AJ72" s="726" t="s">
        <v>150</v>
      </c>
      <c r="AK72" s="726">
        <f>'Sensitivity analysis'!AL16</f>
        <v>0.56</v>
      </c>
      <c r="AL72" s="726" t="s">
        <v>150</v>
      </c>
      <c r="AM72" s="726" t="s">
        <v>150</v>
      </c>
      <c r="AN72" s="726" t="s">
        <v>150</v>
      </c>
      <c r="AO72" s="726" t="s">
        <v>150</v>
      </c>
      <c r="AP72" s="726" t="s">
        <v>150</v>
      </c>
      <c r="AQ72" s="726" t="s">
        <v>150</v>
      </c>
      <c r="AR72" s="726">
        <f>'Sensitivity analysis'!AO16</f>
        <v>0.6</v>
      </c>
      <c r="AS72" s="726">
        <f>'Sensitivity analysis'!AR16</f>
        <v>0.54</v>
      </c>
      <c r="AT72" s="715"/>
    </row>
    <row r="73" hidden="1">
      <c r="A73" s="80"/>
      <c r="B73" s="81"/>
      <c r="C73" s="126"/>
      <c r="D73" s="81"/>
      <c r="E73" s="558" t="s">
        <v>963</v>
      </c>
      <c r="F73" s="195" t="s">
        <v>122</v>
      </c>
      <c r="G73" s="195" t="s">
        <v>203</v>
      </c>
      <c r="H73" s="197" t="s">
        <v>150</v>
      </c>
      <c r="I73" s="727">
        <f>'Sensitivity analysis'!H17</f>
        <v>0.05</v>
      </c>
      <c r="J73" s="727">
        <f>'Sensitivity analysis'!K17</f>
        <v>0.08</v>
      </c>
      <c r="K73" s="727">
        <f>'Sensitivity analysis'!N17</f>
        <v>0.05</v>
      </c>
      <c r="L73" s="727">
        <f>'Sensitivity analysis'!Q17</f>
        <v>0.16</v>
      </c>
      <c r="M73" s="727">
        <f>'Sensitivity analysis'!T17</f>
        <v>0.07</v>
      </c>
      <c r="N73" s="727">
        <f>'Sensitivity analysis'!W17</f>
        <v>0.05</v>
      </c>
      <c r="O73" s="727">
        <f>'Sensitivity analysis'!Z17</f>
        <v>0.03</v>
      </c>
      <c r="P73" s="727">
        <f>'Sensitivity analysis'!AC17</f>
        <v>0.02</v>
      </c>
      <c r="Q73" s="727">
        <f>'Sensitivity analysis'!AF17</f>
        <v>0.03</v>
      </c>
      <c r="R73" s="727" t="s">
        <v>150</v>
      </c>
      <c r="S73" s="727">
        <f>'Sensitivity analysis'!AI17</f>
        <v>0.22</v>
      </c>
      <c r="T73" s="727" t="s">
        <v>150</v>
      </c>
      <c r="U73" s="727" t="s">
        <v>150</v>
      </c>
      <c r="V73" s="727" t="s">
        <v>150</v>
      </c>
      <c r="W73" s="727" t="s">
        <v>150</v>
      </c>
      <c r="X73" s="727" t="s">
        <v>150</v>
      </c>
      <c r="Y73" s="727" t="s">
        <v>150</v>
      </c>
      <c r="Z73" s="727" t="s">
        <v>150</v>
      </c>
      <c r="AA73" s="727" t="s">
        <v>150</v>
      </c>
      <c r="AB73" s="727" t="s">
        <v>150</v>
      </c>
      <c r="AC73" s="727" t="s">
        <v>150</v>
      </c>
      <c r="AD73" s="727" t="s">
        <v>150</v>
      </c>
      <c r="AE73" s="727" t="s">
        <v>150</v>
      </c>
      <c r="AF73" s="727" t="s">
        <v>150</v>
      </c>
      <c r="AG73" s="727" t="s">
        <v>150</v>
      </c>
      <c r="AH73" s="727" t="s">
        <v>150</v>
      </c>
      <c r="AI73" s="727" t="s">
        <v>150</v>
      </c>
      <c r="AJ73" s="727" t="s">
        <v>150</v>
      </c>
      <c r="AK73" s="727">
        <f>'Sensitivity analysis'!AL17</f>
        <v>0.11</v>
      </c>
      <c r="AL73" s="727" t="s">
        <v>150</v>
      </c>
      <c r="AM73" s="727" t="s">
        <v>150</v>
      </c>
      <c r="AN73" s="727" t="s">
        <v>150</v>
      </c>
      <c r="AO73" s="727" t="s">
        <v>150</v>
      </c>
      <c r="AP73" s="727" t="s">
        <v>150</v>
      </c>
      <c r="AQ73" s="727" t="s">
        <v>150</v>
      </c>
      <c r="AR73" s="727">
        <f>'Sensitivity analysis'!AO17</f>
        <v>0.12</v>
      </c>
      <c r="AS73" s="727">
        <f>'Sensitivity analysis'!AR17</f>
        <v>0.13</v>
      </c>
      <c r="AT73" s="716"/>
    </row>
    <row r="74" hidden="1">
      <c r="A74" s="80"/>
      <c r="B74" s="81"/>
      <c r="C74" s="126"/>
      <c r="D74" s="81"/>
      <c r="E74" s="624"/>
      <c r="F74" s="326"/>
      <c r="G74" s="326"/>
      <c r="H74" s="728"/>
      <c r="I74" s="729" t="str">
        <f>'Sensitivity analysis'!H18</f>
        <v/>
      </c>
      <c r="J74" s="729" t="str">
        <f>'Sensitivity analysis'!K18</f>
        <v/>
      </c>
      <c r="K74" s="729" t="str">
        <f>'Sensitivity analysis'!N18</f>
        <v/>
      </c>
      <c r="L74" s="729" t="str">
        <f>'Sensitivity analysis'!Q18</f>
        <v/>
      </c>
      <c r="M74" s="729" t="str">
        <f>'Sensitivity analysis'!T18</f>
        <v/>
      </c>
      <c r="N74" s="729" t="str">
        <f>'Sensitivity analysis'!W18</f>
        <v/>
      </c>
      <c r="O74" s="729" t="str">
        <f>'Sensitivity analysis'!Z18</f>
        <v/>
      </c>
      <c r="P74" s="729" t="str">
        <f>'Sensitivity analysis'!AC18</f>
        <v/>
      </c>
      <c r="Q74" s="729" t="str">
        <f>'Sensitivity analysis'!AF18</f>
        <v/>
      </c>
      <c r="R74" s="729" t="s">
        <v>150</v>
      </c>
      <c r="S74" s="729" t="str">
        <f>'Sensitivity analysis'!AI18</f>
        <v/>
      </c>
      <c r="T74" s="729" t="s">
        <v>150</v>
      </c>
      <c r="U74" s="729" t="s">
        <v>150</v>
      </c>
      <c r="V74" s="729" t="s">
        <v>150</v>
      </c>
      <c r="W74" s="729" t="s">
        <v>150</v>
      </c>
      <c r="X74" s="729" t="s">
        <v>150</v>
      </c>
      <c r="Y74" s="729" t="s">
        <v>150</v>
      </c>
      <c r="Z74" s="729" t="s">
        <v>150</v>
      </c>
      <c r="AA74" s="729" t="s">
        <v>150</v>
      </c>
      <c r="AB74" s="729" t="s">
        <v>150</v>
      </c>
      <c r="AC74" s="729" t="s">
        <v>150</v>
      </c>
      <c r="AD74" s="729" t="s">
        <v>150</v>
      </c>
      <c r="AE74" s="729" t="s">
        <v>150</v>
      </c>
      <c r="AF74" s="729" t="s">
        <v>150</v>
      </c>
      <c r="AG74" s="729" t="s">
        <v>150</v>
      </c>
      <c r="AH74" s="729" t="s">
        <v>150</v>
      </c>
      <c r="AI74" s="729" t="s">
        <v>150</v>
      </c>
      <c r="AJ74" s="729" t="s">
        <v>150</v>
      </c>
      <c r="AK74" s="729" t="str">
        <f>'Sensitivity analysis'!AL18</f>
        <v/>
      </c>
      <c r="AL74" s="729" t="s">
        <v>150</v>
      </c>
      <c r="AM74" s="729" t="s">
        <v>150</v>
      </c>
      <c r="AN74" s="729" t="s">
        <v>150</v>
      </c>
      <c r="AO74" s="729" t="s">
        <v>150</v>
      </c>
      <c r="AP74" s="729" t="s">
        <v>150</v>
      </c>
      <c r="AQ74" s="729" t="s">
        <v>150</v>
      </c>
      <c r="AR74" s="729" t="str">
        <f>'Sensitivity analysis'!AO18</f>
        <v/>
      </c>
      <c r="AS74" s="729" t="str">
        <f>'Sensitivity analysis'!AR18</f>
        <v/>
      </c>
      <c r="AT74" s="710"/>
    </row>
    <row r="75" hidden="1">
      <c r="A75" s="80"/>
      <c r="B75" s="81"/>
      <c r="C75" s="126" t="s">
        <v>969</v>
      </c>
      <c r="F75" s="326"/>
      <c r="G75" s="326"/>
      <c r="H75" s="728"/>
      <c r="I75" s="729" t="str">
        <f>'Sensitivity analysis'!H19</f>
        <v/>
      </c>
      <c r="J75" s="729" t="str">
        <f>'Sensitivity analysis'!K19</f>
        <v/>
      </c>
      <c r="K75" s="729" t="str">
        <f>'Sensitivity analysis'!N19</f>
        <v/>
      </c>
      <c r="L75" s="729" t="str">
        <f>'Sensitivity analysis'!Q19</f>
        <v/>
      </c>
      <c r="M75" s="729" t="str">
        <f>'Sensitivity analysis'!T19</f>
        <v/>
      </c>
      <c r="N75" s="729" t="str">
        <f>'Sensitivity analysis'!W19</f>
        <v/>
      </c>
      <c r="O75" s="729" t="str">
        <f>'Sensitivity analysis'!Z19</f>
        <v/>
      </c>
      <c r="P75" s="729" t="str">
        <f>'Sensitivity analysis'!AC19</f>
        <v/>
      </c>
      <c r="Q75" s="729" t="str">
        <f>'Sensitivity analysis'!AF19</f>
        <v/>
      </c>
      <c r="R75" s="729" t="s">
        <v>150</v>
      </c>
      <c r="S75" s="729" t="str">
        <f>'Sensitivity analysis'!AI19</f>
        <v/>
      </c>
      <c r="T75" s="729" t="s">
        <v>150</v>
      </c>
      <c r="U75" s="729" t="s">
        <v>150</v>
      </c>
      <c r="V75" s="729" t="s">
        <v>150</v>
      </c>
      <c r="W75" s="729" t="s">
        <v>150</v>
      </c>
      <c r="X75" s="729" t="s">
        <v>150</v>
      </c>
      <c r="Y75" s="729" t="s">
        <v>150</v>
      </c>
      <c r="Z75" s="729" t="s">
        <v>150</v>
      </c>
      <c r="AA75" s="729" t="s">
        <v>150</v>
      </c>
      <c r="AB75" s="729" t="s">
        <v>150</v>
      </c>
      <c r="AC75" s="729" t="s">
        <v>150</v>
      </c>
      <c r="AD75" s="729" t="s">
        <v>150</v>
      </c>
      <c r="AE75" s="729" t="s">
        <v>150</v>
      </c>
      <c r="AF75" s="729" t="s">
        <v>150</v>
      </c>
      <c r="AG75" s="729" t="s">
        <v>150</v>
      </c>
      <c r="AH75" s="729" t="s">
        <v>150</v>
      </c>
      <c r="AI75" s="729" t="s">
        <v>150</v>
      </c>
      <c r="AJ75" s="729" t="s">
        <v>150</v>
      </c>
      <c r="AK75" s="729" t="str">
        <f>'Sensitivity analysis'!AL19</f>
        <v/>
      </c>
      <c r="AL75" s="729" t="s">
        <v>150</v>
      </c>
      <c r="AM75" s="729" t="s">
        <v>150</v>
      </c>
      <c r="AN75" s="729" t="s">
        <v>150</v>
      </c>
      <c r="AO75" s="729" t="s">
        <v>150</v>
      </c>
      <c r="AP75" s="729" t="s">
        <v>150</v>
      </c>
      <c r="AQ75" s="729" t="s">
        <v>150</v>
      </c>
      <c r="AR75" s="729" t="str">
        <f>'Sensitivity analysis'!AO19</f>
        <v/>
      </c>
      <c r="AS75" s="729" t="str">
        <f>'Sensitivity analysis'!AR19</f>
        <v/>
      </c>
      <c r="AT75" s="710"/>
    </row>
    <row r="76" hidden="1">
      <c r="A76" s="80"/>
      <c r="B76" s="81"/>
      <c r="C76" s="126"/>
      <c r="D76" s="81"/>
      <c r="E76" s="548" t="s">
        <v>971</v>
      </c>
      <c r="F76" s="189" t="s">
        <v>122</v>
      </c>
      <c r="G76" s="189" t="s">
        <v>203</v>
      </c>
      <c r="H76" s="200" t="s">
        <v>150</v>
      </c>
      <c r="I76" s="119">
        <f>'Sensitivity analysis'!H20</f>
        <v>0.5</v>
      </c>
      <c r="J76" s="119">
        <f>'Sensitivity analysis'!K20</f>
        <v>0.5</v>
      </c>
      <c r="K76" s="119">
        <f>'Sensitivity analysis'!N20</f>
        <v>0.5</v>
      </c>
      <c r="L76" s="119">
        <f>'Sensitivity analysis'!Q20</f>
        <v>0.5</v>
      </c>
      <c r="M76" s="119">
        <f>'Sensitivity analysis'!T20</f>
        <v>0.5</v>
      </c>
      <c r="N76" s="119">
        <f>'Sensitivity analysis'!W20</f>
        <v>0.5</v>
      </c>
      <c r="O76" s="119">
        <f>'Sensitivity analysis'!Z20</f>
        <v>0.5</v>
      </c>
      <c r="P76" s="119">
        <f>'Sensitivity analysis'!AC20</f>
        <v>0.5</v>
      </c>
      <c r="Q76" s="119">
        <f>'Sensitivity analysis'!AF20</f>
        <v>0.5</v>
      </c>
      <c r="R76" s="119" t="s">
        <v>150</v>
      </c>
      <c r="S76" s="119">
        <f>'Sensitivity analysis'!AI20</f>
        <v>0.5</v>
      </c>
      <c r="T76" s="119" t="s">
        <v>150</v>
      </c>
      <c r="U76" s="119" t="s">
        <v>150</v>
      </c>
      <c r="V76" s="119" t="s">
        <v>150</v>
      </c>
      <c r="W76" s="119" t="s">
        <v>150</v>
      </c>
      <c r="X76" s="119" t="s">
        <v>150</v>
      </c>
      <c r="Y76" s="119" t="s">
        <v>150</v>
      </c>
      <c r="Z76" s="119" t="s">
        <v>150</v>
      </c>
      <c r="AA76" s="119" t="s">
        <v>150</v>
      </c>
      <c r="AB76" s="119" t="s">
        <v>150</v>
      </c>
      <c r="AC76" s="119" t="s">
        <v>150</v>
      </c>
      <c r="AD76" s="119" t="s">
        <v>150</v>
      </c>
      <c r="AE76" s="119" t="s">
        <v>150</v>
      </c>
      <c r="AF76" s="119" t="s">
        <v>150</v>
      </c>
      <c r="AG76" s="119" t="s">
        <v>150</v>
      </c>
      <c r="AH76" s="119" t="s">
        <v>150</v>
      </c>
      <c r="AI76" s="119" t="s">
        <v>150</v>
      </c>
      <c r="AJ76" s="119" t="s">
        <v>150</v>
      </c>
      <c r="AK76" s="119">
        <f>'Sensitivity analysis'!AL20</f>
        <v>0.5</v>
      </c>
      <c r="AL76" s="119" t="s">
        <v>150</v>
      </c>
      <c r="AM76" s="119" t="s">
        <v>150</v>
      </c>
      <c r="AN76" s="119" t="s">
        <v>150</v>
      </c>
      <c r="AO76" s="119" t="s">
        <v>150</v>
      </c>
      <c r="AP76" s="119" t="s">
        <v>150</v>
      </c>
      <c r="AQ76" s="119" t="s">
        <v>150</v>
      </c>
      <c r="AR76" s="119">
        <f>'Sensitivity analysis'!AO20</f>
        <v>0.5</v>
      </c>
      <c r="AS76" s="119">
        <f>'Sensitivity analysis'!AR20</f>
        <v>0.5</v>
      </c>
      <c r="AT76" s="714"/>
    </row>
    <row r="77" hidden="1">
      <c r="A77" s="80"/>
      <c r="B77" s="81"/>
      <c r="C77" s="126"/>
      <c r="D77" s="81"/>
      <c r="E77" s="553" t="s">
        <v>972</v>
      </c>
      <c r="F77" s="215" t="s">
        <v>122</v>
      </c>
      <c r="G77" s="215" t="s">
        <v>203</v>
      </c>
      <c r="H77" s="187" t="s">
        <v>150</v>
      </c>
      <c r="I77" s="149">
        <f>'Sensitivity analysis'!H21</f>
        <v>-0.03</v>
      </c>
      <c r="J77" s="149">
        <f>'Sensitivity analysis'!K21</f>
        <v>-0.03</v>
      </c>
      <c r="K77" s="149">
        <f>'Sensitivity analysis'!N21</f>
        <v>-0.03</v>
      </c>
      <c r="L77" s="149">
        <f>'Sensitivity analysis'!Q21</f>
        <v>-0.03</v>
      </c>
      <c r="M77" s="149">
        <f>'Sensitivity analysis'!T21</f>
        <v>-0.03</v>
      </c>
      <c r="N77" s="149">
        <f>'Sensitivity analysis'!W21</f>
        <v>-0.03</v>
      </c>
      <c r="O77" s="149">
        <f>'Sensitivity analysis'!Z21</f>
        <v>-0.03</v>
      </c>
      <c r="P77" s="149">
        <f>'Sensitivity analysis'!AC21</f>
        <v>-0.03</v>
      </c>
      <c r="Q77" s="149">
        <f>'Sensitivity analysis'!AF21</f>
        <v>-0.03</v>
      </c>
      <c r="R77" s="149" t="s">
        <v>150</v>
      </c>
      <c r="S77" s="149">
        <f>'Sensitivity analysis'!AI21</f>
        <v>-0.03</v>
      </c>
      <c r="T77" s="149" t="s">
        <v>150</v>
      </c>
      <c r="U77" s="149" t="s">
        <v>150</v>
      </c>
      <c r="V77" s="149" t="s">
        <v>150</v>
      </c>
      <c r="W77" s="149" t="s">
        <v>150</v>
      </c>
      <c r="X77" s="149" t="s">
        <v>150</v>
      </c>
      <c r="Y77" s="149" t="s">
        <v>150</v>
      </c>
      <c r="Z77" s="149" t="s">
        <v>150</v>
      </c>
      <c r="AA77" s="149" t="s">
        <v>150</v>
      </c>
      <c r="AB77" s="149" t="s">
        <v>150</v>
      </c>
      <c r="AC77" s="149" t="s">
        <v>150</v>
      </c>
      <c r="AD77" s="149" t="s">
        <v>150</v>
      </c>
      <c r="AE77" s="149" t="s">
        <v>150</v>
      </c>
      <c r="AF77" s="149" t="s">
        <v>150</v>
      </c>
      <c r="AG77" s="149" t="s">
        <v>150</v>
      </c>
      <c r="AH77" s="149" t="s">
        <v>150</v>
      </c>
      <c r="AI77" s="149" t="s">
        <v>150</v>
      </c>
      <c r="AJ77" s="149" t="s">
        <v>150</v>
      </c>
      <c r="AK77" s="149">
        <f>'Sensitivity analysis'!AL21</f>
        <v>-0.03</v>
      </c>
      <c r="AL77" s="149" t="s">
        <v>150</v>
      </c>
      <c r="AM77" s="149" t="s">
        <v>150</v>
      </c>
      <c r="AN77" s="149" t="s">
        <v>150</v>
      </c>
      <c r="AO77" s="149" t="s">
        <v>150</v>
      </c>
      <c r="AP77" s="149" t="s">
        <v>150</v>
      </c>
      <c r="AQ77" s="149" t="s">
        <v>150</v>
      </c>
      <c r="AR77" s="149">
        <f>'Sensitivity analysis'!AO21</f>
        <v>-0.03</v>
      </c>
      <c r="AS77" s="149">
        <f>'Sensitivity analysis'!AR21</f>
        <v>-0.03</v>
      </c>
      <c r="AT77" s="715"/>
    </row>
    <row r="78" hidden="1">
      <c r="A78" s="80"/>
      <c r="B78" s="81"/>
      <c r="C78" s="126"/>
      <c r="D78" s="81"/>
      <c r="E78" s="558" t="s">
        <v>975</v>
      </c>
      <c r="F78" s="195" t="s">
        <v>122</v>
      </c>
      <c r="G78" s="195" t="s">
        <v>203</v>
      </c>
      <c r="H78" s="197" t="s">
        <v>150</v>
      </c>
      <c r="I78" s="240">
        <f>'Sensitivity analysis'!H22</f>
        <v>-0.04</v>
      </c>
      <c r="J78" s="240">
        <f>'Sensitivity analysis'!K22</f>
        <v>-0.04</v>
      </c>
      <c r="K78" s="240">
        <f>'Sensitivity analysis'!N22</f>
        <v>-0.04</v>
      </c>
      <c r="L78" s="240">
        <f>'Sensitivity analysis'!Q22</f>
        <v>-0.03</v>
      </c>
      <c r="M78" s="240">
        <f>'Sensitivity analysis'!T22</f>
        <v>-0.04</v>
      </c>
      <c r="N78" s="240">
        <f>'Sensitivity analysis'!W22</f>
        <v>-0.04</v>
      </c>
      <c r="O78" s="240">
        <f>'Sensitivity analysis'!Z22</f>
        <v>-0.04</v>
      </c>
      <c r="P78" s="240">
        <f>'Sensitivity analysis'!AC22</f>
        <v>-0.05</v>
      </c>
      <c r="Q78" s="240">
        <f>'Sensitivity analysis'!AF22</f>
        <v>-0.04</v>
      </c>
      <c r="R78" s="240" t="s">
        <v>150</v>
      </c>
      <c r="S78" s="240">
        <f>'Sensitivity analysis'!AI22</f>
        <v>-0.03</v>
      </c>
      <c r="T78" s="240" t="s">
        <v>150</v>
      </c>
      <c r="U78" s="240" t="s">
        <v>150</v>
      </c>
      <c r="V78" s="240" t="s">
        <v>150</v>
      </c>
      <c r="W78" s="240" t="s">
        <v>150</v>
      </c>
      <c r="X78" s="240" t="s">
        <v>150</v>
      </c>
      <c r="Y78" s="240" t="s">
        <v>150</v>
      </c>
      <c r="Z78" s="240" t="s">
        <v>150</v>
      </c>
      <c r="AA78" s="240" t="s">
        <v>150</v>
      </c>
      <c r="AB78" s="240" t="s">
        <v>150</v>
      </c>
      <c r="AC78" s="240" t="s">
        <v>150</v>
      </c>
      <c r="AD78" s="240" t="s">
        <v>150</v>
      </c>
      <c r="AE78" s="240" t="s">
        <v>150</v>
      </c>
      <c r="AF78" s="240" t="s">
        <v>150</v>
      </c>
      <c r="AG78" s="240" t="s">
        <v>150</v>
      </c>
      <c r="AH78" s="240" t="s">
        <v>150</v>
      </c>
      <c r="AI78" s="240" t="s">
        <v>150</v>
      </c>
      <c r="AJ78" s="240" t="s">
        <v>150</v>
      </c>
      <c r="AK78" s="240">
        <f>'Sensitivity analysis'!AL22</f>
        <v>-0.03</v>
      </c>
      <c r="AL78" s="240" t="s">
        <v>150</v>
      </c>
      <c r="AM78" s="240" t="s">
        <v>150</v>
      </c>
      <c r="AN78" s="240" t="s">
        <v>150</v>
      </c>
      <c r="AO78" s="240" t="s">
        <v>150</v>
      </c>
      <c r="AP78" s="240" t="s">
        <v>150</v>
      </c>
      <c r="AQ78" s="240" t="s">
        <v>150</v>
      </c>
      <c r="AR78" s="240">
        <f>'Sensitivity analysis'!AO22</f>
        <v>-0.03</v>
      </c>
      <c r="AS78" s="240">
        <f>'Sensitivity analysis'!AR22</f>
        <v>-0.03</v>
      </c>
      <c r="AT78" s="716"/>
    </row>
    <row r="79" hidden="1">
      <c r="A79" s="80"/>
      <c r="B79" s="81"/>
      <c r="C79" s="126"/>
      <c r="D79" s="81"/>
      <c r="E79" s="624"/>
      <c r="F79" s="326"/>
      <c r="G79" s="326"/>
      <c r="H79" s="728"/>
      <c r="I79" s="729"/>
      <c r="J79" s="729"/>
      <c r="K79" s="729"/>
      <c r="L79" s="729"/>
      <c r="M79" s="729"/>
      <c r="N79" s="729"/>
      <c r="O79" s="729"/>
      <c r="P79" s="729"/>
      <c r="Q79" s="729"/>
      <c r="R79" s="729"/>
      <c r="S79" s="729"/>
      <c r="T79" s="729"/>
      <c r="U79" s="729"/>
      <c r="V79" s="729"/>
      <c r="W79" s="729"/>
      <c r="X79" s="729"/>
      <c r="Y79" s="729"/>
      <c r="Z79" s="729"/>
      <c r="AA79" s="729"/>
      <c r="AB79" s="729"/>
      <c r="AC79" s="729"/>
      <c r="AD79" s="729"/>
      <c r="AE79" s="729"/>
      <c r="AF79" s="729"/>
      <c r="AG79" s="729"/>
      <c r="AH79" s="729"/>
      <c r="AI79" s="729"/>
      <c r="AJ79" s="729"/>
      <c r="AK79" s="729"/>
      <c r="AL79" s="729"/>
      <c r="AM79" s="729"/>
      <c r="AN79" s="729"/>
      <c r="AO79" s="729"/>
      <c r="AP79" s="729"/>
      <c r="AQ79" s="729"/>
      <c r="AR79" s="729"/>
      <c r="AS79" s="729"/>
      <c r="AT79" s="710"/>
    </row>
    <row r="80" hidden="1">
      <c r="A80" s="72" t="s">
        <v>1002</v>
      </c>
      <c r="B80" s="14"/>
      <c r="C80" s="14"/>
      <c r="D80" s="14"/>
      <c r="E80" s="14"/>
      <c r="F80" s="14"/>
      <c r="G80" s="14"/>
      <c r="H80" s="73"/>
      <c r="I80" s="707"/>
      <c r="J80" s="707"/>
      <c r="K80" s="707"/>
      <c r="L80" s="707"/>
      <c r="M80" s="707"/>
      <c r="N80" s="707"/>
      <c r="O80" s="707"/>
      <c r="P80" s="707"/>
      <c r="Q80" s="707"/>
      <c r="R80" s="707"/>
      <c r="S80" s="707"/>
      <c r="T80" s="707"/>
      <c r="U80" s="707"/>
      <c r="V80" s="707"/>
      <c r="W80" s="707"/>
      <c r="X80" s="707"/>
      <c r="Y80" s="707"/>
      <c r="Z80" s="707"/>
      <c r="AA80" s="707"/>
      <c r="AB80" s="707"/>
      <c r="AC80" s="707"/>
      <c r="AD80" s="707"/>
      <c r="AE80" s="707"/>
      <c r="AF80" s="707"/>
      <c r="AG80" s="707"/>
      <c r="AH80" s="707"/>
      <c r="AI80" s="707"/>
      <c r="AJ80" s="707"/>
      <c r="AK80" s="707"/>
      <c r="AL80" s="707"/>
      <c r="AM80" s="707"/>
      <c r="AN80" s="707"/>
      <c r="AO80" s="707"/>
      <c r="AP80" s="707"/>
      <c r="AQ80" s="707"/>
      <c r="AR80" s="707"/>
      <c r="AS80" s="707"/>
      <c r="AT80" s="708"/>
    </row>
    <row r="81" hidden="1">
      <c r="A81" s="80"/>
      <c r="B81" s="81"/>
      <c r="C81" s="81"/>
      <c r="D81" s="81"/>
      <c r="E81" s="102"/>
      <c r="F81" s="83"/>
      <c r="G81" s="83"/>
      <c r="H81" s="85"/>
      <c r="I81" s="709"/>
      <c r="J81" s="709"/>
      <c r="K81" s="709"/>
      <c r="L81" s="709"/>
      <c r="M81" s="709"/>
      <c r="N81" s="709"/>
      <c r="O81" s="709"/>
      <c r="P81" s="709"/>
      <c r="Q81" s="709"/>
      <c r="R81" s="709"/>
      <c r="S81" s="709"/>
      <c r="T81" s="709"/>
      <c r="U81" s="709"/>
      <c r="V81" s="709"/>
      <c r="W81" s="709"/>
      <c r="X81" s="709"/>
      <c r="Y81" s="709"/>
      <c r="Z81" s="709"/>
      <c r="AA81" s="709"/>
      <c r="AB81" s="709"/>
      <c r="AC81" s="709"/>
      <c r="AD81" s="709"/>
      <c r="AE81" s="709"/>
      <c r="AF81" s="709"/>
      <c r="AG81" s="709"/>
      <c r="AH81" s="709"/>
      <c r="AI81" s="709"/>
      <c r="AJ81" s="709"/>
      <c r="AK81" s="709"/>
      <c r="AL81" s="709"/>
      <c r="AM81" s="709"/>
      <c r="AN81" s="709"/>
      <c r="AO81" s="709"/>
      <c r="AP81" s="709"/>
      <c r="AQ81" s="709"/>
      <c r="AR81" s="709"/>
      <c r="AS81" s="709"/>
      <c r="AT81" s="710"/>
    </row>
    <row r="82" hidden="1">
      <c r="A82" s="80"/>
      <c r="B82" s="81"/>
      <c r="C82" s="744" t="s">
        <v>929</v>
      </c>
      <c r="F82" s="83"/>
      <c r="G82" s="135"/>
      <c r="H82" s="85"/>
      <c r="I82" s="709"/>
      <c r="J82" s="709"/>
      <c r="K82" s="709"/>
      <c r="L82" s="709"/>
      <c r="M82" s="709"/>
      <c r="N82" s="709"/>
      <c r="O82" s="709"/>
      <c r="P82" s="709"/>
      <c r="Q82" s="709"/>
      <c r="R82" s="709"/>
      <c r="S82" s="709"/>
      <c r="T82" s="709"/>
      <c r="U82" s="709"/>
      <c r="V82" s="709"/>
      <c r="W82" s="709"/>
      <c r="X82" s="709"/>
      <c r="Y82" s="709"/>
      <c r="Z82" s="709"/>
      <c r="AA82" s="709"/>
      <c r="AB82" s="709"/>
      <c r="AC82" s="709"/>
      <c r="AD82" s="709"/>
      <c r="AE82" s="709"/>
      <c r="AF82" s="709"/>
      <c r="AG82" s="709"/>
      <c r="AH82" s="709"/>
      <c r="AI82" s="709"/>
      <c r="AJ82" s="709"/>
      <c r="AK82" s="709"/>
      <c r="AL82" s="709"/>
      <c r="AM82" s="709"/>
      <c r="AN82" s="709"/>
      <c r="AO82" s="709"/>
      <c r="AP82" s="709"/>
      <c r="AQ82" s="709"/>
      <c r="AR82" s="709"/>
      <c r="AS82" s="709"/>
      <c r="AT82" s="710"/>
    </row>
    <row r="83" hidden="1">
      <c r="A83" s="80"/>
      <c r="B83" s="81"/>
      <c r="C83" s="81"/>
      <c r="D83" s="81"/>
      <c r="E83" s="745" t="s">
        <v>103</v>
      </c>
      <c r="F83" s="746" t="s">
        <v>118</v>
      </c>
      <c r="G83" s="747" t="s">
        <v>203</v>
      </c>
      <c r="H83" s="96" t="s">
        <v>150</v>
      </c>
      <c r="I83" s="98">
        <v>1000000.0</v>
      </c>
      <c r="J83" s="98">
        <v>1000000.0</v>
      </c>
      <c r="K83" s="98">
        <v>1000000.0</v>
      </c>
      <c r="L83" s="98">
        <v>1000000.0</v>
      </c>
      <c r="M83" s="98">
        <v>1000000.0</v>
      </c>
      <c r="N83" s="98">
        <v>1000000.0</v>
      </c>
      <c r="O83" s="98">
        <v>1000000.0</v>
      </c>
      <c r="P83" s="98">
        <v>1000000.0</v>
      </c>
      <c r="Q83" s="98">
        <v>1000000.0</v>
      </c>
      <c r="R83" s="98">
        <v>1000000.0</v>
      </c>
      <c r="S83" s="98">
        <v>1000000.0</v>
      </c>
      <c r="T83" s="98">
        <v>1000000.0</v>
      </c>
      <c r="U83" s="98">
        <v>1000000.0</v>
      </c>
      <c r="V83" s="98">
        <v>1000000.0</v>
      </c>
      <c r="W83" s="98">
        <v>1000000.0</v>
      </c>
      <c r="X83" s="98">
        <v>1000000.0</v>
      </c>
      <c r="Y83" s="98">
        <v>1000000.0</v>
      </c>
      <c r="Z83" s="98">
        <v>1000000.0</v>
      </c>
      <c r="AA83" s="98">
        <v>1000000.0</v>
      </c>
      <c r="AB83" s="98">
        <v>1000000.0</v>
      </c>
      <c r="AC83" s="98">
        <v>1000000.0</v>
      </c>
      <c r="AD83" s="98">
        <v>1000000.0</v>
      </c>
      <c r="AE83" s="98">
        <v>1000000.0</v>
      </c>
      <c r="AF83" s="98">
        <v>1000000.0</v>
      </c>
      <c r="AG83" s="98">
        <v>1000000.0</v>
      </c>
      <c r="AH83" s="98">
        <v>1000000.0</v>
      </c>
      <c r="AI83" s="98">
        <v>1000000.0</v>
      </c>
      <c r="AJ83" s="98">
        <v>1000000.0</v>
      </c>
      <c r="AK83" s="98">
        <v>1000000.0</v>
      </c>
      <c r="AL83" s="98">
        <v>1000000.0</v>
      </c>
      <c r="AM83" s="98">
        <v>1000000.0</v>
      </c>
      <c r="AN83" s="98">
        <v>1000000.0</v>
      </c>
      <c r="AO83" s="98">
        <v>1000000.0</v>
      </c>
      <c r="AP83" s="98">
        <v>1000000.0</v>
      </c>
      <c r="AQ83" s="98">
        <v>1000000.0</v>
      </c>
      <c r="AR83" s="98">
        <v>1000000.0</v>
      </c>
      <c r="AS83" s="98">
        <v>1000000.0</v>
      </c>
      <c r="AT83" s="711"/>
    </row>
    <row r="84" hidden="1">
      <c r="A84" s="80"/>
      <c r="B84" s="81"/>
      <c r="C84" s="143"/>
      <c r="D84" s="81"/>
      <c r="E84" s="748"/>
      <c r="F84" s="137"/>
      <c r="G84" s="137"/>
      <c r="H84" s="749"/>
      <c r="I84" s="639"/>
      <c r="J84" s="639"/>
      <c r="K84" s="639"/>
      <c r="L84" s="639"/>
      <c r="M84" s="639"/>
      <c r="N84" s="639"/>
      <c r="O84" s="639"/>
      <c r="P84" s="639"/>
      <c r="Q84" s="639"/>
      <c r="R84" s="639"/>
      <c r="S84" s="639"/>
      <c r="T84" s="639"/>
      <c r="U84" s="639"/>
      <c r="V84" s="639"/>
      <c r="W84" s="639"/>
      <c r="X84" s="639"/>
      <c r="Y84" s="639"/>
      <c r="Z84" s="639"/>
      <c r="AA84" s="639"/>
      <c r="AB84" s="639"/>
      <c r="AC84" s="639"/>
      <c r="AD84" s="639"/>
      <c r="AE84" s="639"/>
      <c r="AF84" s="639"/>
      <c r="AG84" s="639"/>
      <c r="AH84" s="639"/>
      <c r="AI84" s="639"/>
      <c r="AJ84" s="639"/>
      <c r="AK84" s="639"/>
      <c r="AL84" s="639"/>
      <c r="AM84" s="639"/>
      <c r="AN84" s="639"/>
      <c r="AO84" s="639"/>
      <c r="AP84" s="639"/>
      <c r="AQ84" s="639"/>
      <c r="AR84" s="639"/>
      <c r="AS84" s="639"/>
      <c r="AT84" s="710"/>
    </row>
    <row r="85" hidden="1">
      <c r="A85" s="80"/>
      <c r="B85" s="81"/>
      <c r="C85" s="143" t="s">
        <v>932</v>
      </c>
      <c r="F85" s="137"/>
      <c r="G85" s="137"/>
      <c r="H85" s="749"/>
      <c r="I85" s="639"/>
      <c r="J85" s="639"/>
      <c r="K85" s="639"/>
      <c r="L85" s="639"/>
      <c r="M85" s="639"/>
      <c r="N85" s="639"/>
      <c r="O85" s="639"/>
      <c r="P85" s="639"/>
      <c r="Q85" s="639"/>
      <c r="R85" s="639"/>
      <c r="S85" s="639"/>
      <c r="T85" s="639"/>
      <c r="U85" s="639"/>
      <c r="V85" s="639"/>
      <c r="W85" s="639"/>
      <c r="X85" s="639"/>
      <c r="Y85" s="639"/>
      <c r="Z85" s="639"/>
      <c r="AA85" s="639"/>
      <c r="AB85" s="639"/>
      <c r="AC85" s="639"/>
      <c r="AD85" s="639"/>
      <c r="AE85" s="639"/>
      <c r="AF85" s="639"/>
      <c r="AG85" s="639"/>
      <c r="AH85" s="639"/>
      <c r="AI85" s="639"/>
      <c r="AJ85" s="639"/>
      <c r="AK85" s="639"/>
      <c r="AL85" s="639"/>
      <c r="AM85" s="639"/>
      <c r="AN85" s="639"/>
      <c r="AO85" s="639"/>
      <c r="AP85" s="639"/>
      <c r="AQ85" s="639"/>
      <c r="AR85" s="639"/>
      <c r="AS85" s="639"/>
      <c r="AT85" s="710"/>
    </row>
    <row r="86" hidden="1">
      <c r="A86" s="80"/>
      <c r="B86" s="81"/>
      <c r="C86" s="143"/>
      <c r="D86" s="81"/>
      <c r="E86" s="750" t="s">
        <v>933</v>
      </c>
      <c r="F86" s="353" t="s">
        <v>118</v>
      </c>
      <c r="G86" s="353" t="s">
        <v>203</v>
      </c>
      <c r="H86" s="712">
        <v>21.27455</v>
      </c>
      <c r="I86" s="713" t="s">
        <v>150</v>
      </c>
      <c r="J86" s="713" t="s">
        <v>150</v>
      </c>
      <c r="K86" s="713" t="s">
        <v>150</v>
      </c>
      <c r="L86" s="713" t="s">
        <v>150</v>
      </c>
      <c r="M86" s="713" t="s">
        <v>150</v>
      </c>
      <c r="N86" s="713" t="s">
        <v>150</v>
      </c>
      <c r="O86" s="713" t="s">
        <v>150</v>
      </c>
      <c r="P86" s="713" t="s">
        <v>150</v>
      </c>
      <c r="Q86" s="713" t="s">
        <v>150</v>
      </c>
      <c r="R86" s="713" t="s">
        <v>150</v>
      </c>
      <c r="S86" s="713" t="s">
        <v>150</v>
      </c>
      <c r="T86" s="713" t="s">
        <v>150</v>
      </c>
      <c r="U86" s="713" t="s">
        <v>150</v>
      </c>
      <c r="V86" s="713" t="s">
        <v>150</v>
      </c>
      <c r="W86" s="713" t="s">
        <v>150</v>
      </c>
      <c r="X86" s="713" t="s">
        <v>150</v>
      </c>
      <c r="Y86" s="713" t="s">
        <v>150</v>
      </c>
      <c r="Z86" s="713" t="s">
        <v>150</v>
      </c>
      <c r="AA86" s="713" t="s">
        <v>150</v>
      </c>
      <c r="AB86" s="713" t="s">
        <v>150</v>
      </c>
      <c r="AC86" s="713" t="s">
        <v>150</v>
      </c>
      <c r="AD86" s="713" t="s">
        <v>150</v>
      </c>
      <c r="AE86" s="713" t="s">
        <v>150</v>
      </c>
      <c r="AF86" s="713" t="s">
        <v>150</v>
      </c>
      <c r="AG86" s="713" t="s">
        <v>150</v>
      </c>
      <c r="AH86" s="713" t="s">
        <v>150</v>
      </c>
      <c r="AI86" s="713" t="s">
        <v>150</v>
      </c>
      <c r="AJ86" s="713" t="s">
        <v>150</v>
      </c>
      <c r="AK86" s="713" t="s">
        <v>150</v>
      </c>
      <c r="AL86" s="713" t="s">
        <v>150</v>
      </c>
      <c r="AM86" s="713" t="s">
        <v>150</v>
      </c>
      <c r="AN86" s="713" t="s">
        <v>150</v>
      </c>
      <c r="AO86" s="713" t="s">
        <v>150</v>
      </c>
      <c r="AP86" s="713" t="s">
        <v>150</v>
      </c>
      <c r="AQ86" s="713" t="s">
        <v>150</v>
      </c>
      <c r="AR86" s="713" t="s">
        <v>150</v>
      </c>
      <c r="AS86" s="713" t="s">
        <v>150</v>
      </c>
      <c r="AT86" s="714"/>
    </row>
    <row r="87" hidden="1">
      <c r="A87" s="80"/>
      <c r="B87" s="81"/>
      <c r="C87" s="143"/>
      <c r="D87" s="81"/>
      <c r="E87" s="363" t="s">
        <v>936</v>
      </c>
      <c r="F87" s="358" t="s">
        <v>111</v>
      </c>
      <c r="G87" s="358" t="s">
        <v>149</v>
      </c>
      <c r="H87" s="187" t="s">
        <v>150</v>
      </c>
      <c r="I87" s="420">
        <f t="shared" ref="I87:AS87" si="10">IFERROR(I83/$H86,I83/I86)</f>
        <v>47004.51948</v>
      </c>
      <c r="J87" s="420">
        <f t="shared" si="10"/>
        <v>47004.51948</v>
      </c>
      <c r="K87" s="420">
        <f t="shared" si="10"/>
        <v>47004.51948</v>
      </c>
      <c r="L87" s="420">
        <f t="shared" si="10"/>
        <v>47004.51948</v>
      </c>
      <c r="M87" s="420">
        <f t="shared" si="10"/>
        <v>47004.51948</v>
      </c>
      <c r="N87" s="420">
        <f t="shared" si="10"/>
        <v>47004.51948</v>
      </c>
      <c r="O87" s="420">
        <f t="shared" si="10"/>
        <v>47004.51948</v>
      </c>
      <c r="P87" s="420">
        <f t="shared" si="10"/>
        <v>47004.51948</v>
      </c>
      <c r="Q87" s="420">
        <f t="shared" si="10"/>
        <v>47004.51948</v>
      </c>
      <c r="R87" s="420">
        <f t="shared" si="10"/>
        <v>47004.51948</v>
      </c>
      <c r="S87" s="420">
        <f t="shared" si="10"/>
        <v>47004.51948</v>
      </c>
      <c r="T87" s="420">
        <f t="shared" si="10"/>
        <v>47004.51948</v>
      </c>
      <c r="U87" s="420">
        <f t="shared" si="10"/>
        <v>47004.51948</v>
      </c>
      <c r="V87" s="420">
        <f t="shared" si="10"/>
        <v>47004.51948</v>
      </c>
      <c r="W87" s="420">
        <f t="shared" si="10"/>
        <v>47004.51948</v>
      </c>
      <c r="X87" s="420">
        <f t="shared" si="10"/>
        <v>47004.51948</v>
      </c>
      <c r="Y87" s="420">
        <f t="shared" si="10"/>
        <v>47004.51948</v>
      </c>
      <c r="Z87" s="420">
        <f t="shared" si="10"/>
        <v>47004.51948</v>
      </c>
      <c r="AA87" s="420">
        <f t="shared" si="10"/>
        <v>47004.51948</v>
      </c>
      <c r="AB87" s="420">
        <f t="shared" si="10"/>
        <v>47004.51948</v>
      </c>
      <c r="AC87" s="420">
        <f t="shared" si="10"/>
        <v>47004.51948</v>
      </c>
      <c r="AD87" s="420">
        <f t="shared" si="10"/>
        <v>47004.51948</v>
      </c>
      <c r="AE87" s="420">
        <f t="shared" si="10"/>
        <v>47004.51948</v>
      </c>
      <c r="AF87" s="420">
        <f t="shared" si="10"/>
        <v>47004.51948</v>
      </c>
      <c r="AG87" s="420">
        <f t="shared" si="10"/>
        <v>47004.51948</v>
      </c>
      <c r="AH87" s="420">
        <f t="shared" si="10"/>
        <v>47004.51948</v>
      </c>
      <c r="AI87" s="420">
        <f t="shared" si="10"/>
        <v>47004.51948</v>
      </c>
      <c r="AJ87" s="420">
        <f t="shared" si="10"/>
        <v>47004.51948</v>
      </c>
      <c r="AK87" s="420">
        <f t="shared" si="10"/>
        <v>47004.51948</v>
      </c>
      <c r="AL87" s="420">
        <f t="shared" si="10"/>
        <v>47004.51948</v>
      </c>
      <c r="AM87" s="420">
        <f t="shared" si="10"/>
        <v>47004.51948</v>
      </c>
      <c r="AN87" s="420">
        <f t="shared" si="10"/>
        <v>47004.51948</v>
      </c>
      <c r="AO87" s="420">
        <f t="shared" si="10"/>
        <v>47004.51948</v>
      </c>
      <c r="AP87" s="420">
        <f t="shared" si="10"/>
        <v>47004.51948</v>
      </c>
      <c r="AQ87" s="420">
        <f t="shared" si="10"/>
        <v>47004.51948</v>
      </c>
      <c r="AR87" s="420">
        <f t="shared" si="10"/>
        <v>47004.51948</v>
      </c>
      <c r="AS87" s="420">
        <f t="shared" si="10"/>
        <v>47004.51948</v>
      </c>
      <c r="AT87" s="715"/>
    </row>
    <row r="88" hidden="1">
      <c r="A88" s="80"/>
      <c r="B88" s="81"/>
      <c r="C88" s="143"/>
      <c r="D88" s="81"/>
      <c r="E88" s="363" t="s">
        <v>938</v>
      </c>
      <c r="F88" s="358" t="s">
        <v>122</v>
      </c>
      <c r="G88" s="358" t="s">
        <v>203</v>
      </c>
      <c r="H88" s="187" t="s">
        <v>150</v>
      </c>
      <c r="I88" s="149">
        <v>0.7428394580339082</v>
      </c>
      <c r="J88" s="149">
        <v>0.8423463698861631</v>
      </c>
      <c r="K88" s="149">
        <v>0.7978559560943819</v>
      </c>
      <c r="L88" s="149">
        <v>0.8789324479970656</v>
      </c>
      <c r="M88" s="149">
        <v>0.7853784959492889</v>
      </c>
      <c r="N88" s="149">
        <v>0.7131165759613971</v>
      </c>
      <c r="O88" s="149">
        <v>0.5977437180978824</v>
      </c>
      <c r="P88" s="149">
        <v>0.5024244507259851</v>
      </c>
      <c r="Q88" s="149">
        <v>0.6819792579956128</v>
      </c>
      <c r="R88" s="149">
        <v>0.9522796463994602</v>
      </c>
      <c r="S88" s="149">
        <v>0.9394589735391898</v>
      </c>
      <c r="T88" s="149">
        <v>0.9375635345246238</v>
      </c>
      <c r="U88" s="149">
        <v>0.9220558283764735</v>
      </c>
      <c r="V88" s="149">
        <v>0.9090012015342793</v>
      </c>
      <c r="W88" s="149">
        <v>0.909216247165012</v>
      </c>
      <c r="X88" s="149">
        <v>0.7587882369250303</v>
      </c>
      <c r="Y88" s="149">
        <v>0.9692282000017625</v>
      </c>
      <c r="Z88" s="149">
        <v>0.9159251399050153</v>
      </c>
      <c r="AA88" s="149">
        <v>0.9967626784297385</v>
      </c>
      <c r="AB88" s="149">
        <v>0.960007157951171</v>
      </c>
      <c r="AC88" s="149">
        <v>0.9788288286887467</v>
      </c>
      <c r="AD88" s="149">
        <v>0.988468517149979</v>
      </c>
      <c r="AE88" s="149">
        <v>0.9646082985744158</v>
      </c>
      <c r="AF88" s="149">
        <v>0.9738255042214443</v>
      </c>
      <c r="AG88" s="149">
        <v>0.9221498224244619</v>
      </c>
      <c r="AH88" s="149">
        <v>0.8498354138585233</v>
      </c>
      <c r="AI88" s="149">
        <v>0.9681303049441261</v>
      </c>
      <c r="AJ88" s="149">
        <v>0.8708113887773993</v>
      </c>
      <c r="AK88" s="149">
        <v>0.8001622205249943</v>
      </c>
      <c r="AL88" s="149">
        <v>0.8333372611207627</v>
      </c>
      <c r="AM88" s="149">
        <v>0.8793815815313407</v>
      </c>
      <c r="AN88" s="149">
        <v>0.9564328014939347</v>
      </c>
      <c r="AO88" s="149">
        <v>0.8772188431800246</v>
      </c>
      <c r="AP88" s="149">
        <v>0.9125392063275671</v>
      </c>
      <c r="AQ88" s="149">
        <v>0.9569895822245937</v>
      </c>
      <c r="AR88" s="149">
        <v>0.878441260492366</v>
      </c>
      <c r="AS88" s="149">
        <v>0.8904777930851681</v>
      </c>
      <c r="AT88" s="715"/>
    </row>
    <row r="89" hidden="1">
      <c r="A89" s="80"/>
      <c r="B89" s="81"/>
      <c r="C89" s="143"/>
      <c r="D89" s="81"/>
      <c r="E89" s="363" t="s">
        <v>941</v>
      </c>
      <c r="F89" s="358" t="s">
        <v>122</v>
      </c>
      <c r="G89" s="358" t="s">
        <v>149</v>
      </c>
      <c r="H89" s="751" t="s">
        <v>150</v>
      </c>
      <c r="I89" s="420">
        <f t="shared" ref="I89:AS89" si="11">I87*(1-I88)</f>
        <v>12087.70771</v>
      </c>
      <c r="J89" s="420">
        <f t="shared" si="11"/>
        <v>7410.433128</v>
      </c>
      <c r="K89" s="420">
        <f t="shared" si="11"/>
        <v>9501.68365</v>
      </c>
      <c r="L89" s="420">
        <f t="shared" si="11"/>
        <v>5690.722107</v>
      </c>
      <c r="M89" s="420">
        <f t="shared" si="11"/>
        <v>10088.18067</v>
      </c>
      <c r="N89" s="420">
        <f t="shared" si="11"/>
        <v>13484.8175</v>
      </c>
      <c r="O89" s="420">
        <f t="shared" si="11"/>
        <v>18907.86324</v>
      </c>
      <c r="P89" s="420">
        <f t="shared" si="11"/>
        <v>23388.2996</v>
      </c>
      <c r="Q89" s="420">
        <f t="shared" si="11"/>
        <v>14948.41216</v>
      </c>
      <c r="R89" s="420">
        <f t="shared" si="11"/>
        <v>2243.072291</v>
      </c>
      <c r="S89" s="420">
        <f t="shared" si="11"/>
        <v>2845.701858</v>
      </c>
      <c r="T89" s="420">
        <f t="shared" si="11"/>
        <v>2934.796058</v>
      </c>
      <c r="U89" s="420">
        <f t="shared" si="11"/>
        <v>3663.728334</v>
      </c>
      <c r="V89" s="420">
        <f t="shared" si="11"/>
        <v>4277.354796</v>
      </c>
      <c r="W89" s="420">
        <f t="shared" si="11"/>
        <v>4267.246679</v>
      </c>
      <c r="X89" s="420">
        <f t="shared" si="11"/>
        <v>11338.04302</v>
      </c>
      <c r="Y89" s="420">
        <f t="shared" si="11"/>
        <v>1446.413673</v>
      </c>
      <c r="Z89" s="420">
        <f t="shared" si="11"/>
        <v>3951.898399</v>
      </c>
      <c r="AA89" s="420">
        <f t="shared" si="11"/>
        <v>152.1687448</v>
      </c>
      <c r="AB89" s="420">
        <f t="shared" si="11"/>
        <v>1879.844323</v>
      </c>
      <c r="AC89" s="420">
        <f t="shared" si="11"/>
        <v>995.1407344</v>
      </c>
      <c r="AD89" s="420">
        <f t="shared" si="11"/>
        <v>542.0318103</v>
      </c>
      <c r="AE89" s="420">
        <f t="shared" si="11"/>
        <v>1663.569919</v>
      </c>
      <c r="AF89" s="420">
        <f t="shared" si="11"/>
        <v>1230.319597</v>
      </c>
      <c r="AG89" s="420">
        <f t="shared" si="11"/>
        <v>3659.310189</v>
      </c>
      <c r="AH89" s="420">
        <f t="shared" si="11"/>
        <v>7058.414215</v>
      </c>
      <c r="AI89" s="420">
        <f t="shared" si="11"/>
        <v>1498.019702</v>
      </c>
      <c r="AJ89" s="420">
        <f t="shared" si="11"/>
        <v>6072.448593</v>
      </c>
      <c r="AK89" s="420">
        <f t="shared" si="11"/>
        <v>9393.278799</v>
      </c>
      <c r="AL89" s="420">
        <f t="shared" si="11"/>
        <v>7833.901957</v>
      </c>
      <c r="AM89" s="420">
        <f t="shared" si="11"/>
        <v>5669.610801</v>
      </c>
      <c r="AN89" s="420">
        <f t="shared" si="11"/>
        <v>2047.855231</v>
      </c>
      <c r="AO89" s="420">
        <f t="shared" si="11"/>
        <v>5771.269278</v>
      </c>
      <c r="AP89" s="420">
        <f t="shared" si="11"/>
        <v>4111.05258</v>
      </c>
      <c r="AQ89" s="420">
        <f t="shared" si="11"/>
        <v>2021.68402</v>
      </c>
      <c r="AR89" s="420">
        <f t="shared" si="11"/>
        <v>5713.81014</v>
      </c>
      <c r="AS89" s="420">
        <f t="shared" si="11"/>
        <v>5148.038709</v>
      </c>
      <c r="AT89" s="715"/>
    </row>
    <row r="90" hidden="1">
      <c r="A90" s="80"/>
      <c r="B90" s="81"/>
      <c r="C90" s="143"/>
      <c r="D90" s="81"/>
      <c r="E90" s="363" t="s">
        <v>943</v>
      </c>
      <c r="F90" s="358" t="s">
        <v>122</v>
      </c>
      <c r="G90" s="358" t="s">
        <v>203</v>
      </c>
      <c r="H90" s="187" t="s">
        <v>150</v>
      </c>
      <c r="I90" s="284">
        <v>0.06054672743462916</v>
      </c>
      <c r="J90" s="284">
        <v>0.04511526193612573</v>
      </c>
      <c r="K90" s="284">
        <v>0.061339960528335444</v>
      </c>
      <c r="L90" s="284">
        <v>0.02916813329345286</v>
      </c>
      <c r="M90" s="284">
        <v>0.04180462244522087</v>
      </c>
      <c r="N90" s="284">
        <v>0.044390098478660954</v>
      </c>
      <c r="O90" s="284">
        <v>0.04917387968669763</v>
      </c>
      <c r="P90" s="284">
        <v>0.066465826973823</v>
      </c>
      <c r="Q90" s="284">
        <v>0.07748245322150517</v>
      </c>
      <c r="R90" s="284">
        <v>0.01847011537429715</v>
      </c>
      <c r="S90" s="284">
        <v>0.04147298770574682</v>
      </c>
      <c r="T90" s="284">
        <v>0.011781047400941014</v>
      </c>
      <c r="U90" s="284">
        <v>0.012987811273918732</v>
      </c>
      <c r="V90" s="284">
        <v>0.017957738409704996</v>
      </c>
      <c r="W90" s="284">
        <v>0.02259519681775148</v>
      </c>
      <c r="X90" s="284">
        <v>0.01885971147361975</v>
      </c>
      <c r="Y90" s="284">
        <v>0.015017382667971722</v>
      </c>
      <c r="Z90" s="284">
        <v>0.015093085328445197</v>
      </c>
      <c r="AA90" s="284">
        <v>0.02231390720064824</v>
      </c>
      <c r="AB90" s="284">
        <v>0.017109521257413718</v>
      </c>
      <c r="AC90" s="284">
        <v>0.013341254270039902</v>
      </c>
      <c r="AD90" s="284">
        <v>0.009346093514827784</v>
      </c>
      <c r="AE90" s="284">
        <v>0.014420379275375018</v>
      </c>
      <c r="AF90" s="284">
        <v>0.009537669303526732</v>
      </c>
      <c r="AG90" s="284">
        <v>0.013529418746084244</v>
      </c>
      <c r="AH90" s="284">
        <v>0.008316032292944853</v>
      </c>
      <c r="AI90" s="284">
        <v>0.007264699163322554</v>
      </c>
      <c r="AJ90" s="284">
        <v>0.017927407652793697</v>
      </c>
      <c r="AK90" s="284">
        <v>0.025945181891717094</v>
      </c>
      <c r="AL90" s="284">
        <v>0.01080508271039593</v>
      </c>
      <c r="AM90" s="284">
        <v>0.012894931246002822</v>
      </c>
      <c r="AN90" s="284">
        <v>0.006200656709857143</v>
      </c>
      <c r="AO90" s="284">
        <v>0.008024663456096492</v>
      </c>
      <c r="AP90" s="284">
        <v>0.014664940634714262</v>
      </c>
      <c r="AQ90" s="284">
        <v>0.015076102259739606</v>
      </c>
      <c r="AR90" s="284">
        <v>0.04154140477473118</v>
      </c>
      <c r="AS90" s="284">
        <v>0.03346554250512838</v>
      </c>
      <c r="AT90" s="715"/>
    </row>
    <row r="91" hidden="1">
      <c r="A91" s="80"/>
      <c r="B91" s="81"/>
      <c r="C91" s="143"/>
      <c r="D91" s="81"/>
      <c r="E91" s="363" t="s">
        <v>945</v>
      </c>
      <c r="F91" s="358" t="s">
        <v>122</v>
      </c>
      <c r="G91" s="358" t="s">
        <v>203</v>
      </c>
      <c r="H91" s="187" t="s">
        <v>150</v>
      </c>
      <c r="I91" s="149">
        <v>0.528708483674589</v>
      </c>
      <c r="J91" s="149">
        <v>0.524762739744437</v>
      </c>
      <c r="K91" s="149">
        <v>0.5454354392922086</v>
      </c>
      <c r="L91" s="149">
        <v>0.5307904055934317</v>
      </c>
      <c r="M91" s="149">
        <v>0.5176692162563957</v>
      </c>
      <c r="N91" s="149">
        <v>0.538140582365976</v>
      </c>
      <c r="O91" s="149">
        <v>0.5388581409822342</v>
      </c>
      <c r="P91" s="149">
        <v>0.5311094169748235</v>
      </c>
      <c r="Q91" s="149">
        <v>0.5387587381729759</v>
      </c>
      <c r="R91" s="149">
        <v>0.49999313047002525</v>
      </c>
      <c r="S91" s="149">
        <v>0.5192446133315393</v>
      </c>
      <c r="T91" s="149">
        <v>0.5343549237632618</v>
      </c>
      <c r="U91" s="149">
        <v>0.5442070873930248</v>
      </c>
      <c r="V91" s="149">
        <v>0.5231756170234483</v>
      </c>
      <c r="W91" s="149">
        <v>0.5128136607667058</v>
      </c>
      <c r="X91" s="149">
        <v>0.5322428808765942</v>
      </c>
      <c r="Y91" s="149">
        <v>0.5403761151661525</v>
      </c>
      <c r="Z91" s="149">
        <v>0.5327682770956005</v>
      </c>
      <c r="AA91" s="149">
        <v>0.5291220554269493</v>
      </c>
      <c r="AB91" s="149">
        <v>0.5369213729523611</v>
      </c>
      <c r="AC91" s="149">
        <v>0.5341613978582418</v>
      </c>
      <c r="AD91" s="149">
        <v>0.5434280004494232</v>
      </c>
      <c r="AE91" s="149">
        <v>0.5336286127632908</v>
      </c>
      <c r="AF91" s="149">
        <v>0.5342724362836159</v>
      </c>
      <c r="AG91" s="149">
        <v>0.5628956480119341</v>
      </c>
      <c r="AH91" s="149">
        <v>0.5435486015022115</v>
      </c>
      <c r="AI91" s="149">
        <v>0.533283688769487</v>
      </c>
      <c r="AJ91" s="149">
        <v>0.5338991665776724</v>
      </c>
      <c r="AK91" s="149">
        <v>0.522284218746207</v>
      </c>
      <c r="AL91" s="149">
        <v>0.533645565018537</v>
      </c>
      <c r="AM91" s="149">
        <v>0.5297069040500255</v>
      </c>
      <c r="AN91" s="149">
        <v>0.5382112619151512</v>
      </c>
      <c r="AO91" s="149">
        <v>0.544197224773467</v>
      </c>
      <c r="AP91" s="149">
        <v>0.5283940918633041</v>
      </c>
      <c r="AQ91" s="149">
        <v>0.5321993699587223</v>
      </c>
      <c r="AR91" s="149">
        <v>0.5114832602010897</v>
      </c>
      <c r="AS91" s="149">
        <v>0.5424146877640097</v>
      </c>
      <c r="AT91" s="715"/>
    </row>
    <row r="92" hidden="1">
      <c r="A92" s="80"/>
      <c r="B92" s="81"/>
      <c r="C92" s="143"/>
      <c r="D92" s="81"/>
      <c r="E92" s="752" t="s">
        <v>947</v>
      </c>
      <c r="F92" s="753" t="s">
        <v>111</v>
      </c>
      <c r="G92" s="753" t="s">
        <v>149</v>
      </c>
      <c r="H92" s="754" t="s">
        <v>150</v>
      </c>
      <c r="I92" s="397">
        <f t="shared" ref="I92:AS92" si="12">I89*I90*I91</f>
        <v>386.9464827</v>
      </c>
      <c r="J92" s="397">
        <f t="shared" si="12"/>
        <v>175.4405849</v>
      </c>
      <c r="K92" s="397">
        <f t="shared" si="12"/>
        <v>317.8977189</v>
      </c>
      <c r="L92" s="397">
        <f t="shared" si="12"/>
        <v>88.10470035</v>
      </c>
      <c r="M92" s="397">
        <f t="shared" si="12"/>
        <v>218.3179762</v>
      </c>
      <c r="N92" s="397">
        <f t="shared" si="12"/>
        <v>322.1268501</v>
      </c>
      <c r="O92" s="397">
        <f t="shared" si="12"/>
        <v>501.0157461</v>
      </c>
      <c r="P92" s="397">
        <f t="shared" si="12"/>
        <v>825.6216313</v>
      </c>
      <c r="Q92" s="397">
        <f t="shared" si="12"/>
        <v>624.0117303</v>
      </c>
      <c r="R92" s="397">
        <f t="shared" si="12"/>
        <v>20.7146174</v>
      </c>
      <c r="S92" s="397">
        <f t="shared" si="12"/>
        <v>61.28112369</v>
      </c>
      <c r="T92" s="397">
        <f t="shared" si="12"/>
        <v>18.47530624</v>
      </c>
      <c r="U92" s="397">
        <f t="shared" si="12"/>
        <v>25.89544782</v>
      </c>
      <c r="V92" s="397">
        <f t="shared" si="12"/>
        <v>40.18596591</v>
      </c>
      <c r="W92" s="397">
        <f t="shared" si="12"/>
        <v>49.44512322</v>
      </c>
      <c r="X92" s="397">
        <f t="shared" si="12"/>
        <v>113.8106768</v>
      </c>
      <c r="Y92" s="397">
        <f t="shared" si="12"/>
        <v>11.73769744</v>
      </c>
      <c r="Z92" s="397">
        <f t="shared" si="12"/>
        <v>31.77767767</v>
      </c>
      <c r="AA92" s="397">
        <f t="shared" si="12"/>
        <v>1.79662296</v>
      </c>
      <c r="AB92" s="397">
        <f t="shared" si="12"/>
        <v>17.26912905</v>
      </c>
      <c r="AC92" s="397">
        <f t="shared" si="12"/>
        <v>7.091754042</v>
      </c>
      <c r="AD92" s="397">
        <f t="shared" si="12"/>
        <v>2.752941032</v>
      </c>
      <c r="AE92" s="397">
        <f t="shared" si="12"/>
        <v>12.80138178</v>
      </c>
      <c r="AF92" s="397">
        <f t="shared" si="12"/>
        <v>6.269356567</v>
      </c>
      <c r="AG92" s="397">
        <f t="shared" si="12"/>
        <v>27.86802905</v>
      </c>
      <c r="AH92" s="397">
        <f t="shared" si="12"/>
        <v>31.90521611</v>
      </c>
      <c r="AI92" s="397">
        <f t="shared" si="12"/>
        <v>5.80354639</v>
      </c>
      <c r="AJ92" s="397">
        <f t="shared" si="12"/>
        <v>58.12200452</v>
      </c>
      <c r="AK92" s="397">
        <f t="shared" si="12"/>
        <v>127.2860577</v>
      </c>
      <c r="AL92" s="397">
        <f t="shared" si="12"/>
        <v>45.1709404</v>
      </c>
      <c r="AM92" s="397">
        <f t="shared" si="12"/>
        <v>38.72646996</v>
      </c>
      <c r="AN92" s="397">
        <f t="shared" si="12"/>
        <v>6.83423205</v>
      </c>
      <c r="AO92" s="397">
        <f t="shared" si="12"/>
        <v>25.20313053</v>
      </c>
      <c r="AP92" s="397">
        <f t="shared" si="12"/>
        <v>31.85600374</v>
      </c>
      <c r="AQ92" s="397">
        <f t="shared" si="12"/>
        <v>16.22096581</v>
      </c>
      <c r="AR92" s="397">
        <f t="shared" si="12"/>
        <v>121.4055131</v>
      </c>
      <c r="AS92" s="397">
        <f t="shared" si="12"/>
        <v>93.44823746</v>
      </c>
      <c r="AT92" s="716"/>
    </row>
    <row r="93" hidden="1">
      <c r="A93" s="80"/>
      <c r="B93" s="81"/>
      <c r="C93" s="143"/>
      <c r="D93" s="81"/>
      <c r="E93" s="748"/>
      <c r="F93" s="137"/>
      <c r="G93" s="137"/>
      <c r="H93" s="749"/>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710"/>
    </row>
    <row r="94" hidden="1">
      <c r="A94" s="80"/>
      <c r="B94" s="81"/>
      <c r="C94" s="143" t="s">
        <v>948</v>
      </c>
      <c r="F94" s="137"/>
      <c r="G94" s="137"/>
      <c r="H94" s="749"/>
      <c r="I94" s="86"/>
      <c r="J94" s="86"/>
      <c r="K94" s="86"/>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6"/>
      <c r="AS94" s="86"/>
      <c r="AT94" s="710"/>
    </row>
    <row r="95" hidden="1">
      <c r="A95" s="80"/>
      <c r="B95" s="81"/>
      <c r="C95" s="143"/>
      <c r="D95" s="81"/>
      <c r="E95" s="750" t="s">
        <v>949</v>
      </c>
      <c r="F95" s="353" t="s">
        <v>118</v>
      </c>
      <c r="G95" s="353" t="s">
        <v>149</v>
      </c>
      <c r="H95" s="757" t="s">
        <v>150</v>
      </c>
      <c r="I95" s="432">
        <f t="shared" ref="I95:AS95" si="13">I83/I92</f>
        <v>2584.33671</v>
      </c>
      <c r="J95" s="432">
        <f t="shared" si="13"/>
        <v>5699.935397</v>
      </c>
      <c r="K95" s="432">
        <f t="shared" si="13"/>
        <v>3145.665856</v>
      </c>
      <c r="L95" s="432">
        <f t="shared" si="13"/>
        <v>11350.13224</v>
      </c>
      <c r="M95" s="432">
        <f t="shared" si="13"/>
        <v>4580.474852</v>
      </c>
      <c r="N95" s="432">
        <f t="shared" si="13"/>
        <v>3104.367114</v>
      </c>
      <c r="O95" s="432">
        <f t="shared" si="13"/>
        <v>1995.945253</v>
      </c>
      <c r="P95" s="432">
        <f t="shared" si="13"/>
        <v>1211.208576</v>
      </c>
      <c r="Q95" s="432">
        <f t="shared" si="13"/>
        <v>1602.533977</v>
      </c>
      <c r="R95" s="432">
        <f t="shared" si="13"/>
        <v>48275.08908</v>
      </c>
      <c r="S95" s="432">
        <f t="shared" si="13"/>
        <v>16318.23863</v>
      </c>
      <c r="T95" s="432">
        <f t="shared" si="13"/>
        <v>54126.30171</v>
      </c>
      <c r="U95" s="432">
        <f t="shared" si="13"/>
        <v>38616.82589</v>
      </c>
      <c r="V95" s="432">
        <f t="shared" si="13"/>
        <v>24884.30917</v>
      </c>
      <c r="W95" s="432">
        <f t="shared" si="13"/>
        <v>20224.44146</v>
      </c>
      <c r="X95" s="432">
        <f t="shared" si="13"/>
        <v>8786.521864</v>
      </c>
      <c r="Y95" s="432">
        <f t="shared" si="13"/>
        <v>85195.58499</v>
      </c>
      <c r="Z95" s="432">
        <f t="shared" si="13"/>
        <v>31468.63061</v>
      </c>
      <c r="AA95" s="432">
        <f t="shared" si="13"/>
        <v>556599.8109</v>
      </c>
      <c r="AB95" s="432">
        <f t="shared" si="13"/>
        <v>57906.79987</v>
      </c>
      <c r="AC95" s="432">
        <f t="shared" si="13"/>
        <v>141008.8384</v>
      </c>
      <c r="AD95" s="432">
        <f t="shared" si="13"/>
        <v>363247.8823</v>
      </c>
      <c r="AE95" s="432">
        <f t="shared" si="13"/>
        <v>78116.56718</v>
      </c>
      <c r="AF95" s="432">
        <f t="shared" si="13"/>
        <v>159506.0018</v>
      </c>
      <c r="AG95" s="432">
        <f t="shared" si="13"/>
        <v>35883.41315</v>
      </c>
      <c r="AH95" s="432">
        <f t="shared" si="13"/>
        <v>31342.83738</v>
      </c>
      <c r="AI95" s="432">
        <f t="shared" si="13"/>
        <v>172308.4357</v>
      </c>
      <c r="AJ95" s="432">
        <f t="shared" si="13"/>
        <v>17205.18775</v>
      </c>
      <c r="AK95" s="432">
        <f t="shared" si="13"/>
        <v>7856.319991</v>
      </c>
      <c r="AL95" s="432">
        <f t="shared" si="13"/>
        <v>22138.12666</v>
      </c>
      <c r="AM95" s="432">
        <f t="shared" si="13"/>
        <v>25822.13151</v>
      </c>
      <c r="AN95" s="432">
        <f t="shared" si="13"/>
        <v>146322.2192</v>
      </c>
      <c r="AO95" s="432">
        <f t="shared" si="13"/>
        <v>39677.61064</v>
      </c>
      <c r="AP95" s="432">
        <f t="shared" si="13"/>
        <v>31391.25699</v>
      </c>
      <c r="AQ95" s="432">
        <f t="shared" si="13"/>
        <v>61648.61029</v>
      </c>
      <c r="AR95" s="432">
        <f t="shared" si="13"/>
        <v>8236.858232</v>
      </c>
      <c r="AS95" s="432">
        <f t="shared" si="13"/>
        <v>10701.11141</v>
      </c>
      <c r="AT95" s="714"/>
    </row>
    <row r="96" hidden="1">
      <c r="A96" s="80"/>
      <c r="B96" s="81"/>
      <c r="C96" s="143"/>
      <c r="D96" s="81"/>
      <c r="E96" s="363" t="s">
        <v>950</v>
      </c>
      <c r="F96" s="358" t="s">
        <v>127</v>
      </c>
      <c r="G96" s="358" t="s">
        <v>203</v>
      </c>
      <c r="H96" s="345">
        <v>116.25262</v>
      </c>
      <c r="I96" s="310" t="s">
        <v>150</v>
      </c>
      <c r="J96" s="310" t="s">
        <v>150</v>
      </c>
      <c r="K96" s="310" t="s">
        <v>150</v>
      </c>
      <c r="L96" s="310" t="s">
        <v>150</v>
      </c>
      <c r="M96" s="310" t="s">
        <v>150</v>
      </c>
      <c r="N96" s="310" t="s">
        <v>150</v>
      </c>
      <c r="O96" s="310" t="s">
        <v>150</v>
      </c>
      <c r="P96" s="310" t="s">
        <v>150</v>
      </c>
      <c r="Q96" s="310" t="s">
        <v>150</v>
      </c>
      <c r="R96" s="310" t="s">
        <v>150</v>
      </c>
      <c r="S96" s="310" t="s">
        <v>150</v>
      </c>
      <c r="T96" s="310" t="s">
        <v>150</v>
      </c>
      <c r="U96" s="310" t="s">
        <v>150</v>
      </c>
      <c r="V96" s="310" t="s">
        <v>150</v>
      </c>
      <c r="W96" s="310" t="s">
        <v>150</v>
      </c>
      <c r="X96" s="310" t="s">
        <v>150</v>
      </c>
      <c r="Y96" s="310" t="s">
        <v>150</v>
      </c>
      <c r="Z96" s="310" t="s">
        <v>150</v>
      </c>
      <c r="AA96" s="310" t="s">
        <v>150</v>
      </c>
      <c r="AB96" s="310" t="s">
        <v>150</v>
      </c>
      <c r="AC96" s="310" t="s">
        <v>150</v>
      </c>
      <c r="AD96" s="310" t="s">
        <v>150</v>
      </c>
      <c r="AE96" s="310" t="s">
        <v>150</v>
      </c>
      <c r="AF96" s="310" t="s">
        <v>150</v>
      </c>
      <c r="AG96" s="310" t="s">
        <v>150</v>
      </c>
      <c r="AH96" s="310" t="s">
        <v>150</v>
      </c>
      <c r="AI96" s="310" t="s">
        <v>150</v>
      </c>
      <c r="AJ96" s="310" t="s">
        <v>150</v>
      </c>
      <c r="AK96" s="310" t="s">
        <v>150</v>
      </c>
      <c r="AL96" s="310" t="s">
        <v>150</v>
      </c>
      <c r="AM96" s="310" t="s">
        <v>150</v>
      </c>
      <c r="AN96" s="310" t="s">
        <v>150</v>
      </c>
      <c r="AO96" s="310" t="s">
        <v>150</v>
      </c>
      <c r="AP96" s="310" t="s">
        <v>150</v>
      </c>
      <c r="AQ96" s="310" t="s">
        <v>150</v>
      </c>
      <c r="AR96" s="310" t="s">
        <v>150</v>
      </c>
      <c r="AS96" s="310" t="s">
        <v>150</v>
      </c>
      <c r="AT96" s="715"/>
    </row>
    <row r="97" hidden="1">
      <c r="A97" s="80"/>
      <c r="B97" s="81"/>
      <c r="C97" s="143"/>
      <c r="D97" s="81"/>
      <c r="E97" s="758" t="s">
        <v>952</v>
      </c>
      <c r="F97" s="759" t="s">
        <v>129</v>
      </c>
      <c r="G97" s="759" t="s">
        <v>149</v>
      </c>
      <c r="H97" s="760" t="s">
        <v>150</v>
      </c>
      <c r="I97" s="471">
        <f>((I92*$H96)/I83)/'Main CEA'!$H$176</f>
        <v>13.4099098</v>
      </c>
      <c r="J97" s="471">
        <f>((J92*$H96)/J83)/'Main CEA'!$H$176</f>
        <v>6.080020167</v>
      </c>
      <c r="K97" s="471">
        <f>((K92*$H96)/K83)/'Main CEA'!$H$176</f>
        <v>11.01697502</v>
      </c>
      <c r="L97" s="471">
        <f>((L92*$H96)/L83)/'Main CEA'!$H$176</f>
        <v>3.053332017</v>
      </c>
      <c r="M97" s="471">
        <f>((M92*$H96)/M83)/'Main CEA'!$H$176</f>
        <v>7.565967128</v>
      </c>
      <c r="N97" s="471">
        <f>((N92*$H96)/N83)/'Main CEA'!$H$176</f>
        <v>11.16353862</v>
      </c>
      <c r="O97" s="471">
        <f>((O92*$H96)/O83)/'Main CEA'!$H$176</f>
        <v>17.3630625</v>
      </c>
      <c r="P97" s="471">
        <f>((P92*$H96)/P83)/'Main CEA'!$H$176</f>
        <v>28.61251387</v>
      </c>
      <c r="Q97" s="471">
        <f>((Q92*$H96)/Q83)/'Main CEA'!$H$176</f>
        <v>21.62557715</v>
      </c>
      <c r="R97" s="471">
        <f>((R92*$H96)/R83)/'Main CEA'!$H$176</f>
        <v>0.7178800253</v>
      </c>
      <c r="S97" s="471">
        <f>((S92*$H96)/S83)/'Main CEA'!$H$176</f>
        <v>2.123741597</v>
      </c>
      <c r="T97" s="471">
        <f>((T92*$H96)/T83)/'Main CEA'!$H$176</f>
        <v>0.6402750801</v>
      </c>
      <c r="U97" s="471">
        <f>((U92*$H96)/U83)/'Main CEA'!$H$176</f>
        <v>0.897425445</v>
      </c>
      <c r="V97" s="471">
        <f>((V92*$H96)/V83)/'Main CEA'!$H$176</f>
        <v>1.392673669</v>
      </c>
      <c r="W97" s="471">
        <f>((W92*$H96)/W83)/'Main CEA'!$H$176</f>
        <v>1.713556453</v>
      </c>
      <c r="X97" s="471">
        <f>((X92*$H96)/X83)/'Main CEA'!$H$176</f>
        <v>3.944191194</v>
      </c>
      <c r="Y97" s="471">
        <f>((Y92*$H96)/Y83)/'Main CEA'!$H$176</f>
        <v>0.4067783814</v>
      </c>
      <c r="Z97" s="471">
        <f>((Z92*$H96)/Z83)/'Main CEA'!$H$176</f>
        <v>1.101278368</v>
      </c>
      <c r="AA97" s="471">
        <f>((AA92*$H96)/AA83)/'Main CEA'!$H$176</f>
        <v>0.06226326615</v>
      </c>
      <c r="AB97" s="471">
        <f>((AB92*$H96)/AB83)/'Main CEA'!$H$176</f>
        <v>0.5984741385</v>
      </c>
      <c r="AC97" s="471">
        <f>((AC92*$H96)/AC83)/'Main CEA'!$H$176</f>
        <v>0.2457698577</v>
      </c>
      <c r="AD97" s="471">
        <f>((AD92*$H96)/AD83)/'Main CEA'!$H$176</f>
        <v>0.09540515954</v>
      </c>
      <c r="AE97" s="471">
        <f>((AE92*$H96)/AE83)/'Main CEA'!$H$176</f>
        <v>0.4436411304</v>
      </c>
      <c r="AF97" s="471">
        <f>((AF92*$H96)/AF83)/'Main CEA'!$H$176</f>
        <v>0.2172690793</v>
      </c>
      <c r="AG97" s="471">
        <f>((AG92*$H96)/AG83)/'Main CEA'!$H$176</f>
        <v>0.965786672</v>
      </c>
      <c r="AH97" s="471">
        <f>((AH92*$H96)/AH83)/'Main CEA'!$H$176</f>
        <v>1.105698305</v>
      </c>
      <c r="AI97" s="471">
        <f>((AI92*$H96)/AI83)/'Main CEA'!$H$176</f>
        <v>0.2011260912</v>
      </c>
      <c r="AJ97" s="471">
        <f>((AJ92*$H96)/AJ83)/'Main CEA'!$H$176</f>
        <v>2.01426004</v>
      </c>
      <c r="AK97" s="471">
        <f>((AK92*$H96)/AK83)/'Main CEA'!$H$176</f>
        <v>4.411190252</v>
      </c>
      <c r="AL97" s="471">
        <f>((AL92*$H96)/AL83)/'Main CEA'!$H$176</f>
        <v>1.56543156</v>
      </c>
      <c r="AM97" s="471">
        <f>((AM92*$H96)/AM83)/'Main CEA'!$H$176</f>
        <v>1.342093783</v>
      </c>
      <c r="AN97" s="471">
        <f>((AN92*$H96)/AN83)/'Main CEA'!$H$176</f>
        <v>0.2368452471</v>
      </c>
      <c r="AO97" s="471">
        <f>((AO92*$H96)/AO83)/'Main CEA'!$H$176</f>
        <v>0.8734326893</v>
      </c>
      <c r="AP97" s="471">
        <f>((AP92*$H96)/AP83)/'Main CEA'!$H$176</f>
        <v>1.103992815</v>
      </c>
      <c r="AQ97" s="471">
        <f>((AQ92*$H96)/AQ83)/'Main CEA'!$H$176</f>
        <v>0.5621492845</v>
      </c>
      <c r="AR97" s="471">
        <f>((AR92*$H96)/AR83)/'Main CEA'!$H$176</f>
        <v>4.207395731</v>
      </c>
      <c r="AS97" s="471">
        <f>((AS92*$H96)/AS83)/'Main CEA'!$H$176</f>
        <v>3.238516154</v>
      </c>
      <c r="AT97" s="716"/>
    </row>
    <row r="98" hidden="1">
      <c r="A98" s="80"/>
      <c r="B98" s="81"/>
      <c r="C98" s="143"/>
      <c r="D98" s="81"/>
      <c r="E98" s="748"/>
      <c r="F98" s="137"/>
      <c r="G98" s="137"/>
      <c r="H98" s="85"/>
      <c r="I98" s="709"/>
      <c r="J98" s="709"/>
      <c r="K98" s="709"/>
      <c r="L98" s="709"/>
      <c r="M98" s="709"/>
      <c r="N98" s="709"/>
      <c r="O98" s="709"/>
      <c r="P98" s="709"/>
      <c r="Q98" s="709"/>
      <c r="R98" s="709"/>
      <c r="S98" s="709"/>
      <c r="T98" s="709"/>
      <c r="U98" s="709"/>
      <c r="V98" s="709"/>
      <c r="W98" s="709"/>
      <c r="X98" s="709"/>
      <c r="Y98" s="709"/>
      <c r="Z98" s="709"/>
      <c r="AA98" s="709"/>
      <c r="AB98" s="709"/>
      <c r="AC98" s="709"/>
      <c r="AD98" s="709"/>
      <c r="AE98" s="709"/>
      <c r="AF98" s="709"/>
      <c r="AG98" s="709"/>
      <c r="AH98" s="709"/>
      <c r="AI98" s="709"/>
      <c r="AJ98" s="709"/>
      <c r="AK98" s="709"/>
      <c r="AL98" s="709"/>
      <c r="AM98" s="709"/>
      <c r="AN98" s="709"/>
      <c r="AO98" s="709"/>
      <c r="AP98" s="709"/>
      <c r="AQ98" s="709"/>
      <c r="AR98" s="709"/>
      <c r="AS98" s="709"/>
      <c r="AT98" s="710"/>
    </row>
    <row r="99" hidden="1">
      <c r="A99" s="80"/>
      <c r="B99" s="81"/>
      <c r="C99" s="143" t="s">
        <v>957</v>
      </c>
      <c r="D99" s="81"/>
      <c r="E99" s="748"/>
      <c r="F99" s="137"/>
      <c r="G99" s="137"/>
      <c r="H99" s="85"/>
      <c r="I99" s="709"/>
      <c r="J99" s="709"/>
      <c r="K99" s="709"/>
      <c r="L99" s="709"/>
      <c r="M99" s="709"/>
      <c r="N99" s="709"/>
      <c r="O99" s="709"/>
      <c r="P99" s="709"/>
      <c r="Q99" s="709"/>
      <c r="R99" s="709"/>
      <c r="S99" s="709"/>
      <c r="T99" s="709"/>
      <c r="U99" s="709"/>
      <c r="V99" s="709"/>
      <c r="W99" s="709"/>
      <c r="X99" s="709"/>
      <c r="Y99" s="709"/>
      <c r="Z99" s="709"/>
      <c r="AA99" s="709"/>
      <c r="AB99" s="709"/>
      <c r="AC99" s="709"/>
      <c r="AD99" s="709"/>
      <c r="AE99" s="709"/>
      <c r="AF99" s="709"/>
      <c r="AG99" s="709"/>
      <c r="AH99" s="709"/>
      <c r="AI99" s="709"/>
      <c r="AJ99" s="709"/>
      <c r="AK99" s="709"/>
      <c r="AL99" s="709"/>
      <c r="AM99" s="709"/>
      <c r="AN99" s="709"/>
      <c r="AO99" s="709"/>
      <c r="AP99" s="709"/>
      <c r="AQ99" s="709"/>
      <c r="AR99" s="709"/>
      <c r="AS99" s="709"/>
      <c r="AT99" s="710"/>
    </row>
    <row r="100" hidden="1">
      <c r="A100" s="80"/>
      <c r="B100" s="81"/>
      <c r="C100" s="143"/>
      <c r="D100" s="81"/>
      <c r="E100" s="750" t="s">
        <v>959</v>
      </c>
      <c r="F100" s="353" t="s">
        <v>122</v>
      </c>
      <c r="G100" s="353" t="s">
        <v>203</v>
      </c>
      <c r="H100" s="200" t="s">
        <v>150</v>
      </c>
      <c r="I100" s="725">
        <v>0.2933010040476348</v>
      </c>
      <c r="J100" s="725">
        <v>0.25958819917574644</v>
      </c>
      <c r="K100" s="725">
        <v>0.30633992845580893</v>
      </c>
      <c r="L100" s="725">
        <v>0.2680135127011596</v>
      </c>
      <c r="M100" s="725">
        <v>0.254795611357778</v>
      </c>
      <c r="N100" s="725">
        <v>0.34912845344301463</v>
      </c>
      <c r="O100" s="725">
        <v>0.3564076892681654</v>
      </c>
      <c r="P100" s="725">
        <v>0.32945596179221476</v>
      </c>
      <c r="Q100" s="725">
        <v>0.2830226022036739</v>
      </c>
      <c r="R100" s="725">
        <v>0.29167679667451785</v>
      </c>
      <c r="S100" s="725">
        <v>0.2433719871002717</v>
      </c>
      <c r="T100" s="725">
        <v>0.44025214914562477</v>
      </c>
      <c r="U100" s="725">
        <v>0.3886735164438725</v>
      </c>
      <c r="V100" s="725">
        <v>0.36227977230353126</v>
      </c>
      <c r="W100" s="725">
        <v>0.407675212798546</v>
      </c>
      <c r="X100" s="725">
        <v>0.43601474421048647</v>
      </c>
      <c r="Y100" s="725">
        <v>0.46664272469663687</v>
      </c>
      <c r="Z100" s="725">
        <v>0.3715702231813611</v>
      </c>
      <c r="AA100" s="725">
        <v>0.3459646877433703</v>
      </c>
      <c r="AB100" s="725">
        <v>0.2945897450751327</v>
      </c>
      <c r="AC100" s="725">
        <v>0.36719363993642046</v>
      </c>
      <c r="AD100" s="725">
        <v>0.5449508859885219</v>
      </c>
      <c r="AE100" s="725">
        <v>0.3277730696684915</v>
      </c>
      <c r="AF100" s="725">
        <v>0.47247712529333363</v>
      </c>
      <c r="AG100" s="725">
        <v>0.42537781382364726</v>
      </c>
      <c r="AH100" s="725">
        <v>0.6843382119606448</v>
      </c>
      <c r="AI100" s="725">
        <v>0.48043099525805144</v>
      </c>
      <c r="AJ100" s="725">
        <v>0.4179848322317864</v>
      </c>
      <c r="AK100" s="725">
        <v>0.3922732005377868</v>
      </c>
      <c r="AL100" s="725">
        <v>0.5576831241956707</v>
      </c>
      <c r="AM100" s="725">
        <v>0.44677735793839424</v>
      </c>
      <c r="AN100" s="725">
        <v>0.6146959728776058</v>
      </c>
      <c r="AO100" s="725">
        <v>0.49254875209077603</v>
      </c>
      <c r="AP100" s="725">
        <v>0.5152437018405901</v>
      </c>
      <c r="AQ100" s="725">
        <v>0.33719123947776247</v>
      </c>
      <c r="AR100" s="725">
        <v>0.2687365315673016</v>
      </c>
      <c r="AS100" s="725">
        <v>0.4504581991897932</v>
      </c>
      <c r="AT100" s="714"/>
    </row>
    <row r="101" hidden="1">
      <c r="A101" s="80"/>
      <c r="B101" s="81"/>
      <c r="C101" s="143"/>
      <c r="D101" s="81"/>
      <c r="E101" s="363" t="s">
        <v>962</v>
      </c>
      <c r="F101" s="358" t="s">
        <v>122</v>
      </c>
      <c r="G101" s="358" t="s">
        <v>203</v>
      </c>
      <c r="H101" s="187" t="s">
        <v>150</v>
      </c>
      <c r="I101" s="726">
        <v>0.2559366722067551</v>
      </c>
      <c r="J101" s="726">
        <v>0.2621242632957341</v>
      </c>
      <c r="K101" s="726">
        <v>0.2535306558014069</v>
      </c>
      <c r="L101" s="726">
        <v>0.26119039883465317</v>
      </c>
      <c r="M101" s="726">
        <v>0.26422938251955197</v>
      </c>
      <c r="N101" s="726">
        <v>0.2473812410472293</v>
      </c>
      <c r="O101" s="726">
        <v>0.24640078954396386</v>
      </c>
      <c r="P101" s="726">
        <v>0.250578257722937</v>
      </c>
      <c r="Q101" s="726">
        <v>0.2581354982672264</v>
      </c>
      <c r="R101" s="726">
        <v>0.254184490209867</v>
      </c>
      <c r="S101" s="726">
        <v>0.2643506979383955</v>
      </c>
      <c r="T101" s="726">
        <v>0.23158054780731552</v>
      </c>
      <c r="U101" s="726">
        <v>0.24024422247500166</v>
      </c>
      <c r="V101" s="726">
        <v>0.24331391661029145</v>
      </c>
      <c r="W101" s="726">
        <v>0.23926873991566772</v>
      </c>
      <c r="X101" s="726">
        <v>0.23614695655031018</v>
      </c>
      <c r="Y101" s="726">
        <v>0.22911973313707362</v>
      </c>
      <c r="Z101" s="726">
        <v>0.2437004893919934</v>
      </c>
      <c r="AA101" s="726">
        <v>0.2476283310888675</v>
      </c>
      <c r="AB101" s="726">
        <v>0.25197016369619385</v>
      </c>
      <c r="AC101" s="726">
        <v>0.24135722146726707</v>
      </c>
      <c r="AD101" s="726">
        <v>0.21879826737549174</v>
      </c>
      <c r="AE101" s="726">
        <v>0.2515214039644371</v>
      </c>
      <c r="AF101" s="726">
        <v>0.22799416393258817</v>
      </c>
      <c r="AG101" s="726">
        <v>0.23736531543722073</v>
      </c>
      <c r="AH101" s="726">
        <v>0.20449143152107105</v>
      </c>
      <c r="AI101" s="726">
        <v>0.2316097592745168</v>
      </c>
      <c r="AJ101" s="726">
        <v>0.2383517937821174</v>
      </c>
      <c r="AK101" s="726">
        <v>0.24079881130083405</v>
      </c>
      <c r="AL101" s="726">
        <v>0.2182945593855653</v>
      </c>
      <c r="AM101" s="726">
        <v>0.23263848789490219</v>
      </c>
      <c r="AN101" s="726">
        <v>0.21070809965242443</v>
      </c>
      <c r="AO101" s="726">
        <v>0.22567997788315503</v>
      </c>
      <c r="AP101" s="726">
        <v>0.22599880165185082</v>
      </c>
      <c r="AQ101" s="726">
        <v>0.2469371230423998</v>
      </c>
      <c r="AR101" s="726">
        <v>0.2604085820316728</v>
      </c>
      <c r="AS101" s="726">
        <v>0.23324807442342108</v>
      </c>
      <c r="AT101" s="715"/>
    </row>
    <row r="102" hidden="1">
      <c r="A102" s="80"/>
      <c r="B102" s="81"/>
      <c r="C102" s="143"/>
      <c r="D102" s="81"/>
      <c r="E102" s="752" t="s">
        <v>963</v>
      </c>
      <c r="F102" s="753" t="s">
        <v>122</v>
      </c>
      <c r="G102" s="753" t="s">
        <v>203</v>
      </c>
      <c r="H102" s="197" t="s">
        <v>150</v>
      </c>
      <c r="I102" s="727">
        <v>0.026819817668820006</v>
      </c>
      <c r="J102" s="727">
        <v>0.06043844961437787</v>
      </c>
      <c r="K102" s="727">
        <v>0.0323813915750312</v>
      </c>
      <c r="L102" s="727">
        <v>0.11963836373609935</v>
      </c>
      <c r="M102" s="727">
        <v>0.0486727307788036</v>
      </c>
      <c r="N102" s="727">
        <v>0.03109529235996752</v>
      </c>
      <c r="O102" s="727">
        <v>0.019900993000604144</v>
      </c>
      <c r="P102" s="727">
        <v>0.012280277702952074</v>
      </c>
      <c r="Q102" s="727">
        <v>0.016734764444307833</v>
      </c>
      <c r="R102" s="727">
        <v>0.5023216314528492</v>
      </c>
      <c r="S102" s="727">
        <v>0.17497609871473427</v>
      </c>
      <c r="T102" s="727">
        <v>0.5143764560883732</v>
      </c>
      <c r="U102" s="727">
        <v>0.37795777971806327</v>
      </c>
      <c r="V102" s="727">
        <v>0.2476581168740582</v>
      </c>
      <c r="W102" s="727">
        <v>0.19542614217916382</v>
      </c>
      <c r="X102" s="727">
        <v>0.08343765153169173</v>
      </c>
      <c r="Y102" s="727">
        <v>0.7966593297211263</v>
      </c>
      <c r="Z102" s="727">
        <v>0.3109696980563985</v>
      </c>
      <c r="AA102" s="727">
        <v>5.587251759339462</v>
      </c>
      <c r="AB102" s="727">
        <v>0.6022509643326523</v>
      </c>
      <c r="AC102" s="727">
        <v>1.400533854559542</v>
      </c>
      <c r="AD102" s="727">
        <v>3.2518512087538434</v>
      </c>
      <c r="AE102" s="727">
        <v>0.7924193889669001</v>
      </c>
      <c r="AF102" s="727">
        <v>1.4869838448380723</v>
      </c>
      <c r="AG102" s="727">
        <v>0.3429571750882119</v>
      </c>
      <c r="AH102" s="727">
        <v>0.2604230216771079</v>
      </c>
      <c r="AI102" s="727">
        <v>1.5930130356286762</v>
      </c>
      <c r="AJ102" s="727">
        <v>0.16516494376452243</v>
      </c>
      <c r="AK102" s="727">
        <v>0.0766597524410388</v>
      </c>
      <c r="AL102" s="727">
        <v>0.19664528105928672</v>
      </c>
      <c r="AM102" s="727">
        <v>0.24407805944831407</v>
      </c>
      <c r="AN102" s="727">
        <v>1.2616943257623043</v>
      </c>
      <c r="AO102" s="727">
        <v>0.36560655580431833</v>
      </c>
      <c r="AP102" s="727">
        <v>0.28484608435202885</v>
      </c>
      <c r="AQ102" s="727">
        <v>0.6232457049581411</v>
      </c>
      <c r="AR102" s="727">
        <v>0.0868266160519468</v>
      </c>
      <c r="AS102" s="727">
        <v>0.10084335889880952</v>
      </c>
      <c r="AT102" s="716"/>
    </row>
    <row r="103" hidden="1">
      <c r="A103" s="80"/>
      <c r="B103" s="81"/>
      <c r="C103" s="143"/>
      <c r="D103" s="81"/>
      <c r="E103" s="748"/>
      <c r="F103" s="137"/>
      <c r="G103" s="137"/>
      <c r="H103" s="85"/>
      <c r="I103" s="709"/>
      <c r="J103" s="709"/>
      <c r="K103" s="709"/>
      <c r="L103" s="709"/>
      <c r="M103" s="709"/>
      <c r="N103" s="709"/>
      <c r="O103" s="709"/>
      <c r="P103" s="709"/>
      <c r="Q103" s="709"/>
      <c r="R103" s="709"/>
      <c r="S103" s="709"/>
      <c r="T103" s="709"/>
      <c r="U103" s="709"/>
      <c r="V103" s="709"/>
      <c r="W103" s="709"/>
      <c r="X103" s="709"/>
      <c r="Y103" s="709"/>
      <c r="Z103" s="709"/>
      <c r="AA103" s="709"/>
      <c r="AB103" s="709"/>
      <c r="AC103" s="709"/>
      <c r="AD103" s="709"/>
      <c r="AE103" s="709"/>
      <c r="AF103" s="709"/>
      <c r="AG103" s="709"/>
      <c r="AH103" s="709"/>
      <c r="AI103" s="709"/>
      <c r="AJ103" s="709"/>
      <c r="AK103" s="709"/>
      <c r="AL103" s="709"/>
      <c r="AM103" s="709"/>
      <c r="AN103" s="709"/>
      <c r="AO103" s="709"/>
      <c r="AP103" s="709"/>
      <c r="AQ103" s="709"/>
      <c r="AR103" s="709"/>
      <c r="AS103" s="709"/>
      <c r="AT103" s="710"/>
    </row>
    <row r="104" hidden="1">
      <c r="A104" s="80"/>
      <c r="B104" s="81"/>
      <c r="C104" s="143" t="s">
        <v>964</v>
      </c>
      <c r="F104" s="137"/>
      <c r="G104" s="137"/>
      <c r="H104" s="85"/>
      <c r="AT104" s="710"/>
    </row>
    <row r="105" hidden="1">
      <c r="A105" s="80"/>
      <c r="B105" s="81"/>
      <c r="C105" s="143"/>
      <c r="D105" s="81"/>
      <c r="E105" s="750" t="s">
        <v>965</v>
      </c>
      <c r="F105" s="353" t="s">
        <v>122</v>
      </c>
      <c r="G105" s="353" t="s">
        <v>203</v>
      </c>
      <c r="H105" s="757" t="s">
        <v>150</v>
      </c>
      <c r="I105" s="119">
        <f t="shared" ref="I105:AS105" si="14">1-SUM(I106:I108)</f>
        <v>0.5995679391</v>
      </c>
      <c r="J105" s="119">
        <f t="shared" si="14"/>
        <v>0.5931763604</v>
      </c>
      <c r="K105" s="119">
        <f t="shared" si="14"/>
        <v>0.5915189624</v>
      </c>
      <c r="L105" s="119">
        <f t="shared" si="14"/>
        <v>0.5584929452</v>
      </c>
      <c r="M105" s="119">
        <f t="shared" si="14"/>
        <v>0.6011199675</v>
      </c>
      <c r="N105" s="119">
        <f t="shared" si="14"/>
        <v>0.5763000877</v>
      </c>
      <c r="O105" s="119">
        <f t="shared" si="14"/>
        <v>0.5799546393</v>
      </c>
      <c r="P105" s="119">
        <f t="shared" si="14"/>
        <v>0.5941750271</v>
      </c>
      <c r="Q105" s="119">
        <f t="shared" si="14"/>
        <v>0.6092991937</v>
      </c>
      <c r="R105" s="119">
        <f t="shared" si="14"/>
        <v>0.4108864273</v>
      </c>
      <c r="S105" s="119">
        <f t="shared" si="14"/>
        <v>0.5413801605</v>
      </c>
      <c r="T105" s="119">
        <f t="shared" si="14"/>
        <v>0.3722757936</v>
      </c>
      <c r="U105" s="119">
        <f t="shared" si="14"/>
        <v>0.4213633161</v>
      </c>
      <c r="V105" s="119">
        <f t="shared" si="14"/>
        <v>0.4732136906</v>
      </c>
      <c r="W105" s="119">
        <f t="shared" si="14"/>
        <v>0.4795228345</v>
      </c>
      <c r="X105" s="119">
        <f t="shared" si="14"/>
        <v>0.5199565733</v>
      </c>
      <c r="Y105" s="119">
        <f t="shared" si="14"/>
        <v>0.3087562372</v>
      </c>
      <c r="Z105" s="119">
        <f t="shared" si="14"/>
        <v>0.4471708584</v>
      </c>
      <c r="AA105" s="119">
        <f t="shared" si="14"/>
        <v>0.09040175126</v>
      </c>
      <c r="AB105" s="119">
        <f t="shared" si="14"/>
        <v>0.3850732202</v>
      </c>
      <c r="AC105" s="119">
        <f t="shared" si="14"/>
        <v>0.2454513134</v>
      </c>
      <c r="AD105" s="119">
        <f t="shared" si="14"/>
        <v>0.124903738</v>
      </c>
      <c r="AE105" s="119">
        <f t="shared" si="14"/>
        <v>0.3357362455</v>
      </c>
      <c r="AF105" s="119">
        <f t="shared" si="14"/>
        <v>0.222373062</v>
      </c>
      <c r="AG105" s="119">
        <f t="shared" si="14"/>
        <v>0.4221919063</v>
      </c>
      <c r="AH105" s="119">
        <f t="shared" si="14"/>
        <v>0.391066538</v>
      </c>
      <c r="AI105" s="119">
        <f t="shared" si="14"/>
        <v>0.2115115117</v>
      </c>
      <c r="AJ105" s="119">
        <f t="shared" si="14"/>
        <v>0.4887614758</v>
      </c>
      <c r="AK105" s="119">
        <f t="shared" si="14"/>
        <v>0.5376450962</v>
      </c>
      <c r="AL105" s="119">
        <f t="shared" si="14"/>
        <v>0.440355219</v>
      </c>
      <c r="AM105" s="119">
        <f t="shared" si="14"/>
        <v>0.4507284189</v>
      </c>
      <c r="AN105" s="119">
        <f t="shared" si="14"/>
        <v>0.2261704601</v>
      </c>
      <c r="AO105" s="119">
        <f t="shared" si="14"/>
        <v>0.4002845148</v>
      </c>
      <c r="AP105" s="119">
        <f t="shared" si="14"/>
        <v>0.4189636664</v>
      </c>
      <c r="AQ105" s="119">
        <f t="shared" si="14"/>
        <v>0.3694687066</v>
      </c>
      <c r="AR105" s="119">
        <f t="shared" si="14"/>
        <v>0.5753828828</v>
      </c>
      <c r="AS105" s="119">
        <f t="shared" si="14"/>
        <v>0.5078305339</v>
      </c>
      <c r="AT105" s="714"/>
    </row>
    <row r="106" hidden="1">
      <c r="A106" s="80"/>
      <c r="B106" s="81"/>
      <c r="C106" s="143"/>
      <c r="D106" s="81"/>
      <c r="E106" s="750" t="s">
        <v>966</v>
      </c>
      <c r="F106" s="353" t="s">
        <v>122</v>
      </c>
      <c r="G106" s="353" t="s">
        <v>203</v>
      </c>
      <c r="H106" s="757" t="s">
        <v>150</v>
      </c>
      <c r="I106" s="119">
        <f t="shared" ref="I106:AS106" si="15">I100/((1+I100)*(1+I101)*(1+I102))</f>
        <v>0.1758538785</v>
      </c>
      <c r="J106" s="119">
        <f t="shared" si="15"/>
        <v>0.1539815832</v>
      </c>
      <c r="K106" s="119">
        <f t="shared" si="15"/>
        <v>0.1812058766</v>
      </c>
      <c r="L106" s="119">
        <f t="shared" si="15"/>
        <v>0.1496836561</v>
      </c>
      <c r="M106" s="119">
        <f t="shared" si="15"/>
        <v>0.1531627296</v>
      </c>
      <c r="N106" s="119">
        <f t="shared" si="15"/>
        <v>0.2012027583</v>
      </c>
      <c r="O106" s="119">
        <f t="shared" si="15"/>
        <v>0.2067002929</v>
      </c>
      <c r="P106" s="119">
        <f t="shared" si="15"/>
        <v>0.195754505</v>
      </c>
      <c r="Q106" s="119">
        <f t="shared" si="15"/>
        <v>0.1724454433</v>
      </c>
      <c r="R106" s="119">
        <f t="shared" si="15"/>
        <v>0.1198460369</v>
      </c>
      <c r="S106" s="119">
        <f t="shared" si="15"/>
        <v>0.1317567654</v>
      </c>
      <c r="T106" s="119">
        <f t="shared" si="15"/>
        <v>0.1638952182</v>
      </c>
      <c r="U106" s="119">
        <f t="shared" si="15"/>
        <v>0.1637727618</v>
      </c>
      <c r="V106" s="119">
        <f t="shared" si="15"/>
        <v>0.1714357481</v>
      </c>
      <c r="W106" s="119">
        <f t="shared" si="15"/>
        <v>0.1954895736</v>
      </c>
      <c r="X106" s="119">
        <f t="shared" si="15"/>
        <v>0.2267087323</v>
      </c>
      <c r="Y106" s="119">
        <f t="shared" si="15"/>
        <v>0.1440788518</v>
      </c>
      <c r="Z106" s="119">
        <f t="shared" si="15"/>
        <v>0.1661553756</v>
      </c>
      <c r="AA106" s="119">
        <f t="shared" si="15"/>
        <v>0.03127581365</v>
      </c>
      <c r="AB106" s="119">
        <f t="shared" si="15"/>
        <v>0.1134386218</v>
      </c>
      <c r="AC106" s="119">
        <f t="shared" si="15"/>
        <v>0.0901281612</v>
      </c>
      <c r="AD106" s="119">
        <f t="shared" si="15"/>
        <v>0.06806640271</v>
      </c>
      <c r="AE106" s="119">
        <f t="shared" si="15"/>
        <v>0.1100452998</v>
      </c>
      <c r="AF106" s="119">
        <f t="shared" si="15"/>
        <v>0.1050661851</v>
      </c>
      <c r="AG106" s="119">
        <f t="shared" si="15"/>
        <v>0.1795910701</v>
      </c>
      <c r="AH106" s="119">
        <f t="shared" si="15"/>
        <v>0.2676217754</v>
      </c>
      <c r="AI106" s="119">
        <f t="shared" si="15"/>
        <v>0.1016166861</v>
      </c>
      <c r="AJ106" s="119">
        <f t="shared" si="15"/>
        <v>0.2042948835</v>
      </c>
      <c r="AK106" s="119">
        <f t="shared" si="15"/>
        <v>0.2109037626</v>
      </c>
      <c r="AL106" s="119">
        <f t="shared" si="15"/>
        <v>0.2455786743</v>
      </c>
      <c r="AM106" s="119">
        <f t="shared" si="15"/>
        <v>0.2013752521</v>
      </c>
      <c r="AN106" s="119">
        <f t="shared" si="15"/>
        <v>0.139026071</v>
      </c>
      <c r="AO106" s="119">
        <f t="shared" si="15"/>
        <v>0.1971596383</v>
      </c>
      <c r="AP106" s="119">
        <f t="shared" si="15"/>
        <v>0.2158683904</v>
      </c>
      <c r="AQ106" s="119">
        <f t="shared" si="15"/>
        <v>0.1245816111</v>
      </c>
      <c r="AR106" s="119">
        <f t="shared" si="15"/>
        <v>0.1546264002</v>
      </c>
      <c r="AS106" s="119">
        <f t="shared" si="15"/>
        <v>0.2287564278</v>
      </c>
      <c r="AT106" s="714"/>
    </row>
    <row r="107" hidden="1">
      <c r="A107" s="80"/>
      <c r="B107" s="81"/>
      <c r="C107" s="143"/>
      <c r="D107" s="81"/>
      <c r="E107" s="363" t="s">
        <v>967</v>
      </c>
      <c r="F107" s="358" t="s">
        <v>122</v>
      </c>
      <c r="G107" s="358" t="s">
        <v>203</v>
      </c>
      <c r="H107" s="751" t="s">
        <v>150</v>
      </c>
      <c r="I107" s="149">
        <f t="shared" ref="I107:AS107" si="16">I101/((1+I101)*(1+I102))</f>
        <v>0.1984588796</v>
      </c>
      <c r="J107" s="149">
        <f t="shared" si="16"/>
        <v>0.1958482255</v>
      </c>
      <c r="K107" s="149">
        <f t="shared" si="16"/>
        <v>0.1959094352</v>
      </c>
      <c r="L107" s="149">
        <f t="shared" si="16"/>
        <v>0.1849689289</v>
      </c>
      <c r="M107" s="149">
        <f t="shared" si="16"/>
        <v>0.1993036513</v>
      </c>
      <c r="N107" s="149">
        <f t="shared" si="16"/>
        <v>0.192339619</v>
      </c>
      <c r="O107" s="149">
        <f t="shared" si="16"/>
        <v>0.1938323964</v>
      </c>
      <c r="P107" s="149">
        <f t="shared" si="16"/>
        <v>0.1979391659</v>
      </c>
      <c r="Q107" s="149">
        <f t="shared" si="16"/>
        <v>0.2017960414</v>
      </c>
      <c r="R107" s="149">
        <f t="shared" si="16"/>
        <v>0.1349039608</v>
      </c>
      <c r="S107" s="149">
        <f t="shared" si="16"/>
        <v>0.1779442162</v>
      </c>
      <c r="T107" s="149">
        <f t="shared" si="16"/>
        <v>0.1241667766</v>
      </c>
      <c r="U107" s="149">
        <f t="shared" si="16"/>
        <v>0.1405755621</v>
      </c>
      <c r="V107" s="149">
        <f t="shared" si="16"/>
        <v>0.1568521798</v>
      </c>
      <c r="W107" s="149">
        <f t="shared" si="16"/>
        <v>0.1615093683</v>
      </c>
      <c r="X107" s="149">
        <f t="shared" si="16"/>
        <v>0.1763227395</v>
      </c>
      <c r="Y107" s="149">
        <f t="shared" si="16"/>
        <v>0.1037534548</v>
      </c>
      <c r="Z107" s="149">
        <f t="shared" si="16"/>
        <v>0.1494679034</v>
      </c>
      <c r="AA107" s="149">
        <f t="shared" si="16"/>
        <v>0.03013081233</v>
      </c>
      <c r="AB107" s="149">
        <f t="shared" si="16"/>
        <v>0.1256101104</v>
      </c>
      <c r="AC107" s="149">
        <f t="shared" si="16"/>
        <v>0.08099452958</v>
      </c>
      <c r="AD107" s="149">
        <f t="shared" si="16"/>
        <v>0.04222153245</v>
      </c>
      <c r="AE107" s="149">
        <f t="shared" si="16"/>
        <v>0.1121236001</v>
      </c>
      <c r="AF107" s="149">
        <f t="shared" si="16"/>
        <v>0.07465423738</v>
      </c>
      <c r="AG107" s="149">
        <f t="shared" si="16"/>
        <v>0.142842406</v>
      </c>
      <c r="AH107" s="149">
        <f t="shared" si="16"/>
        <v>0.1346961161</v>
      </c>
      <c r="AI107" s="149">
        <f t="shared" si="16"/>
        <v>0.0725235465</v>
      </c>
      <c r="AJ107" s="149">
        <f t="shared" si="16"/>
        <v>0.1651912264</v>
      </c>
      <c r="AK107" s="149">
        <f t="shared" si="16"/>
        <v>0.1802496754</v>
      </c>
      <c r="AL107" s="149">
        <f t="shared" si="16"/>
        <v>0.149735637</v>
      </c>
      <c r="AM107" s="149">
        <f t="shared" si="16"/>
        <v>0.151704412</v>
      </c>
      <c r="AN107" s="149">
        <f t="shared" si="16"/>
        <v>0.07694986708</v>
      </c>
      <c r="AO107" s="149">
        <f t="shared" si="16"/>
        <v>0.1348311833</v>
      </c>
      <c r="AP107" s="149">
        <f t="shared" si="16"/>
        <v>0.1434712841</v>
      </c>
      <c r="AQ107" s="149">
        <f t="shared" si="16"/>
        <v>0.1219993641</v>
      </c>
      <c r="AR107" s="149">
        <f t="shared" si="16"/>
        <v>0.1901006823</v>
      </c>
      <c r="AS107" s="149">
        <f t="shared" si="16"/>
        <v>0.1718074905</v>
      </c>
      <c r="AT107" s="715"/>
    </row>
    <row r="108" hidden="1">
      <c r="A108" s="80"/>
      <c r="B108" s="81"/>
      <c r="C108" s="143"/>
      <c r="D108" s="81"/>
      <c r="E108" s="752" t="s">
        <v>968</v>
      </c>
      <c r="F108" s="753" t="s">
        <v>122</v>
      </c>
      <c r="G108" s="753" t="s">
        <v>203</v>
      </c>
      <c r="H108" s="197" t="s">
        <v>150</v>
      </c>
      <c r="I108" s="240">
        <f t="shared" ref="I108:AS108" si="17">I102/(1+I102)</f>
        <v>0.02611930273</v>
      </c>
      <c r="J108" s="240">
        <f t="shared" si="17"/>
        <v>0.05699383084</v>
      </c>
      <c r="K108" s="240">
        <f t="shared" si="17"/>
        <v>0.03136572573</v>
      </c>
      <c r="L108" s="240">
        <f t="shared" si="17"/>
        <v>0.1068544698</v>
      </c>
      <c r="M108" s="240">
        <f t="shared" si="17"/>
        <v>0.04641365161</v>
      </c>
      <c r="N108" s="240">
        <f t="shared" si="17"/>
        <v>0.03015753499</v>
      </c>
      <c r="O108" s="240">
        <f t="shared" si="17"/>
        <v>0.01951267146</v>
      </c>
      <c r="P108" s="240">
        <f t="shared" si="17"/>
        <v>0.01213130195</v>
      </c>
      <c r="Q108" s="240">
        <f t="shared" si="17"/>
        <v>0.01645932157</v>
      </c>
      <c r="R108" s="240">
        <f t="shared" si="17"/>
        <v>0.334363575</v>
      </c>
      <c r="S108" s="240">
        <f t="shared" si="17"/>
        <v>0.1489188579</v>
      </c>
      <c r="T108" s="240">
        <f t="shared" si="17"/>
        <v>0.3396622115</v>
      </c>
      <c r="U108" s="240">
        <f t="shared" si="17"/>
        <v>0.2742883601</v>
      </c>
      <c r="V108" s="240">
        <f t="shared" si="17"/>
        <v>0.1984983815</v>
      </c>
      <c r="W108" s="240">
        <f t="shared" si="17"/>
        <v>0.1634782236</v>
      </c>
      <c r="X108" s="240">
        <f t="shared" si="17"/>
        <v>0.07701195488</v>
      </c>
      <c r="Y108" s="240">
        <f t="shared" si="17"/>
        <v>0.4434114562</v>
      </c>
      <c r="Z108" s="240">
        <f t="shared" si="17"/>
        <v>0.2372058626</v>
      </c>
      <c r="AA108" s="240">
        <f t="shared" si="17"/>
        <v>0.8481916228</v>
      </c>
      <c r="AB108" s="240">
        <f t="shared" si="17"/>
        <v>0.3758780477</v>
      </c>
      <c r="AC108" s="240">
        <f t="shared" si="17"/>
        <v>0.5834259958</v>
      </c>
      <c r="AD108" s="240">
        <f t="shared" si="17"/>
        <v>0.7648083268</v>
      </c>
      <c r="AE108" s="240">
        <f t="shared" si="17"/>
        <v>0.4420948545</v>
      </c>
      <c r="AF108" s="240">
        <f t="shared" si="17"/>
        <v>0.5979065155</v>
      </c>
      <c r="AG108" s="240">
        <f t="shared" si="17"/>
        <v>0.2553746176</v>
      </c>
      <c r="AH108" s="240">
        <f t="shared" si="17"/>
        <v>0.2066155705</v>
      </c>
      <c r="AI108" s="240">
        <f t="shared" si="17"/>
        <v>0.6143482558</v>
      </c>
      <c r="AJ108" s="240">
        <f t="shared" si="17"/>
        <v>0.1417524142</v>
      </c>
      <c r="AK108" s="240">
        <f t="shared" si="17"/>
        <v>0.07120146571</v>
      </c>
      <c r="AL108" s="240">
        <f t="shared" si="17"/>
        <v>0.1643304697</v>
      </c>
      <c r="AM108" s="240">
        <f t="shared" si="17"/>
        <v>0.1961919171</v>
      </c>
      <c r="AN108" s="240">
        <f t="shared" si="17"/>
        <v>0.5578536018</v>
      </c>
      <c r="AO108" s="240">
        <f t="shared" si="17"/>
        <v>0.2677246636</v>
      </c>
      <c r="AP108" s="240">
        <f t="shared" si="17"/>
        <v>0.2216966591</v>
      </c>
      <c r="AQ108" s="240">
        <f t="shared" si="17"/>
        <v>0.3839503182</v>
      </c>
      <c r="AR108" s="240">
        <f t="shared" si="17"/>
        <v>0.07989003468</v>
      </c>
      <c r="AS108" s="240">
        <f t="shared" si="17"/>
        <v>0.09160554777</v>
      </c>
      <c r="AT108" s="716"/>
    </row>
    <row r="109" hidden="1">
      <c r="A109" s="80"/>
      <c r="B109" s="81"/>
      <c r="C109" s="143"/>
      <c r="D109" s="81"/>
      <c r="E109" s="748"/>
      <c r="F109" s="137"/>
      <c r="G109" s="137"/>
      <c r="H109" s="85"/>
      <c r="I109" s="111"/>
      <c r="J109" s="111"/>
      <c r="K109" s="111"/>
      <c r="L109" s="111"/>
      <c r="M109" s="111"/>
      <c r="N109" s="111"/>
      <c r="O109" s="111"/>
      <c r="P109" s="111"/>
      <c r="Q109" s="111"/>
      <c r="R109" s="86"/>
      <c r="S109" s="111"/>
      <c r="T109" s="111"/>
      <c r="U109" s="111"/>
      <c r="V109" s="111"/>
      <c r="W109" s="111"/>
      <c r="X109" s="111"/>
      <c r="Y109" s="111"/>
      <c r="Z109" s="111"/>
      <c r="AA109" s="111"/>
      <c r="AB109" s="111"/>
      <c r="AC109" s="111"/>
      <c r="AD109" s="111"/>
      <c r="AE109" s="111"/>
      <c r="AF109" s="111"/>
      <c r="AG109" s="111"/>
      <c r="AH109" s="111"/>
      <c r="AI109" s="111"/>
      <c r="AJ109" s="111"/>
      <c r="AK109" s="111"/>
      <c r="AL109" s="111"/>
      <c r="AM109" s="111"/>
      <c r="AN109" s="111"/>
      <c r="AO109" s="111"/>
      <c r="AP109" s="111"/>
      <c r="AQ109" s="111"/>
      <c r="AR109" s="111"/>
      <c r="AS109" s="111"/>
      <c r="AT109" s="710"/>
    </row>
    <row r="110" hidden="1">
      <c r="A110" s="80"/>
      <c r="B110" s="81"/>
      <c r="C110" s="143" t="s">
        <v>969</v>
      </c>
      <c r="F110" s="137"/>
      <c r="G110" s="137"/>
      <c r="H110" s="85"/>
      <c r="I110" s="709"/>
      <c r="J110" s="709"/>
      <c r="K110" s="709"/>
      <c r="L110" s="709"/>
      <c r="M110" s="709"/>
      <c r="N110" s="709"/>
      <c r="O110" s="709"/>
      <c r="P110" s="709"/>
      <c r="Q110" s="709"/>
      <c r="R110" s="709"/>
      <c r="S110" s="709"/>
      <c r="T110" s="709"/>
      <c r="U110" s="709"/>
      <c r="V110" s="709"/>
      <c r="W110" s="709"/>
      <c r="X110" s="709"/>
      <c r="Y110" s="709"/>
      <c r="Z110" s="709"/>
      <c r="AA110" s="709"/>
      <c r="AB110" s="709"/>
      <c r="AC110" s="709"/>
      <c r="AD110" s="709"/>
      <c r="AE110" s="709"/>
      <c r="AF110" s="709"/>
      <c r="AG110" s="709"/>
      <c r="AH110" s="709"/>
      <c r="AI110" s="709"/>
      <c r="AJ110" s="709"/>
      <c r="AK110" s="709"/>
      <c r="AL110" s="709"/>
      <c r="AM110" s="709"/>
      <c r="AN110" s="709"/>
      <c r="AO110" s="709"/>
      <c r="AP110" s="709"/>
      <c r="AQ110" s="709"/>
      <c r="AR110" s="709"/>
      <c r="AS110" s="709"/>
      <c r="AT110" s="710"/>
    </row>
    <row r="111" hidden="1">
      <c r="A111" s="80"/>
      <c r="B111" s="81"/>
      <c r="C111" s="143"/>
      <c r="D111" s="81"/>
      <c r="E111" s="750" t="s">
        <v>971</v>
      </c>
      <c r="F111" s="353" t="s">
        <v>122</v>
      </c>
      <c r="G111" s="353" t="s">
        <v>203</v>
      </c>
      <c r="H111" s="191">
        <v>0.32800000000000007</v>
      </c>
      <c r="I111" s="119" t="s">
        <v>150</v>
      </c>
      <c r="J111" s="119" t="s">
        <v>150</v>
      </c>
      <c r="K111" s="119" t="s">
        <v>150</v>
      </c>
      <c r="L111" s="119" t="s">
        <v>150</v>
      </c>
      <c r="M111" s="119" t="s">
        <v>150</v>
      </c>
      <c r="N111" s="119" t="s">
        <v>150</v>
      </c>
      <c r="O111" s="119" t="s">
        <v>150</v>
      </c>
      <c r="P111" s="119" t="s">
        <v>150</v>
      </c>
      <c r="Q111" s="119" t="s">
        <v>150</v>
      </c>
      <c r="R111" s="119" t="s">
        <v>150</v>
      </c>
      <c r="S111" s="119" t="s">
        <v>150</v>
      </c>
      <c r="T111" s="119" t="s">
        <v>150</v>
      </c>
      <c r="U111" s="119" t="s">
        <v>150</v>
      </c>
      <c r="V111" s="119" t="s">
        <v>150</v>
      </c>
      <c r="W111" s="119" t="s">
        <v>150</v>
      </c>
      <c r="X111" s="119" t="s">
        <v>150</v>
      </c>
      <c r="Y111" s="119" t="s">
        <v>150</v>
      </c>
      <c r="Z111" s="119" t="s">
        <v>150</v>
      </c>
      <c r="AA111" s="119" t="s">
        <v>150</v>
      </c>
      <c r="AB111" s="119" t="s">
        <v>150</v>
      </c>
      <c r="AC111" s="119" t="s">
        <v>150</v>
      </c>
      <c r="AD111" s="119" t="s">
        <v>150</v>
      </c>
      <c r="AE111" s="119" t="s">
        <v>150</v>
      </c>
      <c r="AF111" s="119" t="s">
        <v>150</v>
      </c>
      <c r="AG111" s="119" t="s">
        <v>150</v>
      </c>
      <c r="AH111" s="119" t="s">
        <v>150</v>
      </c>
      <c r="AI111" s="119" t="s">
        <v>150</v>
      </c>
      <c r="AJ111" s="119" t="s">
        <v>150</v>
      </c>
      <c r="AK111" s="119" t="s">
        <v>150</v>
      </c>
      <c r="AL111" s="119" t="s">
        <v>150</v>
      </c>
      <c r="AM111" s="119" t="s">
        <v>150</v>
      </c>
      <c r="AN111" s="119" t="s">
        <v>150</v>
      </c>
      <c r="AO111" s="119" t="s">
        <v>150</v>
      </c>
      <c r="AP111" s="119" t="s">
        <v>150</v>
      </c>
      <c r="AQ111" s="119" t="s">
        <v>150</v>
      </c>
      <c r="AR111" s="119" t="s">
        <v>150</v>
      </c>
      <c r="AS111" s="119" t="s">
        <v>150</v>
      </c>
      <c r="AT111" s="714"/>
    </row>
    <row r="112" hidden="1">
      <c r="A112" s="80"/>
      <c r="B112" s="81"/>
      <c r="C112" s="143"/>
      <c r="D112" s="81"/>
      <c r="E112" s="363" t="s">
        <v>972</v>
      </c>
      <c r="F112" s="358" t="s">
        <v>122</v>
      </c>
      <c r="G112" s="358" t="s">
        <v>203</v>
      </c>
      <c r="H112" s="217">
        <v>-0.07</v>
      </c>
      <c r="I112" s="149" t="s">
        <v>150</v>
      </c>
      <c r="J112" s="149" t="s">
        <v>150</v>
      </c>
      <c r="K112" s="149" t="s">
        <v>150</v>
      </c>
      <c r="L112" s="149" t="s">
        <v>150</v>
      </c>
      <c r="M112" s="149" t="s">
        <v>150</v>
      </c>
      <c r="N112" s="149" t="s">
        <v>150</v>
      </c>
      <c r="O112" s="149" t="s">
        <v>150</v>
      </c>
      <c r="P112" s="149" t="s">
        <v>150</v>
      </c>
      <c r="Q112" s="149" t="s">
        <v>150</v>
      </c>
      <c r="R112" s="149" t="s">
        <v>150</v>
      </c>
      <c r="S112" s="149" t="s">
        <v>150</v>
      </c>
      <c r="T112" s="149" t="s">
        <v>150</v>
      </c>
      <c r="U112" s="149" t="s">
        <v>150</v>
      </c>
      <c r="V112" s="149" t="s">
        <v>150</v>
      </c>
      <c r="W112" s="149" t="s">
        <v>150</v>
      </c>
      <c r="X112" s="149" t="s">
        <v>150</v>
      </c>
      <c r="Y112" s="149" t="s">
        <v>150</v>
      </c>
      <c r="Z112" s="149" t="s">
        <v>150</v>
      </c>
      <c r="AA112" s="149" t="s">
        <v>150</v>
      </c>
      <c r="AB112" s="149" t="s">
        <v>150</v>
      </c>
      <c r="AC112" s="149" t="s">
        <v>150</v>
      </c>
      <c r="AD112" s="149" t="s">
        <v>150</v>
      </c>
      <c r="AE112" s="149" t="s">
        <v>150</v>
      </c>
      <c r="AF112" s="149" t="s">
        <v>150</v>
      </c>
      <c r="AG112" s="149" t="s">
        <v>150</v>
      </c>
      <c r="AH112" s="149" t="s">
        <v>150</v>
      </c>
      <c r="AI112" s="149" t="s">
        <v>150</v>
      </c>
      <c r="AJ112" s="149" t="s">
        <v>150</v>
      </c>
      <c r="AK112" s="149" t="s">
        <v>150</v>
      </c>
      <c r="AL112" s="149" t="s">
        <v>150</v>
      </c>
      <c r="AM112" s="149" t="s">
        <v>150</v>
      </c>
      <c r="AN112" s="149" t="s">
        <v>150</v>
      </c>
      <c r="AO112" s="149" t="s">
        <v>150</v>
      </c>
      <c r="AP112" s="149" t="s">
        <v>150</v>
      </c>
      <c r="AQ112" s="149" t="s">
        <v>150</v>
      </c>
      <c r="AR112" s="149" t="s">
        <v>150</v>
      </c>
      <c r="AS112" s="149" t="s">
        <v>150</v>
      </c>
      <c r="AT112" s="715"/>
    </row>
    <row r="113" hidden="1">
      <c r="A113" s="80"/>
      <c r="B113" s="81"/>
      <c r="C113" s="143"/>
      <c r="D113" s="81"/>
      <c r="E113" s="363" t="s">
        <v>974</v>
      </c>
      <c r="F113" s="358" t="s">
        <v>122</v>
      </c>
      <c r="G113" s="358" t="s">
        <v>203</v>
      </c>
      <c r="H113" s="217" t="s">
        <v>150</v>
      </c>
      <c r="I113" s="149">
        <v>-0.043892229386357305</v>
      </c>
      <c r="J113" s="149">
        <v>-0.058715606744654196</v>
      </c>
      <c r="K113" s="149">
        <v>-0.041432202332263524</v>
      </c>
      <c r="L113" s="149">
        <v>-0.08453609522060564</v>
      </c>
      <c r="M113" s="149">
        <v>-0.0650939612232738</v>
      </c>
      <c r="N113" s="149">
        <v>-0.05653573269022075</v>
      </c>
      <c r="O113" s="149">
        <v>-0.051291015326916926</v>
      </c>
      <c r="P113" s="149">
        <v>-0.03944465594384281</v>
      </c>
      <c r="Q113" s="149">
        <v>-0.03420496148211561</v>
      </c>
      <c r="R113" s="149">
        <v>-0.10426639110087103</v>
      </c>
      <c r="S113" s="149">
        <v>-0.058914365639625016</v>
      </c>
      <c r="T113" s="149">
        <v>-0.138582142527922</v>
      </c>
      <c r="U113" s="149">
        <v>-0.13970525829242758</v>
      </c>
      <c r="V113" s="149">
        <v>-0.11803596550865765</v>
      </c>
      <c r="W113" s="149">
        <v>-0.09698169504599663</v>
      </c>
      <c r="X113" s="149">
        <v>-0.1213887277062576</v>
      </c>
      <c r="Y113" s="149">
        <v>-0.08916235678684073</v>
      </c>
      <c r="Z113" s="149">
        <v>-0.13032066895307742</v>
      </c>
      <c r="AA113" s="149">
        <v>-0.017943268197658988</v>
      </c>
      <c r="AB113" s="149">
        <v>-0.09823154146852325</v>
      </c>
      <c r="AC113" s="149">
        <v>-0.08071465435128455</v>
      </c>
      <c r="AD113" s="149">
        <v>-0.05763144301601063</v>
      </c>
      <c r="AE113" s="149">
        <v>-0.10224418806654742</v>
      </c>
      <c r="AF113" s="149">
        <v>-0.10226648736143149</v>
      </c>
      <c r="AG113" s="149">
        <v>-0.12991493061591033</v>
      </c>
      <c r="AH113" s="149">
        <v>-0.20274600200587276</v>
      </c>
      <c r="AI113" s="149">
        <v>-0.12794233318454262</v>
      </c>
      <c r="AJ113" s="149">
        <v>-0.11966755634076931</v>
      </c>
      <c r="AK113" s="149">
        <v>-0.09297972512808941</v>
      </c>
      <c r="AL113" s="149">
        <v>-0.1789692177615476</v>
      </c>
      <c r="AM113" s="149">
        <v>-0.15463808733020906</v>
      </c>
      <c r="AN113" s="149">
        <v>-0.15881868826448448</v>
      </c>
      <c r="AO113" s="149">
        <v>-0.2148037363360291</v>
      </c>
      <c r="AP113" s="149">
        <v>-0.1267051569934349</v>
      </c>
      <c r="AQ113" s="149">
        <v>-0.10791216897226288</v>
      </c>
      <c r="AR113" s="149">
        <v>-0.06346006704020746</v>
      </c>
      <c r="AS113" s="149">
        <v>-0.06556101841245934</v>
      </c>
      <c r="AT113" s="715"/>
    </row>
    <row r="114" hidden="1">
      <c r="A114" s="80"/>
      <c r="B114" s="81"/>
      <c r="C114" s="143"/>
      <c r="D114" s="81"/>
      <c r="E114" s="752" t="s">
        <v>975</v>
      </c>
      <c r="F114" s="753" t="s">
        <v>122</v>
      </c>
      <c r="G114" s="753" t="s">
        <v>203</v>
      </c>
      <c r="H114" s="315" t="s">
        <v>150</v>
      </c>
      <c r="I114" s="240">
        <v>-0.09454246312242884</v>
      </c>
      <c r="J114" s="240">
        <v>-0.0880913385475812</v>
      </c>
      <c r="K114" s="240">
        <v>-0.09344624140198675</v>
      </c>
      <c r="L114" s="240">
        <v>-0.07767313256760264</v>
      </c>
      <c r="M114" s="240">
        <v>-0.09030202996298335</v>
      </c>
      <c r="N114" s="240">
        <v>-0.09369868862704286</v>
      </c>
      <c r="O114" s="240">
        <v>-0.0959228956002755</v>
      </c>
      <c r="P114" s="240">
        <v>-0.09746520692287863</v>
      </c>
      <c r="Q114" s="240">
        <v>-0.09656088237130708</v>
      </c>
      <c r="R114" s="240">
        <v>-0.030135901418772214</v>
      </c>
      <c r="S114" s="240">
        <v>-0.06888392591271184</v>
      </c>
      <c r="T114" s="240">
        <v>-0.029028769868152383</v>
      </c>
      <c r="U114" s="240">
        <v>-0.04268840727388064</v>
      </c>
      <c r="V114" s="240">
        <v>-0.058524458009702365</v>
      </c>
      <c r="W114" s="240">
        <v>-0.06584179741767648</v>
      </c>
      <c r="X114" s="240">
        <v>-0.0839086216018703</v>
      </c>
      <c r="Y114" s="240">
        <v>-0.007350728344824409</v>
      </c>
      <c r="Z114" s="240">
        <v>-0.05043666532960256</v>
      </c>
      <c r="AA114" s="240">
        <v>0.07722667055926685</v>
      </c>
      <c r="AB114" s="240">
        <v>-0.02146159766889688</v>
      </c>
      <c r="AC114" s="240">
        <v>0.021904819593365137</v>
      </c>
      <c r="AD114" s="240">
        <v>0.059804022741556856</v>
      </c>
      <c r="AE114" s="240">
        <v>-0.007625827665530594</v>
      </c>
      <c r="AF114" s="240">
        <v>0.02493047350148164</v>
      </c>
      <c r="AG114" s="240">
        <v>-0.046640367560988744</v>
      </c>
      <c r="AH114" s="240">
        <v>-0.056828399786174856</v>
      </c>
      <c r="AI114" s="240">
        <v>0.028365917572619487</v>
      </c>
      <c r="AJ114" s="240">
        <v>-0.07038132923642888</v>
      </c>
      <c r="AK114" s="240">
        <v>-0.08512270297492448</v>
      </c>
      <c r="AL114" s="240">
        <v>-0.06566372358740642</v>
      </c>
      <c r="AM114" s="240">
        <v>-0.05900638568361218</v>
      </c>
      <c r="AN114" s="240">
        <v>0.016561557376702295</v>
      </c>
      <c r="AO114" s="240">
        <v>-0.04405986868043163</v>
      </c>
      <c r="AP114" s="240">
        <v>-0.05367725911126606</v>
      </c>
      <c r="AQ114" s="240">
        <v>-0.019774924992630803</v>
      </c>
      <c r="AR114" s="240">
        <v>-0.08330725690062311</v>
      </c>
      <c r="AS114" s="240">
        <v>-0.08085934145080703</v>
      </c>
      <c r="AT114" s="716"/>
    </row>
    <row r="115" hidden="1">
      <c r="A115" s="80"/>
      <c r="B115" s="81"/>
      <c r="C115" s="143"/>
      <c r="D115" s="81"/>
      <c r="E115" s="748"/>
      <c r="F115" s="137"/>
      <c r="G115" s="137"/>
      <c r="H115" s="85"/>
      <c r="I115" s="709"/>
      <c r="J115" s="709"/>
      <c r="K115" s="709"/>
      <c r="L115" s="709"/>
      <c r="M115" s="709"/>
      <c r="N115" s="709"/>
      <c r="O115" s="709"/>
      <c r="P115" s="709"/>
      <c r="Q115" s="709"/>
      <c r="R115" s="709"/>
      <c r="S115" s="709"/>
      <c r="T115" s="709"/>
      <c r="U115" s="709"/>
      <c r="V115" s="709"/>
      <c r="W115" s="709"/>
      <c r="X115" s="709"/>
      <c r="Y115" s="709"/>
      <c r="Z115" s="709"/>
      <c r="AA115" s="709"/>
      <c r="AB115" s="709"/>
      <c r="AC115" s="709"/>
      <c r="AD115" s="709"/>
      <c r="AE115" s="709"/>
      <c r="AF115" s="709"/>
      <c r="AG115" s="709"/>
      <c r="AH115" s="709"/>
      <c r="AI115" s="709"/>
      <c r="AJ115" s="709"/>
      <c r="AK115" s="709"/>
      <c r="AL115" s="709"/>
      <c r="AM115" s="709"/>
      <c r="AN115" s="709"/>
      <c r="AO115" s="709"/>
      <c r="AP115" s="709"/>
      <c r="AQ115" s="709"/>
      <c r="AR115" s="709"/>
      <c r="AS115" s="709"/>
      <c r="AT115" s="710"/>
    </row>
    <row r="116" hidden="1">
      <c r="A116" s="80"/>
      <c r="B116" s="81"/>
      <c r="C116" s="143" t="s">
        <v>978</v>
      </c>
      <c r="F116" s="761"/>
      <c r="G116" s="761"/>
      <c r="H116" s="728"/>
      <c r="I116" s="729"/>
      <c r="J116" s="729"/>
      <c r="K116" s="729"/>
      <c r="L116" s="729"/>
      <c r="M116" s="729"/>
      <c r="N116" s="729"/>
      <c r="O116" s="729"/>
      <c r="P116" s="729"/>
      <c r="Q116" s="729"/>
      <c r="R116" s="729"/>
      <c r="S116" s="729"/>
      <c r="T116" s="729"/>
      <c r="U116" s="729"/>
      <c r="V116" s="729"/>
      <c r="W116" s="729"/>
      <c r="X116" s="729"/>
      <c r="Y116" s="729"/>
      <c r="Z116" s="729"/>
      <c r="AA116" s="729"/>
      <c r="AB116" s="729"/>
      <c r="AC116" s="729"/>
      <c r="AD116" s="729"/>
      <c r="AE116" s="729"/>
      <c r="AF116" s="729"/>
      <c r="AG116" s="729"/>
      <c r="AH116" s="729"/>
      <c r="AI116" s="729"/>
      <c r="AJ116" s="729"/>
      <c r="AK116" s="729"/>
      <c r="AL116" s="729"/>
      <c r="AM116" s="729"/>
      <c r="AN116" s="729"/>
      <c r="AO116" s="729"/>
      <c r="AP116" s="729"/>
      <c r="AQ116" s="729"/>
      <c r="AR116" s="729"/>
      <c r="AS116" s="729"/>
      <c r="AT116" s="710"/>
    </row>
    <row r="117" hidden="1">
      <c r="A117" s="80"/>
      <c r="B117" s="81"/>
      <c r="C117" s="143"/>
      <c r="D117" s="81"/>
      <c r="E117" s="762" t="s">
        <v>979</v>
      </c>
      <c r="F117" s="763" t="s">
        <v>129</v>
      </c>
      <c r="G117" s="763" t="s">
        <v>149</v>
      </c>
      <c r="H117" s="764" t="s">
        <v>150</v>
      </c>
      <c r="I117" s="765">
        <f t="shared" ref="I117:AS117" si="18">I97/I105*IFERROR((1+$H111),(1+I111))*IFERROR((1+$H112),(1+I112))*(1+SUM(I113:I114))</f>
        <v>23.79888889</v>
      </c>
      <c r="J117" s="765">
        <f t="shared" si="18"/>
        <v>10.80064073</v>
      </c>
      <c r="K117" s="765">
        <f t="shared" si="18"/>
        <v>19.89994382</v>
      </c>
      <c r="L117" s="765">
        <f t="shared" si="18"/>
        <v>5.656827509</v>
      </c>
      <c r="M117" s="765">
        <f t="shared" si="18"/>
        <v>13.12917563</v>
      </c>
      <c r="N117" s="765">
        <f t="shared" si="18"/>
        <v>20.32981152</v>
      </c>
      <c r="O117" s="765">
        <f t="shared" si="18"/>
        <v>31.53213901</v>
      </c>
      <c r="P117" s="765">
        <f t="shared" si="18"/>
        <v>51.33089054</v>
      </c>
      <c r="Q117" s="765">
        <f t="shared" si="18"/>
        <v>38.10262623</v>
      </c>
      <c r="R117" s="765">
        <f t="shared" si="18"/>
        <v>1.867786341</v>
      </c>
      <c r="S117" s="765">
        <f t="shared" si="18"/>
        <v>4.225686691</v>
      </c>
      <c r="T117" s="765">
        <f t="shared" si="18"/>
        <v>1.768109683</v>
      </c>
      <c r="U117" s="765">
        <f t="shared" si="18"/>
        <v>2.150636078</v>
      </c>
      <c r="V117" s="765">
        <f t="shared" si="18"/>
        <v>2.992986954</v>
      </c>
      <c r="W117" s="765">
        <f t="shared" si="18"/>
        <v>3.694768058</v>
      </c>
      <c r="X117" s="765">
        <f t="shared" si="18"/>
        <v>7.445203475</v>
      </c>
      <c r="Y117" s="765">
        <f t="shared" si="18"/>
        <v>1.470093695</v>
      </c>
      <c r="Z117" s="765">
        <f t="shared" si="18"/>
        <v>2.491823062</v>
      </c>
      <c r="AA117" s="765">
        <f t="shared" si="18"/>
        <v>0.9010486621</v>
      </c>
      <c r="AB117" s="765">
        <f t="shared" si="18"/>
        <v>1.689729482</v>
      </c>
      <c r="AC117" s="765">
        <f t="shared" si="18"/>
        <v>1.163916063</v>
      </c>
      <c r="AD117" s="765">
        <f t="shared" si="18"/>
        <v>0.9454095081</v>
      </c>
      <c r="AE117" s="765">
        <f t="shared" si="18"/>
        <v>1.452673546</v>
      </c>
      <c r="AF117" s="765">
        <f t="shared" si="18"/>
        <v>1.113372117</v>
      </c>
      <c r="AG117" s="765">
        <f t="shared" si="18"/>
        <v>2.326412741</v>
      </c>
      <c r="AH117" s="765">
        <f t="shared" si="18"/>
        <v>2.58552318</v>
      </c>
      <c r="AI117" s="765">
        <f t="shared" si="18"/>
        <v>1.057455961</v>
      </c>
      <c r="AJ117" s="765">
        <f t="shared" si="18"/>
        <v>4.122478511</v>
      </c>
      <c r="AK117" s="765">
        <f t="shared" si="18"/>
        <v>8.328347179</v>
      </c>
      <c r="AL117" s="765">
        <f t="shared" si="18"/>
        <v>3.316423642</v>
      </c>
      <c r="AM117" s="765">
        <f t="shared" si="18"/>
        <v>2.891797582</v>
      </c>
      <c r="AN117" s="765">
        <f t="shared" si="18"/>
        <v>1.109345771</v>
      </c>
      <c r="AO117" s="765">
        <f t="shared" si="18"/>
        <v>1.997283971</v>
      </c>
      <c r="AP117" s="765">
        <f t="shared" si="18"/>
        <v>2.667363328</v>
      </c>
      <c r="AQ117" s="765">
        <f t="shared" si="18"/>
        <v>1.639182556</v>
      </c>
      <c r="AR117" s="765">
        <f t="shared" si="18"/>
        <v>7.705572783</v>
      </c>
      <c r="AS117" s="765">
        <f t="shared" si="18"/>
        <v>6.722833091</v>
      </c>
      <c r="AT117" s="711"/>
    </row>
    <row r="118" hidden="1">
      <c r="A118" s="80"/>
      <c r="B118" s="81"/>
      <c r="C118" s="126"/>
      <c r="D118" s="81"/>
      <c r="E118" s="624"/>
      <c r="F118" s="326"/>
      <c r="G118" s="326"/>
      <c r="H118" s="728"/>
      <c r="I118" s="729"/>
      <c r="J118" s="729"/>
      <c r="K118" s="729"/>
      <c r="L118" s="729"/>
      <c r="M118" s="729"/>
      <c r="N118" s="729"/>
      <c r="O118" s="729"/>
      <c r="P118" s="729"/>
      <c r="Q118" s="729"/>
      <c r="R118" s="729"/>
      <c r="S118" s="729"/>
      <c r="T118" s="729"/>
      <c r="U118" s="729"/>
      <c r="V118" s="729"/>
      <c r="W118" s="729"/>
      <c r="X118" s="729"/>
      <c r="Y118" s="729"/>
      <c r="Z118" s="729"/>
      <c r="AA118" s="729"/>
      <c r="AB118" s="729"/>
      <c r="AC118" s="729"/>
      <c r="AD118" s="729"/>
      <c r="AE118" s="729"/>
      <c r="AF118" s="729"/>
      <c r="AG118" s="729"/>
      <c r="AH118" s="729"/>
      <c r="AI118" s="729"/>
      <c r="AJ118" s="729"/>
      <c r="AK118" s="729"/>
      <c r="AL118" s="729"/>
      <c r="AM118" s="729"/>
      <c r="AN118" s="729"/>
      <c r="AO118" s="729"/>
      <c r="AP118" s="729"/>
      <c r="AQ118" s="729"/>
      <c r="AR118" s="729"/>
      <c r="AS118" s="729"/>
      <c r="AT118" s="710"/>
    </row>
    <row r="119" hidden="1">
      <c r="A119" s="740" t="s">
        <v>1017</v>
      </c>
      <c r="B119" s="14"/>
      <c r="C119" s="14"/>
      <c r="D119" s="14"/>
      <c r="E119" s="14"/>
      <c r="F119" s="14"/>
      <c r="G119" s="482"/>
      <c r="H119" s="73"/>
      <c r="I119" s="707"/>
      <c r="J119" s="707"/>
      <c r="K119" s="707"/>
      <c r="L119" s="707"/>
      <c r="M119" s="707"/>
      <c r="N119" s="707"/>
      <c r="O119" s="707"/>
      <c r="P119" s="707"/>
      <c r="Q119" s="707"/>
      <c r="R119" s="707"/>
      <c r="S119" s="707"/>
      <c r="T119" s="707"/>
      <c r="U119" s="707"/>
      <c r="V119" s="707"/>
      <c r="W119" s="707"/>
      <c r="X119" s="707"/>
      <c r="Y119" s="707"/>
      <c r="Z119" s="707"/>
      <c r="AA119" s="707"/>
      <c r="AB119" s="707"/>
      <c r="AC119" s="707"/>
      <c r="AD119" s="707"/>
      <c r="AE119" s="707"/>
      <c r="AF119" s="707"/>
      <c r="AG119" s="707"/>
      <c r="AH119" s="707"/>
      <c r="AI119" s="707"/>
      <c r="AJ119" s="707"/>
      <c r="AK119" s="707"/>
      <c r="AL119" s="707"/>
      <c r="AM119" s="707"/>
      <c r="AN119" s="707"/>
      <c r="AO119" s="707"/>
      <c r="AP119" s="707"/>
      <c r="AQ119" s="707"/>
      <c r="AR119" s="707"/>
      <c r="AS119" s="707"/>
      <c r="AT119" s="708"/>
    </row>
    <row r="120" hidden="1">
      <c r="A120" s="80"/>
      <c r="B120" s="81"/>
      <c r="C120" s="126"/>
      <c r="D120" s="81"/>
      <c r="E120" s="624"/>
      <c r="F120" s="326"/>
      <c r="G120" s="326"/>
      <c r="H120" s="728"/>
      <c r="I120" s="729"/>
      <c r="J120" s="729"/>
      <c r="K120" s="729"/>
      <c r="L120" s="729"/>
      <c r="M120" s="729"/>
      <c r="N120" s="729"/>
      <c r="O120" s="729"/>
      <c r="P120" s="729"/>
      <c r="Q120" s="729"/>
      <c r="R120" s="729"/>
      <c r="S120" s="729"/>
      <c r="T120" s="729"/>
      <c r="U120" s="729"/>
      <c r="V120" s="729"/>
      <c r="W120" s="729"/>
      <c r="X120" s="729"/>
      <c r="Y120" s="729"/>
      <c r="Z120" s="729"/>
      <c r="AA120" s="729"/>
      <c r="AB120" s="729"/>
      <c r="AC120" s="729"/>
      <c r="AD120" s="729"/>
      <c r="AE120" s="729"/>
      <c r="AF120" s="729"/>
      <c r="AG120" s="729"/>
      <c r="AH120" s="729"/>
      <c r="AI120" s="729"/>
      <c r="AJ120" s="729"/>
      <c r="AK120" s="729"/>
      <c r="AL120" s="729"/>
      <c r="AM120" s="729"/>
      <c r="AN120" s="729"/>
      <c r="AO120" s="729"/>
      <c r="AP120" s="729"/>
      <c r="AQ120" s="729"/>
      <c r="AR120" s="729"/>
      <c r="AS120" s="729"/>
      <c r="AT120" s="710"/>
    </row>
    <row r="121" hidden="1">
      <c r="A121" s="80"/>
      <c r="B121" s="81"/>
      <c r="C121" s="126" t="s">
        <v>932</v>
      </c>
      <c r="F121" s="326"/>
      <c r="G121" s="326"/>
      <c r="H121" s="728"/>
      <c r="I121" s="729"/>
      <c r="J121" s="729"/>
      <c r="K121" s="729"/>
      <c r="L121" s="729"/>
      <c r="M121" s="729"/>
      <c r="N121" s="729"/>
      <c r="O121" s="729"/>
      <c r="P121" s="729"/>
      <c r="Q121" s="729"/>
      <c r="R121" s="729"/>
      <c r="S121" s="729"/>
      <c r="T121" s="729"/>
      <c r="U121" s="729"/>
      <c r="V121" s="729"/>
      <c r="W121" s="729"/>
      <c r="X121" s="729"/>
      <c r="Y121" s="729"/>
      <c r="Z121" s="729"/>
      <c r="AA121" s="729"/>
      <c r="AB121" s="729"/>
      <c r="AC121" s="729"/>
      <c r="AD121" s="729"/>
      <c r="AE121" s="729"/>
      <c r="AF121" s="729"/>
      <c r="AG121" s="729"/>
      <c r="AH121" s="729"/>
      <c r="AI121" s="729"/>
      <c r="AJ121" s="729"/>
      <c r="AK121" s="729"/>
      <c r="AL121" s="729"/>
      <c r="AM121" s="729"/>
      <c r="AN121" s="729"/>
      <c r="AO121" s="729"/>
      <c r="AP121" s="729"/>
      <c r="AQ121" s="729"/>
      <c r="AR121" s="729"/>
      <c r="AS121" s="729"/>
      <c r="AT121" s="710"/>
    </row>
    <row r="122" hidden="1">
      <c r="A122" s="80"/>
      <c r="B122" s="81"/>
      <c r="C122" s="126"/>
      <c r="D122" s="81"/>
      <c r="E122" s="548" t="s">
        <v>933</v>
      </c>
      <c r="F122" s="189" t="s">
        <v>118</v>
      </c>
      <c r="G122" s="189" t="s">
        <v>203</v>
      </c>
      <c r="H122" s="757" t="s">
        <v>150</v>
      </c>
      <c r="I122" s="766">
        <v>30.685494037227112</v>
      </c>
      <c r="J122" s="766">
        <v>13.925986130797096</v>
      </c>
      <c r="K122" s="766">
        <v>25.65832423464946</v>
      </c>
      <c r="L122" s="766">
        <v>7.293724829779995</v>
      </c>
      <c r="M122" s="766">
        <v>16.928321414472958</v>
      </c>
      <c r="N122" s="766">
        <v>26.21258131355915</v>
      </c>
      <c r="O122" s="766">
        <v>40.656488970945205</v>
      </c>
      <c r="P122" s="766">
        <v>66.18433922765256</v>
      </c>
      <c r="Q122" s="766">
        <v>49.128256168114284</v>
      </c>
      <c r="R122" s="766" t="e">
        <v>#VALUE!</v>
      </c>
      <c r="S122" s="766">
        <v>5.448459562651639</v>
      </c>
      <c r="T122" s="766" t="e">
        <v>#VALUE!</v>
      </c>
      <c r="U122" s="766" t="e">
        <v>#VALUE!</v>
      </c>
      <c r="V122" s="766" t="e">
        <v>#VALUE!</v>
      </c>
      <c r="W122" s="766" t="e">
        <v>#VALUE!</v>
      </c>
      <c r="X122" s="766" t="e">
        <v>#VALUE!</v>
      </c>
      <c r="Y122" s="766" t="e">
        <v>#VALUE!</v>
      </c>
      <c r="Z122" s="766" t="e">
        <v>#VALUE!</v>
      </c>
      <c r="AA122" s="766" t="e">
        <v>#VALUE!</v>
      </c>
      <c r="AB122" s="766" t="e">
        <v>#VALUE!</v>
      </c>
      <c r="AC122" s="766" t="e">
        <v>#VALUE!</v>
      </c>
      <c r="AD122" s="766" t="e">
        <v>#VALUE!</v>
      </c>
      <c r="AE122" s="766" t="e">
        <v>#VALUE!</v>
      </c>
      <c r="AF122" s="766" t="e">
        <v>#VALUE!</v>
      </c>
      <c r="AG122" s="766" t="e">
        <v>#VALUE!</v>
      </c>
      <c r="AH122" s="766" t="e">
        <v>#VALUE!</v>
      </c>
      <c r="AI122" s="766" t="e">
        <v>#VALUE!</v>
      </c>
      <c r="AJ122" s="766" t="e">
        <v>#VALUE!</v>
      </c>
      <c r="AK122" s="766">
        <v>10.738293241129076</v>
      </c>
      <c r="AL122" s="766" t="e">
        <v>#VALUE!</v>
      </c>
      <c r="AM122" s="766" t="e">
        <v>#VALUE!</v>
      </c>
      <c r="AN122" s="766" t="e">
        <v>#VALUE!</v>
      </c>
      <c r="AO122" s="766" t="e">
        <v>#VALUE!</v>
      </c>
      <c r="AP122" s="766" t="e">
        <v>#VALUE!</v>
      </c>
      <c r="AQ122" s="766" t="e">
        <v>#VALUE!</v>
      </c>
      <c r="AR122" s="766">
        <v>9.935308694123847</v>
      </c>
      <c r="AS122" s="766">
        <v>8.66819689327252</v>
      </c>
      <c r="AT122" s="714"/>
    </row>
    <row r="123" hidden="1">
      <c r="A123" s="80"/>
      <c r="B123" s="81"/>
      <c r="C123" s="126"/>
      <c r="D123" s="81"/>
      <c r="E123" s="553" t="s">
        <v>938</v>
      </c>
      <c r="F123" s="215" t="s">
        <v>122</v>
      </c>
      <c r="G123" s="215" t="s">
        <v>203</v>
      </c>
      <c r="H123" s="751" t="s">
        <v>150</v>
      </c>
      <c r="I123" s="767">
        <v>35.16705054629355</v>
      </c>
      <c r="J123" s="767">
        <v>16.442081114006914</v>
      </c>
      <c r="K123" s="767">
        <v>28.548868407567774</v>
      </c>
      <c r="L123" s="767">
        <v>8.877665476966436</v>
      </c>
      <c r="M123" s="767">
        <v>18.963824069828654</v>
      </c>
      <c r="N123" s="767">
        <v>29.054389430655828</v>
      </c>
      <c r="O123" s="767">
        <v>43.8973824430959</v>
      </c>
      <c r="P123" s="767">
        <v>71.1817823878885</v>
      </c>
      <c r="Q123" s="767">
        <v>53.9152939949161</v>
      </c>
      <c r="R123" s="767" t="e">
        <v>#VALUE!</v>
      </c>
      <c r="S123" s="767">
        <v>7.677860174177506</v>
      </c>
      <c r="T123" s="767" t="e">
        <v>#VALUE!</v>
      </c>
      <c r="U123" s="767" t="e">
        <v>#VALUE!</v>
      </c>
      <c r="V123" s="767" t="e">
        <v>#VALUE!</v>
      </c>
      <c r="W123" s="767" t="e">
        <v>#VALUE!</v>
      </c>
      <c r="X123" s="767" t="e">
        <v>#VALUE!</v>
      </c>
      <c r="Y123" s="767" t="e">
        <v>#VALUE!</v>
      </c>
      <c r="Z123" s="767" t="e">
        <v>#VALUE!</v>
      </c>
      <c r="AA123" s="767" t="e">
        <v>#VALUE!</v>
      </c>
      <c r="AB123" s="767" t="e">
        <v>#VALUE!</v>
      </c>
      <c r="AC123" s="767" t="e">
        <v>#VALUE!</v>
      </c>
      <c r="AD123" s="767" t="e">
        <v>#VALUE!</v>
      </c>
      <c r="AE123" s="767" t="e">
        <v>#VALUE!</v>
      </c>
      <c r="AF123" s="767" t="e">
        <v>#VALUE!</v>
      </c>
      <c r="AG123" s="767" t="e">
        <v>#VALUE!</v>
      </c>
      <c r="AH123" s="767" t="e">
        <v>#VALUE!</v>
      </c>
      <c r="AI123" s="767" t="e">
        <v>#VALUE!</v>
      </c>
      <c r="AJ123" s="767" t="e">
        <v>#VALUE!</v>
      </c>
      <c r="AK123" s="767">
        <v>12.085906320002774</v>
      </c>
      <c r="AL123" s="767" t="e">
        <v>#VALUE!</v>
      </c>
      <c r="AM123" s="767" t="e">
        <v>#VALUE!</v>
      </c>
      <c r="AN123" s="767" t="e">
        <v>#VALUE!</v>
      </c>
      <c r="AO123" s="767" t="e">
        <v>#VALUE!</v>
      </c>
      <c r="AP123" s="767" t="e">
        <v>#VALUE!</v>
      </c>
      <c r="AQ123" s="767" t="e">
        <v>#VALUE!</v>
      </c>
      <c r="AR123" s="767">
        <v>12.044044177507468</v>
      </c>
      <c r="AS123" s="767">
        <v>11.048991711290483</v>
      </c>
      <c r="AT123" s="715"/>
    </row>
    <row r="124" hidden="1">
      <c r="A124" s="80"/>
      <c r="B124" s="81"/>
      <c r="C124" s="126"/>
      <c r="D124" s="81"/>
      <c r="E124" s="553" t="s">
        <v>943</v>
      </c>
      <c r="F124" s="215" t="s">
        <v>122</v>
      </c>
      <c r="G124" s="215" t="s">
        <v>203</v>
      </c>
      <c r="H124" s="751" t="s">
        <v>150</v>
      </c>
      <c r="I124" s="767">
        <v>14.582766322697367</v>
      </c>
      <c r="J124" s="767">
        <v>6.511708347480953</v>
      </c>
      <c r="K124" s="767">
        <v>13.074148225435858</v>
      </c>
      <c r="L124" s="767">
        <v>3.2193810866225063</v>
      </c>
      <c r="M124" s="767">
        <v>7.380418939139103</v>
      </c>
      <c r="N124" s="767">
        <v>13.098250046746967</v>
      </c>
      <c r="O124" s="767">
        <v>18.3393944405609</v>
      </c>
      <c r="P124" s="767">
        <v>31.818346154379398</v>
      </c>
      <c r="Q124" s="767">
        <v>24.48955482378019</v>
      </c>
      <c r="R124" s="767" t="e">
        <v>#VALUE!</v>
      </c>
      <c r="S124" s="767">
        <v>2.3332831939088337</v>
      </c>
      <c r="T124" s="767" t="e">
        <v>#VALUE!</v>
      </c>
      <c r="U124" s="767" t="e">
        <v>#VALUE!</v>
      </c>
      <c r="V124" s="767" t="e">
        <v>#VALUE!</v>
      </c>
      <c r="W124" s="767" t="e">
        <v>#VALUE!</v>
      </c>
      <c r="X124" s="767" t="e">
        <v>#VALUE!</v>
      </c>
      <c r="Y124" s="767" t="e">
        <v>#VALUE!</v>
      </c>
      <c r="Z124" s="767" t="e">
        <v>#VALUE!</v>
      </c>
      <c r="AA124" s="767" t="e">
        <v>#VALUE!</v>
      </c>
      <c r="AB124" s="767" t="e">
        <v>#VALUE!</v>
      </c>
      <c r="AC124" s="767" t="e">
        <v>#VALUE!</v>
      </c>
      <c r="AD124" s="767" t="e">
        <v>#VALUE!</v>
      </c>
      <c r="AE124" s="767" t="e">
        <v>#VALUE!</v>
      </c>
      <c r="AF124" s="767" t="e">
        <v>#VALUE!</v>
      </c>
      <c r="AG124" s="767" t="e">
        <v>#VALUE!</v>
      </c>
      <c r="AH124" s="767" t="e">
        <v>#VALUE!</v>
      </c>
      <c r="AI124" s="767" t="e">
        <v>#VALUE!</v>
      </c>
      <c r="AJ124" s="767" t="e">
        <v>#VALUE!</v>
      </c>
      <c r="AK124" s="767">
        <v>4.943366637130003</v>
      </c>
      <c r="AL124" s="767" t="e">
        <v>#VALUE!</v>
      </c>
      <c r="AM124" s="767" t="e">
        <v>#VALUE!</v>
      </c>
      <c r="AN124" s="767" t="e">
        <v>#VALUE!</v>
      </c>
      <c r="AO124" s="767" t="e">
        <v>#VALUE!</v>
      </c>
      <c r="AP124" s="767" t="e">
        <v>#VALUE!</v>
      </c>
      <c r="AQ124" s="767" t="e">
        <v>#VALUE!</v>
      </c>
      <c r="AR124" s="767">
        <v>4.470342422942308</v>
      </c>
      <c r="AS124" s="767">
        <v>3.8369649026604757</v>
      </c>
      <c r="AT124" s="715"/>
    </row>
    <row r="125" hidden="1">
      <c r="A125" s="80"/>
      <c r="B125" s="81"/>
      <c r="C125" s="126"/>
      <c r="D125" s="81"/>
      <c r="E125" s="558" t="s">
        <v>945</v>
      </c>
      <c r="F125" s="195" t="s">
        <v>122</v>
      </c>
      <c r="G125" s="195" t="s">
        <v>203</v>
      </c>
      <c r="H125" s="754" t="s">
        <v>150</v>
      </c>
      <c r="I125" s="768">
        <v>17.10503624791457</v>
      </c>
      <c r="J125" s="768">
        <v>7.6153216796234595</v>
      </c>
      <c r="K125" s="768">
        <v>14.59380332850591</v>
      </c>
      <c r="L125" s="768">
        <v>4.049798999647139</v>
      </c>
      <c r="M125" s="768">
        <v>9.383974996966618</v>
      </c>
      <c r="N125" s="768">
        <v>14.733374052478766</v>
      </c>
      <c r="O125" s="768">
        <v>22.82146873074283</v>
      </c>
      <c r="P125" s="768">
        <v>36.72640284717281</v>
      </c>
      <c r="Q125" s="768">
        <v>27.581964198831862</v>
      </c>
      <c r="R125" s="768" t="e">
        <v>#VALUE!</v>
      </c>
      <c r="S125" s="768">
        <v>3.0111127499131265</v>
      </c>
      <c r="T125" s="768" t="e">
        <v>#VALUE!</v>
      </c>
      <c r="U125" s="768" t="e">
        <v>#VALUE!</v>
      </c>
      <c r="V125" s="768" t="e">
        <v>#VALUE!</v>
      </c>
      <c r="W125" s="768" t="e">
        <v>#VALUE!</v>
      </c>
      <c r="X125" s="768" t="e">
        <v>#VALUE!</v>
      </c>
      <c r="Y125" s="768" t="e">
        <v>#VALUE!</v>
      </c>
      <c r="Z125" s="768" t="e">
        <v>#VALUE!</v>
      </c>
      <c r="AA125" s="768" t="e">
        <v>#VALUE!</v>
      </c>
      <c r="AB125" s="768" t="e">
        <v>#VALUE!</v>
      </c>
      <c r="AC125" s="768" t="e">
        <v>#VALUE!</v>
      </c>
      <c r="AD125" s="768" t="e">
        <v>#VALUE!</v>
      </c>
      <c r="AE125" s="768" t="e">
        <v>#VALUE!</v>
      </c>
      <c r="AF125" s="768" t="e">
        <v>#VALUE!</v>
      </c>
      <c r="AG125" s="768" t="e">
        <v>#VALUE!</v>
      </c>
      <c r="AH125" s="768" t="e">
        <v>#VALUE!</v>
      </c>
      <c r="AI125" s="768" t="e">
        <v>#VALUE!</v>
      </c>
      <c r="AJ125" s="768" t="e">
        <v>#VALUE!</v>
      </c>
      <c r="AK125" s="768">
        <v>5.900022144371599</v>
      </c>
      <c r="AL125" s="768" t="e">
        <v>#VALUE!</v>
      </c>
      <c r="AM125" s="768" t="e">
        <v>#VALUE!</v>
      </c>
      <c r="AN125" s="768" t="e">
        <v>#VALUE!</v>
      </c>
      <c r="AO125" s="768" t="e">
        <v>#VALUE!</v>
      </c>
      <c r="AP125" s="768" t="e">
        <v>#VALUE!</v>
      </c>
      <c r="AQ125" s="768" t="e">
        <v>#VALUE!</v>
      </c>
      <c r="AR125" s="768">
        <v>5.423454524848395</v>
      </c>
      <c r="AS125" s="768">
        <v>4.833764580289531</v>
      </c>
      <c r="AT125" s="716"/>
    </row>
    <row r="126" hidden="1">
      <c r="A126" s="80"/>
      <c r="B126" s="81"/>
      <c r="C126" s="126"/>
      <c r="D126" s="81"/>
      <c r="E126" s="624"/>
      <c r="F126" s="326"/>
      <c r="G126" s="326"/>
      <c r="H126" s="728"/>
      <c r="I126" s="729"/>
      <c r="J126" s="729"/>
      <c r="K126" s="729"/>
      <c r="L126" s="729"/>
      <c r="M126" s="729"/>
      <c r="N126" s="729"/>
      <c r="O126" s="729"/>
      <c r="P126" s="729"/>
      <c r="Q126" s="729"/>
      <c r="R126" s="729"/>
      <c r="S126" s="729"/>
      <c r="T126" s="729"/>
      <c r="U126" s="729"/>
      <c r="V126" s="729"/>
      <c r="W126" s="729"/>
      <c r="X126" s="729"/>
      <c r="Y126" s="729"/>
      <c r="Z126" s="729"/>
      <c r="AA126" s="729"/>
      <c r="AB126" s="729"/>
      <c r="AC126" s="729"/>
      <c r="AD126" s="729"/>
      <c r="AE126" s="729"/>
      <c r="AF126" s="729"/>
      <c r="AG126" s="729"/>
      <c r="AH126" s="729"/>
      <c r="AI126" s="729"/>
      <c r="AJ126" s="729"/>
      <c r="AK126" s="729"/>
      <c r="AL126" s="729"/>
      <c r="AM126" s="729"/>
      <c r="AN126" s="729"/>
      <c r="AO126" s="729"/>
      <c r="AP126" s="729"/>
      <c r="AQ126" s="729"/>
      <c r="AR126" s="729"/>
      <c r="AS126" s="729"/>
      <c r="AT126" s="710"/>
    </row>
    <row r="127" hidden="1">
      <c r="A127" s="80"/>
      <c r="B127" s="81"/>
      <c r="C127" s="126" t="s">
        <v>957</v>
      </c>
      <c r="F127" s="326"/>
      <c r="G127" s="326"/>
      <c r="H127" s="728"/>
      <c r="I127" s="729"/>
      <c r="J127" s="729"/>
      <c r="K127" s="729"/>
      <c r="L127" s="729"/>
      <c r="M127" s="729"/>
      <c r="N127" s="729"/>
      <c r="O127" s="729"/>
      <c r="P127" s="729"/>
      <c r="Q127" s="729"/>
      <c r="R127" s="729"/>
      <c r="S127" s="729"/>
      <c r="T127" s="729"/>
      <c r="U127" s="729"/>
      <c r="V127" s="729"/>
      <c r="W127" s="729"/>
      <c r="X127" s="729"/>
      <c r="Y127" s="729"/>
      <c r="Z127" s="729"/>
      <c r="AA127" s="729"/>
      <c r="AB127" s="729"/>
      <c r="AC127" s="729"/>
      <c r="AD127" s="729"/>
      <c r="AE127" s="729"/>
      <c r="AF127" s="729"/>
      <c r="AG127" s="729"/>
      <c r="AH127" s="729"/>
      <c r="AI127" s="729"/>
      <c r="AJ127" s="729"/>
      <c r="AK127" s="729"/>
      <c r="AL127" s="729"/>
      <c r="AM127" s="729"/>
      <c r="AN127" s="729"/>
      <c r="AO127" s="729"/>
      <c r="AP127" s="729"/>
      <c r="AQ127" s="729"/>
      <c r="AR127" s="729"/>
      <c r="AS127" s="729"/>
      <c r="AT127" s="710"/>
    </row>
    <row r="128" hidden="1">
      <c r="A128" s="80"/>
      <c r="B128" s="81"/>
      <c r="C128" s="126"/>
      <c r="D128" s="81"/>
      <c r="E128" s="548" t="s">
        <v>959</v>
      </c>
      <c r="F128" s="189" t="s">
        <v>122</v>
      </c>
      <c r="G128" s="189" t="s">
        <v>203</v>
      </c>
      <c r="H128" s="757" t="s">
        <v>150</v>
      </c>
      <c r="I128" s="769">
        <v>20.2418290065564</v>
      </c>
      <c r="J128" s="769">
        <v>9.260718695010999</v>
      </c>
      <c r="K128" s="769">
        <v>16.909027400144378</v>
      </c>
      <c r="L128" s="769">
        <v>4.862678452200322</v>
      </c>
      <c r="M128" s="769">
        <v>11.300254439039616</v>
      </c>
      <c r="N128" s="769">
        <v>17.02779817520072</v>
      </c>
      <c r="O128" s="769">
        <v>26.2688846175267</v>
      </c>
      <c r="P128" s="769">
        <v>43.24370197491006</v>
      </c>
      <c r="Q128" s="769">
        <v>32.37032809467282</v>
      </c>
      <c r="R128" s="769" t="e">
        <v>#VALUE!</v>
      </c>
      <c r="S128" s="769">
        <v>3.6364698624900154</v>
      </c>
      <c r="T128" s="769" t="e">
        <v>#VALUE!</v>
      </c>
      <c r="U128" s="769" t="e">
        <v>#VALUE!</v>
      </c>
      <c r="V128" s="769" t="e">
        <v>#VALUE!</v>
      </c>
      <c r="W128" s="769" t="e">
        <v>#VALUE!</v>
      </c>
      <c r="X128" s="769" t="e">
        <v>#VALUE!</v>
      </c>
      <c r="Y128" s="769" t="e">
        <v>#VALUE!</v>
      </c>
      <c r="Z128" s="769" t="e">
        <v>#VALUE!</v>
      </c>
      <c r="AA128" s="769" t="e">
        <v>#VALUE!</v>
      </c>
      <c r="AB128" s="769" t="e">
        <v>#VALUE!</v>
      </c>
      <c r="AC128" s="769" t="e">
        <v>#VALUE!</v>
      </c>
      <c r="AD128" s="769" t="e">
        <v>#VALUE!</v>
      </c>
      <c r="AE128" s="769" t="e">
        <v>#VALUE!</v>
      </c>
      <c r="AF128" s="769" t="e">
        <v>#VALUE!</v>
      </c>
      <c r="AG128" s="769" t="e">
        <v>#VALUE!</v>
      </c>
      <c r="AH128" s="769" t="e">
        <v>#VALUE!</v>
      </c>
      <c r="AI128" s="769" t="e">
        <v>#VALUE!</v>
      </c>
      <c r="AJ128" s="769" t="e">
        <v>#VALUE!</v>
      </c>
      <c r="AK128" s="769">
        <v>6.879109108929847</v>
      </c>
      <c r="AL128" s="769" t="e">
        <v>#VALUE!</v>
      </c>
      <c r="AM128" s="769" t="e">
        <v>#VALUE!</v>
      </c>
      <c r="AN128" s="769" t="e">
        <v>#VALUE!</v>
      </c>
      <c r="AO128" s="769" t="e">
        <v>#VALUE!</v>
      </c>
      <c r="AP128" s="769" t="e">
        <v>#VALUE!</v>
      </c>
      <c r="AQ128" s="769" t="e">
        <v>#VALUE!</v>
      </c>
      <c r="AR128" s="769">
        <v>6.620030340910108</v>
      </c>
      <c r="AS128" s="769">
        <v>5.515616639568727</v>
      </c>
      <c r="AT128" s="714"/>
    </row>
    <row r="129" hidden="1">
      <c r="A129" s="80"/>
      <c r="B129" s="81"/>
      <c r="C129" s="126"/>
      <c r="D129" s="81"/>
      <c r="E129" s="553" t="s">
        <v>962</v>
      </c>
      <c r="F129" s="215" t="s">
        <v>122</v>
      </c>
      <c r="G129" s="215" t="s">
        <v>203</v>
      </c>
      <c r="H129" s="751" t="s">
        <v>150</v>
      </c>
      <c r="I129" s="770">
        <v>19.896571130120165</v>
      </c>
      <c r="J129" s="770">
        <v>8.985385268426313</v>
      </c>
      <c r="K129" s="770">
        <v>16.668871174426293</v>
      </c>
      <c r="L129" s="770">
        <v>4.7095735032717325</v>
      </c>
      <c r="M129" s="770">
        <v>10.904377480172311</v>
      </c>
      <c r="N129" s="770">
        <v>17.112893310888488</v>
      </c>
      <c r="O129" s="770">
        <v>26.56348282229076</v>
      </c>
      <c r="P129" s="770">
        <v>43.0980106443838</v>
      </c>
      <c r="Q129" s="770">
        <v>31.799243874987503</v>
      </c>
      <c r="R129" s="770" t="e">
        <v>#VALUE!</v>
      </c>
      <c r="S129" s="770">
        <v>3.5092882317991307</v>
      </c>
      <c r="T129" s="770" t="e">
        <v>#VALUE!</v>
      </c>
      <c r="U129" s="770" t="e">
        <v>#VALUE!</v>
      </c>
      <c r="V129" s="770" t="e">
        <v>#VALUE!</v>
      </c>
      <c r="W129" s="770" t="e">
        <v>#VALUE!</v>
      </c>
      <c r="X129" s="770" t="e">
        <v>#VALUE!</v>
      </c>
      <c r="Y129" s="770" t="e">
        <v>#VALUE!</v>
      </c>
      <c r="Z129" s="770" t="e">
        <v>#VALUE!</v>
      </c>
      <c r="AA129" s="770" t="e">
        <v>#VALUE!</v>
      </c>
      <c r="AB129" s="770" t="e">
        <v>#VALUE!</v>
      </c>
      <c r="AC129" s="770" t="e">
        <v>#VALUE!</v>
      </c>
      <c r="AD129" s="770" t="e">
        <v>#VALUE!</v>
      </c>
      <c r="AE129" s="770" t="e">
        <v>#VALUE!</v>
      </c>
      <c r="AF129" s="770" t="e">
        <v>#VALUE!</v>
      </c>
      <c r="AG129" s="770" t="e">
        <v>#VALUE!</v>
      </c>
      <c r="AH129" s="770" t="e">
        <v>#VALUE!</v>
      </c>
      <c r="AI129" s="770" t="e">
        <v>#VALUE!</v>
      </c>
      <c r="AJ129" s="770" t="e">
        <v>#VALUE!</v>
      </c>
      <c r="AK129" s="770">
        <v>6.980568475206214</v>
      </c>
      <c r="AL129" s="770" t="e">
        <v>#VALUE!</v>
      </c>
      <c r="AM129" s="770" t="e">
        <v>#VALUE!</v>
      </c>
      <c r="AN129" s="770" t="e">
        <v>#VALUE!</v>
      </c>
      <c r="AO129" s="770" t="e">
        <v>#VALUE!</v>
      </c>
      <c r="AP129" s="770" t="e">
        <v>#VALUE!</v>
      </c>
      <c r="AQ129" s="770" t="e">
        <v>#VALUE!</v>
      </c>
      <c r="AR129" s="770">
        <v>6.4192290798513705</v>
      </c>
      <c r="AS129" s="770">
        <v>5.66937549693623</v>
      </c>
      <c r="AT129" s="715"/>
    </row>
    <row r="130" hidden="1">
      <c r="A130" s="80"/>
      <c r="B130" s="81"/>
      <c r="C130" s="126"/>
      <c r="D130" s="81"/>
      <c r="E130" s="558" t="s">
        <v>963</v>
      </c>
      <c r="F130" s="195" t="s">
        <v>122</v>
      </c>
      <c r="G130" s="195" t="s">
        <v>203</v>
      </c>
      <c r="H130" s="754" t="s">
        <v>150</v>
      </c>
      <c r="I130" s="771">
        <v>23.6408240755696</v>
      </c>
      <c r="J130" s="771">
        <v>10.592473668948168</v>
      </c>
      <c r="K130" s="771">
        <v>19.661282996464656</v>
      </c>
      <c r="L130" s="771">
        <v>5.456559821539093</v>
      </c>
      <c r="M130" s="771">
        <v>12.895396722991128</v>
      </c>
      <c r="N130" s="771">
        <v>20.111048808090477</v>
      </c>
      <c r="O130" s="771">
        <v>31.226031370514118</v>
      </c>
      <c r="P130" s="771">
        <v>50.70818000391031</v>
      </c>
      <c r="Q130" s="771">
        <v>37.85023767646636</v>
      </c>
      <c r="R130" s="771" t="e">
        <v>#VALUE!</v>
      </c>
      <c r="S130" s="771">
        <v>4.0279705252405185</v>
      </c>
      <c r="T130" s="771" t="e">
        <v>#VALUE!</v>
      </c>
      <c r="U130" s="771" t="e">
        <v>#VALUE!</v>
      </c>
      <c r="V130" s="771" t="e">
        <v>#VALUE!</v>
      </c>
      <c r="W130" s="771" t="e">
        <v>#VALUE!</v>
      </c>
      <c r="X130" s="771" t="e">
        <v>#VALUE!</v>
      </c>
      <c r="Y130" s="771" t="e">
        <v>#VALUE!</v>
      </c>
      <c r="Z130" s="771" t="e">
        <v>#VALUE!</v>
      </c>
      <c r="AA130" s="771" t="e">
        <v>#VALUE!</v>
      </c>
      <c r="AB130" s="771" t="e">
        <v>#VALUE!</v>
      </c>
      <c r="AC130" s="771" t="e">
        <v>#VALUE!</v>
      </c>
      <c r="AD130" s="771" t="e">
        <v>#VALUE!</v>
      </c>
      <c r="AE130" s="771" t="e">
        <v>#VALUE!</v>
      </c>
      <c r="AF130" s="771" t="e">
        <v>#VALUE!</v>
      </c>
      <c r="AG130" s="771" t="e">
        <v>#VALUE!</v>
      </c>
      <c r="AH130" s="771" t="e">
        <v>#VALUE!</v>
      </c>
      <c r="AI130" s="771" t="e">
        <v>#VALUE!</v>
      </c>
      <c r="AJ130" s="771" t="e">
        <v>#VALUE!</v>
      </c>
      <c r="AK130" s="771">
        <v>8.122124485664383</v>
      </c>
      <c r="AL130" s="771" t="e">
        <v>#VALUE!</v>
      </c>
      <c r="AM130" s="771" t="e">
        <v>#VALUE!</v>
      </c>
      <c r="AN130" s="771" t="e">
        <v>#VALUE!</v>
      </c>
      <c r="AO130" s="771" t="e">
        <v>#VALUE!</v>
      </c>
      <c r="AP130" s="771" t="e">
        <v>#VALUE!</v>
      </c>
      <c r="AQ130" s="771" t="e">
        <v>#VALUE!</v>
      </c>
      <c r="AR130" s="771">
        <v>7.5153727645852095</v>
      </c>
      <c r="AS130" s="771">
        <v>6.534473183096337</v>
      </c>
      <c r="AT130" s="716"/>
    </row>
    <row r="131" hidden="1">
      <c r="A131" s="80"/>
      <c r="B131" s="81"/>
      <c r="C131" s="126"/>
      <c r="D131" s="81"/>
      <c r="E131" s="624"/>
      <c r="F131" s="326"/>
      <c r="G131" s="326"/>
      <c r="H131" s="728"/>
      <c r="I131" s="729"/>
      <c r="J131" s="729"/>
      <c r="K131" s="729"/>
      <c r="L131" s="729"/>
      <c r="M131" s="729"/>
      <c r="N131" s="729"/>
      <c r="O131" s="729"/>
      <c r="P131" s="729"/>
      <c r="Q131" s="729"/>
      <c r="R131" s="729"/>
      <c r="S131" s="729"/>
      <c r="T131" s="729"/>
      <c r="U131" s="729"/>
      <c r="V131" s="729"/>
      <c r="W131" s="729"/>
      <c r="X131" s="729"/>
      <c r="Y131" s="729"/>
      <c r="Z131" s="729"/>
      <c r="AA131" s="729"/>
      <c r="AB131" s="729"/>
      <c r="AC131" s="729"/>
      <c r="AD131" s="729"/>
      <c r="AE131" s="729"/>
      <c r="AF131" s="729"/>
      <c r="AG131" s="729"/>
      <c r="AH131" s="729"/>
      <c r="AI131" s="729"/>
      <c r="AJ131" s="729"/>
      <c r="AK131" s="729"/>
      <c r="AL131" s="729"/>
      <c r="AM131" s="729"/>
      <c r="AN131" s="729"/>
      <c r="AO131" s="729"/>
      <c r="AP131" s="729"/>
      <c r="AQ131" s="729"/>
      <c r="AR131" s="729"/>
      <c r="AS131" s="729"/>
      <c r="AT131" s="710"/>
    </row>
    <row r="132" hidden="1">
      <c r="A132" s="80"/>
      <c r="B132" s="81"/>
      <c r="C132" s="126" t="s">
        <v>969</v>
      </c>
      <c r="F132" s="326"/>
      <c r="G132" s="326"/>
      <c r="H132" s="728"/>
      <c r="I132" s="729"/>
      <c r="J132" s="729"/>
      <c r="K132" s="729"/>
      <c r="L132" s="729"/>
      <c r="M132" s="729"/>
      <c r="N132" s="729"/>
      <c r="O132" s="729"/>
      <c r="P132" s="729"/>
      <c r="Q132" s="729"/>
      <c r="R132" s="729"/>
      <c r="S132" s="729"/>
      <c r="T132" s="729"/>
      <c r="U132" s="729"/>
      <c r="V132" s="729"/>
      <c r="W132" s="729"/>
      <c r="X132" s="729"/>
      <c r="Y132" s="729"/>
      <c r="Z132" s="729"/>
      <c r="AA132" s="729"/>
      <c r="AB132" s="729"/>
      <c r="AC132" s="729"/>
      <c r="AD132" s="729"/>
      <c r="AE132" s="729"/>
      <c r="AF132" s="729"/>
      <c r="AG132" s="729"/>
      <c r="AH132" s="729"/>
      <c r="AI132" s="729"/>
      <c r="AJ132" s="729"/>
      <c r="AK132" s="729"/>
      <c r="AL132" s="729"/>
      <c r="AM132" s="729"/>
      <c r="AN132" s="729"/>
      <c r="AO132" s="729"/>
      <c r="AP132" s="729"/>
      <c r="AQ132" s="729"/>
      <c r="AR132" s="729"/>
      <c r="AS132" s="729"/>
      <c r="AT132" s="710"/>
    </row>
    <row r="133" hidden="1">
      <c r="A133" s="80"/>
      <c r="B133" s="81"/>
      <c r="C133" s="126"/>
      <c r="D133" s="81"/>
      <c r="E133" s="548" t="s">
        <v>971</v>
      </c>
      <c r="F133" s="189" t="s">
        <v>122</v>
      </c>
      <c r="G133" s="189" t="s">
        <v>203</v>
      </c>
      <c r="H133" s="757" t="s">
        <v>150</v>
      </c>
      <c r="I133" s="766">
        <v>20.429769076431768</v>
      </c>
      <c r="J133" s="766">
        <v>9.271634358196092</v>
      </c>
      <c r="K133" s="766">
        <v>17.082783101557975</v>
      </c>
      <c r="L133" s="766">
        <v>4.856011566855225</v>
      </c>
      <c r="M133" s="766">
        <v>11.270527270303297</v>
      </c>
      <c r="N133" s="766">
        <v>17.45179603377166</v>
      </c>
      <c r="O133" s="766">
        <v>27.068251862825893</v>
      </c>
      <c r="P133" s="766">
        <v>44.064168080748</v>
      </c>
      <c r="Q133" s="766">
        <v>32.708579742099424</v>
      </c>
      <c r="R133" s="766" t="e">
        <v>#VALUE!</v>
      </c>
      <c r="S133" s="766">
        <v>3.6274720085069867</v>
      </c>
      <c r="T133" s="766" t="e">
        <v>#VALUE!</v>
      </c>
      <c r="U133" s="766" t="e">
        <v>#VALUE!</v>
      </c>
      <c r="V133" s="766" t="e">
        <v>#VALUE!</v>
      </c>
      <c r="W133" s="766" t="e">
        <v>#VALUE!</v>
      </c>
      <c r="X133" s="766" t="e">
        <v>#VALUE!</v>
      </c>
      <c r="Y133" s="766" t="e">
        <v>#VALUE!</v>
      </c>
      <c r="Z133" s="766" t="e">
        <v>#VALUE!</v>
      </c>
      <c r="AA133" s="766" t="e">
        <v>#VALUE!</v>
      </c>
      <c r="AB133" s="766" t="e">
        <v>#VALUE!</v>
      </c>
      <c r="AC133" s="766" t="e">
        <v>#VALUE!</v>
      </c>
      <c r="AD133" s="766" t="e">
        <v>#VALUE!</v>
      </c>
      <c r="AE133" s="766" t="e">
        <v>#VALUE!</v>
      </c>
      <c r="AF133" s="766" t="e">
        <v>#VALUE!</v>
      </c>
      <c r="AG133" s="766" t="e">
        <v>#VALUE!</v>
      </c>
      <c r="AH133" s="766" t="e">
        <v>#VALUE!</v>
      </c>
      <c r="AI133" s="766" t="e">
        <v>#VALUE!</v>
      </c>
      <c r="AJ133" s="766" t="e">
        <v>#VALUE!</v>
      </c>
      <c r="AK133" s="766">
        <v>7.149334174809962</v>
      </c>
      <c r="AL133" s="766" t="e">
        <v>#VALUE!</v>
      </c>
      <c r="AM133" s="766" t="e">
        <v>#VALUE!</v>
      </c>
      <c r="AN133" s="766" t="e">
        <v>#VALUE!</v>
      </c>
      <c r="AO133" s="766" t="e">
        <v>#VALUE!</v>
      </c>
      <c r="AP133" s="766" t="e">
        <v>#VALUE!</v>
      </c>
      <c r="AQ133" s="766" t="e">
        <v>#VALUE!</v>
      </c>
      <c r="AR133" s="766">
        <v>6.61472362406054</v>
      </c>
      <c r="AS133" s="766">
        <v>5.771106719799238</v>
      </c>
      <c r="AT133" s="714"/>
    </row>
    <row r="134" hidden="1">
      <c r="A134" s="80"/>
      <c r="B134" s="81"/>
      <c r="C134" s="126"/>
      <c r="D134" s="81"/>
      <c r="E134" s="553" t="s">
        <v>972</v>
      </c>
      <c r="F134" s="215" t="s">
        <v>122</v>
      </c>
      <c r="G134" s="215" t="s">
        <v>203</v>
      </c>
      <c r="H134" s="751" t="s">
        <v>150</v>
      </c>
      <c r="I134" s="767">
        <v>22.263476702646862</v>
      </c>
      <c r="J134" s="767">
        <v>10.103825195326767</v>
      </c>
      <c r="K134" s="767">
        <v>18.61607648011321</v>
      </c>
      <c r="L134" s="767">
        <v>5.291870895945909</v>
      </c>
      <c r="M134" s="767">
        <v>12.282132038311278</v>
      </c>
      <c r="N134" s="767">
        <v>19.018210776814207</v>
      </c>
      <c r="O134" s="767">
        <v>29.497807462964087</v>
      </c>
      <c r="P134" s="767">
        <v>48.019220178997365</v>
      </c>
      <c r="Q134" s="767">
        <v>35.644392275827194</v>
      </c>
      <c r="R134" s="767" t="e">
        <v>#VALUE!</v>
      </c>
      <c r="S134" s="767">
        <v>3.953061742830251</v>
      </c>
      <c r="T134" s="767" t="e">
        <v>#VALUE!</v>
      </c>
      <c r="U134" s="767" t="e">
        <v>#VALUE!</v>
      </c>
      <c r="V134" s="767" t="e">
        <v>#VALUE!</v>
      </c>
      <c r="W134" s="767" t="e">
        <v>#VALUE!</v>
      </c>
      <c r="X134" s="767" t="e">
        <v>#VALUE!</v>
      </c>
      <c r="Y134" s="767" t="e">
        <v>#VALUE!</v>
      </c>
      <c r="Z134" s="767" t="e">
        <v>#VALUE!</v>
      </c>
      <c r="AA134" s="767" t="e">
        <v>#VALUE!</v>
      </c>
      <c r="AB134" s="767" t="e">
        <v>#VALUE!</v>
      </c>
      <c r="AC134" s="767" t="e">
        <v>#VALUE!</v>
      </c>
      <c r="AD134" s="767" t="e">
        <v>#VALUE!</v>
      </c>
      <c r="AE134" s="767" t="e">
        <v>#VALUE!</v>
      </c>
      <c r="AF134" s="767" t="e">
        <v>#VALUE!</v>
      </c>
      <c r="AG134" s="767" t="e">
        <v>#VALUE!</v>
      </c>
      <c r="AH134" s="767" t="e">
        <v>#VALUE!</v>
      </c>
      <c r="AI134" s="767" t="e">
        <v>#VALUE!</v>
      </c>
      <c r="AJ134" s="767" t="e">
        <v>#VALUE!</v>
      </c>
      <c r="AK134" s="767">
        <v>7.791034457846103</v>
      </c>
      <c r="AL134" s="767" t="e">
        <v>#VALUE!</v>
      </c>
      <c r="AM134" s="767" t="e">
        <v>#VALUE!</v>
      </c>
      <c r="AN134" s="767" t="e">
        <v>#VALUE!</v>
      </c>
      <c r="AO134" s="767" t="e">
        <v>#VALUE!</v>
      </c>
      <c r="AP134" s="767" t="e">
        <v>#VALUE!</v>
      </c>
      <c r="AQ134" s="767" t="e">
        <v>#VALUE!</v>
      </c>
      <c r="AR134" s="767">
        <v>7.208439055173161</v>
      </c>
      <c r="AS134" s="767">
        <v>6.28910192396458</v>
      </c>
      <c r="AT134" s="715"/>
    </row>
    <row r="135" hidden="1">
      <c r="A135" s="80"/>
      <c r="B135" s="81"/>
      <c r="C135" s="126"/>
      <c r="D135" s="81"/>
      <c r="E135" s="558" t="s">
        <v>975</v>
      </c>
      <c r="F135" s="195" t="s">
        <v>122</v>
      </c>
      <c r="G135" s="195" t="s">
        <v>203</v>
      </c>
      <c r="H135" s="754" t="s">
        <v>150</v>
      </c>
      <c r="I135" s="768">
        <v>21.714536698464855</v>
      </c>
      <c r="J135" s="768">
        <v>9.763752275275198</v>
      </c>
      <c r="K135" s="768">
        <v>18.139017298793643</v>
      </c>
      <c r="L135" s="768">
        <v>5.1684709568031195</v>
      </c>
      <c r="M135" s="768">
        <v>11.890288959769547</v>
      </c>
      <c r="N135" s="768">
        <v>18.504377167490045</v>
      </c>
      <c r="O135" s="768">
        <v>28.79310564435466</v>
      </c>
      <c r="P135" s="768">
        <v>46.42226715305601</v>
      </c>
      <c r="Q135" s="768">
        <v>34.88344388062332</v>
      </c>
      <c r="R135" s="768">
        <v>1.9328135749565332</v>
      </c>
      <c r="S135" s="768">
        <v>3.832691456429656</v>
      </c>
      <c r="T135" s="768">
        <v>1.8297708102903283</v>
      </c>
      <c r="U135" s="768">
        <v>2.262923892706917</v>
      </c>
      <c r="V135" s="768">
        <v>3.2057080139583385</v>
      </c>
      <c r="W135" s="768">
        <v>3.985352143693926</v>
      </c>
      <c r="X135" s="768">
        <v>8.231304742382834</v>
      </c>
      <c r="Y135" s="768">
        <v>1.4820543102614148</v>
      </c>
      <c r="Z135" s="768">
        <v>2.645232120720186</v>
      </c>
      <c r="AA135" s="768">
        <v>0.8353580376408508</v>
      </c>
      <c r="AB135" s="768">
        <v>1.7309245426844642</v>
      </c>
      <c r="AC135" s="768">
        <v>1.136827624889913</v>
      </c>
      <c r="AD135" s="768">
        <v>0.8889927861895535</v>
      </c>
      <c r="AE135" s="768">
        <v>1.4651187374987884</v>
      </c>
      <c r="AF135" s="768">
        <v>1.083288690706876</v>
      </c>
      <c r="AG135" s="768">
        <v>2.458182057158834</v>
      </c>
      <c r="AH135" s="768">
        <v>2.783964650692456</v>
      </c>
      <c r="AI135" s="768">
        <v>1.0241430743677422</v>
      </c>
      <c r="AJ135" s="768">
        <v>4.480704473360505</v>
      </c>
      <c r="AK135" s="768">
        <v>7.670940864543258</v>
      </c>
      <c r="AL135" s="768">
        <v>3.6047188788004934</v>
      </c>
      <c r="AM135" s="768">
        <v>3.1087916992953093</v>
      </c>
      <c r="AN135" s="768">
        <v>1.0879261894043812</v>
      </c>
      <c r="AO135" s="768">
        <v>2.1160206432634663</v>
      </c>
      <c r="AP135" s="768">
        <v>2.842050591507337</v>
      </c>
      <c r="AQ135" s="768">
        <v>1.6763420563469866</v>
      </c>
      <c r="AR135" s="768">
        <v>7.103268393613037</v>
      </c>
      <c r="AS135" s="768">
        <v>6.1782780368892425</v>
      </c>
      <c r="AT135" s="716"/>
    </row>
    <row r="136" hidden="1">
      <c r="A136" s="80"/>
      <c r="B136" s="81"/>
      <c r="C136" s="126"/>
      <c r="D136" s="81"/>
      <c r="E136" s="624"/>
      <c r="F136" s="326"/>
      <c r="G136" s="326"/>
      <c r="H136" s="728"/>
      <c r="I136" s="729"/>
      <c r="J136" s="729"/>
      <c r="K136" s="729"/>
      <c r="L136" s="729"/>
      <c r="M136" s="729"/>
      <c r="N136" s="729"/>
      <c r="O136" s="729"/>
      <c r="P136" s="729"/>
      <c r="Q136" s="729"/>
      <c r="R136" s="729"/>
      <c r="S136" s="729"/>
      <c r="T136" s="729"/>
      <c r="U136" s="729"/>
      <c r="V136" s="729"/>
      <c r="W136" s="729"/>
      <c r="X136" s="729"/>
      <c r="Y136" s="729"/>
      <c r="Z136" s="729"/>
      <c r="AA136" s="729"/>
      <c r="AB136" s="729"/>
      <c r="AC136" s="729"/>
      <c r="AD136" s="729"/>
      <c r="AE136" s="729"/>
      <c r="AF136" s="729"/>
      <c r="AG136" s="729"/>
      <c r="AH136" s="729"/>
      <c r="AI136" s="729"/>
      <c r="AJ136" s="729"/>
      <c r="AK136" s="729"/>
      <c r="AL136" s="729"/>
      <c r="AM136" s="729"/>
      <c r="AN136" s="729"/>
      <c r="AO136" s="729"/>
      <c r="AP136" s="729"/>
      <c r="AQ136" s="729"/>
      <c r="AR136" s="729"/>
      <c r="AS136" s="729"/>
      <c r="AT136" s="710"/>
    </row>
    <row r="137" hidden="1">
      <c r="A137" s="740" t="s">
        <v>1018</v>
      </c>
      <c r="B137" s="14"/>
      <c r="C137" s="14"/>
      <c r="D137" s="14"/>
      <c r="E137" s="14"/>
      <c r="F137" s="14"/>
      <c r="G137" s="482"/>
      <c r="H137" s="73"/>
      <c r="I137" s="707"/>
      <c r="J137" s="707"/>
      <c r="K137" s="707"/>
      <c r="L137" s="707"/>
      <c r="M137" s="707"/>
      <c r="N137" s="707"/>
      <c r="O137" s="707"/>
      <c r="P137" s="707"/>
      <c r="Q137" s="707"/>
      <c r="R137" s="707"/>
      <c r="S137" s="707"/>
      <c r="T137" s="707"/>
      <c r="U137" s="707"/>
      <c r="V137" s="707"/>
      <c r="W137" s="707"/>
      <c r="X137" s="707"/>
      <c r="Y137" s="707"/>
      <c r="Z137" s="707"/>
      <c r="AA137" s="707"/>
      <c r="AB137" s="707"/>
      <c r="AC137" s="707"/>
      <c r="AD137" s="707"/>
      <c r="AE137" s="707"/>
      <c r="AF137" s="707"/>
      <c r="AG137" s="707"/>
      <c r="AH137" s="707"/>
      <c r="AI137" s="707"/>
      <c r="AJ137" s="707"/>
      <c r="AK137" s="707"/>
      <c r="AL137" s="707"/>
      <c r="AM137" s="707"/>
      <c r="AN137" s="707"/>
      <c r="AO137" s="707"/>
      <c r="AP137" s="707"/>
      <c r="AQ137" s="707"/>
      <c r="AR137" s="707"/>
      <c r="AS137" s="707"/>
      <c r="AT137" s="708"/>
    </row>
    <row r="138" hidden="1">
      <c r="A138" s="80"/>
      <c r="B138" s="81"/>
      <c r="C138" s="126"/>
      <c r="D138" s="81"/>
      <c r="E138" s="772"/>
      <c r="F138" s="108"/>
      <c r="G138" s="108"/>
      <c r="H138" s="85"/>
      <c r="I138" s="495"/>
      <c r="J138" s="495"/>
      <c r="K138" s="495"/>
      <c r="L138" s="495"/>
      <c r="M138" s="495"/>
      <c r="N138" s="495"/>
      <c r="O138" s="495"/>
      <c r="P138" s="495"/>
      <c r="Q138" s="495"/>
      <c r="R138" s="495"/>
      <c r="S138" s="495"/>
      <c r="T138" s="495"/>
      <c r="U138" s="495"/>
      <c r="V138" s="495"/>
      <c r="W138" s="495"/>
      <c r="X138" s="495"/>
      <c r="Y138" s="495"/>
      <c r="Z138" s="495"/>
      <c r="AA138" s="495"/>
      <c r="AB138" s="495"/>
      <c r="AC138" s="495"/>
      <c r="AD138" s="495"/>
      <c r="AE138" s="495"/>
      <c r="AF138" s="495"/>
      <c r="AG138" s="495"/>
      <c r="AH138" s="495"/>
      <c r="AI138" s="495"/>
      <c r="AJ138" s="495"/>
      <c r="AK138" s="495"/>
      <c r="AL138" s="495"/>
      <c r="AM138" s="495"/>
      <c r="AN138" s="495"/>
      <c r="AO138" s="495"/>
      <c r="AP138" s="495"/>
      <c r="AQ138" s="495"/>
      <c r="AR138" s="495"/>
      <c r="AS138" s="495"/>
      <c r="AT138" s="710"/>
    </row>
    <row r="139" hidden="1">
      <c r="A139" s="80"/>
      <c r="B139" s="81"/>
      <c r="C139" s="126" t="s">
        <v>932</v>
      </c>
      <c r="F139" s="326"/>
      <c r="G139" s="326"/>
      <c r="H139" s="728"/>
      <c r="I139" s="729"/>
      <c r="J139" s="729"/>
      <c r="K139" s="729"/>
      <c r="L139" s="729"/>
      <c r="M139" s="729"/>
      <c r="N139" s="729"/>
      <c r="O139" s="729"/>
      <c r="P139" s="729"/>
      <c r="Q139" s="729"/>
      <c r="R139" s="729"/>
      <c r="S139" s="729"/>
      <c r="T139" s="729"/>
      <c r="U139" s="729"/>
      <c r="V139" s="729"/>
      <c r="W139" s="729"/>
      <c r="X139" s="729"/>
      <c r="Y139" s="729"/>
      <c r="Z139" s="729"/>
      <c r="AA139" s="729"/>
      <c r="AB139" s="729"/>
      <c r="AC139" s="729"/>
      <c r="AD139" s="729"/>
      <c r="AE139" s="729"/>
      <c r="AF139" s="729"/>
      <c r="AG139" s="729"/>
      <c r="AH139" s="729"/>
      <c r="AI139" s="729"/>
      <c r="AJ139" s="729"/>
      <c r="AK139" s="729"/>
      <c r="AL139" s="729"/>
      <c r="AM139" s="729"/>
      <c r="AN139" s="729"/>
      <c r="AO139" s="729"/>
      <c r="AP139" s="729"/>
      <c r="AQ139" s="729"/>
      <c r="AR139" s="729"/>
      <c r="AS139" s="729"/>
      <c r="AT139" s="710"/>
    </row>
    <row r="140" hidden="1">
      <c r="A140" s="80"/>
      <c r="B140" s="81"/>
      <c r="C140" s="126"/>
      <c r="D140" s="81"/>
      <c r="E140" s="548" t="s">
        <v>933</v>
      </c>
      <c r="F140" s="189" t="s">
        <v>118</v>
      </c>
      <c r="G140" s="189" t="s">
        <v>203</v>
      </c>
      <c r="H140" s="757" t="s">
        <v>150</v>
      </c>
      <c r="I140" s="766">
        <v>19.473486600547975</v>
      </c>
      <c r="J140" s="766">
        <v>8.83764504454431</v>
      </c>
      <c r="K140" s="766">
        <v>16.28316730275831</v>
      </c>
      <c r="L140" s="766">
        <v>4.628709988129611</v>
      </c>
      <c r="M140" s="766">
        <v>10.742973205338606</v>
      </c>
      <c r="N140" s="766">
        <v>16.634907372066387</v>
      </c>
      <c r="O140" s="766">
        <v>25.801233385407535</v>
      </c>
      <c r="P140" s="766">
        <v>42.00159989447181</v>
      </c>
      <c r="Q140" s="766">
        <v>31.17754718361098</v>
      </c>
      <c r="R140" s="766" t="e">
        <v>#VALUE!</v>
      </c>
      <c r="S140" s="766">
        <v>3.4576762609135385</v>
      </c>
      <c r="T140" s="766" t="e">
        <v>#VALUE!</v>
      </c>
      <c r="U140" s="766" t="e">
        <v>#VALUE!</v>
      </c>
      <c r="V140" s="766" t="e">
        <v>#VALUE!</v>
      </c>
      <c r="W140" s="766" t="e">
        <v>#VALUE!</v>
      </c>
      <c r="X140" s="766" t="e">
        <v>#VALUE!</v>
      </c>
      <c r="Y140" s="766" t="e">
        <v>#VALUE!</v>
      </c>
      <c r="Z140" s="766" t="e">
        <v>#VALUE!</v>
      </c>
      <c r="AA140" s="766" t="e">
        <v>#VALUE!</v>
      </c>
      <c r="AB140" s="766" t="e">
        <v>#VALUE!</v>
      </c>
      <c r="AC140" s="766" t="e">
        <v>#VALUE!</v>
      </c>
      <c r="AD140" s="766" t="e">
        <v>#VALUE!</v>
      </c>
      <c r="AE140" s="766" t="e">
        <v>#VALUE!</v>
      </c>
      <c r="AF140" s="766" t="e">
        <v>#VALUE!</v>
      </c>
      <c r="AG140" s="766" t="e">
        <v>#VALUE!</v>
      </c>
      <c r="AH140" s="766" t="e">
        <v>#VALUE!</v>
      </c>
      <c r="AI140" s="766" t="e">
        <v>#VALUE!</v>
      </c>
      <c r="AJ140" s="766" t="e">
        <v>#VALUE!</v>
      </c>
      <c r="AK140" s="766">
        <v>6.814686095331914</v>
      </c>
      <c r="AL140" s="766" t="e">
        <v>#VALUE!</v>
      </c>
      <c r="AM140" s="766" t="e">
        <v>#VALUE!</v>
      </c>
      <c r="AN140" s="766" t="e">
        <v>#VALUE!</v>
      </c>
      <c r="AO140" s="766" t="e">
        <v>#VALUE!</v>
      </c>
      <c r="AP140" s="766" t="e">
        <v>#VALUE!</v>
      </c>
      <c r="AQ140" s="766" t="e">
        <v>#VALUE!</v>
      </c>
      <c r="AR140" s="766">
        <v>6.305099748193979</v>
      </c>
      <c r="AS140" s="766">
        <v>5.500971105346022</v>
      </c>
      <c r="AT140" s="714"/>
    </row>
    <row r="141" hidden="1">
      <c r="A141" s="80"/>
      <c r="B141" s="81"/>
      <c r="C141" s="126"/>
      <c r="D141" s="81"/>
      <c r="E141" s="553" t="s">
        <v>938</v>
      </c>
      <c r="F141" s="215" t="s">
        <v>122</v>
      </c>
      <c r="G141" s="215" t="s">
        <v>203</v>
      </c>
      <c r="H141" s="751" t="s">
        <v>150</v>
      </c>
      <c r="I141" s="767">
        <v>12.030833081626742</v>
      </c>
      <c r="J141" s="767">
        <v>4.110520278501731</v>
      </c>
      <c r="K141" s="767">
        <v>8.859993643727929</v>
      </c>
      <c r="L141" s="767">
        <v>1.8689822056771466</v>
      </c>
      <c r="M141" s="767">
        <v>6.11736260317053</v>
      </c>
      <c r="N141" s="767">
        <v>10.629654669752133</v>
      </c>
      <c r="O141" s="767">
        <v>17.24540024550196</v>
      </c>
      <c r="P141" s="767">
        <v>27.853740934391155</v>
      </c>
      <c r="Q141" s="767">
        <v>20.367999953634982</v>
      </c>
      <c r="R141" s="767" t="e">
        <v>#VALUE!</v>
      </c>
      <c r="S141" s="767">
        <v>0.6979872885615923</v>
      </c>
      <c r="T141" s="767" t="e">
        <v>#VALUE!</v>
      </c>
      <c r="U141" s="767" t="e">
        <v>#VALUE!</v>
      </c>
      <c r="V141" s="767" t="e">
        <v>#VALUE!</v>
      </c>
      <c r="W141" s="767" t="e">
        <v>#VALUE!</v>
      </c>
      <c r="X141" s="767" t="e">
        <v>#VALUE!</v>
      </c>
      <c r="Y141" s="767" t="e">
        <v>#VALUE!</v>
      </c>
      <c r="Z141" s="767" t="e">
        <v>#VALUE!</v>
      </c>
      <c r="AA141" s="767" t="e">
        <v>#VALUE!</v>
      </c>
      <c r="AB141" s="767" t="e">
        <v>#VALUE!</v>
      </c>
      <c r="AC141" s="767" t="e">
        <v>#VALUE!</v>
      </c>
      <c r="AD141" s="767" t="e">
        <v>#VALUE!</v>
      </c>
      <c r="AE141" s="767" t="e">
        <v>#VALUE!</v>
      </c>
      <c r="AF141" s="767" t="e">
        <v>#VALUE!</v>
      </c>
      <c r="AG141" s="767" t="e">
        <v>#VALUE!</v>
      </c>
      <c r="AH141" s="767" t="e">
        <v>#VALUE!</v>
      </c>
      <c r="AI141" s="767" t="e">
        <v>#VALUE!</v>
      </c>
      <c r="AJ141" s="767" t="e">
        <v>#VALUE!</v>
      </c>
      <c r="AK141" s="767">
        <v>3.7507985131043076</v>
      </c>
      <c r="AL141" s="767" t="e">
        <v>#VALUE!</v>
      </c>
      <c r="AM141" s="767" t="e">
        <v>#VALUE!</v>
      </c>
      <c r="AN141" s="767" t="e">
        <v>#VALUE!</v>
      </c>
      <c r="AO141" s="767" t="e">
        <v>#VALUE!</v>
      </c>
      <c r="AP141" s="767" t="e">
        <v>#VALUE!</v>
      </c>
      <c r="AQ141" s="767" t="e">
        <v>#VALUE!</v>
      </c>
      <c r="AR141" s="767">
        <v>2.535588247896312</v>
      </c>
      <c r="AS141" s="767">
        <v>1.841498618548415</v>
      </c>
      <c r="AT141" s="715"/>
    </row>
    <row r="142" hidden="1">
      <c r="A142" s="80"/>
      <c r="B142" s="81"/>
      <c r="C142" s="126"/>
      <c r="D142" s="81"/>
      <c r="E142" s="553" t="s">
        <v>943</v>
      </c>
      <c r="F142" s="215" t="s">
        <v>122</v>
      </c>
      <c r="G142" s="215" t="s">
        <v>203</v>
      </c>
      <c r="H142" s="751" t="s">
        <v>150</v>
      </c>
      <c r="I142" s="767">
        <v>31.17017168166849</v>
      </c>
      <c r="J142" s="767">
        <v>14.100721384802505</v>
      </c>
      <c r="K142" s="767">
        <v>26.310506726621547</v>
      </c>
      <c r="L142" s="767">
        <v>7.679969339171761</v>
      </c>
      <c r="M142" s="767">
        <v>17.2419148833505</v>
      </c>
      <c r="N142" s="767">
        <v>27.707836637349356</v>
      </c>
      <c r="O142" s="767">
        <v>41.359823126439785</v>
      </c>
      <c r="P142" s="767">
        <v>67.49814208477571</v>
      </c>
      <c r="Q142" s="767">
        <v>49.12663708625786</v>
      </c>
      <c r="R142" s="767" t="e">
        <v>#VALUE!</v>
      </c>
      <c r="S142" s="767">
        <v>5.593766259632965</v>
      </c>
      <c r="T142" s="767" t="e">
        <v>#VALUE!</v>
      </c>
      <c r="U142" s="767" t="e">
        <v>#VALUE!</v>
      </c>
      <c r="V142" s="767" t="e">
        <v>#VALUE!</v>
      </c>
      <c r="W142" s="767" t="e">
        <v>#VALUE!</v>
      </c>
      <c r="X142" s="767" t="e">
        <v>#VALUE!</v>
      </c>
      <c r="Y142" s="767" t="e">
        <v>#VALUE!</v>
      </c>
      <c r="Z142" s="767" t="e">
        <v>#VALUE!</v>
      </c>
      <c r="AA142" s="767" t="e">
        <v>#VALUE!</v>
      </c>
      <c r="AB142" s="767" t="e">
        <v>#VALUE!</v>
      </c>
      <c r="AC142" s="767" t="e">
        <v>#VALUE!</v>
      </c>
      <c r="AD142" s="767" t="e">
        <v>#VALUE!</v>
      </c>
      <c r="AE142" s="767" t="e">
        <v>#VALUE!</v>
      </c>
      <c r="AF142" s="767" t="e">
        <v>#VALUE!</v>
      </c>
      <c r="AG142" s="767" t="e">
        <v>#VALUE!</v>
      </c>
      <c r="AH142" s="767" t="e">
        <v>#VALUE!</v>
      </c>
      <c r="AI142" s="767" t="e">
        <v>#VALUE!</v>
      </c>
      <c r="AJ142" s="767" t="e">
        <v>#VALUE!</v>
      </c>
      <c r="AK142" s="767">
        <v>11.427522875443385</v>
      </c>
      <c r="AL142" s="767" t="e">
        <v>#VALUE!</v>
      </c>
      <c r="AM142" s="767" t="e">
        <v>#VALUE!</v>
      </c>
      <c r="AN142" s="767" t="e">
        <v>#VALUE!</v>
      </c>
      <c r="AO142" s="767" t="e">
        <v>#VALUE!</v>
      </c>
      <c r="AP142" s="767" t="e">
        <v>#VALUE!</v>
      </c>
      <c r="AQ142" s="767" t="e">
        <v>#VALUE!</v>
      </c>
      <c r="AR142" s="767">
        <v>10.090731444317903</v>
      </c>
      <c r="AS142" s="767">
        <v>9.260946702232875</v>
      </c>
      <c r="AT142" s="715"/>
    </row>
    <row r="143" hidden="1">
      <c r="A143" s="80"/>
      <c r="B143" s="81"/>
      <c r="C143" s="126"/>
      <c r="D143" s="81"/>
      <c r="E143" s="558" t="s">
        <v>945</v>
      </c>
      <c r="F143" s="195" t="s">
        <v>122</v>
      </c>
      <c r="G143" s="195" t="s">
        <v>203</v>
      </c>
      <c r="H143" s="754" t="s">
        <v>150</v>
      </c>
      <c r="I143" s="768">
        <v>30.60901223311029</v>
      </c>
      <c r="J143" s="768">
        <v>13.584087320409415</v>
      </c>
      <c r="K143" s="768">
        <v>25.539155824885334</v>
      </c>
      <c r="L143" s="768">
        <v>7.247008736210671</v>
      </c>
      <c r="M143" s="768">
        <v>16.738982427021533</v>
      </c>
      <c r="N143" s="768">
        <v>26.066738708231664</v>
      </c>
      <c r="O143" s="768">
        <v>40.37644467746808</v>
      </c>
      <c r="P143" s="768">
        <v>65.72093141073029</v>
      </c>
      <c r="Q143" s="768">
        <v>48.798859736394846</v>
      </c>
      <c r="R143" s="768" t="e">
        <v>#VALUE!</v>
      </c>
      <c r="S143" s="768">
        <v>5.371174094439631</v>
      </c>
      <c r="T143" s="768" t="e">
        <v>#VALUE!</v>
      </c>
      <c r="U143" s="768" t="e">
        <v>#VALUE!</v>
      </c>
      <c r="V143" s="768" t="e">
        <v>#VALUE!</v>
      </c>
      <c r="W143" s="768" t="e">
        <v>#VALUE!</v>
      </c>
      <c r="X143" s="768" t="e">
        <v>#VALUE!</v>
      </c>
      <c r="Y143" s="768" t="e">
        <v>#VALUE!</v>
      </c>
      <c r="Z143" s="768" t="e">
        <v>#VALUE!</v>
      </c>
      <c r="AA143" s="768" t="e">
        <v>#VALUE!</v>
      </c>
      <c r="AB143" s="768" t="e">
        <v>#VALUE!</v>
      </c>
      <c r="AC143" s="768" t="e">
        <v>#VALUE!</v>
      </c>
      <c r="AD143" s="768" t="e">
        <v>#VALUE!</v>
      </c>
      <c r="AE143" s="768" t="e">
        <v>#VALUE!</v>
      </c>
      <c r="AF143" s="768" t="e">
        <v>#VALUE!</v>
      </c>
      <c r="AG143" s="768" t="e">
        <v>#VALUE!</v>
      </c>
      <c r="AH143" s="768" t="e">
        <v>#VALUE!</v>
      </c>
      <c r="AI143" s="768" t="e">
        <v>#VALUE!</v>
      </c>
      <c r="AJ143" s="768" t="e">
        <v>#VALUE!</v>
      </c>
      <c r="AK143" s="768">
        <v>10.524363825095286</v>
      </c>
      <c r="AL143" s="768" t="e">
        <v>#VALUE!</v>
      </c>
      <c r="AM143" s="768" t="e">
        <v>#VALUE!</v>
      </c>
      <c r="AN143" s="768" t="e">
        <v>#VALUE!</v>
      </c>
      <c r="AO143" s="768" t="e">
        <v>#VALUE!</v>
      </c>
      <c r="AP143" s="768" t="e">
        <v>#VALUE!</v>
      </c>
      <c r="AQ143" s="768" t="e">
        <v>#VALUE!</v>
      </c>
      <c r="AR143" s="768">
        <v>9.792348447642938</v>
      </c>
      <c r="AS143" s="768">
        <v>8.552045026666091</v>
      </c>
      <c r="AT143" s="716"/>
    </row>
    <row r="144" hidden="1">
      <c r="A144" s="80"/>
      <c r="B144" s="81"/>
      <c r="C144" s="126"/>
      <c r="D144" s="81"/>
      <c r="E144" s="624"/>
      <c r="F144" s="326"/>
      <c r="G144" s="326"/>
      <c r="H144" s="728"/>
      <c r="I144" s="729"/>
      <c r="J144" s="729"/>
      <c r="K144" s="729"/>
      <c r="L144" s="729"/>
      <c r="M144" s="729"/>
      <c r="N144" s="729"/>
      <c r="O144" s="729"/>
      <c r="P144" s="729"/>
      <c r="Q144" s="729"/>
      <c r="R144" s="729"/>
      <c r="S144" s="729"/>
      <c r="T144" s="729"/>
      <c r="U144" s="729"/>
      <c r="V144" s="729"/>
      <c r="W144" s="729"/>
      <c r="X144" s="729"/>
      <c r="Y144" s="729"/>
      <c r="Z144" s="729"/>
      <c r="AA144" s="729"/>
      <c r="AB144" s="729"/>
      <c r="AC144" s="729"/>
      <c r="AD144" s="729"/>
      <c r="AE144" s="729"/>
      <c r="AF144" s="729"/>
      <c r="AG144" s="729"/>
      <c r="AH144" s="729"/>
      <c r="AI144" s="729"/>
      <c r="AJ144" s="729"/>
      <c r="AK144" s="729"/>
      <c r="AL144" s="729"/>
      <c r="AM144" s="729"/>
      <c r="AN144" s="729"/>
      <c r="AO144" s="729"/>
      <c r="AP144" s="729"/>
      <c r="AQ144" s="729"/>
      <c r="AR144" s="729"/>
      <c r="AS144" s="729"/>
      <c r="AT144" s="710"/>
    </row>
    <row r="145" hidden="1">
      <c r="A145" s="80"/>
      <c r="B145" s="81"/>
      <c r="C145" s="126" t="s">
        <v>957</v>
      </c>
      <c r="F145" s="326"/>
      <c r="G145" s="326"/>
      <c r="H145" s="728"/>
      <c r="I145" s="729"/>
      <c r="J145" s="729"/>
      <c r="K145" s="729"/>
      <c r="L145" s="729"/>
      <c r="M145" s="729"/>
      <c r="N145" s="729"/>
      <c r="O145" s="729"/>
      <c r="P145" s="729"/>
      <c r="Q145" s="729"/>
      <c r="R145" s="729"/>
      <c r="S145" s="729"/>
      <c r="T145" s="729"/>
      <c r="U145" s="729"/>
      <c r="V145" s="729"/>
      <c r="W145" s="729"/>
      <c r="X145" s="729"/>
      <c r="Y145" s="729"/>
      <c r="Z145" s="729"/>
      <c r="AA145" s="729"/>
      <c r="AB145" s="729"/>
      <c r="AC145" s="729"/>
      <c r="AD145" s="729"/>
      <c r="AE145" s="729"/>
      <c r="AF145" s="729"/>
      <c r="AG145" s="729"/>
      <c r="AH145" s="729"/>
      <c r="AI145" s="729"/>
      <c r="AJ145" s="729"/>
      <c r="AK145" s="729"/>
      <c r="AL145" s="729"/>
      <c r="AM145" s="729"/>
      <c r="AN145" s="729"/>
      <c r="AO145" s="729"/>
      <c r="AP145" s="729"/>
      <c r="AQ145" s="729"/>
      <c r="AR145" s="729"/>
      <c r="AS145" s="729"/>
      <c r="AT145" s="710"/>
    </row>
    <row r="146" hidden="1">
      <c r="A146" s="80"/>
      <c r="B146" s="81"/>
      <c r="C146" s="126"/>
      <c r="D146" s="81"/>
      <c r="E146" s="548" t="s">
        <v>959</v>
      </c>
      <c r="F146" s="189" t="s">
        <v>122</v>
      </c>
      <c r="G146" s="189" t="s">
        <v>203</v>
      </c>
      <c r="H146" s="757" t="s">
        <v>150</v>
      </c>
      <c r="I146" s="769">
        <v>26.498394335855657</v>
      </c>
      <c r="J146" s="769">
        <v>12.00463534538463</v>
      </c>
      <c r="K146" s="769">
        <v>22.39303628667768</v>
      </c>
      <c r="L146" s="769">
        <v>6.290253777616931</v>
      </c>
      <c r="M146" s="769">
        <v>14.439214005439508</v>
      </c>
      <c r="N146" s="769">
        <v>22.90464887283636</v>
      </c>
      <c r="O146" s="769">
        <v>35.567604836120225</v>
      </c>
      <c r="P146" s="769">
        <v>57.52956780590714</v>
      </c>
      <c r="Q146" s="769">
        <v>42.1705191692068</v>
      </c>
      <c r="R146" s="769" t="e">
        <v>#VALUE!</v>
      </c>
      <c r="S146" s="769">
        <v>4.656040851973198</v>
      </c>
      <c r="T146" s="769" t="e">
        <v>#VALUE!</v>
      </c>
      <c r="U146" s="769" t="e">
        <v>#VALUE!</v>
      </c>
      <c r="V146" s="769" t="e">
        <v>#VALUE!</v>
      </c>
      <c r="W146" s="769" t="e">
        <v>#VALUE!</v>
      </c>
      <c r="X146" s="769" t="e">
        <v>#VALUE!</v>
      </c>
      <c r="Y146" s="769" t="e">
        <v>#VALUE!</v>
      </c>
      <c r="Z146" s="769" t="e">
        <v>#VALUE!</v>
      </c>
      <c r="AA146" s="769" t="e">
        <v>#VALUE!</v>
      </c>
      <c r="AB146" s="769" t="e">
        <v>#VALUE!</v>
      </c>
      <c r="AC146" s="769" t="e">
        <v>#VALUE!</v>
      </c>
      <c r="AD146" s="769" t="e">
        <v>#VALUE!</v>
      </c>
      <c r="AE146" s="769" t="e">
        <v>#VALUE!</v>
      </c>
      <c r="AF146" s="769" t="e">
        <v>#VALUE!</v>
      </c>
      <c r="AG146" s="769" t="e">
        <v>#VALUE!</v>
      </c>
      <c r="AH146" s="769" t="e">
        <v>#VALUE!</v>
      </c>
      <c r="AI146" s="769" t="e">
        <v>#VALUE!</v>
      </c>
      <c r="AJ146" s="769" t="e">
        <v>#VALUE!</v>
      </c>
      <c r="AK146" s="769">
        <v>9.391479392191181</v>
      </c>
      <c r="AL146" s="769" t="e">
        <v>#VALUE!</v>
      </c>
      <c r="AM146" s="769" t="e">
        <v>#VALUE!</v>
      </c>
      <c r="AN146" s="769" t="e">
        <v>#VALUE!</v>
      </c>
      <c r="AO146" s="769" t="e">
        <v>#VALUE!</v>
      </c>
      <c r="AP146" s="769" t="e">
        <v>#VALUE!</v>
      </c>
      <c r="AQ146" s="769" t="e">
        <v>#VALUE!</v>
      </c>
      <c r="AR146" s="769">
        <v>8.563525486865366</v>
      </c>
      <c r="AS146" s="769">
        <v>7.647703743939832</v>
      </c>
      <c r="AT146" s="714"/>
    </row>
    <row r="147" hidden="1">
      <c r="A147" s="80"/>
      <c r="B147" s="81"/>
      <c r="C147" s="126"/>
      <c r="D147" s="81"/>
      <c r="E147" s="553" t="s">
        <v>962</v>
      </c>
      <c r="F147" s="215" t="s">
        <v>122</v>
      </c>
      <c r="G147" s="215" t="s">
        <v>203</v>
      </c>
      <c r="H147" s="751" t="s">
        <v>150</v>
      </c>
      <c r="I147" s="770">
        <v>30.31858457923073</v>
      </c>
      <c r="J147" s="770">
        <v>13.692015647125812</v>
      </c>
      <c r="K147" s="770">
        <v>25.082682338660522</v>
      </c>
      <c r="L147" s="770">
        <v>7.176492957366448</v>
      </c>
      <c r="M147" s="770">
        <v>16.616194255500663</v>
      </c>
      <c r="N147" s="770">
        <v>25.750829934479817</v>
      </c>
      <c r="O147" s="770">
        <v>39.971717008780374</v>
      </c>
      <c r="P147" s="770">
        <v>64.8522445886918</v>
      </c>
      <c r="Q147" s="770">
        <v>48.455990666647615</v>
      </c>
      <c r="R147" s="770" t="e">
        <v>#VALUE!</v>
      </c>
      <c r="S147" s="770">
        <v>5.347486829408199</v>
      </c>
      <c r="T147" s="770" t="e">
        <v>#VALUE!</v>
      </c>
      <c r="U147" s="770" t="e">
        <v>#VALUE!</v>
      </c>
      <c r="V147" s="770" t="e">
        <v>#VALUE!</v>
      </c>
      <c r="W147" s="770" t="e">
        <v>#VALUE!</v>
      </c>
      <c r="X147" s="770" t="e">
        <v>#VALUE!</v>
      </c>
      <c r="Y147" s="770" t="e">
        <v>#VALUE!</v>
      </c>
      <c r="Z147" s="770" t="e">
        <v>#VALUE!</v>
      </c>
      <c r="AA147" s="770" t="e">
        <v>#VALUE!</v>
      </c>
      <c r="AB147" s="770" t="e">
        <v>#VALUE!</v>
      </c>
      <c r="AC147" s="770" t="e">
        <v>#VALUE!</v>
      </c>
      <c r="AD147" s="770" t="e">
        <v>#VALUE!</v>
      </c>
      <c r="AE147" s="770" t="e">
        <v>#VALUE!</v>
      </c>
      <c r="AF147" s="770" t="e">
        <v>#VALUE!</v>
      </c>
      <c r="AG147" s="770" t="e">
        <v>#VALUE!</v>
      </c>
      <c r="AH147" s="770" t="e">
        <v>#VALUE!</v>
      </c>
      <c r="AI147" s="770" t="e">
        <v>#VALUE!</v>
      </c>
      <c r="AJ147" s="770" t="e">
        <v>#VALUE!</v>
      </c>
      <c r="AK147" s="770">
        <v>10.470852712809322</v>
      </c>
      <c r="AL147" s="770" t="e">
        <v>#VALUE!</v>
      </c>
      <c r="AM147" s="770" t="e">
        <v>#VALUE!</v>
      </c>
      <c r="AN147" s="770" t="e">
        <v>#VALUE!</v>
      </c>
      <c r="AO147" s="770" t="e">
        <v>#VALUE!</v>
      </c>
      <c r="AP147" s="770" t="e">
        <v>#VALUE!</v>
      </c>
      <c r="AQ147" s="770" t="e">
        <v>#VALUE!</v>
      </c>
      <c r="AR147" s="770">
        <v>9.781682407392566</v>
      </c>
      <c r="AS147" s="770">
        <v>8.395036793540186</v>
      </c>
      <c r="AT147" s="715"/>
    </row>
    <row r="148" hidden="1">
      <c r="A148" s="80"/>
      <c r="B148" s="81"/>
      <c r="C148" s="126"/>
      <c r="D148" s="81"/>
      <c r="E148" s="558" t="s">
        <v>963</v>
      </c>
      <c r="F148" s="195" t="s">
        <v>122</v>
      </c>
      <c r="G148" s="195" t="s">
        <v>203</v>
      </c>
      <c r="H148" s="754" t="s">
        <v>150</v>
      </c>
      <c r="I148" s="771">
        <v>24.336142430733418</v>
      </c>
      <c r="J148" s="771">
        <v>10.99987650236925</v>
      </c>
      <c r="K148" s="771">
        <v>20.23955602577244</v>
      </c>
      <c r="L148" s="771">
        <v>5.860749437949399</v>
      </c>
      <c r="M148" s="771">
        <v>13.396188828738355</v>
      </c>
      <c r="N148" s="771">
        <v>20.702550243622547</v>
      </c>
      <c r="O148" s="771">
        <v>31.844368625375786</v>
      </c>
      <c r="P148" s="771">
        <v>51.722343603988506</v>
      </c>
      <c r="Q148" s="771">
        <v>38.59974733342608</v>
      </c>
      <c r="R148" s="771" t="e">
        <v>#VALUE!</v>
      </c>
      <c r="S148" s="771">
        <v>4.387610750708422</v>
      </c>
      <c r="T148" s="771" t="e">
        <v>#VALUE!</v>
      </c>
      <c r="U148" s="771" t="e">
        <v>#VALUE!</v>
      </c>
      <c r="V148" s="771" t="e">
        <v>#VALUE!</v>
      </c>
      <c r="W148" s="771" t="e">
        <v>#VALUE!</v>
      </c>
      <c r="X148" s="771" t="e">
        <v>#VALUE!</v>
      </c>
      <c r="Y148" s="771" t="e">
        <v>#VALUE!</v>
      </c>
      <c r="Z148" s="771" t="e">
        <v>#VALUE!</v>
      </c>
      <c r="AA148" s="771" t="e">
        <v>#VALUE!</v>
      </c>
      <c r="AB148" s="771" t="e">
        <v>#VALUE!</v>
      </c>
      <c r="AC148" s="771" t="e">
        <v>#VALUE!</v>
      </c>
      <c r="AD148" s="771" t="e">
        <v>#VALUE!</v>
      </c>
      <c r="AE148" s="771" t="e">
        <v>#VALUE!</v>
      </c>
      <c r="AF148" s="771" t="e">
        <v>#VALUE!</v>
      </c>
      <c r="AG148" s="771" t="e">
        <v>#VALUE!</v>
      </c>
      <c r="AH148" s="771" t="e">
        <v>#VALUE!</v>
      </c>
      <c r="AI148" s="771" t="e">
        <v>#VALUE!</v>
      </c>
      <c r="AJ148" s="771" t="e">
        <v>#VALUE!</v>
      </c>
      <c r="AK148" s="771">
        <v>8.586245884845203</v>
      </c>
      <c r="AL148" s="771" t="e">
        <v>#VALUE!</v>
      </c>
      <c r="AM148" s="771" t="e">
        <v>#VALUE!</v>
      </c>
      <c r="AN148" s="771" t="e">
        <v>#VALUE!</v>
      </c>
      <c r="AO148" s="771" t="e">
        <v>#VALUE!</v>
      </c>
      <c r="AP148" s="771" t="e">
        <v>#VALUE!</v>
      </c>
      <c r="AQ148" s="771" t="e">
        <v>#VALUE!</v>
      </c>
      <c r="AR148" s="771">
        <v>7.940771222957956</v>
      </c>
      <c r="AS148" s="771">
        <v>6.900892240092396</v>
      </c>
      <c r="AT148" s="716"/>
    </row>
    <row r="149" hidden="1">
      <c r="A149" s="80"/>
      <c r="B149" s="81"/>
      <c r="C149" s="126"/>
      <c r="D149" s="81"/>
      <c r="E149" s="624"/>
      <c r="F149" s="326"/>
      <c r="G149" s="326"/>
      <c r="H149" s="728"/>
      <c r="I149" s="729"/>
      <c r="J149" s="729"/>
      <c r="K149" s="729"/>
      <c r="L149" s="729"/>
      <c r="M149" s="729"/>
      <c r="N149" s="729"/>
      <c r="O149" s="729"/>
      <c r="P149" s="729"/>
      <c r="Q149" s="729"/>
      <c r="R149" s="729"/>
      <c r="S149" s="729"/>
      <c r="T149" s="729"/>
      <c r="U149" s="729"/>
      <c r="V149" s="729"/>
      <c r="W149" s="729"/>
      <c r="X149" s="729"/>
      <c r="Y149" s="729"/>
      <c r="Z149" s="729"/>
      <c r="AA149" s="729"/>
      <c r="AB149" s="729"/>
      <c r="AC149" s="729"/>
      <c r="AD149" s="729"/>
      <c r="AE149" s="729"/>
      <c r="AF149" s="729"/>
      <c r="AG149" s="729"/>
      <c r="AH149" s="729"/>
      <c r="AI149" s="729"/>
      <c r="AJ149" s="729"/>
      <c r="AK149" s="729"/>
      <c r="AL149" s="729"/>
      <c r="AM149" s="729"/>
      <c r="AN149" s="729"/>
      <c r="AO149" s="729"/>
      <c r="AP149" s="729"/>
      <c r="AQ149" s="729"/>
      <c r="AR149" s="729"/>
      <c r="AS149" s="729"/>
      <c r="AT149" s="710"/>
    </row>
    <row r="150" hidden="1">
      <c r="A150" s="80"/>
      <c r="B150" s="81"/>
      <c r="C150" s="126" t="s">
        <v>969</v>
      </c>
      <c r="F150" s="326"/>
      <c r="G150" s="326"/>
      <c r="H150" s="728"/>
      <c r="I150" s="729"/>
      <c r="J150" s="729"/>
      <c r="K150" s="729"/>
      <c r="L150" s="729"/>
      <c r="M150" s="729"/>
      <c r="N150" s="729"/>
      <c r="O150" s="729"/>
      <c r="P150" s="729"/>
      <c r="Q150" s="729"/>
      <c r="R150" s="729"/>
      <c r="S150" s="729"/>
      <c r="T150" s="729"/>
      <c r="U150" s="729"/>
      <c r="V150" s="729"/>
      <c r="W150" s="729"/>
      <c r="X150" s="729"/>
      <c r="Y150" s="729"/>
      <c r="Z150" s="729"/>
      <c r="AA150" s="729"/>
      <c r="AB150" s="729"/>
      <c r="AC150" s="729"/>
      <c r="AD150" s="729"/>
      <c r="AE150" s="729"/>
      <c r="AF150" s="729"/>
      <c r="AG150" s="729"/>
      <c r="AH150" s="729"/>
      <c r="AI150" s="729"/>
      <c r="AJ150" s="729"/>
      <c r="AK150" s="729"/>
      <c r="AL150" s="729"/>
      <c r="AM150" s="729"/>
      <c r="AN150" s="729"/>
      <c r="AO150" s="729"/>
      <c r="AP150" s="729"/>
      <c r="AQ150" s="729"/>
      <c r="AR150" s="729"/>
      <c r="AS150" s="729"/>
      <c r="AT150" s="710"/>
    </row>
    <row r="151" hidden="1">
      <c r="A151" s="80"/>
      <c r="B151" s="81"/>
      <c r="C151" s="126"/>
      <c r="D151" s="81"/>
      <c r="E151" s="548" t="s">
        <v>971</v>
      </c>
      <c r="F151" s="189" t="s">
        <v>122</v>
      </c>
      <c r="G151" s="189" t="s">
        <v>203</v>
      </c>
      <c r="H151" s="757" t="s">
        <v>150</v>
      </c>
      <c r="I151" s="766">
        <v>26.88127510056811</v>
      </c>
      <c r="J151" s="766">
        <v>12.199518892363278</v>
      </c>
      <c r="K151" s="766">
        <v>22.477346186260494</v>
      </c>
      <c r="L151" s="766">
        <v>6.389488903756874</v>
      </c>
      <c r="M151" s="766">
        <v>14.829641145135916</v>
      </c>
      <c r="N151" s="766">
        <v>22.9628895181206</v>
      </c>
      <c r="O151" s="766">
        <v>35.61612087213933</v>
      </c>
      <c r="P151" s="766">
        <v>57.9791685273</v>
      </c>
      <c r="Q151" s="766">
        <v>43.037604923815024</v>
      </c>
      <c r="R151" s="766" t="e">
        <v>#VALUE!</v>
      </c>
      <c r="S151" s="766">
        <v>4.772989484877613</v>
      </c>
      <c r="T151" s="766" t="e">
        <v>#VALUE!</v>
      </c>
      <c r="U151" s="766" t="e">
        <v>#VALUE!</v>
      </c>
      <c r="V151" s="766" t="e">
        <v>#VALUE!</v>
      </c>
      <c r="W151" s="766" t="e">
        <v>#VALUE!</v>
      </c>
      <c r="X151" s="766" t="e">
        <v>#VALUE!</v>
      </c>
      <c r="Y151" s="766" t="e">
        <v>#VALUE!</v>
      </c>
      <c r="Z151" s="766" t="e">
        <v>#VALUE!</v>
      </c>
      <c r="AA151" s="766" t="e">
        <v>#VALUE!</v>
      </c>
      <c r="AB151" s="766" t="e">
        <v>#VALUE!</v>
      </c>
      <c r="AC151" s="766" t="e">
        <v>#VALUE!</v>
      </c>
      <c r="AD151" s="766" t="e">
        <v>#VALUE!</v>
      </c>
      <c r="AE151" s="766" t="e">
        <v>#VALUE!</v>
      </c>
      <c r="AF151" s="766" t="e">
        <v>#VALUE!</v>
      </c>
      <c r="AG151" s="766" t="e">
        <v>#VALUE!</v>
      </c>
      <c r="AH151" s="766" t="e">
        <v>#VALUE!</v>
      </c>
      <c r="AI151" s="766" t="e">
        <v>#VALUE!</v>
      </c>
      <c r="AJ151" s="766" t="e">
        <v>#VALUE!</v>
      </c>
      <c r="AK151" s="766">
        <v>9.407018651065739</v>
      </c>
      <c r="AL151" s="766" t="e">
        <v>#VALUE!</v>
      </c>
      <c r="AM151" s="766" t="e">
        <v>#VALUE!</v>
      </c>
      <c r="AN151" s="766" t="e">
        <v>#VALUE!</v>
      </c>
      <c r="AO151" s="766" t="e">
        <v>#VALUE!</v>
      </c>
      <c r="AP151" s="766" t="e">
        <v>#VALUE!</v>
      </c>
      <c r="AQ151" s="766" t="e">
        <v>#VALUE!</v>
      </c>
      <c r="AR151" s="766">
        <v>8.70358371586913</v>
      </c>
      <c r="AS151" s="766">
        <v>7.593561473420049</v>
      </c>
      <c r="AT151" s="714"/>
    </row>
    <row r="152" hidden="1">
      <c r="A152" s="80"/>
      <c r="B152" s="81"/>
      <c r="C152" s="126"/>
      <c r="D152" s="81"/>
      <c r="E152" s="553" t="s">
        <v>972</v>
      </c>
      <c r="F152" s="215" t="s">
        <v>122</v>
      </c>
      <c r="G152" s="215" t="s">
        <v>203</v>
      </c>
      <c r="H152" s="751" t="s">
        <v>150</v>
      </c>
      <c r="I152" s="767">
        <v>24.822497013295926</v>
      </c>
      <c r="J152" s="767">
        <v>11.265184413180418</v>
      </c>
      <c r="K152" s="767">
        <v>20.75585538587335</v>
      </c>
      <c r="L152" s="767">
        <v>5.900131918468427</v>
      </c>
      <c r="M152" s="767">
        <v>13.693871353059702</v>
      </c>
      <c r="N152" s="767">
        <v>21.204212015528483</v>
      </c>
      <c r="O152" s="767">
        <v>32.88836004491398</v>
      </c>
      <c r="P152" s="767">
        <v>53.53867077428442</v>
      </c>
      <c r="Q152" s="767">
        <v>39.74144885925561</v>
      </c>
      <c r="R152" s="767" t="e">
        <v>#VALUE!</v>
      </c>
      <c r="S152" s="767">
        <v>4.407436655799246</v>
      </c>
      <c r="T152" s="767" t="e">
        <v>#VALUE!</v>
      </c>
      <c r="U152" s="767" t="e">
        <v>#VALUE!</v>
      </c>
      <c r="V152" s="767" t="e">
        <v>#VALUE!</v>
      </c>
      <c r="W152" s="767" t="e">
        <v>#VALUE!</v>
      </c>
      <c r="X152" s="767" t="e">
        <v>#VALUE!</v>
      </c>
      <c r="Y152" s="767" t="e">
        <v>#VALUE!</v>
      </c>
      <c r="Z152" s="767" t="e">
        <v>#VALUE!</v>
      </c>
      <c r="AA152" s="767" t="e">
        <v>#VALUE!</v>
      </c>
      <c r="AB152" s="767" t="e">
        <v>#VALUE!</v>
      </c>
      <c r="AC152" s="767" t="e">
        <v>#VALUE!</v>
      </c>
      <c r="AD152" s="767" t="e">
        <v>#VALUE!</v>
      </c>
      <c r="AE152" s="767" t="e">
        <v>#VALUE!</v>
      </c>
      <c r="AF152" s="767" t="e">
        <v>#VALUE!</v>
      </c>
      <c r="AG152" s="767" t="e">
        <v>#VALUE!</v>
      </c>
      <c r="AH152" s="767" t="e">
        <v>#VALUE!</v>
      </c>
      <c r="AI152" s="767" t="e">
        <v>#VALUE!</v>
      </c>
      <c r="AJ152" s="767" t="e">
        <v>#VALUE!</v>
      </c>
      <c r="AK152" s="767">
        <v>8.686555659897378</v>
      </c>
      <c r="AL152" s="767" t="e">
        <v>#VALUE!</v>
      </c>
      <c r="AM152" s="767" t="e">
        <v>#VALUE!</v>
      </c>
      <c r="AN152" s="767" t="e">
        <v>#VALUE!</v>
      </c>
      <c r="AO152" s="767" t="e">
        <v>#VALUE!</v>
      </c>
      <c r="AP152" s="767" t="e">
        <v>#VALUE!</v>
      </c>
      <c r="AQ152" s="767" t="e">
        <v>#VALUE!</v>
      </c>
      <c r="AR152" s="767">
        <v>8.036995268411456</v>
      </c>
      <c r="AS152" s="767">
        <v>7.0119872025811985</v>
      </c>
      <c r="AT152" s="715"/>
    </row>
    <row r="153" hidden="1">
      <c r="A153" s="80"/>
      <c r="B153" s="81"/>
      <c r="C153" s="126"/>
      <c r="D153" s="81"/>
      <c r="E153" s="558" t="s">
        <v>975</v>
      </c>
      <c r="F153" s="195" t="s">
        <v>122</v>
      </c>
      <c r="G153" s="195" t="s">
        <v>203</v>
      </c>
      <c r="H153" s="754" t="s">
        <v>150</v>
      </c>
      <c r="I153" s="768">
        <v>25.305507143391072</v>
      </c>
      <c r="J153" s="768">
        <v>11.409432917701421</v>
      </c>
      <c r="K153" s="768">
        <v>21.129340078670523</v>
      </c>
      <c r="L153" s="768">
        <v>5.978720154634493</v>
      </c>
      <c r="M153" s="768">
        <v>13.911109147360246</v>
      </c>
      <c r="N153" s="768">
        <v>21.614500198952925</v>
      </c>
      <c r="O153" s="768">
        <v>33.599912561238426</v>
      </c>
      <c r="P153" s="768">
        <v>54.153806980247424</v>
      </c>
      <c r="Q153" s="768">
        <v>40.58195604140141</v>
      </c>
      <c r="R153" s="768">
        <v>1.9328135749565332</v>
      </c>
      <c r="S153" s="768">
        <v>4.414073489922687</v>
      </c>
      <c r="T153" s="768">
        <v>1.8297708102903283</v>
      </c>
      <c r="U153" s="768">
        <v>2.262923892706917</v>
      </c>
      <c r="V153" s="768">
        <v>3.2057080139583385</v>
      </c>
      <c r="W153" s="768">
        <v>3.985352143693926</v>
      </c>
      <c r="X153" s="768">
        <v>8.231304742382834</v>
      </c>
      <c r="Y153" s="768">
        <v>1.4820543102614148</v>
      </c>
      <c r="Z153" s="768">
        <v>2.645232120720186</v>
      </c>
      <c r="AA153" s="768">
        <v>0.8353580376408508</v>
      </c>
      <c r="AB153" s="768">
        <v>1.7309245426844642</v>
      </c>
      <c r="AC153" s="768">
        <v>1.136827624889913</v>
      </c>
      <c r="AD153" s="768">
        <v>0.8889927861895535</v>
      </c>
      <c r="AE153" s="768">
        <v>1.4651187374987884</v>
      </c>
      <c r="AF153" s="768">
        <v>1.083288690706876</v>
      </c>
      <c r="AG153" s="768">
        <v>2.458182057158834</v>
      </c>
      <c r="AH153" s="768">
        <v>2.783964650692456</v>
      </c>
      <c r="AI153" s="768">
        <v>1.0241430743677422</v>
      </c>
      <c r="AJ153" s="768">
        <v>4.480704473360505</v>
      </c>
      <c r="AK153" s="768">
        <v>8.886909490880173</v>
      </c>
      <c r="AL153" s="768">
        <v>3.6047188788004934</v>
      </c>
      <c r="AM153" s="768">
        <v>3.1087916992953093</v>
      </c>
      <c r="AN153" s="768">
        <v>1.0879261894043812</v>
      </c>
      <c r="AO153" s="768">
        <v>2.1160206432634663</v>
      </c>
      <c r="AP153" s="768">
        <v>2.842050591507337</v>
      </c>
      <c r="AQ153" s="768">
        <v>1.6763420563469866</v>
      </c>
      <c r="AR153" s="768">
        <v>8.186992399876733</v>
      </c>
      <c r="AS153" s="768">
        <v>7.123403638534234</v>
      </c>
      <c r="AT153" s="716"/>
    </row>
    <row r="154" hidden="1">
      <c r="A154" s="333"/>
      <c r="B154" s="334"/>
      <c r="C154" s="737"/>
      <c r="D154" s="334"/>
      <c r="E154" s="738"/>
      <c r="F154" s="93"/>
      <c r="G154" s="93"/>
      <c r="H154" s="337"/>
      <c r="I154" s="739"/>
      <c r="J154" s="739"/>
      <c r="K154" s="739"/>
      <c r="L154" s="739"/>
      <c r="M154" s="739"/>
      <c r="N154" s="739"/>
      <c r="O154" s="739"/>
      <c r="P154" s="739"/>
      <c r="Q154" s="739"/>
      <c r="R154" s="739"/>
      <c r="S154" s="739"/>
      <c r="T154" s="739"/>
      <c r="U154" s="739"/>
      <c r="V154" s="739"/>
      <c r="W154" s="739"/>
      <c r="X154" s="739"/>
      <c r="Y154" s="739"/>
      <c r="Z154" s="739"/>
      <c r="AA154" s="739"/>
      <c r="AB154" s="739"/>
      <c r="AC154" s="739"/>
      <c r="AD154" s="739"/>
      <c r="AE154" s="739"/>
      <c r="AF154" s="739"/>
      <c r="AG154" s="739"/>
      <c r="AH154" s="739"/>
      <c r="AI154" s="739"/>
      <c r="AJ154" s="739"/>
      <c r="AK154" s="739"/>
      <c r="AL154" s="739"/>
      <c r="AM154" s="739"/>
      <c r="AN154" s="739"/>
      <c r="AO154" s="739"/>
      <c r="AP154" s="739"/>
      <c r="AQ154" s="739"/>
      <c r="AR154" s="739"/>
      <c r="AS154" s="739"/>
      <c r="AT154" s="711"/>
    </row>
  </sheetData>
  <mergeCells count="35">
    <mergeCell ref="I1:Q1"/>
    <mergeCell ref="R1:AE1"/>
    <mergeCell ref="AF1:AS1"/>
    <mergeCell ref="A3:E3"/>
    <mergeCell ref="A4:G4"/>
    <mergeCell ref="C6:E6"/>
    <mergeCell ref="C9:E9"/>
    <mergeCell ref="C18:E18"/>
    <mergeCell ref="C23:E23"/>
    <mergeCell ref="C28:E28"/>
    <mergeCell ref="C34:E34"/>
    <mergeCell ref="C40:E40"/>
    <mergeCell ref="A44:G44"/>
    <mergeCell ref="C46:E46"/>
    <mergeCell ref="C52:E52"/>
    <mergeCell ref="C57:E57"/>
    <mergeCell ref="A62:G62"/>
    <mergeCell ref="C64:E64"/>
    <mergeCell ref="C70:E70"/>
    <mergeCell ref="C75:E75"/>
    <mergeCell ref="A80:G80"/>
    <mergeCell ref="C121:E121"/>
    <mergeCell ref="C127:E127"/>
    <mergeCell ref="C132:E132"/>
    <mergeCell ref="A137:G137"/>
    <mergeCell ref="C139:E139"/>
    <mergeCell ref="C145:E145"/>
    <mergeCell ref="C150:E150"/>
    <mergeCell ref="C82:E82"/>
    <mergeCell ref="C85:E85"/>
    <mergeCell ref="C94:E94"/>
    <mergeCell ref="C104:E104"/>
    <mergeCell ref="C110:E110"/>
    <mergeCell ref="C116:E116"/>
    <mergeCell ref="A119:G11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4" width="1.88"/>
    <col customWidth="1" min="5" max="5" width="50.0"/>
    <col customWidth="1" min="6" max="44" width="7.63"/>
    <col customWidth="1" min="45" max="45" width="3.63"/>
  </cols>
  <sheetData>
    <row r="1">
      <c r="A1" s="1"/>
      <c r="B1" s="3"/>
      <c r="C1" s="3"/>
      <c r="D1" s="3"/>
      <c r="E1" s="777"/>
      <c r="F1" s="778" t="s">
        <v>1</v>
      </c>
      <c r="G1" s="4"/>
      <c r="H1" s="4"/>
      <c r="I1" s="4"/>
      <c r="J1" s="4"/>
      <c r="K1" s="4"/>
      <c r="L1" s="4"/>
      <c r="M1" s="4"/>
      <c r="N1" s="4"/>
      <c r="O1" s="4"/>
      <c r="P1" s="4"/>
      <c r="Q1" s="4"/>
      <c r="R1" s="4"/>
      <c r="S1" s="4"/>
      <c r="T1" s="4"/>
      <c r="U1" s="4"/>
      <c r="V1" s="4"/>
      <c r="W1" s="4"/>
      <c r="X1" s="4"/>
      <c r="Y1" s="4"/>
      <c r="Z1" s="4"/>
      <c r="AA1" s="4"/>
      <c r="AB1" s="4"/>
      <c r="AC1" s="4"/>
      <c r="AD1" s="4"/>
      <c r="AE1" s="4"/>
      <c r="AF1" s="4"/>
      <c r="AG1" s="16" t="s">
        <v>3</v>
      </c>
      <c r="AH1" s="14"/>
      <c r="AI1" s="14"/>
      <c r="AJ1" s="14"/>
      <c r="AK1" s="14"/>
      <c r="AL1" s="14"/>
      <c r="AM1" s="14"/>
      <c r="AN1" s="14"/>
      <c r="AO1" s="14"/>
      <c r="AP1" s="14"/>
      <c r="AQ1" s="14"/>
      <c r="AR1" s="482"/>
      <c r="AS1" s="779"/>
    </row>
    <row r="2">
      <c r="A2" s="24"/>
      <c r="B2" s="25"/>
      <c r="C2" s="25"/>
      <c r="D2" s="25"/>
      <c r="E2" s="26"/>
      <c r="F2" s="778" t="s">
        <v>7</v>
      </c>
      <c r="G2" s="4"/>
      <c r="H2" s="780"/>
      <c r="I2" s="778" t="s">
        <v>7</v>
      </c>
      <c r="J2" s="4"/>
      <c r="K2" s="780"/>
      <c r="L2" s="778" t="s">
        <v>7</v>
      </c>
      <c r="M2" s="4"/>
      <c r="N2" s="780"/>
      <c r="O2" s="778" t="s">
        <v>7</v>
      </c>
      <c r="P2" s="4"/>
      <c r="Q2" s="780"/>
      <c r="R2" s="778" t="s">
        <v>7</v>
      </c>
      <c r="S2" s="4"/>
      <c r="T2" s="780"/>
      <c r="U2" s="778" t="s">
        <v>7</v>
      </c>
      <c r="V2" s="4"/>
      <c r="W2" s="780"/>
      <c r="X2" s="778" t="s">
        <v>7</v>
      </c>
      <c r="Y2" s="4"/>
      <c r="Z2" s="780"/>
      <c r="AA2" s="778" t="s">
        <v>7</v>
      </c>
      <c r="AB2" s="4"/>
      <c r="AC2" s="780"/>
      <c r="AD2" s="778" t="s">
        <v>7</v>
      </c>
      <c r="AE2" s="4"/>
      <c r="AF2" s="780"/>
      <c r="AG2" s="778" t="s">
        <v>7</v>
      </c>
      <c r="AH2" s="4"/>
      <c r="AI2" s="780"/>
      <c r="AJ2" s="778" t="s">
        <v>7</v>
      </c>
      <c r="AK2" s="4"/>
      <c r="AL2" s="780"/>
      <c r="AM2" s="778" t="s">
        <v>7</v>
      </c>
      <c r="AN2" s="4"/>
      <c r="AO2" s="780"/>
      <c r="AP2" s="778" t="s">
        <v>7</v>
      </c>
      <c r="AQ2" s="4"/>
      <c r="AR2" s="780"/>
      <c r="AS2" s="781"/>
    </row>
    <row r="3">
      <c r="A3" s="24" t="s">
        <v>29</v>
      </c>
      <c r="F3" s="41" t="s">
        <v>26</v>
      </c>
      <c r="H3" s="782"/>
      <c r="I3" s="41" t="s">
        <v>28</v>
      </c>
      <c r="K3" s="782"/>
      <c r="L3" s="41" t="s">
        <v>30</v>
      </c>
      <c r="N3" s="782"/>
      <c r="O3" s="41" t="s">
        <v>31</v>
      </c>
      <c r="Q3" s="782"/>
      <c r="R3" s="41" t="s">
        <v>32</v>
      </c>
      <c r="T3" s="782"/>
      <c r="U3" s="41" t="s">
        <v>33</v>
      </c>
      <c r="W3" s="782"/>
      <c r="X3" s="41" t="s">
        <v>34</v>
      </c>
      <c r="Z3" s="782"/>
      <c r="AA3" s="41" t="s">
        <v>35</v>
      </c>
      <c r="AC3" s="782"/>
      <c r="AD3" s="41" t="s">
        <v>37</v>
      </c>
      <c r="AF3" s="782"/>
      <c r="AG3" s="41" t="s">
        <v>39</v>
      </c>
      <c r="AI3" s="782"/>
      <c r="AJ3" s="41" t="s">
        <v>58</v>
      </c>
      <c r="AL3" s="782"/>
      <c r="AM3" s="41" t="s">
        <v>66</v>
      </c>
      <c r="AO3" s="782"/>
      <c r="AP3" s="41" t="s">
        <v>67</v>
      </c>
      <c r="AR3" s="782"/>
      <c r="AS3" s="781"/>
    </row>
    <row r="4">
      <c r="A4" s="783"/>
      <c r="B4" s="784"/>
      <c r="C4" s="784"/>
      <c r="D4" s="784"/>
      <c r="E4" s="784"/>
      <c r="F4" s="785" t="s">
        <v>1019</v>
      </c>
      <c r="G4" s="47" t="s">
        <v>1020</v>
      </c>
      <c r="H4" s="48" t="s">
        <v>1021</v>
      </c>
      <c r="I4" s="785" t="s">
        <v>1019</v>
      </c>
      <c r="J4" s="47" t="s">
        <v>1020</v>
      </c>
      <c r="K4" s="48" t="s">
        <v>1021</v>
      </c>
      <c r="L4" s="785" t="s">
        <v>1019</v>
      </c>
      <c r="M4" s="47" t="s">
        <v>1020</v>
      </c>
      <c r="N4" s="48" t="s">
        <v>1021</v>
      </c>
      <c r="O4" s="785" t="s">
        <v>1019</v>
      </c>
      <c r="P4" s="47" t="s">
        <v>1020</v>
      </c>
      <c r="Q4" s="48" t="s">
        <v>1021</v>
      </c>
      <c r="R4" s="785" t="s">
        <v>1019</v>
      </c>
      <c r="S4" s="47" t="s">
        <v>1020</v>
      </c>
      <c r="T4" s="48" t="s">
        <v>1021</v>
      </c>
      <c r="U4" s="785" t="s">
        <v>1019</v>
      </c>
      <c r="V4" s="47" t="s">
        <v>1020</v>
      </c>
      <c r="W4" s="48" t="s">
        <v>1021</v>
      </c>
      <c r="X4" s="785" t="s">
        <v>1019</v>
      </c>
      <c r="Y4" s="47" t="s">
        <v>1020</v>
      </c>
      <c r="Z4" s="48" t="s">
        <v>1021</v>
      </c>
      <c r="AA4" s="785" t="s">
        <v>1019</v>
      </c>
      <c r="AB4" s="47" t="s">
        <v>1020</v>
      </c>
      <c r="AC4" s="48" t="s">
        <v>1021</v>
      </c>
      <c r="AD4" s="785" t="s">
        <v>1019</v>
      </c>
      <c r="AE4" s="47" t="s">
        <v>1020</v>
      </c>
      <c r="AF4" s="48" t="s">
        <v>1021</v>
      </c>
      <c r="AG4" s="785" t="s">
        <v>1019</v>
      </c>
      <c r="AH4" s="47" t="s">
        <v>1020</v>
      </c>
      <c r="AI4" s="48" t="s">
        <v>1021</v>
      </c>
      <c r="AJ4" s="785" t="s">
        <v>1019</v>
      </c>
      <c r="AK4" s="47" t="s">
        <v>1020</v>
      </c>
      <c r="AL4" s="48" t="s">
        <v>1021</v>
      </c>
      <c r="AM4" s="785" t="s">
        <v>1019</v>
      </c>
      <c r="AN4" s="47" t="s">
        <v>1020</v>
      </c>
      <c r="AO4" s="48" t="s">
        <v>1021</v>
      </c>
      <c r="AP4" s="785" t="s">
        <v>1019</v>
      </c>
      <c r="AQ4" s="47" t="s">
        <v>1020</v>
      </c>
      <c r="AR4" s="48" t="s">
        <v>1021</v>
      </c>
      <c r="AS4" s="786"/>
    </row>
    <row r="5">
      <c r="A5" s="787"/>
      <c r="B5" s="788"/>
      <c r="C5" s="788"/>
      <c r="D5" s="788"/>
      <c r="E5" s="788"/>
      <c r="F5" s="789"/>
      <c r="G5" s="790"/>
      <c r="H5" s="791"/>
      <c r="I5" s="790"/>
      <c r="J5" s="790"/>
      <c r="K5" s="790"/>
      <c r="L5" s="789"/>
      <c r="M5" s="790"/>
      <c r="N5" s="791"/>
      <c r="O5" s="789"/>
      <c r="P5" s="790"/>
      <c r="Q5" s="791"/>
      <c r="R5" s="789"/>
      <c r="S5" s="790"/>
      <c r="T5" s="791"/>
      <c r="U5" s="789"/>
      <c r="V5" s="790"/>
      <c r="W5" s="791"/>
      <c r="X5" s="789"/>
      <c r="Y5" s="790"/>
      <c r="Z5" s="791"/>
      <c r="AA5" s="789"/>
      <c r="AB5" s="790"/>
      <c r="AC5" s="791"/>
      <c r="AD5" s="789"/>
      <c r="AE5" s="790"/>
      <c r="AF5" s="791"/>
      <c r="AG5" s="789"/>
      <c r="AH5" s="790"/>
      <c r="AI5" s="791"/>
      <c r="AJ5" s="789"/>
      <c r="AK5" s="790"/>
      <c r="AL5" s="791"/>
      <c r="AM5" s="789"/>
      <c r="AN5" s="790"/>
      <c r="AO5" s="791"/>
      <c r="AP5" s="789"/>
      <c r="AQ5" s="790"/>
      <c r="AR5" s="791"/>
      <c r="AS5" s="792"/>
    </row>
    <row r="6">
      <c r="A6" s="72" t="s">
        <v>1022</v>
      </c>
      <c r="B6" s="14"/>
      <c r="C6" s="14"/>
      <c r="D6" s="14"/>
      <c r="E6" s="14"/>
      <c r="F6" s="793"/>
      <c r="G6" s="794"/>
      <c r="H6" s="795"/>
      <c r="I6" s="794"/>
      <c r="J6" s="794"/>
      <c r="K6" s="794"/>
      <c r="L6" s="793"/>
      <c r="M6" s="794"/>
      <c r="N6" s="795"/>
      <c r="O6" s="793"/>
      <c r="P6" s="794"/>
      <c r="Q6" s="795"/>
      <c r="R6" s="793"/>
      <c r="S6" s="794"/>
      <c r="T6" s="795"/>
      <c r="U6" s="793"/>
      <c r="V6" s="794"/>
      <c r="W6" s="795"/>
      <c r="X6" s="793"/>
      <c r="Y6" s="794"/>
      <c r="Z6" s="795"/>
      <c r="AA6" s="793"/>
      <c r="AB6" s="794"/>
      <c r="AC6" s="795"/>
      <c r="AD6" s="793"/>
      <c r="AE6" s="794"/>
      <c r="AF6" s="795"/>
      <c r="AG6" s="793"/>
      <c r="AH6" s="794"/>
      <c r="AI6" s="795"/>
      <c r="AJ6" s="793"/>
      <c r="AK6" s="794"/>
      <c r="AL6" s="795"/>
      <c r="AM6" s="793"/>
      <c r="AN6" s="794"/>
      <c r="AO6" s="795"/>
      <c r="AP6" s="793"/>
      <c r="AQ6" s="794"/>
      <c r="AR6" s="795"/>
      <c r="AS6" s="796"/>
    </row>
    <row r="7">
      <c r="A7" s="80"/>
      <c r="B7" s="81"/>
      <c r="C7" s="81"/>
      <c r="D7" s="81"/>
      <c r="E7" s="102"/>
      <c r="F7" s="797"/>
      <c r="G7" s="798"/>
      <c r="H7" s="799"/>
      <c r="I7" s="800"/>
      <c r="J7" s="800"/>
      <c r="K7" s="800"/>
      <c r="L7" s="801"/>
      <c r="M7" s="800"/>
      <c r="N7" s="802"/>
      <c r="O7" s="801"/>
      <c r="P7" s="800"/>
      <c r="Q7" s="802"/>
      <c r="R7" s="801"/>
      <c r="S7" s="800"/>
      <c r="T7" s="802"/>
      <c r="U7" s="801"/>
      <c r="V7" s="800"/>
      <c r="W7" s="802"/>
      <c r="X7" s="801"/>
      <c r="Y7" s="800"/>
      <c r="Z7" s="802"/>
      <c r="AA7" s="801"/>
      <c r="AB7" s="800"/>
      <c r="AC7" s="802"/>
      <c r="AD7" s="801"/>
      <c r="AE7" s="800"/>
      <c r="AF7" s="802"/>
      <c r="AG7" s="801"/>
      <c r="AH7" s="800"/>
      <c r="AI7" s="802"/>
      <c r="AJ7" s="801"/>
      <c r="AK7" s="800"/>
      <c r="AL7" s="802"/>
      <c r="AM7" s="801"/>
      <c r="AN7" s="800"/>
      <c r="AO7" s="802"/>
      <c r="AP7" s="801"/>
      <c r="AQ7" s="800"/>
      <c r="AR7" s="802"/>
      <c r="AS7" s="710"/>
    </row>
    <row r="8">
      <c r="A8" s="80"/>
      <c r="B8" s="81"/>
      <c r="C8" s="126" t="s">
        <v>932</v>
      </c>
      <c r="F8" s="803"/>
      <c r="G8" s="804"/>
      <c r="H8" s="805"/>
      <c r="I8" s="804"/>
      <c r="J8" s="804"/>
      <c r="K8" s="804"/>
      <c r="L8" s="803"/>
      <c r="M8" s="804"/>
      <c r="N8" s="805"/>
      <c r="O8" s="803"/>
      <c r="P8" s="804"/>
      <c r="Q8" s="805"/>
      <c r="R8" s="803"/>
      <c r="S8" s="804"/>
      <c r="T8" s="805"/>
      <c r="U8" s="803"/>
      <c r="V8" s="804"/>
      <c r="W8" s="805"/>
      <c r="X8" s="803"/>
      <c r="Y8" s="804"/>
      <c r="Z8" s="805"/>
      <c r="AA8" s="803"/>
      <c r="AB8" s="804"/>
      <c r="AC8" s="805"/>
      <c r="AD8" s="803"/>
      <c r="AE8" s="804"/>
      <c r="AF8" s="805"/>
      <c r="AG8" s="803"/>
      <c r="AH8" s="804"/>
      <c r="AI8" s="805"/>
      <c r="AJ8" s="803"/>
      <c r="AK8" s="804"/>
      <c r="AL8" s="805"/>
      <c r="AM8" s="803"/>
      <c r="AN8" s="804"/>
      <c r="AO8" s="805"/>
      <c r="AP8" s="803"/>
      <c r="AQ8" s="804"/>
      <c r="AR8" s="805"/>
      <c r="AS8" s="710"/>
    </row>
    <row r="9">
      <c r="A9" s="80"/>
      <c r="B9" s="81"/>
      <c r="C9" s="126"/>
      <c r="D9" s="81"/>
      <c r="E9" s="548" t="s">
        <v>933</v>
      </c>
      <c r="F9" s="806">
        <v>16.5</v>
      </c>
      <c r="G9" s="807">
        <f>'Simple CEA'!$H$10</f>
        <v>21.27455</v>
      </c>
      <c r="H9" s="808">
        <v>26.0</v>
      </c>
      <c r="I9" s="809">
        <v>16.5</v>
      </c>
      <c r="J9" s="807">
        <f>'Simple CEA'!$H$10</f>
        <v>21.27455</v>
      </c>
      <c r="K9" s="809">
        <v>26.0</v>
      </c>
      <c r="L9" s="806">
        <v>16.5</v>
      </c>
      <c r="M9" s="807">
        <f>'Simple CEA'!$H$10</f>
        <v>21.27455</v>
      </c>
      <c r="N9" s="808">
        <v>26.0</v>
      </c>
      <c r="O9" s="806">
        <v>16.5</v>
      </c>
      <c r="P9" s="807">
        <f>'Simple CEA'!$H$10</f>
        <v>21.27455</v>
      </c>
      <c r="Q9" s="808">
        <v>26.0</v>
      </c>
      <c r="R9" s="806">
        <v>16.5</v>
      </c>
      <c r="S9" s="807">
        <f>'Simple CEA'!$H$10</f>
        <v>21.27455</v>
      </c>
      <c r="T9" s="808">
        <v>26.0</v>
      </c>
      <c r="U9" s="806">
        <v>16.5</v>
      </c>
      <c r="V9" s="807">
        <f>'Simple CEA'!$H$10</f>
        <v>21.27455</v>
      </c>
      <c r="W9" s="808">
        <v>26.0</v>
      </c>
      <c r="X9" s="806">
        <v>16.5</v>
      </c>
      <c r="Y9" s="807">
        <f>'Simple CEA'!$H$10</f>
        <v>21.27455</v>
      </c>
      <c r="Z9" s="808">
        <v>26.0</v>
      </c>
      <c r="AA9" s="806">
        <v>16.5</v>
      </c>
      <c r="AB9" s="807">
        <f>'Simple CEA'!$H$10</f>
        <v>21.27455</v>
      </c>
      <c r="AC9" s="808">
        <v>26.0</v>
      </c>
      <c r="AD9" s="806">
        <v>16.5</v>
      </c>
      <c r="AE9" s="807">
        <f>'Simple CEA'!$H$10</f>
        <v>21.27455</v>
      </c>
      <c r="AF9" s="808">
        <v>26.0</v>
      </c>
      <c r="AG9" s="806">
        <v>16.5</v>
      </c>
      <c r="AH9" s="807">
        <f>'Simple CEA'!$H$10</f>
        <v>21.27455</v>
      </c>
      <c r="AI9" s="808">
        <v>26.0</v>
      </c>
      <c r="AJ9" s="806">
        <v>16.5</v>
      </c>
      <c r="AK9" s="807">
        <f>'Simple CEA'!$H$10</f>
        <v>21.27455</v>
      </c>
      <c r="AL9" s="808">
        <v>26.0</v>
      </c>
      <c r="AM9" s="806">
        <v>16.5</v>
      </c>
      <c r="AN9" s="807">
        <f>'Simple CEA'!$H$10</f>
        <v>21.27455</v>
      </c>
      <c r="AO9" s="808">
        <v>26.0</v>
      </c>
      <c r="AP9" s="806">
        <v>16.5</v>
      </c>
      <c r="AQ9" s="807">
        <f>'Simple CEA'!$H$10</f>
        <v>21.27455</v>
      </c>
      <c r="AR9" s="808">
        <v>26.0</v>
      </c>
      <c r="AS9" s="714"/>
    </row>
    <row r="10">
      <c r="A10" s="80"/>
      <c r="B10" s="81"/>
      <c r="C10" s="126"/>
      <c r="D10" s="81"/>
      <c r="E10" s="553" t="s">
        <v>938</v>
      </c>
      <c r="F10" s="811">
        <v>0.62</v>
      </c>
      <c r="G10" s="812">
        <f t="array" ref="G10">IF(F$3="",INDEX('Simple CEA'!$H$7:$AT$39,MATCH($E10,'Simple CEA'!$E$7:$E$39,0),MATCH(F$2,'Simple CEA'!$H$2:$AT$2,0)),INDEX('Simple CEA'!$H$7:$AT$39,MATCH($E10,'Simple CEA'!$E$7:$E$39,0),MATCH(F$3,'Simple CEA'!$H$3:$AT$3,0)))</f>
        <v>0.742839458</v>
      </c>
      <c r="H10" s="813">
        <v>0.87</v>
      </c>
      <c r="I10" s="814">
        <v>0.76</v>
      </c>
      <c r="J10" s="812">
        <f t="array" ref="J10">IF(I$3="",INDEX('Simple CEA'!$H$7:$AT$39,MATCH($E10,'Simple CEA'!$E$7:$E$39,0),MATCH(I$2,'Simple CEA'!$H$2:$AT$2,0)),INDEX('Simple CEA'!$H$7:$AT$39,MATCH($E10,'Simple CEA'!$E$7:$E$39,0),MATCH(I$3,'Simple CEA'!$H$3:$AT$3,0)))</f>
        <v>0.8423463699</v>
      </c>
      <c r="K10" s="814">
        <v>0.94</v>
      </c>
      <c r="L10" s="811">
        <v>0.71</v>
      </c>
      <c r="M10" s="812">
        <f t="array" ref="M10">IF(L$3="",INDEX('Simple CEA'!$H$7:$AT$39,MATCH($E10,'Simple CEA'!$E$7:$E$39,0),MATCH(L$2,'Simple CEA'!$H$2:$AT$2,0)),INDEX('Simple CEA'!$H$7:$AT$39,MATCH($E10,'Simple CEA'!$E$7:$E$39,0),MATCH(L$3,'Simple CEA'!$H$3:$AT$3,0)))</f>
        <v>0.7978559561</v>
      </c>
      <c r="N10" s="813">
        <v>0.91</v>
      </c>
      <c r="O10" s="811">
        <v>0.81</v>
      </c>
      <c r="P10" s="812">
        <f t="array" ref="P10">IF(O$3="",INDEX('Simple CEA'!$H$7:$AT$39,MATCH($E10,'Simple CEA'!$E$7:$E$39,0),MATCH(O$2,'Simple CEA'!$H$2:$AT$2,0)),INDEX('Simple CEA'!$H$7:$AT$39,MATCH($E10,'Simple CEA'!$E$7:$E$39,0),MATCH(O$3,'Simple CEA'!$H$3:$AT$3,0)))</f>
        <v>0.878932448</v>
      </c>
      <c r="Q10" s="813">
        <v>0.96</v>
      </c>
      <c r="R10" s="811">
        <v>0.69</v>
      </c>
      <c r="S10" s="812">
        <f t="array" ref="S10">IF(R$3="",INDEX('Simple CEA'!$H$7:$AT$39,MATCH($E10,'Simple CEA'!$E$7:$E$39,0),MATCH(R$2,'Simple CEA'!$H$2:$AT$2,0)),INDEX('Simple CEA'!$H$7:$AT$39,MATCH($E10,'Simple CEA'!$E$7:$E$39,0),MATCH(R$3,'Simple CEA'!$H$3:$AT$3,0)))</f>
        <v>0.7853784959</v>
      </c>
      <c r="T10" s="813">
        <v>0.9</v>
      </c>
      <c r="U10" s="811">
        <v>0.59</v>
      </c>
      <c r="V10" s="812">
        <f t="array" ref="V10">IF(U$3="",INDEX('Simple CEA'!$H$7:$AT$39,MATCH($E10,'Simple CEA'!$E$7:$E$39,0),MATCH(U$2,'Simple CEA'!$H$2:$AT$2,0)),INDEX('Simple CEA'!$H$7:$AT$39,MATCH($E10,'Simple CEA'!$E$7:$E$39,0),MATCH(U$3,'Simple CEA'!$H$3:$AT$3,0)))</f>
        <v>0.713116576</v>
      </c>
      <c r="W10" s="813">
        <v>0.85</v>
      </c>
      <c r="X10" s="811">
        <v>0.44</v>
      </c>
      <c r="Y10" s="812">
        <f t="array" ref="Y10">IF(X$3="",INDEX('Simple CEA'!$H$7:$AT$39,MATCH($E10,'Simple CEA'!$E$7:$E$39,0),MATCH(X$2,'Simple CEA'!$H$2:$AT$2,0)),INDEX('Simple CEA'!$H$7:$AT$39,MATCH($E10,'Simple CEA'!$E$7:$E$39,0),MATCH(X$3,'Simple CEA'!$H$3:$AT$3,0)))</f>
        <v>0.5977437181</v>
      </c>
      <c r="Z10" s="813">
        <v>0.78</v>
      </c>
      <c r="AA10" s="811">
        <v>0.31</v>
      </c>
      <c r="AB10" s="812">
        <f t="array" ref="AB10">IF(AA$3="",INDEX('Simple CEA'!$H$7:$AT$39,MATCH($E10,'Simple CEA'!$E$7:$E$39,0),MATCH(AA$2,'Simple CEA'!$H$2:$AT$2,0)),INDEX('Simple CEA'!$H$7:$AT$39,MATCH($E10,'Simple CEA'!$E$7:$E$39,0),MATCH(AA$3,'Simple CEA'!$H$3:$AT$3,0)))</f>
        <v>0.5024244507</v>
      </c>
      <c r="AC10" s="813">
        <v>0.73</v>
      </c>
      <c r="AD10" s="811">
        <v>0.55</v>
      </c>
      <c r="AE10" s="812">
        <f t="array" ref="AE10">IF(AD$3="",INDEX('Simple CEA'!$H$7:$AT$39,MATCH($E10,'Simple CEA'!$E$7:$E$39,0),MATCH(AD$2,'Simple CEA'!$H$2:$AT$2,0)),INDEX('Simple CEA'!$H$7:$AT$39,MATCH($E10,'Simple CEA'!$E$7:$E$39,0),MATCH(AD$3,'Simple CEA'!$H$3:$AT$3,0)))</f>
        <v>0.681979258</v>
      </c>
      <c r="AF10" s="813">
        <v>0.83</v>
      </c>
      <c r="AG10" s="811">
        <v>0.89</v>
      </c>
      <c r="AH10" s="812">
        <f t="array" ref="AH10">IF(AG$3="",INDEX('Simple CEA'!$H$7:$AT$39,MATCH($E10,'Simple CEA'!$E$7:$E$39,0),MATCH(AG$2,'Simple CEA'!$H$2:$AT$2,0)),INDEX('Simple CEA'!$H$7:$AT$39,MATCH($E10,'Simple CEA'!$E$7:$E$39,0),MATCH(AG$3,'Simple CEA'!$H$3:$AT$3,0)))</f>
        <v>0.9394589735</v>
      </c>
      <c r="AI10" s="813">
        <v>0.99</v>
      </c>
      <c r="AJ10" s="811">
        <v>0.71</v>
      </c>
      <c r="AK10" s="812">
        <f t="array" ref="AK10">IF(AJ$3="",INDEX('Simple CEA'!$H$7:$AT$39,MATCH($E10,'Simple CEA'!$E$7:$E$39,0),MATCH(AJ$2,'Simple CEA'!$H$2:$AT$2,0)),INDEX('Simple CEA'!$H$7:$AT$39,MATCH($E10,'Simple CEA'!$E$7:$E$39,0),MATCH(AJ$3,'Simple CEA'!$H$3:$AT$3,0)))</f>
        <v>0.8001622205</v>
      </c>
      <c r="AL10" s="813">
        <v>0.91</v>
      </c>
      <c r="AM10" s="811">
        <v>0.81</v>
      </c>
      <c r="AN10" s="812">
        <f t="array" ref="AN10">IF(AM$3="",INDEX('Simple CEA'!$H$7:$AT$39,MATCH($E10,'Simple CEA'!$E$7:$E$39,0),MATCH(AM$2,'Simple CEA'!$H$2:$AT$2,0)),INDEX('Simple CEA'!$H$7:$AT$39,MATCH($E10,'Simple CEA'!$E$7:$E$39,0),MATCH(AM$3,'Simple CEA'!$H$3:$AT$3,0)))</f>
        <v>0.8784412605</v>
      </c>
      <c r="AO10" s="813">
        <v>0.96</v>
      </c>
      <c r="AP10" s="811">
        <v>0.82</v>
      </c>
      <c r="AQ10" s="812">
        <f t="array" ref="AQ10">IF(AP$3="",INDEX('Simple CEA'!$H$7:$AT$39,MATCH($E10,'Simple CEA'!$E$7:$E$39,0),MATCH(AP$2,'Simple CEA'!$H$2:$AT$2,0)),INDEX('Simple CEA'!$H$7:$AT$39,MATCH($E10,'Simple CEA'!$E$7:$E$39,0),MATCH(AP$3,'Simple CEA'!$H$3:$AT$3,0)))</f>
        <v>0.8904777931</v>
      </c>
      <c r="AR10" s="813">
        <v>0.97</v>
      </c>
      <c r="AS10" s="715"/>
    </row>
    <row r="11">
      <c r="A11" s="80"/>
      <c r="B11" s="81"/>
      <c r="C11" s="126"/>
      <c r="D11" s="81"/>
      <c r="E11" s="553" t="s">
        <v>943</v>
      </c>
      <c r="F11" s="827">
        <v>0.0371</v>
      </c>
      <c r="G11" s="831">
        <f t="array" ref="G11">IF(F$3="",INDEX('Simple CEA'!$H$7:$AT$39,MATCH($E11,'Simple CEA'!$E$7:$E$39,0),MATCH(F$2,'Simple CEA'!$H$2:$AT$2,0)),INDEX('Simple CEA'!$H$7:$AT$39,MATCH($E11,'Simple CEA'!$E$7:$E$39,0),MATCH(F$3,'Simple CEA'!$H$3:$AT$3,0)))</f>
        <v>0.06054672743</v>
      </c>
      <c r="H11" s="832">
        <v>0.0793</v>
      </c>
      <c r="I11" s="833">
        <v>0.0272</v>
      </c>
      <c r="J11" s="831">
        <f t="array" ref="J11">IF(I$3="",INDEX('Simple CEA'!$H$7:$AT$39,MATCH($E11,'Simple CEA'!$E$7:$E$39,0),MATCH(I$2,'Simple CEA'!$H$2:$AT$2,0)),INDEX('Simple CEA'!$H$7:$AT$39,MATCH($E11,'Simple CEA'!$E$7:$E$39,0),MATCH(I$3,'Simple CEA'!$H$3:$AT$3,0)))</f>
        <v>0.04511526194</v>
      </c>
      <c r="K11" s="833">
        <v>0.0589</v>
      </c>
      <c r="L11" s="827">
        <v>0.0403</v>
      </c>
      <c r="M11" s="831">
        <f t="array" ref="M11">IF(L$3="",INDEX('Simple CEA'!$H$7:$AT$39,MATCH($E11,'Simple CEA'!$E$7:$E$39,0),MATCH(L$2,'Simple CEA'!$H$2:$AT$2,0)),INDEX('Simple CEA'!$H$7:$AT$39,MATCH($E11,'Simple CEA'!$E$7:$E$39,0),MATCH(L$3,'Simple CEA'!$H$3:$AT$3,0)))</f>
        <v>0.06133996053</v>
      </c>
      <c r="N11" s="832">
        <v>0.0811</v>
      </c>
      <c r="O11" s="827">
        <v>0.0166</v>
      </c>
      <c r="P11" s="831">
        <f t="array" ref="P11">IF(O$3="",INDEX('Simple CEA'!$H$7:$AT$39,MATCH($E11,'Simple CEA'!$E$7:$E$39,0),MATCH(O$2,'Simple CEA'!$H$2:$AT$2,0)),INDEX('Simple CEA'!$H$7:$AT$39,MATCH($E11,'Simple CEA'!$E$7:$E$39,0),MATCH(O$3,'Simple CEA'!$H$3:$AT$3,0)))</f>
        <v>0.02916813329</v>
      </c>
      <c r="Q11" s="832">
        <v>0.0396</v>
      </c>
      <c r="R11" s="827">
        <v>0.0235</v>
      </c>
      <c r="S11" s="831">
        <f t="array" ref="S11">IF(R$3="",INDEX('Simple CEA'!$H$7:$AT$39,MATCH($E11,'Simple CEA'!$E$7:$E$39,0),MATCH(R$2,'Simple CEA'!$H$2:$AT$2,0)),INDEX('Simple CEA'!$H$7:$AT$39,MATCH($E11,'Simple CEA'!$E$7:$E$39,0),MATCH(R$3,'Simple CEA'!$H$3:$AT$3,0)))</f>
        <v>0.04180462245</v>
      </c>
      <c r="T11" s="832">
        <v>0.0549</v>
      </c>
      <c r="U11" s="827">
        <v>0.0286</v>
      </c>
      <c r="V11" s="831">
        <f t="array" ref="V11">IF(U$3="",INDEX('Simple CEA'!$H$7:$AT$39,MATCH($E11,'Simple CEA'!$E$7:$E$39,0),MATCH(U$2,'Simple CEA'!$H$2:$AT$2,0)),INDEX('Simple CEA'!$H$7:$AT$39,MATCH($E11,'Simple CEA'!$E$7:$E$39,0),MATCH(U$3,'Simple CEA'!$H$3:$AT$3,0)))</f>
        <v>0.04439009848</v>
      </c>
      <c r="W11" s="832">
        <v>0.0605</v>
      </c>
      <c r="X11" s="827">
        <v>0.0286</v>
      </c>
      <c r="Y11" s="831">
        <f t="array" ref="Y11">IF(X$3="",INDEX('Simple CEA'!$H$7:$AT$39,MATCH($E11,'Simple CEA'!$E$7:$E$39,0),MATCH(X$2,'Simple CEA'!$H$2:$AT$2,0)),INDEX('Simple CEA'!$H$7:$AT$39,MATCH($E11,'Simple CEA'!$E$7:$E$39,0),MATCH(X$3,'Simple CEA'!$H$3:$AT$3,0)))</f>
        <v>0.04917387969</v>
      </c>
      <c r="Z11" s="832">
        <v>0.0645</v>
      </c>
      <c r="AA11" s="827">
        <v>0.0412</v>
      </c>
      <c r="AB11" s="831">
        <f t="array" ref="AB11">IF(AA$3="",INDEX('Simple CEA'!$H$7:$AT$39,MATCH($E11,'Simple CEA'!$E$7:$E$39,0),MATCH(AA$2,'Simple CEA'!$H$2:$AT$2,0)),INDEX('Simple CEA'!$H$7:$AT$39,MATCH($E11,'Simple CEA'!$E$7:$E$39,0),MATCH(AA$3,'Simple CEA'!$H$3:$AT$3,0)))</f>
        <v>0.06646582697</v>
      </c>
      <c r="AC11" s="832">
        <v>0.0874</v>
      </c>
      <c r="AD11" s="827">
        <v>0.0498</v>
      </c>
      <c r="AE11" s="831">
        <f t="array" ref="AE11">IF(AD$3="",INDEX('Simple CEA'!$H$7:$AT$39,MATCH($E11,'Simple CEA'!$E$7:$E$39,0),MATCH(AD$2,'Simple CEA'!$H$2:$AT$2,0)),INDEX('Simple CEA'!$H$7:$AT$39,MATCH($E11,'Simple CEA'!$E$7:$E$39,0),MATCH(AD$3,'Simple CEA'!$H$3:$AT$3,0)))</f>
        <v>0.07748245322</v>
      </c>
      <c r="AF11" s="832">
        <v>0.0999</v>
      </c>
      <c r="AG11" s="827">
        <v>0.0229</v>
      </c>
      <c r="AH11" s="831">
        <f t="array" ref="AH11">IF(AG$3="",INDEX('Simple CEA'!$H$7:$AT$39,MATCH($E11,'Simple CEA'!$E$7:$E$39,0),MATCH(AG$2,'Simple CEA'!$H$2:$AT$2,0)),INDEX('Simple CEA'!$H$7:$AT$39,MATCH($E11,'Simple CEA'!$E$7:$E$39,0),MATCH(AG$3,'Simple CEA'!$H$3:$AT$3,0)))</f>
        <v>0.04147298771</v>
      </c>
      <c r="AI11" s="832">
        <v>0.0549</v>
      </c>
      <c r="AJ11" s="827">
        <v>0.0154</v>
      </c>
      <c r="AK11" s="831">
        <f t="array" ref="AK11">IF(AJ$3="",INDEX('Simple CEA'!$H$7:$AT$39,MATCH($E11,'Simple CEA'!$E$7:$E$39,0),MATCH(AJ$2,'Simple CEA'!$H$2:$AT$2,0)),INDEX('Simple CEA'!$H$7:$AT$39,MATCH($E11,'Simple CEA'!$E$7:$E$39,0),MATCH(AJ$3,'Simple CEA'!$H$3:$AT$3,0)))</f>
        <v>0.02594518189</v>
      </c>
      <c r="AL11" s="832">
        <v>0.0356</v>
      </c>
      <c r="AM11" s="827">
        <v>0.0241</v>
      </c>
      <c r="AN11" s="831">
        <f t="array" ref="AN11">IF(AM$3="",INDEX('Simple CEA'!$H$7:$AT$39,MATCH($E11,'Simple CEA'!$E$7:$E$39,0),MATCH(AM$2,'Simple CEA'!$H$2:$AT$2,0)),INDEX('Simple CEA'!$H$7:$AT$39,MATCH($E11,'Simple CEA'!$E$7:$E$39,0),MATCH(AM$3,'Simple CEA'!$H$3:$AT$3,0)))</f>
        <v>0.04154140477</v>
      </c>
      <c r="AO11" s="832">
        <v>0.0544</v>
      </c>
      <c r="AP11" s="827">
        <v>0.0191</v>
      </c>
      <c r="AQ11" s="831">
        <f t="array" ref="AQ11">IF(AP$3="",INDEX('Simple CEA'!$H$7:$AT$39,MATCH($E11,'Simple CEA'!$E$7:$E$39,0),MATCH(AP$2,'Simple CEA'!$H$2:$AT$2,0)),INDEX('Simple CEA'!$H$7:$AT$39,MATCH($E11,'Simple CEA'!$E$7:$E$39,0),MATCH(AP$3,'Simple CEA'!$H$3:$AT$3,0)))</f>
        <v>0.03346554251</v>
      </c>
      <c r="AR11" s="832">
        <v>0.0461</v>
      </c>
      <c r="AS11" s="715"/>
    </row>
    <row r="12">
      <c r="A12" s="80"/>
      <c r="B12" s="81"/>
      <c r="C12" s="126"/>
      <c r="D12" s="81"/>
      <c r="E12" s="558" t="s">
        <v>945</v>
      </c>
      <c r="F12" s="834">
        <v>0.38</v>
      </c>
      <c r="G12" s="835">
        <f t="array" ref="G12">IF(F$3="",INDEX('Simple CEA'!$H$7:$AT$39,MATCH($E12,'Simple CEA'!$E$7:$E$39,0),MATCH(F$2,'Simple CEA'!$H$2:$AT$2,0)),INDEX('Simple CEA'!$H$7:$AT$39,MATCH($E12,'Simple CEA'!$E$7:$E$39,0),MATCH(F$3,'Simple CEA'!$H$3:$AT$3,0)))</f>
        <v>0.5287084837</v>
      </c>
      <c r="H12" s="836">
        <v>0.68</v>
      </c>
      <c r="I12" s="837">
        <v>0.37</v>
      </c>
      <c r="J12" s="835">
        <f t="array" ref="J12">IF(I$3="",INDEX('Simple CEA'!$H$7:$AT$39,MATCH($E12,'Simple CEA'!$E$7:$E$39,0),MATCH(I$2,'Simple CEA'!$H$2:$AT$2,0)),INDEX('Simple CEA'!$H$7:$AT$39,MATCH($E12,'Simple CEA'!$E$7:$E$39,0),MATCH(I$3,'Simple CEA'!$H$3:$AT$3,0)))</f>
        <v>0.5247627397</v>
      </c>
      <c r="K12" s="837">
        <v>0.66</v>
      </c>
      <c r="L12" s="838">
        <v>0.4</v>
      </c>
      <c r="M12" s="835">
        <f t="array" ref="M12">IF(L$3="",INDEX('Simple CEA'!$H$7:$AT$39,MATCH($E12,'Simple CEA'!$E$7:$E$39,0),MATCH(L$2,'Simple CEA'!$H$2:$AT$2,0)),INDEX('Simple CEA'!$H$7:$AT$39,MATCH($E12,'Simple CEA'!$E$7:$E$39,0),MATCH(L$3,'Simple CEA'!$H$3:$AT$3,0)))</f>
        <v>0.5454354393</v>
      </c>
      <c r="N12" s="840">
        <v>0.7</v>
      </c>
      <c r="O12" s="838">
        <v>0.38</v>
      </c>
      <c r="P12" s="835">
        <f t="array" ref="P12">IF(O$3="",INDEX('Simple CEA'!$H$7:$AT$39,MATCH($E12,'Simple CEA'!$E$7:$E$39,0),MATCH(O$2,'Simple CEA'!$H$2:$AT$2,0)),INDEX('Simple CEA'!$H$7:$AT$39,MATCH($E12,'Simple CEA'!$E$7:$E$39,0),MATCH(O$3,'Simple CEA'!$H$3:$AT$3,0)))</f>
        <v>0.5307904056</v>
      </c>
      <c r="Q12" s="840">
        <v>0.68</v>
      </c>
      <c r="R12" s="838">
        <v>0.37</v>
      </c>
      <c r="S12" s="835">
        <f t="array" ref="S12">IF(R$3="",INDEX('Simple CEA'!$H$7:$AT$39,MATCH($E12,'Simple CEA'!$E$7:$E$39,0),MATCH(R$2,'Simple CEA'!$H$2:$AT$2,0)),INDEX('Simple CEA'!$H$7:$AT$39,MATCH($E12,'Simple CEA'!$E$7:$E$39,0),MATCH(R$3,'Simple CEA'!$H$3:$AT$3,0)))</f>
        <v>0.5176692163</v>
      </c>
      <c r="T12" s="840">
        <v>0.66</v>
      </c>
      <c r="U12" s="838">
        <v>0.39</v>
      </c>
      <c r="V12" s="835">
        <f t="array" ref="V12">IF(U$3="",INDEX('Simple CEA'!$H$7:$AT$39,MATCH($E12,'Simple CEA'!$E$7:$E$39,0),MATCH(U$2,'Simple CEA'!$H$2:$AT$2,0)),INDEX('Simple CEA'!$H$7:$AT$39,MATCH($E12,'Simple CEA'!$E$7:$E$39,0),MATCH(U$3,'Simple CEA'!$H$3:$AT$3,0)))</f>
        <v>0.5381405824</v>
      </c>
      <c r="W12" s="840">
        <v>0.69</v>
      </c>
      <c r="X12" s="838">
        <v>0.39</v>
      </c>
      <c r="Y12" s="835">
        <f t="array" ref="Y12">IF(X$3="",INDEX('Simple CEA'!$H$7:$AT$39,MATCH($E12,'Simple CEA'!$E$7:$E$39,0),MATCH(X$2,'Simple CEA'!$H$2:$AT$2,0)),INDEX('Simple CEA'!$H$7:$AT$39,MATCH($E12,'Simple CEA'!$E$7:$E$39,0),MATCH(X$3,'Simple CEA'!$H$3:$AT$3,0)))</f>
        <v>0.538858141</v>
      </c>
      <c r="Z12" s="840">
        <v>0.69</v>
      </c>
      <c r="AA12" s="838">
        <v>0.38</v>
      </c>
      <c r="AB12" s="835">
        <f t="array" ref="AB12">IF(AA$3="",INDEX('Simple CEA'!$H$7:$AT$39,MATCH($E12,'Simple CEA'!$E$7:$E$39,0),MATCH(AA$2,'Simple CEA'!$H$2:$AT$2,0)),INDEX('Simple CEA'!$H$7:$AT$39,MATCH($E12,'Simple CEA'!$E$7:$E$39,0),MATCH(AA$3,'Simple CEA'!$H$3:$AT$3,0)))</f>
        <v>0.531109417</v>
      </c>
      <c r="AC12" s="840">
        <v>0.68</v>
      </c>
      <c r="AD12" s="838">
        <v>0.39</v>
      </c>
      <c r="AE12" s="835">
        <f t="array" ref="AE12">IF(AD$3="",INDEX('Simple CEA'!$H$7:$AT$39,MATCH($E12,'Simple CEA'!$E$7:$E$39,0),MATCH(AD$2,'Simple CEA'!$H$2:$AT$2,0)),INDEX('Simple CEA'!$H$7:$AT$39,MATCH($E12,'Simple CEA'!$E$7:$E$39,0),MATCH(AD$3,'Simple CEA'!$H$3:$AT$3,0)))</f>
        <v>0.5387587382</v>
      </c>
      <c r="AF12" s="840">
        <v>0.69</v>
      </c>
      <c r="AG12" s="838">
        <v>0.37</v>
      </c>
      <c r="AH12" s="835">
        <f t="array" ref="AH12">IF(AG$3="",INDEX('Simple CEA'!$H$7:$AT$39,MATCH($E12,'Simple CEA'!$E$7:$E$39,0),MATCH(AG$2,'Simple CEA'!$H$2:$AT$2,0)),INDEX('Simple CEA'!$H$7:$AT$39,MATCH($E12,'Simple CEA'!$E$7:$E$39,0),MATCH(AG$3,'Simple CEA'!$H$3:$AT$3,0)))</f>
        <v>0.5192446133</v>
      </c>
      <c r="AI12" s="840">
        <v>0.66</v>
      </c>
      <c r="AJ12" s="838">
        <v>0.37</v>
      </c>
      <c r="AK12" s="835">
        <f t="array" ref="AK12">IF(AJ$3="",INDEX('Simple CEA'!$H$7:$AT$39,MATCH($E12,'Simple CEA'!$E$7:$E$39,0),MATCH(AJ$2,'Simple CEA'!$H$2:$AT$2,0)),INDEX('Simple CEA'!$H$7:$AT$39,MATCH($E12,'Simple CEA'!$E$7:$E$39,0),MATCH(AJ$3,'Simple CEA'!$H$3:$AT$3,0)))</f>
        <v>0.5222842187</v>
      </c>
      <c r="AL12" s="840">
        <v>0.66</v>
      </c>
      <c r="AM12" s="838">
        <v>0.36</v>
      </c>
      <c r="AN12" s="835">
        <f t="array" ref="AN12">IF(AM$3="",INDEX('Simple CEA'!$H$7:$AT$39,MATCH($E12,'Simple CEA'!$E$7:$E$39,0),MATCH(AM$2,'Simple CEA'!$H$2:$AT$2,0)),INDEX('Simple CEA'!$H$7:$AT$39,MATCH($E12,'Simple CEA'!$E$7:$E$39,0),MATCH(AM$3,'Simple CEA'!$H$3:$AT$3,0)))</f>
        <v>0.5114832602</v>
      </c>
      <c r="AO12" s="840">
        <v>0.65</v>
      </c>
      <c r="AP12" s="838">
        <v>0.39</v>
      </c>
      <c r="AQ12" s="835">
        <f t="array" ref="AQ12">IF(AP$3="",INDEX('Simple CEA'!$H$7:$AT$39,MATCH($E12,'Simple CEA'!$E$7:$E$39,0),MATCH(AP$2,'Simple CEA'!$H$2:$AT$2,0)),INDEX('Simple CEA'!$H$7:$AT$39,MATCH($E12,'Simple CEA'!$E$7:$E$39,0),MATCH(AP$3,'Simple CEA'!$H$3:$AT$3,0)))</f>
        <v>0.5424146878</v>
      </c>
      <c r="AR12" s="840">
        <v>0.69</v>
      </c>
      <c r="AS12" s="716"/>
    </row>
    <row r="13">
      <c r="A13" s="80"/>
      <c r="B13" s="81"/>
      <c r="C13" s="126"/>
      <c r="D13" s="81"/>
      <c r="E13" s="541"/>
      <c r="F13" s="797"/>
      <c r="G13" s="865"/>
      <c r="H13" s="799"/>
      <c r="I13" s="798"/>
      <c r="J13" s="865"/>
      <c r="K13" s="798"/>
      <c r="L13" s="797"/>
      <c r="M13" s="865"/>
      <c r="N13" s="799"/>
      <c r="O13" s="797"/>
      <c r="P13" s="865"/>
      <c r="Q13" s="799"/>
      <c r="R13" s="797"/>
      <c r="S13" s="865"/>
      <c r="T13" s="799"/>
      <c r="U13" s="797"/>
      <c r="V13" s="865"/>
      <c r="W13" s="799"/>
      <c r="X13" s="797"/>
      <c r="Y13" s="865"/>
      <c r="Z13" s="799"/>
      <c r="AA13" s="797"/>
      <c r="AB13" s="865"/>
      <c r="AC13" s="799"/>
      <c r="AD13" s="797"/>
      <c r="AE13" s="865"/>
      <c r="AF13" s="799"/>
      <c r="AG13" s="797"/>
      <c r="AH13" s="865"/>
      <c r="AI13" s="799"/>
      <c r="AJ13" s="797"/>
      <c r="AK13" s="865"/>
      <c r="AL13" s="799"/>
      <c r="AM13" s="797"/>
      <c r="AN13" s="865"/>
      <c r="AO13" s="799"/>
      <c r="AP13" s="797"/>
      <c r="AQ13" s="865"/>
      <c r="AR13" s="799"/>
      <c r="AS13" s="710"/>
    </row>
    <row r="14">
      <c r="A14" s="80"/>
      <c r="B14" s="81"/>
      <c r="C14" s="126" t="s">
        <v>957</v>
      </c>
      <c r="F14" s="866"/>
      <c r="G14" s="867"/>
      <c r="H14" s="869"/>
      <c r="I14" s="871"/>
      <c r="J14" s="867"/>
      <c r="K14" s="871"/>
      <c r="L14" s="866"/>
      <c r="M14" s="867"/>
      <c r="N14" s="869"/>
      <c r="O14" s="866"/>
      <c r="P14" s="867"/>
      <c r="Q14" s="869"/>
      <c r="R14" s="866"/>
      <c r="S14" s="867"/>
      <c r="T14" s="869"/>
      <c r="U14" s="866"/>
      <c r="V14" s="867"/>
      <c r="W14" s="869"/>
      <c r="X14" s="866"/>
      <c r="Y14" s="867"/>
      <c r="Z14" s="869"/>
      <c r="AA14" s="866"/>
      <c r="AB14" s="867"/>
      <c r="AC14" s="869"/>
      <c r="AD14" s="866"/>
      <c r="AE14" s="867"/>
      <c r="AF14" s="869"/>
      <c r="AG14" s="866"/>
      <c r="AH14" s="867"/>
      <c r="AI14" s="869"/>
      <c r="AJ14" s="866"/>
      <c r="AK14" s="867"/>
      <c r="AL14" s="869"/>
      <c r="AM14" s="866"/>
      <c r="AN14" s="867"/>
      <c r="AO14" s="869"/>
      <c r="AP14" s="866"/>
      <c r="AQ14" s="867"/>
      <c r="AR14" s="869"/>
      <c r="AS14" s="710"/>
    </row>
    <row r="15">
      <c r="A15" s="80"/>
      <c r="B15" s="81"/>
      <c r="C15" s="126"/>
      <c r="D15" s="81"/>
      <c r="E15" s="548" t="s">
        <v>959</v>
      </c>
      <c r="F15" s="873">
        <v>0.1</v>
      </c>
      <c r="G15" s="876">
        <f t="array" ref="G15">IF(F$3="",INDEX('Simple CEA'!$H$7:$AT$39,MATCH($E15,'Simple CEA'!$E$7:$E$39,0),MATCH(F$2,'Simple CEA'!$H$2:$AT$2,0)),INDEX('Simple CEA'!$H$7:$AT$39,MATCH($E15,'Simple CEA'!$E$7:$E$39,0),MATCH(F$3,'Simple CEA'!$H$3:$AT$3,0)))</f>
        <v>0.293301004</v>
      </c>
      <c r="H15" s="877">
        <v>0.44</v>
      </c>
      <c r="I15" s="878">
        <v>0.08</v>
      </c>
      <c r="J15" s="876">
        <f t="array" ref="J15">IF(I$3="",INDEX('Simple CEA'!$H$7:$AT$39,MATCH($E15,'Simple CEA'!$E$7:$E$39,0),MATCH(I$2,'Simple CEA'!$H$2:$AT$2,0)),INDEX('Simple CEA'!$H$7:$AT$39,MATCH($E15,'Simple CEA'!$E$7:$E$39,0),MATCH(I$3,'Simple CEA'!$H$3:$AT$3,0)))</f>
        <v>0.2595881992</v>
      </c>
      <c r="K15" s="878">
        <v>0.4</v>
      </c>
      <c r="L15" s="873">
        <v>0.11</v>
      </c>
      <c r="M15" s="876">
        <f t="array" ref="M15">IF(L$3="",INDEX('Simple CEA'!$H$7:$AT$39,MATCH($E15,'Simple CEA'!$E$7:$E$39,0),MATCH(L$2,'Simple CEA'!$H$2:$AT$2,0)),INDEX('Simple CEA'!$H$7:$AT$39,MATCH($E15,'Simple CEA'!$E$7:$E$39,0),MATCH(L$3,'Simple CEA'!$H$3:$AT$3,0)))</f>
        <v>0.3063399285</v>
      </c>
      <c r="N15" s="877">
        <v>0.47</v>
      </c>
      <c r="O15" s="873">
        <v>0.09</v>
      </c>
      <c r="P15" s="876">
        <f t="array" ref="P15">IF(O$3="",INDEX('Simple CEA'!$H$7:$AT$39,MATCH($E15,'Simple CEA'!$E$7:$E$39,0),MATCH(O$2,'Simple CEA'!$H$2:$AT$2,0)),INDEX('Simple CEA'!$H$7:$AT$39,MATCH($E15,'Simple CEA'!$E$7:$E$39,0),MATCH(O$3,'Simple CEA'!$H$3:$AT$3,0)))</f>
        <v>0.2680135127</v>
      </c>
      <c r="Q15" s="877">
        <v>0.41</v>
      </c>
      <c r="R15" s="873">
        <v>0.08</v>
      </c>
      <c r="S15" s="876">
        <f t="array" ref="S15">IF(R$3="",INDEX('Simple CEA'!$H$7:$AT$39,MATCH($E15,'Simple CEA'!$E$7:$E$39,0),MATCH(R$2,'Simple CEA'!$H$2:$AT$2,0)),INDEX('Simple CEA'!$H$7:$AT$39,MATCH($E15,'Simple CEA'!$E$7:$E$39,0),MATCH(R$3,'Simple CEA'!$H$3:$AT$3,0)))</f>
        <v>0.2547956114</v>
      </c>
      <c r="T15" s="877">
        <v>0.38</v>
      </c>
      <c r="U15" s="873">
        <v>0.13</v>
      </c>
      <c r="V15" s="876">
        <f t="array" ref="V15">IF(U$3="",INDEX('Simple CEA'!$H$7:$AT$39,MATCH($E15,'Simple CEA'!$E$7:$E$39,0),MATCH(U$2,'Simple CEA'!$H$2:$AT$2,0)),INDEX('Simple CEA'!$H$7:$AT$39,MATCH($E15,'Simple CEA'!$E$7:$E$39,0),MATCH(U$3,'Simple CEA'!$H$3:$AT$3,0)))</f>
        <v>0.3491284534</v>
      </c>
      <c r="W15" s="877">
        <v>0.52</v>
      </c>
      <c r="X15" s="873">
        <v>0.13</v>
      </c>
      <c r="Y15" s="876">
        <f t="array" ref="Y15">IF(X$3="",INDEX('Simple CEA'!$H$7:$AT$39,MATCH($E15,'Simple CEA'!$E$7:$E$39,0),MATCH(X$2,'Simple CEA'!$H$2:$AT$2,0)),INDEX('Simple CEA'!$H$7:$AT$39,MATCH($E15,'Simple CEA'!$E$7:$E$39,0),MATCH(X$3,'Simple CEA'!$H$3:$AT$3,0)))</f>
        <v>0.3564076893</v>
      </c>
      <c r="Z15" s="877">
        <v>0.53</v>
      </c>
      <c r="AA15" s="873">
        <v>0.12</v>
      </c>
      <c r="AB15" s="876">
        <f t="array" ref="AB15">IF(AA$3="",INDEX('Simple CEA'!$H$7:$AT$39,MATCH($E15,'Simple CEA'!$E$7:$E$39,0),MATCH(AA$2,'Simple CEA'!$H$2:$AT$2,0)),INDEX('Simple CEA'!$H$7:$AT$39,MATCH($E15,'Simple CEA'!$E$7:$E$39,0),MATCH(AA$3,'Simple CEA'!$H$3:$AT$3,0)))</f>
        <v>0.3294559618</v>
      </c>
      <c r="AC15" s="877">
        <v>0.49</v>
      </c>
      <c r="AD15" s="873">
        <v>0.09</v>
      </c>
      <c r="AE15" s="876">
        <f t="array" ref="AE15">IF(AD$3="",INDEX('Simple CEA'!$H$7:$AT$39,MATCH($E15,'Simple CEA'!$E$7:$E$39,0),MATCH(AD$2,'Simple CEA'!$H$2:$AT$2,0)),INDEX('Simple CEA'!$H$7:$AT$39,MATCH($E15,'Simple CEA'!$E$7:$E$39,0),MATCH(AD$3,'Simple CEA'!$H$3:$AT$3,0)))</f>
        <v>0.2830226022</v>
      </c>
      <c r="AF15" s="877">
        <v>0.42</v>
      </c>
      <c r="AG15" s="873">
        <v>0.07</v>
      </c>
      <c r="AH15" s="876">
        <f t="array" ref="AH15">IF(AG$3="",INDEX('Simple CEA'!$H$7:$AT$39,MATCH($E15,'Simple CEA'!$E$7:$E$39,0),MATCH(AG$2,'Simple CEA'!$H$2:$AT$2,0)),INDEX('Simple CEA'!$H$7:$AT$39,MATCH($E15,'Simple CEA'!$E$7:$E$39,0),MATCH(AG$3,'Simple CEA'!$H$3:$AT$3,0)))</f>
        <v>0.2433719871</v>
      </c>
      <c r="AI15" s="877">
        <v>0.37</v>
      </c>
      <c r="AJ15" s="873">
        <v>0.15</v>
      </c>
      <c r="AK15" s="876">
        <f t="array" ref="AK15">IF(AJ$3="",INDEX('Simple CEA'!$H$7:$AT$39,MATCH($E15,'Simple CEA'!$E$7:$E$39,0),MATCH(AJ$2,'Simple CEA'!$H$2:$AT$2,0)),INDEX('Simple CEA'!$H$7:$AT$39,MATCH($E15,'Simple CEA'!$E$7:$E$39,0),MATCH(AJ$3,'Simple CEA'!$H$3:$AT$3,0)))</f>
        <v>0.3922732005</v>
      </c>
      <c r="AL15" s="877">
        <v>0.57</v>
      </c>
      <c r="AM15" s="873">
        <v>0.09</v>
      </c>
      <c r="AN15" s="876">
        <f t="array" ref="AN15">IF(AM$3="",INDEX('Simple CEA'!$H$7:$AT$39,MATCH($E15,'Simple CEA'!$E$7:$E$39,0),MATCH(AM$2,'Simple CEA'!$H$2:$AT$2,0)),INDEX('Simple CEA'!$H$7:$AT$39,MATCH($E15,'Simple CEA'!$E$7:$E$39,0),MATCH(AM$3,'Simple CEA'!$H$3:$AT$3,0)))</f>
        <v>0.2687365316</v>
      </c>
      <c r="AO15" s="877">
        <v>0.41</v>
      </c>
      <c r="AP15" s="873">
        <v>0.19</v>
      </c>
      <c r="AQ15" s="876">
        <f t="array" ref="AQ15">IF(AP$3="",INDEX('Simple CEA'!$H$7:$AT$39,MATCH($E15,'Simple CEA'!$E$7:$E$39,0),MATCH(AP$2,'Simple CEA'!$H$2:$AT$2,0)),INDEX('Simple CEA'!$H$7:$AT$39,MATCH($E15,'Simple CEA'!$E$7:$E$39,0),MATCH(AP$3,'Simple CEA'!$H$3:$AT$3,0)))</f>
        <v>0.4504581992</v>
      </c>
      <c r="AR15" s="877">
        <v>0.65</v>
      </c>
      <c r="AS15" s="714"/>
    </row>
    <row r="16">
      <c r="A16" s="80"/>
      <c r="B16" s="81"/>
      <c r="C16" s="126"/>
      <c r="D16" s="81"/>
      <c r="E16" s="553" t="s">
        <v>962</v>
      </c>
      <c r="F16" s="811">
        <v>0.05</v>
      </c>
      <c r="G16" s="812">
        <f t="array" ref="G16">IF(F$3="",INDEX('Simple CEA'!$H$7:$AT$39,MATCH($E16,'Simple CEA'!$E$7:$E$39,0),MATCH(F$2,'Simple CEA'!$H$2:$AT$2,0)),INDEX('Simple CEA'!$H$7:$AT$39,MATCH($E16,'Simple CEA'!$E$7:$E$39,0),MATCH(F$3,'Simple CEA'!$H$3:$AT$3,0)))</f>
        <v>0.2559366722</v>
      </c>
      <c r="H16" s="813">
        <v>0.6</v>
      </c>
      <c r="I16" s="814">
        <v>0.05</v>
      </c>
      <c r="J16" s="812">
        <f t="array" ref="J16">IF(I$3="",INDEX('Simple CEA'!$H$7:$AT$39,MATCH($E16,'Simple CEA'!$E$7:$E$39,0),MATCH(I$2,'Simple CEA'!$H$2:$AT$2,0)),INDEX('Simple CEA'!$H$7:$AT$39,MATCH($E16,'Simple CEA'!$E$7:$E$39,0),MATCH(I$3,'Simple CEA'!$H$3:$AT$3,0)))</f>
        <v>0.2621242633</v>
      </c>
      <c r="K16" s="814">
        <v>0.6</v>
      </c>
      <c r="L16" s="811">
        <v>0.05</v>
      </c>
      <c r="M16" s="812">
        <f t="array" ref="M16">IF(L$3="",INDEX('Simple CEA'!$H$7:$AT$39,MATCH($E16,'Simple CEA'!$E$7:$E$39,0),MATCH(L$2,'Simple CEA'!$H$2:$AT$2,0)),INDEX('Simple CEA'!$H$7:$AT$39,MATCH($E16,'Simple CEA'!$E$7:$E$39,0),MATCH(L$3,'Simple CEA'!$H$3:$AT$3,0)))</f>
        <v>0.2535306558</v>
      </c>
      <c r="N16" s="813">
        <v>0.58</v>
      </c>
      <c r="O16" s="811">
        <v>0.05</v>
      </c>
      <c r="P16" s="812">
        <f t="array" ref="P16">IF(O$3="",INDEX('Simple CEA'!$H$7:$AT$39,MATCH($E16,'Simple CEA'!$E$7:$E$39,0),MATCH(O$2,'Simple CEA'!$H$2:$AT$2,0)),INDEX('Simple CEA'!$H$7:$AT$39,MATCH($E16,'Simple CEA'!$E$7:$E$39,0),MATCH(O$3,'Simple CEA'!$H$3:$AT$3,0)))</f>
        <v>0.2611903988</v>
      </c>
      <c r="Q16" s="813">
        <v>0.6</v>
      </c>
      <c r="R16" s="811">
        <v>0.05</v>
      </c>
      <c r="S16" s="812">
        <f t="array" ref="S16">IF(R$3="",INDEX('Simple CEA'!$H$7:$AT$39,MATCH($E16,'Simple CEA'!$E$7:$E$39,0),MATCH(R$2,'Simple CEA'!$H$2:$AT$2,0)),INDEX('Simple CEA'!$H$7:$AT$39,MATCH($E16,'Simple CEA'!$E$7:$E$39,0),MATCH(R$3,'Simple CEA'!$H$3:$AT$3,0)))</f>
        <v>0.2642293825</v>
      </c>
      <c r="T16" s="813">
        <v>0.6</v>
      </c>
      <c r="U16" s="811">
        <v>0.05</v>
      </c>
      <c r="V16" s="812">
        <f t="array" ref="V16">IF(U$3="",INDEX('Simple CEA'!$H$7:$AT$39,MATCH($E16,'Simple CEA'!$E$7:$E$39,0),MATCH(U$2,'Simple CEA'!$H$2:$AT$2,0)),INDEX('Simple CEA'!$H$7:$AT$39,MATCH($E16,'Simple CEA'!$E$7:$E$39,0),MATCH(U$3,'Simple CEA'!$H$3:$AT$3,0)))</f>
        <v>0.247381241</v>
      </c>
      <c r="W16" s="813">
        <v>0.58</v>
      </c>
      <c r="X16" s="811">
        <v>0.05</v>
      </c>
      <c r="Y16" s="812">
        <f t="array" ref="Y16">IF(X$3="",INDEX('Simple CEA'!$H$7:$AT$39,MATCH($E16,'Simple CEA'!$E$7:$E$39,0),MATCH(X$2,'Simple CEA'!$H$2:$AT$2,0)),INDEX('Simple CEA'!$H$7:$AT$39,MATCH($E16,'Simple CEA'!$E$7:$E$39,0),MATCH(X$3,'Simple CEA'!$H$3:$AT$3,0)))</f>
        <v>0.2464007895</v>
      </c>
      <c r="Z16" s="813">
        <v>0.58</v>
      </c>
      <c r="AA16" s="811">
        <v>0.05</v>
      </c>
      <c r="AB16" s="812">
        <f t="array" ref="AB16">IF(AA$3="",INDEX('Simple CEA'!$H$7:$AT$39,MATCH($E16,'Simple CEA'!$E$7:$E$39,0),MATCH(AA$2,'Simple CEA'!$H$2:$AT$2,0)),INDEX('Simple CEA'!$H$7:$AT$39,MATCH($E16,'Simple CEA'!$E$7:$E$39,0),MATCH(AA$3,'Simple CEA'!$H$3:$AT$3,0)))</f>
        <v>0.2505782577</v>
      </c>
      <c r="AC16" s="813">
        <v>0.58</v>
      </c>
      <c r="AD16" s="811">
        <v>0.05</v>
      </c>
      <c r="AE16" s="812">
        <f t="array" ref="AE16">IF(AD$3="",INDEX('Simple CEA'!$H$7:$AT$39,MATCH($E16,'Simple CEA'!$E$7:$E$39,0),MATCH(AD$2,'Simple CEA'!$H$2:$AT$2,0)),INDEX('Simple CEA'!$H$7:$AT$39,MATCH($E16,'Simple CEA'!$E$7:$E$39,0),MATCH(AD$3,'Simple CEA'!$H$3:$AT$3,0)))</f>
        <v>0.2581354983</v>
      </c>
      <c r="AF16" s="813">
        <v>0.6</v>
      </c>
      <c r="AG16" s="811">
        <v>0.05</v>
      </c>
      <c r="AH16" s="812">
        <f t="array" ref="AH16">IF(AG$3="",INDEX('Simple CEA'!$H$7:$AT$39,MATCH($E16,'Simple CEA'!$E$7:$E$39,0),MATCH(AG$2,'Simple CEA'!$H$2:$AT$2,0)),INDEX('Simple CEA'!$H$7:$AT$39,MATCH($E16,'Simple CEA'!$E$7:$E$39,0),MATCH(AG$3,'Simple CEA'!$H$3:$AT$3,0)))</f>
        <v>0.2643506979</v>
      </c>
      <c r="AI16" s="813">
        <v>0.6</v>
      </c>
      <c r="AJ16" s="811">
        <v>0.04</v>
      </c>
      <c r="AK16" s="812">
        <f t="array" ref="AK16">IF(AJ$3="",INDEX('Simple CEA'!$H$7:$AT$39,MATCH($E16,'Simple CEA'!$E$7:$E$39,0),MATCH(AJ$2,'Simple CEA'!$H$2:$AT$2,0)),INDEX('Simple CEA'!$H$7:$AT$39,MATCH($E16,'Simple CEA'!$E$7:$E$39,0),MATCH(AJ$3,'Simple CEA'!$H$3:$AT$3,0)))</f>
        <v>0.2407988113</v>
      </c>
      <c r="AL16" s="813">
        <v>0.56</v>
      </c>
      <c r="AM16" s="811">
        <v>0.05</v>
      </c>
      <c r="AN16" s="812">
        <f t="array" ref="AN16">IF(AM$3="",INDEX('Simple CEA'!$H$7:$AT$39,MATCH($E16,'Simple CEA'!$E$7:$E$39,0),MATCH(AM$2,'Simple CEA'!$H$2:$AT$2,0)),INDEX('Simple CEA'!$H$7:$AT$39,MATCH($E16,'Simple CEA'!$E$7:$E$39,0),MATCH(AM$3,'Simple CEA'!$H$3:$AT$3,0)))</f>
        <v>0.260408582</v>
      </c>
      <c r="AO16" s="813">
        <v>0.6</v>
      </c>
      <c r="AP16" s="811">
        <v>0.04</v>
      </c>
      <c r="AQ16" s="812">
        <f t="array" ref="AQ16">IF(AP$3="",INDEX('Simple CEA'!$H$7:$AT$39,MATCH($E16,'Simple CEA'!$E$7:$E$39,0),MATCH(AP$2,'Simple CEA'!$H$2:$AT$2,0)),INDEX('Simple CEA'!$H$7:$AT$39,MATCH($E16,'Simple CEA'!$E$7:$E$39,0),MATCH(AP$3,'Simple CEA'!$H$3:$AT$3,0)))</f>
        <v>0.2332480744</v>
      </c>
      <c r="AR16" s="813">
        <v>0.54</v>
      </c>
      <c r="AS16" s="715"/>
    </row>
    <row r="17">
      <c r="A17" s="80"/>
      <c r="B17" s="81"/>
      <c r="C17" s="126"/>
      <c r="D17" s="81"/>
      <c r="E17" s="558" t="s">
        <v>963</v>
      </c>
      <c r="F17" s="834">
        <v>0.02</v>
      </c>
      <c r="G17" s="835">
        <f t="array" ref="G17">IF(F$3="",INDEX('Simple CEA'!$H$7:$AT$39,MATCH($E17,'Simple CEA'!$E$7:$E$39,0),MATCH(F$2,'Simple CEA'!$H$2:$AT$2,0)),INDEX('Simple CEA'!$H$7:$AT$39,MATCH($E17,'Simple CEA'!$E$7:$E$39,0),MATCH(F$3,'Simple CEA'!$H$3:$AT$3,0)))</f>
        <v>0.02681981767</v>
      </c>
      <c r="H17" s="836">
        <v>0.05</v>
      </c>
      <c r="I17" s="907">
        <v>0.04</v>
      </c>
      <c r="J17" s="835">
        <f t="array" ref="J17">IF(I$3="",INDEX('Simple CEA'!$H$7:$AT$39,MATCH($E17,'Simple CEA'!$E$7:$E$39,0),MATCH(I$2,'Simple CEA'!$H$2:$AT$2,0)),INDEX('Simple CEA'!$H$7:$AT$39,MATCH($E17,'Simple CEA'!$E$7:$E$39,0),MATCH(I$3,'Simple CEA'!$H$3:$AT$3,0)))</f>
        <v>0.06043844961</v>
      </c>
      <c r="K17" s="907">
        <v>0.08</v>
      </c>
      <c r="L17" s="834">
        <v>0.02</v>
      </c>
      <c r="M17" s="835">
        <f t="array" ref="M17">IF(L$3="",INDEX('Simple CEA'!$H$7:$AT$39,MATCH($E17,'Simple CEA'!$E$7:$E$39,0),MATCH(L$2,'Simple CEA'!$H$2:$AT$2,0)),INDEX('Simple CEA'!$H$7:$AT$39,MATCH($E17,'Simple CEA'!$E$7:$E$39,0),MATCH(L$3,'Simple CEA'!$H$3:$AT$3,0)))</f>
        <v>0.03238139158</v>
      </c>
      <c r="N17" s="836">
        <v>0.05</v>
      </c>
      <c r="O17" s="834">
        <v>0.08</v>
      </c>
      <c r="P17" s="835">
        <f t="array" ref="P17">IF(O$3="",INDEX('Simple CEA'!$H$7:$AT$39,MATCH($E17,'Simple CEA'!$E$7:$E$39,0),MATCH(O$2,'Simple CEA'!$H$2:$AT$2,0)),INDEX('Simple CEA'!$H$7:$AT$39,MATCH($E17,'Simple CEA'!$E$7:$E$39,0),MATCH(O$3,'Simple CEA'!$H$3:$AT$3,0)))</f>
        <v>0.1196383637</v>
      </c>
      <c r="Q17" s="836">
        <v>0.16</v>
      </c>
      <c r="R17" s="834">
        <v>0.03</v>
      </c>
      <c r="S17" s="835">
        <f t="array" ref="S17">IF(R$3="",INDEX('Simple CEA'!$H$7:$AT$39,MATCH($E17,'Simple CEA'!$E$7:$E$39,0),MATCH(R$2,'Simple CEA'!$H$2:$AT$2,0)),INDEX('Simple CEA'!$H$7:$AT$39,MATCH($E17,'Simple CEA'!$E$7:$E$39,0),MATCH(R$3,'Simple CEA'!$H$3:$AT$3,0)))</f>
        <v>0.04867273078</v>
      </c>
      <c r="T17" s="836">
        <v>0.07</v>
      </c>
      <c r="U17" s="834">
        <v>0.02</v>
      </c>
      <c r="V17" s="835">
        <f t="array" ref="V17">IF(U$3="",INDEX('Simple CEA'!$H$7:$AT$39,MATCH($E17,'Simple CEA'!$E$7:$E$39,0),MATCH(U$2,'Simple CEA'!$H$2:$AT$2,0)),INDEX('Simple CEA'!$H$7:$AT$39,MATCH($E17,'Simple CEA'!$E$7:$E$39,0),MATCH(U$3,'Simple CEA'!$H$3:$AT$3,0)))</f>
        <v>0.03109529236</v>
      </c>
      <c r="W17" s="836">
        <v>0.05</v>
      </c>
      <c r="X17" s="834">
        <v>0.01</v>
      </c>
      <c r="Y17" s="835">
        <f t="array" ref="Y17">IF(X$3="",INDEX('Simple CEA'!$H$7:$AT$39,MATCH($E17,'Simple CEA'!$E$7:$E$39,0),MATCH(X$2,'Simple CEA'!$H$2:$AT$2,0)),INDEX('Simple CEA'!$H$7:$AT$39,MATCH($E17,'Simple CEA'!$E$7:$E$39,0),MATCH(X$3,'Simple CEA'!$H$3:$AT$3,0)))</f>
        <v>0.019900993</v>
      </c>
      <c r="Z17" s="836">
        <v>0.03</v>
      </c>
      <c r="AA17" s="834">
        <v>0.0</v>
      </c>
      <c r="AB17" s="835">
        <f t="array" ref="AB17">IF(AA$3="",INDEX('Simple CEA'!$H$7:$AT$39,MATCH($E17,'Simple CEA'!$E$7:$E$39,0),MATCH(AA$2,'Simple CEA'!$H$2:$AT$2,0)),INDEX('Simple CEA'!$H$7:$AT$39,MATCH($E17,'Simple CEA'!$E$7:$E$39,0),MATCH(AA$3,'Simple CEA'!$H$3:$AT$3,0)))</f>
        <v>0.0122802777</v>
      </c>
      <c r="AC17" s="836">
        <v>0.02</v>
      </c>
      <c r="AD17" s="834">
        <v>0.01</v>
      </c>
      <c r="AE17" s="835">
        <f t="array" ref="AE17">IF(AD$3="",INDEX('Simple CEA'!$H$7:$AT$39,MATCH($E17,'Simple CEA'!$E$7:$E$39,0),MATCH(AD$2,'Simple CEA'!$H$2:$AT$2,0)),INDEX('Simple CEA'!$H$7:$AT$39,MATCH($E17,'Simple CEA'!$E$7:$E$39,0),MATCH(AD$3,'Simple CEA'!$H$3:$AT$3,0)))</f>
        <v>0.01673476444</v>
      </c>
      <c r="AF17" s="836">
        <v>0.03</v>
      </c>
      <c r="AG17" s="834">
        <v>0.12</v>
      </c>
      <c r="AH17" s="835">
        <f t="array" ref="AH17">IF(AG$3="",INDEX('Simple CEA'!$H$7:$AT$39,MATCH($E17,'Simple CEA'!$E$7:$E$39,0),MATCH(AG$2,'Simple CEA'!$H$2:$AT$2,0)),INDEX('Simple CEA'!$H$7:$AT$39,MATCH($E17,'Simple CEA'!$E$7:$E$39,0),MATCH(AG$3,'Simple CEA'!$H$3:$AT$3,0)))</f>
        <v>0.1749760987</v>
      </c>
      <c r="AI17" s="836">
        <v>0.22</v>
      </c>
      <c r="AJ17" s="834">
        <v>0.05</v>
      </c>
      <c r="AK17" s="835">
        <f t="array" ref="AK17">IF(AJ$3="",INDEX('Simple CEA'!$H$7:$AT$39,MATCH($E17,'Simple CEA'!$E$7:$E$39,0),MATCH(AJ$2,'Simple CEA'!$H$2:$AT$2,0)),INDEX('Simple CEA'!$H$7:$AT$39,MATCH($E17,'Simple CEA'!$E$7:$E$39,0),MATCH(AJ$3,'Simple CEA'!$H$3:$AT$3,0)))</f>
        <v>0.07665975244</v>
      </c>
      <c r="AL17" s="836">
        <v>0.11</v>
      </c>
      <c r="AM17" s="834">
        <v>0.06</v>
      </c>
      <c r="AN17" s="835">
        <f t="array" ref="AN17">IF(AM$3="",INDEX('Simple CEA'!$H$7:$AT$39,MATCH($E17,'Simple CEA'!$E$7:$E$39,0),MATCH(AM$2,'Simple CEA'!$H$2:$AT$2,0)),INDEX('Simple CEA'!$H$7:$AT$39,MATCH($E17,'Simple CEA'!$E$7:$E$39,0),MATCH(AM$3,'Simple CEA'!$H$3:$AT$3,0)))</f>
        <v>0.08682661605</v>
      </c>
      <c r="AO17" s="836">
        <v>0.12</v>
      </c>
      <c r="AP17" s="834">
        <v>0.07</v>
      </c>
      <c r="AQ17" s="835">
        <f t="array" ref="AQ17">IF(AP$3="",INDEX('Simple CEA'!$H$7:$AT$39,MATCH($E17,'Simple CEA'!$E$7:$E$39,0),MATCH(AP$2,'Simple CEA'!$H$2:$AT$2,0)),INDEX('Simple CEA'!$H$7:$AT$39,MATCH($E17,'Simple CEA'!$E$7:$E$39,0),MATCH(AP$3,'Simple CEA'!$H$3:$AT$3,0)))</f>
        <v>0.1008433589</v>
      </c>
      <c r="AR17" s="836">
        <v>0.13</v>
      </c>
      <c r="AS17" s="716"/>
    </row>
    <row r="18">
      <c r="A18" s="80"/>
      <c r="B18" s="81"/>
      <c r="C18" s="126"/>
      <c r="D18" s="81"/>
      <c r="E18" s="541"/>
      <c r="F18" s="797"/>
      <c r="G18" s="865"/>
      <c r="H18" s="799"/>
      <c r="I18" s="798"/>
      <c r="J18" s="865"/>
      <c r="K18" s="798"/>
      <c r="L18" s="797"/>
      <c r="M18" s="865"/>
      <c r="N18" s="799"/>
      <c r="O18" s="797"/>
      <c r="P18" s="865"/>
      <c r="Q18" s="799"/>
      <c r="R18" s="797"/>
      <c r="S18" s="865"/>
      <c r="T18" s="799"/>
      <c r="U18" s="797"/>
      <c r="V18" s="865"/>
      <c r="W18" s="799"/>
      <c r="X18" s="797"/>
      <c r="Y18" s="865"/>
      <c r="Z18" s="799"/>
      <c r="AA18" s="797"/>
      <c r="AB18" s="865"/>
      <c r="AC18" s="799"/>
      <c r="AD18" s="797"/>
      <c r="AE18" s="865"/>
      <c r="AF18" s="799"/>
      <c r="AG18" s="797"/>
      <c r="AH18" s="865"/>
      <c r="AI18" s="799"/>
      <c r="AJ18" s="797"/>
      <c r="AK18" s="865"/>
      <c r="AL18" s="799"/>
      <c r="AM18" s="797"/>
      <c r="AN18" s="865"/>
      <c r="AO18" s="799"/>
      <c r="AP18" s="797"/>
      <c r="AQ18" s="865"/>
      <c r="AR18" s="799"/>
      <c r="AS18" s="710"/>
    </row>
    <row r="19">
      <c r="A19" s="80"/>
      <c r="B19" s="81"/>
      <c r="C19" s="126" t="s">
        <v>969</v>
      </c>
      <c r="F19" s="797"/>
      <c r="G19" s="865"/>
      <c r="H19" s="799"/>
      <c r="I19" s="800"/>
      <c r="J19" s="865"/>
      <c r="K19" s="800"/>
      <c r="L19" s="801"/>
      <c r="M19" s="865"/>
      <c r="N19" s="802"/>
      <c r="O19" s="801"/>
      <c r="P19" s="865"/>
      <c r="Q19" s="802"/>
      <c r="R19" s="801"/>
      <c r="S19" s="865"/>
      <c r="T19" s="802"/>
      <c r="U19" s="801"/>
      <c r="V19" s="865"/>
      <c r="W19" s="802"/>
      <c r="X19" s="801"/>
      <c r="Y19" s="865"/>
      <c r="Z19" s="802"/>
      <c r="AA19" s="801"/>
      <c r="AB19" s="865"/>
      <c r="AC19" s="802"/>
      <c r="AD19" s="801"/>
      <c r="AE19" s="865"/>
      <c r="AF19" s="802"/>
      <c r="AG19" s="801"/>
      <c r="AH19" s="865"/>
      <c r="AI19" s="802"/>
      <c r="AJ19" s="801"/>
      <c r="AK19" s="865"/>
      <c r="AL19" s="802"/>
      <c r="AM19" s="801"/>
      <c r="AN19" s="865"/>
      <c r="AO19" s="802"/>
      <c r="AP19" s="801"/>
      <c r="AQ19" s="865"/>
      <c r="AR19" s="802"/>
      <c r="AS19" s="710"/>
    </row>
    <row r="20">
      <c r="A20" s="80"/>
      <c r="B20" s="81"/>
      <c r="C20" s="126"/>
      <c r="D20" s="81"/>
      <c r="E20" s="548" t="s">
        <v>971</v>
      </c>
      <c r="F20" s="873">
        <v>0.14</v>
      </c>
      <c r="G20" s="876">
        <f>'Simple CEA'!$H$35</f>
        <v>0.328</v>
      </c>
      <c r="H20" s="877">
        <v>0.5</v>
      </c>
      <c r="I20" s="878">
        <v>0.14</v>
      </c>
      <c r="J20" s="876">
        <f>'Simple CEA'!$H$35</f>
        <v>0.328</v>
      </c>
      <c r="K20" s="878">
        <v>0.5</v>
      </c>
      <c r="L20" s="873">
        <v>0.14</v>
      </c>
      <c r="M20" s="876">
        <f>'Simple CEA'!$H$35</f>
        <v>0.328</v>
      </c>
      <c r="N20" s="877">
        <v>0.5</v>
      </c>
      <c r="O20" s="873">
        <v>0.14</v>
      </c>
      <c r="P20" s="876">
        <f>'Simple CEA'!$H$35</f>
        <v>0.328</v>
      </c>
      <c r="Q20" s="877">
        <v>0.5</v>
      </c>
      <c r="R20" s="873">
        <v>0.14</v>
      </c>
      <c r="S20" s="876">
        <f>'Simple CEA'!$H$35</f>
        <v>0.328</v>
      </c>
      <c r="T20" s="877">
        <v>0.5</v>
      </c>
      <c r="U20" s="873">
        <v>0.14</v>
      </c>
      <c r="V20" s="876">
        <f>'Simple CEA'!$H$35</f>
        <v>0.328</v>
      </c>
      <c r="W20" s="877">
        <v>0.5</v>
      </c>
      <c r="X20" s="873">
        <v>0.14</v>
      </c>
      <c r="Y20" s="876">
        <f>'Simple CEA'!$H$35</f>
        <v>0.328</v>
      </c>
      <c r="Z20" s="877">
        <v>0.5</v>
      </c>
      <c r="AA20" s="873">
        <v>0.14</v>
      </c>
      <c r="AB20" s="876">
        <f>'Simple CEA'!$H$35</f>
        <v>0.328</v>
      </c>
      <c r="AC20" s="877">
        <v>0.5</v>
      </c>
      <c r="AD20" s="873">
        <v>0.14</v>
      </c>
      <c r="AE20" s="876">
        <f>'Simple CEA'!$H$35</f>
        <v>0.328</v>
      </c>
      <c r="AF20" s="877">
        <v>0.5</v>
      </c>
      <c r="AG20" s="873">
        <v>0.14</v>
      </c>
      <c r="AH20" s="876">
        <f>'Simple CEA'!$H$35</f>
        <v>0.328</v>
      </c>
      <c r="AI20" s="877">
        <v>0.5</v>
      </c>
      <c r="AJ20" s="873">
        <v>0.14</v>
      </c>
      <c r="AK20" s="876">
        <f>'Simple CEA'!$H$35</f>
        <v>0.328</v>
      </c>
      <c r="AL20" s="877">
        <v>0.5</v>
      </c>
      <c r="AM20" s="873">
        <v>0.14</v>
      </c>
      <c r="AN20" s="876">
        <f>'Simple CEA'!$H$35</f>
        <v>0.328</v>
      </c>
      <c r="AO20" s="877">
        <v>0.5</v>
      </c>
      <c r="AP20" s="873">
        <v>0.14</v>
      </c>
      <c r="AQ20" s="876">
        <f>'Simple CEA'!$H$35</f>
        <v>0.328</v>
      </c>
      <c r="AR20" s="877">
        <v>0.5</v>
      </c>
      <c r="AS20" s="714"/>
    </row>
    <row r="21">
      <c r="A21" s="80"/>
      <c r="B21" s="81"/>
      <c r="C21" s="126"/>
      <c r="D21" s="81"/>
      <c r="E21" s="553" t="s">
        <v>972</v>
      </c>
      <c r="F21" s="811">
        <v>-0.13</v>
      </c>
      <c r="G21" s="812">
        <f>'Simple CEA'!$H$36</f>
        <v>-0.07</v>
      </c>
      <c r="H21" s="813">
        <v>-0.03</v>
      </c>
      <c r="I21" s="814">
        <v>-0.13</v>
      </c>
      <c r="J21" s="812">
        <f>'Simple CEA'!$H$36</f>
        <v>-0.07</v>
      </c>
      <c r="K21" s="814">
        <v>-0.03</v>
      </c>
      <c r="L21" s="811">
        <v>-0.13</v>
      </c>
      <c r="M21" s="812">
        <f>'Simple CEA'!$H$36</f>
        <v>-0.07</v>
      </c>
      <c r="N21" s="813">
        <v>-0.03</v>
      </c>
      <c r="O21" s="811">
        <v>-0.13</v>
      </c>
      <c r="P21" s="812">
        <f>'Simple CEA'!$H$36</f>
        <v>-0.07</v>
      </c>
      <c r="Q21" s="813">
        <v>-0.03</v>
      </c>
      <c r="R21" s="811">
        <v>-0.13</v>
      </c>
      <c r="S21" s="812">
        <f>'Simple CEA'!$H$36</f>
        <v>-0.07</v>
      </c>
      <c r="T21" s="813">
        <v>-0.03</v>
      </c>
      <c r="U21" s="811">
        <v>-0.13</v>
      </c>
      <c r="V21" s="812">
        <f>'Simple CEA'!$H$36</f>
        <v>-0.07</v>
      </c>
      <c r="W21" s="813">
        <v>-0.03</v>
      </c>
      <c r="X21" s="811">
        <v>-0.13</v>
      </c>
      <c r="Y21" s="812">
        <f>'Simple CEA'!$H$36</f>
        <v>-0.07</v>
      </c>
      <c r="Z21" s="813">
        <v>-0.03</v>
      </c>
      <c r="AA21" s="811">
        <v>-0.13</v>
      </c>
      <c r="AB21" s="812">
        <f>'Simple CEA'!$H$36</f>
        <v>-0.07</v>
      </c>
      <c r="AC21" s="813">
        <v>-0.03</v>
      </c>
      <c r="AD21" s="811">
        <v>-0.13</v>
      </c>
      <c r="AE21" s="812">
        <f>'Simple CEA'!$H$36</f>
        <v>-0.07</v>
      </c>
      <c r="AF21" s="813">
        <v>-0.03</v>
      </c>
      <c r="AG21" s="811">
        <v>-0.13</v>
      </c>
      <c r="AH21" s="812">
        <f>'Simple CEA'!$H$36</f>
        <v>-0.07</v>
      </c>
      <c r="AI21" s="813">
        <v>-0.03</v>
      </c>
      <c r="AJ21" s="811">
        <v>-0.13</v>
      </c>
      <c r="AK21" s="812">
        <f>'Simple CEA'!$H$36</f>
        <v>-0.07</v>
      </c>
      <c r="AL21" s="813">
        <v>-0.03</v>
      </c>
      <c r="AM21" s="811">
        <v>-0.13</v>
      </c>
      <c r="AN21" s="812">
        <f>'Simple CEA'!$H$36</f>
        <v>-0.07</v>
      </c>
      <c r="AO21" s="813">
        <v>-0.03</v>
      </c>
      <c r="AP21" s="811">
        <v>-0.13</v>
      </c>
      <c r="AQ21" s="812">
        <f>'Simple CEA'!$H$36</f>
        <v>-0.07</v>
      </c>
      <c r="AR21" s="813">
        <v>-0.03</v>
      </c>
      <c r="AS21" s="715"/>
    </row>
    <row r="22">
      <c r="A22" s="80"/>
      <c r="B22" s="81"/>
      <c r="C22" s="126"/>
      <c r="D22" s="81"/>
      <c r="E22" s="558" t="s">
        <v>975</v>
      </c>
      <c r="F22" s="834">
        <v>-0.17</v>
      </c>
      <c r="G22" s="835">
        <f t="array" ref="G22">IF(F$3="",INDEX('Simple CEA'!$H$7:$AT$39,MATCH($E22,'Simple CEA'!$E$7:$E$39,0),MATCH(F$2,'Simple CEA'!$H$2:$AT$2,0)),INDEX('Simple CEA'!$H$7:$AT$39,MATCH($E22,'Simple CEA'!$E$7:$E$39,0),MATCH(F$3,'Simple CEA'!$H$3:$AT$3,0)))</f>
        <v>-0.09454246312</v>
      </c>
      <c r="H22" s="836">
        <v>-0.04</v>
      </c>
      <c r="I22" s="907">
        <v>-0.17</v>
      </c>
      <c r="J22" s="835">
        <f t="array" ref="J22">IF(I$3="",INDEX('Simple CEA'!$H$7:$AT$39,MATCH($E22,'Simple CEA'!$E$7:$E$39,0),MATCH(I$2,'Simple CEA'!$H$2:$AT$2,0)),INDEX('Simple CEA'!$H$7:$AT$39,MATCH($E22,'Simple CEA'!$E$7:$E$39,0),MATCH(I$3,'Simple CEA'!$H$3:$AT$3,0)))</f>
        <v>-0.08809133855</v>
      </c>
      <c r="K22" s="907">
        <v>-0.04</v>
      </c>
      <c r="L22" s="834">
        <v>-0.17</v>
      </c>
      <c r="M22" s="835">
        <f t="array" ref="M22">IF(L$3="",INDEX('Simple CEA'!$H$7:$AT$39,MATCH($E22,'Simple CEA'!$E$7:$E$39,0),MATCH(L$2,'Simple CEA'!$H$2:$AT$2,0)),INDEX('Simple CEA'!$H$7:$AT$39,MATCH($E22,'Simple CEA'!$E$7:$E$39,0),MATCH(L$3,'Simple CEA'!$H$3:$AT$3,0)))</f>
        <v>-0.0934462414</v>
      </c>
      <c r="N22" s="836">
        <v>-0.04</v>
      </c>
      <c r="O22" s="834">
        <v>-0.15</v>
      </c>
      <c r="P22" s="835">
        <f t="array" ref="P22">IF(O$3="",INDEX('Simple CEA'!$H$7:$AT$39,MATCH($E22,'Simple CEA'!$E$7:$E$39,0),MATCH(O$2,'Simple CEA'!$H$2:$AT$2,0)),INDEX('Simple CEA'!$H$7:$AT$39,MATCH($E22,'Simple CEA'!$E$7:$E$39,0),MATCH(O$3,'Simple CEA'!$H$3:$AT$3,0)))</f>
        <v>-0.07767313257</v>
      </c>
      <c r="Q22" s="836">
        <v>-0.03</v>
      </c>
      <c r="R22" s="834">
        <v>-0.17</v>
      </c>
      <c r="S22" s="835">
        <f t="array" ref="S22">IF(R$3="",INDEX('Simple CEA'!$H$7:$AT$39,MATCH($E22,'Simple CEA'!$E$7:$E$39,0),MATCH(R$2,'Simple CEA'!$H$2:$AT$2,0)),INDEX('Simple CEA'!$H$7:$AT$39,MATCH($E22,'Simple CEA'!$E$7:$E$39,0),MATCH(R$3,'Simple CEA'!$H$3:$AT$3,0)))</f>
        <v>-0.09030202996</v>
      </c>
      <c r="T22" s="836">
        <v>-0.04</v>
      </c>
      <c r="U22" s="834">
        <v>-0.17</v>
      </c>
      <c r="V22" s="835">
        <f t="array" ref="V22">IF(U$3="",INDEX('Simple CEA'!$H$7:$AT$39,MATCH($E22,'Simple CEA'!$E$7:$E$39,0),MATCH(U$2,'Simple CEA'!$H$2:$AT$2,0)),INDEX('Simple CEA'!$H$7:$AT$39,MATCH($E22,'Simple CEA'!$E$7:$E$39,0),MATCH(U$3,'Simple CEA'!$H$3:$AT$3,0)))</f>
        <v>-0.09369868863</v>
      </c>
      <c r="W22" s="836">
        <v>-0.04</v>
      </c>
      <c r="X22" s="834">
        <v>-0.17</v>
      </c>
      <c r="Y22" s="835">
        <f t="array" ref="Y22">IF(X$3="",INDEX('Simple CEA'!$H$7:$AT$39,MATCH($E22,'Simple CEA'!$E$7:$E$39,0),MATCH(X$2,'Simple CEA'!$H$2:$AT$2,0)),INDEX('Simple CEA'!$H$7:$AT$39,MATCH($E22,'Simple CEA'!$E$7:$E$39,0),MATCH(X$3,'Simple CEA'!$H$3:$AT$3,0)))</f>
        <v>-0.0959228956</v>
      </c>
      <c r="Z22" s="836">
        <v>-0.04</v>
      </c>
      <c r="AA22" s="834">
        <v>-0.18</v>
      </c>
      <c r="AB22" s="835">
        <f t="array" ref="AB22">IF(AA$3="",INDEX('Simple CEA'!$H$7:$AT$39,MATCH($E22,'Simple CEA'!$E$7:$E$39,0),MATCH(AA$2,'Simple CEA'!$H$2:$AT$2,0)),INDEX('Simple CEA'!$H$7:$AT$39,MATCH($E22,'Simple CEA'!$E$7:$E$39,0),MATCH(AA$3,'Simple CEA'!$H$3:$AT$3,0)))</f>
        <v>-0.09746520692</v>
      </c>
      <c r="AC22" s="836">
        <v>-0.05</v>
      </c>
      <c r="AD22" s="834">
        <v>-0.17</v>
      </c>
      <c r="AE22" s="835">
        <f t="array" ref="AE22">IF(AD$3="",INDEX('Simple CEA'!$H$7:$AT$39,MATCH($E22,'Simple CEA'!$E$7:$E$39,0),MATCH(AD$2,'Simple CEA'!$H$2:$AT$2,0)),INDEX('Simple CEA'!$H$7:$AT$39,MATCH($E22,'Simple CEA'!$E$7:$E$39,0),MATCH(AD$3,'Simple CEA'!$H$3:$AT$3,0)))</f>
        <v>-0.09656088237</v>
      </c>
      <c r="AF22" s="836">
        <v>-0.04</v>
      </c>
      <c r="AG22" s="834">
        <v>-0.15</v>
      </c>
      <c r="AH22" s="835">
        <f t="array" ref="AH22">IF(AG$3="",INDEX('Simple CEA'!$H$7:$AT$39,MATCH($E22,'Simple CEA'!$E$7:$E$39,0),MATCH(AG$2,'Simple CEA'!$H$2:$AT$2,0)),INDEX('Simple CEA'!$H$7:$AT$39,MATCH($E22,'Simple CEA'!$E$7:$E$39,0),MATCH(AG$3,'Simple CEA'!$H$3:$AT$3,0)))</f>
        <v>-0.06888392591</v>
      </c>
      <c r="AI22" s="836">
        <v>-0.03</v>
      </c>
      <c r="AJ22" s="834">
        <v>-0.15</v>
      </c>
      <c r="AK22" s="835">
        <f t="array" ref="AK22">IF(AJ$3="",INDEX('Simple CEA'!$H$7:$AT$39,MATCH($E22,'Simple CEA'!$E$7:$E$39,0),MATCH(AJ$2,'Simple CEA'!$H$2:$AT$2,0)),INDEX('Simple CEA'!$H$7:$AT$39,MATCH($E22,'Simple CEA'!$E$7:$E$39,0),MATCH(AJ$3,'Simple CEA'!$H$3:$AT$3,0)))</f>
        <v>-0.08512270297</v>
      </c>
      <c r="AL22" s="836">
        <v>-0.03</v>
      </c>
      <c r="AM22" s="834">
        <v>-0.15</v>
      </c>
      <c r="AN22" s="835">
        <f t="array" ref="AN22">IF(AM$3="",INDEX('Simple CEA'!$H$7:$AT$39,MATCH($E22,'Simple CEA'!$E$7:$E$39,0),MATCH(AM$2,'Simple CEA'!$H$2:$AT$2,0)),INDEX('Simple CEA'!$H$7:$AT$39,MATCH($E22,'Simple CEA'!$E$7:$E$39,0),MATCH(AM$3,'Simple CEA'!$H$3:$AT$3,0)))</f>
        <v>-0.0833072569</v>
      </c>
      <c r="AO22" s="836">
        <v>-0.03</v>
      </c>
      <c r="AP22" s="834">
        <v>-0.15</v>
      </c>
      <c r="AQ22" s="835">
        <f t="array" ref="AQ22">IF(AP$3="",INDEX('Simple CEA'!$H$7:$AT$39,MATCH($E22,'Simple CEA'!$E$7:$E$39,0),MATCH(AP$2,'Simple CEA'!$H$2:$AT$2,0)),INDEX('Simple CEA'!$H$7:$AT$39,MATCH($E22,'Simple CEA'!$E$7:$E$39,0),MATCH(AP$3,'Simple CEA'!$H$3:$AT$3,0)))</f>
        <v>-0.08085934145</v>
      </c>
      <c r="AR22" s="836">
        <v>-0.03</v>
      </c>
      <c r="AS22" s="716"/>
    </row>
    <row r="23">
      <c r="A23" s="585"/>
      <c r="B23" s="623"/>
      <c r="C23" s="623"/>
      <c r="D23" s="623"/>
      <c r="E23" s="623"/>
      <c r="F23" s="941"/>
      <c r="G23" s="943"/>
      <c r="H23" s="944"/>
      <c r="I23" s="943"/>
      <c r="J23" s="943"/>
      <c r="K23" s="943"/>
      <c r="L23" s="941"/>
      <c r="M23" s="943"/>
      <c r="N23" s="944"/>
      <c r="O23" s="941"/>
      <c r="P23" s="943"/>
      <c r="Q23" s="944"/>
      <c r="R23" s="941"/>
      <c r="S23" s="943"/>
      <c r="T23" s="944"/>
      <c r="U23" s="941"/>
      <c r="V23" s="943"/>
      <c r="W23" s="944"/>
      <c r="X23" s="941"/>
      <c r="Y23" s="943"/>
      <c r="Z23" s="944"/>
      <c r="AA23" s="941"/>
      <c r="AB23" s="943"/>
      <c r="AC23" s="944"/>
      <c r="AD23" s="941"/>
      <c r="AE23" s="943"/>
      <c r="AF23" s="944"/>
      <c r="AG23" s="941"/>
      <c r="AH23" s="943"/>
      <c r="AI23" s="944"/>
      <c r="AJ23" s="941"/>
      <c r="AK23" s="943"/>
      <c r="AL23" s="944"/>
      <c r="AM23" s="941"/>
      <c r="AN23" s="943"/>
      <c r="AO23" s="944"/>
      <c r="AP23" s="941"/>
      <c r="AQ23" s="943"/>
      <c r="AR23" s="944"/>
      <c r="AS23" s="946"/>
    </row>
    <row r="24">
      <c r="A24" s="741" t="s">
        <v>1037</v>
      </c>
      <c r="B24" s="14"/>
      <c r="C24" s="14"/>
      <c r="D24" s="14"/>
      <c r="E24" s="14"/>
      <c r="F24" s="947"/>
      <c r="G24" s="948"/>
      <c r="H24" s="950"/>
      <c r="I24" s="948"/>
      <c r="J24" s="948"/>
      <c r="K24" s="948"/>
      <c r="L24" s="947"/>
      <c r="M24" s="948"/>
      <c r="N24" s="950"/>
      <c r="O24" s="947"/>
      <c r="P24" s="948"/>
      <c r="Q24" s="950"/>
      <c r="R24" s="947"/>
      <c r="S24" s="948"/>
      <c r="T24" s="950"/>
      <c r="U24" s="947"/>
      <c r="V24" s="948"/>
      <c r="W24" s="950"/>
      <c r="X24" s="947"/>
      <c r="Y24" s="948"/>
      <c r="Z24" s="950"/>
      <c r="AA24" s="947"/>
      <c r="AB24" s="948"/>
      <c r="AC24" s="950"/>
      <c r="AD24" s="947"/>
      <c r="AE24" s="948"/>
      <c r="AF24" s="950"/>
      <c r="AG24" s="947"/>
      <c r="AH24" s="948"/>
      <c r="AI24" s="950"/>
      <c r="AJ24" s="947"/>
      <c r="AK24" s="948"/>
      <c r="AL24" s="950"/>
      <c r="AM24" s="947"/>
      <c r="AN24" s="948"/>
      <c r="AO24" s="950"/>
      <c r="AP24" s="947"/>
      <c r="AQ24" s="948"/>
      <c r="AR24" s="950"/>
      <c r="AS24" s="951"/>
    </row>
    <row r="25">
      <c r="A25" s="80"/>
      <c r="B25" s="81"/>
      <c r="C25" s="81"/>
      <c r="D25" s="81"/>
      <c r="E25" s="102"/>
      <c r="F25" s="797"/>
      <c r="G25" s="798"/>
      <c r="H25" s="799"/>
      <c r="I25" s="800"/>
      <c r="J25" s="800"/>
      <c r="K25" s="800"/>
      <c r="L25" s="801"/>
      <c r="M25" s="800"/>
      <c r="N25" s="802"/>
      <c r="O25" s="801"/>
      <c r="P25" s="800"/>
      <c r="Q25" s="802"/>
      <c r="R25" s="801"/>
      <c r="S25" s="800"/>
      <c r="T25" s="802"/>
      <c r="U25" s="801"/>
      <c r="V25" s="800"/>
      <c r="W25" s="802"/>
      <c r="X25" s="801"/>
      <c r="Y25" s="800"/>
      <c r="Z25" s="802"/>
      <c r="AA25" s="801"/>
      <c r="AB25" s="800"/>
      <c r="AC25" s="802"/>
      <c r="AD25" s="801"/>
      <c r="AE25" s="800"/>
      <c r="AF25" s="802"/>
      <c r="AG25" s="801"/>
      <c r="AH25" s="800"/>
      <c r="AI25" s="802"/>
      <c r="AJ25" s="801"/>
      <c r="AK25" s="800"/>
      <c r="AL25" s="802"/>
      <c r="AM25" s="801"/>
      <c r="AN25" s="800"/>
      <c r="AO25" s="802"/>
      <c r="AP25" s="801"/>
      <c r="AQ25" s="800"/>
      <c r="AR25" s="802"/>
      <c r="AS25" s="710"/>
    </row>
    <row r="26">
      <c r="A26" s="80"/>
      <c r="B26" s="81"/>
      <c r="C26" s="126" t="s">
        <v>932</v>
      </c>
      <c r="F26" s="803"/>
      <c r="G26" s="804"/>
      <c r="H26" s="805"/>
      <c r="I26" s="804"/>
      <c r="J26" s="804"/>
      <c r="K26" s="804"/>
      <c r="L26" s="803"/>
      <c r="M26" s="804"/>
      <c r="N26" s="805"/>
      <c r="O26" s="803"/>
      <c r="P26" s="804"/>
      <c r="Q26" s="805"/>
      <c r="R26" s="803"/>
      <c r="S26" s="804"/>
      <c r="T26" s="805"/>
      <c r="U26" s="803"/>
      <c r="V26" s="804"/>
      <c r="W26" s="805"/>
      <c r="X26" s="803"/>
      <c r="Y26" s="804"/>
      <c r="Z26" s="805"/>
      <c r="AA26" s="803"/>
      <c r="AB26" s="804"/>
      <c r="AC26" s="805"/>
      <c r="AD26" s="803"/>
      <c r="AE26" s="804"/>
      <c r="AF26" s="805"/>
      <c r="AG26" s="803"/>
      <c r="AH26" s="804"/>
      <c r="AI26" s="805"/>
      <c r="AJ26" s="803"/>
      <c r="AK26" s="804"/>
      <c r="AL26" s="805"/>
      <c r="AM26" s="803"/>
      <c r="AN26" s="804"/>
      <c r="AO26" s="805"/>
      <c r="AP26" s="803"/>
      <c r="AQ26" s="804"/>
      <c r="AR26" s="805"/>
      <c r="AS26" s="710"/>
    </row>
    <row r="27">
      <c r="A27" s="80"/>
      <c r="B27" s="81"/>
      <c r="C27" s="126"/>
      <c r="D27" s="81"/>
      <c r="E27" s="548" t="s">
        <v>933</v>
      </c>
      <c r="F27" s="954">
        <f>'Simple CEA'!I122</f>
        <v>30.68549404</v>
      </c>
      <c r="G27" s="955" t="s">
        <v>150</v>
      </c>
      <c r="H27" s="957">
        <f>'Simple CEA'!I140</f>
        <v>19.4734866</v>
      </c>
      <c r="I27" s="959">
        <f>'Simple CEA'!J122</f>
        <v>13.92598613</v>
      </c>
      <c r="J27" s="955" t="s">
        <v>150</v>
      </c>
      <c r="K27" s="959">
        <f>'Simple CEA'!J140</f>
        <v>8.837645045</v>
      </c>
      <c r="L27" s="954">
        <f>'Simple CEA'!K122</f>
        <v>25.65832423</v>
      </c>
      <c r="M27" s="955" t="s">
        <v>150</v>
      </c>
      <c r="N27" s="957">
        <f>'Simple CEA'!K140</f>
        <v>16.2831673</v>
      </c>
      <c r="O27" s="954">
        <f>'Simple CEA'!L122</f>
        <v>7.29372483</v>
      </c>
      <c r="P27" s="955" t="s">
        <v>150</v>
      </c>
      <c r="Q27" s="957">
        <f>'Simple CEA'!L140</f>
        <v>4.628709988</v>
      </c>
      <c r="R27" s="954">
        <f>'Simple CEA'!M122</f>
        <v>16.92832141</v>
      </c>
      <c r="S27" s="955" t="s">
        <v>150</v>
      </c>
      <c r="T27" s="957">
        <f>'Simple CEA'!M140</f>
        <v>10.74297321</v>
      </c>
      <c r="U27" s="954">
        <f>'Simple CEA'!N122</f>
        <v>26.21258131</v>
      </c>
      <c r="V27" s="955" t="s">
        <v>150</v>
      </c>
      <c r="W27" s="957">
        <f>'Simple CEA'!N140</f>
        <v>16.63490737</v>
      </c>
      <c r="X27" s="954">
        <f>'Simple CEA'!O122</f>
        <v>40.65648897</v>
      </c>
      <c r="Y27" s="955" t="s">
        <v>150</v>
      </c>
      <c r="Z27" s="957">
        <f>'Simple CEA'!O140</f>
        <v>25.80123339</v>
      </c>
      <c r="AA27" s="954">
        <f>'Simple CEA'!P122</f>
        <v>66.18433923</v>
      </c>
      <c r="AB27" s="955" t="s">
        <v>150</v>
      </c>
      <c r="AC27" s="957">
        <f>'Simple CEA'!P140</f>
        <v>42.00159989</v>
      </c>
      <c r="AD27" s="954">
        <f>'Simple CEA'!Q122</f>
        <v>49.12825617</v>
      </c>
      <c r="AE27" s="955" t="s">
        <v>150</v>
      </c>
      <c r="AF27" s="957">
        <f>'Simple CEA'!Q140</f>
        <v>31.17754718</v>
      </c>
      <c r="AG27" s="954">
        <f>'Simple CEA'!S122</f>
        <v>5.448459563</v>
      </c>
      <c r="AH27" s="955" t="s">
        <v>150</v>
      </c>
      <c r="AI27" s="957">
        <f>'Simple CEA'!S140</f>
        <v>3.457676261</v>
      </c>
      <c r="AJ27" s="954">
        <f>'Simple CEA'!AK122</f>
        <v>10.73829324</v>
      </c>
      <c r="AK27" s="955" t="s">
        <v>150</v>
      </c>
      <c r="AL27" s="957">
        <f>'Simple CEA'!AK140</f>
        <v>6.814686095</v>
      </c>
      <c r="AM27" s="954">
        <f>'Simple CEA'!AR122</f>
        <v>9.935308694</v>
      </c>
      <c r="AN27" s="955" t="s">
        <v>150</v>
      </c>
      <c r="AO27" s="957">
        <f>'Simple CEA'!AR140</f>
        <v>6.305099748</v>
      </c>
      <c r="AP27" s="954">
        <f>'Simple CEA'!AS122</f>
        <v>8.668196893</v>
      </c>
      <c r="AQ27" s="955" t="s">
        <v>150</v>
      </c>
      <c r="AR27" s="957">
        <f>'Simple CEA'!AS140</f>
        <v>5.500971105</v>
      </c>
      <c r="AS27" s="962"/>
    </row>
    <row r="28">
      <c r="A28" s="80"/>
      <c r="B28" s="81"/>
      <c r="C28" s="126"/>
      <c r="D28" s="81"/>
      <c r="E28" s="553" t="s">
        <v>938</v>
      </c>
      <c r="F28" s="963">
        <f>'Simple CEA'!I123</f>
        <v>35.16705055</v>
      </c>
      <c r="G28" s="964" t="s">
        <v>150</v>
      </c>
      <c r="H28" s="966">
        <f>'Simple CEA'!I141</f>
        <v>12.03083308</v>
      </c>
      <c r="I28" s="969">
        <f>'Simple CEA'!J123</f>
        <v>16.44208111</v>
      </c>
      <c r="J28" s="964" t="s">
        <v>150</v>
      </c>
      <c r="K28" s="969">
        <f>'Simple CEA'!J141</f>
        <v>4.110520279</v>
      </c>
      <c r="L28" s="963">
        <f>'Simple CEA'!K123</f>
        <v>28.54886841</v>
      </c>
      <c r="M28" s="964" t="s">
        <v>150</v>
      </c>
      <c r="N28" s="966">
        <f>'Simple CEA'!K141</f>
        <v>8.859993644</v>
      </c>
      <c r="O28" s="963">
        <f>'Simple CEA'!L123</f>
        <v>8.877665477</v>
      </c>
      <c r="P28" s="964" t="s">
        <v>150</v>
      </c>
      <c r="Q28" s="966">
        <f>'Simple CEA'!L141</f>
        <v>1.868982206</v>
      </c>
      <c r="R28" s="963">
        <f>'Simple CEA'!M123</f>
        <v>18.96382407</v>
      </c>
      <c r="S28" s="964" t="s">
        <v>150</v>
      </c>
      <c r="T28" s="966">
        <f>'Simple CEA'!M141</f>
        <v>6.117362603</v>
      </c>
      <c r="U28" s="963">
        <f>'Simple CEA'!N123</f>
        <v>29.05438943</v>
      </c>
      <c r="V28" s="964" t="s">
        <v>150</v>
      </c>
      <c r="W28" s="966">
        <f>'Simple CEA'!N141</f>
        <v>10.62965467</v>
      </c>
      <c r="X28" s="963">
        <f>'Simple CEA'!O123</f>
        <v>43.89738244</v>
      </c>
      <c r="Y28" s="964" t="s">
        <v>150</v>
      </c>
      <c r="Z28" s="966">
        <f>'Simple CEA'!O141</f>
        <v>17.24540025</v>
      </c>
      <c r="AA28" s="963">
        <f>'Simple CEA'!P123</f>
        <v>71.18178239</v>
      </c>
      <c r="AB28" s="964" t="s">
        <v>150</v>
      </c>
      <c r="AC28" s="966">
        <f>'Simple CEA'!P141</f>
        <v>27.85374093</v>
      </c>
      <c r="AD28" s="963">
        <f>'Simple CEA'!Q123</f>
        <v>53.91529399</v>
      </c>
      <c r="AE28" s="964" t="s">
        <v>150</v>
      </c>
      <c r="AF28" s="966">
        <f>'Simple CEA'!Q141</f>
        <v>20.36799995</v>
      </c>
      <c r="AG28" s="963">
        <f>'Simple CEA'!S123</f>
        <v>7.677860174</v>
      </c>
      <c r="AH28" s="964" t="s">
        <v>150</v>
      </c>
      <c r="AI28" s="966">
        <f>'Simple CEA'!S141</f>
        <v>0.6979872886</v>
      </c>
      <c r="AJ28" s="963">
        <f>'Simple CEA'!AK123</f>
        <v>12.08590632</v>
      </c>
      <c r="AK28" s="964" t="s">
        <v>150</v>
      </c>
      <c r="AL28" s="966">
        <f>'Simple CEA'!AK141</f>
        <v>3.750798513</v>
      </c>
      <c r="AM28" s="963">
        <f>'Simple CEA'!AR123</f>
        <v>12.04404418</v>
      </c>
      <c r="AN28" s="964" t="s">
        <v>150</v>
      </c>
      <c r="AO28" s="966">
        <f>'Simple CEA'!AR141</f>
        <v>2.535588248</v>
      </c>
      <c r="AP28" s="963">
        <f>'Simple CEA'!AS123</f>
        <v>11.04899171</v>
      </c>
      <c r="AQ28" s="964" t="s">
        <v>150</v>
      </c>
      <c r="AR28" s="966">
        <f>'Simple CEA'!AS141</f>
        <v>1.841498619</v>
      </c>
      <c r="AS28" s="974"/>
    </row>
    <row r="29">
      <c r="A29" s="80"/>
      <c r="B29" s="81"/>
      <c r="C29" s="126"/>
      <c r="D29" s="81"/>
      <c r="E29" s="553" t="s">
        <v>943</v>
      </c>
      <c r="F29" s="963">
        <f>'Simple CEA'!I124</f>
        <v>14.58276632</v>
      </c>
      <c r="G29" s="964" t="s">
        <v>150</v>
      </c>
      <c r="H29" s="966">
        <f>'Simple CEA'!I142</f>
        <v>31.17017168</v>
      </c>
      <c r="I29" s="969">
        <f>'Simple CEA'!J124</f>
        <v>6.511708347</v>
      </c>
      <c r="J29" s="964" t="s">
        <v>150</v>
      </c>
      <c r="K29" s="969">
        <f>'Simple CEA'!J142</f>
        <v>14.10072138</v>
      </c>
      <c r="L29" s="963">
        <f>'Simple CEA'!K124</f>
        <v>13.07414823</v>
      </c>
      <c r="M29" s="964" t="s">
        <v>150</v>
      </c>
      <c r="N29" s="966">
        <f>'Simple CEA'!K142</f>
        <v>26.31050673</v>
      </c>
      <c r="O29" s="963">
        <f>'Simple CEA'!L124</f>
        <v>3.219381087</v>
      </c>
      <c r="P29" s="964" t="s">
        <v>150</v>
      </c>
      <c r="Q29" s="966">
        <f>'Simple CEA'!L142</f>
        <v>7.679969339</v>
      </c>
      <c r="R29" s="963">
        <f>'Simple CEA'!M124</f>
        <v>7.380418939</v>
      </c>
      <c r="S29" s="964" t="s">
        <v>150</v>
      </c>
      <c r="T29" s="966">
        <f>'Simple CEA'!M142</f>
        <v>17.24191488</v>
      </c>
      <c r="U29" s="963">
        <f>'Simple CEA'!N124</f>
        <v>13.09825005</v>
      </c>
      <c r="V29" s="964" t="s">
        <v>150</v>
      </c>
      <c r="W29" s="966">
        <f>'Simple CEA'!N142</f>
        <v>27.70783664</v>
      </c>
      <c r="X29" s="963">
        <f>'Simple CEA'!O124</f>
        <v>18.33939444</v>
      </c>
      <c r="Y29" s="964" t="s">
        <v>150</v>
      </c>
      <c r="Z29" s="966">
        <f>'Simple CEA'!O142</f>
        <v>41.35982313</v>
      </c>
      <c r="AA29" s="963">
        <f>'Simple CEA'!P124</f>
        <v>31.81834615</v>
      </c>
      <c r="AB29" s="964" t="s">
        <v>150</v>
      </c>
      <c r="AC29" s="966">
        <f>'Simple CEA'!P142</f>
        <v>67.49814208</v>
      </c>
      <c r="AD29" s="963">
        <f>'Simple CEA'!Q124</f>
        <v>24.48955482</v>
      </c>
      <c r="AE29" s="964" t="s">
        <v>150</v>
      </c>
      <c r="AF29" s="966">
        <f>'Simple CEA'!Q142</f>
        <v>49.12663709</v>
      </c>
      <c r="AG29" s="963">
        <f>'Simple CEA'!S124</f>
        <v>2.333283194</v>
      </c>
      <c r="AH29" s="964" t="s">
        <v>150</v>
      </c>
      <c r="AI29" s="966">
        <f>'Simple CEA'!S142</f>
        <v>5.59376626</v>
      </c>
      <c r="AJ29" s="963">
        <f>'Simple CEA'!AK124</f>
        <v>4.943366637</v>
      </c>
      <c r="AK29" s="964" t="s">
        <v>150</v>
      </c>
      <c r="AL29" s="966">
        <f>'Simple CEA'!AK142</f>
        <v>11.42752288</v>
      </c>
      <c r="AM29" s="963">
        <f>'Simple CEA'!AR124</f>
        <v>4.470342423</v>
      </c>
      <c r="AN29" s="964" t="s">
        <v>150</v>
      </c>
      <c r="AO29" s="966">
        <f>'Simple CEA'!AR142</f>
        <v>10.09073144</v>
      </c>
      <c r="AP29" s="963">
        <f>'Simple CEA'!AS124</f>
        <v>3.836964903</v>
      </c>
      <c r="AQ29" s="964" t="s">
        <v>150</v>
      </c>
      <c r="AR29" s="966">
        <f>'Simple CEA'!AS142</f>
        <v>9.260946702</v>
      </c>
      <c r="AS29" s="974"/>
    </row>
    <row r="30">
      <c r="A30" s="80"/>
      <c r="B30" s="81"/>
      <c r="C30" s="126"/>
      <c r="D30" s="81"/>
      <c r="E30" s="558" t="s">
        <v>945</v>
      </c>
      <c r="F30" s="975">
        <f>'Simple CEA'!I125</f>
        <v>17.10503625</v>
      </c>
      <c r="G30" s="976" t="s">
        <v>150</v>
      </c>
      <c r="H30" s="977">
        <f>'Simple CEA'!I143</f>
        <v>30.60901223</v>
      </c>
      <c r="I30" s="978">
        <f>'Simple CEA'!J125</f>
        <v>7.61532168</v>
      </c>
      <c r="J30" s="976" t="s">
        <v>150</v>
      </c>
      <c r="K30" s="978">
        <f>'Simple CEA'!J143</f>
        <v>13.58408732</v>
      </c>
      <c r="L30" s="979">
        <f>'Simple CEA'!K125</f>
        <v>14.59380333</v>
      </c>
      <c r="M30" s="976" t="s">
        <v>150</v>
      </c>
      <c r="N30" s="980">
        <f>'Simple CEA'!K143</f>
        <v>25.53915582</v>
      </c>
      <c r="O30" s="979">
        <f>'Simple CEA'!L125</f>
        <v>4.049799</v>
      </c>
      <c r="P30" s="976" t="s">
        <v>150</v>
      </c>
      <c r="Q30" s="980">
        <f>'Simple CEA'!L143</f>
        <v>7.247008736</v>
      </c>
      <c r="R30" s="979">
        <f>'Simple CEA'!M125</f>
        <v>9.383974997</v>
      </c>
      <c r="S30" s="976" t="s">
        <v>150</v>
      </c>
      <c r="T30" s="980">
        <f>'Simple CEA'!M143</f>
        <v>16.73898243</v>
      </c>
      <c r="U30" s="979">
        <f>'Simple CEA'!N125</f>
        <v>14.73337405</v>
      </c>
      <c r="V30" s="976" t="s">
        <v>150</v>
      </c>
      <c r="W30" s="980">
        <f>'Simple CEA'!N143</f>
        <v>26.06673871</v>
      </c>
      <c r="X30" s="979">
        <f>'Simple CEA'!O125</f>
        <v>22.82146873</v>
      </c>
      <c r="Y30" s="976" t="s">
        <v>150</v>
      </c>
      <c r="Z30" s="980">
        <f>'Simple CEA'!O143</f>
        <v>40.37644468</v>
      </c>
      <c r="AA30" s="979">
        <f>'Simple CEA'!P125</f>
        <v>36.72640285</v>
      </c>
      <c r="AB30" s="976" t="s">
        <v>150</v>
      </c>
      <c r="AC30" s="980">
        <f>'Simple CEA'!P143</f>
        <v>65.72093141</v>
      </c>
      <c r="AD30" s="979">
        <f>'Simple CEA'!Q125</f>
        <v>27.5819642</v>
      </c>
      <c r="AE30" s="976" t="s">
        <v>150</v>
      </c>
      <c r="AF30" s="980">
        <f>'Simple CEA'!Q143</f>
        <v>48.79885974</v>
      </c>
      <c r="AG30" s="979">
        <f>'Simple CEA'!S125</f>
        <v>3.01111275</v>
      </c>
      <c r="AH30" s="976" t="s">
        <v>150</v>
      </c>
      <c r="AI30" s="980">
        <f>'Simple CEA'!S143</f>
        <v>5.371174094</v>
      </c>
      <c r="AJ30" s="979">
        <f>'Simple CEA'!AK125</f>
        <v>5.900022144</v>
      </c>
      <c r="AK30" s="976" t="s">
        <v>150</v>
      </c>
      <c r="AL30" s="980">
        <f>'Simple CEA'!AK143</f>
        <v>10.52436383</v>
      </c>
      <c r="AM30" s="979">
        <f>'Simple CEA'!AR125</f>
        <v>5.423454525</v>
      </c>
      <c r="AN30" s="976" t="s">
        <v>150</v>
      </c>
      <c r="AO30" s="980">
        <f>'Simple CEA'!AR143</f>
        <v>9.792348448</v>
      </c>
      <c r="AP30" s="979">
        <f>'Simple CEA'!AS125</f>
        <v>4.83376458</v>
      </c>
      <c r="AQ30" s="976" t="s">
        <v>150</v>
      </c>
      <c r="AR30" s="980">
        <f>'Simple CEA'!AS143</f>
        <v>8.552045027</v>
      </c>
      <c r="AS30" s="981"/>
    </row>
    <row r="31">
      <c r="A31" s="80"/>
      <c r="B31" s="81"/>
      <c r="C31" s="126"/>
      <c r="D31" s="81"/>
      <c r="E31" s="541"/>
      <c r="F31" s="982"/>
      <c r="G31" s="983"/>
      <c r="H31" s="984"/>
      <c r="I31" s="985"/>
      <c r="J31" s="983"/>
      <c r="K31" s="985"/>
      <c r="L31" s="982"/>
      <c r="M31" s="983"/>
      <c r="N31" s="984"/>
      <c r="O31" s="982"/>
      <c r="P31" s="983"/>
      <c r="Q31" s="984"/>
      <c r="R31" s="982"/>
      <c r="S31" s="983"/>
      <c r="T31" s="984"/>
      <c r="U31" s="982"/>
      <c r="V31" s="983"/>
      <c r="W31" s="984"/>
      <c r="X31" s="982"/>
      <c r="Y31" s="983"/>
      <c r="Z31" s="984"/>
      <c r="AA31" s="982"/>
      <c r="AB31" s="983"/>
      <c r="AC31" s="984"/>
      <c r="AD31" s="982"/>
      <c r="AE31" s="983"/>
      <c r="AF31" s="984"/>
      <c r="AG31" s="982"/>
      <c r="AH31" s="983"/>
      <c r="AI31" s="984"/>
      <c r="AJ31" s="982"/>
      <c r="AK31" s="983"/>
      <c r="AL31" s="984"/>
      <c r="AM31" s="982"/>
      <c r="AN31" s="983"/>
      <c r="AO31" s="984"/>
      <c r="AP31" s="982"/>
      <c r="AQ31" s="983"/>
      <c r="AR31" s="984"/>
      <c r="AS31" s="986"/>
    </row>
    <row r="32">
      <c r="A32" s="80"/>
      <c r="B32" s="81"/>
      <c r="C32" s="126" t="s">
        <v>957</v>
      </c>
      <c r="F32" s="987" t="str">
        <f>'Simple CEA'!I127</f>
        <v/>
      </c>
      <c r="G32" s="988"/>
      <c r="H32" s="989"/>
      <c r="I32" s="990"/>
      <c r="J32" s="988"/>
      <c r="K32" s="990"/>
      <c r="L32" s="987"/>
      <c r="M32" s="988"/>
      <c r="N32" s="989"/>
      <c r="O32" s="987"/>
      <c r="P32" s="988"/>
      <c r="Q32" s="989"/>
      <c r="R32" s="987"/>
      <c r="S32" s="988"/>
      <c r="T32" s="989"/>
      <c r="U32" s="987"/>
      <c r="V32" s="988"/>
      <c r="W32" s="989"/>
      <c r="X32" s="987"/>
      <c r="Y32" s="988"/>
      <c r="Z32" s="989"/>
      <c r="AA32" s="987"/>
      <c r="AB32" s="988"/>
      <c r="AC32" s="989"/>
      <c r="AD32" s="987"/>
      <c r="AE32" s="988"/>
      <c r="AF32" s="989"/>
      <c r="AG32" s="987"/>
      <c r="AH32" s="988"/>
      <c r="AI32" s="989"/>
      <c r="AJ32" s="987"/>
      <c r="AK32" s="988"/>
      <c r="AL32" s="989"/>
      <c r="AM32" s="987"/>
      <c r="AN32" s="988"/>
      <c r="AO32" s="989"/>
      <c r="AP32" s="987"/>
      <c r="AQ32" s="988"/>
      <c r="AR32" s="989"/>
      <c r="AS32" s="986"/>
    </row>
    <row r="33">
      <c r="A33" s="80"/>
      <c r="B33" s="81"/>
      <c r="C33" s="126"/>
      <c r="D33" s="81"/>
      <c r="E33" s="548" t="s">
        <v>959</v>
      </c>
      <c r="F33" s="954">
        <f>'Simple CEA'!I128</f>
        <v>20.24182901</v>
      </c>
      <c r="G33" s="955" t="s">
        <v>150</v>
      </c>
      <c r="H33" s="957">
        <f>'Simple CEA'!I146</f>
        <v>26.49839434</v>
      </c>
      <c r="I33" s="959">
        <f>'Simple CEA'!J128</f>
        <v>9.260718695</v>
      </c>
      <c r="J33" s="955" t="s">
        <v>150</v>
      </c>
      <c r="K33" s="959">
        <f>'Simple CEA'!J146</f>
        <v>12.00463535</v>
      </c>
      <c r="L33" s="954">
        <f>'Simple CEA'!K128</f>
        <v>16.9090274</v>
      </c>
      <c r="M33" s="955" t="s">
        <v>150</v>
      </c>
      <c r="N33" s="957">
        <f>'Simple CEA'!K146</f>
        <v>22.39303629</v>
      </c>
      <c r="O33" s="954">
        <f>'Simple CEA'!L128</f>
        <v>4.862678452</v>
      </c>
      <c r="P33" s="955" t="s">
        <v>150</v>
      </c>
      <c r="Q33" s="957">
        <f>'Simple CEA'!L146</f>
        <v>6.290253778</v>
      </c>
      <c r="R33" s="954">
        <f>'Simple CEA'!M128</f>
        <v>11.30025444</v>
      </c>
      <c r="S33" s="955" t="s">
        <v>150</v>
      </c>
      <c r="T33" s="957">
        <f>'Simple CEA'!M146</f>
        <v>14.43921401</v>
      </c>
      <c r="U33" s="954">
        <f>'Simple CEA'!N128</f>
        <v>17.02779818</v>
      </c>
      <c r="V33" s="955" t="s">
        <v>150</v>
      </c>
      <c r="W33" s="957">
        <f>'Simple CEA'!N146</f>
        <v>22.90464887</v>
      </c>
      <c r="X33" s="954">
        <f>'Simple CEA'!O128</f>
        <v>26.26888462</v>
      </c>
      <c r="Y33" s="955" t="s">
        <v>150</v>
      </c>
      <c r="Z33" s="957">
        <f>'Simple CEA'!O146</f>
        <v>35.56760484</v>
      </c>
      <c r="AA33" s="954">
        <f>'Simple CEA'!P128</f>
        <v>43.24370197</v>
      </c>
      <c r="AB33" s="955" t="s">
        <v>150</v>
      </c>
      <c r="AC33" s="957">
        <f>'Simple CEA'!P146</f>
        <v>57.52956781</v>
      </c>
      <c r="AD33" s="954">
        <f>'Simple CEA'!Q128</f>
        <v>32.37032809</v>
      </c>
      <c r="AE33" s="955" t="s">
        <v>150</v>
      </c>
      <c r="AF33" s="957">
        <f>'Simple CEA'!Q146</f>
        <v>42.17051917</v>
      </c>
      <c r="AG33" s="954">
        <f>'Simple CEA'!S128</f>
        <v>3.636469862</v>
      </c>
      <c r="AH33" s="955" t="s">
        <v>150</v>
      </c>
      <c r="AI33" s="957">
        <f>'Simple CEA'!S146</f>
        <v>4.656040852</v>
      </c>
      <c r="AJ33" s="954">
        <f>'Simple CEA'!AK128</f>
        <v>6.879109109</v>
      </c>
      <c r="AK33" s="955" t="s">
        <v>150</v>
      </c>
      <c r="AL33" s="957">
        <f>'Simple CEA'!AK146</f>
        <v>9.391479392</v>
      </c>
      <c r="AM33" s="954">
        <f>'Simple CEA'!AR128</f>
        <v>6.620030341</v>
      </c>
      <c r="AN33" s="955" t="s">
        <v>150</v>
      </c>
      <c r="AO33" s="957">
        <f>'Simple CEA'!AR146</f>
        <v>8.563525487</v>
      </c>
      <c r="AP33" s="954">
        <f>'Simple CEA'!AS128</f>
        <v>5.51561664</v>
      </c>
      <c r="AQ33" s="955" t="s">
        <v>150</v>
      </c>
      <c r="AR33" s="957">
        <f>'Simple CEA'!AS146</f>
        <v>7.647703744</v>
      </c>
      <c r="AS33" s="962"/>
    </row>
    <row r="34">
      <c r="A34" s="80"/>
      <c r="B34" s="81"/>
      <c r="C34" s="126"/>
      <c r="D34" s="81"/>
      <c r="E34" s="553" t="s">
        <v>962</v>
      </c>
      <c r="F34" s="963">
        <f>'Simple CEA'!I129</f>
        <v>19.89657113</v>
      </c>
      <c r="G34" s="964" t="s">
        <v>150</v>
      </c>
      <c r="H34" s="966">
        <f>'Simple CEA'!I147</f>
        <v>30.31858458</v>
      </c>
      <c r="I34" s="969">
        <f>'Simple CEA'!J129</f>
        <v>8.985385268</v>
      </c>
      <c r="J34" s="964" t="s">
        <v>150</v>
      </c>
      <c r="K34" s="969">
        <f>'Simple CEA'!J147</f>
        <v>13.69201565</v>
      </c>
      <c r="L34" s="963">
        <f>'Simple CEA'!K129</f>
        <v>16.66887117</v>
      </c>
      <c r="M34" s="964" t="s">
        <v>150</v>
      </c>
      <c r="N34" s="966">
        <f>'Simple CEA'!K147</f>
        <v>25.08268234</v>
      </c>
      <c r="O34" s="963">
        <f>'Simple CEA'!L129</f>
        <v>4.709573503</v>
      </c>
      <c r="P34" s="964" t="s">
        <v>150</v>
      </c>
      <c r="Q34" s="966">
        <f>'Simple CEA'!L147</f>
        <v>7.176492957</v>
      </c>
      <c r="R34" s="963">
        <f>'Simple CEA'!M129</f>
        <v>10.90437748</v>
      </c>
      <c r="S34" s="964" t="s">
        <v>150</v>
      </c>
      <c r="T34" s="966">
        <f>'Simple CEA'!M147</f>
        <v>16.61619426</v>
      </c>
      <c r="U34" s="963">
        <f>'Simple CEA'!N129</f>
        <v>17.11289331</v>
      </c>
      <c r="V34" s="964" t="s">
        <v>150</v>
      </c>
      <c r="W34" s="966">
        <f>'Simple CEA'!N147</f>
        <v>25.75082993</v>
      </c>
      <c r="X34" s="963">
        <f>'Simple CEA'!O129</f>
        <v>26.56348282</v>
      </c>
      <c r="Y34" s="964" t="s">
        <v>150</v>
      </c>
      <c r="Z34" s="966">
        <f>'Simple CEA'!O147</f>
        <v>39.97171701</v>
      </c>
      <c r="AA34" s="963">
        <f>'Simple CEA'!P129</f>
        <v>43.09801064</v>
      </c>
      <c r="AB34" s="964" t="s">
        <v>150</v>
      </c>
      <c r="AC34" s="966">
        <f>'Simple CEA'!P147</f>
        <v>64.85224459</v>
      </c>
      <c r="AD34" s="963">
        <f>'Simple CEA'!Q129</f>
        <v>31.79924387</v>
      </c>
      <c r="AE34" s="964" t="s">
        <v>150</v>
      </c>
      <c r="AF34" s="966">
        <f>'Simple CEA'!Q147</f>
        <v>48.45599067</v>
      </c>
      <c r="AG34" s="963">
        <f>'Simple CEA'!S129</f>
        <v>3.509288232</v>
      </c>
      <c r="AH34" s="964" t="s">
        <v>150</v>
      </c>
      <c r="AI34" s="966">
        <f>'Simple CEA'!S147</f>
        <v>5.347486829</v>
      </c>
      <c r="AJ34" s="963">
        <f>'Simple CEA'!AK129</f>
        <v>6.980568475</v>
      </c>
      <c r="AK34" s="964" t="s">
        <v>150</v>
      </c>
      <c r="AL34" s="966">
        <f>'Simple CEA'!AK147</f>
        <v>10.47085271</v>
      </c>
      <c r="AM34" s="963">
        <f>'Simple CEA'!AR129</f>
        <v>6.41922908</v>
      </c>
      <c r="AN34" s="964" t="s">
        <v>150</v>
      </c>
      <c r="AO34" s="966">
        <f>'Simple CEA'!AR147</f>
        <v>9.781682407</v>
      </c>
      <c r="AP34" s="963">
        <f>'Simple CEA'!AS129</f>
        <v>5.669375497</v>
      </c>
      <c r="AQ34" s="964" t="s">
        <v>150</v>
      </c>
      <c r="AR34" s="966">
        <f>'Simple CEA'!AS147</f>
        <v>8.395036794</v>
      </c>
      <c r="AS34" s="974"/>
    </row>
    <row r="35">
      <c r="A35" s="80"/>
      <c r="B35" s="81"/>
      <c r="C35" s="126"/>
      <c r="D35" s="81"/>
      <c r="E35" s="558" t="s">
        <v>963</v>
      </c>
      <c r="F35" s="975">
        <f>'Simple CEA'!I130</f>
        <v>23.64082408</v>
      </c>
      <c r="G35" s="976" t="s">
        <v>150</v>
      </c>
      <c r="H35" s="977">
        <f>'Simple CEA'!I148</f>
        <v>24.33614243</v>
      </c>
      <c r="I35" s="991">
        <f>'Simple CEA'!J130</f>
        <v>10.59247367</v>
      </c>
      <c r="J35" s="976" t="s">
        <v>150</v>
      </c>
      <c r="K35" s="991">
        <f>'Simple CEA'!J148</f>
        <v>10.9998765</v>
      </c>
      <c r="L35" s="975">
        <f>'Simple CEA'!K130</f>
        <v>19.661283</v>
      </c>
      <c r="M35" s="976" t="s">
        <v>150</v>
      </c>
      <c r="N35" s="977">
        <f>'Simple CEA'!K148</f>
        <v>20.23955603</v>
      </c>
      <c r="O35" s="975">
        <f>'Simple CEA'!L130</f>
        <v>5.456559822</v>
      </c>
      <c r="P35" s="976" t="s">
        <v>150</v>
      </c>
      <c r="Q35" s="977">
        <f>'Simple CEA'!L148</f>
        <v>5.860749438</v>
      </c>
      <c r="R35" s="975">
        <f>'Simple CEA'!M130</f>
        <v>12.89539672</v>
      </c>
      <c r="S35" s="976" t="s">
        <v>150</v>
      </c>
      <c r="T35" s="977">
        <f>'Simple CEA'!M148</f>
        <v>13.39618883</v>
      </c>
      <c r="U35" s="975">
        <f>'Simple CEA'!N130</f>
        <v>20.11104881</v>
      </c>
      <c r="V35" s="976" t="s">
        <v>150</v>
      </c>
      <c r="W35" s="977">
        <f>'Simple CEA'!N148</f>
        <v>20.70255024</v>
      </c>
      <c r="X35" s="975">
        <f>'Simple CEA'!O130</f>
        <v>31.22603137</v>
      </c>
      <c r="Y35" s="976" t="s">
        <v>150</v>
      </c>
      <c r="Z35" s="977">
        <f>'Simple CEA'!O148</f>
        <v>31.84436863</v>
      </c>
      <c r="AA35" s="975">
        <f>'Simple CEA'!P130</f>
        <v>50.70818</v>
      </c>
      <c r="AB35" s="976" t="s">
        <v>150</v>
      </c>
      <c r="AC35" s="977">
        <f>'Simple CEA'!P148</f>
        <v>51.7223436</v>
      </c>
      <c r="AD35" s="975">
        <f>'Simple CEA'!Q130</f>
        <v>37.85023768</v>
      </c>
      <c r="AE35" s="976" t="s">
        <v>150</v>
      </c>
      <c r="AF35" s="977">
        <f>'Simple CEA'!Q148</f>
        <v>38.59974733</v>
      </c>
      <c r="AG35" s="975">
        <f>'Simple CEA'!S130</f>
        <v>4.027970525</v>
      </c>
      <c r="AH35" s="976" t="s">
        <v>150</v>
      </c>
      <c r="AI35" s="977">
        <f>'Simple CEA'!S148</f>
        <v>4.387610751</v>
      </c>
      <c r="AJ35" s="975">
        <f>'Simple CEA'!AK130</f>
        <v>8.122124486</v>
      </c>
      <c r="AK35" s="976" t="s">
        <v>150</v>
      </c>
      <c r="AL35" s="977">
        <f>'Simple CEA'!AK148</f>
        <v>8.586245885</v>
      </c>
      <c r="AM35" s="975">
        <f>'Simple CEA'!AR130</f>
        <v>7.515372765</v>
      </c>
      <c r="AN35" s="976" t="s">
        <v>150</v>
      </c>
      <c r="AO35" s="977">
        <f>'Simple CEA'!AR148</f>
        <v>7.940771223</v>
      </c>
      <c r="AP35" s="975">
        <f>'Simple CEA'!AS130</f>
        <v>6.534473183</v>
      </c>
      <c r="AQ35" s="976" t="s">
        <v>150</v>
      </c>
      <c r="AR35" s="977">
        <f>'Simple CEA'!AS148</f>
        <v>6.90089224</v>
      </c>
      <c r="AS35" s="981"/>
    </row>
    <row r="36">
      <c r="A36" s="80"/>
      <c r="B36" s="81"/>
      <c r="C36" s="126"/>
      <c r="D36" s="81"/>
      <c r="E36" s="541"/>
      <c r="F36" s="982"/>
      <c r="G36" s="983"/>
      <c r="H36" s="984"/>
      <c r="I36" s="985"/>
      <c r="J36" s="983"/>
      <c r="K36" s="985"/>
      <c r="L36" s="982"/>
      <c r="M36" s="983"/>
      <c r="N36" s="984"/>
      <c r="O36" s="982"/>
      <c r="P36" s="983"/>
      <c r="Q36" s="984"/>
      <c r="R36" s="982"/>
      <c r="S36" s="983"/>
      <c r="T36" s="984"/>
      <c r="U36" s="982"/>
      <c r="V36" s="983"/>
      <c r="W36" s="984"/>
      <c r="X36" s="982"/>
      <c r="Y36" s="983"/>
      <c r="Z36" s="984"/>
      <c r="AA36" s="982"/>
      <c r="AB36" s="983"/>
      <c r="AC36" s="984"/>
      <c r="AD36" s="982"/>
      <c r="AE36" s="983"/>
      <c r="AF36" s="984"/>
      <c r="AG36" s="982"/>
      <c r="AH36" s="983"/>
      <c r="AI36" s="984"/>
      <c r="AJ36" s="982"/>
      <c r="AK36" s="983"/>
      <c r="AL36" s="984"/>
      <c r="AM36" s="982"/>
      <c r="AN36" s="983"/>
      <c r="AO36" s="984"/>
      <c r="AP36" s="982"/>
      <c r="AQ36" s="983"/>
      <c r="AR36" s="984"/>
      <c r="AS36" s="986"/>
    </row>
    <row r="37">
      <c r="A37" s="80"/>
      <c r="B37" s="81"/>
      <c r="C37" s="126" t="s">
        <v>969</v>
      </c>
      <c r="F37" s="982"/>
      <c r="G37" s="983"/>
      <c r="H37" s="984"/>
      <c r="I37" s="992"/>
      <c r="J37" s="983"/>
      <c r="K37" s="992"/>
      <c r="L37" s="993"/>
      <c r="M37" s="983"/>
      <c r="N37" s="994"/>
      <c r="O37" s="993"/>
      <c r="P37" s="983"/>
      <c r="Q37" s="994"/>
      <c r="R37" s="993"/>
      <c r="S37" s="983"/>
      <c r="T37" s="994"/>
      <c r="U37" s="993"/>
      <c r="V37" s="983"/>
      <c r="W37" s="994"/>
      <c r="X37" s="993"/>
      <c r="Y37" s="983"/>
      <c r="Z37" s="994"/>
      <c r="AA37" s="993"/>
      <c r="AB37" s="983"/>
      <c r="AC37" s="994"/>
      <c r="AD37" s="993"/>
      <c r="AE37" s="983"/>
      <c r="AF37" s="994"/>
      <c r="AG37" s="993"/>
      <c r="AH37" s="983"/>
      <c r="AI37" s="994"/>
      <c r="AJ37" s="993"/>
      <c r="AK37" s="983"/>
      <c r="AL37" s="994"/>
      <c r="AM37" s="993"/>
      <c r="AN37" s="983"/>
      <c r="AO37" s="994"/>
      <c r="AP37" s="993"/>
      <c r="AQ37" s="983"/>
      <c r="AR37" s="994"/>
      <c r="AS37" s="986"/>
    </row>
    <row r="38">
      <c r="A38" s="80"/>
      <c r="B38" s="81"/>
      <c r="C38" s="126"/>
      <c r="D38" s="81"/>
      <c r="E38" s="548" t="s">
        <v>971</v>
      </c>
      <c r="F38" s="954">
        <f>'Simple CEA'!I133</f>
        <v>20.42976908</v>
      </c>
      <c r="G38" s="955" t="s">
        <v>150</v>
      </c>
      <c r="H38" s="957">
        <f>'Simple CEA'!I151</f>
        <v>26.8812751</v>
      </c>
      <c r="I38" s="959">
        <f>'Simple CEA'!J133</f>
        <v>9.271634358</v>
      </c>
      <c r="J38" s="955" t="s">
        <v>150</v>
      </c>
      <c r="K38" s="959">
        <f>'Simple CEA'!J151</f>
        <v>12.19951889</v>
      </c>
      <c r="L38" s="954">
        <f>'Simple CEA'!K133</f>
        <v>17.0827831</v>
      </c>
      <c r="M38" s="955" t="s">
        <v>150</v>
      </c>
      <c r="N38" s="957">
        <f>'Simple CEA'!K151</f>
        <v>22.47734619</v>
      </c>
      <c r="O38" s="954">
        <f>'Simple CEA'!L133</f>
        <v>4.856011567</v>
      </c>
      <c r="P38" s="955" t="s">
        <v>150</v>
      </c>
      <c r="Q38" s="957">
        <f>'Simple CEA'!L151</f>
        <v>6.389488904</v>
      </c>
      <c r="R38" s="954">
        <f>'Simple CEA'!M133</f>
        <v>11.27052727</v>
      </c>
      <c r="S38" s="955" t="s">
        <v>150</v>
      </c>
      <c r="T38" s="957">
        <f>'Simple CEA'!M151</f>
        <v>14.82964115</v>
      </c>
      <c r="U38" s="954">
        <f>'Simple CEA'!N133</f>
        <v>17.45179603</v>
      </c>
      <c r="V38" s="955" t="s">
        <v>150</v>
      </c>
      <c r="W38" s="957">
        <f>'Simple CEA'!N151</f>
        <v>22.96288952</v>
      </c>
      <c r="X38" s="954">
        <f>'Simple CEA'!O133</f>
        <v>27.06825186</v>
      </c>
      <c r="Y38" s="955" t="s">
        <v>150</v>
      </c>
      <c r="Z38" s="957">
        <f>'Simple CEA'!O151</f>
        <v>35.61612087</v>
      </c>
      <c r="AA38" s="954">
        <f>'Simple CEA'!P133</f>
        <v>44.06416808</v>
      </c>
      <c r="AB38" s="955" t="s">
        <v>150</v>
      </c>
      <c r="AC38" s="957">
        <f>'Simple CEA'!P151</f>
        <v>57.97916853</v>
      </c>
      <c r="AD38" s="954">
        <f>'Simple CEA'!Q133</f>
        <v>32.70857974</v>
      </c>
      <c r="AE38" s="955" t="s">
        <v>150</v>
      </c>
      <c r="AF38" s="957">
        <f>'Simple CEA'!Q151</f>
        <v>43.03760492</v>
      </c>
      <c r="AG38" s="954">
        <f>'Simple CEA'!S133</f>
        <v>3.627472009</v>
      </c>
      <c r="AH38" s="955" t="s">
        <v>150</v>
      </c>
      <c r="AI38" s="957">
        <f>'Simple CEA'!S151</f>
        <v>4.772989485</v>
      </c>
      <c r="AJ38" s="954">
        <f>'Simple CEA'!AK133</f>
        <v>7.149334175</v>
      </c>
      <c r="AK38" s="955" t="s">
        <v>150</v>
      </c>
      <c r="AL38" s="957">
        <f>'Simple CEA'!AK151</f>
        <v>9.407018651</v>
      </c>
      <c r="AM38" s="954">
        <f>'Simple CEA'!AR133</f>
        <v>6.614723624</v>
      </c>
      <c r="AN38" s="955" t="s">
        <v>150</v>
      </c>
      <c r="AO38" s="957">
        <f>'Simple CEA'!AR151</f>
        <v>8.703583716</v>
      </c>
      <c r="AP38" s="954">
        <f>'Simple CEA'!AS133</f>
        <v>5.77110672</v>
      </c>
      <c r="AQ38" s="955" t="s">
        <v>150</v>
      </c>
      <c r="AR38" s="957">
        <f>'Simple CEA'!AS151</f>
        <v>7.593561473</v>
      </c>
      <c r="AS38" s="714"/>
    </row>
    <row r="39">
      <c r="A39" s="80"/>
      <c r="B39" s="81"/>
      <c r="C39" s="126"/>
      <c r="D39" s="81"/>
      <c r="E39" s="553" t="s">
        <v>972</v>
      </c>
      <c r="F39" s="963">
        <f>'Simple CEA'!I134</f>
        <v>22.2634767</v>
      </c>
      <c r="G39" s="964" t="s">
        <v>150</v>
      </c>
      <c r="H39" s="966">
        <f>'Simple CEA'!I152</f>
        <v>24.82249701</v>
      </c>
      <c r="I39" s="969">
        <f>'Simple CEA'!J134</f>
        <v>10.1038252</v>
      </c>
      <c r="J39" s="964" t="s">
        <v>150</v>
      </c>
      <c r="K39" s="969">
        <f>'Simple CEA'!J152</f>
        <v>11.26518441</v>
      </c>
      <c r="L39" s="963">
        <f>'Simple CEA'!K134</f>
        <v>18.61607648</v>
      </c>
      <c r="M39" s="964" t="s">
        <v>150</v>
      </c>
      <c r="N39" s="966">
        <f>'Simple CEA'!K152</f>
        <v>20.75585539</v>
      </c>
      <c r="O39" s="963">
        <f>'Simple CEA'!L134</f>
        <v>5.291870896</v>
      </c>
      <c r="P39" s="964" t="s">
        <v>150</v>
      </c>
      <c r="Q39" s="966">
        <f>'Simple CEA'!L152</f>
        <v>5.900131918</v>
      </c>
      <c r="R39" s="963">
        <f>'Simple CEA'!M134</f>
        <v>12.28213204</v>
      </c>
      <c r="S39" s="964" t="s">
        <v>150</v>
      </c>
      <c r="T39" s="966">
        <f>'Simple CEA'!M152</f>
        <v>13.69387135</v>
      </c>
      <c r="U39" s="963">
        <f>'Simple CEA'!N134</f>
        <v>19.01821078</v>
      </c>
      <c r="V39" s="964" t="s">
        <v>150</v>
      </c>
      <c r="W39" s="966">
        <f>'Simple CEA'!N152</f>
        <v>21.20421202</v>
      </c>
      <c r="X39" s="963">
        <f>'Simple CEA'!O134</f>
        <v>29.49780746</v>
      </c>
      <c r="Y39" s="964" t="s">
        <v>150</v>
      </c>
      <c r="Z39" s="966">
        <f>'Simple CEA'!O152</f>
        <v>32.88836004</v>
      </c>
      <c r="AA39" s="963">
        <f>'Simple CEA'!P134</f>
        <v>48.01922018</v>
      </c>
      <c r="AB39" s="964" t="s">
        <v>150</v>
      </c>
      <c r="AC39" s="966">
        <f>'Simple CEA'!P152</f>
        <v>53.53867077</v>
      </c>
      <c r="AD39" s="963">
        <f>'Simple CEA'!Q134</f>
        <v>35.64439228</v>
      </c>
      <c r="AE39" s="964" t="s">
        <v>150</v>
      </c>
      <c r="AF39" s="966">
        <f>'Simple CEA'!Q152</f>
        <v>39.74144886</v>
      </c>
      <c r="AG39" s="963">
        <f>'Simple CEA'!S134</f>
        <v>3.953061743</v>
      </c>
      <c r="AH39" s="964" t="s">
        <v>150</v>
      </c>
      <c r="AI39" s="966">
        <f>'Simple CEA'!S152</f>
        <v>4.407436656</v>
      </c>
      <c r="AJ39" s="963">
        <f>'Simple CEA'!AK134</f>
        <v>7.791034458</v>
      </c>
      <c r="AK39" s="964" t="s">
        <v>150</v>
      </c>
      <c r="AL39" s="966">
        <f>'Simple CEA'!AK152</f>
        <v>8.68655566</v>
      </c>
      <c r="AM39" s="963">
        <f>'Simple CEA'!AR134</f>
        <v>7.208439055</v>
      </c>
      <c r="AN39" s="964" t="s">
        <v>150</v>
      </c>
      <c r="AO39" s="966">
        <f>'Simple CEA'!AR152</f>
        <v>8.036995268</v>
      </c>
      <c r="AP39" s="963">
        <f>'Simple CEA'!AS134</f>
        <v>6.289101924</v>
      </c>
      <c r="AQ39" s="964" t="s">
        <v>150</v>
      </c>
      <c r="AR39" s="966">
        <f>'Simple CEA'!AS152</f>
        <v>7.011987203</v>
      </c>
      <c r="AS39" s="715"/>
    </row>
    <row r="40">
      <c r="A40" s="80"/>
      <c r="B40" s="81"/>
      <c r="C40" s="126"/>
      <c r="D40" s="81"/>
      <c r="E40" s="558" t="s">
        <v>975</v>
      </c>
      <c r="F40" s="975">
        <f>'Simple CEA'!I135</f>
        <v>21.7145367</v>
      </c>
      <c r="G40" s="976" t="s">
        <v>150</v>
      </c>
      <c r="H40" s="977">
        <f>'Simple CEA'!I153</f>
        <v>25.30550714</v>
      </c>
      <c r="I40" s="991">
        <f>'Simple CEA'!J135</f>
        <v>9.763752275</v>
      </c>
      <c r="J40" s="976" t="s">
        <v>150</v>
      </c>
      <c r="K40" s="991">
        <f>'Simple CEA'!J153</f>
        <v>11.40943292</v>
      </c>
      <c r="L40" s="975">
        <f>'Simple CEA'!K135</f>
        <v>18.1390173</v>
      </c>
      <c r="M40" s="976" t="s">
        <v>150</v>
      </c>
      <c r="N40" s="977">
        <f>'Simple CEA'!K153</f>
        <v>21.12934008</v>
      </c>
      <c r="O40" s="975">
        <f>'Simple CEA'!L135</f>
        <v>5.168470957</v>
      </c>
      <c r="P40" s="976" t="s">
        <v>150</v>
      </c>
      <c r="Q40" s="977">
        <f>'Simple CEA'!L153</f>
        <v>5.978720155</v>
      </c>
      <c r="R40" s="975">
        <f>'Simple CEA'!M135</f>
        <v>11.89028896</v>
      </c>
      <c r="S40" s="976" t="s">
        <v>150</v>
      </c>
      <c r="T40" s="977">
        <f>'Simple CEA'!M153</f>
        <v>13.91110915</v>
      </c>
      <c r="U40" s="975">
        <f>'Simple CEA'!N135</f>
        <v>18.50437717</v>
      </c>
      <c r="V40" s="976" t="s">
        <v>150</v>
      </c>
      <c r="W40" s="977">
        <f>'Simple CEA'!N153</f>
        <v>21.6145002</v>
      </c>
      <c r="X40" s="975">
        <f>'Simple CEA'!O135</f>
        <v>28.79310564</v>
      </c>
      <c r="Y40" s="976" t="s">
        <v>150</v>
      </c>
      <c r="Z40" s="977">
        <f>'Simple CEA'!O153</f>
        <v>33.59991256</v>
      </c>
      <c r="AA40" s="975">
        <f>'Simple CEA'!P135</f>
        <v>46.42226715</v>
      </c>
      <c r="AB40" s="976" t="s">
        <v>150</v>
      </c>
      <c r="AC40" s="977">
        <f>'Simple CEA'!P153</f>
        <v>54.15380698</v>
      </c>
      <c r="AD40" s="975">
        <f>'Simple CEA'!Q135</f>
        <v>34.88344388</v>
      </c>
      <c r="AE40" s="976" t="s">
        <v>150</v>
      </c>
      <c r="AF40" s="977">
        <f>'Simple CEA'!Q153</f>
        <v>40.58195604</v>
      </c>
      <c r="AG40" s="975">
        <f>'Simple CEA'!S135</f>
        <v>3.832691456</v>
      </c>
      <c r="AH40" s="976" t="s">
        <v>150</v>
      </c>
      <c r="AI40" s="977">
        <f>'Simple CEA'!S153</f>
        <v>4.41407349</v>
      </c>
      <c r="AJ40" s="975">
        <f>'Simple CEA'!AK135</f>
        <v>7.670940865</v>
      </c>
      <c r="AK40" s="976" t="s">
        <v>150</v>
      </c>
      <c r="AL40" s="977">
        <f>'Simple CEA'!AK153</f>
        <v>8.886909491</v>
      </c>
      <c r="AM40" s="975">
        <f>'Simple CEA'!AR135</f>
        <v>7.103268394</v>
      </c>
      <c r="AN40" s="976" t="s">
        <v>150</v>
      </c>
      <c r="AO40" s="977">
        <f>'Simple CEA'!AR153</f>
        <v>8.1869924</v>
      </c>
      <c r="AP40" s="975">
        <f>'Simple CEA'!AS135</f>
        <v>6.178278037</v>
      </c>
      <c r="AQ40" s="976" t="s">
        <v>150</v>
      </c>
      <c r="AR40" s="977">
        <f>'Simple CEA'!AS153</f>
        <v>7.123403639</v>
      </c>
      <c r="AS40" s="716"/>
    </row>
    <row r="41">
      <c r="A41" s="80"/>
      <c r="B41" s="81"/>
      <c r="C41" s="126"/>
      <c r="D41" s="81"/>
      <c r="E41" s="541"/>
      <c r="F41" s="797"/>
      <c r="G41" s="798"/>
      <c r="H41" s="799"/>
      <c r="I41" s="800"/>
      <c r="J41" s="798"/>
      <c r="K41" s="800"/>
      <c r="L41" s="801"/>
      <c r="M41" s="798"/>
      <c r="N41" s="802"/>
      <c r="O41" s="801"/>
      <c r="P41" s="798"/>
      <c r="Q41" s="802"/>
      <c r="R41" s="801"/>
      <c r="S41" s="798"/>
      <c r="T41" s="802"/>
      <c r="U41" s="801"/>
      <c r="V41" s="798"/>
      <c r="W41" s="802"/>
      <c r="X41" s="801"/>
      <c r="Y41" s="798"/>
      <c r="Z41" s="802"/>
      <c r="AA41" s="801"/>
      <c r="AB41" s="798"/>
      <c r="AC41" s="802"/>
      <c r="AD41" s="801"/>
      <c r="AE41" s="798"/>
      <c r="AF41" s="802"/>
      <c r="AG41" s="801"/>
      <c r="AH41" s="798"/>
      <c r="AI41" s="802"/>
      <c r="AJ41" s="801"/>
      <c r="AK41" s="798"/>
      <c r="AL41" s="802"/>
      <c r="AM41" s="801"/>
      <c r="AN41" s="798"/>
      <c r="AO41" s="802"/>
      <c r="AP41" s="801"/>
      <c r="AQ41" s="798"/>
      <c r="AR41" s="802"/>
      <c r="AS41" s="710"/>
    </row>
    <row r="42">
      <c r="A42" s="72" t="s">
        <v>1038</v>
      </c>
      <c r="B42" s="14"/>
      <c r="C42" s="14"/>
      <c r="D42" s="14"/>
      <c r="E42" s="14"/>
      <c r="F42" s="793"/>
      <c r="G42" s="794"/>
      <c r="H42" s="795"/>
      <c r="I42" s="794"/>
      <c r="J42" s="794"/>
      <c r="K42" s="794"/>
      <c r="L42" s="793"/>
      <c r="M42" s="794"/>
      <c r="N42" s="795"/>
      <c r="O42" s="793"/>
      <c r="P42" s="794"/>
      <c r="Q42" s="795"/>
      <c r="R42" s="793"/>
      <c r="S42" s="794"/>
      <c r="T42" s="795"/>
      <c r="U42" s="793"/>
      <c r="V42" s="794"/>
      <c r="W42" s="795"/>
      <c r="X42" s="793"/>
      <c r="Y42" s="794"/>
      <c r="Z42" s="795"/>
      <c r="AA42" s="793"/>
      <c r="AB42" s="794"/>
      <c r="AC42" s="795"/>
      <c r="AD42" s="793"/>
      <c r="AE42" s="794"/>
      <c r="AF42" s="795"/>
      <c r="AG42" s="793"/>
      <c r="AH42" s="794"/>
      <c r="AI42" s="795"/>
      <c r="AJ42" s="793"/>
      <c r="AK42" s="794"/>
      <c r="AL42" s="795"/>
      <c r="AM42" s="793"/>
      <c r="AN42" s="794"/>
      <c r="AO42" s="795"/>
      <c r="AP42" s="793"/>
      <c r="AQ42" s="794"/>
      <c r="AR42" s="795"/>
      <c r="AS42" s="796"/>
    </row>
    <row r="43">
      <c r="A43" s="80"/>
      <c r="B43" s="81"/>
      <c r="C43" s="81"/>
      <c r="D43" s="81"/>
      <c r="E43" s="102"/>
      <c r="F43" s="797"/>
      <c r="G43" s="798"/>
      <c r="H43" s="799"/>
      <c r="I43" s="800"/>
      <c r="J43" s="798"/>
      <c r="K43" s="800"/>
      <c r="L43" s="801"/>
      <c r="M43" s="798"/>
      <c r="N43" s="802"/>
      <c r="O43" s="801"/>
      <c r="P43" s="798"/>
      <c r="Q43" s="802"/>
      <c r="R43" s="801"/>
      <c r="S43" s="798"/>
      <c r="T43" s="802"/>
      <c r="U43" s="801"/>
      <c r="V43" s="798"/>
      <c r="W43" s="802"/>
      <c r="X43" s="801"/>
      <c r="Y43" s="798"/>
      <c r="Z43" s="802"/>
      <c r="AA43" s="801"/>
      <c r="AB43" s="798"/>
      <c r="AC43" s="802"/>
      <c r="AD43" s="801"/>
      <c r="AE43" s="798"/>
      <c r="AF43" s="802"/>
      <c r="AG43" s="801"/>
      <c r="AH43" s="798"/>
      <c r="AI43" s="802"/>
      <c r="AJ43" s="801"/>
      <c r="AK43" s="798"/>
      <c r="AL43" s="802"/>
      <c r="AM43" s="801"/>
      <c r="AN43" s="798"/>
      <c r="AO43" s="802"/>
      <c r="AP43" s="801"/>
      <c r="AQ43" s="798"/>
      <c r="AR43" s="802"/>
      <c r="AS43" s="710"/>
    </row>
    <row r="44">
      <c r="A44" s="80"/>
      <c r="B44" s="81"/>
      <c r="C44" s="126" t="s">
        <v>932</v>
      </c>
      <c r="F44" s="803"/>
      <c r="G44" s="804"/>
      <c r="H44" s="805"/>
      <c r="I44" s="804"/>
      <c r="J44" s="804"/>
      <c r="K44" s="804"/>
      <c r="L44" s="803"/>
      <c r="M44" s="804"/>
      <c r="N44" s="805"/>
      <c r="O44" s="803"/>
      <c r="P44" s="804"/>
      <c r="Q44" s="805"/>
      <c r="R44" s="803"/>
      <c r="S44" s="804"/>
      <c r="T44" s="805"/>
      <c r="U44" s="803"/>
      <c r="V44" s="804"/>
      <c r="W44" s="805"/>
      <c r="X44" s="803"/>
      <c r="Y44" s="804"/>
      <c r="Z44" s="805"/>
      <c r="AA44" s="803"/>
      <c r="AB44" s="804"/>
      <c r="AC44" s="805"/>
      <c r="AD44" s="803"/>
      <c r="AE44" s="804"/>
      <c r="AF44" s="805"/>
      <c r="AG44" s="803"/>
      <c r="AH44" s="804"/>
      <c r="AI44" s="805"/>
      <c r="AJ44" s="803"/>
      <c r="AK44" s="804"/>
      <c r="AL44" s="805"/>
      <c r="AM44" s="803"/>
      <c r="AN44" s="804"/>
      <c r="AO44" s="805"/>
      <c r="AP44" s="803"/>
      <c r="AQ44" s="804"/>
      <c r="AR44" s="805"/>
      <c r="AS44" s="710"/>
    </row>
    <row r="45">
      <c r="A45" s="80"/>
      <c r="B45" s="81"/>
      <c r="C45" s="126"/>
      <c r="D45" s="81"/>
      <c r="E45" s="548" t="s">
        <v>933</v>
      </c>
      <c r="F45" s="995">
        <f>IFERROR((F27-'Simple CEA'!$I$41)/'Simple CEA'!$I$41,"-")</f>
        <v>0.2893666667</v>
      </c>
      <c r="G45" s="955" t="s">
        <v>150</v>
      </c>
      <c r="H45" s="996">
        <f>IFERROR((H27-'Simple CEA'!$I$41)/'Simple CEA'!$I$41,"-")</f>
        <v>-0.1817480769</v>
      </c>
      <c r="I45" s="995">
        <f>IFERROR((I27-'Simple CEA'!$J$41)/'Simple CEA'!$J$41,"-")</f>
        <v>0.2893666667</v>
      </c>
      <c r="J45" s="955" t="s">
        <v>150</v>
      </c>
      <c r="K45" s="996">
        <f>IFERROR((K27-'Simple CEA'!$J$41)/'Simple CEA'!$J$41,"-")</f>
        <v>-0.1817480769</v>
      </c>
      <c r="L45" s="995">
        <f>IFERROR((L27-'Simple CEA'!$K$41)/'Simple CEA'!$K$41,"-")</f>
        <v>0.2893666667</v>
      </c>
      <c r="M45" s="955" t="s">
        <v>150</v>
      </c>
      <c r="N45" s="996">
        <f>IFERROR((N27-'Simple CEA'!$K$41)/'Simple CEA'!$K$41,"-")</f>
        <v>-0.1817480769</v>
      </c>
      <c r="O45" s="995">
        <f>IFERROR((O27-'Simple CEA'!$L$41)/'Simple CEA'!$L$41,"-")</f>
        <v>0.2893666667</v>
      </c>
      <c r="P45" s="955" t="s">
        <v>150</v>
      </c>
      <c r="Q45" s="996">
        <f>IFERROR((Q27-'Simple CEA'!$L$41)/'Simple CEA'!$L$41,"-")</f>
        <v>-0.1817480769</v>
      </c>
      <c r="R45" s="995">
        <f>IFERROR((R27-'Simple CEA'!$M$41)/'Simple CEA'!$M$41,"-")</f>
        <v>0.2893666667</v>
      </c>
      <c r="S45" s="955" t="s">
        <v>150</v>
      </c>
      <c r="T45" s="996">
        <f>IFERROR((T27-'Simple CEA'!$M$41)/'Simple CEA'!$M$41,"-")</f>
        <v>-0.1817480769</v>
      </c>
      <c r="U45" s="995">
        <f>IFERROR((U27-'Simple CEA'!$N$41)/'Simple CEA'!$N$41,"-")</f>
        <v>0.2893666667</v>
      </c>
      <c r="V45" s="955" t="s">
        <v>150</v>
      </c>
      <c r="W45" s="996">
        <f>IFERROR((W27-'Simple CEA'!$N$41)/'Simple CEA'!$N$41,"-")</f>
        <v>-0.1817480769</v>
      </c>
      <c r="X45" s="995">
        <f>IFERROR((X27-'Simple CEA'!$O$41)/'Simple CEA'!$O$41,"-")</f>
        <v>0.2893666667</v>
      </c>
      <c r="Y45" s="955" t="s">
        <v>150</v>
      </c>
      <c r="Z45" s="996">
        <f>IFERROR((Z27-'Simple CEA'!$O$41)/'Simple CEA'!$O$41,"-")</f>
        <v>-0.1817480769</v>
      </c>
      <c r="AA45" s="995">
        <f>IFERROR((AA27-'Simple CEA'!$P$41)/'Simple CEA'!$P$41,"-")</f>
        <v>0.2893666667</v>
      </c>
      <c r="AB45" s="955" t="s">
        <v>150</v>
      </c>
      <c r="AC45" s="996">
        <f>IFERROR((AC27-'Simple CEA'!$P$41)/'Simple CEA'!$P$41,"-")</f>
        <v>-0.1817480769</v>
      </c>
      <c r="AD45" s="995">
        <f>IFERROR((AD27-'Simple CEA'!$Q$41)/'Simple CEA'!$Q$41,"-")</f>
        <v>0.2893666667</v>
      </c>
      <c r="AE45" s="955" t="s">
        <v>150</v>
      </c>
      <c r="AF45" s="996">
        <f>IFERROR((AF27-'Simple CEA'!$Q$41)/'Simple CEA'!$Q$41,"-")</f>
        <v>-0.1817480769</v>
      </c>
      <c r="AG45" s="995">
        <f>IFERROR((AG27-'Simple CEA'!$S$41)/'Simple CEA'!$S$41,"-")</f>
        <v>0.2893666667</v>
      </c>
      <c r="AH45" s="955" t="s">
        <v>150</v>
      </c>
      <c r="AI45" s="996">
        <f>IFERROR((AI27-'Simple CEA'!$S$41)/'Simple CEA'!$S$41,"-")</f>
        <v>-0.1817480769</v>
      </c>
      <c r="AJ45" s="995">
        <f>IFERROR((AJ27-'Simple CEA'!$AK$41)/'Simple CEA'!$AK$41,"-")</f>
        <v>0.2893666667</v>
      </c>
      <c r="AK45" s="955" t="s">
        <v>150</v>
      </c>
      <c r="AL45" s="996">
        <f>IFERROR((AL27-'Simple CEA'!$AK$41)/'Simple CEA'!$AK$41,"-")</f>
        <v>-0.1817480769</v>
      </c>
      <c r="AM45" s="995">
        <f>IFERROR((AM27-'Simple CEA'!$AR$41)/'Simple CEA'!$AR$41,"-")</f>
        <v>0.2893666667</v>
      </c>
      <c r="AN45" s="955" t="s">
        <v>150</v>
      </c>
      <c r="AO45" s="996">
        <f>IFERROR((AO27-'Simple CEA'!$AR$41)/'Simple CEA'!$AR$41,"-")</f>
        <v>-0.1817480769</v>
      </c>
      <c r="AP45" s="995">
        <f>IFERROR((AP27-'Simple CEA'!$AS$41)/'Simple CEA'!$AS$41,"-")</f>
        <v>0.2893666667</v>
      </c>
      <c r="AQ45" s="955" t="s">
        <v>150</v>
      </c>
      <c r="AR45" s="996">
        <f>IFERROR((AR27-'Simple CEA'!$AS$41)/'Simple CEA'!$AS$41,"-")</f>
        <v>-0.1817480769</v>
      </c>
      <c r="AS45" s="714"/>
    </row>
    <row r="46">
      <c r="A46" s="80"/>
      <c r="B46" s="81"/>
      <c r="C46" s="126"/>
      <c r="D46" s="81"/>
      <c r="E46" s="553" t="s">
        <v>938</v>
      </c>
      <c r="F46" s="997">
        <f>IFERROR((F28-'Simple CEA'!$I$41)/'Simple CEA'!$I$41,"-")</f>
        <v>0.4776761516</v>
      </c>
      <c r="G46" s="964" t="s">
        <v>150</v>
      </c>
      <c r="H46" s="998">
        <f>IFERROR((H28-'Simple CEA'!$I$41)/'Simple CEA'!$I$41,"-")</f>
        <v>-0.4944792113</v>
      </c>
      <c r="I46" s="997">
        <f>IFERROR((I28-'Simple CEA'!$J$41)/'Simple CEA'!$J$41,"-")</f>
        <v>0.5223246038</v>
      </c>
      <c r="J46" s="964" t="s">
        <v>150</v>
      </c>
      <c r="K46" s="998">
        <f>IFERROR((K28-'Simple CEA'!$J$41)/'Simple CEA'!$J$41,"-")</f>
        <v>-0.6194188491</v>
      </c>
      <c r="L46" s="997">
        <f>IFERROR((L28-'Simple CEA'!$K$41)/'Simple CEA'!$K$41,"-")</f>
        <v>0.4346205527</v>
      </c>
      <c r="M46" s="964" t="s">
        <v>150</v>
      </c>
      <c r="N46" s="998">
        <f>IFERROR((N28-'Simple CEA'!$K$41)/'Simple CEA'!$K$41,"-")</f>
        <v>-0.5547729319</v>
      </c>
      <c r="O46" s="997">
        <f>IFERROR((O28-'Simple CEA'!$L$41)/'Simple CEA'!$L$41,"-")</f>
        <v>0.5693717834</v>
      </c>
      <c r="P46" s="964" t="s">
        <v>150</v>
      </c>
      <c r="Q46" s="998">
        <f>IFERROR((Q28-'Simple CEA'!$L$41)/'Simple CEA'!$L$41,"-")</f>
        <v>-0.6696059403</v>
      </c>
      <c r="R46" s="997">
        <f>IFERROR((R28-'Simple CEA'!$M$41)/'Simple CEA'!$M$41,"-")</f>
        <v>0.4444032595</v>
      </c>
      <c r="S46" s="964" t="s">
        <v>150</v>
      </c>
      <c r="T46" s="998">
        <f>IFERROR((T28-'Simple CEA'!$M$41)/'Simple CEA'!$M$41,"-")</f>
        <v>-0.5340634647</v>
      </c>
      <c r="U46" s="997">
        <f>IFERROR((U28-'Simple CEA'!$N$41)/'Simple CEA'!$N$41,"-")</f>
        <v>0.429151933</v>
      </c>
      <c r="V46" s="964" t="s">
        <v>150</v>
      </c>
      <c r="W46" s="998">
        <f>IFERROR((W28-'Simple CEA'!$N$41)/'Simple CEA'!$N$41,"-")</f>
        <v>-0.4771395367</v>
      </c>
      <c r="X46" s="997">
        <f>IFERROR((X28-'Simple CEA'!$O$41)/'Simple CEA'!$O$41,"-")</f>
        <v>0.3921473081</v>
      </c>
      <c r="Y46" s="964" t="s">
        <v>150</v>
      </c>
      <c r="Z46" s="998">
        <f>IFERROR((Z28-'Simple CEA'!$O$41)/'Simple CEA'!$O$41,"-")</f>
        <v>-0.4530849861</v>
      </c>
      <c r="AA46" s="997">
        <f>IFERROR((AA28-'Simple CEA'!$P$41)/'Simple CEA'!$P$41,"-")</f>
        <v>0.3867240884</v>
      </c>
      <c r="AB46" s="964" t="s">
        <v>150</v>
      </c>
      <c r="AC46" s="998">
        <f>IFERROR((AC28-'Simple CEA'!$P$41)/'Simple CEA'!$P$41,"-")</f>
        <v>-0.457368835</v>
      </c>
      <c r="AD46" s="997">
        <f>IFERROR((AD28-'Simple CEA'!$Q$41)/'Simple CEA'!$Q$41,"-")</f>
        <v>0.4150020441</v>
      </c>
      <c r="AE46" s="964" t="s">
        <v>150</v>
      </c>
      <c r="AF46" s="998">
        <f>IFERROR((AF28-'Simple CEA'!$Q$41)/'Simple CEA'!$Q$41,"-")</f>
        <v>-0.4654436722</v>
      </c>
      <c r="AG46" s="997">
        <f>IFERROR((AG28-'Simple CEA'!$S$41)/'Simple CEA'!$S$41,"-")</f>
        <v>0.8169497022</v>
      </c>
      <c r="AH46" s="964" t="s">
        <v>150</v>
      </c>
      <c r="AI46" s="998">
        <f>IFERROR((AI28-'Simple CEA'!$S$41)/'Simple CEA'!$S$41,"-")</f>
        <v>-0.8348227543</v>
      </c>
      <c r="AJ46" s="997">
        <f>IFERROR((AJ28-'Simple CEA'!$AK$41)/'Simple CEA'!$AK$41,"-")</f>
        <v>0.4511770535</v>
      </c>
      <c r="AK46" s="964" t="s">
        <v>150</v>
      </c>
      <c r="AL46" s="998">
        <f>IFERROR((AL28-'Simple CEA'!$AK$41)/'Simple CEA'!$AK$41,"-")</f>
        <v>-0.5496347075</v>
      </c>
      <c r="AM46" s="997">
        <f>IFERROR((AM28-'Simple CEA'!$AR$41)/'Simple CEA'!$AR$41,"-")</f>
        <v>0.5630303569</v>
      </c>
      <c r="AN46" s="964" t="s">
        <v>150</v>
      </c>
      <c r="AO46" s="998">
        <f>IFERROR((AO28-'Simple CEA'!$AR$41)/'Simple CEA'!$AR$41,"-")</f>
        <v>-0.6709409775</v>
      </c>
      <c r="AP46" s="997">
        <f>IFERROR((AP28-'Simple CEA'!$AS$41)/'Simple CEA'!$AS$41,"-")</f>
        <v>0.6435023094</v>
      </c>
      <c r="AQ46" s="964" t="s">
        <v>150</v>
      </c>
      <c r="AR46" s="998">
        <f>IFERROR((AR28-'Simple CEA'!$AS$41)/'Simple CEA'!$AS$41,"-")</f>
        <v>-0.7260829484</v>
      </c>
      <c r="AS46" s="715"/>
    </row>
    <row r="47">
      <c r="A47" s="80"/>
      <c r="B47" s="81"/>
      <c r="C47" s="126"/>
      <c r="D47" s="81"/>
      <c r="E47" s="553" t="s">
        <v>943</v>
      </c>
      <c r="F47" s="997">
        <f>IFERROR((F29-'Simple CEA'!$I$41)/'Simple CEA'!$I$41,"-")</f>
        <v>-0.3872501195</v>
      </c>
      <c r="G47" s="964" t="s">
        <v>150</v>
      </c>
      <c r="H47" s="998">
        <f>IFERROR((H29-'Simple CEA'!$I$41)/'Simple CEA'!$I$41,"-")</f>
        <v>0.3097322243</v>
      </c>
      <c r="I47" s="997">
        <f>IFERROR((I29-'Simple CEA'!$J$41)/'Simple CEA'!$J$41,"-")</f>
        <v>-0.3970998098</v>
      </c>
      <c r="J47" s="964" t="s">
        <v>150</v>
      </c>
      <c r="K47" s="998">
        <f>IFERROR((K29-'Simple CEA'!$J$41)/'Simple CEA'!$J$41,"-")</f>
        <v>0.3055448971</v>
      </c>
      <c r="L47" s="997">
        <f>IFERROR((L29-'Simple CEA'!$K$41)/'Simple CEA'!$K$41,"-")</f>
        <v>-0.3430057722</v>
      </c>
      <c r="M47" s="964" t="s">
        <v>150</v>
      </c>
      <c r="N47" s="998">
        <f>IFERROR((N29-'Simple CEA'!$K$41)/'Simple CEA'!$K$41,"-")</f>
        <v>0.3221397487</v>
      </c>
      <c r="O47" s="997">
        <f>IFERROR((O29-'Simple CEA'!$L$41)/'Simple CEA'!$L$41,"-")</f>
        <v>-0.4308857604</v>
      </c>
      <c r="P47" s="964" t="s">
        <v>150</v>
      </c>
      <c r="Q47" s="998">
        <f>IFERROR((Q29-'Simple CEA'!$L$41)/'Simple CEA'!$L$41,"-")</f>
        <v>0.3576460174</v>
      </c>
      <c r="R47" s="997">
        <f>IFERROR((R29-'Simple CEA'!$M$41)/'Simple CEA'!$M$41,"-")</f>
        <v>-0.4378612071</v>
      </c>
      <c r="S47" s="964" t="s">
        <v>150</v>
      </c>
      <c r="T47" s="998">
        <f>IFERROR((T29-'Simple CEA'!$M$41)/'Simple CEA'!$M$41,"-")</f>
        <v>0.3132519035</v>
      </c>
      <c r="U47" s="997">
        <f>IFERROR((U29-'Simple CEA'!$N$41)/'Simple CEA'!$N$41,"-")</f>
        <v>-0.355712175</v>
      </c>
      <c r="V47" s="964" t="s">
        <v>150</v>
      </c>
      <c r="W47" s="998">
        <f>IFERROR((W29-'Simple CEA'!$N$41)/'Simple CEA'!$N$41,"-")</f>
        <v>0.3629165529</v>
      </c>
      <c r="X47" s="997">
        <f>IFERROR((X29-'Simple CEA'!$O$41)/'Simple CEA'!$O$41,"-")</f>
        <v>-0.4183904101</v>
      </c>
      <c r="Y47" s="964" t="s">
        <v>150</v>
      </c>
      <c r="Z47" s="998">
        <f>IFERROR((Z29-'Simple CEA'!$O$41)/'Simple CEA'!$O$41,"-")</f>
        <v>0.3116719773</v>
      </c>
      <c r="AA47" s="997">
        <f>IFERROR((AA29-'Simple CEA'!$P$41)/'Simple CEA'!$P$41,"-")</f>
        <v>-0.3801325903</v>
      </c>
      <c r="AB47" s="964" t="s">
        <v>150</v>
      </c>
      <c r="AC47" s="998">
        <f>IFERROR((AC29-'Simple CEA'!$P$41)/'Simple CEA'!$P$41,"-")</f>
        <v>0.3149614468</v>
      </c>
      <c r="AD47" s="997">
        <f>IFERROR((AD29-'Simple CEA'!$Q$41)/'Simple CEA'!$Q$41,"-")</f>
        <v>-0.3572738352</v>
      </c>
      <c r="AE47" s="964" t="s">
        <v>150</v>
      </c>
      <c r="AF47" s="998">
        <f>IFERROR((AF29-'Simple CEA'!$Q$41)/'Simple CEA'!$Q$41,"-")</f>
        <v>0.289324174</v>
      </c>
      <c r="AG47" s="997">
        <f>IFERROR((AG29-'Simple CEA'!$S$41)/'Simple CEA'!$S$41,"-")</f>
        <v>-0.4478333666</v>
      </c>
      <c r="AH47" s="964" t="s">
        <v>150</v>
      </c>
      <c r="AI47" s="998">
        <f>IFERROR((AI29-'Simple CEA'!$S$41)/'Simple CEA'!$S$41,"-")</f>
        <v>0.3237531954</v>
      </c>
      <c r="AJ47" s="997">
        <f>IFERROR((AJ29-'Simple CEA'!$AK$41)/'Simple CEA'!$AK$41,"-")</f>
        <v>-0.4064408542</v>
      </c>
      <c r="AK47" s="964" t="s">
        <v>150</v>
      </c>
      <c r="AL47" s="998">
        <f>IFERROR((AL29-'Simple CEA'!$AK$41)/'Simple CEA'!$AK$41,"-")</f>
        <v>0.3721237395</v>
      </c>
      <c r="AM47" s="997">
        <f>IFERROR((AM29-'Simple CEA'!$AR$41)/'Simple CEA'!$AR$41,"-")</f>
        <v>-0.4198559213</v>
      </c>
      <c r="AN47" s="964" t="s">
        <v>150</v>
      </c>
      <c r="AO47" s="998">
        <f>IFERROR((AO29-'Simple CEA'!$AR$41)/'Simple CEA'!$AR$41,"-")</f>
        <v>0.3095368415</v>
      </c>
      <c r="AP47" s="997">
        <f>IFERROR((AP29-'Simple CEA'!$AS$41)/'Simple CEA'!$AS$41,"-")</f>
        <v>-0.4292636972</v>
      </c>
      <c r="AQ47" s="964" t="s">
        <v>150</v>
      </c>
      <c r="AR47" s="998">
        <f>IFERROR((AR29-'Simple CEA'!$AS$41)/'Simple CEA'!$AS$41,"-")</f>
        <v>0.377536312</v>
      </c>
      <c r="AS47" s="715"/>
    </row>
    <row r="48">
      <c r="A48" s="80"/>
      <c r="B48" s="81"/>
      <c r="C48" s="126"/>
      <c r="D48" s="81"/>
      <c r="E48" s="558" t="s">
        <v>945</v>
      </c>
      <c r="F48" s="999">
        <f>IFERROR((F30-'Simple CEA'!$I$41)/'Simple CEA'!$I$41,"-")</f>
        <v>-0.2812674437</v>
      </c>
      <c r="G48" s="976" t="s">
        <v>150</v>
      </c>
      <c r="H48" s="1000">
        <f>IFERROR((H30-'Simple CEA'!$I$41)/'Simple CEA'!$I$41,"-")</f>
        <v>0.2861529955</v>
      </c>
      <c r="I48" s="999">
        <f>IFERROR((I30-'Simple CEA'!$J$41)/'Simple CEA'!$J$41,"-")</f>
        <v>-0.2949194522</v>
      </c>
      <c r="J48" s="976" t="s">
        <v>150</v>
      </c>
      <c r="K48" s="1000">
        <f>IFERROR((K30-'Simple CEA'!$J$41)/'Simple CEA'!$J$41,"-")</f>
        <v>0.2577112474</v>
      </c>
      <c r="L48" s="999">
        <f>IFERROR((L30-'Simple CEA'!$K$41)/'Simple CEA'!$K$41,"-")</f>
        <v>-0.2666409786</v>
      </c>
      <c r="M48" s="976" t="s">
        <v>150</v>
      </c>
      <c r="N48" s="1000">
        <f>IFERROR((N30-'Simple CEA'!$K$41)/'Simple CEA'!$K$41,"-")</f>
        <v>0.2833782875</v>
      </c>
      <c r="O48" s="999">
        <f>IFERROR((O30-'Simple CEA'!$L$41)/'Simple CEA'!$L$41,"-")</f>
        <v>-0.2840865321</v>
      </c>
      <c r="P48" s="976" t="s">
        <v>150</v>
      </c>
      <c r="Q48" s="1000">
        <f>IFERROR((Q30-'Simple CEA'!$L$41)/'Simple CEA'!$L$41,"-")</f>
        <v>0.281108311</v>
      </c>
      <c r="R48" s="999">
        <f>IFERROR((R30-'Simple CEA'!$M$41)/'Simple CEA'!$M$41,"-")</f>
        <v>-0.2852578666</v>
      </c>
      <c r="S48" s="976" t="s">
        <v>150</v>
      </c>
      <c r="T48" s="1000">
        <f>IFERROR((T30-'Simple CEA'!$M$41)/'Simple CEA'!$M$41,"-")</f>
        <v>0.2749454271</v>
      </c>
      <c r="U48" s="999">
        <f>IFERROR((U30-'Simple CEA'!$N$41)/'Simple CEA'!$N$41,"-")</f>
        <v>-0.2752823095</v>
      </c>
      <c r="V48" s="976" t="s">
        <v>150</v>
      </c>
      <c r="W48" s="1000">
        <f>IFERROR((W30-'Simple CEA'!$N$41)/'Simple CEA'!$N$41,"-")</f>
        <v>0.282192837</v>
      </c>
      <c r="X48" s="999">
        <f>IFERROR((X30-'Simple CEA'!$O$41)/'Simple CEA'!$O$41,"-")</f>
        <v>-0.2762473639</v>
      </c>
      <c r="Y48" s="976" t="s">
        <v>150</v>
      </c>
      <c r="Z48" s="1000">
        <f>IFERROR((Z30-'Simple CEA'!$O$41)/'Simple CEA'!$O$41,"-")</f>
        <v>0.280485433</v>
      </c>
      <c r="AA48" s="999">
        <f>IFERROR((AA30-'Simple CEA'!$P$41)/'Simple CEA'!$P$41,"-")</f>
        <v>-0.2845165462</v>
      </c>
      <c r="AB48" s="976" t="s">
        <v>150</v>
      </c>
      <c r="AC48" s="1000">
        <f>IFERROR((AC30-'Simple CEA'!$P$41)/'Simple CEA'!$P$41,"-")</f>
        <v>0.2803388121</v>
      </c>
      <c r="AD48" s="999">
        <f>IFERROR((AD30-'Simple CEA'!$Q$41)/'Simple CEA'!$Q$41,"-")</f>
        <v>-0.2761138291</v>
      </c>
      <c r="AE48" s="976" t="s">
        <v>150</v>
      </c>
      <c r="AF48" s="1000">
        <f>IFERROR((AF30-'Simple CEA'!$Q$41)/'Simple CEA'!$Q$41,"-")</f>
        <v>0.2807216869</v>
      </c>
      <c r="AG48" s="999">
        <f>IFERROR((AG30-'Simple CEA'!$S$41)/'Simple CEA'!$S$41,"-")</f>
        <v>-0.2874264066</v>
      </c>
      <c r="AH48" s="976" t="s">
        <v>150</v>
      </c>
      <c r="AI48" s="1000">
        <f>IFERROR((AI30-'Simple CEA'!$S$41)/'Simple CEA'!$S$41,"-")</f>
        <v>0.2710772207</v>
      </c>
      <c r="AJ48" s="999">
        <f>IFERROR((AJ30-'Simple CEA'!$AK$41)/'Simple CEA'!$AK$41,"-")</f>
        <v>-0.2915734638</v>
      </c>
      <c r="AK48" s="976" t="s">
        <v>150</v>
      </c>
      <c r="AL48" s="1000">
        <f>IFERROR((AL30-'Simple CEA'!$AK$41)/'Simple CEA'!$AK$41,"-")</f>
        <v>0.2636797673</v>
      </c>
      <c r="AM48" s="999">
        <f>IFERROR((AM30-'Simple CEA'!$AR$41)/'Simple CEA'!$AR$41,"-")</f>
        <v>-0.2961646489</v>
      </c>
      <c r="AN48" s="976" t="s">
        <v>150</v>
      </c>
      <c r="AO48" s="1000">
        <f>IFERROR((AO30-'Simple CEA'!$AR$41)/'Simple CEA'!$AR$41,"-")</f>
        <v>0.2708138283</v>
      </c>
      <c r="AP48" s="999">
        <f>IFERROR((AP30-'Simple CEA'!$AS$41)/'Simple CEA'!$AS$41,"-")</f>
        <v>-0.2809929215</v>
      </c>
      <c r="AQ48" s="976" t="s">
        <v>150</v>
      </c>
      <c r="AR48" s="1000">
        <f>IFERROR((AR30-'Simple CEA'!$AS$41)/'Simple CEA'!$AS$41,"-")</f>
        <v>0.2720894466</v>
      </c>
      <c r="AS48" s="716"/>
    </row>
    <row r="49">
      <c r="A49" s="80"/>
      <c r="B49" s="81"/>
      <c r="C49" s="126"/>
      <c r="D49" s="81"/>
      <c r="E49" s="541"/>
      <c r="F49" s="797"/>
      <c r="G49" s="983"/>
      <c r="H49" s="799"/>
      <c r="I49" s="797"/>
      <c r="J49" s="983"/>
      <c r="K49" s="799"/>
      <c r="L49" s="797"/>
      <c r="M49" s="983"/>
      <c r="N49" s="799"/>
      <c r="O49" s="797"/>
      <c r="P49" s="983"/>
      <c r="Q49" s="799"/>
      <c r="R49" s="797"/>
      <c r="S49" s="983"/>
      <c r="T49" s="799"/>
      <c r="U49" s="797"/>
      <c r="V49" s="983"/>
      <c r="W49" s="799"/>
      <c r="X49" s="797"/>
      <c r="Y49" s="983"/>
      <c r="Z49" s="799"/>
      <c r="AA49" s="797"/>
      <c r="AB49" s="983"/>
      <c r="AC49" s="799"/>
      <c r="AD49" s="797"/>
      <c r="AE49" s="983"/>
      <c r="AF49" s="799"/>
      <c r="AG49" s="797"/>
      <c r="AH49" s="983"/>
      <c r="AI49" s="799"/>
      <c r="AJ49" s="797"/>
      <c r="AK49" s="983"/>
      <c r="AL49" s="799"/>
      <c r="AM49" s="797"/>
      <c r="AN49" s="983"/>
      <c r="AO49" s="799"/>
      <c r="AP49" s="797"/>
      <c r="AQ49" s="983"/>
      <c r="AR49" s="799"/>
      <c r="AS49" s="710"/>
    </row>
    <row r="50">
      <c r="A50" s="80"/>
      <c r="B50" s="81"/>
      <c r="C50" s="126" t="s">
        <v>957</v>
      </c>
      <c r="F50" s="866"/>
      <c r="G50" s="988"/>
      <c r="H50" s="869"/>
      <c r="I50" s="866"/>
      <c r="J50" s="988"/>
      <c r="K50" s="869"/>
      <c r="L50" s="866"/>
      <c r="M50" s="988"/>
      <c r="N50" s="869"/>
      <c r="O50" s="866"/>
      <c r="P50" s="988"/>
      <c r="Q50" s="869"/>
      <c r="R50" s="866"/>
      <c r="S50" s="988"/>
      <c r="T50" s="869"/>
      <c r="U50" s="866"/>
      <c r="V50" s="988"/>
      <c r="W50" s="869"/>
      <c r="X50" s="866"/>
      <c r="Y50" s="988"/>
      <c r="Z50" s="869"/>
      <c r="AA50" s="866"/>
      <c r="AB50" s="988"/>
      <c r="AC50" s="869"/>
      <c r="AD50" s="866"/>
      <c r="AE50" s="988"/>
      <c r="AF50" s="869"/>
      <c r="AG50" s="866"/>
      <c r="AH50" s="988"/>
      <c r="AI50" s="869"/>
      <c r="AJ50" s="866"/>
      <c r="AK50" s="988"/>
      <c r="AL50" s="869"/>
      <c r="AM50" s="866"/>
      <c r="AN50" s="988"/>
      <c r="AO50" s="869"/>
      <c r="AP50" s="866"/>
      <c r="AQ50" s="988"/>
      <c r="AR50" s="869"/>
      <c r="AS50" s="710"/>
    </row>
    <row r="51">
      <c r="A51" s="80"/>
      <c r="B51" s="81"/>
      <c r="C51" s="126"/>
      <c r="D51" s="81"/>
      <c r="E51" s="548" t="s">
        <v>959</v>
      </c>
      <c r="F51" s="995">
        <f>IFERROR((F33-'Simple CEA'!$I$41)/'Simple CEA'!$I$41,"-")</f>
        <v>-0.1494632753</v>
      </c>
      <c r="G51" s="955" t="s">
        <v>150</v>
      </c>
      <c r="H51" s="996">
        <f>IFERROR((H33-'Simple CEA'!$I$41)/'Simple CEA'!$I$41,"-")</f>
        <v>0.1134298941</v>
      </c>
      <c r="I51" s="995">
        <f>IFERROR((I33-'Simple CEA'!$J$41)/'Simple CEA'!$J$41,"-")</f>
        <v>-0.1425769147</v>
      </c>
      <c r="J51" s="955" t="s">
        <v>150</v>
      </c>
      <c r="K51" s="996">
        <f>IFERROR((K33-'Simple CEA'!$J$41)/'Simple CEA'!$J$41,"-")</f>
        <v>0.1114743699</v>
      </c>
      <c r="L51" s="995">
        <f>IFERROR((L33-'Simple CEA'!$K$41)/'Simple CEA'!$K$41,"-")</f>
        <v>-0.150297732</v>
      </c>
      <c r="M51" s="955" t="s">
        <v>150</v>
      </c>
      <c r="N51" s="996">
        <f>IFERROR((N33-'Simple CEA'!$K$41)/'Simple CEA'!$K$41,"-")</f>
        <v>0.125281382</v>
      </c>
      <c r="O51" s="995">
        <f>IFERROR((O33-'Simple CEA'!$L$41)/'Simple CEA'!$L$41,"-")</f>
        <v>-0.1403877095</v>
      </c>
      <c r="P51" s="955" t="s">
        <v>150</v>
      </c>
      <c r="Q51" s="996">
        <f>IFERROR((Q33-'Simple CEA'!$L$41)/'Simple CEA'!$L$41,"-")</f>
        <v>0.1119755317</v>
      </c>
      <c r="R51" s="995">
        <f>IFERROR((R33-'Simple CEA'!$M$41)/'Simple CEA'!$M$41,"-")</f>
        <v>-0.1393020583</v>
      </c>
      <c r="S51" s="955" t="s">
        <v>150</v>
      </c>
      <c r="T51" s="996">
        <f>IFERROR((T33-'Simple CEA'!$M$41)/'Simple CEA'!$M$41,"-")</f>
        <v>0.09978070333</v>
      </c>
      <c r="U51" s="995">
        <f>IFERROR((U33-'Simple CEA'!$N$41)/'Simple CEA'!$N$41,"-")</f>
        <v>-0.1624222311</v>
      </c>
      <c r="V51" s="955" t="s">
        <v>150</v>
      </c>
      <c r="W51" s="996">
        <f>IFERROR((W33-'Simple CEA'!$N$41)/'Simple CEA'!$N$41,"-")</f>
        <v>0.1266532821</v>
      </c>
      <c r="X51" s="995">
        <f>IFERROR((X33-'Simple CEA'!$O$41)/'Simple CEA'!$O$41,"-")</f>
        <v>-0.1669171379</v>
      </c>
      <c r="Y51" s="955" t="s">
        <v>150</v>
      </c>
      <c r="Z51" s="996">
        <f>IFERROR((Z33-'Simple CEA'!$O$41)/'Simple CEA'!$O$41,"-")</f>
        <v>0.1279794505</v>
      </c>
      <c r="AA51" s="995">
        <f>IFERROR((AA33-'Simple CEA'!$P$41)/'Simple CEA'!$P$41,"-")</f>
        <v>-0.1575501316</v>
      </c>
      <c r="AB51" s="955" t="s">
        <v>150</v>
      </c>
      <c r="AC51" s="996">
        <f>IFERROR((AC33-'Simple CEA'!$P$41)/'Simple CEA'!$P$41,"-")</f>
        <v>0.1207591999</v>
      </c>
      <c r="AD51" s="995">
        <f>IFERROR((AD33-'Simple CEA'!$Q$41)/'Simple CEA'!$Q$41,"-")</f>
        <v>-0.1504436491</v>
      </c>
      <c r="AE51" s="955" t="s">
        <v>150</v>
      </c>
      <c r="AF51" s="996">
        <f>IFERROR((AF33-'Simple CEA'!$Q$41)/'Simple CEA'!$Q$41,"-")</f>
        <v>0.1067614846</v>
      </c>
      <c r="AG51" s="995">
        <f>IFERROR((AG33-'Simple CEA'!$S$41)/'Simple CEA'!$S$41,"-")</f>
        <v>-0.1394369416</v>
      </c>
      <c r="AH51" s="955" t="s">
        <v>150</v>
      </c>
      <c r="AI51" s="996">
        <f>IFERROR((AI33-'Simple CEA'!$S$41)/'Simple CEA'!$S$41,"-")</f>
        <v>0.1018424206</v>
      </c>
      <c r="AJ51" s="995">
        <f>IFERROR((AJ33-'Simple CEA'!$AK$41)/'Simple CEA'!$AK$41,"-")</f>
        <v>-0.1740126869</v>
      </c>
      <c r="AK51" s="955" t="s">
        <v>150</v>
      </c>
      <c r="AL51" s="996">
        <f>IFERROR((AL33-'Simple CEA'!$AK$41)/'Simple CEA'!$AK$41,"-")</f>
        <v>0.1276522448</v>
      </c>
      <c r="AM51" s="995">
        <f>IFERROR((AM33-'Simple CEA'!$AR$41)/'Simple CEA'!$AR$41,"-")</f>
        <v>-0.1408775795</v>
      </c>
      <c r="AN51" s="955" t="s">
        <v>150</v>
      </c>
      <c r="AO51" s="996">
        <f>IFERROR((AO33-'Simple CEA'!$AR$41)/'Simple CEA'!$AR$41,"-")</f>
        <v>0.1113418467</v>
      </c>
      <c r="AP51" s="995">
        <f>IFERROR((AP33-'Simple CEA'!$AS$41)/'Simple CEA'!$AS$41,"-")</f>
        <v>-0.1795696004</v>
      </c>
      <c r="AQ51" s="955" t="s">
        <v>150</v>
      </c>
      <c r="AR51" s="996">
        <f>IFERROR((AR33-'Simple CEA'!$AS$41)/'Simple CEA'!$AS$41,"-")</f>
        <v>0.1375715625</v>
      </c>
      <c r="AS51" s="714"/>
    </row>
    <row r="52">
      <c r="A52" s="80"/>
      <c r="B52" s="81"/>
      <c r="C52" s="126"/>
      <c r="D52" s="81"/>
      <c r="E52" s="553" t="s">
        <v>962</v>
      </c>
      <c r="F52" s="997">
        <f>IFERROR((F34-'Simple CEA'!$I$41)/'Simple CEA'!$I$41,"-")</f>
        <v>-0.1639705861</v>
      </c>
      <c r="G52" s="964" t="s">
        <v>150</v>
      </c>
      <c r="H52" s="998">
        <f>IFERROR((H34-'Simple CEA'!$I$41)/'Simple CEA'!$I$41,"-")</f>
        <v>0.2739495831</v>
      </c>
      <c r="I52" s="997">
        <f>IFERROR((I34-'Simple CEA'!$J$41)/'Simple CEA'!$J$41,"-")</f>
        <v>-0.1680692381</v>
      </c>
      <c r="J52" s="964" t="s">
        <v>150</v>
      </c>
      <c r="K52" s="998">
        <f>IFERROR((K34-'Simple CEA'!$J$41)/'Simple CEA'!$J$41,"-")</f>
        <v>0.2677040182</v>
      </c>
      <c r="L52" s="997">
        <f>IFERROR((L34-'Simple CEA'!$K$41)/'Simple CEA'!$K$41,"-")</f>
        <v>-0.1623659181</v>
      </c>
      <c r="M52" s="964" t="s">
        <v>150</v>
      </c>
      <c r="N52" s="998">
        <f>IFERROR((N34-'Simple CEA'!$K$41)/'Simple CEA'!$K$41,"-")</f>
        <v>0.2604398566</v>
      </c>
      <c r="O52" s="997">
        <f>IFERROR((O34-'Simple CEA'!$L$41)/'Simple CEA'!$L$41,"-")</f>
        <v>-0.1674532244</v>
      </c>
      <c r="P52" s="964" t="s">
        <v>150</v>
      </c>
      <c r="Q52" s="998">
        <f>IFERROR((Q34-'Simple CEA'!$L$41)/'Simple CEA'!$L$41,"-")</f>
        <v>0.2686427057</v>
      </c>
      <c r="R52" s="997">
        <f>IFERROR((R34-'Simple CEA'!$M$41)/'Simple CEA'!$M$41,"-")</f>
        <v>-0.1694545195</v>
      </c>
      <c r="S52" s="964" t="s">
        <v>150</v>
      </c>
      <c r="T52" s="998">
        <f>IFERROR((T34-'Simple CEA'!$M$41)/'Simple CEA'!$M$41,"-")</f>
        <v>0.2655931132</v>
      </c>
      <c r="U52" s="997">
        <f>IFERROR((U34-'Simple CEA'!$N$41)/'Simple CEA'!$N$41,"-")</f>
        <v>-0.1582364994</v>
      </c>
      <c r="V52" s="964" t="s">
        <v>150</v>
      </c>
      <c r="W52" s="998">
        <f>IFERROR((W34-'Simple CEA'!$N$41)/'Simple CEA'!$N$41,"-")</f>
        <v>0.2666536485</v>
      </c>
      <c r="X52" s="997">
        <f>IFERROR((X34-'Simple CEA'!$O$41)/'Simple CEA'!$O$41,"-")</f>
        <v>-0.1575743462</v>
      </c>
      <c r="Y52" s="964" t="s">
        <v>150</v>
      </c>
      <c r="Z52" s="998">
        <f>IFERROR((Z34-'Simple CEA'!$O$41)/'Simple CEA'!$O$41,"-")</f>
        <v>0.2676500314</v>
      </c>
      <c r="AA52" s="997">
        <f>IFERROR((AA34-'Simple CEA'!$P$41)/'Simple CEA'!$P$41,"-")</f>
        <v>-0.1603884095</v>
      </c>
      <c r="AB52" s="964" t="s">
        <v>150</v>
      </c>
      <c r="AC52" s="998">
        <f>IFERROR((AC34-'Simple CEA'!$P$41)/'Simple CEA'!$P$41,"-")</f>
        <v>0.2634155362</v>
      </c>
      <c r="AD52" s="997">
        <f>IFERROR((AD34-'Simple CEA'!$Q$41)/'Simple CEA'!$Q$41,"-")</f>
        <v>-0.1654317031</v>
      </c>
      <c r="AE52" s="964" t="s">
        <v>150</v>
      </c>
      <c r="AF52" s="998">
        <f>IFERROR((AF34-'Simple CEA'!$Q$41)/'Simple CEA'!$Q$41,"-")</f>
        <v>0.271723119</v>
      </c>
      <c r="AG52" s="997">
        <f>IFERROR((AG34-'Simple CEA'!$S$41)/'Simple CEA'!$S$41,"-")</f>
        <v>-0.1695342109</v>
      </c>
      <c r="AH52" s="964" t="s">
        <v>150</v>
      </c>
      <c r="AI52" s="998">
        <f>IFERROR((AI34-'Simple CEA'!$S$41)/'Simple CEA'!$S$41,"-")</f>
        <v>0.2654716786</v>
      </c>
      <c r="AJ52" s="997">
        <f>IFERROR((AJ34-'Simple CEA'!$AK$41)/'Simple CEA'!$AK$41,"-")</f>
        <v>-0.1618302737</v>
      </c>
      <c r="AK52" s="964" t="s">
        <v>150</v>
      </c>
      <c r="AL52" s="998">
        <f>IFERROR((AL34-'Simple CEA'!$AK$41)/'Simple CEA'!$AK$41,"-")</f>
        <v>0.2572545894</v>
      </c>
      <c r="AM52" s="997">
        <f>IFERROR((AM34-'Simple CEA'!$AR$41)/'Simple CEA'!$AR$41,"-")</f>
        <v>-0.1669368053</v>
      </c>
      <c r="AN52" s="964" t="s">
        <v>150</v>
      </c>
      <c r="AO52" s="998">
        <f>IFERROR((AO34-'Simple CEA'!$AR$41)/'Simple CEA'!$AR$41,"-")</f>
        <v>0.26942963</v>
      </c>
      <c r="AP52" s="997">
        <f>IFERROR((AP34-'Simple CEA'!$AS$41)/'Simple CEA'!$AS$41,"-")</f>
        <v>-0.1566984603</v>
      </c>
      <c r="AQ52" s="964" t="s">
        <v>150</v>
      </c>
      <c r="AR52" s="998">
        <f>IFERROR((AR34-'Simple CEA'!$AS$41)/'Simple CEA'!$AS$41,"-")</f>
        <v>0.2487349723</v>
      </c>
      <c r="AS52" s="715"/>
    </row>
    <row r="53">
      <c r="A53" s="80"/>
      <c r="B53" s="81"/>
      <c r="C53" s="126"/>
      <c r="D53" s="81"/>
      <c r="E53" s="558" t="s">
        <v>963</v>
      </c>
      <c r="F53" s="999">
        <f>IFERROR((F35-'Simple CEA'!$I$41)/'Simple CEA'!$I$41,"-")</f>
        <v>-0.006641688787</v>
      </c>
      <c r="G53" s="976" t="s">
        <v>150</v>
      </c>
      <c r="H53" s="1000">
        <f>IFERROR((H35-'Simple CEA'!$I$41)/'Simple CEA'!$I$41,"-")</f>
        <v>0.02257473213</v>
      </c>
      <c r="I53" s="999">
        <f>IFERROR((I35-'Simple CEA'!$J$41)/'Simple CEA'!$J$41,"-")</f>
        <v>-0.01927358407</v>
      </c>
      <c r="J53" s="976" t="s">
        <v>150</v>
      </c>
      <c r="K53" s="1000">
        <f>IFERROR((K35-'Simple CEA'!$J$41)/'Simple CEA'!$J$41,"-")</f>
        <v>0.01844666269</v>
      </c>
      <c r="L53" s="999">
        <f>IFERROR((L35-'Simple CEA'!$K$41)/'Simple CEA'!$K$41,"-")</f>
        <v>-0.01199304024</v>
      </c>
      <c r="M53" s="976" t="s">
        <v>150</v>
      </c>
      <c r="N53" s="1000">
        <f>IFERROR((N35-'Simple CEA'!$K$41)/'Simple CEA'!$K$41,"-")</f>
        <v>0.01706598799</v>
      </c>
      <c r="O53" s="999">
        <f>IFERROR((O35-'Simple CEA'!$L$41)/'Simple CEA'!$L$41,"-")</f>
        <v>-0.03540282739</v>
      </c>
      <c r="P53" s="976" t="s">
        <v>150</v>
      </c>
      <c r="Q53" s="1000">
        <f>IFERROR((Q35-'Simple CEA'!$L$41)/'Simple CEA'!$L$41,"-")</f>
        <v>0.03604881502</v>
      </c>
      <c r="R53" s="999">
        <f>IFERROR((R35-'Simple CEA'!$M$41)/'Simple CEA'!$M$41,"-")</f>
        <v>-0.01780606116</v>
      </c>
      <c r="S53" s="976" t="s">
        <v>150</v>
      </c>
      <c r="T53" s="1000">
        <f>IFERROR((T35-'Simple CEA'!$M$41)/'Simple CEA'!$M$41,"-")</f>
        <v>0.02033739278</v>
      </c>
      <c r="U53" s="999">
        <f>IFERROR((U35-'Simple CEA'!$N$41)/'Simple CEA'!$N$41,"-")</f>
        <v>-0.01076068569</v>
      </c>
      <c r="V53" s="976" t="s">
        <v>150</v>
      </c>
      <c r="W53" s="1000">
        <f>IFERROR((W35-'Simple CEA'!$N$41)/'Simple CEA'!$N$41,"-")</f>
        <v>0.01833458826</v>
      </c>
      <c r="X53" s="999">
        <f>IFERROR((X35-'Simple CEA'!$O$41)/'Simple CEA'!$O$41,"-")</f>
        <v>-0.009707798177</v>
      </c>
      <c r="Y53" s="976" t="s">
        <v>150</v>
      </c>
      <c r="Z53" s="1000">
        <f>IFERROR((Z35-'Simple CEA'!$O$41)/'Simple CEA'!$O$41,"-")</f>
        <v>0.009901948394</v>
      </c>
      <c r="AA53" s="999">
        <f>IFERROR((AA35-'Simple CEA'!$P$41)/'Simple CEA'!$P$41,"-")</f>
        <v>-0.01213130195</v>
      </c>
      <c r="AB53" s="976" t="s">
        <v>150</v>
      </c>
      <c r="AC53" s="1000">
        <f>IFERROR((AC35-'Simple CEA'!$P$41)/'Simple CEA'!$P$41,"-")</f>
        <v>0.007626072015</v>
      </c>
      <c r="AD53" s="999">
        <f>IFERROR((AD35-'Simple CEA'!$Q$41)/'Simple CEA'!$Q$41,"-")</f>
        <v>-0.006623914791</v>
      </c>
      <c r="AE53" s="976" t="s">
        <v>150</v>
      </c>
      <c r="AF53" s="1000">
        <f>IFERROR((AF35-'Simple CEA'!$Q$41)/'Simple CEA'!$Q$41,"-")</f>
        <v>0.01304689878</v>
      </c>
      <c r="AG53" s="999">
        <f>IFERROR((AG35-'Simple CEA'!$S$41)/'Simple CEA'!$S$41,"-")</f>
        <v>-0.04678912088</v>
      </c>
      <c r="AH53" s="976" t="s">
        <v>150</v>
      </c>
      <c r="AI53" s="1000">
        <f>IFERROR((AI35-'Simple CEA'!$S$41)/'Simple CEA'!$S$41,"-")</f>
        <v>0.03831899333</v>
      </c>
      <c r="AJ53" s="999">
        <f>IFERROR((AJ35-'Simple CEA'!$AK$41)/'Simple CEA'!$AK$41,"-")</f>
        <v>-0.02476153899</v>
      </c>
      <c r="AK53" s="976" t="s">
        <v>150</v>
      </c>
      <c r="AL53" s="1000">
        <f>IFERROR((AL35-'Simple CEA'!$AK$41)/'Simple CEA'!$AK$41,"-")</f>
        <v>0.03096637307</v>
      </c>
      <c r="AM53" s="999">
        <f>IFERROR((AM35-'Simple CEA'!$AR$41)/'Simple CEA'!$AR$41,"-")</f>
        <v>-0.02468343677</v>
      </c>
      <c r="AN53" s="976" t="s">
        <v>150</v>
      </c>
      <c r="AO53" s="1000">
        <f>IFERROR((AO35-'Simple CEA'!$AR$41)/'Simple CEA'!$AR$41,"-")</f>
        <v>0.03052316115</v>
      </c>
      <c r="AP53" s="999">
        <f>IFERROR((AP35-'Simple CEA'!$AS$41)/'Simple CEA'!$AS$41,"-")</f>
        <v>-0.02801793611</v>
      </c>
      <c r="AQ53" s="976" t="s">
        <v>150</v>
      </c>
      <c r="AR53" s="1000">
        <f>IFERROR((AR35-'Simple CEA'!$AS$41)/'Simple CEA'!$AS$41,"-")</f>
        <v>0.02648573102</v>
      </c>
      <c r="AS53" s="716"/>
    </row>
    <row r="54">
      <c r="A54" s="80"/>
      <c r="B54" s="81"/>
      <c r="C54" s="126"/>
      <c r="D54" s="81"/>
      <c r="E54" s="541"/>
      <c r="F54" s="797"/>
      <c r="G54" s="983"/>
      <c r="H54" s="799"/>
      <c r="I54" s="797"/>
      <c r="J54" s="983"/>
      <c r="K54" s="799"/>
      <c r="L54" s="797"/>
      <c r="M54" s="983"/>
      <c r="N54" s="799"/>
      <c r="O54" s="797"/>
      <c r="P54" s="983"/>
      <c r="Q54" s="799"/>
      <c r="R54" s="797"/>
      <c r="S54" s="983"/>
      <c r="T54" s="799"/>
      <c r="U54" s="797"/>
      <c r="V54" s="983"/>
      <c r="W54" s="799"/>
      <c r="X54" s="797"/>
      <c r="Y54" s="983"/>
      <c r="Z54" s="799"/>
      <c r="AA54" s="797"/>
      <c r="AB54" s="983"/>
      <c r="AC54" s="799"/>
      <c r="AD54" s="797"/>
      <c r="AE54" s="983"/>
      <c r="AF54" s="799"/>
      <c r="AG54" s="797"/>
      <c r="AH54" s="983"/>
      <c r="AI54" s="799"/>
      <c r="AJ54" s="797"/>
      <c r="AK54" s="983"/>
      <c r="AL54" s="799"/>
      <c r="AM54" s="797"/>
      <c r="AN54" s="983"/>
      <c r="AO54" s="799"/>
      <c r="AP54" s="797"/>
      <c r="AQ54" s="983"/>
      <c r="AR54" s="799"/>
      <c r="AS54" s="710"/>
    </row>
    <row r="55">
      <c r="A55" s="80"/>
      <c r="B55" s="81"/>
      <c r="C55" s="126" t="s">
        <v>969</v>
      </c>
      <c r="F55" s="797"/>
      <c r="G55" s="983"/>
      <c r="H55" s="799"/>
      <c r="I55" s="797"/>
      <c r="J55" s="983"/>
      <c r="K55" s="799"/>
      <c r="L55" s="797"/>
      <c r="M55" s="983"/>
      <c r="N55" s="799"/>
      <c r="O55" s="797"/>
      <c r="P55" s="983"/>
      <c r="Q55" s="799"/>
      <c r="R55" s="797"/>
      <c r="S55" s="983"/>
      <c r="T55" s="799"/>
      <c r="U55" s="797"/>
      <c r="V55" s="983"/>
      <c r="W55" s="799"/>
      <c r="X55" s="797"/>
      <c r="Y55" s="983"/>
      <c r="Z55" s="799"/>
      <c r="AA55" s="797"/>
      <c r="AB55" s="983"/>
      <c r="AC55" s="799"/>
      <c r="AD55" s="797"/>
      <c r="AE55" s="983"/>
      <c r="AF55" s="799"/>
      <c r="AG55" s="797"/>
      <c r="AH55" s="983"/>
      <c r="AI55" s="799"/>
      <c r="AJ55" s="797"/>
      <c r="AK55" s="983"/>
      <c r="AL55" s="799"/>
      <c r="AM55" s="797"/>
      <c r="AN55" s="983"/>
      <c r="AO55" s="799"/>
      <c r="AP55" s="797"/>
      <c r="AQ55" s="983"/>
      <c r="AR55" s="799"/>
      <c r="AS55" s="710"/>
    </row>
    <row r="56">
      <c r="A56" s="80"/>
      <c r="B56" s="81"/>
      <c r="C56" s="126"/>
      <c r="D56" s="81"/>
      <c r="E56" s="548" t="s">
        <v>971</v>
      </c>
      <c r="F56" s="995">
        <f>IFERROR((F38-'Simple CEA'!$I$41)/'Simple CEA'!$I$41,"-")</f>
        <v>-0.1415662651</v>
      </c>
      <c r="G56" s="1001" t="s">
        <v>150</v>
      </c>
      <c r="H56" s="996">
        <f>IFERROR((H38-'Simple CEA'!$I$41)/'Simple CEA'!$I$41,"-")</f>
        <v>0.1295180723</v>
      </c>
      <c r="I56" s="995">
        <f>IFERROR((I38-'Simple CEA'!$J$41)/'Simple CEA'!$J$41,"-")</f>
        <v>-0.1415662651</v>
      </c>
      <c r="J56" s="1001" t="s">
        <v>150</v>
      </c>
      <c r="K56" s="996">
        <f>IFERROR((K38-'Simple CEA'!$J$41)/'Simple CEA'!$J$41,"-")</f>
        <v>0.1295180723</v>
      </c>
      <c r="L56" s="995">
        <f>IFERROR((L38-'Simple CEA'!$K$41)/'Simple CEA'!$K$41,"-")</f>
        <v>-0.1415662651</v>
      </c>
      <c r="M56" s="1001" t="s">
        <v>150</v>
      </c>
      <c r="N56" s="996">
        <f>IFERROR((N38-'Simple CEA'!$K$41)/'Simple CEA'!$K$41,"-")</f>
        <v>0.1295180723</v>
      </c>
      <c r="O56" s="995">
        <f>IFERROR((O38-'Simple CEA'!$L$41)/'Simple CEA'!$L$41,"-")</f>
        <v>-0.1415662651</v>
      </c>
      <c r="P56" s="1001" t="s">
        <v>150</v>
      </c>
      <c r="Q56" s="996">
        <f>IFERROR((Q38-'Simple CEA'!$L$41)/'Simple CEA'!$L$41,"-")</f>
        <v>0.1295180723</v>
      </c>
      <c r="R56" s="995">
        <f>IFERROR((R38-'Simple CEA'!$M$41)/'Simple CEA'!$M$41,"-")</f>
        <v>-0.1415662651</v>
      </c>
      <c r="S56" s="1001" t="s">
        <v>150</v>
      </c>
      <c r="T56" s="996">
        <f>IFERROR((T38-'Simple CEA'!$M$41)/'Simple CEA'!$M$41,"-")</f>
        <v>0.1295180723</v>
      </c>
      <c r="U56" s="995">
        <f>IFERROR((U38-'Simple CEA'!$N$41)/'Simple CEA'!$N$41,"-")</f>
        <v>-0.1415662651</v>
      </c>
      <c r="V56" s="1001" t="s">
        <v>150</v>
      </c>
      <c r="W56" s="996">
        <f>IFERROR((W38-'Simple CEA'!$N$41)/'Simple CEA'!$N$41,"-")</f>
        <v>0.1295180723</v>
      </c>
      <c r="X56" s="995">
        <f>IFERROR((X38-'Simple CEA'!$O$41)/'Simple CEA'!$O$41,"-")</f>
        <v>-0.1415662651</v>
      </c>
      <c r="Y56" s="1001" t="s">
        <v>150</v>
      </c>
      <c r="Z56" s="996">
        <f>IFERROR((Z38-'Simple CEA'!$O$41)/'Simple CEA'!$O$41,"-")</f>
        <v>0.1295180723</v>
      </c>
      <c r="AA56" s="995">
        <f>IFERROR((AA38-'Simple CEA'!$P$41)/'Simple CEA'!$P$41,"-")</f>
        <v>-0.1415662651</v>
      </c>
      <c r="AB56" s="1001" t="s">
        <v>150</v>
      </c>
      <c r="AC56" s="996">
        <f>IFERROR((AC38-'Simple CEA'!$P$41)/'Simple CEA'!$P$41,"-")</f>
        <v>0.1295180723</v>
      </c>
      <c r="AD56" s="995">
        <f>IFERROR((AD38-'Simple CEA'!$Q$41)/'Simple CEA'!$Q$41,"-")</f>
        <v>-0.1415662651</v>
      </c>
      <c r="AE56" s="1001" t="s">
        <v>150</v>
      </c>
      <c r="AF56" s="996">
        <f>IFERROR((AF38-'Simple CEA'!$Q$41)/'Simple CEA'!$Q$41,"-")</f>
        <v>0.1295180723</v>
      </c>
      <c r="AG56" s="995">
        <f>IFERROR((AG38-'Simple CEA'!$S$41)/'Simple CEA'!$S$41,"-")</f>
        <v>-0.1415662651</v>
      </c>
      <c r="AH56" s="1001" t="s">
        <v>150</v>
      </c>
      <c r="AI56" s="996">
        <f>IFERROR((AI38-'Simple CEA'!$S$41)/'Simple CEA'!$S$41,"-")</f>
        <v>0.1295180723</v>
      </c>
      <c r="AJ56" s="995">
        <f>IFERROR((AJ38-'Simple CEA'!$AK$41)/'Simple CEA'!$AK$41,"-")</f>
        <v>-0.1415662651</v>
      </c>
      <c r="AK56" s="1001" t="s">
        <v>150</v>
      </c>
      <c r="AL56" s="996">
        <f>IFERROR((AL38-'Simple CEA'!$AK$41)/'Simple CEA'!$AK$41,"-")</f>
        <v>0.1295180723</v>
      </c>
      <c r="AM56" s="995">
        <f>IFERROR((AM38-'Simple CEA'!$AR$41)/'Simple CEA'!$AR$41,"-")</f>
        <v>-0.1415662651</v>
      </c>
      <c r="AN56" s="1001" t="s">
        <v>150</v>
      </c>
      <c r="AO56" s="996">
        <f>IFERROR((AO38-'Simple CEA'!$AR$41)/'Simple CEA'!$AR$41,"-")</f>
        <v>0.1295180723</v>
      </c>
      <c r="AP56" s="995">
        <f>IFERROR((AP38-'Simple CEA'!$AS$41)/'Simple CEA'!$AS$41,"-")</f>
        <v>-0.1415662651</v>
      </c>
      <c r="AQ56" s="1001" t="s">
        <v>150</v>
      </c>
      <c r="AR56" s="996">
        <f>IFERROR((AR38-'Simple CEA'!$AS$41)/'Simple CEA'!$AS$41,"-")</f>
        <v>0.1295180723</v>
      </c>
      <c r="AS56" s="714"/>
    </row>
    <row r="57">
      <c r="A57" s="80"/>
      <c r="B57" s="81"/>
      <c r="C57" s="126"/>
      <c r="D57" s="81"/>
      <c r="E57" s="553" t="s">
        <v>972</v>
      </c>
      <c r="F57" s="997">
        <f>IFERROR((F39-'Simple CEA'!$I$41)/'Simple CEA'!$I$41,"-")</f>
        <v>-0.06451612903</v>
      </c>
      <c r="G57" s="1002" t="s">
        <v>150</v>
      </c>
      <c r="H57" s="998">
        <f>IFERROR((H39-'Simple CEA'!$I$41)/'Simple CEA'!$I$41,"-")</f>
        <v>0.04301075269</v>
      </c>
      <c r="I57" s="997">
        <f>IFERROR((I39-'Simple CEA'!$J$41)/'Simple CEA'!$J$41,"-")</f>
        <v>-0.06451612903</v>
      </c>
      <c r="J57" s="1002" t="s">
        <v>150</v>
      </c>
      <c r="K57" s="998">
        <f>IFERROR((K39-'Simple CEA'!$J$41)/'Simple CEA'!$J$41,"-")</f>
        <v>0.04301075269</v>
      </c>
      <c r="L57" s="997">
        <f>IFERROR((L39-'Simple CEA'!$K$41)/'Simple CEA'!$K$41,"-")</f>
        <v>-0.06451612903</v>
      </c>
      <c r="M57" s="1002" t="s">
        <v>150</v>
      </c>
      <c r="N57" s="998">
        <f>IFERROR((N39-'Simple CEA'!$K$41)/'Simple CEA'!$K$41,"-")</f>
        <v>0.04301075269</v>
      </c>
      <c r="O57" s="997">
        <f>IFERROR((O39-'Simple CEA'!$L$41)/'Simple CEA'!$L$41,"-")</f>
        <v>-0.06451612903</v>
      </c>
      <c r="P57" s="1002" t="s">
        <v>150</v>
      </c>
      <c r="Q57" s="998">
        <f>IFERROR((Q39-'Simple CEA'!$L$41)/'Simple CEA'!$L$41,"-")</f>
        <v>0.04301075269</v>
      </c>
      <c r="R57" s="997">
        <f>IFERROR((R39-'Simple CEA'!$M$41)/'Simple CEA'!$M$41,"-")</f>
        <v>-0.06451612903</v>
      </c>
      <c r="S57" s="1002" t="s">
        <v>150</v>
      </c>
      <c r="T57" s="998">
        <f>IFERROR((T39-'Simple CEA'!$M$41)/'Simple CEA'!$M$41,"-")</f>
        <v>0.04301075269</v>
      </c>
      <c r="U57" s="997">
        <f>IFERROR((U39-'Simple CEA'!$N$41)/'Simple CEA'!$N$41,"-")</f>
        <v>-0.06451612903</v>
      </c>
      <c r="V57" s="1002" t="s">
        <v>150</v>
      </c>
      <c r="W57" s="998">
        <f>IFERROR((W39-'Simple CEA'!$N$41)/'Simple CEA'!$N$41,"-")</f>
        <v>0.04301075269</v>
      </c>
      <c r="X57" s="997">
        <f>IFERROR((X39-'Simple CEA'!$O$41)/'Simple CEA'!$O$41,"-")</f>
        <v>-0.06451612903</v>
      </c>
      <c r="Y57" s="1002" t="s">
        <v>150</v>
      </c>
      <c r="Z57" s="998">
        <f>IFERROR((Z39-'Simple CEA'!$O$41)/'Simple CEA'!$O$41,"-")</f>
        <v>0.04301075269</v>
      </c>
      <c r="AA57" s="997">
        <f>IFERROR((AA39-'Simple CEA'!$P$41)/'Simple CEA'!$P$41,"-")</f>
        <v>-0.06451612903</v>
      </c>
      <c r="AB57" s="1002" t="s">
        <v>150</v>
      </c>
      <c r="AC57" s="998">
        <f>IFERROR((AC39-'Simple CEA'!$P$41)/'Simple CEA'!$P$41,"-")</f>
        <v>0.04301075269</v>
      </c>
      <c r="AD57" s="997">
        <f>IFERROR((AD39-'Simple CEA'!$Q$41)/'Simple CEA'!$Q$41,"-")</f>
        <v>-0.06451612903</v>
      </c>
      <c r="AE57" s="1002" t="s">
        <v>150</v>
      </c>
      <c r="AF57" s="998">
        <f>IFERROR((AF39-'Simple CEA'!$Q$41)/'Simple CEA'!$Q$41,"-")</f>
        <v>0.04301075269</v>
      </c>
      <c r="AG57" s="997">
        <f>IFERROR((AG39-'Simple CEA'!$S$41)/'Simple CEA'!$S$41,"-")</f>
        <v>-0.06451612903</v>
      </c>
      <c r="AH57" s="1002" t="s">
        <v>150</v>
      </c>
      <c r="AI57" s="998">
        <f>IFERROR((AI39-'Simple CEA'!$S$41)/'Simple CEA'!$S$41,"-")</f>
        <v>0.04301075269</v>
      </c>
      <c r="AJ57" s="997">
        <f>IFERROR((AJ39-'Simple CEA'!$AK$41)/'Simple CEA'!$AK$41,"-")</f>
        <v>-0.06451612903</v>
      </c>
      <c r="AK57" s="1002" t="s">
        <v>150</v>
      </c>
      <c r="AL57" s="998">
        <f>IFERROR((AL39-'Simple CEA'!$AK$41)/'Simple CEA'!$AK$41,"-")</f>
        <v>0.04301075269</v>
      </c>
      <c r="AM57" s="997">
        <f>IFERROR((AM39-'Simple CEA'!$AR$41)/'Simple CEA'!$AR$41,"-")</f>
        <v>-0.06451612903</v>
      </c>
      <c r="AN57" s="1002" t="s">
        <v>150</v>
      </c>
      <c r="AO57" s="998">
        <f>IFERROR((AO39-'Simple CEA'!$AR$41)/'Simple CEA'!$AR$41,"-")</f>
        <v>0.04301075269</v>
      </c>
      <c r="AP57" s="997">
        <f>IFERROR((AP39-'Simple CEA'!$AS$41)/'Simple CEA'!$AS$41,"-")</f>
        <v>-0.06451612903</v>
      </c>
      <c r="AQ57" s="1002" t="s">
        <v>150</v>
      </c>
      <c r="AR57" s="998">
        <f>IFERROR((AR39-'Simple CEA'!$AS$41)/'Simple CEA'!$AS$41,"-")</f>
        <v>0.04301075269</v>
      </c>
      <c r="AS57" s="715"/>
    </row>
    <row r="58">
      <c r="A58" s="80"/>
      <c r="B58" s="81"/>
      <c r="C58" s="126"/>
      <c r="D58" s="81"/>
      <c r="E58" s="558" t="s">
        <v>975</v>
      </c>
      <c r="F58" s="999">
        <f>IFERROR((F40-'Simple CEA'!$I$41)/'Simple CEA'!$I$41,"-")</f>
        <v>-0.08758191192</v>
      </c>
      <c r="G58" s="1003" t="s">
        <v>150</v>
      </c>
      <c r="H58" s="1000">
        <f>IFERROR((H40-'Simple CEA'!$I$41)/'Simple CEA'!$I$41,"-")</f>
        <v>0.06330624347</v>
      </c>
      <c r="I58" s="999">
        <f>IFERROR((I40-'Simple CEA'!$J$41)/'Simple CEA'!$J$41,"-")</f>
        <v>-0.09600249439</v>
      </c>
      <c r="J58" s="1003" t="s">
        <v>150</v>
      </c>
      <c r="K58" s="1000">
        <f>IFERROR((K40-'Simple CEA'!$J$41)/'Simple CEA'!$J$41,"-")</f>
        <v>0.05636630336</v>
      </c>
      <c r="L58" s="999">
        <f>IFERROR((L40-'Simple CEA'!$K$41)/'Simple CEA'!$K$41,"-")</f>
        <v>-0.08848901989</v>
      </c>
      <c r="M58" s="1003" t="s">
        <v>150</v>
      </c>
      <c r="N58" s="1000">
        <f>IFERROR((N40-'Simple CEA'!$K$41)/'Simple CEA'!$K$41,"-")</f>
        <v>0.06177888068</v>
      </c>
      <c r="O58" s="999">
        <f>IFERROR((O40-'Simple CEA'!$L$41)/'Simple CEA'!$L$41,"-")</f>
        <v>-0.08633046559</v>
      </c>
      <c r="P58" s="1003" t="s">
        <v>150</v>
      </c>
      <c r="Q58" s="1000">
        <f>IFERROR((Q40-'Simple CEA'!$L$41)/'Simple CEA'!$L$41,"-")</f>
        <v>0.05690338704</v>
      </c>
      <c r="R58" s="999">
        <f>IFERROR((R40-'Simple CEA'!$M$41)/'Simple CEA'!$M$41,"-")</f>
        <v>-0.09436134473</v>
      </c>
      <c r="S58" s="1003" t="s">
        <v>150</v>
      </c>
      <c r="T58" s="1000">
        <f>IFERROR((T40-'Simple CEA'!$M$41)/'Simple CEA'!$M$41,"-")</f>
        <v>0.05955693963</v>
      </c>
      <c r="U58" s="999">
        <f>IFERROR((U40-'Simple CEA'!$N$41)/'Simple CEA'!$N$41,"-")</f>
        <v>-0.08979101212</v>
      </c>
      <c r="V58" s="1003" t="s">
        <v>150</v>
      </c>
      <c r="W58" s="1000">
        <f>IFERROR((W40-'Simple CEA'!$N$41)/'Simple CEA'!$N$41,"-")</f>
        <v>0.0631923556</v>
      </c>
      <c r="X58" s="999">
        <f>IFERROR((X40-'Simple CEA'!$O$41)/'Simple CEA'!$O$41,"-")</f>
        <v>-0.08686481329</v>
      </c>
      <c r="Y58" s="1003" t="s">
        <v>150</v>
      </c>
      <c r="Z58" s="1000">
        <f>IFERROR((Z40-'Simple CEA'!$O$41)/'Simple CEA'!$O$41,"-")</f>
        <v>0.06557669774</v>
      </c>
      <c r="AA58" s="999">
        <f>IFERROR((AA40-'Simple CEA'!$P$41)/'Simple CEA'!$P$41,"-")</f>
        <v>-0.09562708404</v>
      </c>
      <c r="AB58" s="1003" t="s">
        <v>150</v>
      </c>
      <c r="AC58" s="1000">
        <f>IFERROR((AC40-'Simple CEA'!$P$41)/'Simple CEA'!$P$41,"-")</f>
        <v>0.0549944958</v>
      </c>
      <c r="AD58" s="999">
        <f>IFERROR((AD40-'Simple CEA'!$Q$41)/'Simple CEA'!$Q$41,"-")</f>
        <v>-0.08448715126</v>
      </c>
      <c r="AE58" s="1003" t="s">
        <v>150</v>
      </c>
      <c r="AF58" s="1000">
        <f>IFERROR((AF40-'Simple CEA'!$Q$41)/'Simple CEA'!$Q$41,"-")</f>
        <v>0.06506978812</v>
      </c>
      <c r="AG58" s="999">
        <f>IFERROR((AG40-'Simple CEA'!$S$41)/'Simple CEA'!$S$41,"-")</f>
        <v>-0.09300150791</v>
      </c>
      <c r="AH58" s="1003" t="s">
        <v>150</v>
      </c>
      <c r="AI58" s="1000">
        <f>IFERROR((AI40-'Simple CEA'!$S$41)/'Simple CEA'!$S$41,"-")</f>
        <v>0.04458134573</v>
      </c>
      <c r="AJ58" s="999">
        <f>IFERROR((AJ40-'Simple CEA'!$AK$41)/'Simple CEA'!$AK$41,"-")</f>
        <v>-0.07893598819</v>
      </c>
      <c r="AK58" s="1003" t="s">
        <v>150</v>
      </c>
      <c r="AL58" s="1000">
        <f>IFERROR((AL40-'Simple CEA'!$AK$41)/'Simple CEA'!$AK$41,"-")</f>
        <v>0.06706760655</v>
      </c>
      <c r="AM58" s="999">
        <f>IFERROR((AM40-'Simple CEA'!$AR$41)/'Simple CEA'!$AR$41,"-")</f>
        <v>-0.07816477846</v>
      </c>
      <c r="AN58" s="1003" t="s">
        <v>150</v>
      </c>
      <c r="AO58" s="1000">
        <f>IFERROR((AO40-'Simple CEA'!$AR$41)/'Simple CEA'!$AR$41,"-")</f>
        <v>0.0624768113</v>
      </c>
      <c r="AP58" s="999">
        <f>IFERROR((AP40-'Simple CEA'!$AS$41)/'Simple CEA'!$AS$41,"-")</f>
        <v>-0.08100082909</v>
      </c>
      <c r="AQ58" s="1003" t="s">
        <v>150</v>
      </c>
      <c r="AR58" s="1000">
        <f>IFERROR((AR40-'Simple CEA'!$AS$41)/'Simple CEA'!$AS$41,"-")</f>
        <v>0.05958359251</v>
      </c>
      <c r="AS58" s="716"/>
    </row>
    <row r="59">
      <c r="A59" s="80"/>
      <c r="B59" s="81"/>
      <c r="C59" s="126"/>
      <c r="D59" s="81"/>
      <c r="E59" s="541"/>
      <c r="F59" s="797"/>
      <c r="G59" s="798"/>
      <c r="H59" s="799"/>
      <c r="I59" s="800"/>
      <c r="J59" s="798"/>
      <c r="K59" s="800"/>
      <c r="L59" s="801"/>
      <c r="M59" s="798"/>
      <c r="N59" s="802"/>
      <c r="O59" s="801"/>
      <c r="P59" s="798"/>
      <c r="Q59" s="802"/>
      <c r="R59" s="801"/>
      <c r="S59" s="798"/>
      <c r="T59" s="802"/>
      <c r="U59" s="801"/>
      <c r="V59" s="798"/>
      <c r="W59" s="802"/>
      <c r="X59" s="801"/>
      <c r="Y59" s="798"/>
      <c r="Z59" s="802"/>
      <c r="AA59" s="801"/>
      <c r="AB59" s="798"/>
      <c r="AC59" s="802"/>
      <c r="AD59" s="801"/>
      <c r="AE59" s="798"/>
      <c r="AF59" s="802"/>
      <c r="AG59" s="801"/>
      <c r="AH59" s="798"/>
      <c r="AI59" s="802"/>
      <c r="AJ59" s="801"/>
      <c r="AK59" s="798"/>
      <c r="AL59" s="802"/>
      <c r="AM59" s="801"/>
      <c r="AN59" s="798"/>
      <c r="AO59" s="802"/>
      <c r="AP59" s="801"/>
      <c r="AQ59" s="798"/>
      <c r="AR59" s="802"/>
      <c r="AS59" s="710"/>
    </row>
    <row r="60">
      <c r="A60" s="72" t="s">
        <v>1039</v>
      </c>
      <c r="B60" s="14"/>
      <c r="C60" s="14"/>
      <c r="D60" s="14"/>
      <c r="E60" s="14"/>
      <c r="F60" s="793"/>
      <c r="G60" s="794"/>
      <c r="H60" s="795"/>
      <c r="I60" s="794"/>
      <c r="J60" s="794"/>
      <c r="K60" s="794"/>
      <c r="L60" s="793"/>
      <c r="M60" s="794"/>
      <c r="N60" s="795"/>
      <c r="O60" s="793"/>
      <c r="P60" s="794"/>
      <c r="Q60" s="795"/>
      <c r="R60" s="793"/>
      <c r="S60" s="794"/>
      <c r="T60" s="795"/>
      <c r="U60" s="793"/>
      <c r="V60" s="794"/>
      <c r="W60" s="795"/>
      <c r="X60" s="793"/>
      <c r="Y60" s="794"/>
      <c r="Z60" s="795"/>
      <c r="AA60" s="793"/>
      <c r="AB60" s="794"/>
      <c r="AC60" s="795"/>
      <c r="AD60" s="793"/>
      <c r="AE60" s="794"/>
      <c r="AF60" s="795"/>
      <c r="AG60" s="793"/>
      <c r="AH60" s="794"/>
      <c r="AI60" s="795"/>
      <c r="AJ60" s="793"/>
      <c r="AK60" s="794"/>
      <c r="AL60" s="795"/>
      <c r="AM60" s="793"/>
      <c r="AN60" s="794"/>
      <c r="AO60" s="795"/>
      <c r="AP60" s="793"/>
      <c r="AQ60" s="794"/>
      <c r="AR60" s="795"/>
      <c r="AS60" s="796"/>
    </row>
    <row r="61">
      <c r="A61" s="80"/>
      <c r="B61" s="81"/>
      <c r="C61" s="81"/>
      <c r="D61" s="81"/>
      <c r="E61" s="102"/>
      <c r="F61" s="797"/>
      <c r="G61" s="798"/>
      <c r="H61" s="799"/>
      <c r="I61" s="800"/>
      <c r="J61" s="798"/>
      <c r="K61" s="800"/>
      <c r="L61" s="801"/>
      <c r="M61" s="798"/>
      <c r="N61" s="802"/>
      <c r="O61" s="801"/>
      <c r="P61" s="798"/>
      <c r="Q61" s="802"/>
      <c r="R61" s="801"/>
      <c r="S61" s="798"/>
      <c r="T61" s="802"/>
      <c r="U61" s="801"/>
      <c r="V61" s="798"/>
      <c r="W61" s="802"/>
      <c r="X61" s="801"/>
      <c r="Y61" s="798"/>
      <c r="Z61" s="802"/>
      <c r="AA61" s="801"/>
      <c r="AB61" s="798"/>
      <c r="AC61" s="802"/>
      <c r="AD61" s="801"/>
      <c r="AE61" s="798"/>
      <c r="AF61" s="802"/>
      <c r="AG61" s="801"/>
      <c r="AH61" s="798"/>
      <c r="AI61" s="802"/>
      <c r="AJ61" s="801"/>
      <c r="AK61" s="798"/>
      <c r="AL61" s="802"/>
      <c r="AM61" s="801"/>
      <c r="AN61" s="798"/>
      <c r="AO61" s="802"/>
      <c r="AP61" s="801"/>
      <c r="AQ61" s="798"/>
      <c r="AR61" s="802"/>
      <c r="AS61" s="710"/>
    </row>
    <row r="62">
      <c r="A62" s="80"/>
      <c r="B62" s="81"/>
      <c r="C62" s="126" t="s">
        <v>932</v>
      </c>
      <c r="F62" s="803"/>
      <c r="G62" s="804"/>
      <c r="H62" s="805"/>
      <c r="I62" s="804"/>
      <c r="J62" s="804"/>
      <c r="K62" s="804"/>
      <c r="L62" s="803"/>
      <c r="M62" s="804"/>
      <c r="N62" s="805"/>
      <c r="O62" s="803"/>
      <c r="P62" s="804"/>
      <c r="Q62" s="805"/>
      <c r="R62" s="803"/>
      <c r="S62" s="804"/>
      <c r="T62" s="805"/>
      <c r="U62" s="803"/>
      <c r="V62" s="804"/>
      <c r="W62" s="805"/>
      <c r="X62" s="803"/>
      <c r="Y62" s="804"/>
      <c r="Z62" s="805"/>
      <c r="AA62" s="803"/>
      <c r="AB62" s="804"/>
      <c r="AC62" s="805"/>
      <c r="AD62" s="803"/>
      <c r="AE62" s="804"/>
      <c r="AF62" s="805"/>
      <c r="AG62" s="803"/>
      <c r="AH62" s="804"/>
      <c r="AI62" s="805"/>
      <c r="AJ62" s="803"/>
      <c r="AK62" s="804"/>
      <c r="AL62" s="805"/>
      <c r="AM62" s="803"/>
      <c r="AN62" s="804"/>
      <c r="AO62" s="805"/>
      <c r="AP62" s="803"/>
      <c r="AQ62" s="804"/>
      <c r="AR62" s="805"/>
      <c r="AS62" s="710"/>
    </row>
    <row r="63">
      <c r="A63" s="80"/>
      <c r="B63" s="81"/>
      <c r="C63" s="126"/>
      <c r="D63" s="81"/>
      <c r="E63" s="548" t="s">
        <v>933</v>
      </c>
      <c r="F63" s="995">
        <f t="shared" ref="F63:F66" si="1">IFERROR((F9-G9)/G9,"-")</f>
        <v>-0.2244254285</v>
      </c>
      <c r="G63" s="955" t="s">
        <v>150</v>
      </c>
      <c r="H63" s="996">
        <f t="shared" ref="H63:H66" si="2">IFERROR((H9-G9)/G9,"-")</f>
        <v>0.2221175066</v>
      </c>
      <c r="I63" s="995">
        <f t="shared" ref="I63:I66" si="3">IFERROR((I9-J9)/J9,"-")</f>
        <v>-0.2244254285</v>
      </c>
      <c r="J63" s="955" t="s">
        <v>150</v>
      </c>
      <c r="K63" s="996">
        <f t="shared" ref="K63:K66" si="4">IFERROR((K9-J9)/J9,"-")</f>
        <v>0.2221175066</v>
      </c>
      <c r="L63" s="995">
        <f t="shared" ref="L63:L66" si="5">IFERROR((L9-M9)/M9,"-")</f>
        <v>-0.2244254285</v>
      </c>
      <c r="M63" s="955" t="s">
        <v>150</v>
      </c>
      <c r="N63" s="996">
        <f t="shared" ref="N63:N66" si="6">IFERROR((N9-M9)/M9,"-")</f>
        <v>0.2221175066</v>
      </c>
      <c r="O63" s="995">
        <f t="shared" ref="O63:O66" si="7">IFERROR((O9-P9)/P9,"-")</f>
        <v>-0.2244254285</v>
      </c>
      <c r="P63" s="955" t="s">
        <v>150</v>
      </c>
      <c r="Q63" s="996">
        <f t="shared" ref="Q63:Q66" si="8">IFERROR((Q9-P9)/P9,"-")</f>
        <v>0.2221175066</v>
      </c>
      <c r="R63" s="995">
        <f t="shared" ref="R63:R66" si="9">IFERROR((R9-S9)/S9,"-")</f>
        <v>-0.2244254285</v>
      </c>
      <c r="S63" s="955" t="s">
        <v>150</v>
      </c>
      <c r="T63" s="996">
        <f t="shared" ref="T63:T66" si="10">IFERROR((T9-S9)/S9,"-")</f>
        <v>0.2221175066</v>
      </c>
      <c r="U63" s="995">
        <f t="shared" ref="U63:U66" si="11">IFERROR((U9-V9)/V9,"-")</f>
        <v>-0.2244254285</v>
      </c>
      <c r="V63" s="955" t="s">
        <v>150</v>
      </c>
      <c r="W63" s="996">
        <f t="shared" ref="W63:W66" si="12">IFERROR((W9-V9)/V9,"-")</f>
        <v>0.2221175066</v>
      </c>
      <c r="X63" s="995">
        <f t="shared" ref="X63:X66" si="13">IFERROR((X9-Y9)/Y9,"-")</f>
        <v>-0.2244254285</v>
      </c>
      <c r="Y63" s="955" t="s">
        <v>150</v>
      </c>
      <c r="Z63" s="996">
        <f t="shared" ref="Z63:Z66" si="14">IFERROR((Z9-Y9)/Y9,"-")</f>
        <v>0.2221175066</v>
      </c>
      <c r="AA63" s="995">
        <f t="shared" ref="AA63:AA66" si="15">IFERROR((AA9-AB9)/AB9,"-")</f>
        <v>-0.2244254285</v>
      </c>
      <c r="AB63" s="955" t="s">
        <v>150</v>
      </c>
      <c r="AC63" s="996">
        <f t="shared" ref="AC63:AC66" si="16">IFERROR((AC9-AB9)/AB9,"-")</f>
        <v>0.2221175066</v>
      </c>
      <c r="AD63" s="995">
        <f t="shared" ref="AD63:AD66" si="17">IFERROR((AD9-AE9)/AE9,"-")</f>
        <v>-0.2244254285</v>
      </c>
      <c r="AE63" s="955" t="s">
        <v>150</v>
      </c>
      <c r="AF63" s="996">
        <f t="shared" ref="AF63:AF66" si="18">IFERROR((AF9-AE9)/AE9,"-")</f>
        <v>0.2221175066</v>
      </c>
      <c r="AG63" s="995">
        <f t="shared" ref="AG63:AG66" si="19">IFERROR((AG9-AH9)/AH9,"-")</f>
        <v>-0.2244254285</v>
      </c>
      <c r="AH63" s="955" t="s">
        <v>150</v>
      </c>
      <c r="AI63" s="996">
        <f t="shared" ref="AI63:AI66" si="20">IFERROR((AI9-AH9)/AH9,"-")</f>
        <v>0.2221175066</v>
      </c>
      <c r="AJ63" s="995">
        <f t="shared" ref="AJ63:AJ66" si="21">IFERROR((AJ9-AK9)/AK9,"-")</f>
        <v>-0.2244254285</v>
      </c>
      <c r="AK63" s="955" t="s">
        <v>150</v>
      </c>
      <c r="AL63" s="996">
        <f t="shared" ref="AL63:AL66" si="22">IFERROR((AL9-AK9)/AK9,"-")</f>
        <v>0.2221175066</v>
      </c>
      <c r="AM63" s="995">
        <f t="shared" ref="AM63:AM66" si="23">IFERROR((AM9-AN9)/AN9,"-")</f>
        <v>-0.2244254285</v>
      </c>
      <c r="AN63" s="955" t="s">
        <v>150</v>
      </c>
      <c r="AO63" s="996">
        <f t="shared" ref="AO63:AO66" si="24">IFERROR((AO9-AN9)/AN9,"-")</f>
        <v>0.2221175066</v>
      </c>
      <c r="AP63" s="995">
        <f t="shared" ref="AP63:AP66" si="25">IFERROR((AP9-AQ9)/AQ9,"-")</f>
        <v>-0.2244254285</v>
      </c>
      <c r="AQ63" s="955" t="s">
        <v>150</v>
      </c>
      <c r="AR63" s="996">
        <f t="shared" ref="AR63:AR66" si="26">IFERROR((AR9-AQ9)/AQ9,"-")</f>
        <v>0.2221175066</v>
      </c>
      <c r="AS63" s="714"/>
    </row>
    <row r="64">
      <c r="A64" s="80"/>
      <c r="B64" s="81"/>
      <c r="C64" s="126"/>
      <c r="D64" s="81"/>
      <c r="E64" s="553" t="s">
        <v>938</v>
      </c>
      <c r="F64" s="997">
        <f t="shared" si="1"/>
        <v>-0.1653647456</v>
      </c>
      <c r="G64" s="964" t="s">
        <v>150</v>
      </c>
      <c r="H64" s="998">
        <f t="shared" si="2"/>
        <v>0.1711817279</v>
      </c>
      <c r="I64" s="997">
        <f t="shared" si="3"/>
        <v>-0.09775832464</v>
      </c>
      <c r="J64" s="964" t="s">
        <v>150</v>
      </c>
      <c r="K64" s="998">
        <f t="shared" si="4"/>
        <v>0.1159304932</v>
      </c>
      <c r="L64" s="997">
        <f t="shared" si="5"/>
        <v>-0.1101150595</v>
      </c>
      <c r="M64" s="1004" t="s">
        <v>150</v>
      </c>
      <c r="N64" s="998">
        <f t="shared" si="6"/>
        <v>0.1405567547</v>
      </c>
      <c r="O64" s="997">
        <f t="shared" si="7"/>
        <v>-0.07842746977</v>
      </c>
      <c r="P64" s="964" t="s">
        <v>150</v>
      </c>
      <c r="Q64" s="998">
        <f t="shared" si="8"/>
        <v>0.0922341099</v>
      </c>
      <c r="R64" s="997">
        <f t="shared" si="9"/>
        <v>-0.1214427139</v>
      </c>
      <c r="S64" s="964" t="s">
        <v>150</v>
      </c>
      <c r="T64" s="998">
        <f t="shared" si="10"/>
        <v>0.1459442863</v>
      </c>
      <c r="U64" s="997">
        <f t="shared" si="11"/>
        <v>-0.1726457919</v>
      </c>
      <c r="V64" s="964" t="s">
        <v>150</v>
      </c>
      <c r="W64" s="998">
        <f t="shared" si="12"/>
        <v>0.1919509778</v>
      </c>
      <c r="X64" s="997">
        <f t="shared" si="13"/>
        <v>-0.2638985795</v>
      </c>
      <c r="Y64" s="964" t="s">
        <v>150</v>
      </c>
      <c r="Z64" s="998">
        <f t="shared" si="14"/>
        <v>0.3049070637</v>
      </c>
      <c r="AA64" s="997">
        <f t="shared" si="15"/>
        <v>-0.3829918119</v>
      </c>
      <c r="AB64" s="964" t="s">
        <v>150</v>
      </c>
      <c r="AC64" s="998">
        <f t="shared" si="16"/>
        <v>0.4529547655</v>
      </c>
      <c r="AD64" s="997">
        <f t="shared" si="17"/>
        <v>-0.1935238593</v>
      </c>
      <c r="AE64" s="964" t="s">
        <v>150</v>
      </c>
      <c r="AF64" s="998">
        <f t="shared" si="18"/>
        <v>0.2170458123</v>
      </c>
      <c r="AG64" s="997">
        <f t="shared" si="19"/>
        <v>-0.05264623036</v>
      </c>
      <c r="AH64" s="964" t="s">
        <v>150</v>
      </c>
      <c r="AI64" s="998">
        <f t="shared" si="20"/>
        <v>0.05379801341</v>
      </c>
      <c r="AJ64" s="997">
        <f t="shared" si="21"/>
        <v>-0.1126799269</v>
      </c>
      <c r="AK64" s="964" t="s">
        <v>150</v>
      </c>
      <c r="AL64" s="998">
        <f t="shared" si="22"/>
        <v>0.1372693895</v>
      </c>
      <c r="AM64" s="997">
        <f t="shared" si="23"/>
        <v>-0.07791216507</v>
      </c>
      <c r="AN64" s="964" t="s">
        <v>150</v>
      </c>
      <c r="AO64" s="998">
        <f t="shared" si="24"/>
        <v>0.0928448414</v>
      </c>
      <c r="AP64" s="997">
        <f t="shared" si="25"/>
        <v>-0.07914604231</v>
      </c>
      <c r="AQ64" s="964" t="s">
        <v>150</v>
      </c>
      <c r="AR64" s="998">
        <f t="shared" si="26"/>
        <v>0.08930285239</v>
      </c>
      <c r="AS64" s="715"/>
    </row>
    <row r="65">
      <c r="A65" s="80"/>
      <c r="B65" s="81"/>
      <c r="C65" s="126"/>
      <c r="D65" s="81"/>
      <c r="E65" s="553" t="s">
        <v>943</v>
      </c>
      <c r="F65" s="997">
        <f t="shared" si="1"/>
        <v>-0.3872501195</v>
      </c>
      <c r="G65" s="964" t="s">
        <v>150</v>
      </c>
      <c r="H65" s="998">
        <f t="shared" si="2"/>
        <v>0.3097322243</v>
      </c>
      <c r="I65" s="997">
        <f t="shared" si="3"/>
        <v>-0.3970998098</v>
      </c>
      <c r="J65" s="964" t="s">
        <v>150</v>
      </c>
      <c r="K65" s="998">
        <f t="shared" si="4"/>
        <v>0.3055448971</v>
      </c>
      <c r="L65" s="997">
        <f t="shared" si="5"/>
        <v>-0.3430057722</v>
      </c>
      <c r="M65" s="964" t="s">
        <v>150</v>
      </c>
      <c r="N65" s="998">
        <f t="shared" si="6"/>
        <v>0.3221397487</v>
      </c>
      <c r="O65" s="997">
        <f t="shared" si="7"/>
        <v>-0.4308857604</v>
      </c>
      <c r="P65" s="964" t="s">
        <v>150</v>
      </c>
      <c r="Q65" s="998">
        <f t="shared" si="8"/>
        <v>0.3576460174</v>
      </c>
      <c r="R65" s="997">
        <f t="shared" si="9"/>
        <v>-0.4378612071</v>
      </c>
      <c r="S65" s="964" t="s">
        <v>150</v>
      </c>
      <c r="T65" s="998">
        <f t="shared" si="10"/>
        <v>0.3132519035</v>
      </c>
      <c r="U65" s="997">
        <f t="shared" si="11"/>
        <v>-0.355712175</v>
      </c>
      <c r="V65" s="964" t="s">
        <v>150</v>
      </c>
      <c r="W65" s="998">
        <f t="shared" si="12"/>
        <v>0.3629165529</v>
      </c>
      <c r="X65" s="997">
        <f t="shared" si="13"/>
        <v>-0.4183904101</v>
      </c>
      <c r="Y65" s="964" t="s">
        <v>150</v>
      </c>
      <c r="Z65" s="998">
        <f t="shared" si="14"/>
        <v>0.3116719773</v>
      </c>
      <c r="AA65" s="997">
        <f t="shared" si="15"/>
        <v>-0.3801325903</v>
      </c>
      <c r="AB65" s="964" t="s">
        <v>150</v>
      </c>
      <c r="AC65" s="998">
        <f t="shared" si="16"/>
        <v>0.3149614468</v>
      </c>
      <c r="AD65" s="997">
        <f t="shared" si="17"/>
        <v>-0.3572738352</v>
      </c>
      <c r="AE65" s="964" t="s">
        <v>150</v>
      </c>
      <c r="AF65" s="998">
        <f t="shared" si="18"/>
        <v>0.289324174</v>
      </c>
      <c r="AG65" s="997">
        <f t="shared" si="19"/>
        <v>-0.4478333666</v>
      </c>
      <c r="AH65" s="964" t="s">
        <v>150</v>
      </c>
      <c r="AI65" s="998">
        <f t="shared" si="20"/>
        <v>0.3237531954</v>
      </c>
      <c r="AJ65" s="997">
        <f t="shared" si="21"/>
        <v>-0.4064408542</v>
      </c>
      <c r="AK65" s="964" t="s">
        <v>150</v>
      </c>
      <c r="AL65" s="998">
        <f t="shared" si="22"/>
        <v>0.3721237395</v>
      </c>
      <c r="AM65" s="997">
        <f t="shared" si="23"/>
        <v>-0.4198559213</v>
      </c>
      <c r="AN65" s="964" t="s">
        <v>150</v>
      </c>
      <c r="AO65" s="998">
        <f t="shared" si="24"/>
        <v>0.3095368415</v>
      </c>
      <c r="AP65" s="997">
        <f t="shared" si="25"/>
        <v>-0.4292636972</v>
      </c>
      <c r="AQ65" s="964" t="s">
        <v>150</v>
      </c>
      <c r="AR65" s="998">
        <f t="shared" si="26"/>
        <v>0.377536312</v>
      </c>
      <c r="AS65" s="715"/>
    </row>
    <row r="66">
      <c r="A66" s="80"/>
      <c r="B66" s="81"/>
      <c r="C66" s="126"/>
      <c r="D66" s="81"/>
      <c r="E66" s="558" t="s">
        <v>945</v>
      </c>
      <c r="F66" s="999">
        <f t="shared" si="1"/>
        <v>-0.2812674437</v>
      </c>
      <c r="G66" s="976" t="s">
        <v>150</v>
      </c>
      <c r="H66" s="1000">
        <f t="shared" si="2"/>
        <v>0.2861529955</v>
      </c>
      <c r="I66" s="999">
        <f t="shared" si="3"/>
        <v>-0.2949194522</v>
      </c>
      <c r="J66" s="976" t="s">
        <v>150</v>
      </c>
      <c r="K66" s="1000">
        <f t="shared" si="4"/>
        <v>0.2577112474</v>
      </c>
      <c r="L66" s="999">
        <f t="shared" si="5"/>
        <v>-0.2666409786</v>
      </c>
      <c r="M66" s="976" t="s">
        <v>150</v>
      </c>
      <c r="N66" s="1000">
        <f t="shared" si="6"/>
        <v>0.2833782875</v>
      </c>
      <c r="O66" s="999">
        <f t="shared" si="7"/>
        <v>-0.2840865321</v>
      </c>
      <c r="P66" s="976" t="s">
        <v>150</v>
      </c>
      <c r="Q66" s="1000">
        <f t="shared" si="8"/>
        <v>0.281108311</v>
      </c>
      <c r="R66" s="999">
        <f t="shared" si="9"/>
        <v>-0.2852578666</v>
      </c>
      <c r="S66" s="976" t="s">
        <v>150</v>
      </c>
      <c r="T66" s="1000">
        <f t="shared" si="10"/>
        <v>0.2749454271</v>
      </c>
      <c r="U66" s="999">
        <f t="shared" si="11"/>
        <v>-0.2752823095</v>
      </c>
      <c r="V66" s="976" t="s">
        <v>150</v>
      </c>
      <c r="W66" s="1000">
        <f t="shared" si="12"/>
        <v>0.282192837</v>
      </c>
      <c r="X66" s="999">
        <f t="shared" si="13"/>
        <v>-0.2762473639</v>
      </c>
      <c r="Y66" s="976" t="s">
        <v>150</v>
      </c>
      <c r="Z66" s="1000">
        <f t="shared" si="14"/>
        <v>0.280485433</v>
      </c>
      <c r="AA66" s="999">
        <f t="shared" si="15"/>
        <v>-0.2845165462</v>
      </c>
      <c r="AB66" s="976" t="s">
        <v>150</v>
      </c>
      <c r="AC66" s="1000">
        <f t="shared" si="16"/>
        <v>0.2803388121</v>
      </c>
      <c r="AD66" s="999">
        <f t="shared" si="17"/>
        <v>-0.2761138291</v>
      </c>
      <c r="AE66" s="976" t="s">
        <v>150</v>
      </c>
      <c r="AF66" s="1000">
        <f t="shared" si="18"/>
        <v>0.2807216869</v>
      </c>
      <c r="AG66" s="999">
        <f t="shared" si="19"/>
        <v>-0.2874264066</v>
      </c>
      <c r="AH66" s="976" t="s">
        <v>150</v>
      </c>
      <c r="AI66" s="1000">
        <f t="shared" si="20"/>
        <v>0.2710772207</v>
      </c>
      <c r="AJ66" s="999">
        <f t="shared" si="21"/>
        <v>-0.2915734638</v>
      </c>
      <c r="AK66" s="976" t="s">
        <v>150</v>
      </c>
      <c r="AL66" s="1000">
        <f t="shared" si="22"/>
        <v>0.2636797673</v>
      </c>
      <c r="AM66" s="999">
        <f t="shared" si="23"/>
        <v>-0.2961646489</v>
      </c>
      <c r="AN66" s="976" t="s">
        <v>150</v>
      </c>
      <c r="AO66" s="1000">
        <f t="shared" si="24"/>
        <v>0.2708138283</v>
      </c>
      <c r="AP66" s="999">
        <f t="shared" si="25"/>
        <v>-0.2809929215</v>
      </c>
      <c r="AQ66" s="976" t="s">
        <v>150</v>
      </c>
      <c r="AR66" s="1000">
        <f t="shared" si="26"/>
        <v>0.2720894466</v>
      </c>
      <c r="AS66" s="716"/>
    </row>
    <row r="67">
      <c r="A67" s="80"/>
      <c r="B67" s="81"/>
      <c r="C67" s="126"/>
      <c r="D67" s="81"/>
      <c r="E67" s="541"/>
      <c r="F67" s="1005">
        <f>ABS(AVERAGE(F75,I75,L75,O75,R75,U75,X75,AA75,AD75,AG75,AJ75,AM75,AP75))</f>
        <v>0.8571428571</v>
      </c>
      <c r="G67" s="1006"/>
      <c r="H67" s="1007">
        <f>ABS(AVERAGE(H75,K75,N75,Q75,T75,W75,Z75,AC75,AF75,AI75,AL75,AO75,AR75))</f>
        <v>0.5714285714</v>
      </c>
      <c r="I67" s="797"/>
      <c r="J67" s="983"/>
      <c r="K67" s="799"/>
      <c r="L67" s="797"/>
      <c r="M67" s="983"/>
      <c r="N67" s="799"/>
      <c r="O67" s="797"/>
      <c r="P67" s="983"/>
      <c r="Q67" s="799"/>
      <c r="R67" s="797"/>
      <c r="S67" s="983"/>
      <c r="T67" s="799"/>
      <c r="U67" s="797"/>
      <c r="V67" s="983"/>
      <c r="W67" s="799"/>
      <c r="X67" s="797"/>
      <c r="Y67" s="983"/>
      <c r="Z67" s="799"/>
      <c r="AA67" s="797"/>
      <c r="AB67" s="983"/>
      <c r="AC67" s="799"/>
      <c r="AD67" s="797"/>
      <c r="AE67" s="983"/>
      <c r="AF67" s="799"/>
      <c r="AG67" s="797"/>
      <c r="AH67" s="983"/>
      <c r="AI67" s="799"/>
      <c r="AJ67" s="797"/>
      <c r="AK67" s="983"/>
      <c r="AL67" s="799"/>
      <c r="AM67" s="797"/>
      <c r="AN67" s="983"/>
      <c r="AO67" s="799"/>
      <c r="AP67" s="797"/>
      <c r="AQ67" s="983"/>
      <c r="AR67" s="799"/>
      <c r="AS67" s="710"/>
    </row>
    <row r="68">
      <c r="A68" s="80"/>
      <c r="B68" s="81"/>
      <c r="C68" s="126" t="s">
        <v>957</v>
      </c>
      <c r="F68" s="866"/>
      <c r="G68" s="1008">
        <f>AVERAGE(F67,H67)</f>
        <v>0.7142857143</v>
      </c>
      <c r="H68" s="869"/>
      <c r="I68" s="866"/>
      <c r="J68" s="988"/>
      <c r="K68" s="869"/>
      <c r="L68" s="866"/>
      <c r="M68" s="988"/>
      <c r="N68" s="869"/>
      <c r="O68" s="866"/>
      <c r="P68" s="988"/>
      <c r="Q68" s="869"/>
      <c r="R68" s="866"/>
      <c r="S68" s="988"/>
      <c r="T68" s="869"/>
      <c r="U68" s="866"/>
      <c r="V68" s="988"/>
      <c r="W68" s="869"/>
      <c r="X68" s="866"/>
      <c r="Y68" s="988"/>
      <c r="Z68" s="869"/>
      <c r="AA68" s="866"/>
      <c r="AB68" s="988"/>
      <c r="AC68" s="869"/>
      <c r="AD68" s="866"/>
      <c r="AE68" s="988"/>
      <c r="AF68" s="869"/>
      <c r="AG68" s="866"/>
      <c r="AH68" s="988"/>
      <c r="AI68" s="869"/>
      <c r="AJ68" s="866"/>
      <c r="AK68" s="988"/>
      <c r="AL68" s="869"/>
      <c r="AM68" s="866"/>
      <c r="AN68" s="988"/>
      <c r="AO68" s="869"/>
      <c r="AP68" s="866"/>
      <c r="AQ68" s="988"/>
      <c r="AR68" s="869"/>
      <c r="AS68" s="710"/>
    </row>
    <row r="69">
      <c r="A69" s="80"/>
      <c r="B69" s="81"/>
      <c r="C69" s="126"/>
      <c r="D69" s="81"/>
      <c r="E69" s="548" t="s">
        <v>959</v>
      </c>
      <c r="F69" s="995">
        <f t="shared" ref="F69:F71" si="27">IFERROR((F15-G15)/G15,"-")</f>
        <v>-0.6590533322</v>
      </c>
      <c r="G69" s="955" t="s">
        <v>150</v>
      </c>
      <c r="H69" s="996">
        <f t="shared" ref="H69:H71" si="28">IFERROR((H15-G15)/G15,"-")</f>
        <v>0.5001653384</v>
      </c>
      <c r="I69" s="995">
        <f t="shared" ref="I69:I71" si="29">IFERROR((I15-J15)/J15,"-")</f>
        <v>-0.691819581</v>
      </c>
      <c r="J69" s="955" t="s">
        <v>150</v>
      </c>
      <c r="K69" s="996">
        <f t="shared" ref="K69:K71" si="30">IFERROR((K15-J15)/J15,"-")</f>
        <v>0.5409020952</v>
      </c>
      <c r="L69" s="995">
        <f t="shared" ref="L69:L71" si="31">IFERROR((L15-M15)/M15,"-")</f>
        <v>-0.6409217677</v>
      </c>
      <c r="M69" s="955" t="s">
        <v>150</v>
      </c>
      <c r="N69" s="996">
        <f t="shared" ref="N69:N71" si="32">IFERROR((N15-M15)/M15,"-")</f>
        <v>0.5342433563</v>
      </c>
      <c r="O69" s="995">
        <f t="shared" ref="O69:O71" si="33">IFERROR((O15-P15)/P15,"-")</f>
        <v>-0.6641960359</v>
      </c>
      <c r="P69" s="955" t="s">
        <v>150</v>
      </c>
      <c r="Q69" s="996">
        <f t="shared" ref="Q69:Q71" si="34">IFERROR((Q15-P15)/P15,"-")</f>
        <v>0.5297736143</v>
      </c>
      <c r="R69" s="995">
        <f t="shared" ref="R69:R71" si="35">IFERROR((R15-S15)/S15,"-")</f>
        <v>-0.6860228496</v>
      </c>
      <c r="S69" s="955" t="s">
        <v>150</v>
      </c>
      <c r="T69" s="996">
        <f t="shared" ref="T69:T71" si="36">IFERROR((T15-S15)/S15,"-")</f>
        <v>0.4913914646</v>
      </c>
      <c r="U69" s="995">
        <f t="shared" ref="U69:U71" si="37">IFERROR((U15-V15)/V15,"-")</f>
        <v>-0.6276442131</v>
      </c>
      <c r="V69" s="955" t="s">
        <v>150</v>
      </c>
      <c r="W69" s="996">
        <f t="shared" ref="W69:W71" si="38">IFERROR((W15-V15)/V15,"-")</f>
        <v>0.4894231475</v>
      </c>
      <c r="X69" s="995">
        <f t="shared" ref="X69:X71" si="39">IFERROR((X15-Y15)/Y15,"-")</f>
        <v>-0.6352491713</v>
      </c>
      <c r="Y69" s="955" t="s">
        <v>150</v>
      </c>
      <c r="Z69" s="996">
        <f t="shared" ref="Z69:Z71" si="40">IFERROR((Z15-Y15)/Y15,"-")</f>
        <v>0.4870610707</v>
      </c>
      <c r="AA69" s="995">
        <f t="shared" ref="AA69:AA71" si="41">IFERROR((AA15-AB15)/AB15,"-")</f>
        <v>-0.6357631553</v>
      </c>
      <c r="AB69" s="955" t="s">
        <v>150</v>
      </c>
      <c r="AC69" s="996">
        <f t="shared" ref="AC69:AC71" si="42">IFERROR((AC15-AB15)/AB15,"-")</f>
        <v>0.4873004493</v>
      </c>
      <c r="AD69" s="995">
        <f t="shared" ref="AD69:AD71" si="43">IFERROR((AD15-AE15)/AE15,"-")</f>
        <v>-0.6820041958</v>
      </c>
      <c r="AE69" s="955" t="s">
        <v>150</v>
      </c>
      <c r="AF69" s="996">
        <f t="shared" ref="AF69:AF71" si="44">IFERROR((AF15-AE15)/AE15,"-")</f>
        <v>0.4839804197</v>
      </c>
      <c r="AG69" s="995">
        <f t="shared" ref="AG69:AG71" si="45">IFERROR((AG15-AH15)/AH15,"-")</f>
        <v>-0.7123744568</v>
      </c>
      <c r="AH69" s="955" t="s">
        <v>150</v>
      </c>
      <c r="AI69" s="996">
        <f t="shared" ref="AI69:AI71" si="46">IFERROR((AI15-AH15)/AH15,"-")</f>
        <v>0.5203064429</v>
      </c>
      <c r="AJ69" s="995">
        <f t="shared" ref="AJ69:AJ71" si="47">IFERROR((AJ15-AK15)/AK15,"-")</f>
        <v>-0.6176134393</v>
      </c>
      <c r="AK69" s="955" t="s">
        <v>150</v>
      </c>
      <c r="AL69" s="996">
        <f t="shared" ref="AL69:AL71" si="48">IFERROR((AL15-AK15)/AK15,"-")</f>
        <v>0.4530689306</v>
      </c>
      <c r="AM69" s="995">
        <f t="shared" ref="AM69:AM71" si="49">IFERROR((AM15-AN15)/AN15,"-")</f>
        <v>-0.6650994955</v>
      </c>
      <c r="AN69" s="955" t="s">
        <v>150</v>
      </c>
      <c r="AO69" s="996">
        <f t="shared" ref="AO69:AO71" si="50">IFERROR((AO15-AN15)/AN15,"-")</f>
        <v>0.5256578538</v>
      </c>
      <c r="AP69" s="995">
        <f t="shared" ref="AP69:AP71" si="51">IFERROR((AP15-AQ15)/AQ15,"-")</f>
        <v>-0.5782072558</v>
      </c>
      <c r="AQ69" s="955" t="s">
        <v>150</v>
      </c>
      <c r="AR69" s="996">
        <f t="shared" ref="AR69:AR71" si="52">IFERROR((AR15-AQ15)/AQ15,"-")</f>
        <v>0.4429751777</v>
      </c>
      <c r="AS69" s="714"/>
    </row>
    <row r="70">
      <c r="A70" s="80"/>
      <c r="B70" s="81"/>
      <c r="C70" s="126"/>
      <c r="D70" s="81"/>
      <c r="E70" s="553" t="s">
        <v>962</v>
      </c>
      <c r="F70" s="997">
        <f t="shared" si="27"/>
        <v>-0.8046391728</v>
      </c>
      <c r="G70" s="964" t="s">
        <v>150</v>
      </c>
      <c r="H70" s="998">
        <f t="shared" si="28"/>
        <v>1.344329927</v>
      </c>
      <c r="I70" s="997">
        <f t="shared" si="29"/>
        <v>-0.8092507753</v>
      </c>
      <c r="J70" s="964" t="s">
        <v>150</v>
      </c>
      <c r="K70" s="998">
        <f t="shared" si="30"/>
        <v>1.288990696</v>
      </c>
      <c r="L70" s="997">
        <f t="shared" si="31"/>
        <v>-0.8027851904</v>
      </c>
      <c r="M70" s="964" t="s">
        <v>150</v>
      </c>
      <c r="N70" s="998">
        <f t="shared" si="32"/>
        <v>1.287691791</v>
      </c>
      <c r="O70" s="997">
        <f t="shared" si="33"/>
        <v>-0.8085687674</v>
      </c>
      <c r="P70" s="964" t="s">
        <v>150</v>
      </c>
      <c r="Q70" s="998">
        <f t="shared" si="34"/>
        <v>1.297174792</v>
      </c>
      <c r="R70" s="997">
        <f t="shared" si="35"/>
        <v>-0.8107704771</v>
      </c>
      <c r="S70" s="964" t="s">
        <v>150</v>
      </c>
      <c r="T70" s="998">
        <f t="shared" si="36"/>
        <v>1.270754275</v>
      </c>
      <c r="U70" s="997">
        <f t="shared" si="37"/>
        <v>-0.7978828153</v>
      </c>
      <c r="V70" s="964" t="s">
        <v>150</v>
      </c>
      <c r="W70" s="998">
        <f t="shared" si="38"/>
        <v>1.344559343</v>
      </c>
      <c r="X70" s="997">
        <f t="shared" si="39"/>
        <v>-0.7970785723</v>
      </c>
      <c r="Y70" s="964" t="s">
        <v>150</v>
      </c>
      <c r="Z70" s="998">
        <f t="shared" si="40"/>
        <v>1.353888561</v>
      </c>
      <c r="AA70" s="997">
        <f t="shared" si="41"/>
        <v>-0.8004615386</v>
      </c>
      <c r="AB70" s="964" t="s">
        <v>150</v>
      </c>
      <c r="AC70" s="998">
        <f t="shared" si="42"/>
        <v>1.314646152</v>
      </c>
      <c r="AD70" s="997">
        <f t="shared" si="43"/>
        <v>-0.8063032774</v>
      </c>
      <c r="AE70" s="964" t="s">
        <v>150</v>
      </c>
      <c r="AF70" s="998">
        <f t="shared" si="44"/>
        <v>1.324360671</v>
      </c>
      <c r="AG70" s="997">
        <f t="shared" si="45"/>
        <v>-0.810857318</v>
      </c>
      <c r="AH70" s="964" t="s">
        <v>150</v>
      </c>
      <c r="AI70" s="998">
        <f t="shared" si="46"/>
        <v>1.269712184</v>
      </c>
      <c r="AJ70" s="997">
        <f t="shared" si="47"/>
        <v>-0.8338862232</v>
      </c>
      <c r="AK70" s="964" t="s">
        <v>150</v>
      </c>
      <c r="AL70" s="998">
        <f t="shared" si="48"/>
        <v>1.325592876</v>
      </c>
      <c r="AM70" s="997">
        <f t="shared" si="49"/>
        <v>-0.8079940392</v>
      </c>
      <c r="AN70" s="964" t="s">
        <v>150</v>
      </c>
      <c r="AO70" s="998">
        <f t="shared" si="50"/>
        <v>1.30407153</v>
      </c>
      <c r="AP70" s="997">
        <f t="shared" si="51"/>
        <v>-0.8285087665</v>
      </c>
      <c r="AQ70" s="964" t="s">
        <v>150</v>
      </c>
      <c r="AR70" s="998">
        <f t="shared" si="52"/>
        <v>1.315131653</v>
      </c>
      <c r="AS70" s="715"/>
    </row>
    <row r="71">
      <c r="A71" s="80"/>
      <c r="B71" s="81"/>
      <c r="C71" s="126"/>
      <c r="D71" s="81"/>
      <c r="E71" s="558" t="s">
        <v>963</v>
      </c>
      <c r="F71" s="999">
        <f t="shared" si="27"/>
        <v>-0.2542827753</v>
      </c>
      <c r="G71" s="976" t="s">
        <v>150</v>
      </c>
      <c r="H71" s="1000">
        <f t="shared" si="28"/>
        <v>0.8642930618</v>
      </c>
      <c r="I71" s="999">
        <f t="shared" si="29"/>
        <v>-0.3381696543</v>
      </c>
      <c r="J71" s="976" t="s">
        <v>150</v>
      </c>
      <c r="K71" s="1000">
        <f t="shared" si="30"/>
        <v>0.3236606913</v>
      </c>
      <c r="L71" s="999">
        <f t="shared" si="31"/>
        <v>-0.3823613184</v>
      </c>
      <c r="M71" s="976" t="s">
        <v>150</v>
      </c>
      <c r="N71" s="1000">
        <f t="shared" si="32"/>
        <v>0.5440967039</v>
      </c>
      <c r="O71" s="999">
        <f t="shared" si="33"/>
        <v>-0.33131817</v>
      </c>
      <c r="P71" s="976" t="s">
        <v>150</v>
      </c>
      <c r="Q71" s="1000">
        <f t="shared" si="34"/>
        <v>0.33736366</v>
      </c>
      <c r="R71" s="999">
        <f t="shared" si="35"/>
        <v>-0.3836384456</v>
      </c>
      <c r="S71" s="976" t="s">
        <v>150</v>
      </c>
      <c r="T71" s="1000">
        <f t="shared" si="36"/>
        <v>0.4381769603</v>
      </c>
      <c r="U71" s="999">
        <f t="shared" si="37"/>
        <v>-0.3568158238</v>
      </c>
      <c r="V71" s="976" t="s">
        <v>150</v>
      </c>
      <c r="W71" s="1000">
        <f t="shared" si="38"/>
        <v>0.6079604405</v>
      </c>
      <c r="X71" s="999">
        <f t="shared" si="39"/>
        <v>-0.4975125111</v>
      </c>
      <c r="Y71" s="976" t="s">
        <v>150</v>
      </c>
      <c r="Z71" s="1000">
        <f t="shared" si="40"/>
        <v>0.5074624668</v>
      </c>
      <c r="AA71" s="999">
        <f t="shared" si="41"/>
        <v>-1</v>
      </c>
      <c r="AB71" s="976" t="s">
        <v>150</v>
      </c>
      <c r="AC71" s="1000">
        <f t="shared" si="42"/>
        <v>0.6286276649</v>
      </c>
      <c r="AD71" s="999">
        <f t="shared" si="43"/>
        <v>-0.4024415442</v>
      </c>
      <c r="AE71" s="976" t="s">
        <v>150</v>
      </c>
      <c r="AF71" s="1000">
        <f t="shared" si="44"/>
        <v>0.7926753675</v>
      </c>
      <c r="AG71" s="999">
        <f t="shared" si="45"/>
        <v>-0.3141920475</v>
      </c>
      <c r="AH71" s="976" t="s">
        <v>150</v>
      </c>
      <c r="AI71" s="1000">
        <f t="shared" si="46"/>
        <v>0.2573145796</v>
      </c>
      <c r="AJ71" s="999">
        <f t="shared" si="47"/>
        <v>-0.347767265</v>
      </c>
      <c r="AK71" s="976" t="s">
        <v>150</v>
      </c>
      <c r="AL71" s="1000">
        <f t="shared" si="48"/>
        <v>0.434912017</v>
      </c>
      <c r="AM71" s="999">
        <f t="shared" si="49"/>
        <v>-0.3089676561</v>
      </c>
      <c r="AN71" s="976" t="s">
        <v>150</v>
      </c>
      <c r="AO71" s="1000">
        <f t="shared" si="50"/>
        <v>0.3820646877</v>
      </c>
      <c r="AP71" s="999">
        <f t="shared" si="51"/>
        <v>-0.3058541409</v>
      </c>
      <c r="AQ71" s="976" t="s">
        <v>150</v>
      </c>
      <c r="AR71" s="1000">
        <f t="shared" si="52"/>
        <v>0.2891280241</v>
      </c>
      <c r="AS71" s="716"/>
    </row>
    <row r="72">
      <c r="A72" s="80"/>
      <c r="B72" s="81"/>
      <c r="C72" s="126"/>
      <c r="D72" s="81"/>
      <c r="E72" s="541"/>
      <c r="F72" s="797"/>
      <c r="G72" s="983"/>
      <c r="H72" s="799"/>
      <c r="I72" s="797"/>
      <c r="J72" s="983"/>
      <c r="K72" s="799"/>
      <c r="L72" s="797"/>
      <c r="M72" s="983"/>
      <c r="N72" s="799"/>
      <c r="O72" s="797"/>
      <c r="P72" s="983"/>
      <c r="Q72" s="799"/>
      <c r="R72" s="797"/>
      <c r="S72" s="983"/>
      <c r="T72" s="799"/>
      <c r="U72" s="797"/>
      <c r="V72" s="983"/>
      <c r="W72" s="799"/>
      <c r="X72" s="797"/>
      <c r="Y72" s="983"/>
      <c r="Z72" s="799"/>
      <c r="AA72" s="797"/>
      <c r="AB72" s="983"/>
      <c r="AC72" s="799"/>
      <c r="AD72" s="797"/>
      <c r="AE72" s="983"/>
      <c r="AF72" s="799"/>
      <c r="AG72" s="797"/>
      <c r="AH72" s="983"/>
      <c r="AI72" s="799"/>
      <c r="AJ72" s="797"/>
      <c r="AK72" s="983"/>
      <c r="AL72" s="799"/>
      <c r="AM72" s="797"/>
      <c r="AN72" s="983"/>
      <c r="AO72" s="799"/>
      <c r="AP72" s="797"/>
      <c r="AQ72" s="983"/>
      <c r="AR72" s="799"/>
      <c r="AS72" s="710"/>
    </row>
    <row r="73">
      <c r="A73" s="80"/>
      <c r="B73" s="81"/>
      <c r="C73" s="126" t="s">
        <v>969</v>
      </c>
      <c r="F73" s="797"/>
      <c r="G73" s="983"/>
      <c r="H73" s="799"/>
      <c r="I73" s="797"/>
      <c r="J73" s="983"/>
      <c r="K73" s="799"/>
      <c r="L73" s="797"/>
      <c r="M73" s="983"/>
      <c r="N73" s="799"/>
      <c r="O73" s="797"/>
      <c r="P73" s="983"/>
      <c r="Q73" s="799"/>
      <c r="R73" s="797"/>
      <c r="S73" s="983"/>
      <c r="T73" s="799"/>
      <c r="U73" s="797"/>
      <c r="V73" s="983"/>
      <c r="W73" s="799"/>
      <c r="X73" s="797"/>
      <c r="Y73" s="983"/>
      <c r="Z73" s="799"/>
      <c r="AA73" s="797"/>
      <c r="AB73" s="983"/>
      <c r="AC73" s="799"/>
      <c r="AD73" s="797"/>
      <c r="AE73" s="983"/>
      <c r="AF73" s="799"/>
      <c r="AG73" s="797"/>
      <c r="AH73" s="983"/>
      <c r="AI73" s="799"/>
      <c r="AJ73" s="797"/>
      <c r="AK73" s="983"/>
      <c r="AL73" s="799"/>
      <c r="AM73" s="797"/>
      <c r="AN73" s="983"/>
      <c r="AO73" s="799"/>
      <c r="AP73" s="797"/>
      <c r="AQ73" s="983"/>
      <c r="AR73" s="799"/>
      <c r="AS73" s="710"/>
    </row>
    <row r="74">
      <c r="A74" s="80"/>
      <c r="B74" s="81"/>
      <c r="C74" s="126"/>
      <c r="D74" s="81"/>
      <c r="E74" s="548" t="s">
        <v>971</v>
      </c>
      <c r="F74" s="995">
        <f t="shared" ref="F74:F76" si="53">IFERROR((F20-G20)/G20,"-")</f>
        <v>-0.5731707317</v>
      </c>
      <c r="G74" s="1001" t="s">
        <v>150</v>
      </c>
      <c r="H74" s="996">
        <f t="shared" ref="H74:H76" si="54">IFERROR((H20-G20)/G20,"-")</f>
        <v>0.5243902439</v>
      </c>
      <c r="I74" s="995">
        <f t="shared" ref="I74:I76" si="55">IFERROR((I20-J20)/J20,"-")</f>
        <v>-0.5731707317</v>
      </c>
      <c r="J74" s="1001" t="s">
        <v>150</v>
      </c>
      <c r="K74" s="996">
        <f t="shared" ref="K74:K76" si="56">IFERROR((K20-J20)/J20,"-")</f>
        <v>0.5243902439</v>
      </c>
      <c r="L74" s="995">
        <f t="shared" ref="L74:L76" si="57">IFERROR((L20-M20)/M20,"-")</f>
        <v>-0.5731707317</v>
      </c>
      <c r="M74" s="1001" t="s">
        <v>150</v>
      </c>
      <c r="N74" s="996">
        <f t="shared" ref="N74:N76" si="58">IFERROR((N20-M20)/M20,"-")</f>
        <v>0.5243902439</v>
      </c>
      <c r="O74" s="995">
        <f t="shared" ref="O74:O76" si="59">IFERROR((O20-P20)/P20,"-")</f>
        <v>-0.5731707317</v>
      </c>
      <c r="P74" s="1001" t="s">
        <v>150</v>
      </c>
      <c r="Q74" s="996">
        <f t="shared" ref="Q74:Q76" si="60">IFERROR((Q20-P20)/P20,"-")</f>
        <v>0.5243902439</v>
      </c>
      <c r="R74" s="995">
        <f t="shared" ref="R74:R76" si="61">IFERROR((R20-S20)/S20,"-")</f>
        <v>-0.5731707317</v>
      </c>
      <c r="S74" s="1001" t="s">
        <v>150</v>
      </c>
      <c r="T74" s="996">
        <f t="shared" ref="T74:T76" si="62">IFERROR((T20-S20)/S20,"-")</f>
        <v>0.5243902439</v>
      </c>
      <c r="U74" s="995">
        <f t="shared" ref="U74:U76" si="63">IFERROR((U20-V20)/V20,"-")</f>
        <v>-0.5731707317</v>
      </c>
      <c r="V74" s="1001" t="s">
        <v>150</v>
      </c>
      <c r="W74" s="996">
        <f t="shared" ref="W74:W76" si="64">IFERROR((W20-V20)/V20,"-")</f>
        <v>0.5243902439</v>
      </c>
      <c r="X74" s="995">
        <f t="shared" ref="X74:X76" si="65">IFERROR((X20-Y20)/Y20,"-")</f>
        <v>-0.5731707317</v>
      </c>
      <c r="Y74" s="1001" t="s">
        <v>150</v>
      </c>
      <c r="Z74" s="996">
        <f t="shared" ref="Z74:Z76" si="66">IFERROR((Z20-Y20)/Y20,"-")</f>
        <v>0.5243902439</v>
      </c>
      <c r="AA74" s="995">
        <f t="shared" ref="AA74:AA76" si="67">IFERROR((AA20-AB20)/AB20,"-")</f>
        <v>-0.5731707317</v>
      </c>
      <c r="AB74" s="1001" t="s">
        <v>150</v>
      </c>
      <c r="AC74" s="996">
        <f t="shared" ref="AC74:AC76" si="68">IFERROR((AC20-AB20)/AB20,"-")</f>
        <v>0.5243902439</v>
      </c>
      <c r="AD74" s="995">
        <f t="shared" ref="AD74:AD76" si="69">IFERROR((AD20-AE20)/AE20,"-")</f>
        <v>-0.5731707317</v>
      </c>
      <c r="AE74" s="1001" t="s">
        <v>150</v>
      </c>
      <c r="AF74" s="996">
        <f t="shared" ref="AF74:AF76" si="70">IFERROR((AF20-AE20)/AE20,"-")</f>
        <v>0.5243902439</v>
      </c>
      <c r="AG74" s="995">
        <f t="shared" ref="AG74:AG76" si="71">IFERROR((AG20-AH20)/AH20,"-")</f>
        <v>-0.5731707317</v>
      </c>
      <c r="AH74" s="1001" t="s">
        <v>150</v>
      </c>
      <c r="AI74" s="996">
        <f t="shared" ref="AI74:AI76" si="72">IFERROR((AI20-AH20)/AH20,"-")</f>
        <v>0.5243902439</v>
      </c>
      <c r="AJ74" s="995">
        <f t="shared" ref="AJ74:AJ76" si="73">IFERROR((AJ20-AK20)/AK20,"-")</f>
        <v>-0.5731707317</v>
      </c>
      <c r="AK74" s="1001" t="s">
        <v>150</v>
      </c>
      <c r="AL74" s="996">
        <f t="shared" ref="AL74:AL76" si="74">IFERROR((AL20-AK20)/AK20,"-")</f>
        <v>0.5243902439</v>
      </c>
      <c r="AM74" s="995">
        <f t="shared" ref="AM74:AM76" si="75">IFERROR((AM20-AN20)/AN20,"-")</f>
        <v>-0.5731707317</v>
      </c>
      <c r="AN74" s="1001" t="s">
        <v>150</v>
      </c>
      <c r="AO74" s="996">
        <f t="shared" ref="AO74:AO76" si="76">IFERROR((AO20-AN20)/AN20,"-")</f>
        <v>0.5243902439</v>
      </c>
      <c r="AP74" s="995">
        <f t="shared" ref="AP74:AP76" si="77">IFERROR((AP20-AQ20)/AQ20,"-")</f>
        <v>-0.5731707317</v>
      </c>
      <c r="AQ74" s="1001" t="s">
        <v>150</v>
      </c>
      <c r="AR74" s="996">
        <f t="shared" ref="AR74:AR76" si="78">IFERROR((AR20-AQ20)/AQ20,"-")</f>
        <v>0.5243902439</v>
      </c>
      <c r="AS74" s="714"/>
    </row>
    <row r="75">
      <c r="A75" s="80"/>
      <c r="B75" s="81"/>
      <c r="C75" s="126"/>
      <c r="D75" s="81"/>
      <c r="E75" s="553" t="s">
        <v>972</v>
      </c>
      <c r="F75" s="997">
        <f t="shared" si="53"/>
        <v>0.8571428571</v>
      </c>
      <c r="G75" s="1002" t="s">
        <v>150</v>
      </c>
      <c r="H75" s="998">
        <f t="shared" si="54"/>
        <v>-0.5714285714</v>
      </c>
      <c r="I75" s="997">
        <f t="shared" si="55"/>
        <v>0.8571428571</v>
      </c>
      <c r="J75" s="1002" t="s">
        <v>150</v>
      </c>
      <c r="K75" s="998">
        <f t="shared" si="56"/>
        <v>-0.5714285714</v>
      </c>
      <c r="L75" s="997">
        <f t="shared" si="57"/>
        <v>0.8571428571</v>
      </c>
      <c r="M75" s="1002" t="s">
        <v>150</v>
      </c>
      <c r="N75" s="998">
        <f t="shared" si="58"/>
        <v>-0.5714285714</v>
      </c>
      <c r="O75" s="997">
        <f t="shared" si="59"/>
        <v>0.8571428571</v>
      </c>
      <c r="P75" s="1002" t="s">
        <v>150</v>
      </c>
      <c r="Q75" s="998">
        <f t="shared" si="60"/>
        <v>-0.5714285714</v>
      </c>
      <c r="R75" s="997">
        <f t="shared" si="61"/>
        <v>0.8571428571</v>
      </c>
      <c r="S75" s="1002" t="s">
        <v>150</v>
      </c>
      <c r="T75" s="998">
        <f t="shared" si="62"/>
        <v>-0.5714285714</v>
      </c>
      <c r="U75" s="997">
        <f t="shared" si="63"/>
        <v>0.8571428571</v>
      </c>
      <c r="V75" s="1002" t="s">
        <v>150</v>
      </c>
      <c r="W75" s="998">
        <f t="shared" si="64"/>
        <v>-0.5714285714</v>
      </c>
      <c r="X75" s="997">
        <f t="shared" si="65"/>
        <v>0.8571428571</v>
      </c>
      <c r="Y75" s="1002" t="s">
        <v>150</v>
      </c>
      <c r="Z75" s="998">
        <f t="shared" si="66"/>
        <v>-0.5714285714</v>
      </c>
      <c r="AA75" s="997">
        <f t="shared" si="67"/>
        <v>0.8571428571</v>
      </c>
      <c r="AB75" s="1002" t="s">
        <v>150</v>
      </c>
      <c r="AC75" s="998">
        <f t="shared" si="68"/>
        <v>-0.5714285714</v>
      </c>
      <c r="AD75" s="997">
        <f t="shared" si="69"/>
        <v>0.8571428571</v>
      </c>
      <c r="AE75" s="1002" t="s">
        <v>150</v>
      </c>
      <c r="AF75" s="998">
        <f t="shared" si="70"/>
        <v>-0.5714285714</v>
      </c>
      <c r="AG75" s="997">
        <f t="shared" si="71"/>
        <v>0.8571428571</v>
      </c>
      <c r="AH75" s="1002" t="s">
        <v>150</v>
      </c>
      <c r="AI75" s="998">
        <f t="shared" si="72"/>
        <v>-0.5714285714</v>
      </c>
      <c r="AJ75" s="997">
        <f t="shared" si="73"/>
        <v>0.8571428571</v>
      </c>
      <c r="AK75" s="1002" t="s">
        <v>150</v>
      </c>
      <c r="AL75" s="998">
        <f t="shared" si="74"/>
        <v>-0.5714285714</v>
      </c>
      <c r="AM75" s="997">
        <f t="shared" si="75"/>
        <v>0.8571428571</v>
      </c>
      <c r="AN75" s="1002" t="s">
        <v>150</v>
      </c>
      <c r="AO75" s="998">
        <f t="shared" si="76"/>
        <v>-0.5714285714</v>
      </c>
      <c r="AP75" s="997">
        <f t="shared" si="77"/>
        <v>0.8571428571</v>
      </c>
      <c r="AQ75" s="1002" t="s">
        <v>150</v>
      </c>
      <c r="AR75" s="998">
        <f t="shared" si="78"/>
        <v>-0.5714285714</v>
      </c>
      <c r="AS75" s="715"/>
    </row>
    <row r="76">
      <c r="A76" s="80"/>
      <c r="B76" s="81"/>
      <c r="C76" s="126"/>
      <c r="D76" s="81"/>
      <c r="E76" s="558" t="s">
        <v>975</v>
      </c>
      <c r="F76" s="999">
        <f t="shared" si="53"/>
        <v>0.7981338161</v>
      </c>
      <c r="G76" s="1003" t="s">
        <v>150</v>
      </c>
      <c r="H76" s="1000">
        <f t="shared" si="54"/>
        <v>-0.5769096903</v>
      </c>
      <c r="I76" s="999">
        <f t="shared" si="55"/>
        <v>0.9298151533</v>
      </c>
      <c r="J76" s="1003" t="s">
        <v>150</v>
      </c>
      <c r="K76" s="1000">
        <f t="shared" si="56"/>
        <v>-0.5459258463</v>
      </c>
      <c r="L76" s="999">
        <f t="shared" si="57"/>
        <v>0.8192277982</v>
      </c>
      <c r="M76" s="1003" t="s">
        <v>150</v>
      </c>
      <c r="N76" s="1000">
        <f t="shared" si="58"/>
        <v>-0.5719464004</v>
      </c>
      <c r="O76" s="999">
        <f t="shared" si="59"/>
        <v>0.9311696985</v>
      </c>
      <c r="P76" s="1003" t="s">
        <v>150</v>
      </c>
      <c r="Q76" s="1000">
        <f t="shared" si="60"/>
        <v>-0.6137660603</v>
      </c>
      <c r="R76" s="999">
        <f t="shared" si="61"/>
        <v>0.8825711899</v>
      </c>
      <c r="S76" s="1003" t="s">
        <v>150</v>
      </c>
      <c r="T76" s="1000">
        <f t="shared" si="62"/>
        <v>-0.557042073</v>
      </c>
      <c r="U76" s="999">
        <f t="shared" si="63"/>
        <v>0.8143263528</v>
      </c>
      <c r="V76" s="1003" t="s">
        <v>150</v>
      </c>
      <c r="W76" s="1000">
        <f t="shared" si="64"/>
        <v>-0.5730996817</v>
      </c>
      <c r="X76" s="999">
        <f t="shared" si="65"/>
        <v>0.7722567583</v>
      </c>
      <c r="Y76" s="1009" t="s">
        <v>150</v>
      </c>
      <c r="Z76" s="1000">
        <f t="shared" si="66"/>
        <v>-0.5829984098</v>
      </c>
      <c r="AA76" s="999">
        <f t="shared" si="67"/>
        <v>0.8468128852</v>
      </c>
      <c r="AB76" s="1009" t="s">
        <v>150</v>
      </c>
      <c r="AC76" s="1000">
        <f t="shared" si="68"/>
        <v>-0.4869964208</v>
      </c>
      <c r="AD76" s="999">
        <f t="shared" si="69"/>
        <v>0.7605472923</v>
      </c>
      <c r="AE76" s="1009" t="s">
        <v>150</v>
      </c>
      <c r="AF76" s="1000">
        <f t="shared" si="70"/>
        <v>-0.5857535783</v>
      </c>
      <c r="AG76" s="999">
        <f t="shared" si="71"/>
        <v>1.177576234</v>
      </c>
      <c r="AH76" s="1003" t="s">
        <v>150</v>
      </c>
      <c r="AI76" s="1000">
        <f t="shared" si="72"/>
        <v>-0.5644847531</v>
      </c>
      <c r="AJ76" s="999">
        <f t="shared" si="73"/>
        <v>0.7621620879</v>
      </c>
      <c r="AK76" s="1003" t="s">
        <v>150</v>
      </c>
      <c r="AL76" s="1000">
        <f t="shared" si="74"/>
        <v>-0.6475675824</v>
      </c>
      <c r="AM76" s="999">
        <f t="shared" si="75"/>
        <v>0.8005634273</v>
      </c>
      <c r="AN76" s="1003" t="s">
        <v>150</v>
      </c>
      <c r="AO76" s="1000">
        <f t="shared" si="76"/>
        <v>-0.6398873145</v>
      </c>
      <c r="AP76" s="999">
        <f t="shared" si="77"/>
        <v>0.8550732335</v>
      </c>
      <c r="AQ76" s="1003" t="s">
        <v>150</v>
      </c>
      <c r="AR76" s="1000">
        <f t="shared" si="78"/>
        <v>-0.6289853533</v>
      </c>
      <c r="AS76" s="716"/>
    </row>
    <row r="77">
      <c r="A77" s="80"/>
      <c r="B77" s="81"/>
      <c r="C77" s="126"/>
      <c r="D77" s="81"/>
      <c r="E77" s="541"/>
      <c r="F77" s="797"/>
      <c r="G77" s="798"/>
      <c r="H77" s="799"/>
      <c r="I77" s="797"/>
      <c r="J77" s="798"/>
      <c r="K77" s="799"/>
      <c r="L77" s="1010"/>
      <c r="M77" s="1011"/>
      <c r="N77" s="1012"/>
      <c r="O77" s="1010"/>
      <c r="P77" s="1011"/>
      <c r="Q77" s="1012"/>
      <c r="R77" s="1010"/>
      <c r="S77" s="1011"/>
      <c r="T77" s="1012"/>
      <c r="U77" s="1010"/>
      <c r="V77" s="1011"/>
      <c r="W77" s="1012"/>
      <c r="X77" s="1010"/>
      <c r="Y77" s="1011"/>
      <c r="Z77" s="1012"/>
      <c r="AA77" s="1010"/>
      <c r="AB77" s="1011"/>
      <c r="AC77" s="1012"/>
      <c r="AD77" s="1010"/>
      <c r="AE77" s="1011"/>
      <c r="AF77" s="1012"/>
      <c r="AG77" s="1010"/>
      <c r="AH77" s="1011"/>
      <c r="AI77" s="1012"/>
      <c r="AJ77" s="1010"/>
      <c r="AK77" s="1011"/>
      <c r="AL77" s="1012"/>
      <c r="AM77" s="1010"/>
      <c r="AN77" s="1011"/>
      <c r="AO77" s="1012"/>
      <c r="AP77" s="1010"/>
      <c r="AQ77" s="1011"/>
      <c r="AR77" s="1012"/>
      <c r="AS77" s="710"/>
    </row>
    <row r="78">
      <c r="A78" s="1013" t="s">
        <v>1040</v>
      </c>
      <c r="B78" s="14"/>
      <c r="C78" s="14"/>
      <c r="D78" s="14"/>
      <c r="E78" s="14"/>
      <c r="F78" s="793"/>
      <c r="G78" s="794"/>
      <c r="H78" s="794"/>
      <c r="I78" s="793"/>
      <c r="J78" s="794"/>
      <c r="K78" s="794"/>
      <c r="L78" s="1014"/>
      <c r="M78" s="1015"/>
      <c r="N78" s="1015"/>
      <c r="O78" s="1014"/>
      <c r="P78" s="1015"/>
      <c r="Q78" s="1015"/>
      <c r="R78" s="1014"/>
      <c r="S78" s="1015"/>
      <c r="T78" s="1015"/>
      <c r="U78" s="1014"/>
      <c r="V78" s="1015"/>
      <c r="W78" s="1015"/>
      <c r="X78" s="1014"/>
      <c r="Y78" s="1015"/>
      <c r="Z78" s="1015"/>
      <c r="AA78" s="1014"/>
      <c r="AB78" s="1015"/>
      <c r="AC78" s="1015"/>
      <c r="AD78" s="1014"/>
      <c r="AE78" s="1015"/>
      <c r="AF78" s="1015"/>
      <c r="AG78" s="1014"/>
      <c r="AH78" s="1015"/>
      <c r="AI78" s="1015"/>
      <c r="AJ78" s="1014"/>
      <c r="AK78" s="1015"/>
      <c r="AL78" s="1015"/>
      <c r="AM78" s="1014"/>
      <c r="AN78" s="1015"/>
      <c r="AO78" s="1015"/>
      <c r="AP78" s="1014"/>
      <c r="AQ78" s="1015"/>
      <c r="AR78" s="1015"/>
      <c r="AS78" s="795"/>
    </row>
    <row r="79">
      <c r="A79" s="80"/>
      <c r="B79" s="81"/>
      <c r="C79" s="81"/>
      <c r="D79" s="81"/>
      <c r="E79" s="102"/>
      <c r="F79" s="797"/>
      <c r="G79" s="798"/>
      <c r="H79" s="799"/>
      <c r="I79" s="797"/>
      <c r="J79" s="798"/>
      <c r="K79" s="799"/>
      <c r="L79" s="350"/>
      <c r="M79" s="351"/>
      <c r="N79" s="404"/>
      <c r="O79" s="350"/>
      <c r="P79" s="351"/>
      <c r="Q79" s="404"/>
      <c r="R79" s="350"/>
      <c r="S79" s="351"/>
      <c r="T79" s="404"/>
      <c r="U79" s="350"/>
      <c r="V79" s="351"/>
      <c r="W79" s="404"/>
      <c r="X79" s="350"/>
      <c r="Y79" s="351"/>
      <c r="Z79" s="404"/>
      <c r="AA79" s="350"/>
      <c r="AB79" s="351"/>
      <c r="AC79" s="404"/>
      <c r="AD79" s="350"/>
      <c r="AE79" s="351"/>
      <c r="AF79" s="404"/>
      <c r="AG79" s="350"/>
      <c r="AH79" s="351"/>
      <c r="AI79" s="404"/>
      <c r="AJ79" s="350"/>
      <c r="AK79" s="351"/>
      <c r="AL79" s="404"/>
      <c r="AM79" s="350"/>
      <c r="AN79" s="351"/>
      <c r="AO79" s="404"/>
      <c r="AP79" s="350"/>
      <c r="AQ79" s="351"/>
      <c r="AR79" s="404"/>
      <c r="AS79" s="710"/>
    </row>
    <row r="80">
      <c r="A80" s="80"/>
      <c r="B80" s="81"/>
      <c r="C80" s="126" t="s">
        <v>932</v>
      </c>
      <c r="F80" s="803"/>
      <c r="G80" s="804"/>
      <c r="H80" s="805"/>
      <c r="I80" s="803"/>
      <c r="J80" s="804"/>
      <c r="K80" s="805"/>
      <c r="L80" s="1016"/>
      <c r="M80" s="1017"/>
      <c r="N80" s="1018"/>
      <c r="O80" s="1016"/>
      <c r="P80" s="1017"/>
      <c r="Q80" s="1018"/>
      <c r="R80" s="1016"/>
      <c r="S80" s="1017"/>
      <c r="T80" s="1018"/>
      <c r="U80" s="1016"/>
      <c r="V80" s="1017"/>
      <c r="W80" s="1018"/>
      <c r="X80" s="1016"/>
      <c r="Y80" s="1017"/>
      <c r="Z80" s="1018"/>
      <c r="AA80" s="1016"/>
      <c r="AB80" s="1017"/>
      <c r="AC80" s="1018"/>
      <c r="AD80" s="1016"/>
      <c r="AE80" s="1017"/>
      <c r="AF80" s="1018"/>
      <c r="AG80" s="1016"/>
      <c r="AH80" s="1017"/>
      <c r="AI80" s="1018"/>
      <c r="AJ80" s="1016"/>
      <c r="AK80" s="1017"/>
      <c r="AL80" s="1018"/>
      <c r="AM80" s="1016"/>
      <c r="AN80" s="1017"/>
      <c r="AO80" s="1018"/>
      <c r="AP80" s="1016"/>
      <c r="AQ80" s="1017"/>
      <c r="AR80" s="1018"/>
      <c r="AS80" s="710"/>
    </row>
    <row r="81">
      <c r="A81" s="80"/>
      <c r="B81" s="81"/>
      <c r="C81" s="126"/>
      <c r="D81" s="81"/>
      <c r="E81" s="548" t="s">
        <v>933</v>
      </c>
      <c r="F81" s="954">
        <f t="shared" ref="F81:F84" si="91">IFERROR(ABS(F45)/ABS(F63),"-")</f>
        <v>1.289366667</v>
      </c>
      <c r="G81" s="955" t="s">
        <v>150</v>
      </c>
      <c r="H81" s="957">
        <f t="shared" ref="H81:I81" si="79">IFERROR(ABS(H45)/ABS(H63),"-")</f>
        <v>0.8182519231</v>
      </c>
      <c r="I81" s="954">
        <f t="shared" si="79"/>
        <v>1.289366667</v>
      </c>
      <c r="J81" s="955" t="s">
        <v>150</v>
      </c>
      <c r="K81" s="957">
        <f t="shared" ref="K81:L81" si="80">IFERROR(ABS(K45)/ABS(K63),"-")</f>
        <v>0.8182519231</v>
      </c>
      <c r="L81" s="954">
        <f t="shared" si="80"/>
        <v>1.289366667</v>
      </c>
      <c r="M81" s="955" t="s">
        <v>150</v>
      </c>
      <c r="N81" s="957">
        <f t="shared" ref="N81:O81" si="81">IFERROR(ABS(N45)/ABS(N63),"-")</f>
        <v>0.8182519231</v>
      </c>
      <c r="O81" s="954">
        <f t="shared" si="81"/>
        <v>1.289366667</v>
      </c>
      <c r="P81" s="955" t="s">
        <v>150</v>
      </c>
      <c r="Q81" s="957">
        <f t="shared" ref="Q81:R81" si="82">IFERROR(ABS(Q45)/ABS(Q63),"-")</f>
        <v>0.8182519231</v>
      </c>
      <c r="R81" s="954">
        <f t="shared" si="82"/>
        <v>1.289366667</v>
      </c>
      <c r="S81" s="955" t="s">
        <v>150</v>
      </c>
      <c r="T81" s="957">
        <f t="shared" ref="T81:U81" si="83">IFERROR(ABS(T45)/ABS(T63),"-")</f>
        <v>0.8182519231</v>
      </c>
      <c r="U81" s="954">
        <f t="shared" si="83"/>
        <v>1.289366667</v>
      </c>
      <c r="V81" s="955" t="s">
        <v>150</v>
      </c>
      <c r="W81" s="957">
        <f t="shared" ref="W81:X81" si="84">IFERROR(ABS(W45)/ABS(W63),"-")</f>
        <v>0.8182519231</v>
      </c>
      <c r="X81" s="954">
        <f t="shared" si="84"/>
        <v>1.289366667</v>
      </c>
      <c r="Y81" s="955" t="s">
        <v>150</v>
      </c>
      <c r="Z81" s="957">
        <f t="shared" ref="Z81:AA81" si="85">IFERROR(ABS(Z45)/ABS(Z63),"-")</f>
        <v>0.8182519231</v>
      </c>
      <c r="AA81" s="954">
        <f t="shared" si="85"/>
        <v>1.289366667</v>
      </c>
      <c r="AB81" s="955" t="s">
        <v>150</v>
      </c>
      <c r="AC81" s="957">
        <f t="shared" ref="AC81:AD81" si="86">IFERROR(ABS(AC45)/ABS(AC63),"-")</f>
        <v>0.8182519231</v>
      </c>
      <c r="AD81" s="954">
        <f t="shared" si="86"/>
        <v>1.289366667</v>
      </c>
      <c r="AE81" s="955" t="s">
        <v>150</v>
      </c>
      <c r="AF81" s="957">
        <f t="shared" ref="AF81:AG81" si="87">IFERROR(ABS(AF45)/ABS(AF63),"-")</f>
        <v>0.8182519231</v>
      </c>
      <c r="AG81" s="954">
        <f t="shared" si="87"/>
        <v>1.289366667</v>
      </c>
      <c r="AH81" s="955" t="s">
        <v>150</v>
      </c>
      <c r="AI81" s="957">
        <f t="shared" ref="AI81:AJ81" si="88">IFERROR(ABS(AI45)/ABS(AI63),"-")</f>
        <v>0.8182519231</v>
      </c>
      <c r="AJ81" s="954">
        <f t="shared" si="88"/>
        <v>1.289366667</v>
      </c>
      <c r="AK81" s="955" t="s">
        <v>150</v>
      </c>
      <c r="AL81" s="957">
        <f t="shared" ref="AL81:AM81" si="89">IFERROR(ABS(AL45)/ABS(AL63),"-")</f>
        <v>0.8182519231</v>
      </c>
      <c r="AM81" s="954">
        <f t="shared" si="89"/>
        <v>1.289366667</v>
      </c>
      <c r="AN81" s="955" t="s">
        <v>150</v>
      </c>
      <c r="AO81" s="957">
        <f t="shared" ref="AO81:AP81" si="90">IFERROR(ABS(AO45)/ABS(AO63),"-")</f>
        <v>0.8182519231</v>
      </c>
      <c r="AP81" s="954">
        <f t="shared" si="90"/>
        <v>1.289366667</v>
      </c>
      <c r="AQ81" s="955" t="s">
        <v>150</v>
      </c>
      <c r="AR81" s="957">
        <f t="shared" ref="AR81:AR84" si="104">IFERROR(ABS(AR45)/ABS(AR63),"-")</f>
        <v>0.8182519231</v>
      </c>
      <c r="AS81" s="714"/>
    </row>
    <row r="82">
      <c r="A82" s="80"/>
      <c r="B82" s="81"/>
      <c r="C82" s="126"/>
      <c r="D82" s="81"/>
      <c r="E82" s="553" t="s">
        <v>938</v>
      </c>
      <c r="F82" s="963">
        <f t="shared" si="91"/>
        <v>2.888621452</v>
      </c>
      <c r="G82" s="964" t="s">
        <v>150</v>
      </c>
      <c r="H82" s="966">
        <f t="shared" ref="H82:I82" si="92">IFERROR(ABS(H46)/ABS(H64),"-")</f>
        <v>2.888621452</v>
      </c>
      <c r="I82" s="963">
        <f t="shared" si="92"/>
        <v>5.343019182</v>
      </c>
      <c r="J82" s="964" t="s">
        <v>150</v>
      </c>
      <c r="K82" s="966">
        <f t="shared" ref="K82:L82" si="93">IFERROR(ABS(K46)/ABS(K64),"-")</f>
        <v>5.343019182</v>
      </c>
      <c r="L82" s="963">
        <f t="shared" si="93"/>
        <v>3.946967423</v>
      </c>
      <c r="M82" s="964" t="s">
        <v>150</v>
      </c>
      <c r="N82" s="966">
        <f t="shared" ref="N82:O82" si="94">IFERROR(ABS(N46)/ABS(N64),"-")</f>
        <v>3.946967423</v>
      </c>
      <c r="O82" s="963">
        <f t="shared" si="94"/>
        <v>7.259851492</v>
      </c>
      <c r="P82" s="964" t="s">
        <v>150</v>
      </c>
      <c r="Q82" s="966">
        <f t="shared" ref="Q82:R82" si="95">IFERROR(ABS(Q46)/ABS(Q64),"-")</f>
        <v>7.259851492</v>
      </c>
      <c r="R82" s="963">
        <f t="shared" si="95"/>
        <v>3.659365353</v>
      </c>
      <c r="S82" s="964" t="s">
        <v>150</v>
      </c>
      <c r="T82" s="966">
        <f t="shared" ref="T82:U82" si="96">IFERROR(ABS(T46)/ABS(T64),"-")</f>
        <v>3.659365353</v>
      </c>
      <c r="U82" s="963">
        <f t="shared" si="96"/>
        <v>2.485736422</v>
      </c>
      <c r="V82" s="964" t="s">
        <v>150</v>
      </c>
      <c r="W82" s="966">
        <f t="shared" ref="W82:X82" si="97">IFERROR(ABS(W46)/ABS(W64),"-")</f>
        <v>2.485736422</v>
      </c>
      <c r="X82" s="963">
        <f t="shared" si="97"/>
        <v>1.485977336</v>
      </c>
      <c r="Y82" s="964" t="s">
        <v>150</v>
      </c>
      <c r="Z82" s="966">
        <f t="shared" ref="Z82:AA82" si="98">IFERROR(ABS(Z46)/ABS(Z64),"-")</f>
        <v>1.485977336</v>
      </c>
      <c r="AA82" s="963">
        <f t="shared" si="98"/>
        <v>1.009745056</v>
      </c>
      <c r="AB82" s="964" t="s">
        <v>150</v>
      </c>
      <c r="AC82" s="966">
        <f t="shared" ref="AC82:AD82" si="99">IFERROR(ABS(AC46)/ABS(AC64),"-")</f>
        <v>1.009745056</v>
      </c>
      <c r="AD82" s="963">
        <f t="shared" si="99"/>
        <v>2.144448987</v>
      </c>
      <c r="AE82" s="964" t="s">
        <v>150</v>
      </c>
      <c r="AF82" s="966">
        <f t="shared" ref="AF82:AG82" si="100">IFERROR(ABS(AF46)/ABS(AF64),"-")</f>
        <v>2.144448987</v>
      </c>
      <c r="AG82" s="963">
        <f t="shared" si="100"/>
        <v>15.51772457</v>
      </c>
      <c r="AH82" s="964" t="s">
        <v>150</v>
      </c>
      <c r="AI82" s="966">
        <f t="shared" ref="AI82:AJ82" si="101">IFERROR(ABS(AI46)/ABS(AI64),"-")</f>
        <v>15.51772457</v>
      </c>
      <c r="AJ82" s="963">
        <f t="shared" si="101"/>
        <v>4.004058805</v>
      </c>
      <c r="AK82" s="964" t="s">
        <v>150</v>
      </c>
      <c r="AL82" s="966">
        <f t="shared" ref="AL82:AM82" si="102">IFERROR(ABS(AL46)/ABS(AL64),"-")</f>
        <v>4.004058805</v>
      </c>
      <c r="AM82" s="963">
        <f t="shared" si="102"/>
        <v>7.226475563</v>
      </c>
      <c r="AN82" s="964" t="s">
        <v>150</v>
      </c>
      <c r="AO82" s="966">
        <f t="shared" ref="AO82:AP82" si="103">IFERROR(ABS(AO46)/ABS(AO64),"-")</f>
        <v>7.226475563</v>
      </c>
      <c r="AP82" s="963">
        <f t="shared" si="103"/>
        <v>8.130568386</v>
      </c>
      <c r="AQ82" s="964" t="s">
        <v>150</v>
      </c>
      <c r="AR82" s="966">
        <f t="shared" si="104"/>
        <v>8.130568386</v>
      </c>
      <c r="AS82" s="715"/>
    </row>
    <row r="83">
      <c r="A83" s="80"/>
      <c r="B83" s="81"/>
      <c r="C83" s="126"/>
      <c r="D83" s="81"/>
      <c r="E83" s="553" t="s">
        <v>943</v>
      </c>
      <c r="F83" s="963">
        <f t="shared" si="91"/>
        <v>1</v>
      </c>
      <c r="G83" s="964" t="s">
        <v>150</v>
      </c>
      <c r="H83" s="966">
        <f t="shared" ref="H83:I83" si="105">IFERROR(ABS(H47)/ABS(H65),"-")</f>
        <v>1</v>
      </c>
      <c r="I83" s="963">
        <f t="shared" si="105"/>
        <v>1</v>
      </c>
      <c r="J83" s="964" t="s">
        <v>150</v>
      </c>
      <c r="K83" s="966">
        <f t="shared" ref="K83:L83" si="106">IFERROR(ABS(K47)/ABS(K65),"-")</f>
        <v>1</v>
      </c>
      <c r="L83" s="963">
        <f t="shared" si="106"/>
        <v>1</v>
      </c>
      <c r="M83" s="964" t="s">
        <v>150</v>
      </c>
      <c r="N83" s="966">
        <f t="shared" ref="N83:O83" si="107">IFERROR(ABS(N47)/ABS(N65),"-")</f>
        <v>1</v>
      </c>
      <c r="O83" s="963">
        <f t="shared" si="107"/>
        <v>1</v>
      </c>
      <c r="P83" s="964" t="s">
        <v>150</v>
      </c>
      <c r="Q83" s="966">
        <f t="shared" ref="Q83:R83" si="108">IFERROR(ABS(Q47)/ABS(Q65),"-")</f>
        <v>1</v>
      </c>
      <c r="R83" s="963">
        <f t="shared" si="108"/>
        <v>1</v>
      </c>
      <c r="S83" s="964" t="s">
        <v>150</v>
      </c>
      <c r="T83" s="966">
        <f t="shared" ref="T83:U83" si="109">IFERROR(ABS(T47)/ABS(T65),"-")</f>
        <v>1</v>
      </c>
      <c r="U83" s="963">
        <f t="shared" si="109"/>
        <v>1</v>
      </c>
      <c r="V83" s="964" t="s">
        <v>150</v>
      </c>
      <c r="W83" s="966">
        <f t="shared" ref="W83:X83" si="110">IFERROR(ABS(W47)/ABS(W65),"-")</f>
        <v>1</v>
      </c>
      <c r="X83" s="963">
        <f t="shared" si="110"/>
        <v>1</v>
      </c>
      <c r="Y83" s="964" t="s">
        <v>150</v>
      </c>
      <c r="Z83" s="966">
        <f t="shared" ref="Z83:AA83" si="111">IFERROR(ABS(Z47)/ABS(Z65),"-")</f>
        <v>1</v>
      </c>
      <c r="AA83" s="963">
        <f t="shared" si="111"/>
        <v>1</v>
      </c>
      <c r="AB83" s="964" t="s">
        <v>150</v>
      </c>
      <c r="AC83" s="966">
        <f t="shared" ref="AC83:AD83" si="112">IFERROR(ABS(AC47)/ABS(AC65),"-")</f>
        <v>1</v>
      </c>
      <c r="AD83" s="963">
        <f t="shared" si="112"/>
        <v>1</v>
      </c>
      <c r="AE83" s="964" t="s">
        <v>150</v>
      </c>
      <c r="AF83" s="966">
        <f t="shared" ref="AF83:AG83" si="113">IFERROR(ABS(AF47)/ABS(AF65),"-")</f>
        <v>1</v>
      </c>
      <c r="AG83" s="963">
        <f t="shared" si="113"/>
        <v>1</v>
      </c>
      <c r="AH83" s="964" t="s">
        <v>150</v>
      </c>
      <c r="AI83" s="966">
        <f t="shared" ref="AI83:AJ83" si="114">IFERROR(ABS(AI47)/ABS(AI65),"-")</f>
        <v>1</v>
      </c>
      <c r="AJ83" s="963">
        <f t="shared" si="114"/>
        <v>1</v>
      </c>
      <c r="AK83" s="964" t="s">
        <v>150</v>
      </c>
      <c r="AL83" s="966">
        <f t="shared" ref="AL83:AM83" si="115">IFERROR(ABS(AL47)/ABS(AL65),"-")</f>
        <v>1</v>
      </c>
      <c r="AM83" s="963">
        <f t="shared" si="115"/>
        <v>1</v>
      </c>
      <c r="AN83" s="964" t="s">
        <v>150</v>
      </c>
      <c r="AO83" s="966">
        <f t="shared" ref="AO83:AP83" si="116">IFERROR(ABS(AO47)/ABS(AO65),"-")</f>
        <v>1</v>
      </c>
      <c r="AP83" s="963">
        <f t="shared" si="116"/>
        <v>1</v>
      </c>
      <c r="AQ83" s="964" t="s">
        <v>150</v>
      </c>
      <c r="AR83" s="966">
        <f t="shared" si="104"/>
        <v>1</v>
      </c>
      <c r="AS83" s="715"/>
    </row>
    <row r="84">
      <c r="A84" s="80"/>
      <c r="B84" s="81"/>
      <c r="C84" s="126"/>
      <c r="D84" s="81"/>
      <c r="E84" s="558" t="s">
        <v>945</v>
      </c>
      <c r="F84" s="975">
        <f t="shared" si="91"/>
        <v>1</v>
      </c>
      <c r="G84" s="976" t="s">
        <v>150</v>
      </c>
      <c r="H84" s="977">
        <f t="shared" ref="H84:I84" si="117">IFERROR(ABS(H48)/ABS(H66),"-")</f>
        <v>1</v>
      </c>
      <c r="I84" s="975">
        <f t="shared" si="117"/>
        <v>1</v>
      </c>
      <c r="J84" s="976" t="s">
        <v>150</v>
      </c>
      <c r="K84" s="977">
        <f t="shared" ref="K84:L84" si="118">IFERROR(ABS(K48)/ABS(K66),"-")</f>
        <v>1</v>
      </c>
      <c r="L84" s="975">
        <f t="shared" si="118"/>
        <v>1</v>
      </c>
      <c r="M84" s="976" t="s">
        <v>150</v>
      </c>
      <c r="N84" s="977">
        <f t="shared" ref="N84:O84" si="119">IFERROR(ABS(N48)/ABS(N66),"-")</f>
        <v>1</v>
      </c>
      <c r="O84" s="975">
        <f t="shared" si="119"/>
        <v>1</v>
      </c>
      <c r="P84" s="976" t="s">
        <v>150</v>
      </c>
      <c r="Q84" s="977">
        <f t="shared" ref="Q84:R84" si="120">IFERROR(ABS(Q48)/ABS(Q66),"-")</f>
        <v>1</v>
      </c>
      <c r="R84" s="975">
        <f t="shared" si="120"/>
        <v>1</v>
      </c>
      <c r="S84" s="976" t="s">
        <v>150</v>
      </c>
      <c r="T84" s="977">
        <f t="shared" ref="T84:U84" si="121">IFERROR(ABS(T48)/ABS(T66),"-")</f>
        <v>1</v>
      </c>
      <c r="U84" s="975">
        <f t="shared" si="121"/>
        <v>1</v>
      </c>
      <c r="V84" s="976" t="s">
        <v>150</v>
      </c>
      <c r="W84" s="977">
        <f t="shared" ref="W84:X84" si="122">IFERROR(ABS(W48)/ABS(W66),"-")</f>
        <v>1</v>
      </c>
      <c r="X84" s="975">
        <f t="shared" si="122"/>
        <v>1</v>
      </c>
      <c r="Y84" s="976" t="s">
        <v>150</v>
      </c>
      <c r="Z84" s="977">
        <f t="shared" ref="Z84:AA84" si="123">IFERROR(ABS(Z48)/ABS(Z66),"-")</f>
        <v>1</v>
      </c>
      <c r="AA84" s="975">
        <f t="shared" si="123"/>
        <v>1</v>
      </c>
      <c r="AB84" s="976" t="s">
        <v>150</v>
      </c>
      <c r="AC84" s="977">
        <f t="shared" ref="AC84:AD84" si="124">IFERROR(ABS(AC48)/ABS(AC66),"-")</f>
        <v>1</v>
      </c>
      <c r="AD84" s="975">
        <f t="shared" si="124"/>
        <v>1</v>
      </c>
      <c r="AE84" s="976" t="s">
        <v>150</v>
      </c>
      <c r="AF84" s="977">
        <f t="shared" ref="AF84:AG84" si="125">IFERROR(ABS(AF48)/ABS(AF66),"-")</f>
        <v>1</v>
      </c>
      <c r="AG84" s="975">
        <f t="shared" si="125"/>
        <v>1</v>
      </c>
      <c r="AH84" s="976" t="s">
        <v>150</v>
      </c>
      <c r="AI84" s="977">
        <f t="shared" ref="AI84:AJ84" si="126">IFERROR(ABS(AI48)/ABS(AI66),"-")</f>
        <v>1</v>
      </c>
      <c r="AJ84" s="975">
        <f t="shared" si="126"/>
        <v>1</v>
      </c>
      <c r="AK84" s="976" t="s">
        <v>150</v>
      </c>
      <c r="AL84" s="977">
        <f t="shared" ref="AL84:AM84" si="127">IFERROR(ABS(AL48)/ABS(AL66),"-")</f>
        <v>1</v>
      </c>
      <c r="AM84" s="975">
        <f t="shared" si="127"/>
        <v>1</v>
      </c>
      <c r="AN84" s="976" t="s">
        <v>150</v>
      </c>
      <c r="AO84" s="977">
        <f t="shared" ref="AO84:AP84" si="128">IFERROR(ABS(AO48)/ABS(AO66),"-")</f>
        <v>1</v>
      </c>
      <c r="AP84" s="975">
        <f t="shared" si="128"/>
        <v>1</v>
      </c>
      <c r="AQ84" s="976" t="s">
        <v>150</v>
      </c>
      <c r="AR84" s="977">
        <f t="shared" si="104"/>
        <v>1</v>
      </c>
      <c r="AS84" s="716"/>
    </row>
    <row r="85">
      <c r="A85" s="80"/>
      <c r="B85" s="81"/>
      <c r="C85" s="126"/>
      <c r="D85" s="81"/>
      <c r="E85" s="541"/>
      <c r="F85" s="982"/>
      <c r="G85" s="983"/>
      <c r="H85" s="984"/>
      <c r="I85" s="982"/>
      <c r="J85" s="983"/>
      <c r="K85" s="984"/>
      <c r="L85" s="982"/>
      <c r="M85" s="983"/>
      <c r="N85" s="984"/>
      <c r="O85" s="982"/>
      <c r="P85" s="983"/>
      <c r="Q85" s="984"/>
      <c r="R85" s="982"/>
      <c r="S85" s="983"/>
      <c r="T85" s="984"/>
      <c r="U85" s="982"/>
      <c r="V85" s="983"/>
      <c r="W85" s="984"/>
      <c r="X85" s="982"/>
      <c r="Y85" s="983"/>
      <c r="Z85" s="984"/>
      <c r="AA85" s="982"/>
      <c r="AB85" s="983"/>
      <c r="AC85" s="984"/>
      <c r="AD85" s="982"/>
      <c r="AE85" s="983"/>
      <c r="AF85" s="984"/>
      <c r="AG85" s="982"/>
      <c r="AH85" s="983"/>
      <c r="AI85" s="984"/>
      <c r="AJ85" s="982"/>
      <c r="AK85" s="983"/>
      <c r="AL85" s="984"/>
      <c r="AM85" s="982"/>
      <c r="AN85" s="983"/>
      <c r="AO85" s="984"/>
      <c r="AP85" s="982"/>
      <c r="AQ85" s="983"/>
      <c r="AR85" s="984"/>
      <c r="AS85" s="710"/>
    </row>
    <row r="86">
      <c r="A86" s="80"/>
      <c r="B86" s="81"/>
      <c r="C86" s="126" t="s">
        <v>957</v>
      </c>
      <c r="F86" s="987"/>
      <c r="G86" s="988"/>
      <c r="H86" s="989"/>
      <c r="I86" s="987"/>
      <c r="J86" s="988"/>
      <c r="K86" s="989"/>
      <c r="L86" s="987"/>
      <c r="M86" s="988"/>
      <c r="N86" s="989"/>
      <c r="O86" s="987"/>
      <c r="P86" s="988"/>
      <c r="Q86" s="989"/>
      <c r="R86" s="987"/>
      <c r="S86" s="988"/>
      <c r="T86" s="989"/>
      <c r="U86" s="987"/>
      <c r="V86" s="988"/>
      <c r="W86" s="989"/>
      <c r="X86" s="987"/>
      <c r="Y86" s="988"/>
      <c r="Z86" s="989"/>
      <c r="AA86" s="987"/>
      <c r="AB86" s="988"/>
      <c r="AC86" s="989"/>
      <c r="AD86" s="987"/>
      <c r="AE86" s="988"/>
      <c r="AF86" s="989"/>
      <c r="AG86" s="987"/>
      <c r="AH86" s="988"/>
      <c r="AI86" s="989"/>
      <c r="AJ86" s="987"/>
      <c r="AK86" s="988"/>
      <c r="AL86" s="989"/>
      <c r="AM86" s="987"/>
      <c r="AN86" s="988"/>
      <c r="AO86" s="989"/>
      <c r="AP86" s="987"/>
      <c r="AQ86" s="988"/>
      <c r="AR86" s="989"/>
      <c r="AS86" s="710"/>
    </row>
    <row r="87">
      <c r="A87" s="80"/>
      <c r="B87" s="81"/>
      <c r="C87" s="126"/>
      <c r="D87" s="81"/>
      <c r="E87" s="548" t="s">
        <v>959</v>
      </c>
      <c r="F87" s="954">
        <f t="shared" ref="F87:F89" si="141">IFERROR(ABS(F51)/ABS(F69),"-")</f>
        <v>0.2267847958</v>
      </c>
      <c r="G87" s="955" t="s">
        <v>150</v>
      </c>
      <c r="H87" s="957">
        <f t="shared" ref="H87:I87" si="129">IFERROR(ABS(H51)/ABS(H69),"-")</f>
        <v>0.2267847958</v>
      </c>
      <c r="I87" s="954">
        <f t="shared" si="129"/>
        <v>0.2060897358</v>
      </c>
      <c r="J87" s="955" t="s">
        <v>150</v>
      </c>
      <c r="K87" s="957">
        <f t="shared" ref="K87:L87" si="130">IFERROR(ABS(K51)/ABS(K69),"-")</f>
        <v>0.2060897358</v>
      </c>
      <c r="L87" s="954">
        <f t="shared" si="130"/>
        <v>0.2345024613</v>
      </c>
      <c r="M87" s="955" t="s">
        <v>150</v>
      </c>
      <c r="N87" s="957">
        <f t="shared" ref="N87:O87" si="131">IFERROR(ABS(N51)/ABS(N69),"-")</f>
        <v>0.2345024613</v>
      </c>
      <c r="O87" s="954">
        <f t="shared" si="131"/>
        <v>0.2113648711</v>
      </c>
      <c r="P87" s="955" t="s">
        <v>150</v>
      </c>
      <c r="Q87" s="957">
        <f t="shared" ref="Q87:R87" si="132">IFERROR(ABS(Q51)/ABS(Q69),"-")</f>
        <v>0.2113648711</v>
      </c>
      <c r="R87" s="954">
        <f t="shared" si="132"/>
        <v>0.2030574614</v>
      </c>
      <c r="S87" s="955" t="s">
        <v>150</v>
      </c>
      <c r="T87" s="957">
        <f t="shared" ref="T87:U87" si="133">IFERROR(ABS(T51)/ABS(T69),"-")</f>
        <v>0.2030574614</v>
      </c>
      <c r="U87" s="954">
        <f t="shared" si="133"/>
        <v>0.2587807355</v>
      </c>
      <c r="V87" s="955" t="s">
        <v>150</v>
      </c>
      <c r="W87" s="957">
        <f t="shared" ref="W87:X87" si="134">IFERROR(ABS(W51)/ABS(W69),"-")</f>
        <v>0.2587807355</v>
      </c>
      <c r="X87" s="954">
        <f t="shared" si="134"/>
        <v>0.2627585291</v>
      </c>
      <c r="Y87" s="955" t="s">
        <v>150</v>
      </c>
      <c r="Z87" s="957">
        <f t="shared" ref="Z87:AA87" si="135">IFERROR(ABS(Z51)/ABS(Z69),"-")</f>
        <v>0.2627585291</v>
      </c>
      <c r="AA87" s="954">
        <f t="shared" si="135"/>
        <v>0.2478126175</v>
      </c>
      <c r="AB87" s="955" t="s">
        <v>150</v>
      </c>
      <c r="AC87" s="957">
        <f t="shared" ref="AC87:AD87" si="136">IFERROR(ABS(AC51)/ABS(AC69),"-")</f>
        <v>0.2478126175</v>
      </c>
      <c r="AD87" s="954">
        <f t="shared" si="136"/>
        <v>0.2205905038</v>
      </c>
      <c r="AE87" s="955" t="s">
        <v>150</v>
      </c>
      <c r="AF87" s="957">
        <f t="shared" ref="AF87:AG87" si="137">IFERROR(ABS(AF51)/ABS(AF69),"-")</f>
        <v>0.2205905038</v>
      </c>
      <c r="AG87" s="954">
        <f t="shared" si="137"/>
        <v>0.1957354594</v>
      </c>
      <c r="AH87" s="955" t="s">
        <v>150</v>
      </c>
      <c r="AI87" s="957">
        <f t="shared" ref="AI87:AJ87" si="138">IFERROR(ABS(AI51)/ABS(AI69),"-")</f>
        <v>0.1957354594</v>
      </c>
      <c r="AJ87" s="954">
        <f t="shared" si="138"/>
        <v>0.2817501625</v>
      </c>
      <c r="AK87" s="955" t="s">
        <v>150</v>
      </c>
      <c r="AL87" s="957">
        <f t="shared" ref="AL87:AM87" si="139">IFERROR(ABS(AL51)/ABS(AL69),"-")</f>
        <v>0.2817501625</v>
      </c>
      <c r="AM87" s="954">
        <f t="shared" si="139"/>
        <v>0.2118142931</v>
      </c>
      <c r="AN87" s="955" t="s">
        <v>150</v>
      </c>
      <c r="AO87" s="957">
        <f t="shared" ref="AO87:AP87" si="140">IFERROR(ABS(AO51)/ABS(AO69),"-")</f>
        <v>0.2118142931</v>
      </c>
      <c r="AP87" s="954">
        <f t="shared" si="140"/>
        <v>0.3105626894</v>
      </c>
      <c r="AQ87" s="955" t="s">
        <v>150</v>
      </c>
      <c r="AR87" s="957">
        <f t="shared" ref="AR87:AR89" si="154">IFERROR(ABS(AR51)/ABS(AR69),"-")</f>
        <v>0.3105626894</v>
      </c>
      <c r="AS87" s="714"/>
    </row>
    <row r="88">
      <c r="A88" s="80"/>
      <c r="B88" s="81"/>
      <c r="C88" s="126"/>
      <c r="D88" s="81"/>
      <c r="E88" s="553" t="s">
        <v>962</v>
      </c>
      <c r="F88" s="963">
        <f t="shared" si="141"/>
        <v>0.2037815105</v>
      </c>
      <c r="G88" s="964" t="s">
        <v>150</v>
      </c>
      <c r="H88" s="966">
        <f t="shared" ref="H88:I88" si="142">IFERROR(ABS(H52)/ABS(H70),"-")</f>
        <v>0.2037815105</v>
      </c>
      <c r="I88" s="963">
        <f t="shared" si="142"/>
        <v>0.2076849886</v>
      </c>
      <c r="J88" s="964" t="s">
        <v>150</v>
      </c>
      <c r="K88" s="966">
        <f t="shared" ref="K88:L88" si="143">IFERROR(ABS(K52)/ABS(K70),"-")</f>
        <v>0.2076849886</v>
      </c>
      <c r="L88" s="963">
        <f t="shared" si="143"/>
        <v>0.2022532553</v>
      </c>
      <c r="M88" s="964" t="s">
        <v>150</v>
      </c>
      <c r="N88" s="966">
        <f t="shared" ref="N88:O88" si="144">IFERROR(ABS(N52)/ABS(N70),"-")</f>
        <v>0.2022532553</v>
      </c>
      <c r="O88" s="963">
        <f t="shared" si="144"/>
        <v>0.2070983089</v>
      </c>
      <c r="P88" s="964" t="s">
        <v>150</v>
      </c>
      <c r="Q88" s="966">
        <f t="shared" ref="Q88:R88" si="145">IFERROR(ABS(Q52)/ABS(Q70),"-")</f>
        <v>0.2070983089</v>
      </c>
      <c r="R88" s="963">
        <f t="shared" si="145"/>
        <v>0.2090043043</v>
      </c>
      <c r="S88" s="964" t="s">
        <v>150</v>
      </c>
      <c r="T88" s="966">
        <f t="shared" ref="T88:U88" si="146">IFERROR(ABS(T52)/ABS(T70),"-")</f>
        <v>0.2090043043</v>
      </c>
      <c r="U88" s="963">
        <f t="shared" si="146"/>
        <v>0.1983204757</v>
      </c>
      <c r="V88" s="964" t="s">
        <v>150</v>
      </c>
      <c r="W88" s="966">
        <f t="shared" ref="W88:X88" si="147">IFERROR(ABS(W52)/ABS(W70),"-")</f>
        <v>0.1983204757</v>
      </c>
      <c r="X88" s="963">
        <f t="shared" si="147"/>
        <v>0.1976898535</v>
      </c>
      <c r="Y88" s="964" t="s">
        <v>150</v>
      </c>
      <c r="Z88" s="966">
        <f t="shared" ref="Z88:AA88" si="148">IFERROR(ABS(Z52)/ABS(Z70),"-")</f>
        <v>0.1976898535</v>
      </c>
      <c r="AA88" s="963">
        <f t="shared" si="148"/>
        <v>0.2003699138</v>
      </c>
      <c r="AB88" s="964" t="s">
        <v>150</v>
      </c>
      <c r="AC88" s="966">
        <f t="shared" ref="AC88:AD88" si="149">IFERROR(ABS(AC52)/ABS(AC70),"-")</f>
        <v>0.2003699138</v>
      </c>
      <c r="AD88" s="963">
        <f t="shared" si="149"/>
        <v>0.2051730506</v>
      </c>
      <c r="AE88" s="964" t="s">
        <v>150</v>
      </c>
      <c r="AF88" s="966">
        <f t="shared" ref="AF88:AG88" si="150">IFERROR(ABS(AF52)/ABS(AF70),"-")</f>
        <v>0.2051730506</v>
      </c>
      <c r="AG88" s="963">
        <f t="shared" si="150"/>
        <v>0.2090802009</v>
      </c>
      <c r="AH88" s="964" t="s">
        <v>150</v>
      </c>
      <c r="AI88" s="966">
        <f t="shared" ref="AI88:AJ88" si="151">IFERROR(ABS(AI52)/ABS(AI70),"-")</f>
        <v>0.2090802009</v>
      </c>
      <c r="AJ88" s="963">
        <f t="shared" si="151"/>
        <v>0.1940675709</v>
      </c>
      <c r="AK88" s="964" t="s">
        <v>150</v>
      </c>
      <c r="AL88" s="966">
        <f t="shared" ref="AL88:AM88" si="152">IFERROR(ABS(AL52)/ABS(AL70),"-")</f>
        <v>0.1940675709</v>
      </c>
      <c r="AM88" s="963">
        <f t="shared" si="152"/>
        <v>0.2066064812</v>
      </c>
      <c r="AN88" s="964" t="s">
        <v>150</v>
      </c>
      <c r="AO88" s="966">
        <f t="shared" ref="AO88:AP88" si="153">IFERROR(ABS(AO52)/ABS(AO70),"-")</f>
        <v>0.2066064812</v>
      </c>
      <c r="AP88" s="963">
        <f t="shared" si="153"/>
        <v>0.1891331349</v>
      </c>
      <c r="AQ88" s="964" t="s">
        <v>150</v>
      </c>
      <c r="AR88" s="966">
        <f t="shared" si="154"/>
        <v>0.1891331349</v>
      </c>
      <c r="AS88" s="715"/>
    </row>
    <row r="89">
      <c r="A89" s="80"/>
      <c r="B89" s="81"/>
      <c r="C89" s="126"/>
      <c r="D89" s="81"/>
      <c r="E89" s="558" t="s">
        <v>963</v>
      </c>
      <c r="F89" s="975">
        <f t="shared" si="141"/>
        <v>0.02611930273</v>
      </c>
      <c r="G89" s="976" t="s">
        <v>150</v>
      </c>
      <c r="H89" s="977">
        <f t="shared" ref="H89:I89" si="155">IFERROR(ABS(H53)/ABS(H71),"-")</f>
        <v>0.02611930273</v>
      </c>
      <c r="I89" s="975">
        <f t="shared" si="155"/>
        <v>0.05699383084</v>
      </c>
      <c r="J89" s="976" t="s">
        <v>150</v>
      </c>
      <c r="K89" s="977">
        <f t="shared" ref="K89:L89" si="156">IFERROR(ABS(K53)/ABS(K71),"-")</f>
        <v>0.05699383084</v>
      </c>
      <c r="L89" s="975">
        <f t="shared" si="156"/>
        <v>0.03136572573</v>
      </c>
      <c r="M89" s="976" t="s">
        <v>150</v>
      </c>
      <c r="N89" s="977">
        <f t="shared" ref="N89:O89" si="157">IFERROR(ABS(N53)/ABS(N71),"-")</f>
        <v>0.03136572573</v>
      </c>
      <c r="O89" s="975">
        <f t="shared" si="157"/>
        <v>0.1068544698</v>
      </c>
      <c r="P89" s="976" t="s">
        <v>150</v>
      </c>
      <c r="Q89" s="977">
        <f t="shared" ref="Q89:R89" si="158">IFERROR(ABS(Q53)/ABS(Q71),"-")</f>
        <v>0.1068544698</v>
      </c>
      <c r="R89" s="975">
        <f t="shared" si="158"/>
        <v>0.04641365161</v>
      </c>
      <c r="S89" s="976" t="s">
        <v>150</v>
      </c>
      <c r="T89" s="977">
        <f t="shared" ref="T89:U89" si="159">IFERROR(ABS(T53)/ABS(T71),"-")</f>
        <v>0.04641365161</v>
      </c>
      <c r="U89" s="975">
        <f t="shared" si="159"/>
        <v>0.03015753499</v>
      </c>
      <c r="V89" s="976" t="s">
        <v>150</v>
      </c>
      <c r="W89" s="977">
        <f t="shared" ref="W89:X89" si="160">IFERROR(ABS(W53)/ABS(W71),"-")</f>
        <v>0.03015753499</v>
      </c>
      <c r="X89" s="975">
        <f t="shared" si="160"/>
        <v>0.01951267146</v>
      </c>
      <c r="Y89" s="976" t="s">
        <v>150</v>
      </c>
      <c r="Z89" s="977">
        <f t="shared" ref="Z89:AA89" si="161">IFERROR(ABS(Z53)/ABS(Z71),"-")</f>
        <v>0.01951267146</v>
      </c>
      <c r="AA89" s="975">
        <f t="shared" si="161"/>
        <v>0.01213130195</v>
      </c>
      <c r="AB89" s="976" t="s">
        <v>150</v>
      </c>
      <c r="AC89" s="977">
        <f t="shared" ref="AC89:AD89" si="162">IFERROR(ABS(AC53)/ABS(AC71),"-")</f>
        <v>0.01213130195</v>
      </c>
      <c r="AD89" s="975">
        <f t="shared" si="162"/>
        <v>0.01645932157</v>
      </c>
      <c r="AE89" s="976" t="s">
        <v>150</v>
      </c>
      <c r="AF89" s="977">
        <f t="shared" ref="AF89:AG89" si="163">IFERROR(ABS(AF53)/ABS(AF71),"-")</f>
        <v>0.01645932157</v>
      </c>
      <c r="AG89" s="975">
        <f t="shared" si="163"/>
        <v>0.1489188579</v>
      </c>
      <c r="AH89" s="976" t="s">
        <v>150</v>
      </c>
      <c r="AI89" s="977">
        <f t="shared" ref="AI89:AJ89" si="164">IFERROR(ABS(AI53)/ABS(AI71),"-")</f>
        <v>0.1489188579</v>
      </c>
      <c r="AJ89" s="975">
        <f t="shared" si="164"/>
        <v>0.07120146571</v>
      </c>
      <c r="AK89" s="976" t="s">
        <v>150</v>
      </c>
      <c r="AL89" s="977">
        <f t="shared" ref="AL89:AM89" si="165">IFERROR(ABS(AL53)/ABS(AL71),"-")</f>
        <v>0.07120146571</v>
      </c>
      <c r="AM89" s="975">
        <f t="shared" si="165"/>
        <v>0.07989003468</v>
      </c>
      <c r="AN89" s="976" t="s">
        <v>150</v>
      </c>
      <c r="AO89" s="977">
        <f t="shared" ref="AO89:AP89" si="166">IFERROR(ABS(AO53)/ABS(AO71),"-")</f>
        <v>0.07989003468</v>
      </c>
      <c r="AP89" s="975">
        <f t="shared" si="166"/>
        <v>0.09160554777</v>
      </c>
      <c r="AQ89" s="976" t="s">
        <v>150</v>
      </c>
      <c r="AR89" s="977">
        <f t="shared" si="154"/>
        <v>0.09160554777</v>
      </c>
      <c r="AS89" s="716"/>
    </row>
    <row r="90">
      <c r="A90" s="80"/>
      <c r="B90" s="81"/>
      <c r="C90" s="126"/>
      <c r="D90" s="81"/>
      <c r="E90" s="541"/>
      <c r="F90" s="982"/>
      <c r="G90" s="983"/>
      <c r="H90" s="984"/>
      <c r="I90" s="982"/>
      <c r="J90" s="983"/>
      <c r="K90" s="984"/>
      <c r="L90" s="982"/>
      <c r="M90" s="983"/>
      <c r="N90" s="984"/>
      <c r="O90" s="982"/>
      <c r="P90" s="983"/>
      <c r="Q90" s="984"/>
      <c r="R90" s="982"/>
      <c r="S90" s="983"/>
      <c r="T90" s="984"/>
      <c r="U90" s="982"/>
      <c r="V90" s="983"/>
      <c r="W90" s="984"/>
      <c r="X90" s="982"/>
      <c r="Y90" s="983"/>
      <c r="Z90" s="984"/>
      <c r="AA90" s="982"/>
      <c r="AB90" s="983"/>
      <c r="AC90" s="984"/>
      <c r="AD90" s="982"/>
      <c r="AE90" s="983"/>
      <c r="AF90" s="984"/>
      <c r="AG90" s="982"/>
      <c r="AH90" s="983"/>
      <c r="AI90" s="984"/>
      <c r="AJ90" s="982"/>
      <c r="AK90" s="983"/>
      <c r="AL90" s="984"/>
      <c r="AM90" s="982"/>
      <c r="AN90" s="983"/>
      <c r="AO90" s="984"/>
      <c r="AP90" s="982"/>
      <c r="AQ90" s="983"/>
      <c r="AR90" s="984"/>
      <c r="AS90" s="710"/>
    </row>
    <row r="91">
      <c r="A91" s="80"/>
      <c r="B91" s="81"/>
      <c r="C91" s="126" t="s">
        <v>969</v>
      </c>
      <c r="F91" s="982"/>
      <c r="G91" s="983"/>
      <c r="H91" s="984"/>
      <c r="I91" s="982"/>
      <c r="J91" s="983"/>
      <c r="K91" s="984"/>
      <c r="L91" s="982"/>
      <c r="M91" s="983"/>
      <c r="N91" s="984"/>
      <c r="O91" s="982"/>
      <c r="P91" s="983"/>
      <c r="Q91" s="984"/>
      <c r="R91" s="982"/>
      <c r="S91" s="983"/>
      <c r="T91" s="984"/>
      <c r="U91" s="982"/>
      <c r="V91" s="983"/>
      <c r="W91" s="984"/>
      <c r="X91" s="982"/>
      <c r="Y91" s="983"/>
      <c r="Z91" s="984"/>
      <c r="AA91" s="982"/>
      <c r="AB91" s="983"/>
      <c r="AC91" s="984"/>
      <c r="AD91" s="982"/>
      <c r="AE91" s="983"/>
      <c r="AF91" s="984"/>
      <c r="AG91" s="982"/>
      <c r="AH91" s="983"/>
      <c r="AI91" s="984"/>
      <c r="AJ91" s="982"/>
      <c r="AK91" s="983"/>
      <c r="AL91" s="984"/>
      <c r="AM91" s="982"/>
      <c r="AN91" s="983"/>
      <c r="AO91" s="984"/>
      <c r="AP91" s="982"/>
      <c r="AQ91" s="983"/>
      <c r="AR91" s="984"/>
      <c r="AS91" s="710"/>
    </row>
    <row r="92">
      <c r="A92" s="80"/>
      <c r="B92" s="81"/>
      <c r="C92" s="126"/>
      <c r="D92" s="81"/>
      <c r="E92" s="548" t="s">
        <v>971</v>
      </c>
      <c r="F92" s="954">
        <f t="shared" ref="F92:F94" si="179">IFERROR(ABS(F56)/ABS(F74),"-")</f>
        <v>0.2469879518</v>
      </c>
      <c r="G92" s="955" t="s">
        <v>150</v>
      </c>
      <c r="H92" s="957">
        <f t="shared" ref="H92:I92" si="167">IFERROR(ABS(H56)/ABS(H74),"-")</f>
        <v>0.2469879518</v>
      </c>
      <c r="I92" s="954">
        <f t="shared" si="167"/>
        <v>0.2469879518</v>
      </c>
      <c r="J92" s="955" t="s">
        <v>150</v>
      </c>
      <c r="K92" s="957">
        <f t="shared" ref="K92:L92" si="168">IFERROR(ABS(K56)/ABS(K74),"-")</f>
        <v>0.2469879518</v>
      </c>
      <c r="L92" s="954">
        <f t="shared" si="168"/>
        <v>0.2469879518</v>
      </c>
      <c r="M92" s="955" t="s">
        <v>150</v>
      </c>
      <c r="N92" s="957">
        <f t="shared" ref="N92:O92" si="169">IFERROR(ABS(N56)/ABS(N74),"-")</f>
        <v>0.2469879518</v>
      </c>
      <c r="O92" s="954">
        <f t="shared" si="169"/>
        <v>0.2469879518</v>
      </c>
      <c r="P92" s="955" t="s">
        <v>150</v>
      </c>
      <c r="Q92" s="957">
        <f t="shared" ref="Q92:R92" si="170">IFERROR(ABS(Q56)/ABS(Q74),"-")</f>
        <v>0.2469879518</v>
      </c>
      <c r="R92" s="954">
        <f t="shared" si="170"/>
        <v>0.2469879518</v>
      </c>
      <c r="S92" s="955" t="s">
        <v>150</v>
      </c>
      <c r="T92" s="957">
        <f t="shared" ref="T92:U92" si="171">IFERROR(ABS(T56)/ABS(T74),"-")</f>
        <v>0.2469879518</v>
      </c>
      <c r="U92" s="954">
        <f t="shared" si="171"/>
        <v>0.2469879518</v>
      </c>
      <c r="V92" s="955" t="s">
        <v>150</v>
      </c>
      <c r="W92" s="957">
        <f t="shared" ref="W92:X92" si="172">IFERROR(ABS(W56)/ABS(W74),"-")</f>
        <v>0.2469879518</v>
      </c>
      <c r="X92" s="954">
        <f t="shared" si="172"/>
        <v>0.2469879518</v>
      </c>
      <c r="Y92" s="955" t="s">
        <v>150</v>
      </c>
      <c r="Z92" s="957">
        <f t="shared" ref="Z92:AA92" si="173">IFERROR(ABS(Z56)/ABS(Z74),"-")</f>
        <v>0.2469879518</v>
      </c>
      <c r="AA92" s="954">
        <f t="shared" si="173"/>
        <v>0.2469879518</v>
      </c>
      <c r="AB92" s="955" t="s">
        <v>150</v>
      </c>
      <c r="AC92" s="957">
        <f t="shared" ref="AC92:AD92" si="174">IFERROR(ABS(AC56)/ABS(AC74),"-")</f>
        <v>0.2469879518</v>
      </c>
      <c r="AD92" s="954">
        <f t="shared" si="174"/>
        <v>0.2469879518</v>
      </c>
      <c r="AE92" s="955" t="s">
        <v>150</v>
      </c>
      <c r="AF92" s="957">
        <f t="shared" ref="AF92:AG92" si="175">IFERROR(ABS(AF56)/ABS(AF74),"-")</f>
        <v>0.2469879518</v>
      </c>
      <c r="AG92" s="954">
        <f t="shared" si="175"/>
        <v>0.2469879518</v>
      </c>
      <c r="AH92" s="955" t="s">
        <v>150</v>
      </c>
      <c r="AI92" s="957">
        <f t="shared" ref="AI92:AJ92" si="176">IFERROR(ABS(AI56)/ABS(AI74),"-")</f>
        <v>0.2469879518</v>
      </c>
      <c r="AJ92" s="954">
        <f t="shared" si="176"/>
        <v>0.2469879518</v>
      </c>
      <c r="AK92" s="955" t="s">
        <v>150</v>
      </c>
      <c r="AL92" s="957">
        <f t="shared" ref="AL92:AM92" si="177">IFERROR(ABS(AL56)/ABS(AL74),"-")</f>
        <v>0.2469879518</v>
      </c>
      <c r="AM92" s="954">
        <f t="shared" si="177"/>
        <v>0.2469879518</v>
      </c>
      <c r="AN92" s="955" t="s">
        <v>150</v>
      </c>
      <c r="AO92" s="957">
        <f t="shared" ref="AO92:AP92" si="178">IFERROR(ABS(AO56)/ABS(AO74),"-")</f>
        <v>0.2469879518</v>
      </c>
      <c r="AP92" s="954">
        <f t="shared" si="178"/>
        <v>0.2469879518</v>
      </c>
      <c r="AQ92" s="955" t="s">
        <v>150</v>
      </c>
      <c r="AR92" s="957">
        <f t="shared" ref="AR92:AR94" si="192">IFERROR(ABS(AR56)/ABS(AR74),"-")</f>
        <v>0.2469879518</v>
      </c>
      <c r="AS92" s="714"/>
    </row>
    <row r="93">
      <c r="A93" s="80"/>
      <c r="B93" s="81"/>
      <c r="C93" s="126"/>
      <c r="D93" s="81"/>
      <c r="E93" s="553" t="s">
        <v>972</v>
      </c>
      <c r="F93" s="963">
        <f t="shared" si="179"/>
        <v>0.0752688172</v>
      </c>
      <c r="G93" s="964" t="s">
        <v>150</v>
      </c>
      <c r="H93" s="966">
        <f t="shared" ref="H93:I93" si="180">IFERROR(ABS(H57)/ABS(H75),"-")</f>
        <v>0.0752688172</v>
      </c>
      <c r="I93" s="963">
        <f t="shared" si="180"/>
        <v>0.0752688172</v>
      </c>
      <c r="J93" s="964" t="s">
        <v>150</v>
      </c>
      <c r="K93" s="966">
        <f t="shared" ref="K93:L93" si="181">IFERROR(ABS(K57)/ABS(K75),"-")</f>
        <v>0.0752688172</v>
      </c>
      <c r="L93" s="963">
        <f t="shared" si="181"/>
        <v>0.0752688172</v>
      </c>
      <c r="M93" s="964" t="s">
        <v>150</v>
      </c>
      <c r="N93" s="966">
        <f t="shared" ref="N93:O93" si="182">IFERROR(ABS(N57)/ABS(N75),"-")</f>
        <v>0.0752688172</v>
      </c>
      <c r="O93" s="963">
        <f t="shared" si="182"/>
        <v>0.0752688172</v>
      </c>
      <c r="P93" s="964" t="s">
        <v>150</v>
      </c>
      <c r="Q93" s="966">
        <f t="shared" ref="Q93:R93" si="183">IFERROR(ABS(Q57)/ABS(Q75),"-")</f>
        <v>0.0752688172</v>
      </c>
      <c r="R93" s="963">
        <f t="shared" si="183"/>
        <v>0.0752688172</v>
      </c>
      <c r="S93" s="964" t="s">
        <v>150</v>
      </c>
      <c r="T93" s="966">
        <f t="shared" ref="T93:U93" si="184">IFERROR(ABS(T57)/ABS(T75),"-")</f>
        <v>0.0752688172</v>
      </c>
      <c r="U93" s="963">
        <f t="shared" si="184"/>
        <v>0.0752688172</v>
      </c>
      <c r="V93" s="964" t="s">
        <v>150</v>
      </c>
      <c r="W93" s="966">
        <f t="shared" ref="W93:X93" si="185">IFERROR(ABS(W57)/ABS(W75),"-")</f>
        <v>0.0752688172</v>
      </c>
      <c r="X93" s="963">
        <f t="shared" si="185"/>
        <v>0.0752688172</v>
      </c>
      <c r="Y93" s="964" t="s">
        <v>150</v>
      </c>
      <c r="Z93" s="966">
        <f t="shared" ref="Z93:AA93" si="186">IFERROR(ABS(Z57)/ABS(Z75),"-")</f>
        <v>0.0752688172</v>
      </c>
      <c r="AA93" s="963">
        <f t="shared" si="186"/>
        <v>0.0752688172</v>
      </c>
      <c r="AB93" s="964" t="s">
        <v>150</v>
      </c>
      <c r="AC93" s="966">
        <f t="shared" ref="AC93:AD93" si="187">IFERROR(ABS(AC57)/ABS(AC75),"-")</f>
        <v>0.0752688172</v>
      </c>
      <c r="AD93" s="963">
        <f t="shared" si="187"/>
        <v>0.0752688172</v>
      </c>
      <c r="AE93" s="964" t="s">
        <v>150</v>
      </c>
      <c r="AF93" s="966">
        <f t="shared" ref="AF93:AG93" si="188">IFERROR(ABS(AF57)/ABS(AF75),"-")</f>
        <v>0.0752688172</v>
      </c>
      <c r="AG93" s="963">
        <f t="shared" si="188"/>
        <v>0.0752688172</v>
      </c>
      <c r="AH93" s="964" t="s">
        <v>150</v>
      </c>
      <c r="AI93" s="966">
        <f t="shared" ref="AI93:AJ93" si="189">IFERROR(ABS(AI57)/ABS(AI75),"-")</f>
        <v>0.0752688172</v>
      </c>
      <c r="AJ93" s="963">
        <f t="shared" si="189"/>
        <v>0.0752688172</v>
      </c>
      <c r="AK93" s="964" t="s">
        <v>150</v>
      </c>
      <c r="AL93" s="966">
        <f t="shared" ref="AL93:AM93" si="190">IFERROR(ABS(AL57)/ABS(AL75),"-")</f>
        <v>0.0752688172</v>
      </c>
      <c r="AM93" s="963">
        <f t="shared" si="190"/>
        <v>0.0752688172</v>
      </c>
      <c r="AN93" s="964" t="s">
        <v>150</v>
      </c>
      <c r="AO93" s="966">
        <f t="shared" ref="AO93:AP93" si="191">IFERROR(ABS(AO57)/ABS(AO75),"-")</f>
        <v>0.0752688172</v>
      </c>
      <c r="AP93" s="963">
        <f t="shared" si="191"/>
        <v>0.0752688172</v>
      </c>
      <c r="AQ93" s="964" t="s">
        <v>150</v>
      </c>
      <c r="AR93" s="966">
        <f t="shared" si="192"/>
        <v>0.0752688172</v>
      </c>
      <c r="AS93" s="715"/>
    </row>
    <row r="94">
      <c r="A94" s="80"/>
      <c r="B94" s="81"/>
      <c r="C94" s="126"/>
      <c r="D94" s="81"/>
      <c r="E94" s="558" t="s">
        <v>975</v>
      </c>
      <c r="F94" s="975">
        <f t="shared" si="179"/>
        <v>0.1097333682</v>
      </c>
      <c r="G94" s="976" t="s">
        <v>150</v>
      </c>
      <c r="H94" s="977">
        <f t="shared" ref="H94:I94" si="193">IFERROR(ABS(H58)/ABS(H76),"-")</f>
        <v>0.1097333682</v>
      </c>
      <c r="I94" s="975">
        <f t="shared" si="193"/>
        <v>0.1032490104</v>
      </c>
      <c r="J94" s="976" t="s">
        <v>150</v>
      </c>
      <c r="K94" s="977">
        <f t="shared" ref="K94:L94" si="194">IFERROR(ABS(K58)/ABS(K76),"-")</f>
        <v>0.1032490104</v>
      </c>
      <c r="L94" s="975">
        <f t="shared" si="194"/>
        <v>0.1080151578</v>
      </c>
      <c r="M94" s="976" t="s">
        <v>150</v>
      </c>
      <c r="N94" s="977">
        <f t="shared" ref="N94:O94" si="195">IFERROR(ABS(N58)/ABS(N76),"-")</f>
        <v>0.1080151578</v>
      </c>
      <c r="O94" s="975">
        <f t="shared" si="195"/>
        <v>0.09271185019</v>
      </c>
      <c r="P94" s="976" t="s">
        <v>150</v>
      </c>
      <c r="Q94" s="977">
        <f t="shared" ref="Q94:R94" si="196">IFERROR(ABS(Q58)/ABS(Q76),"-")</f>
        <v>0.09271185019</v>
      </c>
      <c r="R94" s="975">
        <f t="shared" si="196"/>
        <v>0.1069164117</v>
      </c>
      <c r="S94" s="976" t="s">
        <v>150</v>
      </c>
      <c r="T94" s="977">
        <f t="shared" ref="T94:U94" si="197">IFERROR(ABS(T58)/ABS(T76),"-")</f>
        <v>0.1069164117</v>
      </c>
      <c r="U94" s="975">
        <f t="shared" si="197"/>
        <v>0.1102641611</v>
      </c>
      <c r="V94" s="976" t="s">
        <v>150</v>
      </c>
      <c r="W94" s="977">
        <f t="shared" ref="W94:X94" si="198">IFERROR(ABS(W58)/ABS(W76),"-")</f>
        <v>0.1102641611</v>
      </c>
      <c r="X94" s="975">
        <f t="shared" si="198"/>
        <v>0.1124817781</v>
      </c>
      <c r="Y94" s="976" t="s">
        <v>150</v>
      </c>
      <c r="Z94" s="977">
        <f t="shared" ref="Z94:AA94" si="199">IFERROR(ABS(Z58)/ABS(Z76),"-")</f>
        <v>0.1124817781</v>
      </c>
      <c r="AA94" s="975">
        <f t="shared" si="199"/>
        <v>0.1129258727</v>
      </c>
      <c r="AB94" s="976" t="s">
        <v>150</v>
      </c>
      <c r="AC94" s="977">
        <f t="shared" ref="AC94:AD94" si="200">IFERROR(ABS(AC58)/ABS(AC76),"-")</f>
        <v>0.1129258727</v>
      </c>
      <c r="AD94" s="975">
        <f t="shared" si="200"/>
        <v>0.1110873079</v>
      </c>
      <c r="AE94" s="976" t="s">
        <v>150</v>
      </c>
      <c r="AF94" s="977">
        <f t="shared" ref="AF94:AG94" si="201">IFERROR(ABS(AF58)/ABS(AF76),"-")</f>
        <v>0.1110873079</v>
      </c>
      <c r="AG94" s="975">
        <f t="shared" si="201"/>
        <v>0.07897705914</v>
      </c>
      <c r="AH94" s="976" t="s">
        <v>150</v>
      </c>
      <c r="AI94" s="977">
        <f t="shared" ref="AI94:AJ94" si="202">IFERROR(ABS(AI58)/ABS(AI76),"-")</f>
        <v>0.07897705914</v>
      </c>
      <c r="AJ94" s="975">
        <f t="shared" si="202"/>
        <v>0.1035685052</v>
      </c>
      <c r="AK94" s="976" t="s">
        <v>150</v>
      </c>
      <c r="AL94" s="977">
        <f t="shared" ref="AL94:AM94" si="203">IFERROR(ABS(AL58)/ABS(AL76),"-")</f>
        <v>0.1035685052</v>
      </c>
      <c r="AM94" s="975">
        <f t="shared" si="203"/>
        <v>0.09763720875</v>
      </c>
      <c r="AN94" s="976" t="s">
        <v>150</v>
      </c>
      <c r="AO94" s="977">
        <f t="shared" ref="AO94:AP94" si="204">IFERROR(ABS(AO58)/ABS(AO76),"-")</f>
        <v>0.09763720875</v>
      </c>
      <c r="AP94" s="975">
        <f t="shared" si="204"/>
        <v>0.09472969791</v>
      </c>
      <c r="AQ94" s="976" t="s">
        <v>150</v>
      </c>
      <c r="AR94" s="977">
        <f t="shared" si="192"/>
        <v>0.09472969791</v>
      </c>
      <c r="AS94" s="716"/>
    </row>
    <row r="95">
      <c r="A95" s="333"/>
      <c r="B95" s="334"/>
      <c r="C95" s="737"/>
      <c r="D95" s="334"/>
      <c r="E95" s="530"/>
      <c r="F95" s="1019"/>
      <c r="G95" s="1020"/>
      <c r="H95" s="1021"/>
      <c r="I95" s="1022"/>
      <c r="J95" s="1022"/>
      <c r="K95" s="1022"/>
      <c r="L95" s="1023"/>
      <c r="M95" s="1022"/>
      <c r="N95" s="1024"/>
      <c r="O95" s="1023"/>
      <c r="P95" s="1022"/>
      <c r="Q95" s="1024"/>
      <c r="R95" s="1023"/>
      <c r="S95" s="1022"/>
      <c r="T95" s="1024"/>
      <c r="U95" s="1023"/>
      <c r="V95" s="1022"/>
      <c r="W95" s="1024"/>
      <c r="X95" s="1023"/>
      <c r="Y95" s="1022"/>
      <c r="Z95" s="1024"/>
      <c r="AA95" s="1023"/>
      <c r="AB95" s="1022"/>
      <c r="AC95" s="1024"/>
      <c r="AD95" s="1023"/>
      <c r="AE95" s="1022"/>
      <c r="AF95" s="1024"/>
      <c r="AG95" s="1023"/>
      <c r="AH95" s="1022"/>
      <c r="AI95" s="1024"/>
      <c r="AJ95" s="1023"/>
      <c r="AK95" s="1022"/>
      <c r="AL95" s="1024"/>
      <c r="AM95" s="1023"/>
      <c r="AN95" s="1022"/>
      <c r="AO95" s="1024"/>
      <c r="AP95" s="1023"/>
      <c r="AQ95" s="1022"/>
      <c r="AR95" s="1024"/>
      <c r="AS95" s="711"/>
    </row>
  </sheetData>
  <mergeCells count="49">
    <mergeCell ref="A6:E6"/>
    <mergeCell ref="C8:E8"/>
    <mergeCell ref="C14:E14"/>
    <mergeCell ref="C19:E19"/>
    <mergeCell ref="A24:E24"/>
    <mergeCell ref="C26:E26"/>
    <mergeCell ref="C32:E32"/>
    <mergeCell ref="C68:E68"/>
    <mergeCell ref="C73:E73"/>
    <mergeCell ref="A78:E78"/>
    <mergeCell ref="C80:E80"/>
    <mergeCell ref="C86:E86"/>
    <mergeCell ref="C91:E91"/>
    <mergeCell ref="C37:E37"/>
    <mergeCell ref="A42:E42"/>
    <mergeCell ref="C44:E44"/>
    <mergeCell ref="C50:E50"/>
    <mergeCell ref="C55:E55"/>
    <mergeCell ref="A60:E60"/>
    <mergeCell ref="C62:E62"/>
    <mergeCell ref="AA2:AC2"/>
    <mergeCell ref="AD2:AF2"/>
    <mergeCell ref="AG2:AI2"/>
    <mergeCell ref="AJ2:AL2"/>
    <mergeCell ref="AM2:AO2"/>
    <mergeCell ref="AP2:AR2"/>
    <mergeCell ref="F1:AF1"/>
    <mergeCell ref="AG1:AR1"/>
    <mergeCell ref="F2:H2"/>
    <mergeCell ref="I2:K2"/>
    <mergeCell ref="L2:N2"/>
    <mergeCell ref="O2:Q2"/>
    <mergeCell ref="R2:T2"/>
    <mergeCell ref="R3:T3"/>
    <mergeCell ref="U3:W3"/>
    <mergeCell ref="X3:Z3"/>
    <mergeCell ref="AA3:AC3"/>
    <mergeCell ref="AD3:AF3"/>
    <mergeCell ref="AG3:AI3"/>
    <mergeCell ref="AJ3:AL3"/>
    <mergeCell ref="AM3:AO3"/>
    <mergeCell ref="AP3:AR3"/>
    <mergeCell ref="U2:W2"/>
    <mergeCell ref="X2:Z2"/>
    <mergeCell ref="A3:E3"/>
    <mergeCell ref="F3:H3"/>
    <mergeCell ref="I3:K3"/>
    <mergeCell ref="L3:N3"/>
    <mergeCell ref="O3:Q3"/>
  </mergeCells>
  <conditionalFormatting sqref="F63:AR76">
    <cfRule type="colorScale" priority="1">
      <colorScale>
        <cfvo type="formula" val="-1"/>
        <cfvo type="formula" val="0"/>
        <cfvo type="formula" val="1"/>
        <color rgb="FFFFD966"/>
        <color rgb="FFFFFFFF"/>
        <color rgb="FFFFD966"/>
      </colorScale>
    </cfRule>
  </conditionalFormatting>
  <conditionalFormatting sqref="F81:AR94">
    <cfRule type="colorScale" priority="2">
      <colorScale>
        <cfvo type="formula" val="0"/>
        <cfvo type="formula" val="3"/>
        <color rgb="FFFFFFFF"/>
        <color rgb="FF8E7CC3"/>
      </colorScale>
    </cfRule>
  </conditionalFormatting>
  <conditionalFormatting sqref="F45:AR58">
    <cfRule type="colorScale" priority="3">
      <colorScale>
        <cfvo type="formula" val="-1"/>
        <cfvo type="formula" val="0"/>
        <cfvo type="formula" val="1"/>
        <color rgb="FFE06666"/>
        <color rgb="FFFFFFFF"/>
        <color rgb="FF6FA8DC"/>
      </colorScale>
    </cfRule>
  </conditionalFormatting>
  <drawing r:id="rId2"/>
  <legacyDrawing r:id="rId3"/>
</worksheet>
</file>