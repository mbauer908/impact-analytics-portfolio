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we think about moral weight" sheetId="1" r:id="rId5"/>
    <sheet state="visible" name="Your moral weights" sheetId="2" r:id="rId6"/>
    <sheet state="visible" name="Cost-effectiveness of top chari" sheetId="3" r:id="rId7"/>
  </sheets>
  <definedNames>
    <definedName hidden="1" localSheetId="1" name="_xlnm._FilterDatabase">'Your moral weights'!$M$5:$Q$92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Selecting "Allow access" will give your copy of the Google Sheet permission to pull information from GiveWell's cost-effectiveness analyses Google Sheets into your sheet.
Selecting "Allow access" will not allow GiveWell or Google Sheets to access your personal computer in any way.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
      <text>
        <t xml:space="preserve">We use different moral weights for under-5 deaths averted by different interventions because the age breakdown of deaths differs by cause.</t>
      </text>
    </comment>
    <comment authorId="0" ref="K5">
      <text>
        <t xml:space="preserve">Our cost-effectiveness analysis for vitamin A supplementation only takes into account deaths averted among people under age 5. We exclude deaths occurring in the first month of age from this analysis because only children 6 months old or older are eligible to receive VAS.</t>
      </text>
    </comment>
    <comment authorId="0" ref="E10">
      <text>
        <t xml:space="preserve">We use different moral weights for different interventions because the age breakdown of deaths differs by cause.</t>
      </text>
    </comment>
    <comment authorId="0" ref="E24">
      <text>
        <t xml:space="preserve">We use different moral weights for different interventions because the age breakdown of deaths differs by cause.</t>
      </text>
    </comment>
  </commentList>
</comments>
</file>

<file path=xl/sharedStrings.xml><?xml version="1.0" encoding="utf-8"?>
<sst xmlns="http://schemas.openxmlformats.org/spreadsheetml/2006/main" count="544" uniqueCount="155">
  <si>
    <r>
      <rPr>
        <b/>
      </rPr>
      <t xml:space="preserve">How GiveWell thinks about moral weights
</t>
    </r>
    <r>
      <rPr/>
      <t xml:space="preserve">GiveWell's "moral weights" are a set of subjective numerical values that represent how much value we place on different types of outcomes achieved by the programs we fund, like increasing consumption and averting mortalities. We use moral weights so we can directly compare the cost-effectiveness of programs that achieve different types of outcomes. You can read more about how we arrived at the moral weights we use in our cost-effectiveness analyses in this write-up: </t>
    </r>
    <r>
      <rPr>
        <color rgb="FF1155CC"/>
        <u/>
      </rPr>
      <t>GiveWell's 2020 moral weights</t>
    </r>
    <r>
      <rPr/>
      <t xml:space="preserve">. You can read more about how we use cost-effectiveness estimates in our grantmaking on this page: </t>
    </r>
    <r>
      <rPr>
        <color rgb="FF1155CC"/>
        <u/>
      </rPr>
      <t>How We Use Cost-Effectiveness Estimates in Our Grantmaking</t>
    </r>
    <r>
      <rPr/>
      <t>.</t>
    </r>
  </si>
  <si>
    <r>
      <rPr>
        <rFont val="Arial"/>
        <b/>
        <color theme="1"/>
      </rPr>
      <t>How to use this tool:</t>
    </r>
    <r>
      <rPr>
        <rFont val="Arial"/>
        <color theme="1"/>
      </rPr>
      <t xml:space="preserve"> This tool lets you to explore how cost-effective GiveWell's top charity programs would be if our analyses were build on your intuitions about moral weights instead of ours. There are two major factors informing our framework for moral weights: (1) how highly we value averting deaths relative to increasing consumption, and (2) how highly we value averting deaths at different ages. 
In the leftmost table, you will see three options for turning your moral intuitions in moral weight values that can be plugged into our cost-effectiveness analysis. We recommend using Option 1 if you're mostly interested in updating how highly deaths averted are weighted relative to increasing consumption. For Option 1, you just need to enter a value into Cell C9 in the leftmost table. We recommend Option 2 if you'd prefer to enter all of your moral weight values for different interventions and age groups manually. We've also included an Option 3 if you're interested in changing how deaths averted are weighted at different ages at a more granular level. For Option 3, you should enter your moral weights into the center table. The default option is Option 1. If you'd like to input your moral weights using Options 2 or 3, scroll down to the bottom of the leftmost table and select your desired option from the dropdown in the bottom row. 
Once you've entered your moral weights, the rightmost table will populate with the cost-effectiveness of GiveWell's top charity programs using your chosen moral weights! You can sort the programs by charity, country, or cost-effectiveness using the filters in the header row.</t>
    </r>
  </si>
  <si>
    <t>https://docs.google.com/spreadsheets/d/1VEtie59TgRvZSEVjfG7qcKBKcQyJn8zO91Lau9YNqXc/edit?usp=sharing</t>
  </si>
  <si>
    <t>Description</t>
  </si>
  <si>
    <r>
      <rPr>
        <rFont val="Arial"/>
        <b/>
        <color theme="1"/>
      </rPr>
      <t xml:space="preserve">Important! </t>
    </r>
    <r>
      <rPr>
        <rFont val="Arial"/>
        <b val="0"/>
        <color theme="1"/>
      </rPr>
      <t xml:space="preserve">After you've made a copy of this workbook, you may need to click on the "#REF" cell to the right of this textbox and select </t>
    </r>
    <r>
      <rPr>
        <rFont val="Arial"/>
        <b/>
        <color theme="1"/>
      </rPr>
      <t>"Allow access"</t>
    </r>
  </si>
  <si>
    <t>Against Malaria Foundation CEA</t>
  </si>
  <si>
    <t>Your value</t>
  </si>
  <si>
    <t>GW's value</t>
  </si>
  <si>
    <t>Explanation</t>
  </si>
  <si>
    <t>➞</t>
  </si>
  <si>
    <t>Value of averting mortalities by age</t>
  </si>
  <si>
    <t>https://docs.google.com/spreadsheets/d/1fUZFe-pDvRqXdZVnyvCUdKYs7BgX9S7a5qBEVwwqrzQ/edit?usp=sharing</t>
  </si>
  <si>
    <t>Malaria Consortium CEA</t>
  </si>
  <si>
    <t>How GiveWell's top charity programs stack up using your moral weights</t>
  </si>
  <si>
    <t>Increasing consumption</t>
  </si>
  <si>
    <t>https://docs.google.com/spreadsheets/d/1NcR1RR3WyCqSjbqgPHuafNXtm4hSeIz66eZlX69k_80/edit?usp=sharing</t>
  </si>
  <si>
    <t>Helen Keller International CEA</t>
  </si>
  <si>
    <t>https://docs.google.com/spreadsheets/d/11WUg59i_kWye42fO45cpMmD-O0wFX_CioJl0D19Suyg/edit?usp=sharing</t>
  </si>
  <si>
    <t>Age</t>
  </si>
  <si>
    <t>New Incentives CEA</t>
  </si>
  <si>
    <t>Your moral weights</t>
  </si>
  <si>
    <t>GW's moral weights</t>
  </si>
  <si>
    <t>% of malaria deaths</t>
  </si>
  <si>
    <t>% of deaths for VAS</t>
  </si>
  <si>
    <t>Charity</t>
  </si>
  <si>
    <t>Country</t>
  </si>
  <si>
    <t>Against Malaria Foundation</t>
  </si>
  <si>
    <t>Region</t>
  </si>
  <si>
    <t>Cost-effectiveness in "x cash" using GW weights</t>
  </si>
  <si>
    <t>Cost-effectiveness in "x cash" using your weights</t>
  </si>
  <si>
    <t>Value of doubling one person's consumption for one year</t>
  </si>
  <si>
    <t>Malaria Consortium</t>
  </si>
  <si>
    <t>It's best to leave this value at 1, as it will be the benchmark for the rest of your moral weights!</t>
  </si>
  <si>
    <t>&lt;1 week</t>
  </si>
  <si>
    <t>-</t>
  </si>
  <si>
    <t>Helen Keller International</t>
  </si>
  <si>
    <t>Niger</t>
  </si>
  <si>
    <t>New Incentives – current states of operation</t>
  </si>
  <si>
    <t>New Incentives – prospective states</t>
  </si>
  <si>
    <t>Derived value of increasing ln(consumption) by one unit</t>
  </si>
  <si>
    <t>This value is calculated. No need to update!</t>
  </si>
  <si>
    <t>1 week to 1 month</t>
  </si>
  <si>
    <t>New Incentives</t>
  </si>
  <si>
    <t>Nigeria</t>
  </si>
  <si>
    <t>Sokoto</t>
  </si>
  <si>
    <t>Averting mortalities (Option 1: Using a simple comparison between income and mortality)</t>
  </si>
  <si>
    <t>1 month to 1 year</t>
  </si>
  <si>
    <t>Zamfara</t>
  </si>
  <si>
    <t>Desired ratio of your moral weights for mortalities averted relative to consumpion increases compared to GiveWell's</t>
  </si>
  <si>
    <t>I would like to value consumption increases at ___x what GiveWell does</t>
  </si>
  <si>
    <t>1-4 years</t>
  </si>
  <si>
    <t>Mali</t>
  </si>
  <si>
    <t>Value of averting the death of a person under age 5 for malaria interventions</t>
  </si>
  <si>
    <t>For option 1, these values are calculated. No need to update!</t>
  </si>
  <si>
    <t>5-9 years</t>
  </si>
  <si>
    <t>Kebbi</t>
  </si>
  <si>
    <t>Value of averting the death of a person under age 5 for vitamin A supplementation</t>
  </si>
  <si>
    <t>10-14 years</t>
  </si>
  <si>
    <t>Value of averting the death of a person age 5 or older for malaria interventions</t>
  </si>
  <si>
    <t>15-19 years</t>
  </si>
  <si>
    <t>Value of averting the death of a person age 5 through 14 for vaccine interventions</t>
  </si>
  <si>
    <t>20-24 years</t>
  </si>
  <si>
    <t>Taraba</t>
  </si>
  <si>
    <t>Value of averting the death of a person age 15 through 49 for vaccine interventions</t>
  </si>
  <si>
    <t>25-29 years</t>
  </si>
  <si>
    <t>Oyo</t>
  </si>
  <si>
    <t>Value of averting the death of a person age 50 through 74 for vaccine interventions</t>
  </si>
  <si>
    <t>30-34 years</t>
  </si>
  <si>
    <t>Bauchi</t>
  </si>
  <si>
    <t>Averting mortalities (Option 2: Using all manual inputs)</t>
  </si>
  <si>
    <t>Chad</t>
  </si>
  <si>
    <t>35-39 years</t>
  </si>
  <si>
    <t>DRC</t>
  </si>
  <si>
    <t>Guinea</t>
  </si>
  <si>
    <t>South Sudan</t>
  </si>
  <si>
    <t>Togo</t>
  </si>
  <si>
    <t>Uganda</t>
  </si>
  <si>
    <t>Burkina Faso</t>
  </si>
  <si>
    <t>Mozambique</t>
  </si>
  <si>
    <t>Averting one of these deaths is morally equivalent to doubling ___ people's consumption for one year.</t>
  </si>
  <si>
    <t>40-44 years</t>
  </si>
  <si>
    <t>Cameroon</t>
  </si>
  <si>
    <t>Côte d'Ivoire</t>
  </si>
  <si>
    <t>Kenya</t>
  </si>
  <si>
    <t>45-49 years</t>
  </si>
  <si>
    <t>Madagascar</t>
  </si>
  <si>
    <t>Nasarawa</t>
  </si>
  <si>
    <t>50-54 years</t>
  </si>
  <si>
    <t>Adamawa</t>
  </si>
  <si>
    <t>55-59 years</t>
  </si>
  <si>
    <t>60-64 years</t>
  </si>
  <si>
    <t>Kogi</t>
  </si>
  <si>
    <t>65-69 years</t>
  </si>
  <si>
    <t>Katsina</t>
  </si>
  <si>
    <t>Averting mortalities (Option 3: Using a custom age breakdown)</t>
  </si>
  <si>
    <t>70-74 years</t>
  </si>
  <si>
    <t>Jigawa</t>
  </si>
  <si>
    <t>GF states</t>
  </si>
  <si>
    <t>PMI states</t>
  </si>
  <si>
    <t>Haut-Katanga</t>
  </si>
  <si>
    <t>Haut-Lomami</t>
  </si>
  <si>
    <t>Lualaba</t>
  </si>
  <si>
    <t>Tanganyika</t>
  </si>
  <si>
    <t>Nampula</t>
  </si>
  <si>
    <t>Borno</t>
  </si>
  <si>
    <t>FCT (Abuja)</t>
  </si>
  <si>
    <t>For option 3, these values are calculated using the values you enter in the age breakdown table to the right. No need to update!</t>
  </si>
  <si>
    <t>Plateau</t>
  </si>
  <si>
    <t>75-79 yeras</t>
  </si>
  <si>
    <t>Karamoja</t>
  </si>
  <si>
    <t>Akwa Ibom</t>
  </si>
  <si>
    <t>Anambra</t>
  </si>
  <si>
    <t>Benue</t>
  </si>
  <si>
    <t>Delta</t>
  </si>
  <si>
    <t>Ebonyi</t>
  </si>
  <si>
    <t>Edo</t>
  </si>
  <si>
    <t>Ekiti</t>
  </si>
  <si>
    <t>Imo</t>
  </si>
  <si>
    <t>Ogun</t>
  </si>
  <si>
    <t>Osun</t>
  </si>
  <si>
    <t>Rivers</t>
  </si>
  <si>
    <t>Gombe</t>
  </si>
  <si>
    <t>Kaduna</t>
  </si>
  <si>
    <t>Kano</t>
  </si>
  <si>
    <t>80-84 years</t>
  </si>
  <si>
    <t>Abia</t>
  </si>
  <si>
    <t>Bayelsa</t>
  </si>
  <si>
    <t>Cross River</t>
  </si>
  <si>
    <t>Enugu</t>
  </si>
  <si>
    <t>FCT</t>
  </si>
  <si>
    <t>Kwara</t>
  </si>
  <si>
    <t>Lagos</t>
  </si>
  <si>
    <t>Ondo</t>
  </si>
  <si>
    <t>Yobe</t>
  </si>
  <si>
    <t>&gt;85 years</t>
  </si>
  <si>
    <t>Outcomes achieved by a $1,000,000 donation</t>
  </si>
  <si>
    <t>Mortalities averted among people under age 5</t>
  </si>
  <si>
    <t>Which of the above options did you use?</t>
  </si>
  <si>
    <t>Option 1</t>
  </si>
  <si>
    <t>Mortalities averted among people over age 5</t>
  </si>
  <si>
    <t>Mortalities averted among people age 5 through 14</t>
  </si>
  <si>
    <t>Mortalities averted among people age 15 through age 49</t>
  </si>
  <si>
    <t>Mortalities averted among people age 50 through age 74</t>
  </si>
  <si>
    <t>Increases in lifetime consumption measured in ln($)</t>
  </si>
  <si>
    <t>Moral weights GiveWell assigns to each outcome</t>
  </si>
  <si>
    <t>Moral weights you assigned to each outcome</t>
  </si>
  <si>
    <t>Final adjustments</t>
  </si>
  <si>
    <t>Supplemental grantee-level adjustments</t>
  </si>
  <si>
    <t>Supplemental intervention-level adjustments</t>
  </si>
  <si>
    <t>Leverage and funging adjustment</t>
  </si>
  <si>
    <t>Cost-effectiveness of conditional cash transfers</t>
  </si>
  <si>
    <t>Value generated by a $1,000,000 donation to GiveDirectly</t>
  </si>
  <si>
    <t>Cost-effectiveness before final adjustments</t>
  </si>
  <si>
    <t>Cost-effectiveness using GiveWell's moral weights</t>
  </si>
  <si>
    <t>Cost-effectiveness using your moral weights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</si>
</sst>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u/>
      <color rgb="FF0000FF"/>
    </font>
    <font/>
    <font>
      <color theme="1"/>
      <name val="Arial"/>
      <scheme val="minor"/>
    </font>
    <font>
      <b/>
      <color theme="1"/>
      <name val="Arial"/>
      <scheme val="minor"/>
    </font>
    <font>
      <sz val="29.0"/>
      <color theme="1"/>
      <name val="Arial"/>
      <scheme val="minor"/>
    </font>
  </fonts>
  <fills count="14">
    <fill>
      <patternFill patternType="none"/>
    </fill>
    <fill>
      <patternFill patternType="lightGray"/>
    </fill>
    <fill>
      <patternFill patternType="solid">
        <fgColor rgb="FFBAD2DE"/>
        <bgColor rgb="FFBAD2DE"/>
      </patternFill>
    </fill>
    <fill>
      <patternFill patternType="solid">
        <fgColor rgb="FFF4CCCC"/>
        <bgColor rgb="FFF4CCCC"/>
      </patternFill>
    </fill>
    <fill>
      <patternFill patternType="solid">
        <fgColor rgb="FFE8F0F4"/>
        <bgColor rgb="FFE8F0F4"/>
      </patternFill>
    </fill>
    <fill>
      <patternFill patternType="solid">
        <fgColor rgb="FFEFEFEF"/>
        <bgColor rgb="FFEFEFEF"/>
      </patternFill>
    </fill>
    <fill>
      <patternFill patternType="solid">
        <fgColor rgb="FFD9D9D9"/>
        <bgColor rgb="FFD9D9D9"/>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EA9999"/>
        <bgColor rgb="FFEA9999"/>
      </patternFill>
    </fill>
    <fill>
      <patternFill patternType="solid">
        <fgColor rgb="FFFFE599"/>
        <bgColor rgb="FFFFE599"/>
      </patternFill>
    </fill>
    <fill>
      <patternFill patternType="solid">
        <fgColor rgb="FFA2C4C9"/>
        <bgColor rgb="FFA2C4C9"/>
      </patternFill>
    </fill>
    <fill>
      <patternFill patternType="solid">
        <fgColor rgb="FFB4A7D6"/>
        <bgColor rgb="FFB4A7D6"/>
      </patternFill>
    </fill>
  </fills>
  <borders count="81">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000000"/>
      </left>
      <right style="thin">
        <color rgb="FF999999"/>
      </right>
      <top style="thin">
        <color rgb="FF000000"/>
      </top>
      <bottom style="thin">
        <color rgb="FF999999"/>
      </bottom>
    </border>
    <border>
      <left style="medium">
        <color rgb="FFCC0000"/>
      </left>
      <top style="medium">
        <color rgb="FFCC0000"/>
      </top>
    </border>
    <border>
      <left style="thin">
        <color rgb="FF999999"/>
      </left>
      <right style="thin">
        <color rgb="FF999999"/>
      </right>
      <top style="thin">
        <color rgb="FF000000"/>
      </top>
      <bottom style="thin">
        <color rgb="FF999999"/>
      </bottom>
    </border>
    <border>
      <top style="medium">
        <color rgb="FFCC0000"/>
      </top>
    </border>
    <border>
      <right style="medium">
        <color rgb="FFCC0000"/>
      </right>
      <top style="medium">
        <color rgb="FFCC0000"/>
      </top>
    </border>
    <border>
      <left style="thin">
        <color rgb="FF999999"/>
      </left>
      <right style="thin">
        <color rgb="FF000000"/>
      </right>
      <top style="thin">
        <color rgb="FF000000"/>
      </top>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medium">
        <color rgb="FFCC0000"/>
      </left>
      <right style="medium">
        <color rgb="FFCC0000"/>
      </right>
      <top style="medium">
        <color rgb="FFCC0000"/>
      </top>
    </border>
    <border>
      <left style="medium">
        <color rgb="FFCC0000"/>
      </left>
      <bottom style="medium">
        <color rgb="FFCC0000"/>
      </bottom>
    </border>
    <border>
      <bottom style="medium">
        <color rgb="FFCC0000"/>
      </bottom>
    </border>
    <border>
      <left style="thin">
        <color rgb="FF000000"/>
      </left>
      <top style="thin">
        <color rgb="FF999999"/>
      </top>
      <bottom style="thin">
        <color rgb="FF999999"/>
      </bottom>
    </border>
    <border>
      <right style="medium">
        <color rgb="FFCC0000"/>
      </right>
      <bottom style="medium">
        <color rgb="FFCC0000"/>
      </bottom>
    </border>
    <border>
      <top style="thin">
        <color rgb="FF999999"/>
      </top>
      <bottom style="thin">
        <color rgb="FF999999"/>
      </bottom>
    </border>
    <border>
      <left style="medium">
        <color rgb="FFCC0000"/>
      </left>
      <right style="medium">
        <color rgb="FFCC0000"/>
      </right>
      <bottom style="medium">
        <color rgb="FFCC0000"/>
      </bottom>
    </border>
    <border>
      <right style="thin">
        <color rgb="FF000000"/>
      </right>
      <top style="thin">
        <color rgb="FF999999"/>
      </top>
      <bottom style="thin">
        <color rgb="FF999999"/>
      </bottom>
    </border>
    <border>
      <left style="thin">
        <color rgb="FF000000"/>
      </left>
      <right style="thin">
        <color rgb="FF999999"/>
      </right>
      <bottom style="thin">
        <color rgb="FF999999"/>
      </bottom>
    </border>
    <border>
      <left style="thin">
        <color rgb="FF999999"/>
      </left>
      <right style="thin">
        <color rgb="FF999999"/>
      </right>
      <bottom style="thin">
        <color rgb="FF999999"/>
      </bottom>
    </border>
    <border>
      <left style="thin">
        <color rgb="FF000000"/>
      </left>
      <top style="thin">
        <color rgb="FF000000"/>
      </top>
    </border>
    <border>
      <left style="thin">
        <color rgb="FF999999"/>
      </left>
      <right style="thin">
        <color rgb="FF000000"/>
      </right>
      <bottom style="thin">
        <color rgb="FF999999"/>
      </bottom>
    </border>
    <border>
      <right style="thin">
        <color rgb="FF999999"/>
      </right>
      <top style="thin">
        <color rgb="FF000000"/>
      </top>
    </border>
    <border>
      <left style="medium">
        <color rgb="FF000000"/>
      </left>
      <right style="thin">
        <color rgb="FF999999"/>
      </right>
      <bottom style="thin">
        <color rgb="FF999999"/>
      </bottom>
    </border>
    <border>
      <left style="thin">
        <color rgb="FF999999"/>
      </left>
      <bottom style="thin">
        <color rgb="FF999999"/>
      </bottom>
    </border>
    <border>
      <left style="thin">
        <color rgb="FF999999"/>
      </left>
      <top style="thin">
        <color rgb="FF000000"/>
      </top>
      <bottom style="thin">
        <color rgb="FF999999"/>
      </bottom>
    </border>
    <border>
      <left style="thin">
        <color rgb="FF999999"/>
      </left>
      <right style="medium">
        <color rgb="FF000000"/>
      </right>
      <bottom style="thin">
        <color rgb="FF999999"/>
      </bottom>
    </border>
    <border>
      <left style="thin">
        <color rgb="FF000000"/>
      </left>
      <right style="thin">
        <color rgb="FF999999"/>
      </right>
      <bottom style="thin">
        <color rgb="FFCCCCCC"/>
      </bottom>
    </border>
    <border>
      <right style="thin">
        <color rgb="FF999999"/>
      </right>
      <top style="thin">
        <color rgb="FF000000"/>
      </top>
      <bottom style="thin">
        <color rgb="FF999999"/>
      </bottom>
    </border>
    <border>
      <left style="thin">
        <color rgb="FF999999"/>
      </left>
      <right style="thin">
        <color rgb="FF999999"/>
      </right>
      <bottom style="thin">
        <color rgb="FFCCCCCC"/>
      </bottom>
    </border>
    <border>
      <left style="thin">
        <color rgb="FF999999"/>
      </left>
      <right style="thin">
        <color rgb="FF000000"/>
      </right>
      <bottom style="thin">
        <color rgb="FFCCCCCC"/>
      </bottom>
    </border>
    <border>
      <left style="medium">
        <color rgb="FF000000"/>
      </left>
      <right style="thin">
        <color rgb="FF999999"/>
      </right>
      <bottom style="thin">
        <color rgb="FFCCCCCC"/>
      </bottom>
    </border>
    <border>
      <left style="thin">
        <color rgb="FF999999"/>
      </left>
      <bottom style="thin">
        <color rgb="FFCCCCCC"/>
      </bottom>
    </border>
    <border>
      <left style="thin">
        <color rgb="FF999999"/>
      </left>
      <right style="medium">
        <color rgb="FF000000"/>
      </right>
      <bottom style="thin">
        <color rgb="FFCCCCCC"/>
      </bottom>
    </border>
    <border>
      <left style="thin">
        <color rgb="FF000000"/>
      </left>
      <right style="thin">
        <color rgb="FF999999"/>
      </right>
      <top style="thin">
        <color rgb="FFCCCCCC"/>
      </top>
    </border>
    <border>
      <left style="thin">
        <color rgb="FF999999"/>
      </left>
      <right style="thin">
        <color rgb="FF999999"/>
      </right>
      <top style="thin">
        <color rgb="FFCCCCCC"/>
      </top>
    </border>
    <border>
      <left style="thin">
        <color rgb="FF000000"/>
      </left>
    </border>
    <border>
      <left style="thin">
        <color rgb="FF999999"/>
      </left>
      <right style="thin">
        <color rgb="FF000000"/>
      </right>
      <top style="thin">
        <color rgb="FFCCCCCC"/>
      </top>
    </border>
    <border>
      <left style="thin">
        <color rgb="FF000000"/>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border>
    <border>
      <left style="thin">
        <color rgb="FF999999"/>
      </left>
      <right style="thin">
        <color rgb="FF000000"/>
      </right>
      <top style="thin">
        <color rgb="FFCCCCCC"/>
      </top>
      <bottom style="thin">
        <color rgb="FFCCCCCC"/>
      </bottom>
    </border>
    <border>
      <left style="medium">
        <color rgb="FF000000"/>
      </left>
      <right style="thin">
        <color rgb="FF999999"/>
      </right>
      <top style="thin">
        <color rgb="FFCCCCCC"/>
      </top>
      <bottom style="thin">
        <color rgb="FFCCCCCC"/>
      </bottom>
    </border>
    <border>
      <left style="thin">
        <color rgb="FF999999"/>
      </left>
      <top style="thin">
        <color rgb="FFCCCCCC"/>
      </top>
      <bottom style="thin">
        <color rgb="FFCCCCCC"/>
      </bottom>
    </border>
    <border>
      <left style="thin">
        <color rgb="FF999999"/>
      </left>
      <right style="medium">
        <color rgb="FF000000"/>
      </right>
      <top style="thin">
        <color rgb="FFCCCCCC"/>
      </top>
      <bottom style="thin">
        <color rgb="FFCCCCCC"/>
      </bottom>
    </border>
    <border>
      <left style="thin">
        <color rgb="FF999999"/>
      </left>
      <right style="thin">
        <color rgb="FF000000"/>
      </right>
    </border>
    <border>
      <left style="thin">
        <color rgb="FF000000"/>
      </left>
      <bottom style="thin">
        <color rgb="FF999999"/>
      </bottom>
    </border>
    <border>
      <bottom style="thin">
        <color rgb="FF999999"/>
      </bottom>
    </border>
    <border>
      <left style="thin">
        <color rgb="FF000000"/>
      </left>
      <right style="thin">
        <color rgb="FF999999"/>
      </right>
      <top style="thin">
        <color rgb="FFCCCCCC"/>
      </top>
      <bottom style="thin">
        <color rgb="FF000000"/>
      </bottom>
    </border>
    <border>
      <left style="thin">
        <color rgb="FF999999"/>
      </left>
      <right style="thin">
        <color rgb="FF999999"/>
      </right>
      <top style="thin">
        <color rgb="FFCCCCCC"/>
      </top>
      <bottom style="thin">
        <color rgb="FF000000"/>
      </bottom>
    </border>
    <border>
      <left style="thin">
        <color rgb="FF999999"/>
      </left>
      <right style="thin">
        <color rgb="FF000000"/>
      </right>
      <top style="thin">
        <color rgb="FFCCCCCC"/>
      </top>
      <bottom style="thin">
        <color rgb="FF000000"/>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000000"/>
      </right>
      <top style="thin">
        <color rgb="FF999999"/>
      </top>
      <bottom style="thin">
        <color rgb="FF999999"/>
      </bottom>
    </border>
    <border>
      <right style="thin">
        <color rgb="FF999999"/>
      </right>
      <bottom style="thin">
        <color rgb="FFCCCCCC"/>
      </bottom>
    </border>
    <border>
      <left style="thin">
        <color rgb="FF000000"/>
      </left>
      <top style="thin">
        <color rgb="FF999999"/>
      </top>
      <bottom style="thin">
        <color rgb="FF000000"/>
      </bottom>
    </border>
    <border>
      <top style="thin">
        <color rgb="FF999999"/>
      </top>
      <bottom style="thin">
        <color rgb="FF000000"/>
      </bottom>
    </border>
    <border>
      <right style="thin">
        <color rgb="FF999999"/>
      </right>
      <top style="thin">
        <color rgb="FF999999"/>
      </top>
      <bottom style="thin">
        <color rgb="FF000000"/>
      </bottom>
    </border>
    <border>
      <left style="thin">
        <color rgb="FF999999"/>
      </left>
      <right style="thin">
        <color rgb="FF000000"/>
      </right>
      <top style="thin">
        <color rgb="FF999999"/>
      </top>
      <bottom style="thin">
        <color rgb="FF000000"/>
      </bottom>
    </border>
    <border>
      <right style="thin">
        <color rgb="FF999999"/>
      </right>
      <top style="thin">
        <color rgb="FFCCCCCC"/>
      </top>
      <bottom style="thin">
        <color rgb="FFCCCCCC"/>
      </bottom>
    </border>
    <border>
      <left style="medium">
        <color rgb="FF000000"/>
      </left>
      <right style="thin">
        <color rgb="FF999999"/>
      </right>
      <top style="thin">
        <color rgb="FFCCCCCC"/>
      </top>
      <bottom style="medium">
        <color rgb="FF000000"/>
      </bottom>
    </border>
    <border>
      <left style="thin">
        <color rgb="FF999999"/>
      </left>
      <right style="thin">
        <color rgb="FF999999"/>
      </right>
      <top style="thin">
        <color rgb="FFCCCCCC"/>
      </top>
      <bottom style="medium">
        <color rgb="FF000000"/>
      </bottom>
    </border>
    <border>
      <left style="thin">
        <color rgb="FF999999"/>
      </left>
      <top style="thin">
        <color rgb="FFCCCCCC"/>
      </top>
      <bottom style="medium">
        <color rgb="FF000000"/>
      </bottom>
    </border>
    <border>
      <left style="thin">
        <color rgb="FF999999"/>
      </left>
      <right style="medium">
        <color rgb="FF000000"/>
      </right>
      <top style="thin">
        <color rgb="FFCCCCCC"/>
      </top>
      <bottom style="medium">
        <color rgb="FF000000"/>
      </bottom>
    </border>
    <border>
      <right style="thin">
        <color rgb="FF999999"/>
      </right>
      <top style="thin">
        <color rgb="FFCCCCCC"/>
      </top>
    </border>
    <border>
      <right style="thin">
        <color rgb="FF000000"/>
      </right>
      <bottom style="thin">
        <color rgb="FFCCCCCC"/>
      </bottom>
    </border>
    <border>
      <right style="thin">
        <color rgb="FF000000"/>
      </right>
      <top style="thin">
        <color rgb="FFCCCCCC"/>
      </top>
      <bottom style="thin">
        <color rgb="FFCCCCCC"/>
      </bottom>
    </border>
    <border>
      <left style="thin">
        <color rgb="FF000000"/>
      </left>
      <bottom style="thin">
        <color rgb="FF000000"/>
      </bottom>
    </border>
    <border>
      <right style="thin">
        <color rgb="FF999999"/>
      </right>
      <top style="thin">
        <color rgb="FFCCCCCC"/>
      </top>
      <bottom style="thin">
        <color rgb="FF000000"/>
      </bottom>
    </border>
    <border>
      <right style="thin">
        <color rgb="FF000000"/>
      </right>
      <top style="thin">
        <color rgb="FFCCCCCC"/>
      </top>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0" fillId="0" fontId="3" numFmtId="0" xfId="0" applyAlignment="1" applyFont="1">
      <alignment shrinkToFit="0" wrapText="1"/>
    </xf>
    <xf borderId="6" fillId="0" fontId="2" numFmtId="0" xfId="0" applyBorder="1" applyFont="1"/>
    <xf borderId="7" fillId="0" fontId="2" numFmtId="0" xfId="0" applyBorder="1" applyFont="1"/>
    <xf borderId="8" fillId="0" fontId="2" numFmtId="0" xfId="0" applyBorder="1" applyFont="1"/>
    <xf borderId="9" fillId="0" fontId="3" numFmtId="0" xfId="0" applyAlignment="1" applyBorder="1" applyFont="1">
      <alignment readingOrder="0" shrinkToFit="0" wrapText="1"/>
    </xf>
    <xf borderId="0" fillId="0" fontId="3" numFmtId="0" xfId="0" applyAlignment="1" applyFont="1">
      <alignment readingOrder="0" shrinkToFit="0" wrapText="1"/>
    </xf>
    <xf borderId="10" fillId="0" fontId="2" numFmtId="0" xfId="0" applyBorder="1" applyFont="1"/>
    <xf borderId="11" fillId="0" fontId="2" numFmtId="0" xfId="0" applyBorder="1" applyFont="1"/>
    <xf borderId="0" fillId="0" fontId="3" numFmtId="0" xfId="0" applyAlignment="1" applyFont="1">
      <alignment readingOrder="0"/>
    </xf>
    <xf borderId="12" fillId="2" fontId="4" numFmtId="0" xfId="0" applyAlignment="1" applyBorder="1" applyFill="1" applyFont="1">
      <alignment readingOrder="0" shrinkToFit="0" wrapText="1"/>
    </xf>
    <xf borderId="0" fillId="0" fontId="3" numFmtId="0" xfId="0" applyAlignment="1" applyFont="1">
      <alignment readingOrder="0"/>
    </xf>
    <xf borderId="13" fillId="3" fontId="4" numFmtId="0" xfId="0" applyAlignment="1" applyBorder="1" applyFill="1" applyFont="1">
      <alignment readingOrder="0" shrinkToFit="0" wrapText="1"/>
    </xf>
    <xf borderId="14" fillId="2" fontId="4" numFmtId="0" xfId="0" applyAlignment="1" applyBorder="1" applyFill="1" applyFont="1">
      <alignment horizontal="center" readingOrder="0" shrinkToFit="0" wrapText="1"/>
    </xf>
    <xf borderId="15" fillId="0" fontId="2" numFmtId="0" xfId="0" applyBorder="1" applyFont="1"/>
    <xf borderId="16" fillId="0" fontId="2" numFmtId="0" xfId="0" applyBorder="1" applyFont="1"/>
    <xf borderId="17" fillId="2" fontId="4" numFmtId="0" xfId="0" applyAlignment="1" applyBorder="1" applyFill="1" applyFont="1">
      <alignment readingOrder="0" shrinkToFit="0" wrapText="1"/>
    </xf>
    <xf borderId="0" fillId="0" fontId="5" numFmtId="0" xfId="0" applyAlignment="1" applyFont="1">
      <alignment horizontal="center" readingOrder="0" vertical="center"/>
    </xf>
    <xf borderId="18" fillId="2" fontId="4" numFmtId="0" xfId="0" applyAlignment="1" applyBorder="1" applyFill="1" applyFont="1">
      <alignment horizontal="center" readingOrder="0"/>
    </xf>
    <xf borderId="19" fillId="0" fontId="2" numFmtId="0" xfId="0" applyBorder="1" applyFont="1"/>
    <xf borderId="20" fillId="0" fontId="2" numFmtId="0" xfId="0" applyBorder="1" applyFont="1"/>
    <xf borderId="1" fillId="2" fontId="4" numFmtId="0" xfId="0" applyAlignment="1" applyBorder="1" applyFill="1" applyFont="1">
      <alignment horizontal="center" readingOrder="0" shrinkToFit="0" wrapText="1"/>
    </xf>
    <xf borderId="21" fillId="3" fontId="4" numFmtId="0" xfId="0" applyAlignment="1" applyBorder="1" applyFill="1" applyFont="1">
      <alignment horizontal="center" readingOrder="0" shrinkToFit="0" wrapText="1"/>
    </xf>
    <xf borderId="22" fillId="0" fontId="2" numFmtId="0" xfId="0" applyBorder="1" applyFont="1"/>
    <xf borderId="23" fillId="0" fontId="2" numFmtId="0" xfId="0" applyBorder="1" applyFont="1"/>
    <xf borderId="24" fillId="4" fontId="4" numFmtId="0" xfId="0" applyAlignment="1" applyBorder="1" applyFill="1" applyFont="1">
      <alignment readingOrder="0" shrinkToFit="0" wrapText="1"/>
    </xf>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0" fillId="0" fontId="4" numFmtId="0" xfId="0" applyFont="1"/>
    <xf borderId="29" fillId="4" fontId="4" numFmtId="0" xfId="0" applyAlignment="1" applyBorder="1" applyFill="1" applyFont="1">
      <alignment horizontal="center" readingOrder="0" shrinkToFit="0" wrapText="1"/>
    </xf>
    <xf borderId="30" fillId="4" fontId="4" numFmtId="0" xfId="0" applyAlignment="1" applyBorder="1" applyFill="1" applyFont="1">
      <alignment horizontal="center" readingOrder="0" shrinkToFit="0" wrapText="1"/>
    </xf>
    <xf borderId="32" fillId="4" fontId="4" numFmtId="0" xfId="0" applyAlignment="1" applyBorder="1" applyFill="1" applyFont="1">
      <alignment horizontal="center" readingOrder="0" shrinkToFit="0" wrapText="1"/>
    </xf>
    <xf borderId="31" fillId="0" fontId="4" numFmtId="0" xfId="0" applyAlignment="1" applyBorder="1" applyFont="1">
      <alignment horizontal="center" readingOrder="0"/>
    </xf>
    <xf borderId="33" fillId="0" fontId="4" numFmtId="0" xfId="0" applyAlignment="1" applyBorder="1" applyFont="1">
      <alignment horizontal="center" readingOrder="0"/>
    </xf>
    <xf borderId="34" fillId="4" fontId="4" numFmtId="0" xfId="0" applyAlignment="1" applyBorder="1" applyFill="1" applyFont="1">
      <alignment readingOrder="0" shrinkToFit="0" wrapText="1"/>
    </xf>
    <xf borderId="30" fillId="4" fontId="4" numFmtId="0" xfId="0" applyAlignment="1" applyBorder="1" applyFill="1" applyFont="1">
      <alignment readingOrder="0" shrinkToFit="0" wrapText="1"/>
    </xf>
    <xf borderId="35" fillId="4" fontId="4" numFmtId="0" xfId="0" applyAlignment="1" applyBorder="1" applyFill="1" applyFont="1">
      <alignment readingOrder="0" shrinkToFit="0" wrapText="1"/>
    </xf>
    <xf borderId="36" fillId="3" fontId="4" numFmtId="0" xfId="0" applyAlignment="1" applyBorder="1" applyFill="1" applyFont="1">
      <alignment horizontal="center" readingOrder="0"/>
    </xf>
    <xf borderId="37" fillId="4" fontId="4" numFmtId="0" xfId="0" applyAlignment="1" applyBorder="1" applyFill="1" applyFont="1">
      <alignment readingOrder="0" shrinkToFit="0" wrapText="1"/>
    </xf>
    <xf borderId="38" fillId="0" fontId="3" numFmtId="0" xfId="0" applyAlignment="1" applyBorder="1" applyFont="1">
      <alignment readingOrder="0" shrinkToFit="0" wrapText="1"/>
    </xf>
    <xf borderId="39" fillId="0" fontId="2" numFmtId="0" xfId="0" applyBorder="1" applyFont="1"/>
    <xf borderId="40" fillId="5" fontId="3" numFmtId="0" xfId="0" applyAlignment="1" applyBorder="1" applyFill="1" applyFont="1">
      <alignment readingOrder="0"/>
    </xf>
    <xf borderId="40" fillId="6" fontId="3" numFmtId="0" xfId="0" applyAlignment="1" applyBorder="1" applyFill="1" applyFont="1">
      <alignment readingOrder="0"/>
    </xf>
    <xf borderId="36" fillId="7" fontId="4" numFmtId="0" xfId="0" applyAlignment="1" applyBorder="1" applyFill="1" applyFont="1">
      <alignment horizontal="center" readingOrder="0"/>
    </xf>
    <xf borderId="41" fillId="0" fontId="3" numFmtId="0" xfId="0" applyAlignment="1" applyBorder="1" applyFont="1">
      <alignment readingOrder="0" shrinkToFit="0" wrapText="1"/>
    </xf>
    <xf borderId="38" fillId="0" fontId="3" numFmtId="0" xfId="0" applyAlignment="1" applyBorder="1" applyFont="1">
      <alignment horizontal="center" readingOrder="0" shrinkToFit="0" wrapText="1"/>
    </xf>
    <xf borderId="40" fillId="0" fontId="3" numFmtId="1" xfId="0" applyAlignment="1" applyBorder="1" applyFont="1" applyNumberFormat="1">
      <alignment horizontal="center" readingOrder="0"/>
    </xf>
    <xf borderId="40" fillId="6" fontId="3" numFmtId="1" xfId="0" applyAlignment="1" applyBorder="1" applyFill="1" applyFont="1" applyNumberFormat="1">
      <alignment horizontal="center" readingOrder="0"/>
    </xf>
    <xf borderId="40" fillId="6" fontId="3" numFmtId="9" xfId="0" applyAlignment="1" applyBorder="1" applyFill="1" applyFont="1" applyNumberFormat="1">
      <alignment horizontal="center" readingOrder="0"/>
    </xf>
    <xf borderId="41" fillId="6" fontId="3" numFmtId="0" xfId="0" applyAlignment="1" applyBorder="1" applyFill="1" applyFont="1">
      <alignment horizontal="center" readingOrder="0"/>
    </xf>
    <xf borderId="42" fillId="0" fontId="3" numFmtId="0" xfId="0" applyAlignment="1" applyBorder="1" applyFont="1">
      <alignment readingOrder="0"/>
    </xf>
    <xf borderId="40" fillId="0" fontId="3" numFmtId="0" xfId="0" applyAlignment="1" applyBorder="1" applyFont="1">
      <alignment horizontal="left" readingOrder="0" shrinkToFit="0" wrapText="1"/>
    </xf>
    <xf borderId="36" fillId="8" fontId="4" numFmtId="0" xfId="0" applyAlignment="1" applyBorder="1" applyFill="1" applyFont="1">
      <alignment horizontal="center" readingOrder="0"/>
    </xf>
    <xf borderId="43" fillId="0" fontId="3" numFmtId="164" xfId="0" applyAlignment="1" applyBorder="1" applyFont="1" applyNumberFormat="1">
      <alignment horizontal="right"/>
    </xf>
    <xf borderId="36" fillId="9" fontId="4" numFmtId="0" xfId="0" applyAlignment="1" applyBorder="1" applyFill="1" applyFont="1">
      <alignment horizontal="center" readingOrder="0"/>
    </xf>
    <xf borderId="44" fillId="0" fontId="3" numFmtId="164" xfId="0" applyAlignment="1" applyBorder="1" applyFont="1" applyNumberFormat="1">
      <alignment horizontal="right"/>
    </xf>
    <xf borderId="45" fillId="0" fontId="3" numFmtId="0" xfId="0" applyAlignment="1" applyBorder="1" applyFont="1">
      <alignment readingOrder="0" shrinkToFit="0" wrapText="1"/>
    </xf>
    <xf borderId="46" fillId="6" fontId="3" numFmtId="2" xfId="0" applyBorder="1" applyFill="1" applyFont="1" applyNumberFormat="1"/>
    <xf borderId="47" fillId="0" fontId="4" numFmtId="0" xfId="0" applyAlignment="1" applyBorder="1" applyFont="1">
      <alignment horizontal="center" readingOrder="0"/>
    </xf>
    <xf borderId="48" fillId="0" fontId="3" numFmtId="0" xfId="0" applyAlignment="1" applyBorder="1" applyFont="1">
      <alignment readingOrder="0" shrinkToFit="0" wrapText="1"/>
    </xf>
    <xf borderId="0" fillId="0" fontId="4" numFmtId="0" xfId="0" applyAlignment="1" applyFont="1">
      <alignment horizontal="center" readingOrder="0"/>
    </xf>
    <xf borderId="49" fillId="0" fontId="3" numFmtId="0" xfId="0" applyAlignment="1" applyBorder="1" applyFont="1">
      <alignment horizontal="center" readingOrder="0" shrinkToFit="0" wrapText="1"/>
    </xf>
    <xf borderId="50" fillId="0" fontId="3" numFmtId="1" xfId="0" applyAlignment="1" applyBorder="1" applyFont="1" applyNumberFormat="1">
      <alignment horizontal="center" readingOrder="0"/>
    </xf>
    <xf borderId="50" fillId="6" fontId="3" numFmtId="1" xfId="0" applyAlignment="1" applyBorder="1" applyFill="1" applyFont="1" applyNumberFormat="1">
      <alignment horizontal="center" readingOrder="0"/>
    </xf>
    <xf borderId="50" fillId="6" fontId="3" numFmtId="9" xfId="0" applyAlignment="1" applyBorder="1" applyFill="1" applyFont="1" applyNumberFormat="1">
      <alignment horizontal="center" readingOrder="0"/>
    </xf>
    <xf borderId="51" fillId="10" fontId="2" numFmtId="0" xfId="0" applyAlignment="1" applyBorder="1" applyFill="1" applyFont="1">
      <alignment horizontal="left" readingOrder="0" shrinkToFit="0" wrapText="0"/>
    </xf>
    <xf borderId="52" fillId="6" fontId="3" numFmtId="0" xfId="0" applyAlignment="1" applyBorder="1" applyFill="1" applyFont="1">
      <alignment horizontal="center" readingOrder="0"/>
    </xf>
    <xf borderId="53" fillId="0" fontId="3" numFmtId="0" xfId="0" applyAlignment="1" applyBorder="1" applyFont="1">
      <alignment readingOrder="0"/>
    </xf>
    <xf borderId="50" fillId="0" fontId="3" numFmtId="0" xfId="0" applyAlignment="1" applyBorder="1" applyFont="1">
      <alignment horizontal="left" readingOrder="0" shrinkToFit="0" wrapText="1"/>
    </xf>
    <xf borderId="54" fillId="0" fontId="3" numFmtId="164" xfId="0" applyAlignment="1" applyBorder="1" applyFont="1" applyNumberFormat="1">
      <alignment horizontal="right"/>
    </xf>
    <xf borderId="51" fillId="11" fontId="2" numFmtId="0" xfId="0" applyAlignment="1" applyBorder="1" applyFill="1" applyFont="1">
      <alignment readingOrder="0" shrinkToFit="0" wrapText="0"/>
    </xf>
    <xf borderId="55" fillId="0" fontId="3" numFmtId="164" xfId="0" applyAlignment="1" applyBorder="1" applyFont="1" applyNumberFormat="1">
      <alignment horizontal="right"/>
    </xf>
    <xf borderId="52" fillId="6" fontId="3" numFmtId="9" xfId="0" applyAlignment="1" applyBorder="1" applyFill="1" applyFont="1" applyNumberFormat="1">
      <alignment horizontal="center" readingOrder="0"/>
    </xf>
    <xf borderId="40" fillId="0" fontId="3" numFmtId="0" xfId="0" applyAlignment="1" applyBorder="1" applyFont="1">
      <alignment readingOrder="0"/>
    </xf>
    <xf borderId="40" fillId="6" fontId="3" numFmtId="1" xfId="0" applyAlignment="1" applyBorder="1" applyFill="1" applyFont="1" applyNumberFormat="1">
      <alignment horizontal="right" readingOrder="0"/>
    </xf>
    <xf borderId="51" fillId="12" fontId="2" numFmtId="0" xfId="0" applyAlignment="1" applyBorder="1" applyFill="1" applyFont="1">
      <alignment readingOrder="0" shrinkToFit="0" wrapText="0"/>
    </xf>
    <xf borderId="49" fillId="0" fontId="3" numFmtId="0" xfId="0" applyAlignment="1" applyBorder="1" applyFont="1">
      <alignment readingOrder="0" shrinkToFit="0" wrapText="1"/>
    </xf>
    <xf borderId="50" fillId="6" fontId="3" numFmtId="1" xfId="0" applyAlignment="1" applyBorder="1" applyFill="1" applyFont="1" applyNumberFormat="1">
      <alignment horizontal="right"/>
    </xf>
    <xf borderId="50" fillId="6" fontId="3" numFmtId="1" xfId="0" applyAlignment="1" applyBorder="1" applyFill="1" applyFont="1" applyNumberFormat="1">
      <alignment readingOrder="0"/>
    </xf>
    <xf borderId="48" fillId="0" fontId="3" numFmtId="0" xfId="0" applyAlignment="1" applyBorder="1" applyFont="1">
      <alignment readingOrder="0" shrinkToFit="0" vertical="center" wrapText="1"/>
    </xf>
    <xf borderId="51" fillId="13" fontId="2" numFmtId="0" xfId="0" applyAlignment="1" applyBorder="1" applyFill="1" applyFont="1">
      <alignment readingOrder="0" shrinkToFit="0" wrapText="0"/>
    </xf>
    <xf borderId="56" fillId="0" fontId="2" numFmtId="0" xfId="0" applyBorder="1" applyFont="1"/>
    <xf borderId="46" fillId="6" fontId="3" numFmtId="1" xfId="0" applyAlignment="1" applyBorder="1" applyFill="1" applyFont="1" applyNumberFormat="1">
      <alignment readingOrder="0"/>
    </xf>
    <xf borderId="56" fillId="13" fontId="2" numFmtId="0" xfId="0" applyAlignment="1" applyBorder="1" applyFill="1" applyFont="1">
      <alignment readingOrder="0" shrinkToFit="0" wrapText="0"/>
    </xf>
    <xf borderId="0" fillId="0" fontId="3" numFmtId="0" xfId="0" applyAlignment="1" applyFont="1">
      <alignment readingOrder="0" shrinkToFit="0" wrapText="0"/>
    </xf>
    <xf borderId="47" fillId="0" fontId="4" numFmtId="0" xfId="0" applyAlignment="1" applyBorder="1" applyFont="1">
      <alignment horizontal="center" readingOrder="0" shrinkToFit="0" wrapText="1"/>
    </xf>
    <xf borderId="0" fillId="0" fontId="4" numFmtId="0" xfId="0" applyAlignment="1" applyFont="1">
      <alignment horizontal="center" readingOrder="0" shrinkToFit="0" wrapText="1"/>
    </xf>
    <xf borderId="51" fillId="10" fontId="4" numFmtId="0" xfId="0" applyAlignment="1" applyBorder="1" applyFill="1" applyFont="1">
      <alignment horizontal="center" readingOrder="0" shrinkToFit="0" wrapText="1"/>
    </xf>
    <xf borderId="50" fillId="0" fontId="3" numFmtId="0" xfId="0" applyAlignment="1" applyBorder="1" applyFont="1">
      <alignment horizontal="left"/>
    </xf>
    <xf borderId="51" fillId="11" fontId="4" numFmtId="0" xfId="0" applyAlignment="1" applyBorder="1" applyFill="1" applyFont="1">
      <alignment horizontal="center" readingOrder="0" shrinkToFit="0" wrapText="1"/>
    </xf>
    <xf borderId="40" fillId="6" fontId="3" numFmtId="1" xfId="0" applyAlignment="1" applyBorder="1" applyFill="1" applyFont="1" applyNumberFormat="1">
      <alignment readingOrder="0"/>
    </xf>
    <xf borderId="56" fillId="0" fontId="3" numFmtId="0" xfId="0" applyAlignment="1" applyBorder="1" applyFont="1">
      <alignment readingOrder="0" shrinkToFit="0" vertical="center" wrapText="1"/>
    </xf>
    <xf borderId="51" fillId="12" fontId="4" numFmtId="0" xfId="0" applyAlignment="1" applyBorder="1" applyFill="1" applyFont="1">
      <alignment horizontal="center" readingOrder="0" shrinkToFit="0" wrapText="1"/>
    </xf>
    <xf borderId="50" fillId="0" fontId="3" numFmtId="0" xfId="0" applyAlignment="1" applyBorder="1" applyFont="1">
      <alignment readingOrder="0"/>
    </xf>
    <xf borderId="51" fillId="13" fontId="4" numFmtId="0" xfId="0" applyAlignment="1" applyBorder="1" applyFill="1" applyFont="1">
      <alignment horizontal="center" readingOrder="0" shrinkToFit="0" wrapText="1"/>
    </xf>
    <xf borderId="46" fillId="0" fontId="3" numFmtId="0" xfId="0" applyAlignment="1" applyBorder="1" applyFont="1">
      <alignment readingOrder="0"/>
    </xf>
    <xf borderId="41" fillId="0" fontId="2" numFmtId="0" xfId="0" applyBorder="1" applyFont="1"/>
    <xf borderId="56" fillId="13" fontId="4" numFmtId="0" xfId="0" applyAlignment="1" applyBorder="1" applyFill="1" applyFont="1">
      <alignment horizontal="center" readingOrder="0" shrinkToFit="0" wrapText="1"/>
    </xf>
    <xf borderId="57" fillId="0" fontId="4" numFmtId="0" xfId="0" applyAlignment="1" applyBorder="1" applyFont="1">
      <alignment horizontal="center" shrinkToFit="0" wrapText="1"/>
    </xf>
    <xf borderId="58" fillId="0" fontId="4" numFmtId="0" xfId="0" applyAlignment="1" applyBorder="1" applyFont="1">
      <alignment horizontal="center" shrinkToFit="0" wrapText="1"/>
    </xf>
    <xf borderId="30" fillId="10" fontId="4" numFmtId="0" xfId="0" applyAlignment="1" applyBorder="1" applyFill="1" applyFont="1">
      <alignment horizontal="center" shrinkToFit="0" wrapText="1"/>
    </xf>
    <xf borderId="30" fillId="10" fontId="4" numFmtId="0" xfId="0" applyAlignment="1" applyBorder="1" applyFill="1" applyFont="1">
      <alignment horizontal="center" readingOrder="0" shrinkToFit="0" wrapText="1"/>
    </xf>
    <xf borderId="30" fillId="11" fontId="4" numFmtId="0" xfId="0" applyAlignment="1" applyBorder="1" applyFill="1" applyFont="1">
      <alignment horizontal="center" shrinkToFit="0" wrapText="1"/>
    </xf>
    <xf borderId="30" fillId="11" fontId="4" numFmtId="0" xfId="0" applyAlignment="1" applyBorder="1" applyFill="1" applyFont="1">
      <alignment horizontal="center" readingOrder="0" shrinkToFit="0" wrapText="1"/>
    </xf>
    <xf borderId="40" fillId="6" fontId="3" numFmtId="1" xfId="0" applyAlignment="1" applyBorder="1" applyFill="1" applyFont="1" applyNumberFormat="1">
      <alignment horizontal="right"/>
    </xf>
    <xf borderId="30" fillId="12" fontId="4" numFmtId="0" xfId="0" applyAlignment="1" applyBorder="1" applyFill="1" applyFont="1">
      <alignment horizontal="center" readingOrder="0" shrinkToFit="0" wrapText="1"/>
    </xf>
    <xf borderId="30" fillId="13" fontId="4" numFmtId="0" xfId="0" applyAlignment="1" applyBorder="1" applyFill="1" applyFont="1">
      <alignment horizontal="center" readingOrder="0" shrinkToFit="0" wrapText="1"/>
    </xf>
    <xf borderId="50" fillId="0" fontId="3" numFmtId="0" xfId="0" applyAlignment="1" applyBorder="1" applyFont="1">
      <alignment horizontal="left" shrinkToFit="0" wrapText="1"/>
    </xf>
    <xf borderId="32" fillId="13" fontId="4" numFmtId="0" xfId="0" applyAlignment="1" applyBorder="1" applyFill="1" applyFont="1">
      <alignment horizontal="center" readingOrder="0" shrinkToFit="0" wrapText="1"/>
    </xf>
    <xf borderId="59" fillId="0" fontId="3" numFmtId="0" xfId="0" applyAlignment="1" applyBorder="1" applyFont="1">
      <alignment horizontal="center" readingOrder="0" shrinkToFit="0" wrapText="1"/>
    </xf>
    <xf borderId="60" fillId="0" fontId="3" numFmtId="1" xfId="0" applyAlignment="1" applyBorder="1" applyFont="1" applyNumberFormat="1">
      <alignment horizontal="center" readingOrder="0"/>
    </xf>
    <xf borderId="60" fillId="6" fontId="3" numFmtId="1" xfId="0" applyAlignment="1" applyBorder="1" applyFill="1" applyFont="1" applyNumberFormat="1">
      <alignment horizontal="center" readingOrder="0"/>
    </xf>
    <xf borderId="60" fillId="6" fontId="3" numFmtId="9" xfId="0" applyAlignment="1" applyBorder="1" applyFill="1" applyFont="1" applyNumberFormat="1">
      <alignment horizontal="center" readingOrder="0"/>
    </xf>
    <xf borderId="24" fillId="3" fontId="4" numFmtId="0" xfId="0" applyAlignment="1" applyBorder="1" applyFill="1" applyFont="1">
      <alignment readingOrder="0"/>
    </xf>
    <xf borderId="61" fillId="6" fontId="3" numFmtId="0" xfId="0" applyAlignment="1" applyBorder="1" applyFill="1" applyFont="1">
      <alignment horizontal="center" readingOrder="0"/>
    </xf>
    <xf borderId="62" fillId="0" fontId="2" numFmtId="0" xfId="0" applyBorder="1" applyFont="1"/>
    <xf borderId="62" fillId="3" fontId="3" numFmtId="0" xfId="0" applyAlignment="1" applyBorder="1" applyFill="1" applyFont="1">
      <alignment readingOrder="0"/>
    </xf>
    <xf borderId="63" fillId="3" fontId="3" numFmtId="0" xfId="0" applyAlignment="1" applyBorder="1" applyFill="1" applyFont="1">
      <alignment readingOrder="0"/>
    </xf>
    <xf borderId="63" fillId="7" fontId="3" numFmtId="0" xfId="0" applyAlignment="1" applyBorder="1" applyFill="1" applyFont="1">
      <alignment readingOrder="0"/>
    </xf>
    <xf borderId="63" fillId="8" fontId="3" numFmtId="0" xfId="0" applyAlignment="1" applyBorder="1" applyFill="1" applyFont="1">
      <alignment readingOrder="0"/>
    </xf>
    <xf borderId="63" fillId="0" fontId="3" numFmtId="0" xfId="0" applyAlignment="1" applyBorder="1" applyFont="1">
      <alignment readingOrder="0"/>
    </xf>
    <xf borderId="63" fillId="0" fontId="3" numFmtId="0" xfId="0" applyBorder="1" applyFont="1"/>
    <xf borderId="64" fillId="0" fontId="3" numFmtId="0" xfId="0" applyBorder="1" applyFont="1"/>
    <xf borderId="47" fillId="0" fontId="3" numFmtId="0" xfId="0" applyBorder="1" applyFont="1"/>
    <xf borderId="65" fillId="0" fontId="3" numFmtId="0" xfId="0" applyAlignment="1" applyBorder="1" applyFont="1">
      <alignment readingOrder="0"/>
    </xf>
    <xf borderId="46" fillId="6" fontId="3" numFmtId="1" xfId="0" applyAlignment="1" applyBorder="1" applyFill="1" applyFont="1" applyNumberFormat="1">
      <alignment horizontal="right"/>
    </xf>
    <xf borderId="65" fillId="0" fontId="3" numFmtId="3" xfId="0" applyAlignment="1" applyBorder="1" applyFont="1" applyNumberFormat="1">
      <alignment horizontal="center"/>
    </xf>
    <xf borderId="66" fillId="4" fontId="4" numFmtId="0" xfId="0" applyAlignment="1" applyBorder="1" applyFill="1" applyFont="1">
      <alignment readingOrder="0" shrinkToFit="0" wrapText="1"/>
    </xf>
    <xf borderId="67" fillId="0" fontId="2" numFmtId="0" xfId="0" applyBorder="1" applyFont="1"/>
    <xf borderId="68" fillId="0" fontId="2" numFmtId="0" xfId="0" applyBorder="1" applyFont="1"/>
    <xf borderId="40" fillId="0" fontId="3" numFmtId="3" xfId="0" applyAlignment="1" applyBorder="1" applyFont="1" applyNumberFormat="1">
      <alignment horizontal="center"/>
    </xf>
    <xf borderId="69" fillId="4" fontId="4" numFmtId="0" xfId="0" applyAlignment="1" applyBorder="1" applyFill="1" applyFont="1">
      <alignment readingOrder="0" shrinkToFit="0" wrapText="1"/>
    </xf>
    <xf borderId="0" fillId="0" fontId="3" numFmtId="0" xfId="0" applyAlignment="1" applyFont="1">
      <alignment readingOrder="0" shrinkToFit="0" wrapText="1"/>
    </xf>
    <xf borderId="41" fillId="0" fontId="3" numFmtId="3" xfId="0" applyAlignment="1" applyBorder="1" applyFont="1" applyNumberFormat="1">
      <alignment horizontal="center"/>
    </xf>
    <xf borderId="0" fillId="0" fontId="3" numFmtId="3" xfId="0" applyFont="1" applyNumberFormat="1"/>
    <xf borderId="70" fillId="0" fontId="3" numFmtId="0" xfId="0" applyAlignment="1" applyBorder="1" applyFont="1">
      <alignment readingOrder="0"/>
    </xf>
    <xf borderId="70" fillId="0" fontId="3" numFmtId="3" xfId="0" applyAlignment="1" applyBorder="1" applyFont="1" applyNumberFormat="1">
      <alignment horizontal="center"/>
    </xf>
    <xf borderId="50" fillId="0" fontId="3" numFmtId="3" xfId="0" applyAlignment="1" applyBorder="1" applyFont="1" applyNumberFormat="1">
      <alignment horizontal="center"/>
    </xf>
    <xf borderId="50" fillId="0" fontId="3" numFmtId="3" xfId="0" applyAlignment="1" applyBorder="1" applyFont="1" applyNumberFormat="1">
      <alignment horizontal="center" readingOrder="0"/>
    </xf>
    <xf borderId="52" fillId="0" fontId="3" numFmtId="3" xfId="0" applyAlignment="1" applyBorder="1" applyFont="1" applyNumberFormat="1">
      <alignment horizontal="center" readingOrder="0"/>
    </xf>
    <xf borderId="70" fillId="0" fontId="3" numFmtId="3" xfId="0" applyAlignment="1" applyBorder="1" applyFont="1" applyNumberFormat="1">
      <alignment horizontal="center" readingOrder="0"/>
    </xf>
    <xf borderId="71" fillId="0" fontId="3" numFmtId="0" xfId="0" applyAlignment="1" applyBorder="1" applyFont="1">
      <alignment readingOrder="0"/>
    </xf>
    <xf borderId="72" fillId="0" fontId="3" numFmtId="0" xfId="0" applyAlignment="1" applyBorder="1" applyFont="1">
      <alignment horizontal="left" readingOrder="0" shrinkToFit="0" wrapText="1"/>
    </xf>
    <xf borderId="73" fillId="0" fontId="3" numFmtId="164" xfId="0" applyAlignment="1" applyBorder="1" applyFont="1" applyNumberFormat="1">
      <alignment horizontal="right"/>
    </xf>
    <xf borderId="74" fillId="0" fontId="3" numFmtId="164" xfId="0" applyAlignment="1" applyBorder="1" applyFont="1" applyNumberFormat="1">
      <alignment horizontal="right"/>
    </xf>
    <xf borderId="0" fillId="0" fontId="3" numFmtId="10" xfId="0" applyAlignment="1" applyFont="1" applyNumberFormat="1">
      <alignment readingOrder="0"/>
    </xf>
    <xf borderId="0" fillId="0" fontId="3" numFmtId="10" xfId="0" applyAlignment="1" applyFont="1" applyNumberFormat="1">
      <alignment readingOrder="0" shrinkToFit="0" wrapText="1"/>
    </xf>
    <xf borderId="75" fillId="0" fontId="3" numFmtId="0" xfId="0" applyAlignment="1" applyBorder="1" applyFont="1">
      <alignment readingOrder="0"/>
    </xf>
    <xf borderId="75" fillId="0" fontId="3" numFmtId="3" xfId="0" applyAlignment="1" applyBorder="1" applyFont="1" applyNumberFormat="1">
      <alignment horizontal="center"/>
    </xf>
    <xf borderId="46" fillId="0" fontId="3" numFmtId="3" xfId="0" applyAlignment="1" applyBorder="1" applyFont="1" applyNumberFormat="1">
      <alignment horizontal="center"/>
    </xf>
    <xf borderId="48" fillId="0" fontId="3" numFmtId="3" xfId="0" applyAlignment="1" applyBorder="1" applyFont="1" applyNumberFormat="1">
      <alignment horizontal="center"/>
    </xf>
    <xf borderId="62" fillId="3" fontId="3" numFmtId="0" xfId="0" applyAlignment="1" applyBorder="1" applyFill="1" applyFont="1">
      <alignment horizontal="center"/>
    </xf>
    <xf borderId="63" fillId="3" fontId="3" numFmtId="0" xfId="0" applyAlignment="1" applyBorder="1" applyFill="1" applyFont="1">
      <alignment horizontal="center"/>
    </xf>
    <xf borderId="63" fillId="7" fontId="3" numFmtId="0" xfId="0" applyAlignment="1" applyBorder="1" applyFill="1" applyFont="1">
      <alignment horizontal="center"/>
    </xf>
    <xf borderId="63" fillId="8" fontId="3" numFmtId="0" xfId="0" applyAlignment="1" applyBorder="1" applyFill="1" applyFont="1">
      <alignment horizontal="center"/>
    </xf>
    <xf borderId="63" fillId="9" fontId="3" numFmtId="0" xfId="0" applyAlignment="1" applyBorder="1" applyFill="1" applyFont="1">
      <alignment horizontal="center"/>
    </xf>
    <xf borderId="64" fillId="9" fontId="3" numFmtId="0" xfId="0" applyAlignment="1" applyBorder="1" applyFill="1" applyFont="1">
      <alignment horizontal="center"/>
    </xf>
    <xf borderId="65" fillId="0" fontId="3" numFmtId="1" xfId="0" applyAlignment="1" applyBorder="1" applyFont="1" applyNumberFormat="1">
      <alignment horizontal="center" readingOrder="0"/>
    </xf>
    <xf borderId="41" fillId="0" fontId="3" numFmtId="1" xfId="0" applyAlignment="1" applyBorder="1" applyFont="1" applyNumberFormat="1">
      <alignment horizontal="center" readingOrder="0"/>
    </xf>
    <xf borderId="70" fillId="0" fontId="3" numFmtId="1" xfId="0" applyAlignment="1" applyBorder="1" applyFont="1" applyNumberFormat="1">
      <alignment horizontal="center" readingOrder="0"/>
    </xf>
    <xf borderId="52" fillId="0" fontId="3" numFmtId="1" xfId="0" applyAlignment="1" applyBorder="1" applyFont="1" applyNumberFormat="1">
      <alignment horizontal="center" readingOrder="0"/>
    </xf>
    <xf borderId="75" fillId="0" fontId="3" numFmtId="2" xfId="0" applyAlignment="1" applyBorder="1" applyFont="1" applyNumberFormat="1">
      <alignment horizontal="center" readingOrder="0"/>
    </xf>
    <xf borderId="46" fillId="0" fontId="3" numFmtId="2" xfId="0" applyAlignment="1" applyBorder="1" applyFont="1" applyNumberFormat="1">
      <alignment horizontal="center" readingOrder="0"/>
    </xf>
    <xf borderId="48" fillId="0" fontId="3" numFmtId="2" xfId="0" applyAlignment="1" applyBorder="1" applyFont="1" applyNumberFormat="1">
      <alignment horizontal="center" readingOrder="0"/>
    </xf>
    <xf borderId="76" fillId="0" fontId="3" numFmtId="1" xfId="0" applyAlignment="1" applyBorder="1" applyFont="1" applyNumberFormat="1">
      <alignment horizontal="center" readingOrder="0"/>
    </xf>
    <xf borderId="65" fillId="0" fontId="3" numFmtId="2" xfId="0" applyAlignment="1" applyBorder="1" applyFont="1" applyNumberFormat="1">
      <alignment horizontal="center" readingOrder="0"/>
    </xf>
    <xf borderId="76" fillId="0" fontId="3" numFmtId="2" xfId="0" applyAlignment="1" applyBorder="1" applyFont="1" applyNumberFormat="1">
      <alignment horizontal="center" readingOrder="0"/>
    </xf>
    <xf borderId="47" fillId="0" fontId="4" numFmtId="0" xfId="0" applyAlignment="1" applyBorder="1" applyFont="1">
      <alignment readingOrder="0"/>
    </xf>
    <xf borderId="65" fillId="0" fontId="3" numFmtId="9" xfId="0" applyAlignment="1" applyBorder="1" applyFont="1" applyNumberFormat="1">
      <alignment horizontal="center"/>
    </xf>
    <xf borderId="40" fillId="0" fontId="3" numFmtId="9" xfId="0" applyAlignment="1" applyBorder="1" applyFont="1" applyNumberFormat="1">
      <alignment horizontal="center"/>
    </xf>
    <xf borderId="41" fillId="0" fontId="3" numFmtId="9" xfId="0" applyAlignment="1" applyBorder="1" applyFont="1" applyNumberFormat="1">
      <alignment horizontal="center"/>
    </xf>
    <xf borderId="0" fillId="0" fontId="3" numFmtId="9" xfId="0" applyFont="1" applyNumberFormat="1"/>
    <xf borderId="70" fillId="0" fontId="3" numFmtId="9" xfId="0" applyAlignment="1" applyBorder="1" applyFont="1" applyNumberFormat="1">
      <alignment horizontal="center"/>
    </xf>
    <xf borderId="50" fillId="0" fontId="3" numFmtId="9" xfId="0" applyAlignment="1" applyBorder="1" applyFont="1" applyNumberFormat="1">
      <alignment horizontal="center"/>
    </xf>
    <xf borderId="52" fillId="0" fontId="3" numFmtId="9" xfId="0" applyAlignment="1" applyBorder="1" applyFont="1" applyNumberFormat="1">
      <alignment horizontal="center"/>
    </xf>
    <xf borderId="75" fillId="0" fontId="3" numFmtId="9" xfId="0" applyAlignment="1" applyBorder="1" applyFont="1" applyNumberFormat="1">
      <alignment horizontal="center"/>
    </xf>
    <xf borderId="46" fillId="0" fontId="3" numFmtId="9" xfId="0" applyAlignment="1" applyBorder="1" applyFont="1" applyNumberFormat="1">
      <alignment horizontal="center"/>
    </xf>
    <xf borderId="48" fillId="0" fontId="3" numFmtId="9" xfId="0" applyAlignment="1" applyBorder="1" applyFont="1" applyNumberFormat="1">
      <alignment horizontal="center"/>
    </xf>
    <xf borderId="65" fillId="0" fontId="3" numFmtId="0" xfId="0" applyAlignment="1" applyBorder="1" applyFont="1">
      <alignment readingOrder="0"/>
    </xf>
    <xf borderId="65" fillId="0" fontId="3" numFmtId="3" xfId="0" applyAlignment="1" applyBorder="1" applyFont="1" applyNumberFormat="1">
      <alignment horizontal="center" readingOrder="0"/>
    </xf>
    <xf borderId="40" fillId="0" fontId="3" numFmtId="3" xfId="0" applyAlignment="1" applyBorder="1" applyFont="1" applyNumberFormat="1">
      <alignment horizontal="center" readingOrder="0"/>
    </xf>
    <xf borderId="41" fillId="0" fontId="3" numFmtId="3" xfId="0" applyAlignment="1" applyBorder="1" applyFont="1" applyNumberFormat="1">
      <alignment horizontal="center" readingOrder="0"/>
    </xf>
    <xf borderId="75" fillId="0" fontId="3" numFmtId="0" xfId="0" applyAlignment="1" applyBorder="1" applyFont="1">
      <alignment readingOrder="0"/>
    </xf>
    <xf borderId="75" fillId="0" fontId="3" numFmtId="3" xfId="0" applyAlignment="1" applyBorder="1" applyFont="1" applyNumberFormat="1">
      <alignment horizontal="center" readingOrder="0"/>
    </xf>
    <xf borderId="48" fillId="0" fontId="3" numFmtId="3" xfId="0" applyAlignment="1" applyBorder="1" applyFont="1" applyNumberFormat="1">
      <alignment horizontal="center" readingOrder="0"/>
    </xf>
    <xf borderId="65" fillId="0" fontId="3" numFmtId="164" xfId="0" applyAlignment="1" applyBorder="1" applyFont="1" applyNumberFormat="1">
      <alignment horizontal="center"/>
    </xf>
    <xf borderId="40" fillId="0" fontId="3" numFmtId="164" xfId="0" applyAlignment="1" applyBorder="1" applyFont="1" applyNumberFormat="1">
      <alignment horizontal="center"/>
    </xf>
    <xf borderId="41" fillId="0" fontId="3" numFmtId="164" xfId="0" applyAlignment="1" applyBorder="1" applyFont="1" applyNumberFormat="1">
      <alignment horizontal="center"/>
    </xf>
    <xf borderId="70" fillId="0" fontId="3" numFmtId="164" xfId="0" applyAlignment="1" applyBorder="1" applyFont="1" applyNumberFormat="1">
      <alignment horizontal="center"/>
    </xf>
    <xf borderId="77" fillId="0" fontId="3" numFmtId="164" xfId="0" applyAlignment="1" applyBorder="1" applyFont="1" applyNumberFormat="1">
      <alignment horizontal="center"/>
    </xf>
    <xf borderId="50" fillId="0" fontId="3" numFmtId="164" xfId="0" applyAlignment="1" applyBorder="1" applyFont="1" applyNumberFormat="1">
      <alignment horizontal="center"/>
    </xf>
    <xf borderId="52" fillId="0" fontId="3" numFmtId="164" xfId="0" applyAlignment="1" applyBorder="1" applyFont="1" applyNumberFormat="1">
      <alignment horizontal="center"/>
    </xf>
    <xf borderId="78" fillId="0" fontId="4" numFmtId="0" xfId="0" applyBorder="1" applyFont="1"/>
    <xf borderId="79" fillId="0" fontId="4" numFmtId="0" xfId="0" applyAlignment="1" applyBorder="1" applyFont="1">
      <alignment readingOrder="0"/>
    </xf>
    <xf borderId="79" fillId="0" fontId="4" numFmtId="164" xfId="0" applyAlignment="1" applyBorder="1" applyFont="1" applyNumberFormat="1">
      <alignment horizontal="center"/>
    </xf>
    <xf borderId="80" fillId="0" fontId="4"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hOQf6Ug1WpoicMyFDGoqH7tmf3Njjc15Z1DGERaTbnI/"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6" width="10.88"/>
  </cols>
  <sheetData>
    <row r="2">
      <c r="B2" s="1" t="s">
        <v>0</v>
      </c>
      <c r="C2" s="2"/>
      <c r="D2" s="2"/>
      <c r="E2" s="2"/>
      <c r="F2" s="2"/>
      <c r="G2" s="2"/>
      <c r="H2" s="2"/>
      <c r="I2" s="3"/>
    </row>
    <row r="3">
      <c r="B3" s="4"/>
      <c r="I3" s="5"/>
    </row>
    <row r="4">
      <c r="B4" s="4"/>
      <c r="I4" s="5"/>
    </row>
    <row r="5">
      <c r="B5" s="4"/>
      <c r="I5" s="5"/>
    </row>
    <row r="6">
      <c r="B6" s="4"/>
      <c r="I6" s="5"/>
    </row>
    <row r="7">
      <c r="B7" s="4"/>
      <c r="I7" s="5"/>
    </row>
    <row r="8">
      <c r="B8" s="7"/>
      <c r="C8" s="8"/>
      <c r="D8" s="8"/>
      <c r="E8" s="8"/>
      <c r="F8" s="8"/>
      <c r="G8" s="8"/>
      <c r="H8" s="8"/>
      <c r="I8" s="9"/>
    </row>
    <row r="9">
      <c r="B9" s="11"/>
      <c r="C9" s="11"/>
      <c r="D9" s="11"/>
      <c r="E9" s="11"/>
      <c r="F9" s="11"/>
      <c r="G9" s="11"/>
      <c r="H9" s="11"/>
      <c r="I9" s="11"/>
    </row>
    <row r="11">
      <c r="B11" s="17" t="s">
        <v>4</v>
      </c>
      <c r="C11" s="19"/>
      <c r="D11" s="19"/>
      <c r="E11" s="19"/>
      <c r="F11" s="19"/>
      <c r="G11" s="20"/>
      <c r="H11" s="22" t="s">
        <v>9</v>
      </c>
      <c r="I11" s="27" t="str">
        <f>IFERROR(__xludf.DUMMYFUNCTION("IMPORTRANGE(""https://docs.google.com/spreadsheets/d/1LyeZB70UrgDgyjoBvDr9VsAwuvcesheuM08g2qeYr94/edit?usp=sharing"",""How we think about moral weights (start here)!I11"")"),"Nice. You're all set!")</f>
        <v>Nice. You're all set!</v>
      </c>
    </row>
    <row r="12">
      <c r="B12" s="28"/>
      <c r="C12" s="29"/>
      <c r="D12" s="29"/>
      <c r="E12" s="29"/>
      <c r="F12" s="29"/>
      <c r="G12" s="31"/>
      <c r="I12" s="33"/>
    </row>
    <row r="13">
      <c r="B13" s="6"/>
      <c r="C13" s="6"/>
      <c r="D13" s="6"/>
      <c r="E13" s="6"/>
      <c r="F13" s="6"/>
      <c r="G13" s="6"/>
    </row>
    <row r="17">
      <c r="M17" s="35"/>
    </row>
  </sheetData>
  <mergeCells count="4">
    <mergeCell ref="B2:I8"/>
    <mergeCell ref="B11:G12"/>
    <mergeCell ref="H11:H12"/>
    <mergeCell ref="I11:I12"/>
  </mergeCells>
  <hyperlinks>
    <hyperlink r:id="rId2" ref="B2"/>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33.0"/>
    <col customWidth="1" min="3" max="4" width="9.88"/>
    <col customWidth="1" min="5" max="5" width="36.88"/>
    <col customWidth="1" min="6" max="6" width="5.13"/>
    <col customWidth="1" min="7" max="7" width="14.13"/>
    <col customWidth="1" min="8" max="11" width="11.0"/>
    <col customWidth="1" min="12" max="12" width="5.13"/>
    <col customWidth="1" min="13" max="13" width="22.0"/>
    <col customWidth="1" min="14" max="15" width="11.25"/>
    <col customWidth="1" min="16" max="17" width="18.5"/>
  </cols>
  <sheetData>
    <row r="1">
      <c r="B1" s="6"/>
      <c r="E1" s="6"/>
    </row>
    <row r="2">
      <c r="B2" s="10" t="s">
        <v>1</v>
      </c>
      <c r="C2" s="12"/>
      <c r="D2" s="12"/>
      <c r="E2" s="12"/>
      <c r="F2" s="12"/>
      <c r="G2" s="12"/>
      <c r="H2" s="12"/>
      <c r="I2" s="12"/>
      <c r="J2" s="12"/>
      <c r="K2" s="13"/>
    </row>
    <row r="3">
      <c r="B3" s="6"/>
      <c r="E3" s="6"/>
    </row>
    <row r="4">
      <c r="B4" s="15" t="s">
        <v>3</v>
      </c>
      <c r="C4" s="18" t="s">
        <v>6</v>
      </c>
      <c r="D4" s="18" t="s">
        <v>7</v>
      </c>
      <c r="E4" s="21" t="s">
        <v>8</v>
      </c>
      <c r="F4" s="16"/>
      <c r="G4" s="23" t="s">
        <v>10</v>
      </c>
      <c r="H4" s="24"/>
      <c r="I4" s="24"/>
      <c r="J4" s="24"/>
      <c r="K4" s="25"/>
      <c r="M4" s="26" t="s">
        <v>13</v>
      </c>
      <c r="N4" s="2"/>
      <c r="O4" s="2"/>
      <c r="P4" s="2"/>
      <c r="Q4" s="3"/>
    </row>
    <row r="5">
      <c r="B5" s="30" t="s">
        <v>14</v>
      </c>
      <c r="C5" s="32"/>
      <c r="D5" s="32"/>
      <c r="E5" s="34"/>
      <c r="G5" s="36" t="s">
        <v>18</v>
      </c>
      <c r="H5" s="37" t="s">
        <v>20</v>
      </c>
      <c r="I5" s="37" t="s">
        <v>21</v>
      </c>
      <c r="J5" s="37" t="s">
        <v>22</v>
      </c>
      <c r="K5" s="38" t="s">
        <v>23</v>
      </c>
      <c r="M5" s="41" t="s">
        <v>24</v>
      </c>
      <c r="N5" s="42" t="s">
        <v>25</v>
      </c>
      <c r="O5" s="42" t="s">
        <v>27</v>
      </c>
      <c r="P5" s="43" t="s">
        <v>28</v>
      </c>
      <c r="Q5" s="45" t="s">
        <v>29</v>
      </c>
    </row>
    <row r="6">
      <c r="B6" s="46" t="s">
        <v>30</v>
      </c>
      <c r="C6" s="48">
        <v>1.0</v>
      </c>
      <c r="D6" s="49">
        <v>1.0</v>
      </c>
      <c r="E6" s="51" t="s">
        <v>32</v>
      </c>
      <c r="G6" s="52" t="s">
        <v>33</v>
      </c>
      <c r="H6" s="53"/>
      <c r="I6" s="54">
        <v>83.6</v>
      </c>
      <c r="J6" s="55">
        <v>0.0</v>
      </c>
      <c r="K6" s="56" t="s">
        <v>34</v>
      </c>
      <c r="M6" s="57" t="s">
        <v>35</v>
      </c>
      <c r="N6" s="58" t="s">
        <v>36</v>
      </c>
      <c r="O6" s="58"/>
      <c r="P6" s="60">
        <f>'Cost-effectiveness of top chari'!$AL40</f>
        <v>58.9</v>
      </c>
      <c r="Q6" s="62">
        <f>'Cost-effectiveness of top chari'!$AL41</f>
        <v>0</v>
      </c>
    </row>
    <row r="7">
      <c r="B7" s="63" t="s">
        <v>39</v>
      </c>
      <c r="C7" s="64">
        <f t="shared" ref="C7:D7" si="1">C6/ln(2)</f>
        <v>1.442695041</v>
      </c>
      <c r="D7" s="64">
        <f t="shared" si="1"/>
        <v>1.442695041</v>
      </c>
      <c r="E7" s="66" t="s">
        <v>40</v>
      </c>
      <c r="G7" s="68" t="s">
        <v>41</v>
      </c>
      <c r="H7" s="69"/>
      <c r="I7" s="70">
        <v>84.5</v>
      </c>
      <c r="J7" s="71">
        <v>0.0308</v>
      </c>
      <c r="K7" s="73" t="s">
        <v>34</v>
      </c>
      <c r="M7" s="74" t="s">
        <v>42</v>
      </c>
      <c r="N7" s="75" t="s">
        <v>43</v>
      </c>
      <c r="O7" s="75" t="s">
        <v>44</v>
      </c>
      <c r="P7" s="76">
        <f>'Cost-effectiveness of top chari'!$BI40</f>
        <v>41.6</v>
      </c>
      <c r="Q7" s="78">
        <f>'Cost-effectiveness of top chari'!$BI41</f>
        <v>0</v>
      </c>
    </row>
    <row r="8">
      <c r="B8" s="30" t="s">
        <v>45</v>
      </c>
      <c r="C8" s="32"/>
      <c r="D8" s="32"/>
      <c r="E8" s="34"/>
      <c r="G8" s="68" t="s">
        <v>46</v>
      </c>
      <c r="H8" s="69"/>
      <c r="I8" s="70">
        <v>100.7</v>
      </c>
      <c r="J8" s="71">
        <v>0.1912</v>
      </c>
      <c r="K8" s="79">
        <v>0.32</v>
      </c>
      <c r="M8" s="74" t="s">
        <v>42</v>
      </c>
      <c r="N8" s="75" t="s">
        <v>43</v>
      </c>
      <c r="O8" s="75" t="s">
        <v>47</v>
      </c>
      <c r="P8" s="76">
        <f>'Cost-effectiveness of top chari'!$BJ40</f>
        <v>32.7</v>
      </c>
      <c r="Q8" s="78">
        <f>'Cost-effectiveness of top chari'!$BJ41</f>
        <v>0</v>
      </c>
    </row>
    <row r="9">
      <c r="B9" s="46" t="s">
        <v>48</v>
      </c>
      <c r="C9" s="80"/>
      <c r="D9" s="81" t="s">
        <v>34</v>
      </c>
      <c r="E9" s="51" t="s">
        <v>49</v>
      </c>
      <c r="G9" s="68" t="s">
        <v>50</v>
      </c>
      <c r="H9" s="69"/>
      <c r="I9" s="70">
        <v>127.3</v>
      </c>
      <c r="J9" s="71">
        <v>0.3577</v>
      </c>
      <c r="K9" s="79">
        <v>0.68</v>
      </c>
      <c r="M9" s="74" t="s">
        <v>35</v>
      </c>
      <c r="N9" s="75" t="s">
        <v>51</v>
      </c>
      <c r="O9" s="75"/>
      <c r="P9" s="76">
        <f>'Cost-effectiveness of top chari'!$AK40</f>
        <v>32.6</v>
      </c>
      <c r="Q9" s="78">
        <f>'Cost-effectiveness of top chari'!$AK41</f>
        <v>0</v>
      </c>
    </row>
    <row r="10">
      <c r="B10" s="83" t="s">
        <v>52</v>
      </c>
      <c r="C10" s="84" t="str">
        <f t="shared" ref="C10:C15" si="2">IF(C$9="","-",D10*(1/C$9))</f>
        <v>-</v>
      </c>
      <c r="D10" s="85">
        <v>116.25</v>
      </c>
      <c r="E10" s="86" t="s">
        <v>53</v>
      </c>
      <c r="G10" s="68" t="s">
        <v>54</v>
      </c>
      <c r="H10" s="69"/>
      <c r="I10" s="70">
        <v>134.3</v>
      </c>
      <c r="J10" s="71">
        <v>0.0326</v>
      </c>
      <c r="K10" s="73" t="s">
        <v>34</v>
      </c>
      <c r="M10" s="74" t="s">
        <v>42</v>
      </c>
      <c r="N10" s="75" t="s">
        <v>43</v>
      </c>
      <c r="O10" s="75" t="s">
        <v>55</v>
      </c>
      <c r="P10" s="76">
        <f>'Cost-effectiveness of top chari'!$BH40</f>
        <v>31.4</v>
      </c>
      <c r="Q10" s="78">
        <f>'Cost-effectiveness of top chari'!$BH41</f>
        <v>0</v>
      </c>
    </row>
    <row r="11">
      <c r="B11" s="83" t="s">
        <v>56</v>
      </c>
      <c r="C11" s="84" t="str">
        <f t="shared" si="2"/>
        <v>-</v>
      </c>
      <c r="D11" s="85">
        <v>118.73</v>
      </c>
      <c r="E11" s="88"/>
      <c r="G11" s="68" t="s">
        <v>57</v>
      </c>
      <c r="H11" s="69"/>
      <c r="I11" s="70">
        <v>133.1</v>
      </c>
      <c r="J11" s="71">
        <v>0.0178</v>
      </c>
      <c r="K11" s="73" t="s">
        <v>34</v>
      </c>
      <c r="M11" s="74" t="s">
        <v>31</v>
      </c>
      <c r="N11" s="75" t="s">
        <v>43</v>
      </c>
      <c r="O11" s="75" t="s">
        <v>44</v>
      </c>
      <c r="P11" s="76">
        <f>'Cost-effectiveness of top chari'!$AA40</f>
        <v>29.6</v>
      </c>
      <c r="Q11" s="78">
        <f>'Cost-effectiveness of top chari'!$AA41</f>
        <v>0</v>
      </c>
    </row>
    <row r="12">
      <c r="B12" s="83" t="s">
        <v>58</v>
      </c>
      <c r="C12" s="84" t="str">
        <f t="shared" si="2"/>
        <v>-</v>
      </c>
      <c r="D12" s="85">
        <v>73.19</v>
      </c>
      <c r="E12" s="88"/>
      <c r="G12" s="68" t="s">
        <v>59</v>
      </c>
      <c r="H12" s="69"/>
      <c r="I12" s="70">
        <v>126.3</v>
      </c>
      <c r="J12" s="71">
        <v>0.0215</v>
      </c>
      <c r="K12" s="73" t="s">
        <v>34</v>
      </c>
      <c r="M12" s="74" t="s">
        <v>31</v>
      </c>
      <c r="N12" s="75" t="s">
        <v>43</v>
      </c>
      <c r="O12" s="75" t="s">
        <v>55</v>
      </c>
      <c r="P12" s="76">
        <f>'Cost-effectiveness of top chari'!$V40</f>
        <v>29.2</v>
      </c>
      <c r="Q12" s="78">
        <f>'Cost-effectiveness of top chari'!$V41</f>
        <v>0</v>
      </c>
    </row>
    <row r="13">
      <c r="B13" s="83" t="s">
        <v>60</v>
      </c>
      <c r="C13" s="84" t="str">
        <f t="shared" si="2"/>
        <v>-</v>
      </c>
      <c r="D13" s="85">
        <v>133.7</v>
      </c>
      <c r="E13" s="88"/>
      <c r="G13" s="68" t="s">
        <v>61</v>
      </c>
      <c r="H13" s="69"/>
      <c r="I13" s="70">
        <v>118.0</v>
      </c>
      <c r="J13" s="71">
        <v>0.0221</v>
      </c>
      <c r="K13" s="73" t="s">
        <v>34</v>
      </c>
      <c r="M13" s="74" t="s">
        <v>35</v>
      </c>
      <c r="N13" s="75" t="s">
        <v>43</v>
      </c>
      <c r="O13" s="75" t="s">
        <v>62</v>
      </c>
      <c r="P13" s="76">
        <f>'Cost-effectiveness of top chari'!$BA40</f>
        <v>28.7</v>
      </c>
      <c r="Q13" s="78">
        <f>'Cost-effectiveness of top chari'!$BA41</f>
        <v>0</v>
      </c>
    </row>
    <row r="14">
      <c r="B14" s="83" t="s">
        <v>63</v>
      </c>
      <c r="C14" s="84" t="str">
        <f t="shared" si="2"/>
        <v>-</v>
      </c>
      <c r="D14" s="85">
        <v>103.59</v>
      </c>
      <c r="E14" s="88"/>
      <c r="G14" s="68" t="s">
        <v>64</v>
      </c>
      <c r="H14" s="69"/>
      <c r="I14" s="70">
        <v>112.7</v>
      </c>
      <c r="J14" s="71">
        <v>0.019</v>
      </c>
      <c r="K14" s="73" t="s">
        <v>34</v>
      </c>
      <c r="M14" s="74" t="s">
        <v>31</v>
      </c>
      <c r="N14" s="75" t="s">
        <v>43</v>
      </c>
      <c r="O14" s="75" t="s">
        <v>65</v>
      </c>
      <c r="P14" s="76">
        <f>'Cost-effectiveness of top chari'!$Y40</f>
        <v>24.2</v>
      </c>
      <c r="Q14" s="78">
        <f>'Cost-effectiveness of top chari'!$Y41</f>
        <v>0</v>
      </c>
    </row>
    <row r="15">
      <c r="B15" s="63" t="s">
        <v>66</v>
      </c>
      <c r="C15" s="84" t="str">
        <f t="shared" si="2"/>
        <v>-</v>
      </c>
      <c r="D15" s="89">
        <v>42.44</v>
      </c>
      <c r="E15" s="88"/>
      <c r="G15" s="68" t="s">
        <v>67</v>
      </c>
      <c r="H15" s="69"/>
      <c r="I15" s="70">
        <v>106.3</v>
      </c>
      <c r="J15" s="71">
        <v>0.0189</v>
      </c>
      <c r="K15" s="73" t="s">
        <v>34</v>
      </c>
      <c r="M15" s="74" t="s">
        <v>42</v>
      </c>
      <c r="N15" s="75" t="s">
        <v>43</v>
      </c>
      <c r="O15" s="75" t="s">
        <v>68</v>
      </c>
      <c r="P15" s="76">
        <f>'Cost-effectiveness of top chari'!$BB40</f>
        <v>21.4</v>
      </c>
      <c r="Q15" s="78">
        <f>'Cost-effectiveness of top chari'!$BB41</f>
        <v>0</v>
      </c>
    </row>
    <row r="16">
      <c r="B16" s="30" t="s">
        <v>69</v>
      </c>
      <c r="C16" s="32"/>
      <c r="D16" s="32"/>
      <c r="E16" s="34"/>
      <c r="G16" s="68" t="s">
        <v>71</v>
      </c>
      <c r="H16" s="69"/>
      <c r="I16" s="70">
        <v>99.7</v>
      </c>
      <c r="J16" s="71">
        <v>0.0209</v>
      </c>
      <c r="K16" s="73" t="s">
        <v>34</v>
      </c>
      <c r="M16" s="74" t="s">
        <v>26</v>
      </c>
      <c r="N16" s="75" t="s">
        <v>73</v>
      </c>
      <c r="O16" s="95"/>
      <c r="P16" s="76">
        <f>'Cost-effectiveness of top chari'!$F40</f>
        <v>22.6</v>
      </c>
      <c r="Q16" s="78">
        <f>'Cost-effectiveness of top chari'!$F41</f>
        <v>0</v>
      </c>
    </row>
    <row r="17">
      <c r="B17" s="46" t="s">
        <v>52</v>
      </c>
      <c r="C17" s="80"/>
      <c r="D17" s="97">
        <v>116.25</v>
      </c>
      <c r="E17" s="98" t="s">
        <v>79</v>
      </c>
      <c r="G17" s="68" t="s">
        <v>80</v>
      </c>
      <c r="H17" s="69"/>
      <c r="I17" s="70">
        <v>86.4</v>
      </c>
      <c r="J17" s="71">
        <v>0.0248</v>
      </c>
      <c r="K17" s="73" t="s">
        <v>34</v>
      </c>
      <c r="M17" s="74" t="s">
        <v>35</v>
      </c>
      <c r="N17" s="75" t="s">
        <v>77</v>
      </c>
      <c r="O17" s="75"/>
      <c r="P17" s="76">
        <f>'Cost-effectiveness of top chari'!$AD40</f>
        <v>22.4</v>
      </c>
      <c r="Q17" s="78">
        <f>'Cost-effectiveness of top chari'!$AD41</f>
        <v>0</v>
      </c>
    </row>
    <row r="18">
      <c r="B18" s="83" t="s">
        <v>56</v>
      </c>
      <c r="C18" s="100"/>
      <c r="D18" s="85">
        <v>118.73</v>
      </c>
      <c r="E18" s="88"/>
      <c r="G18" s="68" t="s">
        <v>84</v>
      </c>
      <c r="H18" s="69"/>
      <c r="I18" s="70">
        <v>75.7</v>
      </c>
      <c r="J18" s="71">
        <v>0.0271</v>
      </c>
      <c r="K18" s="73" t="s">
        <v>34</v>
      </c>
      <c r="M18" s="74" t="s">
        <v>31</v>
      </c>
      <c r="N18" s="75" t="s">
        <v>43</v>
      </c>
      <c r="O18" s="75" t="s">
        <v>86</v>
      </c>
      <c r="P18" s="76">
        <f>'Cost-effectiveness of top chari'!$X40</f>
        <v>22.2</v>
      </c>
      <c r="Q18" s="78">
        <f>'Cost-effectiveness of top chari'!$X41</f>
        <v>0</v>
      </c>
    </row>
    <row r="19">
      <c r="B19" s="83" t="s">
        <v>58</v>
      </c>
      <c r="C19" s="100"/>
      <c r="D19" s="85">
        <v>73.19</v>
      </c>
      <c r="E19" s="88"/>
      <c r="G19" s="68" t="s">
        <v>87</v>
      </c>
      <c r="H19" s="69"/>
      <c r="I19" s="70">
        <v>65.2</v>
      </c>
      <c r="J19" s="71">
        <v>0.0329</v>
      </c>
      <c r="K19" s="73" t="s">
        <v>34</v>
      </c>
      <c r="M19" s="74" t="s">
        <v>35</v>
      </c>
      <c r="N19" s="75" t="s">
        <v>43</v>
      </c>
      <c r="O19" s="75" t="s">
        <v>88</v>
      </c>
      <c r="P19" s="76">
        <f>'Cost-effectiveness of top chari'!$AM40</f>
        <v>21.3</v>
      </c>
      <c r="Q19" s="78">
        <f>'Cost-effectiveness of top chari'!$AM41</f>
        <v>0</v>
      </c>
    </row>
    <row r="20">
      <c r="B20" s="83" t="s">
        <v>60</v>
      </c>
      <c r="C20" s="100"/>
      <c r="D20" s="85">
        <v>133.7</v>
      </c>
      <c r="E20" s="88"/>
      <c r="G20" s="68" t="s">
        <v>89</v>
      </c>
      <c r="H20" s="69"/>
      <c r="I20" s="70">
        <v>54.8</v>
      </c>
      <c r="J20" s="71">
        <v>0.0369</v>
      </c>
      <c r="K20" s="73" t="s">
        <v>34</v>
      </c>
      <c r="M20" s="74" t="s">
        <v>31</v>
      </c>
      <c r="N20" s="75" t="s">
        <v>43</v>
      </c>
      <c r="O20" s="75" t="s">
        <v>68</v>
      </c>
      <c r="P20" s="76">
        <f>'Cost-effectiveness of top chari'!$S40</f>
        <v>21.1</v>
      </c>
      <c r="Q20" s="78">
        <f>'Cost-effectiveness of top chari'!$S41</f>
        <v>0</v>
      </c>
    </row>
    <row r="21">
      <c r="B21" s="83" t="s">
        <v>63</v>
      </c>
      <c r="C21" s="100"/>
      <c r="D21" s="85">
        <v>103.59</v>
      </c>
      <c r="E21" s="88"/>
      <c r="G21" s="68" t="s">
        <v>90</v>
      </c>
      <c r="H21" s="69"/>
      <c r="I21" s="70">
        <v>39.6</v>
      </c>
      <c r="J21" s="71">
        <v>0.0416</v>
      </c>
      <c r="K21" s="73" t="s">
        <v>34</v>
      </c>
      <c r="M21" s="74" t="s">
        <v>31</v>
      </c>
      <c r="N21" s="75" t="s">
        <v>43</v>
      </c>
      <c r="O21" s="75" t="s">
        <v>91</v>
      </c>
      <c r="P21" s="76">
        <f>'Cost-effectiveness of top chari'!$W40</f>
        <v>20.9</v>
      </c>
      <c r="Q21" s="78">
        <f>'Cost-effectiveness of top chari'!$W41</f>
        <v>0</v>
      </c>
    </row>
    <row r="22">
      <c r="B22" s="63" t="s">
        <v>66</v>
      </c>
      <c r="C22" s="102"/>
      <c r="D22" s="89">
        <v>42.44</v>
      </c>
      <c r="E22" s="103"/>
      <c r="G22" s="68" t="s">
        <v>92</v>
      </c>
      <c r="H22" s="69"/>
      <c r="I22" s="70">
        <v>31.4</v>
      </c>
      <c r="J22" s="71">
        <v>0.0374</v>
      </c>
      <c r="K22" s="73" t="s">
        <v>34</v>
      </c>
      <c r="M22" s="74" t="s">
        <v>42</v>
      </c>
      <c r="N22" s="75" t="s">
        <v>43</v>
      </c>
      <c r="O22" s="75" t="s">
        <v>93</v>
      </c>
      <c r="P22" s="76">
        <f>'Cost-effectiveness of top chari'!$BG40</f>
        <v>17.8</v>
      </c>
      <c r="Q22" s="78">
        <f>'Cost-effectiveness of top chari'!$BG41</f>
        <v>0</v>
      </c>
    </row>
    <row r="23">
      <c r="B23" s="30" t="s">
        <v>94</v>
      </c>
      <c r="C23" s="32"/>
      <c r="D23" s="32"/>
      <c r="E23" s="34"/>
      <c r="G23" s="68" t="s">
        <v>95</v>
      </c>
      <c r="H23" s="69"/>
      <c r="I23" s="70">
        <v>21.2</v>
      </c>
      <c r="J23" s="71">
        <v>0.0407</v>
      </c>
      <c r="K23" s="73" t="s">
        <v>34</v>
      </c>
      <c r="M23" s="74" t="s">
        <v>42</v>
      </c>
      <c r="N23" s="75" t="s">
        <v>43</v>
      </c>
      <c r="O23" s="75" t="s">
        <v>96</v>
      </c>
      <c r="P23" s="76">
        <f>'Cost-effectiveness of top chari'!$BD40</f>
        <v>19.5</v>
      </c>
      <c r="Q23" s="78">
        <f>'Cost-effectiveness of top chari'!$BD41</f>
        <v>0</v>
      </c>
    </row>
    <row r="24">
      <c r="B24" s="46" t="s">
        <v>52</v>
      </c>
      <c r="C24" s="111" t="str">
        <f>IF(H9="","-",SUMPRODUCT(H6:H9,J6:J9)/SUM(J6:J9))</f>
        <v>-</v>
      </c>
      <c r="D24" s="97">
        <v>116.25</v>
      </c>
      <c r="E24" s="98" t="s">
        <v>106</v>
      </c>
      <c r="G24" s="68" t="s">
        <v>108</v>
      </c>
      <c r="H24" s="69"/>
      <c r="I24" s="70">
        <v>16.5</v>
      </c>
      <c r="J24" s="71">
        <v>0.0182</v>
      </c>
      <c r="K24" s="73" t="s">
        <v>34</v>
      </c>
      <c r="M24" s="74" t="s">
        <v>31</v>
      </c>
      <c r="N24" s="75" t="s">
        <v>43</v>
      </c>
      <c r="O24" s="75" t="s">
        <v>104</v>
      </c>
      <c r="P24" s="76">
        <f>'Cost-effectiveness of top chari'!$T40</f>
        <v>17.9</v>
      </c>
      <c r="Q24" s="78">
        <f>'Cost-effectiveness of top chari'!$T41</f>
        <v>0</v>
      </c>
    </row>
    <row r="25">
      <c r="B25" s="83" t="s">
        <v>56</v>
      </c>
      <c r="C25" s="84" t="str">
        <f>IF(H9="","-",SUMPRODUCT(H8:H9,K8:K9)/SUM(K8:K9))</f>
        <v>-</v>
      </c>
      <c r="D25" s="85">
        <v>118.73</v>
      </c>
      <c r="E25" s="88"/>
      <c r="G25" s="68" t="s">
        <v>124</v>
      </c>
      <c r="H25" s="69"/>
      <c r="I25" s="70">
        <v>12.4</v>
      </c>
      <c r="J25" s="71">
        <v>0.0065</v>
      </c>
      <c r="K25" s="73" t="s">
        <v>34</v>
      </c>
      <c r="M25" s="74" t="s">
        <v>31</v>
      </c>
      <c r="N25" s="75" t="s">
        <v>77</v>
      </c>
      <c r="O25" s="114"/>
      <c r="P25" s="76">
        <f>'Cost-effectiveness of top chari'!$L40</f>
        <v>17.9</v>
      </c>
      <c r="Q25" s="78">
        <f>'Cost-effectiveness of top chari'!$L41</f>
        <v>0</v>
      </c>
    </row>
    <row r="26">
      <c r="B26" s="83" t="s">
        <v>58</v>
      </c>
      <c r="C26" s="84" t="str">
        <f>IF(H9="","-",SUMPRODUCT(H10:H26,J10:J26)/SUM(J10:J26))</f>
        <v>-</v>
      </c>
      <c r="D26" s="85">
        <v>73.19</v>
      </c>
      <c r="E26" s="88"/>
      <c r="G26" s="116" t="s">
        <v>134</v>
      </c>
      <c r="H26" s="117"/>
      <c r="I26" s="118">
        <v>12.4</v>
      </c>
      <c r="J26" s="119">
        <v>0.0013</v>
      </c>
      <c r="K26" s="121" t="s">
        <v>34</v>
      </c>
      <c r="M26" s="74" t="s">
        <v>35</v>
      </c>
      <c r="N26" s="75" t="s">
        <v>72</v>
      </c>
      <c r="O26" s="75"/>
      <c r="P26" s="76">
        <f>'Cost-effectiveness of top chari'!$AG40</f>
        <v>16.8</v>
      </c>
      <c r="Q26" s="78">
        <f>'Cost-effectiveness of top chari'!$AG41</f>
        <v>0</v>
      </c>
    </row>
    <row r="27">
      <c r="B27" s="83" t="s">
        <v>60</v>
      </c>
      <c r="C27" s="84" t="str">
        <f>IFERROR(AVERAGE(H10:H11),"-")</f>
        <v>-</v>
      </c>
      <c r="D27" s="85">
        <v>133.7</v>
      </c>
      <c r="E27" s="88"/>
      <c r="M27" s="74" t="s">
        <v>26</v>
      </c>
      <c r="N27" s="75" t="s">
        <v>43</v>
      </c>
      <c r="O27" s="75" t="s">
        <v>97</v>
      </c>
      <c r="P27" s="76">
        <f>'Cost-effectiveness of top chari'!$G40</f>
        <v>16.7</v>
      </c>
      <c r="Q27" s="78">
        <f>'Cost-effectiveness of top chari'!$G41</f>
        <v>0</v>
      </c>
    </row>
    <row r="28">
      <c r="B28" s="83" t="s">
        <v>63</v>
      </c>
      <c r="C28" s="84" t="str">
        <f>IFERROR(AVERAGE(H12:H18),"-")</f>
        <v>-</v>
      </c>
      <c r="D28" s="85">
        <v>103.59</v>
      </c>
      <c r="E28" s="88"/>
      <c r="M28" s="74" t="s">
        <v>31</v>
      </c>
      <c r="N28" s="75" t="s">
        <v>43</v>
      </c>
      <c r="O28" s="75" t="s">
        <v>105</v>
      </c>
      <c r="P28" s="76">
        <f>'Cost-effectiveness of top chari'!$U40</f>
        <v>16</v>
      </c>
      <c r="Q28" s="78">
        <f>'Cost-effectiveness of top chari'!$U41</f>
        <v>0</v>
      </c>
    </row>
    <row r="29">
      <c r="B29" s="63" t="s">
        <v>66</v>
      </c>
      <c r="C29" s="132" t="str">
        <f>IFERROR(AVERAGE(H19:H23),"-")</f>
        <v>-</v>
      </c>
      <c r="D29" s="89">
        <v>42.44</v>
      </c>
      <c r="E29" s="88"/>
      <c r="M29" s="74" t="s">
        <v>31</v>
      </c>
      <c r="N29" s="75" t="s">
        <v>43</v>
      </c>
      <c r="O29" s="75" t="s">
        <v>107</v>
      </c>
      <c r="P29" s="76">
        <f>'Cost-effectiveness of top chari'!$Z40</f>
        <v>15.9</v>
      </c>
      <c r="Q29" s="78">
        <f>'Cost-effectiveness of top chari'!$Z41</f>
        <v>0</v>
      </c>
    </row>
    <row r="30">
      <c r="B30" s="134" t="s">
        <v>137</v>
      </c>
      <c r="C30" s="135"/>
      <c r="D30" s="136"/>
      <c r="E30" s="138" t="s">
        <v>138</v>
      </c>
      <c r="M30" s="74" t="s">
        <v>35</v>
      </c>
      <c r="N30" s="75" t="s">
        <v>81</v>
      </c>
      <c r="O30" s="75"/>
      <c r="P30" s="76">
        <f>'Cost-effectiveness of top chari'!$AE40</f>
        <v>15.8</v>
      </c>
      <c r="Q30" s="78">
        <f>'Cost-effectiveness of top chari'!$AE41</f>
        <v>0</v>
      </c>
    </row>
    <row r="31">
      <c r="B31" s="6"/>
      <c r="E31" s="139"/>
      <c r="M31" s="74" t="s">
        <v>35</v>
      </c>
      <c r="N31" s="75" t="s">
        <v>85</v>
      </c>
      <c r="O31" s="75"/>
      <c r="P31" s="76">
        <f>'Cost-effectiveness of top chari'!$AJ40</f>
        <v>15.8</v>
      </c>
      <c r="Q31" s="78">
        <f>'Cost-effectiveness of top chari'!$AJ41</f>
        <v>0</v>
      </c>
    </row>
    <row r="32">
      <c r="B32" s="6"/>
      <c r="E32" s="139"/>
      <c r="M32" s="74" t="s">
        <v>26</v>
      </c>
      <c r="N32" s="75" t="s">
        <v>76</v>
      </c>
      <c r="O32" s="95"/>
      <c r="P32" s="76">
        <f>'Cost-effectiveness of top chari'!$K40</f>
        <v>15.5</v>
      </c>
      <c r="Q32" s="78">
        <f>'Cost-effectiveness of top chari'!$K41</f>
        <v>0</v>
      </c>
    </row>
    <row r="33">
      <c r="M33" s="74" t="s">
        <v>26</v>
      </c>
      <c r="N33" s="75" t="s">
        <v>72</v>
      </c>
      <c r="O33" s="95"/>
      <c r="P33" s="76">
        <f>'Cost-effectiveness of top chari'!$E40</f>
        <v>14.5</v>
      </c>
      <c r="Q33" s="78">
        <f>'Cost-effectiveness of top chari'!$E41</f>
        <v>0</v>
      </c>
    </row>
    <row r="34">
      <c r="M34" s="74" t="s">
        <v>35</v>
      </c>
      <c r="N34" s="75" t="s">
        <v>43</v>
      </c>
      <c r="O34" s="75" t="s">
        <v>114</v>
      </c>
      <c r="P34" s="76">
        <f>'Cost-effectiveness of top chari'!$AR40</f>
        <v>13.4</v>
      </c>
      <c r="Q34" s="78">
        <f>'Cost-effectiveness of top chari'!$AR41</f>
        <v>0</v>
      </c>
    </row>
    <row r="35">
      <c r="M35" s="74" t="s">
        <v>42</v>
      </c>
      <c r="N35" s="75" t="s">
        <v>43</v>
      </c>
      <c r="O35" s="75" t="s">
        <v>123</v>
      </c>
      <c r="P35" s="76">
        <f>'Cost-effectiveness of top chari'!$BF40</f>
        <v>13.3</v>
      </c>
      <c r="Q35" s="78">
        <f>'Cost-effectiveness of top chari'!$BF41</f>
        <v>0</v>
      </c>
    </row>
    <row r="36">
      <c r="M36" s="74" t="s">
        <v>26</v>
      </c>
      <c r="N36" s="75" t="s">
        <v>43</v>
      </c>
      <c r="O36" s="75" t="s">
        <v>98</v>
      </c>
      <c r="P36" s="76">
        <f>'Cost-effectiveness of top chari'!$H40</f>
        <v>13.2</v>
      </c>
      <c r="Q36" s="78">
        <f>'Cost-effectiveness of top chari'!$H41</f>
        <v>0</v>
      </c>
    </row>
    <row r="37">
      <c r="M37" s="74" t="s">
        <v>31</v>
      </c>
      <c r="N37" s="75" t="s">
        <v>72</v>
      </c>
      <c r="O37" s="75" t="s">
        <v>102</v>
      </c>
      <c r="P37" s="76">
        <f>'Cost-effectiveness of top chari'!$Q40</f>
        <v>12.5</v>
      </c>
      <c r="Q37" s="78">
        <f>'Cost-effectiveness of top chari'!$Q41</f>
        <v>0</v>
      </c>
    </row>
    <row r="38">
      <c r="M38" s="74" t="s">
        <v>35</v>
      </c>
      <c r="N38" s="75" t="s">
        <v>43</v>
      </c>
      <c r="O38" s="75" t="s">
        <v>86</v>
      </c>
      <c r="P38" s="76">
        <f>'Cost-effectiveness of top chari'!$AW40</f>
        <v>11.9</v>
      </c>
      <c r="Q38" s="78">
        <f>'Cost-effectiveness of top chari'!$AW41</f>
        <v>0</v>
      </c>
    </row>
    <row r="39">
      <c r="B39" s="6"/>
      <c r="E39" s="6"/>
      <c r="M39" s="74" t="s">
        <v>31</v>
      </c>
      <c r="N39" s="75" t="s">
        <v>78</v>
      </c>
      <c r="O39" s="75" t="s">
        <v>103</v>
      </c>
      <c r="P39" s="76">
        <f>'Cost-effectiveness of top chari'!$R40</f>
        <v>11.4</v>
      </c>
      <c r="Q39" s="78">
        <f>'Cost-effectiveness of top chari'!$R41</f>
        <v>0</v>
      </c>
    </row>
    <row r="40">
      <c r="B40" s="6"/>
      <c r="E40" s="6"/>
      <c r="M40" s="74" t="s">
        <v>42</v>
      </c>
      <c r="N40" s="75" t="s">
        <v>43</v>
      </c>
      <c r="O40" s="75" t="s">
        <v>121</v>
      </c>
      <c r="P40" s="76">
        <f>'Cost-effectiveness of top chari'!$BC40</f>
        <v>10.8</v>
      </c>
      <c r="Q40" s="78">
        <f>'Cost-effectiveness of top chari'!$BC41</f>
        <v>0</v>
      </c>
    </row>
    <row r="41">
      <c r="B41" s="6"/>
      <c r="E41" s="6"/>
      <c r="M41" s="74" t="s">
        <v>35</v>
      </c>
      <c r="N41" s="75" t="s">
        <v>73</v>
      </c>
      <c r="O41" s="75"/>
      <c r="P41" s="76">
        <f>'Cost-effectiveness of top chari'!$AH40</f>
        <v>10.9</v>
      </c>
      <c r="Q41" s="78">
        <f>'Cost-effectiveness of top chari'!$AH41</f>
        <v>0</v>
      </c>
    </row>
    <row r="42">
      <c r="B42" s="6"/>
      <c r="E42" s="6"/>
      <c r="M42" s="74" t="s">
        <v>31</v>
      </c>
      <c r="N42" s="75" t="s">
        <v>75</v>
      </c>
      <c r="O42" s="114"/>
      <c r="P42" s="76">
        <f>'Cost-effectiveness of top chari'!$AB40</f>
        <v>10.5</v>
      </c>
      <c r="Q42" s="78">
        <f>'Cost-effectiveness of top chari'!$AB41</f>
        <v>0</v>
      </c>
    </row>
    <row r="43">
      <c r="B43" s="6"/>
      <c r="E43" s="6"/>
      <c r="M43" s="74" t="s">
        <v>31</v>
      </c>
      <c r="N43" s="75" t="s">
        <v>76</v>
      </c>
      <c r="O43" s="75" t="s">
        <v>109</v>
      </c>
      <c r="P43" s="76">
        <f>'Cost-effectiveness of top chari'!$AC40</f>
        <v>10.3</v>
      </c>
      <c r="Q43" s="78">
        <f>'Cost-effectiveness of top chari'!$AC41</f>
        <v>0</v>
      </c>
    </row>
    <row r="44">
      <c r="B44" s="6"/>
      <c r="E44" s="6"/>
      <c r="M44" s="74" t="s">
        <v>35</v>
      </c>
      <c r="N44" s="75" t="s">
        <v>43</v>
      </c>
      <c r="O44" s="75" t="s">
        <v>112</v>
      </c>
      <c r="P44" s="76">
        <f>'Cost-effectiveness of top chari'!$AP40</f>
        <v>9.5</v>
      </c>
      <c r="Q44" s="78">
        <f>'Cost-effectiveness of top chari'!$AP41</f>
        <v>0</v>
      </c>
    </row>
    <row r="45">
      <c r="B45" s="6"/>
      <c r="E45" s="6"/>
      <c r="M45" s="74" t="s">
        <v>31</v>
      </c>
      <c r="N45" s="75" t="s">
        <v>72</v>
      </c>
      <c r="O45" s="75" t="s">
        <v>100</v>
      </c>
      <c r="P45" s="76">
        <f>'Cost-effectiveness of top chari'!$O40</f>
        <v>9.2</v>
      </c>
      <c r="Q45" s="78">
        <f>'Cost-effectiveness of top chari'!$O41</f>
        <v>0</v>
      </c>
    </row>
    <row r="46">
      <c r="B46" s="6"/>
      <c r="E46" s="6"/>
      <c r="M46" s="74" t="s">
        <v>31</v>
      </c>
      <c r="N46" s="75" t="s">
        <v>72</v>
      </c>
      <c r="O46" s="75" t="s">
        <v>101</v>
      </c>
      <c r="P46" s="76">
        <f>'Cost-effectiveness of top chari'!$P40</f>
        <v>9</v>
      </c>
      <c r="Q46" s="78">
        <f>'Cost-effectiveness of top chari'!$P41</f>
        <v>0</v>
      </c>
    </row>
    <row r="47">
      <c r="B47" s="6"/>
      <c r="E47" s="6"/>
      <c r="M47" s="74" t="s">
        <v>26</v>
      </c>
      <c r="N47" s="75" t="s">
        <v>75</v>
      </c>
      <c r="O47" s="95"/>
      <c r="P47" s="76">
        <f>'Cost-effectiveness of top chari'!$J40</f>
        <v>8.7</v>
      </c>
      <c r="Q47" s="78">
        <f>'Cost-effectiveness of top chari'!$J41</f>
        <v>0</v>
      </c>
    </row>
    <row r="48">
      <c r="B48" s="6"/>
      <c r="E48" s="6"/>
      <c r="M48" s="74" t="s">
        <v>35</v>
      </c>
      <c r="N48" s="75" t="s">
        <v>82</v>
      </c>
      <c r="O48" s="75"/>
      <c r="P48" s="76">
        <f>'Cost-effectiveness of top chari'!$AF40</f>
        <v>8.5</v>
      </c>
      <c r="Q48" s="78">
        <f>'Cost-effectiveness of top chari'!$AF41</f>
        <v>0</v>
      </c>
    </row>
    <row r="49">
      <c r="B49" s="6"/>
      <c r="E49" s="6"/>
      <c r="M49" s="74" t="s">
        <v>42</v>
      </c>
      <c r="N49" s="75" t="s">
        <v>43</v>
      </c>
      <c r="O49" s="75" t="s">
        <v>36</v>
      </c>
      <c r="P49" s="76">
        <f>'Cost-effectiveness of top chari'!$CD40</f>
        <v>3.4</v>
      </c>
      <c r="Q49" s="78">
        <f>'Cost-effectiveness of top chari'!$CD41</f>
        <v>0</v>
      </c>
    </row>
    <row r="50">
      <c r="B50" s="6"/>
      <c r="E50" s="6"/>
      <c r="M50" s="74" t="s">
        <v>31</v>
      </c>
      <c r="N50" s="75" t="s">
        <v>70</v>
      </c>
      <c r="O50" s="114"/>
      <c r="P50" s="76">
        <f>'Cost-effectiveness of top chari'!$M40</f>
        <v>8</v>
      </c>
      <c r="Q50" s="78">
        <f>'Cost-effectiveness of top chari'!$M41</f>
        <v>0</v>
      </c>
    </row>
    <row r="51">
      <c r="B51" s="6"/>
      <c r="E51" s="6"/>
      <c r="M51" s="74" t="s">
        <v>42</v>
      </c>
      <c r="N51" s="75" t="s">
        <v>43</v>
      </c>
      <c r="O51" s="75" t="s">
        <v>62</v>
      </c>
      <c r="P51" s="76">
        <f>'Cost-effectiveness of top chari'!$CK40</f>
        <v>1.6</v>
      </c>
      <c r="Q51" s="78">
        <f>'Cost-effectiveness of top chari'!$CK41</f>
        <v>0</v>
      </c>
    </row>
    <row r="52">
      <c r="B52" s="6"/>
      <c r="E52" s="6"/>
      <c r="M52" s="74" t="s">
        <v>31</v>
      </c>
      <c r="N52" s="75" t="s">
        <v>72</v>
      </c>
      <c r="O52" s="75" t="s">
        <v>99</v>
      </c>
      <c r="P52" s="76">
        <f>'Cost-effectiveness of top chari'!$N40</f>
        <v>7.8</v>
      </c>
      <c r="Q52" s="78">
        <f>'Cost-effectiveness of top chari'!$N41</f>
        <v>0</v>
      </c>
    </row>
    <row r="53">
      <c r="B53" s="6"/>
      <c r="E53" s="6"/>
      <c r="M53" s="74" t="s">
        <v>35</v>
      </c>
      <c r="N53" s="75" t="s">
        <v>43</v>
      </c>
      <c r="O53" s="75" t="s">
        <v>120</v>
      </c>
      <c r="P53" s="76">
        <f>'Cost-effectiveness of top chari'!$AZ40</f>
        <v>7.6</v>
      </c>
      <c r="Q53" s="78">
        <f>'Cost-effectiveness of top chari'!$AZ41</f>
        <v>0</v>
      </c>
    </row>
    <row r="54">
      <c r="B54" s="6"/>
      <c r="E54" s="6"/>
      <c r="M54" s="74" t="s">
        <v>42</v>
      </c>
      <c r="N54" s="75" t="s">
        <v>43</v>
      </c>
      <c r="O54" s="75" t="s">
        <v>104</v>
      </c>
      <c r="P54" s="76">
        <f>'Cost-effectiveness of top chari'!$BQ40</f>
        <v>5.1</v>
      </c>
      <c r="Q54" s="78">
        <f>'Cost-effectiveness of top chari'!$BQ41</f>
        <v>0</v>
      </c>
    </row>
    <row r="55">
      <c r="B55" s="6"/>
      <c r="E55" s="6"/>
      <c r="M55" s="74" t="s">
        <v>26</v>
      </c>
      <c r="N55" s="75" t="s">
        <v>74</v>
      </c>
      <c r="O55" s="95"/>
      <c r="P55" s="76">
        <f>'Cost-effectiveness of top chari'!$I40</f>
        <v>7.1</v>
      </c>
      <c r="Q55" s="78">
        <f>'Cost-effectiveness of top chari'!$I41</f>
        <v>0</v>
      </c>
    </row>
    <row r="56">
      <c r="B56" s="6"/>
      <c r="E56" s="6"/>
      <c r="M56" s="74" t="s">
        <v>42</v>
      </c>
      <c r="N56" s="75" t="s">
        <v>43</v>
      </c>
      <c r="O56" s="75" t="s">
        <v>133</v>
      </c>
      <c r="P56" s="76">
        <f>'Cost-effectiveness of top chari'!$CL40</f>
        <v>6.6</v>
      </c>
      <c r="Q56" s="78">
        <f>'Cost-effectiveness of top chari'!$CL41</f>
        <v>0</v>
      </c>
    </row>
    <row r="57">
      <c r="B57" s="6"/>
      <c r="E57" s="6"/>
      <c r="M57" s="74" t="s">
        <v>35</v>
      </c>
      <c r="N57" s="75" t="s">
        <v>43</v>
      </c>
      <c r="O57" s="75" t="s">
        <v>116</v>
      </c>
      <c r="P57" s="76">
        <f>'Cost-effectiveness of top chari'!$AT40</f>
        <v>5.9</v>
      </c>
      <c r="Q57" s="78">
        <f>'Cost-effectiveness of top chari'!$AT41</f>
        <v>0</v>
      </c>
    </row>
    <row r="58">
      <c r="B58" s="6"/>
      <c r="E58" s="6"/>
      <c r="M58" s="74" t="s">
        <v>42</v>
      </c>
      <c r="N58" s="75" t="s">
        <v>43</v>
      </c>
      <c r="O58" s="75" t="s">
        <v>122</v>
      </c>
      <c r="P58" s="76">
        <f>'Cost-effectiveness of top chari'!$BE40</f>
        <v>9.7</v>
      </c>
      <c r="Q58" s="78">
        <f>'Cost-effectiveness of top chari'!$BE41</f>
        <v>0</v>
      </c>
    </row>
    <row r="59">
      <c r="B59" s="6"/>
      <c r="E59" s="6"/>
      <c r="M59" s="74" t="s">
        <v>35</v>
      </c>
      <c r="N59" s="75" t="s">
        <v>43</v>
      </c>
      <c r="O59" s="75" t="s">
        <v>113</v>
      </c>
      <c r="P59" s="76">
        <f>'Cost-effectiveness of top chari'!$AQ40</f>
        <v>5.2</v>
      </c>
      <c r="Q59" s="78">
        <f>'Cost-effectiveness of top chari'!$AQ41</f>
        <v>0</v>
      </c>
    </row>
    <row r="60">
      <c r="B60" s="6"/>
      <c r="E60" s="6"/>
      <c r="M60" s="74" t="s">
        <v>35</v>
      </c>
      <c r="N60" s="75" t="s">
        <v>83</v>
      </c>
      <c r="O60" s="75"/>
      <c r="P60" s="76">
        <f>'Cost-effectiveness of top chari'!$AI40</f>
        <v>4.8</v>
      </c>
      <c r="Q60" s="78">
        <f>'Cost-effectiveness of top chari'!$AI41</f>
        <v>0</v>
      </c>
    </row>
    <row r="61">
      <c r="B61" s="6"/>
      <c r="E61" s="6"/>
      <c r="M61" s="74" t="s">
        <v>35</v>
      </c>
      <c r="N61" s="75" t="s">
        <v>43</v>
      </c>
      <c r="O61" s="75" t="s">
        <v>118</v>
      </c>
      <c r="P61" s="76">
        <f>'Cost-effectiveness of top chari'!$AX40</f>
        <v>4.8</v>
      </c>
      <c r="Q61" s="78">
        <f>'Cost-effectiveness of top chari'!$AX41</f>
        <v>0</v>
      </c>
    </row>
    <row r="62">
      <c r="B62" s="6"/>
      <c r="E62" s="6"/>
      <c r="M62" s="74" t="s">
        <v>26</v>
      </c>
      <c r="N62" s="75" t="s">
        <v>70</v>
      </c>
      <c r="O62" s="95"/>
      <c r="P62" s="76">
        <f>'Cost-effectiveness of top chari'!$D40</f>
        <v>4.8</v>
      </c>
      <c r="Q62" s="78">
        <f>'Cost-effectiveness of top chari'!$D41</f>
        <v>0</v>
      </c>
    </row>
    <row r="63">
      <c r="B63" s="6"/>
      <c r="E63" s="6"/>
      <c r="M63" s="74" t="s">
        <v>35</v>
      </c>
      <c r="N63" s="75" t="s">
        <v>43</v>
      </c>
      <c r="O63" s="75" t="s">
        <v>110</v>
      </c>
      <c r="P63" s="76">
        <f>'Cost-effectiveness of top chari'!$AN40</f>
        <v>4.4</v>
      </c>
      <c r="Q63" s="78">
        <f>'Cost-effectiveness of top chari'!$AN41</f>
        <v>0</v>
      </c>
    </row>
    <row r="64">
      <c r="B64" s="6"/>
      <c r="E64" s="6"/>
      <c r="M64" s="74" t="s">
        <v>42</v>
      </c>
      <c r="N64" s="75" t="s">
        <v>43</v>
      </c>
      <c r="O64" s="75" t="s">
        <v>88</v>
      </c>
      <c r="P64" s="76">
        <f>'Cost-effectiveness of top chari'!$BL40</f>
        <v>4.1</v>
      </c>
      <c r="Q64" s="78">
        <f>'Cost-effectiveness of top chari'!$BL41</f>
        <v>0</v>
      </c>
    </row>
    <row r="65">
      <c r="B65" s="6"/>
      <c r="E65" s="6"/>
      <c r="M65" s="74" t="s">
        <v>35</v>
      </c>
      <c r="N65" s="75" t="s">
        <v>43</v>
      </c>
      <c r="O65" s="75" t="s">
        <v>91</v>
      </c>
      <c r="P65" s="76">
        <f>'Cost-effectiveness of top chari'!$AV40</f>
        <v>4.2</v>
      </c>
      <c r="Q65" s="78">
        <f>'Cost-effectiveness of top chari'!$AV41</f>
        <v>0</v>
      </c>
    </row>
    <row r="66">
      <c r="B66" s="6"/>
      <c r="E66" s="6"/>
      <c r="M66" s="74" t="s">
        <v>42</v>
      </c>
      <c r="N66" s="75" t="s">
        <v>43</v>
      </c>
      <c r="O66" s="75" t="s">
        <v>86</v>
      </c>
      <c r="P66" s="76">
        <f>'Cost-effectiveness of top chari'!$CC40</f>
        <v>1.1</v>
      </c>
      <c r="Q66" s="78">
        <f>'Cost-effectiveness of top chari'!$CC41</f>
        <v>0</v>
      </c>
    </row>
    <row r="67">
      <c r="B67" s="6"/>
      <c r="E67" s="6"/>
      <c r="M67" s="74" t="s">
        <v>35</v>
      </c>
      <c r="N67" s="75" t="s">
        <v>43</v>
      </c>
      <c r="O67" s="75" t="s">
        <v>115</v>
      </c>
      <c r="P67" s="76">
        <f>'Cost-effectiveness of top chari'!$AS40</f>
        <v>3.8</v>
      </c>
      <c r="Q67" s="78">
        <f>'Cost-effectiveness of top chari'!$AS41</f>
        <v>0</v>
      </c>
    </row>
    <row r="68">
      <c r="B68" s="6"/>
      <c r="E68" s="6"/>
      <c r="M68" s="74" t="s">
        <v>42</v>
      </c>
      <c r="N68" s="75" t="s">
        <v>43</v>
      </c>
      <c r="O68" s="75" t="s">
        <v>112</v>
      </c>
      <c r="P68" s="76">
        <f>'Cost-effectiveness of top chari'!$BP40</f>
        <v>3.1</v>
      </c>
      <c r="Q68" s="78">
        <f>'Cost-effectiveness of top chari'!$BP41</f>
        <v>0</v>
      </c>
    </row>
    <row r="69">
      <c r="B69" s="6"/>
      <c r="E69" s="6"/>
      <c r="M69" s="74" t="s">
        <v>42</v>
      </c>
      <c r="N69" s="75" t="s">
        <v>43</v>
      </c>
      <c r="O69" s="75" t="s">
        <v>118</v>
      </c>
      <c r="P69" s="76">
        <f>'Cost-effectiveness of top chari'!$CE40</f>
        <v>7.8</v>
      </c>
      <c r="Q69" s="78">
        <f>'Cost-effectiveness of top chari'!$CE41</f>
        <v>0</v>
      </c>
    </row>
    <row r="70">
      <c r="B70" s="6"/>
      <c r="E70" s="6"/>
      <c r="M70" s="74" t="s">
        <v>35</v>
      </c>
      <c r="N70" s="75" t="s">
        <v>43</v>
      </c>
      <c r="O70" s="75" t="s">
        <v>117</v>
      </c>
      <c r="P70" s="76">
        <f>'Cost-effectiveness of top chari'!$AU40</f>
        <v>3.1</v>
      </c>
      <c r="Q70" s="78">
        <f>'Cost-effectiveness of top chari'!$AU41</f>
        <v>0</v>
      </c>
    </row>
    <row r="71">
      <c r="B71" s="6"/>
      <c r="E71" s="6"/>
      <c r="M71" s="74" t="s">
        <v>42</v>
      </c>
      <c r="N71" s="75" t="s">
        <v>43</v>
      </c>
      <c r="O71" s="75" t="s">
        <v>126</v>
      </c>
      <c r="P71" s="76">
        <f>'Cost-effectiveness of top chari'!$BO40</f>
        <v>2.7</v>
      </c>
      <c r="Q71" s="78">
        <f>'Cost-effectiveness of top chari'!$BO41</f>
        <v>0</v>
      </c>
    </row>
    <row r="72">
      <c r="B72" s="6"/>
      <c r="E72" s="6"/>
      <c r="M72" s="74" t="s">
        <v>42</v>
      </c>
      <c r="N72" s="75" t="s">
        <v>43</v>
      </c>
      <c r="O72" s="75" t="s">
        <v>132</v>
      </c>
      <c r="P72" s="76">
        <f>'Cost-effectiveness of top chari'!$CF40</f>
        <v>2.6</v>
      </c>
      <c r="Q72" s="78">
        <f>'Cost-effectiveness of top chari'!$CF41</f>
        <v>0</v>
      </c>
    </row>
    <row r="73">
      <c r="B73" s="6"/>
      <c r="E73" s="6"/>
      <c r="M73" s="74" t="s">
        <v>42</v>
      </c>
      <c r="N73" s="75" t="s">
        <v>43</v>
      </c>
      <c r="O73" s="75" t="s">
        <v>107</v>
      </c>
      <c r="P73" s="76">
        <f>'Cost-effectiveness of top chari'!$CI40</f>
        <v>1.8</v>
      </c>
      <c r="Q73" s="78">
        <f>'Cost-effectiveness of top chari'!$CI41</f>
        <v>0</v>
      </c>
    </row>
    <row r="74">
      <c r="B74" s="6"/>
      <c r="E74" s="6"/>
      <c r="M74" s="74" t="s">
        <v>42</v>
      </c>
      <c r="N74" s="75" t="s">
        <v>43</v>
      </c>
      <c r="O74" s="75" t="s">
        <v>130</v>
      </c>
      <c r="P74" s="76">
        <f>'Cost-effectiveness of top chari'!$CA40</f>
        <v>2.2</v>
      </c>
      <c r="Q74" s="78">
        <f>'Cost-effectiveness of top chari'!$CA41</f>
        <v>0</v>
      </c>
    </row>
    <row r="75">
      <c r="B75" s="6"/>
      <c r="E75" s="6"/>
      <c r="M75" s="74" t="s">
        <v>42</v>
      </c>
      <c r="N75" s="75" t="s">
        <v>43</v>
      </c>
      <c r="O75" s="75" t="s">
        <v>113</v>
      </c>
      <c r="P75" s="76">
        <f>'Cost-effectiveness of top chari'!$BS40</f>
        <v>2.2</v>
      </c>
      <c r="Q75" s="78">
        <f>'Cost-effectiveness of top chari'!$BS41</f>
        <v>0</v>
      </c>
    </row>
    <row r="76">
      <c r="B76" s="6"/>
      <c r="E76" s="6"/>
      <c r="M76" s="74" t="s">
        <v>35</v>
      </c>
      <c r="N76" s="75" t="s">
        <v>43</v>
      </c>
      <c r="O76" s="75" t="s">
        <v>111</v>
      </c>
      <c r="P76" s="76">
        <f>'Cost-effectiveness of top chari'!$AO40</f>
        <v>2.3</v>
      </c>
      <c r="Q76" s="78">
        <f>'Cost-effectiveness of top chari'!$AO41</f>
        <v>0</v>
      </c>
    </row>
    <row r="77">
      <c r="B77" s="6"/>
      <c r="E77" s="6"/>
      <c r="M77" s="74" t="s">
        <v>35</v>
      </c>
      <c r="N77" s="75" t="s">
        <v>43</v>
      </c>
      <c r="O77" s="75" t="s">
        <v>119</v>
      </c>
      <c r="P77" s="76">
        <f>'Cost-effectiveness of top chari'!$AY40</f>
        <v>2.3</v>
      </c>
      <c r="Q77" s="78">
        <f>'Cost-effectiveness of top chari'!$AY41</f>
        <v>0</v>
      </c>
    </row>
    <row r="78">
      <c r="B78" s="6"/>
      <c r="E78" s="6"/>
      <c r="M78" s="74" t="s">
        <v>42</v>
      </c>
      <c r="N78" s="75" t="s">
        <v>43</v>
      </c>
      <c r="O78" s="75" t="s">
        <v>91</v>
      </c>
      <c r="P78" s="76">
        <f>'Cost-effectiveness of top chari'!$BZ40</f>
        <v>5.5</v>
      </c>
      <c r="Q78" s="78">
        <f>'Cost-effectiveness of top chari'!$BZ41</f>
        <v>0</v>
      </c>
    </row>
    <row r="79">
      <c r="B79" s="6"/>
      <c r="E79" s="6"/>
      <c r="M79" s="74" t="s">
        <v>42</v>
      </c>
      <c r="N79" s="75" t="s">
        <v>43</v>
      </c>
      <c r="O79" s="75" t="s">
        <v>111</v>
      </c>
      <c r="P79" s="76">
        <f>'Cost-effectiveness of top chari'!$BN40</f>
        <v>1.9</v>
      </c>
      <c r="Q79" s="78">
        <f>'Cost-effectiveness of top chari'!$BN41</f>
        <v>0</v>
      </c>
    </row>
    <row r="80">
      <c r="B80" s="6"/>
      <c r="E80" s="6"/>
      <c r="M80" s="74" t="s">
        <v>42</v>
      </c>
      <c r="N80" s="75" t="s">
        <v>43</v>
      </c>
      <c r="O80" s="75" t="s">
        <v>65</v>
      </c>
      <c r="P80" s="76">
        <f>'Cost-effectiveness of top chari'!$CH40</f>
        <v>1.2</v>
      </c>
      <c r="Q80" s="78">
        <f>'Cost-effectiveness of top chari'!$CH41</f>
        <v>0</v>
      </c>
    </row>
    <row r="81">
      <c r="B81" s="6"/>
      <c r="E81" s="6"/>
      <c r="M81" s="74" t="s">
        <v>42</v>
      </c>
      <c r="N81" s="75" t="s">
        <v>43</v>
      </c>
      <c r="O81" s="75" t="s">
        <v>125</v>
      </c>
      <c r="P81" s="76">
        <f>'Cost-effectiveness of top chari'!$BK40</f>
        <v>1.8</v>
      </c>
      <c r="Q81" s="78">
        <f>'Cost-effectiveness of top chari'!$BK41</f>
        <v>0</v>
      </c>
    </row>
    <row r="82">
      <c r="B82" s="6"/>
      <c r="E82" s="6"/>
      <c r="M82" s="74" t="s">
        <v>42</v>
      </c>
      <c r="N82" s="75" t="s">
        <v>43</v>
      </c>
      <c r="O82" s="75" t="s">
        <v>110</v>
      </c>
      <c r="P82" s="76">
        <f>'Cost-effectiveness of top chari'!$BM40</f>
        <v>1.7</v>
      </c>
      <c r="Q82" s="78">
        <f>'Cost-effectiveness of top chari'!$BM41</f>
        <v>0</v>
      </c>
    </row>
    <row r="83">
      <c r="B83" s="6"/>
      <c r="E83" s="6"/>
      <c r="M83" s="74" t="s">
        <v>42</v>
      </c>
      <c r="N83" s="75" t="s">
        <v>43</v>
      </c>
      <c r="O83" s="75" t="s">
        <v>115</v>
      </c>
      <c r="P83" s="76">
        <f>'Cost-effectiveness of top chari'!$BU40</f>
        <v>1.6</v>
      </c>
      <c r="Q83" s="78">
        <f>'Cost-effectiveness of top chari'!$BU41</f>
        <v>0</v>
      </c>
    </row>
    <row r="84">
      <c r="B84" s="6"/>
      <c r="E84" s="6"/>
      <c r="M84" s="74" t="s">
        <v>42</v>
      </c>
      <c r="N84" s="75" t="s">
        <v>43</v>
      </c>
      <c r="O84" s="75" t="s">
        <v>120</v>
      </c>
      <c r="P84" s="76">
        <f>'Cost-effectiveness of top chari'!$CJ40</f>
        <v>2.3</v>
      </c>
      <c r="Q84" s="78">
        <f>'Cost-effectiveness of top chari'!$CJ41</f>
        <v>0</v>
      </c>
    </row>
    <row r="85">
      <c r="B85" s="6"/>
      <c r="E85" s="6"/>
      <c r="M85" s="74" t="s">
        <v>42</v>
      </c>
      <c r="N85" s="75" t="s">
        <v>43</v>
      </c>
      <c r="O85" s="75" t="s">
        <v>127</v>
      </c>
      <c r="P85" s="76">
        <f>'Cost-effectiveness of top chari'!$BR40</f>
        <v>1.5</v>
      </c>
      <c r="Q85" s="78">
        <f>'Cost-effectiveness of top chari'!$BR41</f>
        <v>0</v>
      </c>
    </row>
    <row r="86">
      <c r="B86" s="6"/>
      <c r="E86" s="6"/>
      <c r="M86" s="74" t="s">
        <v>42</v>
      </c>
      <c r="N86" s="75" t="s">
        <v>43</v>
      </c>
      <c r="O86" s="75" t="s">
        <v>129</v>
      </c>
      <c r="P86" s="76">
        <f>'Cost-effectiveness of top chari'!$BX40</f>
        <v>1.5</v>
      </c>
      <c r="Q86" s="78">
        <f>'Cost-effectiveness of top chari'!$BX41</f>
        <v>0</v>
      </c>
    </row>
    <row r="87">
      <c r="B87" s="6"/>
      <c r="E87" s="6"/>
      <c r="M87" s="74" t="s">
        <v>42</v>
      </c>
      <c r="N87" s="75" t="s">
        <v>43</v>
      </c>
      <c r="O87" s="75" t="s">
        <v>116</v>
      </c>
      <c r="P87" s="76">
        <f>'Cost-effectiveness of top chari'!$BV40</f>
        <v>1.2</v>
      </c>
      <c r="Q87" s="78">
        <f>'Cost-effectiveness of top chari'!$BV41</f>
        <v>0</v>
      </c>
    </row>
    <row r="88">
      <c r="B88" s="6"/>
      <c r="E88" s="6"/>
      <c r="M88" s="74" t="s">
        <v>42</v>
      </c>
      <c r="N88" s="75" t="s">
        <v>43</v>
      </c>
      <c r="O88" s="75" t="s">
        <v>117</v>
      </c>
      <c r="P88" s="76">
        <f>'Cost-effectiveness of top chari'!$BY40</f>
        <v>1.2</v>
      </c>
      <c r="Q88" s="78">
        <f>'Cost-effectiveness of top chari'!$BY41</f>
        <v>0</v>
      </c>
    </row>
    <row r="89">
      <c r="B89" s="6"/>
      <c r="E89" s="6"/>
      <c r="M89" s="74" t="s">
        <v>42</v>
      </c>
      <c r="N89" s="75" t="s">
        <v>43</v>
      </c>
      <c r="O89" s="75" t="s">
        <v>131</v>
      </c>
      <c r="P89" s="76">
        <f>'Cost-effectiveness of top chari'!$CB40</f>
        <v>2.1</v>
      </c>
      <c r="Q89" s="78">
        <f>'Cost-effectiveness of top chari'!$CB41</f>
        <v>0</v>
      </c>
    </row>
    <row r="90">
      <c r="B90" s="6"/>
      <c r="E90" s="6"/>
      <c r="M90" s="74" t="s">
        <v>42</v>
      </c>
      <c r="N90" s="75" t="s">
        <v>43</v>
      </c>
      <c r="O90" s="75" t="s">
        <v>119</v>
      </c>
      <c r="P90" s="76">
        <f>'Cost-effectiveness of top chari'!$CG40</f>
        <v>2.4</v>
      </c>
      <c r="Q90" s="78">
        <f>'Cost-effectiveness of top chari'!$CG41</f>
        <v>0</v>
      </c>
    </row>
    <row r="91">
      <c r="B91" s="6"/>
      <c r="E91" s="6"/>
      <c r="M91" s="74" t="s">
        <v>42</v>
      </c>
      <c r="N91" s="75" t="s">
        <v>43</v>
      </c>
      <c r="O91" s="75" t="s">
        <v>128</v>
      </c>
      <c r="P91" s="76">
        <f>'Cost-effectiveness of top chari'!$BW40</f>
        <v>1.1</v>
      </c>
      <c r="Q91" s="78">
        <f>'Cost-effectiveness of top chari'!$BW41</f>
        <v>0</v>
      </c>
    </row>
    <row r="92">
      <c r="B92" s="6"/>
      <c r="E92" s="6"/>
      <c r="M92" s="148" t="s">
        <v>42</v>
      </c>
      <c r="N92" s="149" t="s">
        <v>43</v>
      </c>
      <c r="O92" s="149" t="s">
        <v>114</v>
      </c>
      <c r="P92" s="150">
        <f>'Cost-effectiveness of top chari'!$BT40</f>
        <v>1.1</v>
      </c>
      <c r="Q92" s="151">
        <f>'Cost-effectiveness of top chari'!$BT41</f>
        <v>0</v>
      </c>
    </row>
    <row r="93">
      <c r="B93" s="6"/>
      <c r="E93" s="6"/>
    </row>
    <row r="94">
      <c r="B94" s="6"/>
      <c r="E94" s="6"/>
    </row>
    <row r="95">
      <c r="B95" s="6"/>
      <c r="C95" s="152"/>
      <c r="D95" s="152"/>
      <c r="E95" s="153"/>
    </row>
    <row r="96">
      <c r="B96" s="6"/>
      <c r="E96" s="6"/>
      <c r="G96" s="152"/>
      <c r="H96" s="152"/>
      <c r="I96" s="152"/>
      <c r="J96" s="152"/>
      <c r="K96" s="152"/>
      <c r="M96" s="152"/>
      <c r="N96" s="152"/>
      <c r="O96" s="152"/>
      <c r="P96" s="152"/>
      <c r="Q96" s="152"/>
    </row>
    <row r="97">
      <c r="B97" s="6"/>
      <c r="E97" s="6"/>
      <c r="L97" s="152"/>
      <c r="R97" s="152"/>
      <c r="S97" s="152"/>
      <c r="T97" s="152"/>
      <c r="U97" s="152"/>
      <c r="V97" s="152"/>
      <c r="W97" s="152"/>
      <c r="X97" s="152"/>
    </row>
    <row r="98">
      <c r="B98" s="6"/>
      <c r="E98" s="6"/>
    </row>
    <row r="99">
      <c r="B99" s="6"/>
      <c r="E99" s="6"/>
      <c r="F99" s="152"/>
    </row>
    <row r="100">
      <c r="B100" s="6"/>
      <c r="E100" s="6"/>
    </row>
    <row r="101">
      <c r="B101" s="6"/>
      <c r="E101" s="6"/>
    </row>
    <row r="102">
      <c r="B102" s="6"/>
      <c r="E102" s="6"/>
    </row>
    <row r="103">
      <c r="B103" s="6"/>
      <c r="E103" s="6"/>
    </row>
    <row r="104">
      <c r="B104" s="6"/>
      <c r="E104" s="6"/>
    </row>
    <row r="105">
      <c r="B105" s="6"/>
      <c r="E105" s="6"/>
    </row>
    <row r="106">
      <c r="B106" s="6"/>
      <c r="E106" s="6"/>
    </row>
    <row r="107">
      <c r="B107" s="6"/>
      <c r="E107" s="6"/>
    </row>
    <row r="108">
      <c r="B108" s="6"/>
      <c r="E108" s="6"/>
    </row>
    <row r="109">
      <c r="B109" s="6"/>
      <c r="E109" s="6"/>
    </row>
    <row r="110">
      <c r="B110" s="6"/>
      <c r="E110" s="6"/>
    </row>
    <row r="111">
      <c r="B111" s="6"/>
      <c r="E111" s="6"/>
    </row>
    <row r="112">
      <c r="B112" s="6"/>
      <c r="E112" s="6"/>
    </row>
    <row r="113">
      <c r="B113" s="6"/>
      <c r="E113" s="6"/>
    </row>
    <row r="114">
      <c r="B114" s="6"/>
      <c r="E114" s="6"/>
    </row>
    <row r="115">
      <c r="B115" s="6"/>
      <c r="E115" s="6"/>
    </row>
    <row r="116">
      <c r="B116" s="6"/>
      <c r="E116" s="6"/>
    </row>
    <row r="117">
      <c r="B117" s="6"/>
      <c r="E117" s="6"/>
    </row>
    <row r="118">
      <c r="B118" s="6"/>
      <c r="E118" s="6"/>
    </row>
    <row r="119">
      <c r="B119" s="6"/>
      <c r="E119" s="6"/>
    </row>
    <row r="120">
      <c r="B120" s="6"/>
      <c r="E120" s="6"/>
    </row>
    <row r="121">
      <c r="B121" s="6"/>
      <c r="E121" s="6"/>
    </row>
    <row r="122">
      <c r="B122" s="6"/>
      <c r="E122" s="6"/>
    </row>
    <row r="123">
      <c r="B123" s="6"/>
      <c r="E123" s="6"/>
    </row>
    <row r="124">
      <c r="B124" s="6"/>
      <c r="E124" s="6"/>
    </row>
    <row r="125">
      <c r="B125" s="6"/>
      <c r="E125" s="6"/>
    </row>
    <row r="126">
      <c r="B126" s="6"/>
      <c r="E126" s="6"/>
    </row>
    <row r="127">
      <c r="B127" s="6"/>
      <c r="E127" s="6"/>
    </row>
    <row r="128">
      <c r="B128" s="6"/>
      <c r="E128" s="6"/>
    </row>
    <row r="129">
      <c r="B129" s="6"/>
      <c r="E129" s="6"/>
    </row>
    <row r="130">
      <c r="B130" s="6"/>
      <c r="E130" s="6"/>
    </row>
    <row r="131">
      <c r="B131" s="6"/>
      <c r="E131" s="6"/>
    </row>
    <row r="132">
      <c r="B132" s="6"/>
      <c r="E132" s="6"/>
    </row>
    <row r="133">
      <c r="B133" s="6"/>
      <c r="E133" s="6"/>
    </row>
    <row r="134">
      <c r="B134" s="6"/>
      <c r="E134" s="6"/>
    </row>
    <row r="135">
      <c r="B135" s="6"/>
      <c r="E135" s="6"/>
    </row>
    <row r="136">
      <c r="B136" s="6"/>
      <c r="E136" s="6"/>
    </row>
    <row r="137">
      <c r="B137" s="6"/>
      <c r="E137" s="6"/>
    </row>
    <row r="138">
      <c r="B138" s="6"/>
      <c r="E138" s="6"/>
    </row>
    <row r="139">
      <c r="B139" s="6"/>
      <c r="E139" s="6"/>
    </row>
    <row r="140">
      <c r="B140" s="6"/>
      <c r="E140" s="6"/>
    </row>
    <row r="141">
      <c r="B141" s="6"/>
      <c r="E141" s="6"/>
    </row>
    <row r="142">
      <c r="B142" s="6"/>
      <c r="E142" s="6"/>
    </row>
    <row r="143">
      <c r="B143" s="6"/>
      <c r="E143" s="6"/>
    </row>
    <row r="144">
      <c r="B144" s="6"/>
      <c r="E144" s="6"/>
    </row>
    <row r="145">
      <c r="B145" s="6"/>
      <c r="E145" s="6"/>
    </row>
    <row r="146">
      <c r="B146" s="6"/>
      <c r="E146" s="6"/>
    </row>
    <row r="147">
      <c r="B147" s="6"/>
      <c r="E147" s="6"/>
    </row>
    <row r="148">
      <c r="B148" s="6"/>
      <c r="E148" s="6"/>
    </row>
    <row r="149">
      <c r="B149" s="6"/>
      <c r="E149" s="6"/>
    </row>
    <row r="150">
      <c r="B150" s="6"/>
      <c r="E150" s="6"/>
    </row>
    <row r="151">
      <c r="B151" s="6"/>
      <c r="E151" s="6"/>
    </row>
    <row r="152">
      <c r="B152" s="6"/>
      <c r="E152" s="6"/>
    </row>
    <row r="153">
      <c r="B153" s="6"/>
      <c r="E153" s="6"/>
    </row>
    <row r="154">
      <c r="B154" s="6"/>
      <c r="E154" s="6"/>
    </row>
    <row r="155">
      <c r="B155" s="6"/>
      <c r="E155" s="6"/>
    </row>
    <row r="156">
      <c r="B156" s="6"/>
      <c r="E156" s="6"/>
    </row>
    <row r="157">
      <c r="B157" s="6"/>
      <c r="E157" s="6"/>
    </row>
    <row r="158">
      <c r="B158" s="6"/>
      <c r="E158" s="6"/>
    </row>
    <row r="159">
      <c r="B159" s="6"/>
      <c r="E159" s="6"/>
    </row>
    <row r="160">
      <c r="B160" s="6"/>
      <c r="E160" s="6"/>
    </row>
    <row r="161">
      <c r="B161" s="6"/>
      <c r="E161" s="6"/>
    </row>
    <row r="162">
      <c r="B162" s="6"/>
      <c r="E162" s="6"/>
    </row>
    <row r="163">
      <c r="B163" s="6"/>
      <c r="E163" s="6"/>
    </row>
    <row r="164">
      <c r="B164" s="6"/>
      <c r="E164" s="6"/>
    </row>
    <row r="165">
      <c r="B165" s="6"/>
      <c r="E165" s="6"/>
    </row>
    <row r="166">
      <c r="B166" s="6"/>
      <c r="E166" s="6"/>
    </row>
    <row r="167">
      <c r="B167" s="6"/>
      <c r="E167" s="6"/>
    </row>
    <row r="168">
      <c r="B168" s="6"/>
      <c r="E168" s="6"/>
    </row>
    <row r="169">
      <c r="B169" s="6"/>
      <c r="E169" s="6"/>
    </row>
    <row r="170">
      <c r="B170" s="6"/>
      <c r="E170" s="6"/>
    </row>
    <row r="171">
      <c r="B171" s="6"/>
      <c r="E171" s="6"/>
    </row>
    <row r="172">
      <c r="B172" s="6"/>
      <c r="E172" s="6"/>
    </row>
    <row r="173">
      <c r="B173" s="6"/>
      <c r="E173" s="6"/>
    </row>
    <row r="174">
      <c r="B174" s="6"/>
      <c r="E174" s="6"/>
    </row>
    <row r="175">
      <c r="B175" s="6"/>
      <c r="E175" s="6"/>
    </row>
    <row r="176">
      <c r="B176" s="6"/>
      <c r="E176" s="6"/>
    </row>
    <row r="177">
      <c r="B177" s="6"/>
      <c r="E177" s="6"/>
    </row>
    <row r="178">
      <c r="B178" s="6"/>
      <c r="E178" s="6"/>
    </row>
    <row r="179">
      <c r="B179" s="6"/>
      <c r="E179" s="6"/>
    </row>
    <row r="180">
      <c r="B180" s="6"/>
      <c r="E180" s="6"/>
    </row>
    <row r="181">
      <c r="B181" s="6"/>
      <c r="E181" s="6"/>
    </row>
    <row r="182">
      <c r="B182" s="6"/>
      <c r="E182" s="6"/>
    </row>
    <row r="183">
      <c r="B183" s="6"/>
      <c r="E183" s="6"/>
    </row>
    <row r="184">
      <c r="B184" s="6"/>
      <c r="E184" s="6"/>
    </row>
    <row r="185">
      <c r="B185" s="6"/>
      <c r="E185" s="6"/>
    </row>
    <row r="186">
      <c r="B186" s="6"/>
      <c r="E186" s="6"/>
    </row>
    <row r="187">
      <c r="B187" s="6"/>
      <c r="E187" s="6"/>
    </row>
    <row r="188">
      <c r="B188" s="6"/>
      <c r="E188" s="6"/>
    </row>
    <row r="189">
      <c r="B189" s="6"/>
      <c r="E189" s="6"/>
    </row>
    <row r="190">
      <c r="B190" s="6"/>
      <c r="E190" s="6"/>
    </row>
    <row r="191">
      <c r="B191" s="6"/>
      <c r="E191" s="6"/>
    </row>
    <row r="192">
      <c r="B192" s="6"/>
      <c r="E192" s="6"/>
    </row>
    <row r="193">
      <c r="B193" s="6"/>
      <c r="E193" s="6"/>
    </row>
    <row r="194">
      <c r="B194" s="6"/>
      <c r="E194" s="6"/>
    </row>
    <row r="195">
      <c r="B195" s="6"/>
      <c r="E195" s="6"/>
    </row>
    <row r="196">
      <c r="B196" s="6"/>
      <c r="E196" s="6"/>
    </row>
    <row r="197">
      <c r="B197" s="6"/>
      <c r="E197" s="6"/>
    </row>
    <row r="198">
      <c r="B198" s="6"/>
      <c r="E198" s="6"/>
    </row>
    <row r="199">
      <c r="B199" s="6"/>
      <c r="E199" s="6"/>
    </row>
    <row r="200">
      <c r="B200" s="6"/>
      <c r="E200" s="6"/>
    </row>
    <row r="201">
      <c r="B201" s="6"/>
      <c r="E201" s="6"/>
    </row>
    <row r="202">
      <c r="B202" s="6"/>
      <c r="E202" s="6"/>
    </row>
    <row r="203">
      <c r="B203" s="6"/>
      <c r="E203" s="6"/>
    </row>
    <row r="204">
      <c r="B204" s="6"/>
      <c r="E204" s="6"/>
    </row>
    <row r="205">
      <c r="B205" s="6"/>
      <c r="E205" s="6"/>
    </row>
    <row r="206">
      <c r="B206" s="6"/>
      <c r="E206" s="6"/>
    </row>
    <row r="207">
      <c r="B207" s="6"/>
      <c r="E207" s="6"/>
    </row>
    <row r="208">
      <c r="B208" s="6"/>
      <c r="E208" s="6"/>
    </row>
    <row r="209">
      <c r="B209" s="6"/>
      <c r="E209" s="6"/>
    </row>
    <row r="210">
      <c r="B210" s="6"/>
      <c r="E210" s="6"/>
    </row>
    <row r="211">
      <c r="B211" s="6"/>
      <c r="E211" s="6"/>
    </row>
    <row r="212">
      <c r="B212" s="6"/>
      <c r="E212" s="6"/>
    </row>
    <row r="213">
      <c r="B213" s="6"/>
      <c r="E213" s="6"/>
    </row>
    <row r="214">
      <c r="B214" s="6"/>
      <c r="E214" s="6"/>
    </row>
    <row r="215">
      <c r="B215" s="6"/>
      <c r="E215" s="6"/>
    </row>
    <row r="216">
      <c r="B216" s="6"/>
      <c r="E216" s="6"/>
    </row>
    <row r="217">
      <c r="B217" s="6"/>
      <c r="E217" s="6"/>
    </row>
    <row r="218">
      <c r="B218" s="6"/>
      <c r="E218" s="6"/>
    </row>
    <row r="219">
      <c r="B219" s="6"/>
      <c r="E219" s="6"/>
    </row>
    <row r="220">
      <c r="B220" s="6"/>
      <c r="E220" s="6"/>
    </row>
    <row r="221">
      <c r="B221" s="6"/>
      <c r="E221" s="6"/>
    </row>
    <row r="222">
      <c r="B222" s="6"/>
      <c r="E222" s="6"/>
    </row>
    <row r="223">
      <c r="B223" s="6"/>
      <c r="E223" s="6"/>
    </row>
    <row r="224">
      <c r="B224" s="6"/>
      <c r="E224" s="6"/>
    </row>
    <row r="225">
      <c r="B225" s="6"/>
      <c r="E225" s="6"/>
    </row>
    <row r="226">
      <c r="B226" s="6"/>
      <c r="E226" s="6"/>
    </row>
    <row r="227">
      <c r="B227" s="6"/>
      <c r="E227" s="6"/>
    </row>
    <row r="228">
      <c r="B228" s="6"/>
      <c r="E228" s="6"/>
    </row>
    <row r="229">
      <c r="B229" s="6"/>
      <c r="E229" s="6"/>
    </row>
    <row r="230">
      <c r="B230" s="6"/>
      <c r="E230" s="6"/>
    </row>
    <row r="231">
      <c r="B231" s="6"/>
      <c r="E231" s="6"/>
    </row>
    <row r="232">
      <c r="B232" s="6"/>
      <c r="E232" s="6"/>
    </row>
    <row r="233">
      <c r="B233" s="6"/>
      <c r="E233" s="6"/>
    </row>
    <row r="234">
      <c r="B234" s="6"/>
      <c r="E234" s="6"/>
    </row>
    <row r="235">
      <c r="B235" s="6"/>
      <c r="E235" s="6"/>
    </row>
    <row r="236">
      <c r="B236" s="6"/>
      <c r="E236" s="6"/>
    </row>
    <row r="237">
      <c r="B237" s="6"/>
      <c r="E237" s="6"/>
    </row>
    <row r="238">
      <c r="B238" s="6"/>
      <c r="E238" s="6"/>
    </row>
    <row r="239">
      <c r="B239" s="6"/>
      <c r="E239" s="6"/>
    </row>
    <row r="240">
      <c r="B240" s="6"/>
      <c r="E240" s="6"/>
    </row>
    <row r="241">
      <c r="B241" s="6"/>
      <c r="E241" s="6"/>
    </row>
    <row r="242">
      <c r="B242" s="6"/>
      <c r="E242" s="6"/>
    </row>
    <row r="243">
      <c r="B243" s="6"/>
      <c r="E243" s="6"/>
    </row>
    <row r="244">
      <c r="B244" s="6"/>
      <c r="E244" s="6"/>
    </row>
    <row r="245">
      <c r="B245" s="6"/>
      <c r="E245" s="6"/>
    </row>
    <row r="246">
      <c r="B246" s="6"/>
      <c r="E246" s="6"/>
    </row>
    <row r="247">
      <c r="B247" s="6"/>
      <c r="E247" s="6"/>
    </row>
    <row r="248">
      <c r="B248" s="6"/>
      <c r="E248" s="6"/>
    </row>
    <row r="249">
      <c r="B249" s="6"/>
      <c r="E249" s="6"/>
    </row>
    <row r="250">
      <c r="B250" s="6"/>
      <c r="E250" s="6"/>
    </row>
    <row r="251">
      <c r="B251" s="6"/>
      <c r="E251" s="6"/>
    </row>
    <row r="252">
      <c r="B252" s="6"/>
      <c r="E252" s="6"/>
    </row>
    <row r="253">
      <c r="B253" s="6"/>
      <c r="E253" s="6"/>
    </row>
    <row r="254">
      <c r="B254" s="6"/>
      <c r="E254" s="6"/>
    </row>
    <row r="255">
      <c r="B255" s="6"/>
      <c r="E255" s="6"/>
    </row>
    <row r="256">
      <c r="B256" s="6"/>
      <c r="E256" s="6"/>
    </row>
    <row r="257">
      <c r="B257" s="6"/>
      <c r="E257" s="6"/>
    </row>
    <row r="258">
      <c r="B258" s="6"/>
      <c r="E258" s="6"/>
    </row>
    <row r="259">
      <c r="B259" s="6"/>
      <c r="E259" s="6"/>
    </row>
    <row r="260">
      <c r="B260" s="6"/>
      <c r="E260" s="6"/>
    </row>
    <row r="261">
      <c r="B261" s="6"/>
      <c r="E261" s="6"/>
    </row>
    <row r="262">
      <c r="B262" s="6"/>
      <c r="E262" s="6"/>
    </row>
    <row r="263">
      <c r="B263" s="6"/>
      <c r="E263" s="6"/>
    </row>
    <row r="264">
      <c r="B264" s="6"/>
      <c r="E264" s="6"/>
    </row>
    <row r="265">
      <c r="B265" s="6"/>
      <c r="E265" s="6"/>
    </row>
    <row r="266">
      <c r="B266" s="6"/>
      <c r="E266" s="6"/>
    </row>
    <row r="267">
      <c r="B267" s="6"/>
      <c r="E267" s="6"/>
    </row>
    <row r="268">
      <c r="B268" s="6"/>
      <c r="E268" s="6"/>
    </row>
    <row r="269">
      <c r="B269" s="6"/>
      <c r="E269" s="6"/>
    </row>
    <row r="270">
      <c r="B270" s="6"/>
      <c r="E270" s="6"/>
    </row>
    <row r="271">
      <c r="B271" s="6"/>
      <c r="E271" s="6"/>
    </row>
    <row r="272">
      <c r="B272" s="6"/>
      <c r="E272" s="6"/>
    </row>
    <row r="273">
      <c r="B273" s="6"/>
      <c r="E273" s="6"/>
    </row>
    <row r="274">
      <c r="B274" s="6"/>
      <c r="E274" s="6"/>
    </row>
    <row r="275">
      <c r="B275" s="6"/>
      <c r="E275" s="6"/>
    </row>
    <row r="276">
      <c r="B276" s="6"/>
      <c r="E276" s="6"/>
    </row>
    <row r="277">
      <c r="B277" s="6"/>
      <c r="E277" s="6"/>
    </row>
    <row r="278">
      <c r="B278" s="6"/>
      <c r="E278" s="6"/>
    </row>
    <row r="279">
      <c r="B279" s="6"/>
      <c r="E279" s="6"/>
    </row>
    <row r="280">
      <c r="B280" s="6"/>
      <c r="E280" s="6"/>
    </row>
    <row r="281">
      <c r="B281" s="6"/>
      <c r="E281" s="6"/>
    </row>
    <row r="282">
      <c r="B282" s="6"/>
      <c r="E282" s="6"/>
    </row>
    <row r="283">
      <c r="B283" s="6"/>
      <c r="E283" s="6"/>
    </row>
    <row r="284">
      <c r="B284" s="6"/>
      <c r="E284" s="6"/>
    </row>
    <row r="285">
      <c r="B285" s="6"/>
      <c r="E285" s="6"/>
    </row>
    <row r="286">
      <c r="B286" s="6"/>
      <c r="E286" s="6"/>
    </row>
    <row r="287">
      <c r="B287" s="6"/>
      <c r="E287" s="6"/>
    </row>
    <row r="288">
      <c r="B288" s="6"/>
      <c r="E288" s="6"/>
    </row>
    <row r="289">
      <c r="B289" s="6"/>
      <c r="E289" s="6"/>
    </row>
    <row r="290">
      <c r="B290" s="6"/>
      <c r="E290" s="6"/>
    </row>
    <row r="291">
      <c r="B291" s="6"/>
      <c r="E291" s="6"/>
    </row>
    <row r="292">
      <c r="B292" s="6"/>
      <c r="E292" s="6"/>
    </row>
    <row r="293">
      <c r="B293" s="6"/>
      <c r="E293" s="6"/>
    </row>
    <row r="294">
      <c r="B294" s="6"/>
      <c r="E294" s="6"/>
    </row>
    <row r="295">
      <c r="B295" s="6"/>
      <c r="E295" s="6"/>
    </row>
    <row r="296">
      <c r="B296" s="6"/>
      <c r="E296" s="6"/>
    </row>
    <row r="297">
      <c r="B297" s="6"/>
      <c r="E297" s="6"/>
    </row>
    <row r="298">
      <c r="B298" s="6"/>
      <c r="E298" s="6"/>
    </row>
    <row r="299">
      <c r="B299" s="6"/>
      <c r="E299" s="6"/>
    </row>
    <row r="300">
      <c r="B300" s="6"/>
      <c r="E300" s="6"/>
    </row>
    <row r="301">
      <c r="B301" s="6"/>
      <c r="E301" s="6"/>
    </row>
    <row r="302">
      <c r="B302" s="6"/>
      <c r="E302" s="6"/>
    </row>
    <row r="303">
      <c r="B303" s="6"/>
      <c r="E303" s="6"/>
    </row>
    <row r="304">
      <c r="B304" s="6"/>
      <c r="E304" s="6"/>
    </row>
    <row r="305">
      <c r="B305" s="6"/>
      <c r="E305" s="6"/>
    </row>
    <row r="306">
      <c r="B306" s="6"/>
      <c r="E306" s="6"/>
    </row>
    <row r="307">
      <c r="B307" s="6"/>
      <c r="E307" s="6"/>
    </row>
    <row r="308">
      <c r="B308" s="6"/>
      <c r="E308" s="6"/>
    </row>
    <row r="309">
      <c r="B309" s="6"/>
      <c r="E309" s="6"/>
    </row>
    <row r="310">
      <c r="B310" s="6"/>
      <c r="E310" s="6"/>
    </row>
    <row r="311">
      <c r="B311" s="6"/>
      <c r="E311" s="6"/>
    </row>
    <row r="312">
      <c r="B312" s="6"/>
      <c r="E312" s="6"/>
    </row>
    <row r="313">
      <c r="B313" s="6"/>
      <c r="E313" s="6"/>
    </row>
    <row r="314">
      <c r="B314" s="6"/>
      <c r="E314" s="6"/>
    </row>
    <row r="315">
      <c r="B315" s="6"/>
      <c r="E315" s="6"/>
    </row>
    <row r="316">
      <c r="B316" s="6"/>
      <c r="E316" s="6"/>
    </row>
    <row r="317">
      <c r="B317" s="6"/>
      <c r="E317" s="6"/>
    </row>
    <row r="318">
      <c r="B318" s="6"/>
      <c r="E318" s="6"/>
    </row>
    <row r="319">
      <c r="B319" s="6"/>
      <c r="E319" s="6"/>
    </row>
    <row r="320">
      <c r="B320" s="6"/>
      <c r="E320" s="6"/>
    </row>
    <row r="321">
      <c r="B321" s="6"/>
      <c r="E321" s="6"/>
    </row>
    <row r="322">
      <c r="B322" s="6"/>
      <c r="E322" s="6"/>
    </row>
    <row r="323">
      <c r="B323" s="6"/>
      <c r="E323" s="6"/>
    </row>
    <row r="324">
      <c r="B324" s="6"/>
      <c r="E324" s="6"/>
    </row>
    <row r="325">
      <c r="B325" s="6"/>
      <c r="E325" s="6"/>
    </row>
    <row r="326">
      <c r="B326" s="6"/>
      <c r="E326" s="6"/>
    </row>
    <row r="327">
      <c r="B327" s="6"/>
      <c r="E327" s="6"/>
    </row>
    <row r="328">
      <c r="B328" s="6"/>
      <c r="E328" s="6"/>
    </row>
    <row r="329">
      <c r="B329" s="6"/>
      <c r="E329" s="6"/>
    </row>
    <row r="330">
      <c r="B330" s="6"/>
      <c r="E330" s="6"/>
    </row>
    <row r="331">
      <c r="B331" s="6"/>
      <c r="E331" s="6"/>
    </row>
    <row r="332">
      <c r="B332" s="6"/>
      <c r="E332" s="6"/>
    </row>
    <row r="333">
      <c r="B333" s="6"/>
      <c r="E333" s="6"/>
    </row>
    <row r="334">
      <c r="B334" s="6"/>
      <c r="E334" s="6"/>
    </row>
    <row r="335">
      <c r="B335" s="6"/>
      <c r="E335" s="6"/>
    </row>
    <row r="336">
      <c r="B336" s="6"/>
      <c r="E336" s="6"/>
    </row>
    <row r="337">
      <c r="B337" s="6"/>
      <c r="E337" s="6"/>
    </row>
    <row r="338">
      <c r="B338" s="6"/>
      <c r="E338" s="6"/>
    </row>
    <row r="339">
      <c r="B339" s="6"/>
      <c r="E339" s="6"/>
    </row>
    <row r="340">
      <c r="B340" s="6"/>
      <c r="E340" s="6"/>
    </row>
    <row r="341">
      <c r="B341" s="6"/>
      <c r="E341" s="6"/>
    </row>
    <row r="342">
      <c r="B342" s="6"/>
      <c r="E342" s="6"/>
    </row>
    <row r="343">
      <c r="B343" s="6"/>
      <c r="E343" s="6"/>
    </row>
    <row r="344">
      <c r="B344" s="6"/>
      <c r="E344" s="6"/>
    </row>
    <row r="345">
      <c r="B345" s="6"/>
      <c r="E345" s="6"/>
    </row>
    <row r="346">
      <c r="B346" s="6"/>
      <c r="E346" s="6"/>
    </row>
    <row r="347">
      <c r="B347" s="6"/>
      <c r="E347" s="6"/>
    </row>
    <row r="348">
      <c r="B348" s="6"/>
      <c r="E348" s="6"/>
    </row>
    <row r="349">
      <c r="B349" s="6"/>
      <c r="E349" s="6"/>
    </row>
    <row r="350">
      <c r="B350" s="6"/>
      <c r="E350" s="6"/>
    </row>
    <row r="351">
      <c r="B351" s="6"/>
      <c r="E351" s="6"/>
    </row>
    <row r="352">
      <c r="B352" s="6"/>
      <c r="E352" s="6"/>
    </row>
    <row r="353">
      <c r="B353" s="6"/>
      <c r="E353" s="6"/>
    </row>
    <row r="354">
      <c r="B354" s="6"/>
      <c r="E354" s="6"/>
    </row>
    <row r="355">
      <c r="B355" s="6"/>
      <c r="E355" s="6"/>
    </row>
    <row r="356">
      <c r="B356" s="6"/>
      <c r="E356" s="6"/>
    </row>
    <row r="357">
      <c r="B357" s="6"/>
      <c r="E357" s="6"/>
    </row>
    <row r="358">
      <c r="B358" s="6"/>
      <c r="E358" s="6"/>
    </row>
    <row r="359">
      <c r="B359" s="6"/>
      <c r="E359" s="6"/>
    </row>
    <row r="360">
      <c r="B360" s="6"/>
      <c r="E360" s="6"/>
    </row>
    <row r="361">
      <c r="B361" s="6"/>
      <c r="E361" s="6"/>
    </row>
    <row r="362">
      <c r="B362" s="6"/>
      <c r="E362" s="6"/>
    </row>
    <row r="363">
      <c r="B363" s="6"/>
      <c r="E363" s="6"/>
    </row>
    <row r="364">
      <c r="B364" s="6"/>
      <c r="E364" s="6"/>
    </row>
    <row r="365">
      <c r="B365" s="6"/>
      <c r="E365" s="6"/>
    </row>
    <row r="366">
      <c r="B366" s="6"/>
      <c r="E366" s="6"/>
    </row>
    <row r="367">
      <c r="B367" s="6"/>
      <c r="E367" s="6"/>
    </row>
    <row r="368">
      <c r="B368" s="6"/>
      <c r="E368" s="6"/>
    </row>
    <row r="369">
      <c r="B369" s="6"/>
      <c r="E369" s="6"/>
    </row>
    <row r="370">
      <c r="B370" s="6"/>
      <c r="E370" s="6"/>
    </row>
    <row r="371">
      <c r="B371" s="6"/>
      <c r="E371" s="6"/>
    </row>
    <row r="372">
      <c r="B372" s="6"/>
      <c r="E372" s="6"/>
    </row>
    <row r="373">
      <c r="B373" s="6"/>
      <c r="E373" s="6"/>
    </row>
    <row r="374">
      <c r="B374" s="6"/>
      <c r="E374" s="6"/>
    </row>
    <row r="375">
      <c r="B375" s="6"/>
      <c r="E375" s="6"/>
    </row>
    <row r="376">
      <c r="B376" s="6"/>
      <c r="E376" s="6"/>
    </row>
    <row r="377">
      <c r="B377" s="6"/>
      <c r="E377" s="6"/>
    </row>
    <row r="378">
      <c r="B378" s="6"/>
      <c r="E378" s="6"/>
    </row>
    <row r="379">
      <c r="B379" s="6"/>
      <c r="E379" s="6"/>
    </row>
    <row r="380">
      <c r="B380" s="6"/>
      <c r="E380" s="6"/>
    </row>
    <row r="381">
      <c r="B381" s="6"/>
      <c r="E381" s="6"/>
    </row>
    <row r="382">
      <c r="B382" s="6"/>
      <c r="E382" s="6"/>
    </row>
    <row r="383">
      <c r="B383" s="6"/>
      <c r="E383" s="6"/>
    </row>
    <row r="384">
      <c r="B384" s="6"/>
      <c r="E384" s="6"/>
    </row>
    <row r="385">
      <c r="B385" s="6"/>
      <c r="E385" s="6"/>
    </row>
    <row r="386">
      <c r="B386" s="6"/>
      <c r="E386" s="6"/>
    </row>
    <row r="387">
      <c r="B387" s="6"/>
      <c r="E387" s="6"/>
    </row>
    <row r="388">
      <c r="B388" s="6"/>
      <c r="E388" s="6"/>
    </row>
    <row r="389">
      <c r="B389" s="6"/>
      <c r="E389" s="6"/>
    </row>
    <row r="390">
      <c r="B390" s="6"/>
      <c r="E390" s="6"/>
    </row>
    <row r="391">
      <c r="B391" s="6"/>
      <c r="E391" s="6"/>
    </row>
    <row r="392">
      <c r="B392" s="6"/>
      <c r="E392" s="6"/>
    </row>
    <row r="393">
      <c r="B393" s="6"/>
      <c r="E393" s="6"/>
    </row>
    <row r="394">
      <c r="B394" s="6"/>
      <c r="E394" s="6"/>
    </row>
    <row r="395">
      <c r="B395" s="6"/>
      <c r="E395" s="6"/>
    </row>
    <row r="396">
      <c r="B396" s="6"/>
      <c r="E396" s="6"/>
    </row>
    <row r="397">
      <c r="B397" s="6"/>
      <c r="E397" s="6"/>
    </row>
    <row r="398">
      <c r="B398" s="6"/>
      <c r="E398" s="6"/>
    </row>
    <row r="399">
      <c r="B399" s="6"/>
      <c r="E399" s="6"/>
    </row>
    <row r="400">
      <c r="B400" s="6"/>
      <c r="E400" s="6"/>
    </row>
    <row r="401">
      <c r="B401" s="6"/>
      <c r="E401" s="6"/>
    </row>
    <row r="402">
      <c r="B402" s="6"/>
      <c r="E402" s="6"/>
    </row>
    <row r="403">
      <c r="B403" s="6"/>
      <c r="E403" s="6"/>
    </row>
    <row r="404">
      <c r="B404" s="6"/>
      <c r="E404" s="6"/>
    </row>
    <row r="405">
      <c r="B405" s="6"/>
      <c r="E405" s="6"/>
    </row>
    <row r="406">
      <c r="B406" s="6"/>
      <c r="E406" s="6"/>
    </row>
    <row r="407">
      <c r="B407" s="6"/>
      <c r="E407" s="6"/>
    </row>
    <row r="408">
      <c r="B408" s="6"/>
      <c r="E408" s="6"/>
    </row>
    <row r="409">
      <c r="B409" s="6"/>
      <c r="E409" s="6"/>
    </row>
    <row r="410">
      <c r="B410" s="6"/>
      <c r="E410" s="6"/>
    </row>
    <row r="411">
      <c r="B411" s="6"/>
      <c r="E411" s="6"/>
    </row>
    <row r="412">
      <c r="B412" s="6"/>
      <c r="E412" s="6"/>
    </row>
    <row r="413">
      <c r="B413" s="6"/>
      <c r="E413" s="6"/>
    </row>
    <row r="414">
      <c r="B414" s="6"/>
      <c r="E414" s="6"/>
    </row>
    <row r="415">
      <c r="B415" s="6"/>
      <c r="E415" s="6"/>
    </row>
    <row r="416">
      <c r="B416" s="6"/>
      <c r="E416" s="6"/>
    </row>
    <row r="417">
      <c r="B417" s="6"/>
      <c r="E417" s="6"/>
    </row>
    <row r="418">
      <c r="B418" s="6"/>
      <c r="E418" s="6"/>
    </row>
    <row r="419">
      <c r="B419" s="6"/>
      <c r="E419" s="6"/>
    </row>
    <row r="420">
      <c r="B420" s="6"/>
      <c r="E420" s="6"/>
    </row>
    <row r="421">
      <c r="B421" s="6"/>
      <c r="E421" s="6"/>
    </row>
    <row r="422">
      <c r="B422" s="6"/>
      <c r="E422" s="6"/>
    </row>
    <row r="423">
      <c r="B423" s="6"/>
      <c r="E423" s="6"/>
    </row>
    <row r="424">
      <c r="B424" s="6"/>
      <c r="E424" s="6"/>
    </row>
    <row r="425">
      <c r="B425" s="6"/>
      <c r="E425" s="6"/>
    </row>
    <row r="426">
      <c r="B426" s="6"/>
      <c r="E426" s="6"/>
    </row>
    <row r="427">
      <c r="B427" s="6"/>
      <c r="E427" s="6"/>
    </row>
    <row r="428">
      <c r="B428" s="6"/>
      <c r="E428" s="6"/>
    </row>
    <row r="429">
      <c r="B429" s="6"/>
      <c r="E429" s="6"/>
    </row>
    <row r="430">
      <c r="B430" s="6"/>
      <c r="E430" s="6"/>
    </row>
    <row r="431">
      <c r="B431" s="6"/>
      <c r="E431" s="6"/>
    </row>
    <row r="432">
      <c r="B432" s="6"/>
      <c r="E432" s="6"/>
    </row>
    <row r="433">
      <c r="B433" s="6"/>
      <c r="E433" s="6"/>
    </row>
    <row r="434">
      <c r="B434" s="6"/>
      <c r="E434" s="6"/>
    </row>
    <row r="435">
      <c r="B435" s="6"/>
      <c r="E435" s="6"/>
    </row>
    <row r="436">
      <c r="B436" s="6"/>
      <c r="E436" s="6"/>
    </row>
    <row r="437">
      <c r="B437" s="6"/>
      <c r="E437" s="6"/>
    </row>
    <row r="438">
      <c r="B438" s="6"/>
      <c r="E438" s="6"/>
    </row>
    <row r="439">
      <c r="B439" s="6"/>
      <c r="E439" s="6"/>
    </row>
    <row r="440">
      <c r="B440" s="6"/>
      <c r="E440" s="6"/>
    </row>
    <row r="441">
      <c r="B441" s="6"/>
      <c r="E441" s="6"/>
    </row>
    <row r="442">
      <c r="B442" s="6"/>
      <c r="E442" s="6"/>
    </row>
    <row r="443">
      <c r="B443" s="6"/>
      <c r="E443" s="6"/>
    </row>
    <row r="444">
      <c r="B444" s="6"/>
      <c r="E444" s="6"/>
    </row>
    <row r="445">
      <c r="B445" s="6"/>
      <c r="E445" s="6"/>
    </row>
    <row r="446">
      <c r="B446" s="6"/>
      <c r="E446" s="6"/>
    </row>
    <row r="447">
      <c r="B447" s="6"/>
      <c r="E447" s="6"/>
    </row>
    <row r="448">
      <c r="B448" s="6"/>
      <c r="E448" s="6"/>
    </row>
    <row r="449">
      <c r="B449" s="6"/>
      <c r="E449" s="6"/>
    </row>
    <row r="450">
      <c r="B450" s="6"/>
      <c r="E450" s="6"/>
    </row>
    <row r="451">
      <c r="B451" s="6"/>
      <c r="E451" s="6"/>
    </row>
    <row r="452">
      <c r="B452" s="6"/>
      <c r="E452" s="6"/>
    </row>
    <row r="453">
      <c r="B453" s="6"/>
      <c r="E453" s="6"/>
    </row>
    <row r="454">
      <c r="B454" s="6"/>
      <c r="E454" s="6"/>
    </row>
    <row r="455">
      <c r="B455" s="6"/>
      <c r="E455" s="6"/>
    </row>
    <row r="456">
      <c r="B456" s="6"/>
      <c r="E456" s="6"/>
    </row>
    <row r="457">
      <c r="B457" s="6"/>
      <c r="E457" s="6"/>
    </row>
    <row r="458">
      <c r="B458" s="6"/>
      <c r="E458" s="6"/>
    </row>
    <row r="459">
      <c r="B459" s="6"/>
      <c r="E459" s="6"/>
    </row>
    <row r="460">
      <c r="B460" s="6"/>
      <c r="E460" s="6"/>
    </row>
    <row r="461">
      <c r="B461" s="6"/>
      <c r="E461" s="6"/>
    </row>
    <row r="462">
      <c r="B462" s="6"/>
      <c r="E462" s="6"/>
    </row>
    <row r="463">
      <c r="B463" s="6"/>
      <c r="E463" s="6"/>
    </row>
    <row r="464">
      <c r="B464" s="6"/>
      <c r="E464" s="6"/>
    </row>
    <row r="465">
      <c r="B465" s="6"/>
      <c r="E465" s="6"/>
    </row>
    <row r="466">
      <c r="B466" s="6"/>
      <c r="E466" s="6"/>
    </row>
    <row r="467">
      <c r="B467" s="6"/>
      <c r="E467" s="6"/>
    </row>
    <row r="468">
      <c r="B468" s="6"/>
      <c r="E468" s="6"/>
    </row>
    <row r="469">
      <c r="B469" s="6"/>
      <c r="E469" s="6"/>
    </row>
    <row r="470">
      <c r="B470" s="6"/>
      <c r="E470" s="6"/>
    </row>
    <row r="471">
      <c r="B471" s="6"/>
      <c r="E471" s="6"/>
    </row>
    <row r="472">
      <c r="B472" s="6"/>
      <c r="E472" s="6"/>
    </row>
    <row r="473">
      <c r="B473" s="6"/>
      <c r="E473" s="6"/>
    </row>
    <row r="474">
      <c r="B474" s="6"/>
      <c r="E474" s="6"/>
    </row>
    <row r="475">
      <c r="B475" s="6"/>
      <c r="E475" s="6"/>
    </row>
    <row r="476">
      <c r="B476" s="6"/>
      <c r="E476" s="6"/>
    </row>
    <row r="477">
      <c r="B477" s="6"/>
      <c r="E477" s="6"/>
    </row>
    <row r="478">
      <c r="B478" s="6"/>
      <c r="E478" s="6"/>
    </row>
    <row r="479">
      <c r="B479" s="6"/>
      <c r="E479" s="6"/>
    </row>
    <row r="480">
      <c r="B480" s="6"/>
      <c r="E480" s="6"/>
    </row>
    <row r="481">
      <c r="B481" s="6"/>
      <c r="E481" s="6"/>
    </row>
    <row r="482">
      <c r="B482" s="6"/>
      <c r="E482" s="6"/>
    </row>
    <row r="483">
      <c r="B483" s="6"/>
      <c r="E483" s="6"/>
    </row>
    <row r="484">
      <c r="B484" s="6"/>
      <c r="E484" s="6"/>
    </row>
    <row r="485">
      <c r="B485" s="6"/>
      <c r="E485" s="6"/>
    </row>
    <row r="486">
      <c r="B486" s="6"/>
      <c r="E486" s="6"/>
    </row>
    <row r="487">
      <c r="B487" s="6"/>
      <c r="E487" s="6"/>
    </row>
    <row r="488">
      <c r="B488" s="6"/>
      <c r="E488" s="6"/>
    </row>
    <row r="489">
      <c r="B489" s="6"/>
      <c r="E489" s="6"/>
    </row>
    <row r="490">
      <c r="B490" s="6"/>
      <c r="E490" s="6"/>
    </row>
    <row r="491">
      <c r="B491" s="6"/>
      <c r="E491" s="6"/>
    </row>
    <row r="492">
      <c r="B492" s="6"/>
      <c r="E492" s="6"/>
    </row>
    <row r="493">
      <c r="B493" s="6"/>
      <c r="E493" s="6"/>
    </row>
    <row r="494">
      <c r="B494" s="6"/>
      <c r="E494" s="6"/>
    </row>
    <row r="495">
      <c r="B495" s="6"/>
      <c r="E495" s="6"/>
    </row>
    <row r="496">
      <c r="B496" s="6"/>
      <c r="E496" s="6"/>
    </row>
    <row r="497">
      <c r="B497" s="6"/>
      <c r="E497" s="6"/>
    </row>
    <row r="498">
      <c r="B498" s="6"/>
      <c r="E498" s="6"/>
    </row>
    <row r="499">
      <c r="B499" s="6"/>
      <c r="E499" s="6"/>
    </row>
    <row r="500">
      <c r="B500" s="6"/>
      <c r="E500" s="6"/>
    </row>
    <row r="501">
      <c r="B501" s="6"/>
      <c r="E501" s="6"/>
    </row>
    <row r="502">
      <c r="B502" s="6"/>
      <c r="E502" s="6"/>
    </row>
    <row r="503">
      <c r="B503" s="6"/>
      <c r="E503" s="6"/>
    </row>
    <row r="504">
      <c r="B504" s="6"/>
      <c r="E504" s="6"/>
    </row>
    <row r="505">
      <c r="B505" s="6"/>
      <c r="E505" s="6"/>
    </row>
    <row r="506">
      <c r="B506" s="6"/>
      <c r="E506" s="6"/>
    </row>
    <row r="507">
      <c r="B507" s="6"/>
      <c r="E507" s="6"/>
    </row>
    <row r="508">
      <c r="B508" s="6"/>
      <c r="E508" s="6"/>
    </row>
    <row r="509">
      <c r="B509" s="6"/>
      <c r="E509" s="6"/>
    </row>
    <row r="510">
      <c r="B510" s="6"/>
      <c r="E510" s="6"/>
    </row>
    <row r="511">
      <c r="B511" s="6"/>
      <c r="E511" s="6"/>
    </row>
    <row r="512">
      <c r="B512" s="6"/>
      <c r="E512" s="6"/>
    </row>
    <row r="513">
      <c r="B513" s="6"/>
      <c r="E513" s="6"/>
    </row>
    <row r="514">
      <c r="B514" s="6"/>
      <c r="E514" s="6"/>
    </row>
    <row r="515">
      <c r="B515" s="6"/>
      <c r="E515" s="6"/>
    </row>
    <row r="516">
      <c r="B516" s="6"/>
      <c r="E516" s="6"/>
    </row>
    <row r="517">
      <c r="B517" s="6"/>
      <c r="E517" s="6"/>
    </row>
    <row r="518">
      <c r="B518" s="6"/>
      <c r="E518" s="6"/>
    </row>
    <row r="519">
      <c r="B519" s="6"/>
      <c r="E519" s="6"/>
    </row>
    <row r="520">
      <c r="B520" s="6"/>
      <c r="E520" s="6"/>
    </row>
    <row r="521">
      <c r="B521" s="6"/>
      <c r="E521" s="6"/>
    </row>
    <row r="522">
      <c r="B522" s="6"/>
      <c r="E522" s="6"/>
    </row>
    <row r="523">
      <c r="B523" s="6"/>
      <c r="E523" s="6"/>
    </row>
    <row r="524">
      <c r="B524" s="6"/>
      <c r="E524" s="6"/>
    </row>
    <row r="525">
      <c r="B525" s="6"/>
      <c r="E525" s="6"/>
    </row>
    <row r="526">
      <c r="B526" s="6"/>
      <c r="E526" s="6"/>
    </row>
    <row r="527">
      <c r="B527" s="6"/>
      <c r="E527" s="6"/>
    </row>
    <row r="528">
      <c r="B528" s="6"/>
      <c r="E528" s="6"/>
    </row>
    <row r="529">
      <c r="B529" s="6"/>
      <c r="E529" s="6"/>
    </row>
    <row r="530">
      <c r="B530" s="6"/>
      <c r="E530" s="6"/>
    </row>
    <row r="531">
      <c r="B531" s="6"/>
      <c r="E531" s="6"/>
    </row>
    <row r="532">
      <c r="B532" s="6"/>
      <c r="E532" s="6"/>
    </row>
    <row r="533">
      <c r="B533" s="6"/>
      <c r="E533" s="6"/>
    </row>
    <row r="534">
      <c r="B534" s="6"/>
      <c r="E534" s="6"/>
    </row>
    <row r="535">
      <c r="B535" s="6"/>
      <c r="E535" s="6"/>
    </row>
    <row r="536">
      <c r="B536" s="6"/>
      <c r="E536" s="6"/>
    </row>
    <row r="537">
      <c r="B537" s="6"/>
      <c r="E537" s="6"/>
    </row>
    <row r="538">
      <c r="B538" s="6"/>
      <c r="E538" s="6"/>
    </row>
    <row r="539">
      <c r="B539" s="6"/>
      <c r="E539" s="6"/>
    </row>
    <row r="540">
      <c r="B540" s="6"/>
      <c r="E540" s="6"/>
    </row>
    <row r="541">
      <c r="B541" s="6"/>
      <c r="E541" s="6"/>
    </row>
    <row r="542">
      <c r="B542" s="6"/>
      <c r="E542" s="6"/>
    </row>
    <row r="543">
      <c r="B543" s="6"/>
      <c r="E543" s="6"/>
    </row>
    <row r="544">
      <c r="B544" s="6"/>
      <c r="E544" s="6"/>
    </row>
    <row r="545">
      <c r="B545" s="6"/>
      <c r="E545" s="6"/>
    </row>
    <row r="546">
      <c r="B546" s="6"/>
      <c r="E546" s="6"/>
    </row>
    <row r="547">
      <c r="B547" s="6"/>
      <c r="E547" s="6"/>
    </row>
    <row r="548">
      <c r="B548" s="6"/>
      <c r="E548" s="6"/>
    </row>
    <row r="549">
      <c r="B549" s="6"/>
      <c r="E549" s="6"/>
    </row>
    <row r="550">
      <c r="B550" s="6"/>
      <c r="E550" s="6"/>
    </row>
    <row r="551">
      <c r="B551" s="6"/>
      <c r="E551" s="6"/>
    </row>
    <row r="552">
      <c r="B552" s="6"/>
      <c r="E552" s="6"/>
    </row>
    <row r="553">
      <c r="B553" s="6"/>
      <c r="E553" s="6"/>
    </row>
    <row r="554">
      <c r="B554" s="6"/>
      <c r="E554" s="6"/>
    </row>
    <row r="555">
      <c r="B555" s="6"/>
      <c r="E555" s="6"/>
    </row>
    <row r="556">
      <c r="B556" s="6"/>
      <c r="E556" s="6"/>
    </row>
    <row r="557">
      <c r="B557" s="6"/>
      <c r="E557" s="6"/>
    </row>
    <row r="558">
      <c r="B558" s="6"/>
      <c r="E558" s="6"/>
    </row>
    <row r="559">
      <c r="B559" s="6"/>
      <c r="E559" s="6"/>
    </row>
    <row r="560">
      <c r="B560" s="6"/>
      <c r="E560" s="6"/>
    </row>
    <row r="561">
      <c r="B561" s="6"/>
      <c r="E561" s="6"/>
    </row>
    <row r="562">
      <c r="B562" s="6"/>
      <c r="E562" s="6"/>
    </row>
    <row r="563">
      <c r="B563" s="6"/>
      <c r="E563" s="6"/>
    </row>
    <row r="564">
      <c r="B564" s="6"/>
      <c r="E564" s="6"/>
    </row>
    <row r="565">
      <c r="B565" s="6"/>
      <c r="E565" s="6"/>
    </row>
    <row r="566">
      <c r="B566" s="6"/>
      <c r="E566" s="6"/>
    </row>
    <row r="567">
      <c r="B567" s="6"/>
      <c r="E567" s="6"/>
    </row>
    <row r="568">
      <c r="B568" s="6"/>
      <c r="E568" s="6"/>
    </row>
    <row r="569">
      <c r="B569" s="6"/>
      <c r="E569" s="6"/>
    </row>
    <row r="570">
      <c r="B570" s="6"/>
      <c r="E570" s="6"/>
    </row>
    <row r="571">
      <c r="B571" s="6"/>
      <c r="E571" s="6"/>
    </row>
    <row r="572">
      <c r="B572" s="6"/>
      <c r="E572" s="6"/>
    </row>
    <row r="573">
      <c r="B573" s="6"/>
      <c r="E573" s="6"/>
    </row>
    <row r="574">
      <c r="B574" s="6"/>
      <c r="E574" s="6"/>
    </row>
    <row r="575">
      <c r="B575" s="6"/>
      <c r="E575" s="6"/>
    </row>
    <row r="576">
      <c r="B576" s="6"/>
      <c r="E576" s="6"/>
    </row>
    <row r="577">
      <c r="B577" s="6"/>
      <c r="E577" s="6"/>
    </row>
    <row r="578">
      <c r="B578" s="6"/>
      <c r="E578" s="6"/>
    </row>
    <row r="579">
      <c r="B579" s="6"/>
      <c r="E579" s="6"/>
    </row>
    <row r="580">
      <c r="B580" s="6"/>
      <c r="E580" s="6"/>
    </row>
    <row r="581">
      <c r="B581" s="6"/>
      <c r="E581" s="6"/>
    </row>
    <row r="582">
      <c r="B582" s="6"/>
      <c r="E582" s="6"/>
    </row>
    <row r="583">
      <c r="B583" s="6"/>
      <c r="E583" s="6"/>
    </row>
    <row r="584">
      <c r="B584" s="6"/>
      <c r="E584" s="6"/>
    </row>
    <row r="585">
      <c r="B585" s="6"/>
      <c r="E585" s="6"/>
    </row>
    <row r="586">
      <c r="B586" s="6"/>
      <c r="E586" s="6"/>
    </row>
    <row r="587">
      <c r="B587" s="6"/>
      <c r="E587" s="6"/>
    </row>
    <row r="588">
      <c r="B588" s="6"/>
      <c r="E588" s="6"/>
    </row>
    <row r="589">
      <c r="B589" s="6"/>
      <c r="E589" s="6"/>
    </row>
    <row r="590">
      <c r="B590" s="6"/>
      <c r="E590" s="6"/>
    </row>
    <row r="591">
      <c r="B591" s="6"/>
      <c r="E591" s="6"/>
    </row>
    <row r="592">
      <c r="B592" s="6"/>
      <c r="E592" s="6"/>
    </row>
    <row r="593">
      <c r="B593" s="6"/>
      <c r="E593" s="6"/>
    </row>
    <row r="594">
      <c r="B594" s="6"/>
      <c r="E594" s="6"/>
    </row>
    <row r="595">
      <c r="B595" s="6"/>
      <c r="E595" s="6"/>
    </row>
    <row r="596">
      <c r="B596" s="6"/>
      <c r="E596" s="6"/>
    </row>
    <row r="597">
      <c r="B597" s="6"/>
      <c r="E597" s="6"/>
    </row>
    <row r="598">
      <c r="B598" s="6"/>
      <c r="E598" s="6"/>
    </row>
    <row r="599">
      <c r="B599" s="6"/>
      <c r="E599" s="6"/>
    </row>
    <row r="600">
      <c r="B600" s="6"/>
      <c r="E600" s="6"/>
    </row>
    <row r="601">
      <c r="B601" s="6"/>
      <c r="E601" s="6"/>
    </row>
    <row r="602">
      <c r="B602" s="6"/>
      <c r="E602" s="6"/>
    </row>
    <row r="603">
      <c r="B603" s="6"/>
      <c r="E603" s="6"/>
    </row>
    <row r="604">
      <c r="B604" s="6"/>
      <c r="E604" s="6"/>
    </row>
    <row r="605">
      <c r="B605" s="6"/>
      <c r="E605" s="6"/>
    </row>
    <row r="606">
      <c r="B606" s="6"/>
      <c r="E606" s="6"/>
    </row>
    <row r="607">
      <c r="B607" s="6"/>
      <c r="E607" s="6"/>
    </row>
    <row r="608">
      <c r="B608" s="6"/>
      <c r="E608" s="6"/>
    </row>
    <row r="609">
      <c r="B609" s="6"/>
      <c r="E609" s="6"/>
    </row>
    <row r="610">
      <c r="B610" s="6"/>
      <c r="E610" s="6"/>
    </row>
    <row r="611">
      <c r="B611" s="6"/>
      <c r="E611" s="6"/>
    </row>
    <row r="612">
      <c r="B612" s="6"/>
      <c r="E612" s="6"/>
    </row>
    <row r="613">
      <c r="B613" s="6"/>
      <c r="E613" s="6"/>
    </row>
    <row r="614">
      <c r="B614" s="6"/>
      <c r="E614" s="6"/>
    </row>
    <row r="615">
      <c r="B615" s="6"/>
      <c r="E615" s="6"/>
    </row>
    <row r="616">
      <c r="B616" s="6"/>
      <c r="E616" s="6"/>
    </row>
    <row r="617">
      <c r="B617" s="6"/>
      <c r="E617" s="6"/>
    </row>
    <row r="618">
      <c r="B618" s="6"/>
      <c r="E618" s="6"/>
    </row>
    <row r="619">
      <c r="B619" s="6"/>
      <c r="E619" s="6"/>
    </row>
    <row r="620">
      <c r="B620" s="6"/>
      <c r="E620" s="6"/>
    </row>
    <row r="621">
      <c r="B621" s="6"/>
      <c r="E621" s="6"/>
    </row>
    <row r="622">
      <c r="B622" s="6"/>
      <c r="E622" s="6"/>
    </row>
    <row r="623">
      <c r="B623" s="6"/>
      <c r="E623" s="6"/>
    </row>
    <row r="624">
      <c r="B624" s="6"/>
      <c r="E624" s="6"/>
    </row>
    <row r="625">
      <c r="B625" s="6"/>
      <c r="E625" s="6"/>
    </row>
    <row r="626">
      <c r="B626" s="6"/>
      <c r="E626" s="6"/>
    </row>
    <row r="627">
      <c r="B627" s="6"/>
      <c r="E627" s="6"/>
    </row>
    <row r="628">
      <c r="B628" s="6"/>
      <c r="E628" s="6"/>
    </row>
    <row r="629">
      <c r="B629" s="6"/>
      <c r="E629" s="6"/>
    </row>
    <row r="630">
      <c r="B630" s="6"/>
      <c r="E630" s="6"/>
    </row>
    <row r="631">
      <c r="B631" s="6"/>
      <c r="E631" s="6"/>
    </row>
    <row r="632">
      <c r="B632" s="6"/>
      <c r="E632" s="6"/>
    </row>
    <row r="633">
      <c r="B633" s="6"/>
      <c r="E633" s="6"/>
    </row>
    <row r="634">
      <c r="B634" s="6"/>
      <c r="E634" s="6"/>
    </row>
    <row r="635">
      <c r="B635" s="6"/>
      <c r="E635" s="6"/>
    </row>
    <row r="636">
      <c r="B636" s="6"/>
      <c r="E636" s="6"/>
    </row>
    <row r="637">
      <c r="B637" s="6"/>
      <c r="E637" s="6"/>
    </row>
    <row r="638">
      <c r="B638" s="6"/>
      <c r="E638" s="6"/>
    </row>
    <row r="639">
      <c r="B639" s="6"/>
      <c r="E639" s="6"/>
    </row>
    <row r="640">
      <c r="B640" s="6"/>
      <c r="E640" s="6"/>
    </row>
    <row r="641">
      <c r="B641" s="6"/>
      <c r="E641" s="6"/>
    </row>
    <row r="642">
      <c r="B642" s="6"/>
      <c r="E642" s="6"/>
    </row>
    <row r="643">
      <c r="B643" s="6"/>
      <c r="E643" s="6"/>
    </row>
    <row r="644">
      <c r="B644" s="6"/>
      <c r="E644" s="6"/>
    </row>
    <row r="645">
      <c r="B645" s="6"/>
      <c r="E645" s="6"/>
    </row>
    <row r="646">
      <c r="B646" s="6"/>
      <c r="E646" s="6"/>
    </row>
    <row r="647">
      <c r="B647" s="6"/>
      <c r="E647" s="6"/>
    </row>
    <row r="648">
      <c r="B648" s="6"/>
      <c r="E648" s="6"/>
    </row>
    <row r="649">
      <c r="B649" s="6"/>
      <c r="E649" s="6"/>
    </row>
    <row r="650">
      <c r="B650" s="6"/>
      <c r="E650" s="6"/>
    </row>
    <row r="651">
      <c r="B651" s="6"/>
      <c r="E651" s="6"/>
    </row>
    <row r="652">
      <c r="B652" s="6"/>
      <c r="E652" s="6"/>
    </row>
    <row r="653">
      <c r="B653" s="6"/>
      <c r="E653" s="6"/>
    </row>
    <row r="654">
      <c r="B654" s="6"/>
      <c r="E654" s="6"/>
    </row>
    <row r="655">
      <c r="B655" s="6"/>
      <c r="E655" s="6"/>
    </row>
    <row r="656">
      <c r="B656" s="6"/>
      <c r="E656" s="6"/>
    </row>
    <row r="657">
      <c r="B657" s="6"/>
      <c r="E657" s="6"/>
    </row>
    <row r="658">
      <c r="B658" s="6"/>
      <c r="E658" s="6"/>
    </row>
    <row r="659">
      <c r="B659" s="6"/>
      <c r="E659" s="6"/>
    </row>
    <row r="660">
      <c r="B660" s="6"/>
      <c r="E660" s="6"/>
    </row>
    <row r="661">
      <c r="B661" s="6"/>
      <c r="E661" s="6"/>
    </row>
    <row r="662">
      <c r="B662" s="6"/>
      <c r="E662" s="6"/>
    </row>
    <row r="663">
      <c r="B663" s="6"/>
      <c r="E663" s="6"/>
    </row>
    <row r="664">
      <c r="B664" s="6"/>
      <c r="E664" s="6"/>
    </row>
    <row r="665">
      <c r="B665" s="6"/>
      <c r="E665" s="6"/>
    </row>
    <row r="666">
      <c r="B666" s="6"/>
      <c r="E666" s="6"/>
    </row>
    <row r="667">
      <c r="B667" s="6"/>
      <c r="E667" s="6"/>
    </row>
    <row r="668">
      <c r="B668" s="6"/>
      <c r="E668" s="6"/>
    </row>
    <row r="669">
      <c r="B669" s="6"/>
      <c r="E669" s="6"/>
    </row>
    <row r="670">
      <c r="B670" s="6"/>
      <c r="E670" s="6"/>
    </row>
    <row r="671">
      <c r="B671" s="6"/>
      <c r="E671" s="6"/>
    </row>
    <row r="672">
      <c r="B672" s="6"/>
      <c r="E672" s="6"/>
    </row>
    <row r="673">
      <c r="B673" s="6"/>
      <c r="E673" s="6"/>
    </row>
    <row r="674">
      <c r="B674" s="6"/>
      <c r="E674" s="6"/>
    </row>
    <row r="675">
      <c r="B675" s="6"/>
      <c r="E675" s="6"/>
    </row>
    <row r="676">
      <c r="B676" s="6"/>
      <c r="E676" s="6"/>
    </row>
    <row r="677">
      <c r="B677" s="6"/>
      <c r="E677" s="6"/>
    </row>
    <row r="678">
      <c r="B678" s="6"/>
      <c r="E678" s="6"/>
    </row>
    <row r="679">
      <c r="B679" s="6"/>
      <c r="E679" s="6"/>
    </row>
    <row r="680">
      <c r="B680" s="6"/>
      <c r="E680" s="6"/>
    </row>
    <row r="681">
      <c r="B681" s="6"/>
      <c r="E681" s="6"/>
    </row>
    <row r="682">
      <c r="B682" s="6"/>
      <c r="E682" s="6"/>
    </row>
    <row r="683">
      <c r="B683" s="6"/>
      <c r="E683" s="6"/>
    </row>
    <row r="684">
      <c r="B684" s="6"/>
      <c r="E684" s="6"/>
    </row>
    <row r="685">
      <c r="B685" s="6"/>
      <c r="E685" s="6"/>
    </row>
    <row r="686">
      <c r="B686" s="6"/>
      <c r="E686" s="6"/>
    </row>
    <row r="687">
      <c r="B687" s="6"/>
      <c r="E687" s="6"/>
    </row>
    <row r="688">
      <c r="B688" s="6"/>
      <c r="E688" s="6"/>
    </row>
    <row r="689">
      <c r="B689" s="6"/>
      <c r="E689" s="6"/>
    </row>
    <row r="690">
      <c r="B690" s="6"/>
      <c r="E690" s="6"/>
    </row>
    <row r="691">
      <c r="B691" s="6"/>
      <c r="E691" s="6"/>
    </row>
    <row r="692">
      <c r="B692" s="6"/>
      <c r="E692" s="6"/>
    </row>
    <row r="693">
      <c r="B693" s="6"/>
      <c r="E693" s="6"/>
    </row>
    <row r="694">
      <c r="B694" s="6"/>
      <c r="E694" s="6"/>
    </row>
    <row r="695">
      <c r="B695" s="6"/>
      <c r="E695" s="6"/>
    </row>
    <row r="696">
      <c r="B696" s="6"/>
      <c r="E696" s="6"/>
    </row>
    <row r="697">
      <c r="B697" s="6"/>
      <c r="E697" s="6"/>
    </row>
    <row r="698">
      <c r="B698" s="6"/>
      <c r="E698" s="6"/>
    </row>
    <row r="699">
      <c r="B699" s="6"/>
      <c r="E699" s="6"/>
    </row>
    <row r="700">
      <c r="B700" s="6"/>
      <c r="E700" s="6"/>
    </row>
    <row r="701">
      <c r="B701" s="6"/>
      <c r="E701" s="6"/>
    </row>
    <row r="702">
      <c r="B702" s="6"/>
      <c r="E702" s="6"/>
    </row>
    <row r="703">
      <c r="B703" s="6"/>
      <c r="E703" s="6"/>
    </row>
    <row r="704">
      <c r="B704" s="6"/>
      <c r="E704" s="6"/>
    </row>
    <row r="705">
      <c r="B705" s="6"/>
      <c r="E705" s="6"/>
    </row>
    <row r="706">
      <c r="B706" s="6"/>
      <c r="E706" s="6"/>
    </row>
    <row r="707">
      <c r="B707" s="6"/>
      <c r="E707" s="6"/>
    </row>
    <row r="708">
      <c r="B708" s="6"/>
      <c r="E708" s="6"/>
    </row>
    <row r="709">
      <c r="B709" s="6"/>
      <c r="E709" s="6"/>
    </row>
    <row r="710">
      <c r="B710" s="6"/>
      <c r="E710" s="6"/>
    </row>
    <row r="711">
      <c r="B711" s="6"/>
      <c r="E711" s="6"/>
    </row>
    <row r="712">
      <c r="B712" s="6"/>
      <c r="E712" s="6"/>
    </row>
    <row r="713">
      <c r="B713" s="6"/>
      <c r="E713" s="6"/>
    </row>
    <row r="714">
      <c r="B714" s="6"/>
      <c r="E714" s="6"/>
    </row>
    <row r="715">
      <c r="B715" s="6"/>
      <c r="E715" s="6"/>
    </row>
    <row r="716">
      <c r="B716" s="6"/>
      <c r="E716" s="6"/>
    </row>
    <row r="717">
      <c r="B717" s="6"/>
      <c r="E717" s="6"/>
    </row>
    <row r="718">
      <c r="B718" s="6"/>
      <c r="E718" s="6"/>
    </row>
    <row r="719">
      <c r="B719" s="6"/>
      <c r="E719" s="6"/>
    </row>
    <row r="720">
      <c r="B720" s="6"/>
      <c r="E720" s="6"/>
    </row>
    <row r="721">
      <c r="B721" s="6"/>
      <c r="E721" s="6"/>
    </row>
    <row r="722">
      <c r="B722" s="6"/>
      <c r="E722" s="6"/>
    </row>
    <row r="723">
      <c r="B723" s="6"/>
      <c r="E723" s="6"/>
    </row>
    <row r="724">
      <c r="B724" s="6"/>
      <c r="E724" s="6"/>
    </row>
    <row r="725">
      <c r="B725" s="6"/>
      <c r="E725" s="6"/>
    </row>
    <row r="726">
      <c r="B726" s="6"/>
      <c r="E726" s="6"/>
    </row>
    <row r="727">
      <c r="B727" s="6"/>
      <c r="E727" s="6"/>
    </row>
    <row r="728">
      <c r="B728" s="6"/>
      <c r="E728" s="6"/>
    </row>
    <row r="729">
      <c r="B729" s="6"/>
      <c r="E729" s="6"/>
    </row>
    <row r="730">
      <c r="B730" s="6"/>
      <c r="E730" s="6"/>
    </row>
    <row r="731">
      <c r="B731" s="6"/>
      <c r="E731" s="6"/>
    </row>
    <row r="732">
      <c r="B732" s="6"/>
      <c r="E732" s="6"/>
    </row>
    <row r="733">
      <c r="B733" s="6"/>
      <c r="E733" s="6"/>
    </row>
    <row r="734">
      <c r="B734" s="6"/>
      <c r="E734" s="6"/>
    </row>
    <row r="735">
      <c r="B735" s="6"/>
      <c r="E735" s="6"/>
    </row>
    <row r="736">
      <c r="B736" s="6"/>
      <c r="E736" s="6"/>
    </row>
    <row r="737">
      <c r="B737" s="6"/>
      <c r="E737" s="6"/>
    </row>
    <row r="738">
      <c r="B738" s="6"/>
      <c r="E738" s="6"/>
    </row>
    <row r="739">
      <c r="B739" s="6"/>
      <c r="E739" s="6"/>
    </row>
    <row r="740">
      <c r="B740" s="6"/>
      <c r="E740" s="6"/>
    </row>
    <row r="741">
      <c r="B741" s="6"/>
      <c r="E741" s="6"/>
    </row>
    <row r="742">
      <c r="B742" s="6"/>
      <c r="E742" s="6"/>
    </row>
    <row r="743">
      <c r="B743" s="6"/>
      <c r="E743" s="6"/>
    </row>
    <row r="744">
      <c r="B744" s="6"/>
      <c r="E744" s="6"/>
    </row>
    <row r="745">
      <c r="B745" s="6"/>
      <c r="E745" s="6"/>
    </row>
    <row r="746">
      <c r="B746" s="6"/>
      <c r="E746" s="6"/>
    </row>
    <row r="747">
      <c r="B747" s="6"/>
      <c r="E747" s="6"/>
    </row>
    <row r="748">
      <c r="B748" s="6"/>
      <c r="E748" s="6"/>
    </row>
    <row r="749">
      <c r="B749" s="6"/>
      <c r="E749" s="6"/>
    </row>
    <row r="750">
      <c r="B750" s="6"/>
      <c r="E750" s="6"/>
    </row>
    <row r="751">
      <c r="B751" s="6"/>
      <c r="E751" s="6"/>
    </row>
    <row r="752">
      <c r="B752" s="6"/>
      <c r="E752" s="6"/>
    </row>
    <row r="753">
      <c r="B753" s="6"/>
      <c r="E753" s="6"/>
    </row>
    <row r="754">
      <c r="B754" s="6"/>
      <c r="E754" s="6"/>
    </row>
    <row r="755">
      <c r="B755" s="6"/>
      <c r="E755" s="6"/>
    </row>
    <row r="756">
      <c r="B756" s="6"/>
      <c r="E756" s="6"/>
    </row>
    <row r="757">
      <c r="B757" s="6"/>
      <c r="E757" s="6"/>
    </row>
    <row r="758">
      <c r="B758" s="6"/>
      <c r="E758" s="6"/>
    </row>
    <row r="759">
      <c r="B759" s="6"/>
      <c r="E759" s="6"/>
    </row>
    <row r="760">
      <c r="B760" s="6"/>
      <c r="E760" s="6"/>
    </row>
    <row r="761">
      <c r="B761" s="6"/>
      <c r="E761" s="6"/>
    </row>
    <row r="762">
      <c r="B762" s="6"/>
      <c r="E762" s="6"/>
    </row>
    <row r="763">
      <c r="B763" s="6"/>
      <c r="E763" s="6"/>
    </row>
    <row r="764">
      <c r="B764" s="6"/>
      <c r="E764" s="6"/>
    </row>
    <row r="765">
      <c r="B765" s="6"/>
      <c r="E765" s="6"/>
    </row>
    <row r="766">
      <c r="B766" s="6"/>
      <c r="E766" s="6"/>
    </row>
    <row r="767">
      <c r="B767" s="6"/>
      <c r="E767" s="6"/>
    </row>
    <row r="768">
      <c r="B768" s="6"/>
      <c r="E768" s="6"/>
    </row>
    <row r="769">
      <c r="B769" s="6"/>
      <c r="E769" s="6"/>
    </row>
    <row r="770">
      <c r="B770" s="6"/>
      <c r="E770" s="6"/>
    </row>
    <row r="771">
      <c r="B771" s="6"/>
      <c r="E771" s="6"/>
    </row>
    <row r="772">
      <c r="B772" s="6"/>
      <c r="E772" s="6"/>
    </row>
    <row r="773">
      <c r="B773" s="6"/>
      <c r="E773" s="6"/>
    </row>
    <row r="774">
      <c r="B774" s="6"/>
      <c r="E774" s="6"/>
    </row>
    <row r="775">
      <c r="B775" s="6"/>
      <c r="E775" s="6"/>
    </row>
    <row r="776">
      <c r="B776" s="6"/>
      <c r="E776" s="6"/>
    </row>
    <row r="777">
      <c r="B777" s="6"/>
      <c r="E777" s="6"/>
    </row>
    <row r="778">
      <c r="B778" s="6"/>
      <c r="E778" s="6"/>
    </row>
    <row r="779">
      <c r="B779" s="6"/>
      <c r="E779" s="6"/>
    </row>
    <row r="780">
      <c r="B780" s="6"/>
      <c r="E780" s="6"/>
    </row>
    <row r="781">
      <c r="B781" s="6"/>
      <c r="E781" s="6"/>
    </row>
    <row r="782">
      <c r="B782" s="6"/>
      <c r="E782" s="6"/>
    </row>
    <row r="783">
      <c r="B783" s="6"/>
      <c r="E783" s="6"/>
    </row>
    <row r="784">
      <c r="B784" s="6"/>
      <c r="E784" s="6"/>
    </row>
    <row r="785">
      <c r="B785" s="6"/>
      <c r="E785" s="6"/>
    </row>
    <row r="786">
      <c r="B786" s="6"/>
      <c r="E786" s="6"/>
    </row>
    <row r="787">
      <c r="B787" s="6"/>
      <c r="E787" s="6"/>
    </row>
    <row r="788">
      <c r="B788" s="6"/>
      <c r="E788" s="6"/>
    </row>
    <row r="789">
      <c r="B789" s="6"/>
      <c r="E789" s="6"/>
    </row>
    <row r="790">
      <c r="B790" s="6"/>
      <c r="E790" s="6"/>
    </row>
    <row r="791">
      <c r="B791" s="6"/>
      <c r="E791" s="6"/>
    </row>
    <row r="792">
      <c r="B792" s="6"/>
      <c r="E792" s="6"/>
    </row>
    <row r="793">
      <c r="B793" s="6"/>
      <c r="E793" s="6"/>
    </row>
    <row r="794">
      <c r="B794" s="6"/>
      <c r="E794" s="6"/>
    </row>
    <row r="795">
      <c r="B795" s="6"/>
      <c r="E795" s="6"/>
    </row>
    <row r="796">
      <c r="B796" s="6"/>
      <c r="E796" s="6"/>
    </row>
    <row r="797">
      <c r="B797" s="6"/>
      <c r="E797" s="6"/>
    </row>
    <row r="798">
      <c r="B798" s="6"/>
      <c r="E798" s="6"/>
    </row>
    <row r="799">
      <c r="B799" s="6"/>
      <c r="E799" s="6"/>
    </row>
    <row r="800">
      <c r="B800" s="6"/>
      <c r="E800" s="6"/>
    </row>
    <row r="801">
      <c r="B801" s="6"/>
      <c r="E801" s="6"/>
    </row>
    <row r="802">
      <c r="B802" s="6"/>
      <c r="E802" s="6"/>
    </row>
    <row r="803">
      <c r="B803" s="6"/>
      <c r="E803" s="6"/>
    </row>
    <row r="804">
      <c r="B804" s="6"/>
      <c r="E804" s="6"/>
    </row>
    <row r="805">
      <c r="B805" s="6"/>
      <c r="E805" s="6"/>
    </row>
    <row r="806">
      <c r="B806" s="6"/>
      <c r="E806" s="6"/>
    </row>
    <row r="807">
      <c r="B807" s="6"/>
      <c r="E807" s="6"/>
    </row>
    <row r="808">
      <c r="B808" s="6"/>
      <c r="E808" s="6"/>
    </row>
    <row r="809">
      <c r="B809" s="6"/>
      <c r="E809" s="6"/>
    </row>
    <row r="810">
      <c r="B810" s="6"/>
      <c r="E810" s="6"/>
    </row>
    <row r="811">
      <c r="B811" s="6"/>
      <c r="E811" s="6"/>
    </row>
    <row r="812">
      <c r="B812" s="6"/>
      <c r="E812" s="6"/>
    </row>
    <row r="813">
      <c r="B813" s="6"/>
      <c r="E813" s="6"/>
    </row>
    <row r="814">
      <c r="B814" s="6"/>
      <c r="E814" s="6"/>
    </row>
    <row r="815">
      <c r="B815" s="6"/>
      <c r="E815" s="6"/>
    </row>
    <row r="816">
      <c r="B816" s="6"/>
      <c r="E816" s="6"/>
    </row>
    <row r="817">
      <c r="B817" s="6"/>
      <c r="E817" s="6"/>
    </row>
    <row r="818">
      <c r="B818" s="6"/>
      <c r="E818" s="6"/>
    </row>
    <row r="819">
      <c r="B819" s="6"/>
      <c r="E819" s="6"/>
    </row>
    <row r="820">
      <c r="B820" s="6"/>
      <c r="E820" s="6"/>
    </row>
    <row r="821">
      <c r="B821" s="6"/>
      <c r="E821" s="6"/>
    </row>
    <row r="822">
      <c r="B822" s="6"/>
      <c r="E822" s="6"/>
    </row>
    <row r="823">
      <c r="B823" s="6"/>
      <c r="E823" s="6"/>
    </row>
    <row r="824">
      <c r="B824" s="6"/>
      <c r="E824" s="6"/>
    </row>
    <row r="825">
      <c r="B825" s="6"/>
      <c r="E825" s="6"/>
    </row>
    <row r="826">
      <c r="B826" s="6"/>
      <c r="E826" s="6"/>
    </row>
    <row r="827">
      <c r="B827" s="6"/>
      <c r="E827" s="6"/>
    </row>
    <row r="828">
      <c r="B828" s="6"/>
      <c r="E828" s="6"/>
    </row>
    <row r="829">
      <c r="B829" s="6"/>
      <c r="E829" s="6"/>
    </row>
    <row r="830">
      <c r="B830" s="6"/>
      <c r="E830" s="6"/>
    </row>
    <row r="831">
      <c r="B831" s="6"/>
      <c r="E831" s="6"/>
    </row>
    <row r="832">
      <c r="B832" s="6"/>
      <c r="E832" s="6"/>
    </row>
    <row r="833">
      <c r="B833" s="6"/>
      <c r="E833" s="6"/>
    </row>
    <row r="834">
      <c r="B834" s="6"/>
      <c r="E834" s="6"/>
    </row>
    <row r="835">
      <c r="B835" s="6"/>
      <c r="E835" s="6"/>
    </row>
    <row r="836">
      <c r="B836" s="6"/>
      <c r="E836" s="6"/>
    </row>
    <row r="837">
      <c r="B837" s="6"/>
      <c r="E837" s="6"/>
    </row>
    <row r="838">
      <c r="B838" s="6"/>
      <c r="E838" s="6"/>
    </row>
    <row r="839">
      <c r="B839" s="6"/>
      <c r="E839" s="6"/>
    </row>
    <row r="840">
      <c r="B840" s="6"/>
      <c r="E840" s="6"/>
    </row>
    <row r="841">
      <c r="B841" s="6"/>
      <c r="E841" s="6"/>
    </row>
    <row r="842">
      <c r="B842" s="6"/>
      <c r="E842" s="6"/>
    </row>
    <row r="843">
      <c r="B843" s="6"/>
      <c r="E843" s="6"/>
    </row>
    <row r="844">
      <c r="B844" s="6"/>
      <c r="E844" s="6"/>
    </row>
    <row r="845">
      <c r="B845" s="6"/>
      <c r="E845" s="6"/>
    </row>
    <row r="846">
      <c r="B846" s="6"/>
      <c r="E846" s="6"/>
    </row>
    <row r="847">
      <c r="B847" s="6"/>
      <c r="E847" s="6"/>
    </row>
    <row r="848">
      <c r="B848" s="6"/>
      <c r="E848" s="6"/>
    </row>
    <row r="849">
      <c r="B849" s="6"/>
      <c r="E849" s="6"/>
    </row>
    <row r="850">
      <c r="B850" s="6"/>
      <c r="E850" s="6"/>
    </row>
    <row r="851">
      <c r="B851" s="6"/>
      <c r="E851" s="6"/>
    </row>
    <row r="852">
      <c r="B852" s="6"/>
      <c r="E852" s="6"/>
    </row>
    <row r="853">
      <c r="B853" s="6"/>
      <c r="E853" s="6"/>
    </row>
    <row r="854">
      <c r="B854" s="6"/>
      <c r="E854" s="6"/>
    </row>
    <row r="855">
      <c r="B855" s="6"/>
      <c r="E855" s="6"/>
    </row>
    <row r="856">
      <c r="B856" s="6"/>
      <c r="E856" s="6"/>
    </row>
    <row r="857">
      <c r="B857" s="6"/>
      <c r="E857" s="6"/>
    </row>
    <row r="858">
      <c r="B858" s="6"/>
      <c r="E858" s="6"/>
    </row>
    <row r="859">
      <c r="B859" s="6"/>
      <c r="E859" s="6"/>
    </row>
    <row r="860">
      <c r="B860" s="6"/>
      <c r="E860" s="6"/>
    </row>
    <row r="861">
      <c r="B861" s="6"/>
      <c r="E861" s="6"/>
    </row>
    <row r="862">
      <c r="B862" s="6"/>
      <c r="E862" s="6"/>
    </row>
    <row r="863">
      <c r="B863" s="6"/>
      <c r="E863" s="6"/>
    </row>
    <row r="864">
      <c r="B864" s="6"/>
      <c r="E864" s="6"/>
    </row>
    <row r="865">
      <c r="B865" s="6"/>
      <c r="E865" s="6"/>
    </row>
    <row r="866">
      <c r="B866" s="6"/>
      <c r="E866" s="6"/>
    </row>
    <row r="867">
      <c r="B867" s="6"/>
      <c r="E867" s="6"/>
    </row>
    <row r="868">
      <c r="B868" s="6"/>
      <c r="E868" s="6"/>
    </row>
    <row r="869">
      <c r="B869" s="6"/>
      <c r="E869" s="6"/>
    </row>
    <row r="870">
      <c r="B870" s="6"/>
      <c r="E870" s="6"/>
    </row>
    <row r="871">
      <c r="B871" s="6"/>
      <c r="E871" s="6"/>
    </row>
    <row r="872">
      <c r="B872" s="6"/>
      <c r="E872" s="6"/>
    </row>
    <row r="873">
      <c r="B873" s="6"/>
      <c r="E873" s="6"/>
    </row>
    <row r="874">
      <c r="B874" s="6"/>
      <c r="E874" s="6"/>
    </row>
    <row r="875">
      <c r="B875" s="6"/>
      <c r="E875" s="6"/>
    </row>
    <row r="876">
      <c r="B876" s="6"/>
      <c r="E876" s="6"/>
    </row>
    <row r="877">
      <c r="B877" s="6"/>
      <c r="E877" s="6"/>
    </row>
    <row r="878">
      <c r="B878" s="6"/>
      <c r="E878" s="6"/>
    </row>
    <row r="879">
      <c r="B879" s="6"/>
      <c r="E879" s="6"/>
    </row>
    <row r="880">
      <c r="B880" s="6"/>
      <c r="E880" s="6"/>
    </row>
    <row r="881">
      <c r="B881" s="6"/>
      <c r="E881" s="6"/>
    </row>
    <row r="882">
      <c r="B882" s="6"/>
      <c r="E882" s="6"/>
    </row>
    <row r="883">
      <c r="B883" s="6"/>
      <c r="E883" s="6"/>
    </row>
    <row r="884">
      <c r="B884" s="6"/>
      <c r="E884" s="6"/>
    </row>
    <row r="885">
      <c r="B885" s="6"/>
      <c r="E885" s="6"/>
    </row>
    <row r="886">
      <c r="B886" s="6"/>
      <c r="E886" s="6"/>
    </row>
    <row r="887">
      <c r="B887" s="6"/>
      <c r="E887" s="6"/>
    </row>
    <row r="888">
      <c r="B888" s="6"/>
      <c r="E888" s="6"/>
    </row>
    <row r="889">
      <c r="B889" s="6"/>
      <c r="E889" s="6"/>
    </row>
    <row r="890">
      <c r="B890" s="6"/>
      <c r="E890" s="6"/>
    </row>
    <row r="891">
      <c r="B891" s="6"/>
      <c r="E891" s="6"/>
    </row>
    <row r="892">
      <c r="B892" s="6"/>
      <c r="E892" s="6"/>
    </row>
    <row r="893">
      <c r="B893" s="6"/>
      <c r="E893" s="6"/>
    </row>
    <row r="894">
      <c r="B894" s="6"/>
      <c r="E894" s="6"/>
    </row>
    <row r="895">
      <c r="B895" s="6"/>
      <c r="E895" s="6"/>
    </row>
    <row r="896">
      <c r="B896" s="6"/>
      <c r="E896" s="6"/>
    </row>
    <row r="897">
      <c r="B897" s="6"/>
      <c r="E897" s="6"/>
    </row>
    <row r="898">
      <c r="B898" s="6"/>
      <c r="E898" s="6"/>
    </row>
    <row r="899">
      <c r="B899" s="6"/>
      <c r="E899" s="6"/>
    </row>
    <row r="900">
      <c r="B900" s="6"/>
      <c r="E900" s="6"/>
    </row>
    <row r="901">
      <c r="B901" s="6"/>
      <c r="E901" s="6"/>
    </row>
    <row r="902">
      <c r="B902" s="6"/>
      <c r="E902" s="6"/>
    </row>
    <row r="903">
      <c r="B903" s="6"/>
      <c r="E903" s="6"/>
    </row>
    <row r="904">
      <c r="B904" s="6"/>
      <c r="E904" s="6"/>
    </row>
    <row r="905">
      <c r="B905" s="6"/>
      <c r="E905" s="6"/>
    </row>
    <row r="906">
      <c r="B906" s="6"/>
      <c r="E906" s="6"/>
    </row>
    <row r="907">
      <c r="B907" s="6"/>
      <c r="E907" s="6"/>
    </row>
    <row r="908">
      <c r="B908" s="6"/>
      <c r="E908" s="6"/>
    </row>
    <row r="909">
      <c r="B909" s="6"/>
      <c r="E909" s="6"/>
    </row>
    <row r="910">
      <c r="B910" s="6"/>
      <c r="E910" s="6"/>
    </row>
    <row r="911">
      <c r="B911" s="6"/>
      <c r="E911" s="6"/>
    </row>
    <row r="912">
      <c r="B912" s="6"/>
      <c r="E912" s="6"/>
    </row>
    <row r="913">
      <c r="B913" s="6"/>
      <c r="E913" s="6"/>
    </row>
    <row r="914">
      <c r="B914" s="6"/>
      <c r="E914" s="6"/>
    </row>
    <row r="915">
      <c r="B915" s="6"/>
      <c r="E915" s="6"/>
    </row>
    <row r="916">
      <c r="B916" s="6"/>
      <c r="E916" s="6"/>
    </row>
    <row r="917">
      <c r="B917" s="6"/>
      <c r="E917" s="6"/>
    </row>
    <row r="918">
      <c r="B918" s="6"/>
      <c r="E918" s="6"/>
    </row>
    <row r="919">
      <c r="B919" s="6"/>
      <c r="E919" s="6"/>
    </row>
    <row r="920">
      <c r="B920" s="6"/>
      <c r="E920" s="6"/>
    </row>
    <row r="921">
      <c r="B921" s="6"/>
      <c r="E921" s="6"/>
    </row>
    <row r="922">
      <c r="B922" s="6"/>
      <c r="E922" s="6"/>
    </row>
    <row r="923">
      <c r="B923" s="6"/>
      <c r="E923" s="6"/>
    </row>
    <row r="924">
      <c r="B924" s="6"/>
      <c r="E924" s="6"/>
    </row>
    <row r="925">
      <c r="B925" s="6"/>
      <c r="E925" s="6"/>
    </row>
    <row r="926">
      <c r="B926" s="6"/>
      <c r="E926" s="6"/>
    </row>
    <row r="927">
      <c r="B927" s="6"/>
      <c r="E927" s="6"/>
    </row>
    <row r="928">
      <c r="B928" s="6"/>
      <c r="E928" s="6"/>
    </row>
    <row r="929">
      <c r="B929" s="6"/>
      <c r="E929" s="6"/>
    </row>
    <row r="930">
      <c r="B930" s="6"/>
      <c r="E930" s="6"/>
    </row>
    <row r="931">
      <c r="B931" s="6"/>
      <c r="E931" s="6"/>
    </row>
    <row r="932">
      <c r="B932" s="6"/>
      <c r="E932" s="6"/>
    </row>
    <row r="933">
      <c r="B933" s="6"/>
      <c r="E933" s="6"/>
    </row>
    <row r="934">
      <c r="B934" s="6"/>
      <c r="E934" s="6"/>
    </row>
    <row r="935">
      <c r="B935" s="6"/>
      <c r="E935" s="6"/>
    </row>
    <row r="936">
      <c r="B936" s="6"/>
      <c r="E936" s="6"/>
    </row>
    <row r="937">
      <c r="B937" s="6"/>
      <c r="E937" s="6"/>
    </row>
    <row r="938">
      <c r="B938" s="6"/>
      <c r="E938" s="6"/>
    </row>
    <row r="939">
      <c r="B939" s="6"/>
      <c r="E939" s="6"/>
    </row>
    <row r="940">
      <c r="B940" s="6"/>
      <c r="E940" s="6"/>
    </row>
    <row r="941">
      <c r="B941" s="6"/>
      <c r="E941" s="6"/>
    </row>
    <row r="942">
      <c r="B942" s="6"/>
      <c r="E942" s="6"/>
    </row>
    <row r="943">
      <c r="B943" s="6"/>
      <c r="E943" s="6"/>
    </row>
    <row r="944">
      <c r="B944" s="6"/>
      <c r="E944" s="6"/>
    </row>
    <row r="945">
      <c r="B945" s="6"/>
      <c r="E945" s="6"/>
    </row>
    <row r="946">
      <c r="B946" s="6"/>
      <c r="E946" s="6"/>
    </row>
    <row r="947">
      <c r="B947" s="6"/>
      <c r="E947" s="6"/>
    </row>
    <row r="948">
      <c r="B948" s="6"/>
      <c r="E948" s="6"/>
    </row>
    <row r="949">
      <c r="B949" s="6"/>
      <c r="E949" s="6"/>
    </row>
    <row r="950">
      <c r="B950" s="6"/>
      <c r="E950" s="6"/>
    </row>
    <row r="951">
      <c r="B951" s="6"/>
      <c r="E951" s="6"/>
    </row>
    <row r="952">
      <c r="B952" s="6"/>
      <c r="E952" s="6"/>
    </row>
    <row r="953">
      <c r="B953" s="6"/>
      <c r="E953" s="6"/>
    </row>
    <row r="954">
      <c r="B954" s="6"/>
      <c r="E954" s="6"/>
    </row>
    <row r="955">
      <c r="B955" s="6"/>
      <c r="E955" s="6"/>
    </row>
    <row r="956">
      <c r="B956" s="6"/>
      <c r="E956" s="6"/>
    </row>
    <row r="957">
      <c r="B957" s="6"/>
      <c r="E957" s="6"/>
    </row>
    <row r="958">
      <c r="B958" s="6"/>
      <c r="E958" s="6"/>
    </row>
    <row r="959">
      <c r="B959" s="6"/>
      <c r="E959" s="6"/>
    </row>
    <row r="960">
      <c r="B960" s="6"/>
      <c r="E960" s="6"/>
    </row>
    <row r="961">
      <c r="B961" s="6"/>
      <c r="E961" s="6"/>
    </row>
    <row r="962">
      <c r="B962" s="6"/>
      <c r="E962" s="6"/>
    </row>
    <row r="963">
      <c r="B963" s="6"/>
      <c r="E963" s="6"/>
    </row>
    <row r="964">
      <c r="B964" s="6"/>
      <c r="E964" s="6"/>
    </row>
    <row r="965">
      <c r="B965" s="6"/>
      <c r="E965" s="6"/>
    </row>
    <row r="966">
      <c r="B966" s="6"/>
      <c r="E966" s="6"/>
    </row>
    <row r="967">
      <c r="B967" s="6"/>
      <c r="E967" s="6"/>
    </row>
    <row r="968">
      <c r="B968" s="6"/>
      <c r="E968" s="6"/>
    </row>
    <row r="969">
      <c r="B969" s="6"/>
      <c r="E969" s="6"/>
    </row>
    <row r="970">
      <c r="B970" s="6"/>
      <c r="E970" s="6"/>
    </row>
    <row r="971">
      <c r="B971" s="6"/>
      <c r="E971" s="6"/>
    </row>
    <row r="972">
      <c r="B972" s="6"/>
      <c r="E972" s="6"/>
    </row>
    <row r="973">
      <c r="B973" s="6"/>
      <c r="E973" s="6"/>
    </row>
    <row r="974">
      <c r="B974" s="6"/>
      <c r="E974" s="6"/>
    </row>
    <row r="975">
      <c r="B975" s="6"/>
      <c r="E975" s="6"/>
    </row>
    <row r="976">
      <c r="B976" s="6"/>
      <c r="E976" s="6"/>
    </row>
    <row r="977">
      <c r="B977" s="6"/>
      <c r="E977" s="6"/>
    </row>
    <row r="978">
      <c r="B978" s="6"/>
      <c r="E978" s="6"/>
    </row>
    <row r="979">
      <c r="B979" s="6"/>
      <c r="E979" s="6"/>
    </row>
    <row r="980">
      <c r="B980" s="6"/>
      <c r="E980" s="6"/>
    </row>
    <row r="981">
      <c r="B981" s="6"/>
      <c r="E981" s="6"/>
    </row>
    <row r="982">
      <c r="B982" s="6"/>
      <c r="E982" s="6"/>
    </row>
    <row r="983">
      <c r="B983" s="6"/>
      <c r="E983" s="6"/>
    </row>
    <row r="984">
      <c r="B984" s="6"/>
      <c r="E984" s="6"/>
    </row>
    <row r="985">
      <c r="B985" s="6"/>
      <c r="E985" s="6"/>
    </row>
    <row r="986">
      <c r="B986" s="6"/>
      <c r="E986" s="6"/>
    </row>
    <row r="987">
      <c r="B987" s="6"/>
      <c r="E987" s="6"/>
    </row>
    <row r="988">
      <c r="B988" s="6"/>
      <c r="E988" s="6"/>
    </row>
    <row r="989">
      <c r="B989" s="6"/>
      <c r="E989" s="6"/>
    </row>
    <row r="990">
      <c r="B990" s="6"/>
      <c r="E990" s="6"/>
    </row>
    <row r="991">
      <c r="B991" s="6"/>
      <c r="E991" s="6"/>
    </row>
    <row r="992">
      <c r="B992" s="6"/>
      <c r="E992" s="6"/>
    </row>
    <row r="993">
      <c r="B993" s="6"/>
      <c r="E993" s="6"/>
    </row>
    <row r="994">
      <c r="B994" s="6"/>
      <c r="E994" s="6"/>
    </row>
    <row r="995">
      <c r="B995" s="6"/>
      <c r="E995" s="6"/>
    </row>
    <row r="996">
      <c r="B996" s="6"/>
      <c r="E996" s="6"/>
    </row>
    <row r="997">
      <c r="B997" s="6"/>
      <c r="E997" s="6"/>
    </row>
    <row r="998">
      <c r="B998" s="6"/>
      <c r="E998" s="6"/>
    </row>
    <row r="999">
      <c r="B999" s="6"/>
      <c r="E999" s="6"/>
    </row>
    <row r="1000">
      <c r="B1000" s="6"/>
      <c r="E1000" s="6"/>
    </row>
    <row r="1001">
      <c r="B1001" s="6"/>
      <c r="E1001" s="6"/>
    </row>
  </sheetData>
  <autoFilter ref="$M$5:$Q$92">
    <sortState ref="M5:Q92">
      <sortCondition descending="1" ref="P5:P92"/>
      <sortCondition descending="1" ref="Q5:Q92"/>
    </sortState>
  </autoFilter>
  <mergeCells count="11">
    <mergeCell ref="E17:E22"/>
    <mergeCell ref="B23:E23"/>
    <mergeCell ref="E24:E29"/>
    <mergeCell ref="B30:D30"/>
    <mergeCell ref="B2:K2"/>
    <mergeCell ref="G4:K4"/>
    <mergeCell ref="M4:Q4"/>
    <mergeCell ref="B5:E5"/>
    <mergeCell ref="B8:E8"/>
    <mergeCell ref="E10:E15"/>
    <mergeCell ref="B16:E16"/>
  </mergeCells>
  <dataValidations>
    <dataValidation type="list" allowBlank="1" showErrorMessage="1" sqref="E30">
      <formula1>"Option 1,Option 2,Option 3"</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2" width="3.0"/>
    <col customWidth="1" min="3" max="3" width="43.63"/>
    <col customWidth="1" min="4" max="90" width="11.75"/>
    <col customWidth="1" min="91" max="91" width="3.5"/>
  </cols>
  <sheetData>
    <row r="2" hidden="1">
      <c r="C2" s="14" t="s">
        <v>2</v>
      </c>
      <c r="D2" s="16" t="s">
        <v>5</v>
      </c>
    </row>
    <row r="3" hidden="1">
      <c r="C3" s="14" t="s">
        <v>11</v>
      </c>
      <c r="D3" s="16" t="s">
        <v>12</v>
      </c>
    </row>
    <row r="4" hidden="1">
      <c r="C4" s="16" t="s">
        <v>15</v>
      </c>
      <c r="D4" s="16" t="s">
        <v>16</v>
      </c>
    </row>
    <row r="5" hidden="1">
      <c r="C5" s="16" t="s">
        <v>17</v>
      </c>
      <c r="D5" s="16" t="s">
        <v>19</v>
      </c>
    </row>
    <row r="7">
      <c r="B7" s="39"/>
      <c r="C7" s="40"/>
      <c r="D7" s="44" t="s">
        <v>26</v>
      </c>
      <c r="E7" s="24"/>
      <c r="F7" s="24"/>
      <c r="G7" s="24"/>
      <c r="H7" s="24"/>
      <c r="I7" s="24"/>
      <c r="J7" s="24"/>
      <c r="K7" s="47"/>
      <c r="L7" s="50" t="s">
        <v>31</v>
      </c>
      <c r="M7" s="24"/>
      <c r="N7" s="24"/>
      <c r="O7" s="24"/>
      <c r="P7" s="24"/>
      <c r="Q7" s="24"/>
      <c r="R7" s="24"/>
      <c r="S7" s="24"/>
      <c r="T7" s="47"/>
      <c r="U7" s="50" t="s">
        <v>31</v>
      </c>
      <c r="V7" s="24"/>
      <c r="W7" s="24"/>
      <c r="X7" s="24"/>
      <c r="Y7" s="24"/>
      <c r="Z7" s="24"/>
      <c r="AA7" s="24"/>
      <c r="AB7" s="24"/>
      <c r="AC7" s="47"/>
      <c r="AD7" s="59" t="s">
        <v>35</v>
      </c>
      <c r="AE7" s="24"/>
      <c r="AF7" s="24"/>
      <c r="AG7" s="24"/>
      <c r="AH7" s="24"/>
      <c r="AI7" s="24"/>
      <c r="AJ7" s="24"/>
      <c r="AK7" s="47"/>
      <c r="AL7" s="59" t="s">
        <v>35</v>
      </c>
      <c r="AM7" s="24"/>
      <c r="AN7" s="24"/>
      <c r="AO7" s="24"/>
      <c r="AP7" s="24"/>
      <c r="AQ7" s="24"/>
      <c r="AR7" s="24"/>
      <c r="AS7" s="47"/>
      <c r="AT7" s="59" t="s">
        <v>35</v>
      </c>
      <c r="AU7" s="24"/>
      <c r="AV7" s="24"/>
      <c r="AW7" s="24"/>
      <c r="AX7" s="24"/>
      <c r="AY7" s="24"/>
      <c r="AZ7" s="24"/>
      <c r="BA7" s="47"/>
      <c r="BB7" s="61" t="s">
        <v>37</v>
      </c>
      <c r="BC7" s="24"/>
      <c r="BD7" s="24"/>
      <c r="BE7" s="24"/>
      <c r="BF7" s="24"/>
      <c r="BG7" s="24"/>
      <c r="BH7" s="24"/>
      <c r="BI7" s="24"/>
      <c r="BJ7" s="47"/>
      <c r="BK7" s="61" t="s">
        <v>38</v>
      </c>
      <c r="BL7" s="24"/>
      <c r="BM7" s="24"/>
      <c r="BN7" s="24"/>
      <c r="BO7" s="24"/>
      <c r="BP7" s="24"/>
      <c r="BQ7" s="24"/>
      <c r="BR7" s="24"/>
      <c r="BS7" s="47"/>
      <c r="BT7" s="61" t="s">
        <v>38</v>
      </c>
      <c r="BU7" s="24"/>
      <c r="BV7" s="24"/>
      <c r="BW7" s="24"/>
      <c r="BX7" s="24"/>
      <c r="BY7" s="24"/>
      <c r="BZ7" s="24"/>
      <c r="CA7" s="24"/>
      <c r="CB7" s="47"/>
      <c r="CC7" s="61" t="s">
        <v>38</v>
      </c>
      <c r="CD7" s="24"/>
      <c r="CE7" s="24"/>
      <c r="CF7" s="24"/>
      <c r="CG7" s="24"/>
      <c r="CH7" s="24"/>
      <c r="CI7" s="24"/>
      <c r="CJ7" s="24"/>
      <c r="CK7" s="24"/>
      <c r="CL7" s="25"/>
    </row>
    <row r="8" hidden="1">
      <c r="B8" s="65"/>
      <c r="C8" s="67"/>
      <c r="D8" s="72" t="str">
        <f t="shared" ref="D8:K8" si="1">$C2</f>
        <v>https://docs.google.com/spreadsheets/d/1VEtie59TgRvZSEVjfG7qcKBKcQyJn8zO91Lau9YNqXc/edit?usp=sharing</v>
      </c>
      <c r="E8" s="72" t="str">
        <f t="shared" si="1"/>
        <v>https://docs.google.com/spreadsheets/d/1VEtie59TgRvZSEVjfG7qcKBKcQyJn8zO91Lau9YNqXc/edit?usp=sharing</v>
      </c>
      <c r="F8" s="72" t="str">
        <f t="shared" si="1"/>
        <v>https://docs.google.com/spreadsheets/d/1VEtie59TgRvZSEVjfG7qcKBKcQyJn8zO91Lau9YNqXc/edit?usp=sharing</v>
      </c>
      <c r="G8" s="72" t="str">
        <f t="shared" si="1"/>
        <v>https://docs.google.com/spreadsheets/d/1VEtie59TgRvZSEVjfG7qcKBKcQyJn8zO91Lau9YNqXc/edit?usp=sharing</v>
      </c>
      <c r="H8" s="72" t="str">
        <f t="shared" si="1"/>
        <v>https://docs.google.com/spreadsheets/d/1VEtie59TgRvZSEVjfG7qcKBKcQyJn8zO91Lau9YNqXc/edit?usp=sharing</v>
      </c>
      <c r="I8" s="72" t="str">
        <f t="shared" si="1"/>
        <v>https://docs.google.com/spreadsheets/d/1VEtie59TgRvZSEVjfG7qcKBKcQyJn8zO91Lau9YNqXc/edit?usp=sharing</v>
      </c>
      <c r="J8" s="72" t="str">
        <f t="shared" si="1"/>
        <v>https://docs.google.com/spreadsheets/d/1VEtie59TgRvZSEVjfG7qcKBKcQyJn8zO91Lau9YNqXc/edit?usp=sharing</v>
      </c>
      <c r="K8" s="72" t="str">
        <f t="shared" si="1"/>
        <v>https://docs.google.com/spreadsheets/d/1VEtie59TgRvZSEVjfG7qcKBKcQyJn8zO91Lau9YNqXc/edit?usp=sharing</v>
      </c>
      <c r="L8" s="77" t="str">
        <f t="shared" ref="L8:AC8" si="2">$C3</f>
        <v>https://docs.google.com/spreadsheets/d/1fUZFe-pDvRqXdZVnyvCUdKYs7BgX9S7a5qBEVwwqrzQ/edit?usp=sharing</v>
      </c>
      <c r="M8" s="77" t="str">
        <f t="shared" si="2"/>
        <v>https://docs.google.com/spreadsheets/d/1fUZFe-pDvRqXdZVnyvCUdKYs7BgX9S7a5qBEVwwqrzQ/edit?usp=sharing</v>
      </c>
      <c r="N8" s="77" t="str">
        <f t="shared" si="2"/>
        <v>https://docs.google.com/spreadsheets/d/1fUZFe-pDvRqXdZVnyvCUdKYs7BgX9S7a5qBEVwwqrzQ/edit?usp=sharing</v>
      </c>
      <c r="O8" s="77" t="str">
        <f t="shared" si="2"/>
        <v>https://docs.google.com/spreadsheets/d/1fUZFe-pDvRqXdZVnyvCUdKYs7BgX9S7a5qBEVwwqrzQ/edit?usp=sharing</v>
      </c>
      <c r="P8" s="77" t="str">
        <f t="shared" si="2"/>
        <v>https://docs.google.com/spreadsheets/d/1fUZFe-pDvRqXdZVnyvCUdKYs7BgX9S7a5qBEVwwqrzQ/edit?usp=sharing</v>
      </c>
      <c r="Q8" s="77" t="str">
        <f t="shared" si="2"/>
        <v>https://docs.google.com/spreadsheets/d/1fUZFe-pDvRqXdZVnyvCUdKYs7BgX9S7a5qBEVwwqrzQ/edit?usp=sharing</v>
      </c>
      <c r="R8" s="77" t="str">
        <f t="shared" si="2"/>
        <v>https://docs.google.com/spreadsheets/d/1fUZFe-pDvRqXdZVnyvCUdKYs7BgX9S7a5qBEVwwqrzQ/edit?usp=sharing</v>
      </c>
      <c r="S8" s="77" t="str">
        <f t="shared" si="2"/>
        <v>https://docs.google.com/spreadsheets/d/1fUZFe-pDvRqXdZVnyvCUdKYs7BgX9S7a5qBEVwwqrzQ/edit?usp=sharing</v>
      </c>
      <c r="T8" s="77" t="str">
        <f t="shared" si="2"/>
        <v>https://docs.google.com/spreadsheets/d/1fUZFe-pDvRqXdZVnyvCUdKYs7BgX9S7a5qBEVwwqrzQ/edit?usp=sharing</v>
      </c>
      <c r="U8" s="77" t="str">
        <f t="shared" si="2"/>
        <v>https://docs.google.com/spreadsheets/d/1fUZFe-pDvRqXdZVnyvCUdKYs7BgX9S7a5qBEVwwqrzQ/edit?usp=sharing</v>
      </c>
      <c r="V8" s="77" t="str">
        <f t="shared" si="2"/>
        <v>https://docs.google.com/spreadsheets/d/1fUZFe-pDvRqXdZVnyvCUdKYs7BgX9S7a5qBEVwwqrzQ/edit?usp=sharing</v>
      </c>
      <c r="W8" s="77" t="str">
        <f t="shared" si="2"/>
        <v>https://docs.google.com/spreadsheets/d/1fUZFe-pDvRqXdZVnyvCUdKYs7BgX9S7a5qBEVwwqrzQ/edit?usp=sharing</v>
      </c>
      <c r="X8" s="77" t="str">
        <f t="shared" si="2"/>
        <v>https://docs.google.com/spreadsheets/d/1fUZFe-pDvRqXdZVnyvCUdKYs7BgX9S7a5qBEVwwqrzQ/edit?usp=sharing</v>
      </c>
      <c r="Y8" s="77" t="str">
        <f t="shared" si="2"/>
        <v>https://docs.google.com/spreadsheets/d/1fUZFe-pDvRqXdZVnyvCUdKYs7BgX9S7a5qBEVwwqrzQ/edit?usp=sharing</v>
      </c>
      <c r="Z8" s="77" t="str">
        <f t="shared" si="2"/>
        <v>https://docs.google.com/spreadsheets/d/1fUZFe-pDvRqXdZVnyvCUdKYs7BgX9S7a5qBEVwwqrzQ/edit?usp=sharing</v>
      </c>
      <c r="AA8" s="77" t="str">
        <f t="shared" si="2"/>
        <v>https://docs.google.com/spreadsheets/d/1fUZFe-pDvRqXdZVnyvCUdKYs7BgX9S7a5qBEVwwqrzQ/edit?usp=sharing</v>
      </c>
      <c r="AB8" s="77" t="str">
        <f t="shared" si="2"/>
        <v>https://docs.google.com/spreadsheets/d/1fUZFe-pDvRqXdZVnyvCUdKYs7BgX9S7a5qBEVwwqrzQ/edit?usp=sharing</v>
      </c>
      <c r="AC8" s="77" t="str">
        <f t="shared" si="2"/>
        <v>https://docs.google.com/spreadsheets/d/1fUZFe-pDvRqXdZVnyvCUdKYs7BgX9S7a5qBEVwwqrzQ/edit?usp=sharing</v>
      </c>
      <c r="AD8" s="82" t="str">
        <f t="shared" ref="AD8:BA8" si="3">$C4</f>
        <v>https://docs.google.com/spreadsheets/d/1NcR1RR3WyCqSjbqgPHuafNXtm4hSeIz66eZlX69k_80/edit?usp=sharing</v>
      </c>
      <c r="AE8" s="82" t="str">
        <f t="shared" si="3"/>
        <v>https://docs.google.com/spreadsheets/d/1NcR1RR3WyCqSjbqgPHuafNXtm4hSeIz66eZlX69k_80/edit?usp=sharing</v>
      </c>
      <c r="AF8" s="82" t="str">
        <f t="shared" si="3"/>
        <v>https://docs.google.com/spreadsheets/d/1NcR1RR3WyCqSjbqgPHuafNXtm4hSeIz66eZlX69k_80/edit?usp=sharing</v>
      </c>
      <c r="AG8" s="82" t="str">
        <f t="shared" si="3"/>
        <v>https://docs.google.com/spreadsheets/d/1NcR1RR3WyCqSjbqgPHuafNXtm4hSeIz66eZlX69k_80/edit?usp=sharing</v>
      </c>
      <c r="AH8" s="82" t="str">
        <f t="shared" si="3"/>
        <v>https://docs.google.com/spreadsheets/d/1NcR1RR3WyCqSjbqgPHuafNXtm4hSeIz66eZlX69k_80/edit?usp=sharing</v>
      </c>
      <c r="AI8" s="82" t="str">
        <f t="shared" si="3"/>
        <v>https://docs.google.com/spreadsheets/d/1NcR1RR3WyCqSjbqgPHuafNXtm4hSeIz66eZlX69k_80/edit?usp=sharing</v>
      </c>
      <c r="AJ8" s="82" t="str">
        <f t="shared" si="3"/>
        <v>https://docs.google.com/spreadsheets/d/1NcR1RR3WyCqSjbqgPHuafNXtm4hSeIz66eZlX69k_80/edit?usp=sharing</v>
      </c>
      <c r="AK8" s="82" t="str">
        <f t="shared" si="3"/>
        <v>https://docs.google.com/spreadsheets/d/1NcR1RR3WyCqSjbqgPHuafNXtm4hSeIz66eZlX69k_80/edit?usp=sharing</v>
      </c>
      <c r="AL8" s="82" t="str">
        <f t="shared" si="3"/>
        <v>https://docs.google.com/spreadsheets/d/1NcR1RR3WyCqSjbqgPHuafNXtm4hSeIz66eZlX69k_80/edit?usp=sharing</v>
      </c>
      <c r="AM8" s="82" t="str">
        <f t="shared" si="3"/>
        <v>https://docs.google.com/spreadsheets/d/1NcR1RR3WyCqSjbqgPHuafNXtm4hSeIz66eZlX69k_80/edit?usp=sharing</v>
      </c>
      <c r="AN8" s="82" t="str">
        <f t="shared" si="3"/>
        <v>https://docs.google.com/spreadsheets/d/1NcR1RR3WyCqSjbqgPHuafNXtm4hSeIz66eZlX69k_80/edit?usp=sharing</v>
      </c>
      <c r="AO8" s="82" t="str">
        <f t="shared" si="3"/>
        <v>https://docs.google.com/spreadsheets/d/1NcR1RR3WyCqSjbqgPHuafNXtm4hSeIz66eZlX69k_80/edit?usp=sharing</v>
      </c>
      <c r="AP8" s="82" t="str">
        <f t="shared" si="3"/>
        <v>https://docs.google.com/spreadsheets/d/1NcR1RR3WyCqSjbqgPHuafNXtm4hSeIz66eZlX69k_80/edit?usp=sharing</v>
      </c>
      <c r="AQ8" s="82" t="str">
        <f t="shared" si="3"/>
        <v>https://docs.google.com/spreadsheets/d/1NcR1RR3WyCqSjbqgPHuafNXtm4hSeIz66eZlX69k_80/edit?usp=sharing</v>
      </c>
      <c r="AR8" s="82" t="str">
        <f t="shared" si="3"/>
        <v>https://docs.google.com/spreadsheets/d/1NcR1RR3WyCqSjbqgPHuafNXtm4hSeIz66eZlX69k_80/edit?usp=sharing</v>
      </c>
      <c r="AS8" s="82" t="str">
        <f t="shared" si="3"/>
        <v>https://docs.google.com/spreadsheets/d/1NcR1RR3WyCqSjbqgPHuafNXtm4hSeIz66eZlX69k_80/edit?usp=sharing</v>
      </c>
      <c r="AT8" s="82" t="str">
        <f t="shared" si="3"/>
        <v>https://docs.google.com/spreadsheets/d/1NcR1RR3WyCqSjbqgPHuafNXtm4hSeIz66eZlX69k_80/edit?usp=sharing</v>
      </c>
      <c r="AU8" s="82" t="str">
        <f t="shared" si="3"/>
        <v>https://docs.google.com/spreadsheets/d/1NcR1RR3WyCqSjbqgPHuafNXtm4hSeIz66eZlX69k_80/edit?usp=sharing</v>
      </c>
      <c r="AV8" s="82" t="str">
        <f t="shared" si="3"/>
        <v>https://docs.google.com/spreadsheets/d/1NcR1RR3WyCqSjbqgPHuafNXtm4hSeIz66eZlX69k_80/edit?usp=sharing</v>
      </c>
      <c r="AW8" s="82" t="str">
        <f t="shared" si="3"/>
        <v>https://docs.google.com/spreadsheets/d/1NcR1RR3WyCqSjbqgPHuafNXtm4hSeIz66eZlX69k_80/edit?usp=sharing</v>
      </c>
      <c r="AX8" s="82" t="str">
        <f t="shared" si="3"/>
        <v>https://docs.google.com/spreadsheets/d/1NcR1RR3WyCqSjbqgPHuafNXtm4hSeIz66eZlX69k_80/edit?usp=sharing</v>
      </c>
      <c r="AY8" s="82" t="str">
        <f t="shared" si="3"/>
        <v>https://docs.google.com/spreadsheets/d/1NcR1RR3WyCqSjbqgPHuafNXtm4hSeIz66eZlX69k_80/edit?usp=sharing</v>
      </c>
      <c r="AZ8" s="82" t="str">
        <f t="shared" si="3"/>
        <v>https://docs.google.com/spreadsheets/d/1NcR1RR3WyCqSjbqgPHuafNXtm4hSeIz66eZlX69k_80/edit?usp=sharing</v>
      </c>
      <c r="BA8" s="82" t="str">
        <f t="shared" si="3"/>
        <v>https://docs.google.com/spreadsheets/d/1NcR1RR3WyCqSjbqgPHuafNXtm4hSeIz66eZlX69k_80/edit?usp=sharing</v>
      </c>
      <c r="BB8" s="87" t="str">
        <f t="shared" ref="BB8:CL8" si="4">$C5</f>
        <v>https://docs.google.com/spreadsheets/d/11WUg59i_kWye42fO45cpMmD-O0wFX_CioJl0D19Suyg/edit?usp=sharing</v>
      </c>
      <c r="BC8" s="87" t="str">
        <f t="shared" si="4"/>
        <v>https://docs.google.com/spreadsheets/d/11WUg59i_kWye42fO45cpMmD-O0wFX_CioJl0D19Suyg/edit?usp=sharing</v>
      </c>
      <c r="BD8" s="87" t="str">
        <f t="shared" si="4"/>
        <v>https://docs.google.com/spreadsheets/d/11WUg59i_kWye42fO45cpMmD-O0wFX_CioJl0D19Suyg/edit?usp=sharing</v>
      </c>
      <c r="BE8" s="87" t="str">
        <f t="shared" si="4"/>
        <v>https://docs.google.com/spreadsheets/d/11WUg59i_kWye42fO45cpMmD-O0wFX_CioJl0D19Suyg/edit?usp=sharing</v>
      </c>
      <c r="BF8" s="87" t="str">
        <f t="shared" si="4"/>
        <v>https://docs.google.com/spreadsheets/d/11WUg59i_kWye42fO45cpMmD-O0wFX_CioJl0D19Suyg/edit?usp=sharing</v>
      </c>
      <c r="BG8" s="87" t="str">
        <f t="shared" si="4"/>
        <v>https://docs.google.com/spreadsheets/d/11WUg59i_kWye42fO45cpMmD-O0wFX_CioJl0D19Suyg/edit?usp=sharing</v>
      </c>
      <c r="BH8" s="87" t="str">
        <f t="shared" si="4"/>
        <v>https://docs.google.com/spreadsheets/d/11WUg59i_kWye42fO45cpMmD-O0wFX_CioJl0D19Suyg/edit?usp=sharing</v>
      </c>
      <c r="BI8" s="87" t="str">
        <f t="shared" si="4"/>
        <v>https://docs.google.com/spreadsheets/d/11WUg59i_kWye42fO45cpMmD-O0wFX_CioJl0D19Suyg/edit?usp=sharing</v>
      </c>
      <c r="BJ8" s="87" t="str">
        <f t="shared" si="4"/>
        <v>https://docs.google.com/spreadsheets/d/11WUg59i_kWye42fO45cpMmD-O0wFX_CioJl0D19Suyg/edit?usp=sharing</v>
      </c>
      <c r="BK8" s="87" t="str">
        <f t="shared" si="4"/>
        <v>https://docs.google.com/spreadsheets/d/11WUg59i_kWye42fO45cpMmD-O0wFX_CioJl0D19Suyg/edit?usp=sharing</v>
      </c>
      <c r="BL8" s="87" t="str">
        <f t="shared" si="4"/>
        <v>https://docs.google.com/spreadsheets/d/11WUg59i_kWye42fO45cpMmD-O0wFX_CioJl0D19Suyg/edit?usp=sharing</v>
      </c>
      <c r="BM8" s="87" t="str">
        <f t="shared" si="4"/>
        <v>https://docs.google.com/spreadsheets/d/11WUg59i_kWye42fO45cpMmD-O0wFX_CioJl0D19Suyg/edit?usp=sharing</v>
      </c>
      <c r="BN8" s="87" t="str">
        <f t="shared" si="4"/>
        <v>https://docs.google.com/spreadsheets/d/11WUg59i_kWye42fO45cpMmD-O0wFX_CioJl0D19Suyg/edit?usp=sharing</v>
      </c>
      <c r="BO8" s="87" t="str">
        <f t="shared" si="4"/>
        <v>https://docs.google.com/spreadsheets/d/11WUg59i_kWye42fO45cpMmD-O0wFX_CioJl0D19Suyg/edit?usp=sharing</v>
      </c>
      <c r="BP8" s="87" t="str">
        <f t="shared" si="4"/>
        <v>https://docs.google.com/spreadsheets/d/11WUg59i_kWye42fO45cpMmD-O0wFX_CioJl0D19Suyg/edit?usp=sharing</v>
      </c>
      <c r="BQ8" s="87" t="str">
        <f t="shared" si="4"/>
        <v>https://docs.google.com/spreadsheets/d/11WUg59i_kWye42fO45cpMmD-O0wFX_CioJl0D19Suyg/edit?usp=sharing</v>
      </c>
      <c r="BR8" s="87" t="str">
        <f t="shared" si="4"/>
        <v>https://docs.google.com/spreadsheets/d/11WUg59i_kWye42fO45cpMmD-O0wFX_CioJl0D19Suyg/edit?usp=sharing</v>
      </c>
      <c r="BS8" s="87" t="str">
        <f t="shared" si="4"/>
        <v>https://docs.google.com/spreadsheets/d/11WUg59i_kWye42fO45cpMmD-O0wFX_CioJl0D19Suyg/edit?usp=sharing</v>
      </c>
      <c r="BT8" s="87" t="str">
        <f t="shared" si="4"/>
        <v>https://docs.google.com/spreadsheets/d/11WUg59i_kWye42fO45cpMmD-O0wFX_CioJl0D19Suyg/edit?usp=sharing</v>
      </c>
      <c r="BU8" s="87" t="str">
        <f t="shared" si="4"/>
        <v>https://docs.google.com/spreadsheets/d/11WUg59i_kWye42fO45cpMmD-O0wFX_CioJl0D19Suyg/edit?usp=sharing</v>
      </c>
      <c r="BV8" s="87" t="str">
        <f t="shared" si="4"/>
        <v>https://docs.google.com/spreadsheets/d/11WUg59i_kWye42fO45cpMmD-O0wFX_CioJl0D19Suyg/edit?usp=sharing</v>
      </c>
      <c r="BW8" s="87" t="str">
        <f t="shared" si="4"/>
        <v>https://docs.google.com/spreadsheets/d/11WUg59i_kWye42fO45cpMmD-O0wFX_CioJl0D19Suyg/edit?usp=sharing</v>
      </c>
      <c r="BX8" s="87" t="str">
        <f t="shared" si="4"/>
        <v>https://docs.google.com/spreadsheets/d/11WUg59i_kWye42fO45cpMmD-O0wFX_CioJl0D19Suyg/edit?usp=sharing</v>
      </c>
      <c r="BY8" s="87" t="str">
        <f t="shared" si="4"/>
        <v>https://docs.google.com/spreadsheets/d/11WUg59i_kWye42fO45cpMmD-O0wFX_CioJl0D19Suyg/edit?usp=sharing</v>
      </c>
      <c r="BZ8" s="87" t="str">
        <f t="shared" si="4"/>
        <v>https://docs.google.com/spreadsheets/d/11WUg59i_kWye42fO45cpMmD-O0wFX_CioJl0D19Suyg/edit?usp=sharing</v>
      </c>
      <c r="CA8" s="87" t="str">
        <f t="shared" si="4"/>
        <v>https://docs.google.com/spreadsheets/d/11WUg59i_kWye42fO45cpMmD-O0wFX_CioJl0D19Suyg/edit?usp=sharing</v>
      </c>
      <c r="CB8" s="87" t="str">
        <f t="shared" si="4"/>
        <v>https://docs.google.com/spreadsheets/d/11WUg59i_kWye42fO45cpMmD-O0wFX_CioJl0D19Suyg/edit?usp=sharing</v>
      </c>
      <c r="CC8" s="87" t="str">
        <f t="shared" si="4"/>
        <v>https://docs.google.com/spreadsheets/d/11WUg59i_kWye42fO45cpMmD-O0wFX_CioJl0D19Suyg/edit?usp=sharing</v>
      </c>
      <c r="CD8" s="87" t="str">
        <f t="shared" si="4"/>
        <v>https://docs.google.com/spreadsheets/d/11WUg59i_kWye42fO45cpMmD-O0wFX_CioJl0D19Suyg/edit?usp=sharing</v>
      </c>
      <c r="CE8" s="87" t="str">
        <f t="shared" si="4"/>
        <v>https://docs.google.com/spreadsheets/d/11WUg59i_kWye42fO45cpMmD-O0wFX_CioJl0D19Suyg/edit?usp=sharing</v>
      </c>
      <c r="CF8" s="87" t="str">
        <f t="shared" si="4"/>
        <v>https://docs.google.com/spreadsheets/d/11WUg59i_kWye42fO45cpMmD-O0wFX_CioJl0D19Suyg/edit?usp=sharing</v>
      </c>
      <c r="CG8" s="87" t="str">
        <f t="shared" si="4"/>
        <v>https://docs.google.com/spreadsheets/d/11WUg59i_kWye42fO45cpMmD-O0wFX_CioJl0D19Suyg/edit?usp=sharing</v>
      </c>
      <c r="CH8" s="87" t="str">
        <f t="shared" si="4"/>
        <v>https://docs.google.com/spreadsheets/d/11WUg59i_kWye42fO45cpMmD-O0wFX_CioJl0D19Suyg/edit?usp=sharing</v>
      </c>
      <c r="CI8" s="87" t="str">
        <f t="shared" si="4"/>
        <v>https://docs.google.com/spreadsheets/d/11WUg59i_kWye42fO45cpMmD-O0wFX_CioJl0D19Suyg/edit?usp=sharing</v>
      </c>
      <c r="CJ8" s="87" t="str">
        <f t="shared" si="4"/>
        <v>https://docs.google.com/spreadsheets/d/11WUg59i_kWye42fO45cpMmD-O0wFX_CioJl0D19Suyg/edit?usp=sharing</v>
      </c>
      <c r="CK8" s="87" t="str">
        <f t="shared" si="4"/>
        <v>https://docs.google.com/spreadsheets/d/11WUg59i_kWye42fO45cpMmD-O0wFX_CioJl0D19Suyg/edit?usp=sharing</v>
      </c>
      <c r="CL8" s="90" t="str">
        <f t="shared" si="4"/>
        <v>https://docs.google.com/spreadsheets/d/11WUg59i_kWye42fO45cpMmD-O0wFX_CioJl0D19Suyg/edit?usp=sharing</v>
      </c>
      <c r="CM8" s="91"/>
    </row>
    <row r="9">
      <c r="A9" s="6"/>
      <c r="B9" s="92"/>
      <c r="C9" s="93"/>
      <c r="D9" s="94" t="s">
        <v>70</v>
      </c>
      <c r="E9" s="94" t="s">
        <v>72</v>
      </c>
      <c r="F9" s="94" t="s">
        <v>73</v>
      </c>
      <c r="G9" s="94" t="s">
        <v>43</v>
      </c>
      <c r="H9" s="94" t="s">
        <v>43</v>
      </c>
      <c r="I9" s="94" t="s">
        <v>74</v>
      </c>
      <c r="J9" s="94" t="s">
        <v>75</v>
      </c>
      <c r="K9" s="94" t="s">
        <v>76</v>
      </c>
      <c r="L9" s="96" t="s">
        <v>77</v>
      </c>
      <c r="M9" s="96" t="s">
        <v>70</v>
      </c>
      <c r="N9" s="96" t="s">
        <v>72</v>
      </c>
      <c r="O9" s="96" t="s">
        <v>72</v>
      </c>
      <c r="P9" s="96" t="s">
        <v>72</v>
      </c>
      <c r="Q9" s="96" t="s">
        <v>72</v>
      </c>
      <c r="R9" s="96" t="s">
        <v>78</v>
      </c>
      <c r="S9" s="96" t="s">
        <v>43</v>
      </c>
      <c r="T9" s="96" t="s">
        <v>43</v>
      </c>
      <c r="U9" s="96" t="s">
        <v>43</v>
      </c>
      <c r="V9" s="96" t="s">
        <v>43</v>
      </c>
      <c r="W9" s="96" t="s">
        <v>43</v>
      </c>
      <c r="X9" s="96" t="s">
        <v>43</v>
      </c>
      <c r="Y9" s="96" t="s">
        <v>43</v>
      </c>
      <c r="Z9" s="96" t="s">
        <v>43</v>
      </c>
      <c r="AA9" s="96" t="s">
        <v>43</v>
      </c>
      <c r="AB9" s="96" t="s">
        <v>75</v>
      </c>
      <c r="AC9" s="96" t="s">
        <v>76</v>
      </c>
      <c r="AD9" s="99" t="s">
        <v>77</v>
      </c>
      <c r="AE9" s="99" t="s">
        <v>81</v>
      </c>
      <c r="AF9" s="99" t="s">
        <v>82</v>
      </c>
      <c r="AG9" s="99" t="s">
        <v>72</v>
      </c>
      <c r="AH9" s="99" t="s">
        <v>73</v>
      </c>
      <c r="AI9" s="99" t="s">
        <v>83</v>
      </c>
      <c r="AJ9" s="99" t="s">
        <v>85</v>
      </c>
      <c r="AK9" s="99" t="s">
        <v>51</v>
      </c>
      <c r="AL9" s="99" t="s">
        <v>36</v>
      </c>
      <c r="AM9" s="99" t="s">
        <v>43</v>
      </c>
      <c r="AN9" s="99" t="s">
        <v>43</v>
      </c>
      <c r="AO9" s="99" t="s">
        <v>43</v>
      </c>
      <c r="AP9" s="99" t="s">
        <v>43</v>
      </c>
      <c r="AQ9" s="99" t="s">
        <v>43</v>
      </c>
      <c r="AR9" s="99" t="s">
        <v>43</v>
      </c>
      <c r="AS9" s="99" t="s">
        <v>43</v>
      </c>
      <c r="AT9" s="99" t="s">
        <v>43</v>
      </c>
      <c r="AU9" s="99" t="s">
        <v>43</v>
      </c>
      <c r="AV9" s="99" t="s">
        <v>43</v>
      </c>
      <c r="AW9" s="99" t="s">
        <v>43</v>
      </c>
      <c r="AX9" s="99" t="s">
        <v>43</v>
      </c>
      <c r="AY9" s="99" t="s">
        <v>43</v>
      </c>
      <c r="AZ9" s="99" t="s">
        <v>43</v>
      </c>
      <c r="BA9" s="99" t="s">
        <v>43</v>
      </c>
      <c r="BB9" s="101" t="s">
        <v>43</v>
      </c>
      <c r="BC9" s="101" t="s">
        <v>43</v>
      </c>
      <c r="BD9" s="101" t="s">
        <v>43</v>
      </c>
      <c r="BE9" s="101" t="s">
        <v>43</v>
      </c>
      <c r="BF9" s="101" t="s">
        <v>43</v>
      </c>
      <c r="BG9" s="101" t="s">
        <v>43</v>
      </c>
      <c r="BH9" s="101" t="s">
        <v>43</v>
      </c>
      <c r="BI9" s="101" t="s">
        <v>43</v>
      </c>
      <c r="BJ9" s="101" t="s">
        <v>43</v>
      </c>
      <c r="BK9" s="101" t="s">
        <v>43</v>
      </c>
      <c r="BL9" s="101" t="s">
        <v>43</v>
      </c>
      <c r="BM9" s="101" t="s">
        <v>43</v>
      </c>
      <c r="BN9" s="101" t="s">
        <v>43</v>
      </c>
      <c r="BO9" s="101" t="s">
        <v>43</v>
      </c>
      <c r="BP9" s="101" t="s">
        <v>43</v>
      </c>
      <c r="BQ9" s="101" t="s">
        <v>43</v>
      </c>
      <c r="BR9" s="101" t="s">
        <v>43</v>
      </c>
      <c r="BS9" s="101" t="s">
        <v>43</v>
      </c>
      <c r="BT9" s="101" t="s">
        <v>43</v>
      </c>
      <c r="BU9" s="101" t="s">
        <v>43</v>
      </c>
      <c r="BV9" s="101" t="s">
        <v>43</v>
      </c>
      <c r="BW9" s="101" t="s">
        <v>43</v>
      </c>
      <c r="BX9" s="101" t="s">
        <v>43</v>
      </c>
      <c r="BY9" s="101" t="s">
        <v>43</v>
      </c>
      <c r="BZ9" s="101" t="s">
        <v>43</v>
      </c>
      <c r="CA9" s="101" t="s">
        <v>43</v>
      </c>
      <c r="CB9" s="101" t="s">
        <v>43</v>
      </c>
      <c r="CC9" s="101" t="s">
        <v>43</v>
      </c>
      <c r="CD9" s="101" t="s">
        <v>43</v>
      </c>
      <c r="CE9" s="101" t="s">
        <v>43</v>
      </c>
      <c r="CF9" s="101" t="s">
        <v>43</v>
      </c>
      <c r="CG9" s="101" t="s">
        <v>43</v>
      </c>
      <c r="CH9" s="101" t="s">
        <v>43</v>
      </c>
      <c r="CI9" s="101" t="s">
        <v>43</v>
      </c>
      <c r="CJ9" s="101" t="s">
        <v>43</v>
      </c>
      <c r="CK9" s="101" t="s">
        <v>43</v>
      </c>
      <c r="CL9" s="104" t="s">
        <v>43</v>
      </c>
      <c r="CM9" s="93"/>
    </row>
    <row r="10">
      <c r="A10" s="6"/>
      <c r="B10" s="105"/>
      <c r="C10" s="106"/>
      <c r="D10" s="107"/>
      <c r="E10" s="107"/>
      <c r="F10" s="107"/>
      <c r="G10" s="108" t="s">
        <v>97</v>
      </c>
      <c r="H10" s="108" t="s">
        <v>98</v>
      </c>
      <c r="I10" s="107"/>
      <c r="J10" s="107"/>
      <c r="K10" s="107"/>
      <c r="L10" s="109"/>
      <c r="M10" s="109"/>
      <c r="N10" s="110" t="s">
        <v>99</v>
      </c>
      <c r="O10" s="110" t="s">
        <v>100</v>
      </c>
      <c r="P10" s="110" t="s">
        <v>101</v>
      </c>
      <c r="Q10" s="110" t="s">
        <v>102</v>
      </c>
      <c r="R10" s="110" t="s">
        <v>103</v>
      </c>
      <c r="S10" s="110" t="s">
        <v>68</v>
      </c>
      <c r="T10" s="110" t="s">
        <v>104</v>
      </c>
      <c r="U10" s="110" t="s">
        <v>105</v>
      </c>
      <c r="V10" s="110" t="s">
        <v>55</v>
      </c>
      <c r="W10" s="110" t="s">
        <v>91</v>
      </c>
      <c r="X10" s="110" t="s">
        <v>86</v>
      </c>
      <c r="Y10" s="110" t="s">
        <v>65</v>
      </c>
      <c r="Z10" s="110" t="s">
        <v>107</v>
      </c>
      <c r="AA10" s="110" t="s">
        <v>44</v>
      </c>
      <c r="AB10" s="109"/>
      <c r="AC10" s="110" t="s">
        <v>109</v>
      </c>
      <c r="AD10" s="112"/>
      <c r="AE10" s="112"/>
      <c r="AF10" s="112"/>
      <c r="AG10" s="112"/>
      <c r="AH10" s="112"/>
      <c r="AI10" s="112"/>
      <c r="AJ10" s="112"/>
      <c r="AK10" s="112"/>
      <c r="AL10" s="112"/>
      <c r="AM10" s="112" t="s">
        <v>88</v>
      </c>
      <c r="AN10" s="112" t="s">
        <v>110</v>
      </c>
      <c r="AO10" s="112" t="s">
        <v>111</v>
      </c>
      <c r="AP10" s="112" t="s">
        <v>112</v>
      </c>
      <c r="AQ10" s="112" t="s">
        <v>113</v>
      </c>
      <c r="AR10" s="112" t="s">
        <v>114</v>
      </c>
      <c r="AS10" s="112" t="s">
        <v>115</v>
      </c>
      <c r="AT10" s="112" t="s">
        <v>116</v>
      </c>
      <c r="AU10" s="112" t="s">
        <v>117</v>
      </c>
      <c r="AV10" s="112" t="s">
        <v>91</v>
      </c>
      <c r="AW10" s="112" t="s">
        <v>86</v>
      </c>
      <c r="AX10" s="112" t="s">
        <v>118</v>
      </c>
      <c r="AY10" s="112" t="s">
        <v>119</v>
      </c>
      <c r="AZ10" s="112" t="s">
        <v>120</v>
      </c>
      <c r="BA10" s="112" t="s">
        <v>62</v>
      </c>
      <c r="BB10" s="113" t="s">
        <v>68</v>
      </c>
      <c r="BC10" s="113" t="s">
        <v>121</v>
      </c>
      <c r="BD10" s="113" t="s">
        <v>96</v>
      </c>
      <c r="BE10" s="113" t="s">
        <v>122</v>
      </c>
      <c r="BF10" s="113" t="s">
        <v>123</v>
      </c>
      <c r="BG10" s="113" t="s">
        <v>93</v>
      </c>
      <c r="BH10" s="113" t="s">
        <v>55</v>
      </c>
      <c r="BI10" s="113" t="s">
        <v>44</v>
      </c>
      <c r="BJ10" s="113" t="s">
        <v>47</v>
      </c>
      <c r="BK10" s="113" t="s">
        <v>125</v>
      </c>
      <c r="BL10" s="113" t="s">
        <v>88</v>
      </c>
      <c r="BM10" s="113" t="s">
        <v>110</v>
      </c>
      <c r="BN10" s="113" t="s">
        <v>111</v>
      </c>
      <c r="BO10" s="113" t="s">
        <v>126</v>
      </c>
      <c r="BP10" s="113" t="s">
        <v>112</v>
      </c>
      <c r="BQ10" s="113" t="s">
        <v>104</v>
      </c>
      <c r="BR10" s="113" t="s">
        <v>127</v>
      </c>
      <c r="BS10" s="113" t="s">
        <v>113</v>
      </c>
      <c r="BT10" s="113" t="s">
        <v>114</v>
      </c>
      <c r="BU10" s="113" t="s">
        <v>115</v>
      </c>
      <c r="BV10" s="113" t="s">
        <v>116</v>
      </c>
      <c r="BW10" s="113" t="s">
        <v>128</v>
      </c>
      <c r="BX10" s="113" t="s">
        <v>129</v>
      </c>
      <c r="BY10" s="113" t="s">
        <v>117</v>
      </c>
      <c r="BZ10" s="113" t="s">
        <v>91</v>
      </c>
      <c r="CA10" s="113" t="s">
        <v>130</v>
      </c>
      <c r="CB10" s="113" t="s">
        <v>131</v>
      </c>
      <c r="CC10" s="113" t="s">
        <v>86</v>
      </c>
      <c r="CD10" s="113" t="s">
        <v>36</v>
      </c>
      <c r="CE10" s="113" t="s">
        <v>118</v>
      </c>
      <c r="CF10" s="113" t="s">
        <v>132</v>
      </c>
      <c r="CG10" s="113" t="s">
        <v>119</v>
      </c>
      <c r="CH10" s="113" t="s">
        <v>65</v>
      </c>
      <c r="CI10" s="113" t="s">
        <v>107</v>
      </c>
      <c r="CJ10" s="113" t="s">
        <v>120</v>
      </c>
      <c r="CK10" s="113" t="s">
        <v>62</v>
      </c>
      <c r="CL10" s="115" t="s">
        <v>133</v>
      </c>
      <c r="CM10" s="93"/>
    </row>
    <row r="11">
      <c r="B11" s="120" t="s">
        <v>135</v>
      </c>
      <c r="C11" s="122"/>
      <c r="D11" s="123"/>
      <c r="E11" s="124"/>
      <c r="F11" s="124"/>
      <c r="G11" s="124"/>
      <c r="H11" s="124"/>
      <c r="I11" s="124"/>
      <c r="J11" s="124"/>
      <c r="K11" s="124"/>
      <c r="L11" s="125"/>
      <c r="M11" s="125"/>
      <c r="N11" s="125"/>
      <c r="O11" s="125"/>
      <c r="P11" s="125"/>
      <c r="Q11" s="125"/>
      <c r="R11" s="125"/>
      <c r="S11" s="125"/>
      <c r="T11" s="125"/>
      <c r="U11" s="125"/>
      <c r="V11" s="125"/>
      <c r="W11" s="125"/>
      <c r="X11" s="125"/>
      <c r="Y11" s="125"/>
      <c r="Z11" s="125"/>
      <c r="AA11" s="125"/>
      <c r="AB11" s="125"/>
      <c r="AC11" s="125"/>
      <c r="AD11" s="126"/>
      <c r="AE11" s="127"/>
      <c r="AF11" s="127"/>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9"/>
    </row>
    <row r="12">
      <c r="B12" s="130"/>
      <c r="C12" s="131" t="s">
        <v>136</v>
      </c>
      <c r="D12" s="133">
        <f>IFERROR(__xludf.DUMMYFUNCTION("IMPORTRANGE(""https://docs.google.com/spreadsheets/d/1LyeZB70UrgDgyjoBvDr9VsAwuvcesheuM08g2qeYr94/edit?usp=sharing"",""Cost-effectiveness of top charities!D12:CZ17"")"),46.885377698110965)</f>
        <v>46.8853777</v>
      </c>
      <c r="E12" s="137">
        <f>IFERROR(__xludf.DUMMYFUNCTION("""COMPUTED_VALUE"""),202.56718831757746)</f>
        <v>202.5671883</v>
      </c>
      <c r="F12" s="137">
        <f>IFERROR(__xludf.DUMMYFUNCTION("""COMPUTED_VALUE"""),449.49716586675163)</f>
        <v>449.4971659</v>
      </c>
      <c r="G12" s="137">
        <f>IFERROR(__xludf.DUMMYFUNCTION("""COMPUTED_VALUE"""),247.7577552670049)</f>
        <v>247.7577553</v>
      </c>
      <c r="H12" s="137">
        <f>IFERROR(__xludf.DUMMYFUNCTION("""COMPUTED_VALUE"""),144.59212183507148)</f>
        <v>144.5921218</v>
      </c>
      <c r="I12" s="137">
        <f>IFERROR(__xludf.DUMMYFUNCTION("""COMPUTED_VALUE"""),100.82951624477387)</f>
        <v>100.8295162</v>
      </c>
      <c r="J12" s="137">
        <f>IFERROR(__xludf.DUMMYFUNCTION("""COMPUTED_VALUE"""),103.76416677051493)</f>
        <v>103.7641668</v>
      </c>
      <c r="K12" s="137">
        <f>IFERROR(__xludf.DUMMYFUNCTION("""COMPUTED_VALUE"""),293.5615278698572)</f>
        <v>293.5615279</v>
      </c>
      <c r="L12" s="137">
        <f>IFERROR(__xludf.DUMMYFUNCTION("""COMPUTED_VALUE"""),657.2987183147902)</f>
        <v>657.2987183</v>
      </c>
      <c r="M12" s="137">
        <f>IFERROR(__xludf.DUMMYFUNCTION("""COMPUTED_VALUE"""),192.67468450436527)</f>
        <v>192.6746845</v>
      </c>
      <c r="N12" s="137">
        <f>IFERROR(__xludf.DUMMYFUNCTION("""COMPUTED_VALUE"""),163.48361145883115)</f>
        <v>163.4836115</v>
      </c>
      <c r="O12" s="137">
        <f>IFERROR(__xludf.DUMMYFUNCTION("""COMPUTED_VALUE"""),193.55659047481834)</f>
        <v>193.5565905</v>
      </c>
      <c r="P12" s="137">
        <f>IFERROR(__xludf.DUMMYFUNCTION("""COMPUTED_VALUE"""),192.2194149384282)</f>
        <v>192.2194149</v>
      </c>
      <c r="Q12" s="137">
        <f>IFERROR(__xludf.DUMMYFUNCTION("""COMPUTED_VALUE"""),289.02647924049046)</f>
        <v>289.0264792</v>
      </c>
      <c r="R12" s="137">
        <f>IFERROR(__xludf.DUMMYFUNCTION("""COMPUTED_VALUE"""),246.66686626747847)</f>
        <v>246.6668663</v>
      </c>
      <c r="S12" s="137">
        <f>IFERROR(__xludf.DUMMYFUNCTION("""COMPUTED_VALUE"""),469.46121983346785)</f>
        <v>469.4612198</v>
      </c>
      <c r="T12" s="137">
        <f>IFERROR(__xludf.DUMMYFUNCTION("""COMPUTED_VALUE"""),316.7073189313168)</f>
        <v>316.7073189</v>
      </c>
      <c r="U12" s="137">
        <f>IFERROR(__xludf.DUMMYFUNCTION("""COMPUTED_VALUE"""),268.1588581102266)</f>
        <v>268.1588581</v>
      </c>
      <c r="V12" s="137">
        <f>IFERROR(__xludf.DUMMYFUNCTION("""COMPUTED_VALUE"""),603.5160859709083)</f>
        <v>603.516086</v>
      </c>
      <c r="W12" s="137">
        <f>IFERROR(__xludf.DUMMYFUNCTION("""COMPUTED_VALUE"""),326.39235917506767)</f>
        <v>326.3923592</v>
      </c>
      <c r="X12" s="137">
        <f>IFERROR(__xludf.DUMMYFUNCTION("""COMPUTED_VALUE"""),419.0243330841049)</f>
        <v>419.0243331</v>
      </c>
      <c r="Y12" s="137">
        <f>IFERROR(__xludf.DUMMYFUNCTION("""COMPUTED_VALUE"""),343.9975353403757)</f>
        <v>343.9975353</v>
      </c>
      <c r="Z12" s="137">
        <f>IFERROR(__xludf.DUMMYFUNCTION("""COMPUTED_VALUE"""),290.8287102754498)</f>
        <v>290.8287103</v>
      </c>
      <c r="AA12" s="137">
        <f>IFERROR(__xludf.DUMMYFUNCTION("""COMPUTED_VALUE"""),662.1759943067584)</f>
        <v>662.1759943</v>
      </c>
      <c r="AB12" s="137">
        <f>IFERROR(__xludf.DUMMYFUNCTION("""COMPUTED_VALUE"""),289.3490723843428)</f>
        <v>289.3490724</v>
      </c>
      <c r="AC12" s="137">
        <f>IFERROR(__xludf.DUMMYFUNCTION("""COMPUTED_VALUE"""),264.3733772335192)</f>
        <v>264.3733772</v>
      </c>
      <c r="AD12" s="137">
        <f>IFERROR(__xludf.DUMMYFUNCTION("""COMPUTED_VALUE"""),553.3609059255817)</f>
        <v>553.3609059</v>
      </c>
      <c r="AE12" s="137">
        <f>IFERROR(__xludf.DUMMYFUNCTION("""COMPUTED_VALUE"""),423.8240432452461)</f>
        <v>423.8240432</v>
      </c>
      <c r="AF12" s="137">
        <f>IFERROR(__xludf.DUMMYFUNCTION("""COMPUTED_VALUE"""),239.4659697918627)</f>
        <v>239.4659698</v>
      </c>
      <c r="AG12" s="137">
        <f>IFERROR(__xludf.DUMMYFUNCTION("""COMPUTED_VALUE"""),371.17265221450236)</f>
        <v>371.1726522</v>
      </c>
      <c r="AH12" s="137">
        <f>IFERROR(__xludf.DUMMYFUNCTION("""COMPUTED_VALUE"""),313.4678109438447)</f>
        <v>313.4678109</v>
      </c>
      <c r="AI12" s="137">
        <f>IFERROR(__xludf.DUMMYFUNCTION("""COMPUTED_VALUE"""),128.442649335433)</f>
        <v>128.4426493</v>
      </c>
      <c r="AJ12" s="137">
        <f>IFERROR(__xludf.DUMMYFUNCTION("""COMPUTED_VALUE"""),364.9105493684752)</f>
        <v>364.9105494</v>
      </c>
      <c r="AK12" s="137">
        <f>IFERROR(__xludf.DUMMYFUNCTION("""COMPUTED_VALUE"""),877.5247341851735)</f>
        <v>877.5247342</v>
      </c>
      <c r="AL12" s="137">
        <f>IFERROR(__xludf.DUMMYFUNCTION("""COMPUTED_VALUE"""),1474.6063933109253)</f>
        <v>1474.606393</v>
      </c>
      <c r="AM12" s="137">
        <f>IFERROR(__xludf.DUMMYFUNCTION("""COMPUTED_VALUE"""),503.0902230633486)</f>
        <v>503.0902231</v>
      </c>
      <c r="AN12" s="137">
        <f>IFERROR(__xludf.DUMMYFUNCTION("""COMPUTED_VALUE"""),108.4653177054305)</f>
        <v>108.4653177</v>
      </c>
      <c r="AO12" s="137">
        <f>IFERROR(__xludf.DUMMYFUNCTION("""COMPUTED_VALUE"""),59.72991425214574)</f>
        <v>59.72991425</v>
      </c>
      <c r="AP12" s="137">
        <f>IFERROR(__xludf.DUMMYFUNCTION("""COMPUTED_VALUE"""),226.745843244873)</f>
        <v>226.7458432</v>
      </c>
      <c r="AQ12" s="137">
        <f>IFERROR(__xludf.DUMMYFUNCTION("""COMPUTED_VALUE"""),126.60132706628637)</f>
        <v>126.6013271</v>
      </c>
      <c r="AR12" s="137">
        <f>IFERROR(__xludf.DUMMYFUNCTION("""COMPUTED_VALUE"""),319.02763663338715)</f>
        <v>319.0276366</v>
      </c>
      <c r="AS12" s="137">
        <f>IFERROR(__xludf.DUMMYFUNCTION("""COMPUTED_VALUE"""),94.56369089735739)</f>
        <v>94.5636909</v>
      </c>
      <c r="AT12" s="137">
        <f>IFERROR(__xludf.DUMMYFUNCTION("""COMPUTED_VALUE"""),142.71902996992773)</f>
        <v>142.71903</v>
      </c>
      <c r="AU12" s="137">
        <f>IFERROR(__xludf.DUMMYFUNCTION("""COMPUTED_VALUE"""),79.3790982334187)</f>
        <v>79.37909823</v>
      </c>
      <c r="AV12" s="137">
        <f>IFERROR(__xludf.DUMMYFUNCTION("""COMPUTED_VALUE"""),103.24776178535474)</f>
        <v>103.2477618</v>
      </c>
      <c r="AW12" s="137">
        <f>IFERROR(__xludf.DUMMYFUNCTION("""COMPUTED_VALUE"""),283.34664557176984)</f>
        <v>283.3466456</v>
      </c>
      <c r="AX12" s="137">
        <f>IFERROR(__xludf.DUMMYFUNCTION("""COMPUTED_VALUE"""),118.05087364846959)</f>
        <v>118.0508736</v>
      </c>
      <c r="AY12" s="137">
        <f>IFERROR(__xludf.DUMMYFUNCTION("""COMPUTED_VALUE"""),60.24523330610385)</f>
        <v>60.24523331</v>
      </c>
      <c r="AZ12" s="137">
        <f>IFERROR(__xludf.DUMMYFUNCTION("""COMPUTED_VALUE"""),184.1408931682676)</f>
        <v>184.1408932</v>
      </c>
      <c r="BA12" s="137">
        <f>IFERROR(__xludf.DUMMYFUNCTION("""COMPUTED_VALUE"""),676.1169046444968)</f>
        <v>676.1169046</v>
      </c>
      <c r="BB12" s="137">
        <f>IFERROR(__xludf.DUMMYFUNCTION("""COMPUTED_VALUE"""),322.3745514899519)</f>
        <v>322.3745515</v>
      </c>
      <c r="BC12" s="137">
        <f>IFERROR(__xludf.DUMMYFUNCTION("""COMPUTED_VALUE"""),158.0315502708618)</f>
        <v>158.0315503</v>
      </c>
      <c r="BD12" s="137">
        <f>IFERROR(__xludf.DUMMYFUNCTION("""COMPUTED_VALUE"""),293.8932709759836)</f>
        <v>293.893271</v>
      </c>
      <c r="BE12" s="137">
        <f>IFERROR(__xludf.DUMMYFUNCTION("""COMPUTED_VALUE"""),144.79502221395813)</f>
        <v>144.7950222</v>
      </c>
      <c r="BF12" s="137">
        <f>IFERROR(__xludf.DUMMYFUNCTION("""COMPUTED_VALUE"""),200.91648939578454)</f>
        <v>200.9164894</v>
      </c>
      <c r="BG12" s="137">
        <f>IFERROR(__xludf.DUMMYFUNCTION("""COMPUTED_VALUE"""),264.7158419887238)</f>
        <v>264.715842</v>
      </c>
      <c r="BH12" s="137">
        <f>IFERROR(__xludf.DUMMYFUNCTION("""COMPUTED_VALUE"""),476.75055375487085)</f>
        <v>476.7505538</v>
      </c>
      <c r="BI12" s="137">
        <f>IFERROR(__xludf.DUMMYFUNCTION("""COMPUTED_VALUE"""),630.7510964217241)</f>
        <v>630.7510964</v>
      </c>
      <c r="BJ12" s="137">
        <f>IFERROR(__xludf.DUMMYFUNCTION("""COMPUTED_VALUE"""),500.0547059897596)</f>
        <v>500.054706</v>
      </c>
      <c r="BK12" s="137">
        <f>IFERROR(__xludf.DUMMYFUNCTION("""COMPUTED_VALUE"""),17.53083822755919)</f>
        <v>17.53083823</v>
      </c>
      <c r="BL12" s="137">
        <f>IFERROR(__xludf.DUMMYFUNCTION("""COMPUTED_VALUE"""),60.767777265520664)</f>
        <v>60.76777727</v>
      </c>
      <c r="BM12" s="137">
        <f>IFERROR(__xludf.DUMMYFUNCTION("""COMPUTED_VALUE"""),15.303122774807234)</f>
        <v>15.30312277</v>
      </c>
      <c r="BN12" s="137">
        <f>IFERROR(__xludf.DUMMYFUNCTION("""COMPUTED_VALUE"""),19.98244808196295)</f>
        <v>19.98244808</v>
      </c>
      <c r="BO12" s="137">
        <f>IFERROR(__xludf.DUMMYFUNCTION("""COMPUTED_VALUE"""),34.73268052956662)</f>
        <v>34.73268053</v>
      </c>
      <c r="BP12" s="137">
        <f>IFERROR(__xludf.DUMMYFUNCTION("""COMPUTED_VALUE"""),41.61851038635296)</f>
        <v>41.61851039</v>
      </c>
      <c r="BQ12" s="137">
        <f>IFERROR(__xludf.DUMMYFUNCTION("""COMPUTED_VALUE"""),80.46795240484954)</f>
        <v>80.4679524</v>
      </c>
      <c r="BR12" s="137">
        <f>IFERROR(__xludf.DUMMYFUNCTION("""COMPUTED_VALUE"""),10.006940181166964)</f>
        <v>10.00694018</v>
      </c>
      <c r="BS12" s="137">
        <f>IFERROR(__xludf.DUMMYFUNCTION("""COMPUTED_VALUE"""),26.25373936838709)</f>
        <v>26.25373937</v>
      </c>
      <c r="BT12" s="137">
        <f>IFERROR(__xludf.DUMMYFUNCTION("""COMPUTED_VALUE"""),1.9130286564676697)</f>
        <v>1.913028656</v>
      </c>
      <c r="BU12" s="137">
        <f>IFERROR(__xludf.DUMMYFUNCTION("""COMPUTED_VALUE"""),14.000681305110765)</f>
        <v>14.00068131</v>
      </c>
      <c r="BV12" s="137">
        <f>IFERROR(__xludf.DUMMYFUNCTION("""COMPUTED_VALUE"""),6.200453288960891)</f>
        <v>6.200453289</v>
      </c>
      <c r="BW12" s="137">
        <f>IFERROR(__xludf.DUMMYFUNCTION("""COMPUTED_VALUE"""),2.4099383179013643)</f>
        <v>2.409938318</v>
      </c>
      <c r="BX12" s="137">
        <f>IFERROR(__xludf.DUMMYFUNCTION("""COMPUTED_VALUE"""),10.977680988361008)</f>
        <v>10.97768099</v>
      </c>
      <c r="BY12" s="137">
        <f>IFERROR(__xludf.DUMMYFUNCTION("""COMPUTED_VALUE"""),5.358708087546049)</f>
        <v>5.358708088</v>
      </c>
      <c r="BZ12" s="137">
        <f>IFERROR(__xludf.DUMMYFUNCTION("""COMPUTED_VALUE"""),88.52066032011936)</f>
        <v>88.52066032</v>
      </c>
      <c r="CA12" s="137">
        <f>IFERROR(__xludf.DUMMYFUNCTION("""COMPUTED_VALUE"""),24.73232165838524)</f>
        <v>24.73232166</v>
      </c>
      <c r="CB12" s="137">
        <f>IFERROR(__xludf.DUMMYFUNCTION("""COMPUTED_VALUE"""),24.796996688499448)</f>
        <v>24.79699669</v>
      </c>
      <c r="CC12" s="137">
        <f>IFERROR(__xludf.DUMMYFUNCTION("""COMPUTED_VALUE"""),4.7530168699295)</f>
        <v>4.75301687</v>
      </c>
      <c r="CD12" s="137">
        <f>IFERROR(__xludf.DUMMYFUNCTION("""COMPUTED_VALUE"""),48.59051573756678)</f>
        <v>48.59051574</v>
      </c>
      <c r="CE12" s="137">
        <f>IFERROR(__xludf.DUMMYFUNCTION("""COMPUTED_VALUE"""),124.0646420320433)</f>
        <v>124.064642</v>
      </c>
      <c r="CF12" s="137">
        <f>IFERROR(__xludf.DUMMYFUNCTION("""COMPUTED_VALUE"""),34.235500229389004)</f>
        <v>34.23550023</v>
      </c>
      <c r="CG12" s="137">
        <f>IFERROR(__xludf.DUMMYFUNCTION("""COMPUTED_VALUE"""),29.798536908858924)</f>
        <v>29.79853691</v>
      </c>
      <c r="CH12" s="137">
        <f>IFERROR(__xludf.DUMMYFUNCTION("""COMPUTED_VALUE"""),5.931869451285145)</f>
        <v>5.931869451</v>
      </c>
      <c r="CI12" s="137">
        <f>IFERROR(__xludf.DUMMYFUNCTION("""COMPUTED_VALUE"""),20.11896060976271)</f>
        <v>20.11896061</v>
      </c>
      <c r="CJ12" s="137">
        <f>IFERROR(__xludf.DUMMYFUNCTION("""COMPUTED_VALUE"""),26.77212071382839)</f>
        <v>26.77212071</v>
      </c>
      <c r="CK12" s="137">
        <f>IFERROR(__xludf.DUMMYFUNCTION("""COMPUTED_VALUE"""),13.888993203311713)</f>
        <v>13.8889932</v>
      </c>
      <c r="CL12" s="140">
        <f>IFERROR(__xludf.DUMMYFUNCTION("""COMPUTED_VALUE"""),122.26859133696485)</f>
        <v>122.2685913</v>
      </c>
      <c r="CM12" s="141">
        <f>IFERROR(__xludf.DUMMYFUNCTION("""COMPUTED_VALUE"""),178.11291579159564)</f>
        <v>178.1129158</v>
      </c>
    </row>
    <row r="13">
      <c r="B13" s="130"/>
      <c r="C13" s="142" t="s">
        <v>139</v>
      </c>
      <c r="D13" s="143">
        <f>IFERROR(__xludf.DUMMYFUNCTION("""COMPUTED_VALUE"""),22.115683484420074)</f>
        <v>22.11568348</v>
      </c>
      <c r="E13" s="144">
        <f>IFERROR(__xludf.DUMMYFUNCTION("""COMPUTED_VALUE"""),48.097080627802605)</f>
        <v>48.09708063</v>
      </c>
      <c r="F13" s="144">
        <f>IFERROR(__xludf.DUMMYFUNCTION("""COMPUTED_VALUE"""),138.6945309083385)</f>
        <v>138.6945309</v>
      </c>
      <c r="G13" s="144">
        <f>IFERROR(__xludf.DUMMYFUNCTION("""COMPUTED_VALUE"""),144.4130593813866)</f>
        <v>144.4130594</v>
      </c>
      <c r="H13" s="144">
        <f>IFERROR(__xludf.DUMMYFUNCTION("""COMPUTED_VALUE"""),99.19132592591055)</f>
        <v>99.19132593</v>
      </c>
      <c r="I13" s="144">
        <f>IFERROR(__xludf.DUMMYFUNCTION("""COMPUTED_VALUE"""),22.10557874056967)</f>
        <v>22.10557874</v>
      </c>
      <c r="J13" s="144">
        <f>IFERROR(__xludf.DUMMYFUNCTION("""COMPUTED_VALUE"""),156.97127499768277)</f>
        <v>156.971275</v>
      </c>
      <c r="K13" s="144">
        <f>IFERROR(__xludf.DUMMYFUNCTION("""COMPUTED_VALUE"""),70.2534620954568)</f>
        <v>70.2534621</v>
      </c>
      <c r="L13" s="144">
        <f>IFERROR(__xludf.DUMMYFUNCTION("""COMPUTED_VALUE"""),58.964895501795986)</f>
        <v>58.9648955</v>
      </c>
      <c r="M13" s="144">
        <f>IFERROR(__xludf.DUMMYFUNCTION("""COMPUTED_VALUE"""),16.931060603211463)</f>
        <v>16.9310606</v>
      </c>
      <c r="N13" s="144">
        <f>IFERROR(__xludf.DUMMYFUNCTION("""COMPUTED_VALUE"""),7.569579932779925)</f>
        <v>7.569579933</v>
      </c>
      <c r="O13" s="144">
        <f>IFERROR(__xludf.DUMMYFUNCTION("""COMPUTED_VALUE"""),8.962011944031033)</f>
        <v>8.962011944</v>
      </c>
      <c r="P13" s="144">
        <f>IFERROR(__xludf.DUMMYFUNCTION("""COMPUTED_VALUE"""),8.900098345358339)</f>
        <v>8.900098345</v>
      </c>
      <c r="Q13" s="144">
        <f>IFERROR(__xludf.DUMMYFUNCTION("""COMPUTED_VALUE"""),13.382436431949545)</f>
        <v>13.38243643</v>
      </c>
      <c r="R13" s="144">
        <f>IFERROR(__xludf.DUMMYFUNCTION("""COMPUTED_VALUE"""),49.25059920814965)</f>
        <v>49.25059921</v>
      </c>
      <c r="S13" s="144">
        <f>IFERROR(__xludf.DUMMYFUNCTION("""COMPUTED_VALUE"""),17.461940428973598)</f>
        <v>17.46194043</v>
      </c>
      <c r="T13" s="144">
        <f>IFERROR(__xludf.DUMMYFUNCTION("""COMPUTED_VALUE"""),37.29211266164688)</f>
        <v>37.29211266</v>
      </c>
      <c r="U13" s="144">
        <f>IFERROR(__xludf.DUMMYFUNCTION("""COMPUTED_VALUE"""),54.7426085095439)</f>
        <v>54.74260851</v>
      </c>
      <c r="V13" s="144">
        <f>IFERROR(__xludf.DUMMYFUNCTION("""COMPUTED_VALUE"""),39.92847867867102)</f>
        <v>39.92847868</v>
      </c>
      <c r="W13" s="144">
        <f>IFERROR(__xludf.DUMMYFUNCTION("""COMPUTED_VALUE"""),103.28471775427025)</f>
        <v>103.2847178</v>
      </c>
      <c r="X13" s="144">
        <f>IFERROR(__xludf.DUMMYFUNCTION("""COMPUTED_VALUE"""),59.80544570525671)</f>
        <v>59.80544571</v>
      </c>
      <c r="Y13" s="144">
        <f>IFERROR(__xludf.DUMMYFUNCTION("""COMPUTED_VALUE"""),150.40708376787455)</f>
        <v>150.4070838</v>
      </c>
      <c r="Z13" s="144">
        <f>IFERROR(__xludf.DUMMYFUNCTION("""COMPUTED_VALUE"""),50.6003460777243)</f>
        <v>50.60034608</v>
      </c>
      <c r="AA13" s="144">
        <f>IFERROR(__xludf.DUMMYFUNCTION("""COMPUTED_VALUE"""),25.155466390872764)</f>
        <v>25.15546639</v>
      </c>
      <c r="AB13" s="144">
        <f>IFERROR(__xludf.DUMMYFUNCTION("""COMPUTED_VALUE"""),81.2713712644736)</f>
        <v>81.27137126</v>
      </c>
      <c r="AC13" s="144">
        <f>IFERROR(__xludf.DUMMYFUNCTION("""COMPUTED_VALUE"""),12.238087993236512)</f>
        <v>12.23808799</v>
      </c>
      <c r="AD13" s="145" t="str">
        <f>IFERROR(__xludf.DUMMYFUNCTION("""COMPUTED_VALUE"""),"-")</f>
        <v>-</v>
      </c>
      <c r="AE13" s="145" t="str">
        <f>IFERROR(__xludf.DUMMYFUNCTION("""COMPUTED_VALUE"""),"-")</f>
        <v>-</v>
      </c>
      <c r="AF13" s="145" t="str">
        <f>IFERROR(__xludf.DUMMYFUNCTION("""COMPUTED_VALUE"""),"-")</f>
        <v>-</v>
      </c>
      <c r="AG13" s="145" t="str">
        <f>IFERROR(__xludf.DUMMYFUNCTION("""COMPUTED_VALUE"""),"-")</f>
        <v>-</v>
      </c>
      <c r="AH13" s="145" t="str">
        <f>IFERROR(__xludf.DUMMYFUNCTION("""COMPUTED_VALUE"""),"-")</f>
        <v>-</v>
      </c>
      <c r="AI13" s="145" t="str">
        <f>IFERROR(__xludf.DUMMYFUNCTION("""COMPUTED_VALUE"""),"-")</f>
        <v>-</v>
      </c>
      <c r="AJ13" s="145" t="str">
        <f>IFERROR(__xludf.DUMMYFUNCTION("""COMPUTED_VALUE"""),"-")</f>
        <v>-</v>
      </c>
      <c r="AK13" s="145" t="str">
        <f>IFERROR(__xludf.DUMMYFUNCTION("""COMPUTED_VALUE"""),"-")</f>
        <v>-</v>
      </c>
      <c r="AL13" s="145" t="str">
        <f>IFERROR(__xludf.DUMMYFUNCTION("""COMPUTED_VALUE"""),"-")</f>
        <v>-</v>
      </c>
      <c r="AM13" s="145" t="str">
        <f>IFERROR(__xludf.DUMMYFUNCTION("""COMPUTED_VALUE"""),"-")</f>
        <v>-</v>
      </c>
      <c r="AN13" s="145" t="str">
        <f>IFERROR(__xludf.DUMMYFUNCTION("""COMPUTED_VALUE"""),"-")</f>
        <v>-</v>
      </c>
      <c r="AO13" s="145" t="str">
        <f>IFERROR(__xludf.DUMMYFUNCTION("""COMPUTED_VALUE"""),"-")</f>
        <v>-</v>
      </c>
      <c r="AP13" s="145" t="str">
        <f>IFERROR(__xludf.DUMMYFUNCTION("""COMPUTED_VALUE"""),"-")</f>
        <v>-</v>
      </c>
      <c r="AQ13" s="145" t="str">
        <f>IFERROR(__xludf.DUMMYFUNCTION("""COMPUTED_VALUE"""),"-")</f>
        <v>-</v>
      </c>
      <c r="AR13" s="145" t="str">
        <f>IFERROR(__xludf.DUMMYFUNCTION("""COMPUTED_VALUE"""),"-")</f>
        <v>-</v>
      </c>
      <c r="AS13" s="145" t="str">
        <f>IFERROR(__xludf.DUMMYFUNCTION("""COMPUTED_VALUE"""),"-")</f>
        <v>-</v>
      </c>
      <c r="AT13" s="145" t="str">
        <f>IFERROR(__xludf.DUMMYFUNCTION("""COMPUTED_VALUE"""),"-")</f>
        <v>-</v>
      </c>
      <c r="AU13" s="145" t="str">
        <f>IFERROR(__xludf.DUMMYFUNCTION("""COMPUTED_VALUE"""),"-")</f>
        <v>-</v>
      </c>
      <c r="AV13" s="145" t="str">
        <f>IFERROR(__xludf.DUMMYFUNCTION("""COMPUTED_VALUE"""),"-")</f>
        <v>-</v>
      </c>
      <c r="AW13" s="145" t="str">
        <f>IFERROR(__xludf.DUMMYFUNCTION("""COMPUTED_VALUE"""),"-")</f>
        <v>-</v>
      </c>
      <c r="AX13" s="145" t="str">
        <f>IFERROR(__xludf.DUMMYFUNCTION("""COMPUTED_VALUE"""),"-")</f>
        <v>-</v>
      </c>
      <c r="AY13" s="145" t="str">
        <f>IFERROR(__xludf.DUMMYFUNCTION("""COMPUTED_VALUE"""),"-")</f>
        <v>-</v>
      </c>
      <c r="AZ13" s="145" t="str">
        <f>IFERROR(__xludf.DUMMYFUNCTION("""COMPUTED_VALUE"""),"-")</f>
        <v>-</v>
      </c>
      <c r="BA13" s="145" t="str">
        <f>IFERROR(__xludf.DUMMYFUNCTION("""COMPUTED_VALUE"""),"-")</f>
        <v>-</v>
      </c>
      <c r="BB13" s="145" t="str">
        <f>IFERROR(__xludf.DUMMYFUNCTION("""COMPUTED_VALUE"""),"-")</f>
        <v>-</v>
      </c>
      <c r="BC13" s="145" t="str">
        <f>IFERROR(__xludf.DUMMYFUNCTION("""COMPUTED_VALUE"""),"-")</f>
        <v>-</v>
      </c>
      <c r="BD13" s="145" t="str">
        <f>IFERROR(__xludf.DUMMYFUNCTION("""COMPUTED_VALUE"""),"-")</f>
        <v>-</v>
      </c>
      <c r="BE13" s="145" t="str">
        <f>IFERROR(__xludf.DUMMYFUNCTION("""COMPUTED_VALUE"""),"-")</f>
        <v>-</v>
      </c>
      <c r="BF13" s="145" t="str">
        <f>IFERROR(__xludf.DUMMYFUNCTION("""COMPUTED_VALUE"""),"-")</f>
        <v>-</v>
      </c>
      <c r="BG13" s="145" t="str">
        <f>IFERROR(__xludf.DUMMYFUNCTION("""COMPUTED_VALUE"""),"-")</f>
        <v>-</v>
      </c>
      <c r="BH13" s="145" t="str">
        <f>IFERROR(__xludf.DUMMYFUNCTION("""COMPUTED_VALUE"""),"-")</f>
        <v>-</v>
      </c>
      <c r="BI13" s="145" t="str">
        <f>IFERROR(__xludf.DUMMYFUNCTION("""COMPUTED_VALUE"""),"-")</f>
        <v>-</v>
      </c>
      <c r="BJ13" s="145" t="str">
        <f>IFERROR(__xludf.DUMMYFUNCTION("""COMPUTED_VALUE"""),"-")</f>
        <v>-</v>
      </c>
      <c r="BK13" s="145" t="str">
        <f>IFERROR(__xludf.DUMMYFUNCTION("""COMPUTED_VALUE"""),"-")</f>
        <v>-</v>
      </c>
      <c r="BL13" s="145" t="str">
        <f>IFERROR(__xludf.DUMMYFUNCTION("""COMPUTED_VALUE"""),"-")</f>
        <v>-</v>
      </c>
      <c r="BM13" s="145" t="str">
        <f>IFERROR(__xludf.DUMMYFUNCTION("""COMPUTED_VALUE"""),"-")</f>
        <v>-</v>
      </c>
      <c r="BN13" s="145" t="str">
        <f>IFERROR(__xludf.DUMMYFUNCTION("""COMPUTED_VALUE"""),"-")</f>
        <v>-</v>
      </c>
      <c r="BO13" s="145" t="str">
        <f>IFERROR(__xludf.DUMMYFUNCTION("""COMPUTED_VALUE"""),"-")</f>
        <v>-</v>
      </c>
      <c r="BP13" s="145" t="str">
        <f>IFERROR(__xludf.DUMMYFUNCTION("""COMPUTED_VALUE"""),"-")</f>
        <v>-</v>
      </c>
      <c r="BQ13" s="145" t="str">
        <f>IFERROR(__xludf.DUMMYFUNCTION("""COMPUTED_VALUE"""),"-")</f>
        <v>-</v>
      </c>
      <c r="BR13" s="145" t="str">
        <f>IFERROR(__xludf.DUMMYFUNCTION("""COMPUTED_VALUE"""),"-")</f>
        <v>-</v>
      </c>
      <c r="BS13" s="145" t="str">
        <f>IFERROR(__xludf.DUMMYFUNCTION("""COMPUTED_VALUE"""),"-")</f>
        <v>-</v>
      </c>
      <c r="BT13" s="145" t="str">
        <f>IFERROR(__xludf.DUMMYFUNCTION("""COMPUTED_VALUE"""),"-")</f>
        <v>-</v>
      </c>
      <c r="BU13" s="145" t="str">
        <f>IFERROR(__xludf.DUMMYFUNCTION("""COMPUTED_VALUE"""),"-")</f>
        <v>-</v>
      </c>
      <c r="BV13" s="145" t="str">
        <f>IFERROR(__xludf.DUMMYFUNCTION("""COMPUTED_VALUE"""),"-")</f>
        <v>-</v>
      </c>
      <c r="BW13" s="145" t="str">
        <f>IFERROR(__xludf.DUMMYFUNCTION("""COMPUTED_VALUE"""),"-")</f>
        <v>-</v>
      </c>
      <c r="BX13" s="145" t="str">
        <f>IFERROR(__xludf.DUMMYFUNCTION("""COMPUTED_VALUE"""),"-")</f>
        <v>-</v>
      </c>
      <c r="BY13" s="145" t="str">
        <f>IFERROR(__xludf.DUMMYFUNCTION("""COMPUTED_VALUE"""),"-")</f>
        <v>-</v>
      </c>
      <c r="BZ13" s="145" t="str">
        <f>IFERROR(__xludf.DUMMYFUNCTION("""COMPUTED_VALUE"""),"-")</f>
        <v>-</v>
      </c>
      <c r="CA13" s="145" t="str">
        <f>IFERROR(__xludf.DUMMYFUNCTION("""COMPUTED_VALUE"""),"-")</f>
        <v>-</v>
      </c>
      <c r="CB13" s="145" t="str">
        <f>IFERROR(__xludf.DUMMYFUNCTION("""COMPUTED_VALUE"""),"-")</f>
        <v>-</v>
      </c>
      <c r="CC13" s="145" t="str">
        <f>IFERROR(__xludf.DUMMYFUNCTION("""COMPUTED_VALUE"""),"-")</f>
        <v>-</v>
      </c>
      <c r="CD13" s="145" t="str">
        <f>IFERROR(__xludf.DUMMYFUNCTION("""COMPUTED_VALUE"""),"-")</f>
        <v>-</v>
      </c>
      <c r="CE13" s="145" t="str">
        <f>IFERROR(__xludf.DUMMYFUNCTION("""COMPUTED_VALUE"""),"-")</f>
        <v>-</v>
      </c>
      <c r="CF13" s="145" t="str">
        <f>IFERROR(__xludf.DUMMYFUNCTION("""COMPUTED_VALUE"""),"-")</f>
        <v>-</v>
      </c>
      <c r="CG13" s="145" t="str">
        <f>IFERROR(__xludf.DUMMYFUNCTION("""COMPUTED_VALUE"""),"-")</f>
        <v>-</v>
      </c>
      <c r="CH13" s="145" t="str">
        <f>IFERROR(__xludf.DUMMYFUNCTION("""COMPUTED_VALUE"""),"-")</f>
        <v>-</v>
      </c>
      <c r="CI13" s="145" t="str">
        <f>IFERROR(__xludf.DUMMYFUNCTION("""COMPUTED_VALUE"""),"-")</f>
        <v>-</v>
      </c>
      <c r="CJ13" s="145" t="str">
        <f>IFERROR(__xludf.DUMMYFUNCTION("""COMPUTED_VALUE"""),"-")</f>
        <v>-</v>
      </c>
      <c r="CK13" s="145" t="str">
        <f>IFERROR(__xludf.DUMMYFUNCTION("""COMPUTED_VALUE"""),"-")</f>
        <v>-</v>
      </c>
      <c r="CL13" s="146" t="str">
        <f>IFERROR(__xludf.DUMMYFUNCTION("""COMPUTED_VALUE"""),"-")</f>
        <v>-</v>
      </c>
      <c r="CM13" s="141" t="str">
        <f>IFERROR(__xludf.DUMMYFUNCTION("""COMPUTED_VALUE"""),"-")</f>
        <v>-</v>
      </c>
    </row>
    <row r="14">
      <c r="B14" s="130"/>
      <c r="C14" s="142" t="s">
        <v>140</v>
      </c>
      <c r="D14" s="147" t="str">
        <f>IFERROR(__xludf.DUMMYFUNCTION("""COMPUTED_VALUE"""),"-")</f>
        <v>-</v>
      </c>
      <c r="E14" s="145" t="str">
        <f>IFERROR(__xludf.DUMMYFUNCTION("""COMPUTED_VALUE"""),"-")</f>
        <v>-</v>
      </c>
      <c r="F14" s="145" t="str">
        <f>IFERROR(__xludf.DUMMYFUNCTION("""COMPUTED_VALUE"""),"-")</f>
        <v>-</v>
      </c>
      <c r="G14" s="145" t="str">
        <f>IFERROR(__xludf.DUMMYFUNCTION("""COMPUTED_VALUE"""),"-")</f>
        <v>-</v>
      </c>
      <c r="H14" s="145" t="str">
        <f>IFERROR(__xludf.DUMMYFUNCTION("""COMPUTED_VALUE"""),"-")</f>
        <v>-</v>
      </c>
      <c r="I14" s="145" t="str">
        <f>IFERROR(__xludf.DUMMYFUNCTION("""COMPUTED_VALUE"""),"-")</f>
        <v>-</v>
      </c>
      <c r="J14" s="145" t="str">
        <f>IFERROR(__xludf.DUMMYFUNCTION("""COMPUTED_VALUE"""),"-")</f>
        <v>-</v>
      </c>
      <c r="K14" s="145" t="str">
        <f>IFERROR(__xludf.DUMMYFUNCTION("""COMPUTED_VALUE"""),"-")</f>
        <v>-</v>
      </c>
      <c r="L14" s="145" t="str">
        <f>IFERROR(__xludf.DUMMYFUNCTION("""COMPUTED_VALUE"""),"-")</f>
        <v>-</v>
      </c>
      <c r="M14" s="145" t="str">
        <f>IFERROR(__xludf.DUMMYFUNCTION("""COMPUTED_VALUE"""),"-")</f>
        <v>-</v>
      </c>
      <c r="N14" s="145" t="str">
        <f>IFERROR(__xludf.DUMMYFUNCTION("""COMPUTED_VALUE"""),"-")</f>
        <v>-</v>
      </c>
      <c r="O14" s="145" t="str">
        <f>IFERROR(__xludf.DUMMYFUNCTION("""COMPUTED_VALUE"""),"-")</f>
        <v>-</v>
      </c>
      <c r="P14" s="145" t="str">
        <f>IFERROR(__xludf.DUMMYFUNCTION("""COMPUTED_VALUE"""),"-")</f>
        <v>-</v>
      </c>
      <c r="Q14" s="145" t="str">
        <f>IFERROR(__xludf.DUMMYFUNCTION("""COMPUTED_VALUE"""),"-")</f>
        <v>-</v>
      </c>
      <c r="R14" s="145" t="str">
        <f>IFERROR(__xludf.DUMMYFUNCTION("""COMPUTED_VALUE"""),"-")</f>
        <v>-</v>
      </c>
      <c r="S14" s="145" t="str">
        <f>IFERROR(__xludf.DUMMYFUNCTION("""COMPUTED_VALUE"""),"-")</f>
        <v>-</v>
      </c>
      <c r="T14" s="145" t="str">
        <f>IFERROR(__xludf.DUMMYFUNCTION("""COMPUTED_VALUE"""),"-")</f>
        <v>-</v>
      </c>
      <c r="U14" s="145" t="str">
        <f>IFERROR(__xludf.DUMMYFUNCTION("""COMPUTED_VALUE"""),"-")</f>
        <v>-</v>
      </c>
      <c r="V14" s="145" t="str">
        <f>IFERROR(__xludf.DUMMYFUNCTION("""COMPUTED_VALUE"""),"-")</f>
        <v>-</v>
      </c>
      <c r="W14" s="145" t="str">
        <f>IFERROR(__xludf.DUMMYFUNCTION("""COMPUTED_VALUE"""),"-")</f>
        <v>-</v>
      </c>
      <c r="X14" s="145" t="str">
        <f>IFERROR(__xludf.DUMMYFUNCTION("""COMPUTED_VALUE"""),"-")</f>
        <v>-</v>
      </c>
      <c r="Y14" s="145" t="str">
        <f>IFERROR(__xludf.DUMMYFUNCTION("""COMPUTED_VALUE"""),"-")</f>
        <v>-</v>
      </c>
      <c r="Z14" s="145" t="str">
        <f>IFERROR(__xludf.DUMMYFUNCTION("""COMPUTED_VALUE"""),"-")</f>
        <v>-</v>
      </c>
      <c r="AA14" s="145" t="str">
        <f>IFERROR(__xludf.DUMMYFUNCTION("""COMPUTED_VALUE"""),"-")</f>
        <v>-</v>
      </c>
      <c r="AB14" s="145" t="str">
        <f>IFERROR(__xludf.DUMMYFUNCTION("""COMPUTED_VALUE"""),"-")</f>
        <v>-</v>
      </c>
      <c r="AC14" s="145" t="str">
        <f>IFERROR(__xludf.DUMMYFUNCTION("""COMPUTED_VALUE"""),"-")</f>
        <v>-</v>
      </c>
      <c r="AD14" s="145" t="str">
        <f>IFERROR(__xludf.DUMMYFUNCTION("""COMPUTED_VALUE"""),"-")</f>
        <v>-</v>
      </c>
      <c r="AE14" s="145" t="str">
        <f>IFERROR(__xludf.DUMMYFUNCTION("""COMPUTED_VALUE"""),"-")</f>
        <v>-</v>
      </c>
      <c r="AF14" s="145" t="str">
        <f>IFERROR(__xludf.DUMMYFUNCTION("""COMPUTED_VALUE"""),"-")</f>
        <v>-</v>
      </c>
      <c r="AG14" s="145" t="str">
        <f>IFERROR(__xludf.DUMMYFUNCTION("""COMPUTED_VALUE"""),"-")</f>
        <v>-</v>
      </c>
      <c r="AH14" s="145" t="str">
        <f>IFERROR(__xludf.DUMMYFUNCTION("""COMPUTED_VALUE"""),"-")</f>
        <v>-</v>
      </c>
      <c r="AI14" s="145" t="str">
        <f>IFERROR(__xludf.DUMMYFUNCTION("""COMPUTED_VALUE"""),"-")</f>
        <v>-</v>
      </c>
      <c r="AJ14" s="145" t="str">
        <f>IFERROR(__xludf.DUMMYFUNCTION("""COMPUTED_VALUE"""),"-")</f>
        <v>-</v>
      </c>
      <c r="AK14" s="145" t="str">
        <f>IFERROR(__xludf.DUMMYFUNCTION("""COMPUTED_VALUE"""),"-")</f>
        <v>-</v>
      </c>
      <c r="AL14" s="145" t="str">
        <f>IFERROR(__xludf.DUMMYFUNCTION("""COMPUTED_VALUE"""),"-")</f>
        <v>-</v>
      </c>
      <c r="AM14" s="145" t="str">
        <f>IFERROR(__xludf.DUMMYFUNCTION("""COMPUTED_VALUE"""),"-")</f>
        <v>-</v>
      </c>
      <c r="AN14" s="145" t="str">
        <f>IFERROR(__xludf.DUMMYFUNCTION("""COMPUTED_VALUE"""),"-")</f>
        <v>-</v>
      </c>
      <c r="AO14" s="145" t="str">
        <f>IFERROR(__xludf.DUMMYFUNCTION("""COMPUTED_VALUE"""),"-")</f>
        <v>-</v>
      </c>
      <c r="AP14" s="145" t="str">
        <f>IFERROR(__xludf.DUMMYFUNCTION("""COMPUTED_VALUE"""),"-")</f>
        <v>-</v>
      </c>
      <c r="AQ14" s="145" t="str">
        <f>IFERROR(__xludf.DUMMYFUNCTION("""COMPUTED_VALUE"""),"-")</f>
        <v>-</v>
      </c>
      <c r="AR14" s="145" t="str">
        <f>IFERROR(__xludf.DUMMYFUNCTION("""COMPUTED_VALUE"""),"-")</f>
        <v>-</v>
      </c>
      <c r="AS14" s="145" t="str">
        <f>IFERROR(__xludf.DUMMYFUNCTION("""COMPUTED_VALUE"""),"-")</f>
        <v>-</v>
      </c>
      <c r="AT14" s="145" t="str">
        <f>IFERROR(__xludf.DUMMYFUNCTION("""COMPUTED_VALUE"""),"-")</f>
        <v>-</v>
      </c>
      <c r="AU14" s="145" t="str">
        <f>IFERROR(__xludf.DUMMYFUNCTION("""COMPUTED_VALUE"""),"-")</f>
        <v>-</v>
      </c>
      <c r="AV14" s="145" t="str">
        <f>IFERROR(__xludf.DUMMYFUNCTION("""COMPUTED_VALUE"""),"-")</f>
        <v>-</v>
      </c>
      <c r="AW14" s="145" t="str">
        <f>IFERROR(__xludf.DUMMYFUNCTION("""COMPUTED_VALUE"""),"-")</f>
        <v>-</v>
      </c>
      <c r="AX14" s="145" t="str">
        <f>IFERROR(__xludf.DUMMYFUNCTION("""COMPUTED_VALUE"""),"-")</f>
        <v>-</v>
      </c>
      <c r="AY14" s="145" t="str">
        <f>IFERROR(__xludf.DUMMYFUNCTION("""COMPUTED_VALUE"""),"-")</f>
        <v>-</v>
      </c>
      <c r="AZ14" s="145" t="str">
        <f>IFERROR(__xludf.DUMMYFUNCTION("""COMPUTED_VALUE"""),"-")</f>
        <v>-</v>
      </c>
      <c r="BA14" s="145" t="str">
        <f>IFERROR(__xludf.DUMMYFUNCTION("""COMPUTED_VALUE"""),"-")</f>
        <v>-</v>
      </c>
      <c r="BB14" s="145">
        <f>IFERROR(__xludf.DUMMYFUNCTION("""COMPUTED_VALUE"""),22.235256712443828)</f>
        <v>22.23525671</v>
      </c>
      <c r="BC14" s="145">
        <f>IFERROR(__xludf.DUMMYFUNCTION("""COMPUTED_VALUE"""),10.51239373983941)</f>
        <v>10.51239374</v>
      </c>
      <c r="BD14" s="145">
        <f>IFERROR(__xludf.DUMMYFUNCTION("""COMPUTED_VALUE"""),19.072270230810854)</f>
        <v>19.07227023</v>
      </c>
      <c r="BE14" s="145">
        <f>IFERROR(__xludf.DUMMYFUNCTION("""COMPUTED_VALUE"""),9.647646017188215)</f>
        <v>9.647646017</v>
      </c>
      <c r="BF14" s="145">
        <f>IFERROR(__xludf.DUMMYFUNCTION("""COMPUTED_VALUE"""),13.795234577124772)</f>
        <v>13.79523458</v>
      </c>
      <c r="BG14" s="145">
        <f>IFERROR(__xludf.DUMMYFUNCTION("""COMPUTED_VALUE"""),19.638964633130826)</f>
        <v>19.63896463</v>
      </c>
      <c r="BH14" s="145">
        <f>IFERROR(__xludf.DUMMYFUNCTION("""COMPUTED_VALUE"""),34.88051015345627)</f>
        <v>34.88051015</v>
      </c>
      <c r="BI14" s="145">
        <f>IFERROR(__xludf.DUMMYFUNCTION("""COMPUTED_VALUE"""),46.980875698022494)</f>
        <v>46.9808757</v>
      </c>
      <c r="BJ14" s="145">
        <f>IFERROR(__xludf.DUMMYFUNCTION("""COMPUTED_VALUE"""),33.63611531793335)</f>
        <v>33.63611532</v>
      </c>
      <c r="BK14" s="145">
        <f>IFERROR(__xludf.DUMMYFUNCTION("""COMPUTED_VALUE"""),1.0873993504775321)</f>
        <v>1.08739935</v>
      </c>
      <c r="BL14" s="145">
        <f>IFERROR(__xludf.DUMMYFUNCTION("""COMPUTED_VALUE"""),3.7422793232844676)</f>
        <v>3.742279323</v>
      </c>
      <c r="BM14" s="145">
        <f>IFERROR(__xludf.DUMMYFUNCTION("""COMPUTED_VALUE"""),1.1829891129474137)</f>
        <v>1.182989113</v>
      </c>
      <c r="BN14" s="145">
        <f>IFERROR(__xludf.DUMMYFUNCTION("""COMPUTED_VALUE"""),1.614568502814873)</f>
        <v>1.614568503</v>
      </c>
      <c r="BO14" s="145">
        <f>IFERROR(__xludf.DUMMYFUNCTION("""COMPUTED_VALUE"""),2.3844527057666514)</f>
        <v>2.384452706</v>
      </c>
      <c r="BP14" s="145">
        <f>IFERROR(__xludf.DUMMYFUNCTION("""COMPUTED_VALUE"""),3.5285982831326512)</f>
        <v>3.528598283</v>
      </c>
      <c r="BQ14" s="145">
        <f>IFERROR(__xludf.DUMMYFUNCTION("""COMPUTED_VALUE"""),7.816195107619986)</f>
        <v>7.816195108</v>
      </c>
      <c r="BR14" s="145">
        <f>IFERROR(__xludf.DUMMYFUNCTION("""COMPUTED_VALUE"""),0.8404624618681458)</f>
        <v>0.8404624619</v>
      </c>
      <c r="BS14" s="145">
        <f>IFERROR(__xludf.DUMMYFUNCTION("""COMPUTED_VALUE"""),2.071969129611924)</f>
        <v>2.07196913</v>
      </c>
      <c r="BT14" s="145">
        <f>IFERROR(__xludf.DUMMYFUNCTION("""COMPUTED_VALUE"""),0.13609025862533336)</f>
        <v>0.1360902586</v>
      </c>
      <c r="BU14" s="145">
        <f>IFERROR(__xludf.DUMMYFUNCTION("""COMPUTED_VALUE"""),0.8103413843728494)</f>
        <v>0.8103413844</v>
      </c>
      <c r="BV14" s="145">
        <f>IFERROR(__xludf.DUMMYFUNCTION("""COMPUTED_VALUE"""),0.40876128007097906)</f>
        <v>0.4087612801</v>
      </c>
      <c r="BW14" s="145">
        <f>IFERROR(__xludf.DUMMYFUNCTION("""COMPUTED_VALUE"""),0.21419367421401406)</f>
        <v>0.2141936742</v>
      </c>
      <c r="BX14" s="145">
        <f>IFERROR(__xludf.DUMMYFUNCTION("""COMPUTED_VALUE"""),0.8530685582979204)</f>
        <v>0.8530685583</v>
      </c>
      <c r="BY14" s="145">
        <f>IFERROR(__xludf.DUMMYFUNCTION("""COMPUTED_VALUE"""),0.4456199718667396)</f>
        <v>0.4456199719</v>
      </c>
      <c r="BZ14" s="145">
        <f>IFERROR(__xludf.DUMMYFUNCTION("""COMPUTED_VALUE"""),5.898103283649649)</f>
        <v>5.898103284</v>
      </c>
      <c r="CA14" s="145">
        <f>IFERROR(__xludf.DUMMYFUNCTION("""COMPUTED_VALUE"""),2.1324431659454186)</f>
        <v>2.132443166</v>
      </c>
      <c r="CB14" s="145">
        <f>IFERROR(__xludf.DUMMYFUNCTION("""COMPUTED_VALUE"""),2.7174217746467906)</f>
        <v>2.717421775</v>
      </c>
      <c r="CC14" s="145">
        <f>IFERROR(__xludf.DUMMYFUNCTION("""COMPUTED_VALUE"""),0.5056071781039587)</f>
        <v>0.5056071781</v>
      </c>
      <c r="CD14" s="145">
        <f>IFERROR(__xludf.DUMMYFUNCTION("""COMPUTED_VALUE"""),4.239604478946348)</f>
        <v>4.239604479</v>
      </c>
      <c r="CE14" s="145">
        <f>IFERROR(__xludf.DUMMYFUNCTION("""COMPUTED_VALUE"""),9.778051668914108)</f>
        <v>9.778051669</v>
      </c>
      <c r="CF14" s="145">
        <f>IFERROR(__xludf.DUMMYFUNCTION("""COMPUTED_VALUE"""),3.3528184489403237)</f>
        <v>3.352818449</v>
      </c>
      <c r="CG14" s="145">
        <f>IFERROR(__xludf.DUMMYFUNCTION("""COMPUTED_VALUE"""),2.63386828693475)</f>
        <v>2.633868287</v>
      </c>
      <c r="CH14" s="145">
        <f>IFERROR(__xludf.DUMMYFUNCTION("""COMPUTED_VALUE"""),0.5593941580987752)</f>
        <v>0.5593941581</v>
      </c>
      <c r="CI14" s="145">
        <f>IFERROR(__xludf.DUMMYFUNCTION("""COMPUTED_VALUE"""),1.7494479943357428)</f>
        <v>1.749447994</v>
      </c>
      <c r="CJ14" s="145">
        <f>IFERROR(__xludf.DUMMYFUNCTION("""COMPUTED_VALUE"""),2.6992599293511894)</f>
        <v>2.699259929</v>
      </c>
      <c r="CK14" s="145">
        <f>IFERROR(__xludf.DUMMYFUNCTION("""COMPUTED_VALUE"""),0.9281429648727519)</f>
        <v>0.9281429649</v>
      </c>
      <c r="CL14" s="146">
        <f>IFERROR(__xludf.DUMMYFUNCTION("""COMPUTED_VALUE"""),7.801710062124809)</f>
        <v>7.801710062</v>
      </c>
      <c r="CM14" s="141">
        <f>IFERROR(__xludf.DUMMYFUNCTION("""COMPUTED_VALUE"""),14.157619087005525)</f>
        <v>14.15761909</v>
      </c>
    </row>
    <row r="15">
      <c r="B15" s="130"/>
      <c r="C15" s="142" t="s">
        <v>141</v>
      </c>
      <c r="D15" s="147" t="str">
        <f>IFERROR(__xludf.DUMMYFUNCTION("""COMPUTED_VALUE"""),"-")</f>
        <v>-</v>
      </c>
      <c r="E15" s="145" t="str">
        <f>IFERROR(__xludf.DUMMYFUNCTION("""COMPUTED_VALUE"""),"-")</f>
        <v>-</v>
      </c>
      <c r="F15" s="145" t="str">
        <f>IFERROR(__xludf.DUMMYFUNCTION("""COMPUTED_VALUE"""),"-")</f>
        <v>-</v>
      </c>
      <c r="G15" s="145" t="str">
        <f>IFERROR(__xludf.DUMMYFUNCTION("""COMPUTED_VALUE"""),"-")</f>
        <v>-</v>
      </c>
      <c r="H15" s="145" t="str">
        <f>IFERROR(__xludf.DUMMYFUNCTION("""COMPUTED_VALUE"""),"-")</f>
        <v>-</v>
      </c>
      <c r="I15" s="145" t="str">
        <f>IFERROR(__xludf.DUMMYFUNCTION("""COMPUTED_VALUE"""),"-")</f>
        <v>-</v>
      </c>
      <c r="J15" s="145" t="str">
        <f>IFERROR(__xludf.DUMMYFUNCTION("""COMPUTED_VALUE"""),"-")</f>
        <v>-</v>
      </c>
      <c r="K15" s="145" t="str">
        <f>IFERROR(__xludf.DUMMYFUNCTION("""COMPUTED_VALUE"""),"-")</f>
        <v>-</v>
      </c>
      <c r="L15" s="145" t="str">
        <f>IFERROR(__xludf.DUMMYFUNCTION("""COMPUTED_VALUE"""),"-")</f>
        <v>-</v>
      </c>
      <c r="M15" s="145" t="str">
        <f>IFERROR(__xludf.DUMMYFUNCTION("""COMPUTED_VALUE"""),"-")</f>
        <v>-</v>
      </c>
      <c r="N15" s="145" t="str">
        <f>IFERROR(__xludf.DUMMYFUNCTION("""COMPUTED_VALUE"""),"-")</f>
        <v>-</v>
      </c>
      <c r="O15" s="145" t="str">
        <f>IFERROR(__xludf.DUMMYFUNCTION("""COMPUTED_VALUE"""),"-")</f>
        <v>-</v>
      </c>
      <c r="P15" s="145" t="str">
        <f>IFERROR(__xludf.DUMMYFUNCTION("""COMPUTED_VALUE"""),"-")</f>
        <v>-</v>
      </c>
      <c r="Q15" s="145" t="str">
        <f>IFERROR(__xludf.DUMMYFUNCTION("""COMPUTED_VALUE"""),"-")</f>
        <v>-</v>
      </c>
      <c r="R15" s="145" t="str">
        <f>IFERROR(__xludf.DUMMYFUNCTION("""COMPUTED_VALUE"""),"-")</f>
        <v>-</v>
      </c>
      <c r="S15" s="145" t="str">
        <f>IFERROR(__xludf.DUMMYFUNCTION("""COMPUTED_VALUE"""),"-")</f>
        <v>-</v>
      </c>
      <c r="T15" s="145" t="str">
        <f>IFERROR(__xludf.DUMMYFUNCTION("""COMPUTED_VALUE"""),"-")</f>
        <v>-</v>
      </c>
      <c r="U15" s="145" t="str">
        <f>IFERROR(__xludf.DUMMYFUNCTION("""COMPUTED_VALUE"""),"-")</f>
        <v>-</v>
      </c>
      <c r="V15" s="145" t="str">
        <f>IFERROR(__xludf.DUMMYFUNCTION("""COMPUTED_VALUE"""),"-")</f>
        <v>-</v>
      </c>
      <c r="W15" s="145" t="str">
        <f>IFERROR(__xludf.DUMMYFUNCTION("""COMPUTED_VALUE"""),"-")</f>
        <v>-</v>
      </c>
      <c r="X15" s="145" t="str">
        <f>IFERROR(__xludf.DUMMYFUNCTION("""COMPUTED_VALUE"""),"-")</f>
        <v>-</v>
      </c>
      <c r="Y15" s="145" t="str">
        <f>IFERROR(__xludf.DUMMYFUNCTION("""COMPUTED_VALUE"""),"-")</f>
        <v>-</v>
      </c>
      <c r="Z15" s="145" t="str">
        <f>IFERROR(__xludf.DUMMYFUNCTION("""COMPUTED_VALUE"""),"-")</f>
        <v>-</v>
      </c>
      <c r="AA15" s="145" t="str">
        <f>IFERROR(__xludf.DUMMYFUNCTION("""COMPUTED_VALUE"""),"-")</f>
        <v>-</v>
      </c>
      <c r="AB15" s="145" t="str">
        <f>IFERROR(__xludf.DUMMYFUNCTION("""COMPUTED_VALUE"""),"-")</f>
        <v>-</v>
      </c>
      <c r="AC15" s="145" t="str">
        <f>IFERROR(__xludf.DUMMYFUNCTION("""COMPUTED_VALUE"""),"-")</f>
        <v>-</v>
      </c>
      <c r="AD15" s="145" t="str">
        <f>IFERROR(__xludf.DUMMYFUNCTION("""COMPUTED_VALUE"""),"-")</f>
        <v>-</v>
      </c>
      <c r="AE15" s="145" t="str">
        <f>IFERROR(__xludf.DUMMYFUNCTION("""COMPUTED_VALUE"""),"-")</f>
        <v>-</v>
      </c>
      <c r="AF15" s="145" t="str">
        <f>IFERROR(__xludf.DUMMYFUNCTION("""COMPUTED_VALUE"""),"-")</f>
        <v>-</v>
      </c>
      <c r="AG15" s="145" t="str">
        <f>IFERROR(__xludf.DUMMYFUNCTION("""COMPUTED_VALUE"""),"-")</f>
        <v>-</v>
      </c>
      <c r="AH15" s="145" t="str">
        <f>IFERROR(__xludf.DUMMYFUNCTION("""COMPUTED_VALUE"""),"-")</f>
        <v>-</v>
      </c>
      <c r="AI15" s="145" t="str">
        <f>IFERROR(__xludf.DUMMYFUNCTION("""COMPUTED_VALUE"""),"-")</f>
        <v>-</v>
      </c>
      <c r="AJ15" s="145" t="str">
        <f>IFERROR(__xludf.DUMMYFUNCTION("""COMPUTED_VALUE"""),"-")</f>
        <v>-</v>
      </c>
      <c r="AK15" s="145" t="str">
        <f>IFERROR(__xludf.DUMMYFUNCTION("""COMPUTED_VALUE"""),"-")</f>
        <v>-</v>
      </c>
      <c r="AL15" s="145" t="str">
        <f>IFERROR(__xludf.DUMMYFUNCTION("""COMPUTED_VALUE"""),"-")</f>
        <v>-</v>
      </c>
      <c r="AM15" s="145" t="str">
        <f>IFERROR(__xludf.DUMMYFUNCTION("""COMPUTED_VALUE"""),"-")</f>
        <v>-</v>
      </c>
      <c r="AN15" s="145" t="str">
        <f>IFERROR(__xludf.DUMMYFUNCTION("""COMPUTED_VALUE"""),"-")</f>
        <v>-</v>
      </c>
      <c r="AO15" s="145" t="str">
        <f>IFERROR(__xludf.DUMMYFUNCTION("""COMPUTED_VALUE"""),"-")</f>
        <v>-</v>
      </c>
      <c r="AP15" s="145" t="str">
        <f>IFERROR(__xludf.DUMMYFUNCTION("""COMPUTED_VALUE"""),"-")</f>
        <v>-</v>
      </c>
      <c r="AQ15" s="145" t="str">
        <f>IFERROR(__xludf.DUMMYFUNCTION("""COMPUTED_VALUE"""),"-")</f>
        <v>-</v>
      </c>
      <c r="AR15" s="145" t="str">
        <f>IFERROR(__xludf.DUMMYFUNCTION("""COMPUTED_VALUE"""),"-")</f>
        <v>-</v>
      </c>
      <c r="AS15" s="145" t="str">
        <f>IFERROR(__xludf.DUMMYFUNCTION("""COMPUTED_VALUE"""),"-")</f>
        <v>-</v>
      </c>
      <c r="AT15" s="145" t="str">
        <f>IFERROR(__xludf.DUMMYFUNCTION("""COMPUTED_VALUE"""),"-")</f>
        <v>-</v>
      </c>
      <c r="AU15" s="145" t="str">
        <f>IFERROR(__xludf.DUMMYFUNCTION("""COMPUTED_VALUE"""),"-")</f>
        <v>-</v>
      </c>
      <c r="AV15" s="145" t="str">
        <f>IFERROR(__xludf.DUMMYFUNCTION("""COMPUTED_VALUE"""),"-")</f>
        <v>-</v>
      </c>
      <c r="AW15" s="145" t="str">
        <f>IFERROR(__xludf.DUMMYFUNCTION("""COMPUTED_VALUE"""),"-")</f>
        <v>-</v>
      </c>
      <c r="AX15" s="145" t="str">
        <f>IFERROR(__xludf.DUMMYFUNCTION("""COMPUTED_VALUE"""),"-")</f>
        <v>-</v>
      </c>
      <c r="AY15" s="145" t="str">
        <f>IFERROR(__xludf.DUMMYFUNCTION("""COMPUTED_VALUE"""),"-")</f>
        <v>-</v>
      </c>
      <c r="AZ15" s="145" t="str">
        <f>IFERROR(__xludf.DUMMYFUNCTION("""COMPUTED_VALUE"""),"-")</f>
        <v>-</v>
      </c>
      <c r="BA15" s="145" t="str">
        <f>IFERROR(__xludf.DUMMYFUNCTION("""COMPUTED_VALUE"""),"-")</f>
        <v>-</v>
      </c>
      <c r="BB15" s="145">
        <f>IFERROR(__xludf.DUMMYFUNCTION("""COMPUTED_VALUE"""),22.670758328710487)</f>
        <v>22.67075833</v>
      </c>
      <c r="BC15" s="145">
        <f>IFERROR(__xludf.DUMMYFUNCTION("""COMPUTED_VALUE"""),9.388933469550235)</f>
        <v>9.38893347</v>
      </c>
      <c r="BD15" s="145">
        <f>IFERROR(__xludf.DUMMYFUNCTION("""COMPUTED_VALUE"""),19.913845667785633)</f>
        <v>19.91384567</v>
      </c>
      <c r="BE15" s="145">
        <f>IFERROR(__xludf.DUMMYFUNCTION("""COMPUTED_VALUE"""),9.515241096541017)</f>
        <v>9.515241097</v>
      </c>
      <c r="BF15" s="145">
        <f>IFERROR(__xludf.DUMMYFUNCTION("""COMPUTED_VALUE"""),11.76591548467665)</f>
        <v>11.76591548</v>
      </c>
      <c r="BG15" s="145">
        <f>IFERROR(__xludf.DUMMYFUNCTION("""COMPUTED_VALUE"""),22.01692430249219)</f>
        <v>22.0169243</v>
      </c>
      <c r="BH15" s="145">
        <f>IFERROR(__xludf.DUMMYFUNCTION("""COMPUTED_VALUE"""),36.53178114343006)</f>
        <v>36.53178114</v>
      </c>
      <c r="BI15" s="145">
        <f>IFERROR(__xludf.DUMMYFUNCTION("""COMPUTED_VALUE"""),53.37953878269617)</f>
        <v>53.37953878</v>
      </c>
      <c r="BJ15" s="145">
        <f>IFERROR(__xludf.DUMMYFUNCTION("""COMPUTED_VALUE"""),30.20159415858746)</f>
        <v>30.20159416</v>
      </c>
      <c r="BK15" s="145">
        <f>IFERROR(__xludf.DUMMYFUNCTION("""COMPUTED_VALUE"""),1.46269757876029)</f>
        <v>1.462697579</v>
      </c>
      <c r="BL15" s="145">
        <f>IFERROR(__xludf.DUMMYFUNCTION("""COMPUTED_VALUE"""),3.7223211204275892)</f>
        <v>3.72232112</v>
      </c>
      <c r="BM15" s="145">
        <f>IFERROR(__xludf.DUMMYFUNCTION("""COMPUTED_VALUE"""),2.051711251671184)</f>
        <v>2.051711252</v>
      </c>
      <c r="BN15" s="145">
        <f>IFERROR(__xludf.DUMMYFUNCTION("""COMPUTED_VALUE"""),2.485924372491213)</f>
        <v>2.485924372</v>
      </c>
      <c r="BO15" s="145">
        <f>IFERROR(__xludf.DUMMYFUNCTION("""COMPUTED_VALUE"""),3.720663689513822)</f>
        <v>3.72066369</v>
      </c>
      <c r="BP15" s="145">
        <f>IFERROR(__xludf.DUMMYFUNCTION("""COMPUTED_VALUE"""),4.844297894361171)</f>
        <v>4.844297894</v>
      </c>
      <c r="BQ15" s="145">
        <f>IFERROR(__xludf.DUMMYFUNCTION("""COMPUTED_VALUE"""),10.025475027797373)</f>
        <v>10.02547503</v>
      </c>
      <c r="BR15" s="145">
        <f>IFERROR(__xludf.DUMMYFUNCTION("""COMPUTED_VALUE"""),1.5691105439378292)</f>
        <v>1.569110544</v>
      </c>
      <c r="BS15" s="145">
        <f>IFERROR(__xludf.DUMMYFUNCTION("""COMPUTED_VALUE"""),2.987955522081749)</f>
        <v>2.987955522</v>
      </c>
      <c r="BT15" s="145">
        <f>IFERROR(__xludf.DUMMYFUNCTION("""COMPUTED_VALUE"""),0.17192946430943437)</f>
        <v>0.1719294643</v>
      </c>
      <c r="BU15" s="145">
        <f>IFERROR(__xludf.DUMMYFUNCTION("""COMPUTED_VALUE"""),1.3824060490883028)</f>
        <v>1.382406049</v>
      </c>
      <c r="BV15" s="145">
        <f>IFERROR(__xludf.DUMMYFUNCTION("""COMPUTED_VALUE"""),0.6771852403426135)</f>
        <v>0.6771852403</v>
      </c>
      <c r="BW15" s="145">
        <f>IFERROR(__xludf.DUMMYFUNCTION("""COMPUTED_VALUE"""),0.394284889849876)</f>
        <v>0.3942848898</v>
      </c>
      <c r="BX15" s="145">
        <f>IFERROR(__xludf.DUMMYFUNCTION("""COMPUTED_VALUE"""),1.0781312241129415)</f>
        <v>1.078131224</v>
      </c>
      <c r="BY15" s="145">
        <f>IFERROR(__xludf.DUMMYFUNCTION("""COMPUTED_VALUE"""),0.7712319421269598)</f>
        <v>0.7712319421</v>
      </c>
      <c r="BZ15" s="145">
        <f>IFERROR(__xludf.DUMMYFUNCTION("""COMPUTED_VALUE"""),5.817157331046364)</f>
        <v>5.817157331</v>
      </c>
      <c r="CA15" s="145">
        <f>IFERROR(__xludf.DUMMYFUNCTION("""COMPUTED_VALUE"""),2.7893618011279013)</f>
        <v>2.789361801</v>
      </c>
      <c r="CB15" s="145">
        <f>IFERROR(__xludf.DUMMYFUNCTION("""COMPUTED_VALUE"""),5.6633229598840655)</f>
        <v>5.66332296</v>
      </c>
      <c r="CC15" s="145">
        <f>IFERROR(__xludf.DUMMYFUNCTION("""COMPUTED_VALUE"""),0.7389240753102964)</f>
        <v>0.7389240753</v>
      </c>
      <c r="CD15" s="145">
        <f>IFERROR(__xludf.DUMMYFUNCTION("""COMPUTED_VALUE"""),6.156239467198286)</f>
        <v>6.156239467</v>
      </c>
      <c r="CE15" s="145">
        <f>IFERROR(__xludf.DUMMYFUNCTION("""COMPUTED_VALUE"""),13.30730619760112)</f>
        <v>13.3073062</v>
      </c>
      <c r="CF15" s="145">
        <f>IFERROR(__xludf.DUMMYFUNCTION("""COMPUTED_VALUE"""),6.023016703547505)</f>
        <v>6.023016704</v>
      </c>
      <c r="CG15" s="145">
        <f>IFERROR(__xludf.DUMMYFUNCTION("""COMPUTED_VALUE"""),4.124125945256102)</f>
        <v>4.124125945</v>
      </c>
      <c r="CH15" s="145">
        <f>IFERROR(__xludf.DUMMYFUNCTION("""COMPUTED_VALUE"""),1.0230311106346714)</f>
        <v>1.023031111</v>
      </c>
      <c r="CI15" s="145">
        <f>IFERROR(__xludf.DUMMYFUNCTION("""COMPUTED_VALUE"""),3.326282848571396)</f>
        <v>3.326282849</v>
      </c>
      <c r="CJ15" s="145">
        <f>IFERROR(__xludf.DUMMYFUNCTION("""COMPUTED_VALUE"""),4.421086810799636)</f>
        <v>4.421086811</v>
      </c>
      <c r="CK15" s="145">
        <f>IFERROR(__xludf.DUMMYFUNCTION("""COMPUTED_VALUE"""),1.4058556550126846)</f>
        <v>1.405855655</v>
      </c>
      <c r="CL15" s="146">
        <f>IFERROR(__xludf.DUMMYFUNCTION("""COMPUTED_VALUE"""),8.815184020832847)</f>
        <v>8.815184021</v>
      </c>
      <c r="CM15" s="141">
        <f>IFERROR(__xludf.DUMMYFUNCTION("""COMPUTED_VALUE"""),17.5005950607499)</f>
        <v>17.50059506</v>
      </c>
    </row>
    <row r="16">
      <c r="B16" s="130"/>
      <c r="C16" s="142" t="s">
        <v>142</v>
      </c>
      <c r="D16" s="147" t="str">
        <f>IFERROR(__xludf.DUMMYFUNCTION("""COMPUTED_VALUE"""),"-")</f>
        <v>-</v>
      </c>
      <c r="E16" s="145" t="str">
        <f>IFERROR(__xludf.DUMMYFUNCTION("""COMPUTED_VALUE"""),"-")</f>
        <v>-</v>
      </c>
      <c r="F16" s="145" t="str">
        <f>IFERROR(__xludf.DUMMYFUNCTION("""COMPUTED_VALUE"""),"-")</f>
        <v>-</v>
      </c>
      <c r="G16" s="145" t="str">
        <f>IFERROR(__xludf.DUMMYFUNCTION("""COMPUTED_VALUE"""),"-")</f>
        <v>-</v>
      </c>
      <c r="H16" s="145" t="str">
        <f>IFERROR(__xludf.DUMMYFUNCTION("""COMPUTED_VALUE"""),"-")</f>
        <v>-</v>
      </c>
      <c r="I16" s="145" t="str">
        <f>IFERROR(__xludf.DUMMYFUNCTION("""COMPUTED_VALUE"""),"-")</f>
        <v>-</v>
      </c>
      <c r="J16" s="145" t="str">
        <f>IFERROR(__xludf.DUMMYFUNCTION("""COMPUTED_VALUE"""),"-")</f>
        <v>-</v>
      </c>
      <c r="K16" s="145" t="str">
        <f>IFERROR(__xludf.DUMMYFUNCTION("""COMPUTED_VALUE"""),"-")</f>
        <v>-</v>
      </c>
      <c r="L16" s="145" t="str">
        <f>IFERROR(__xludf.DUMMYFUNCTION("""COMPUTED_VALUE"""),"-")</f>
        <v>-</v>
      </c>
      <c r="M16" s="145" t="str">
        <f>IFERROR(__xludf.DUMMYFUNCTION("""COMPUTED_VALUE"""),"-")</f>
        <v>-</v>
      </c>
      <c r="N16" s="145" t="str">
        <f>IFERROR(__xludf.DUMMYFUNCTION("""COMPUTED_VALUE"""),"-")</f>
        <v>-</v>
      </c>
      <c r="O16" s="145" t="str">
        <f>IFERROR(__xludf.DUMMYFUNCTION("""COMPUTED_VALUE"""),"-")</f>
        <v>-</v>
      </c>
      <c r="P16" s="145" t="str">
        <f>IFERROR(__xludf.DUMMYFUNCTION("""COMPUTED_VALUE"""),"-")</f>
        <v>-</v>
      </c>
      <c r="Q16" s="145" t="str">
        <f>IFERROR(__xludf.DUMMYFUNCTION("""COMPUTED_VALUE"""),"-")</f>
        <v>-</v>
      </c>
      <c r="R16" s="145" t="str">
        <f>IFERROR(__xludf.DUMMYFUNCTION("""COMPUTED_VALUE"""),"-")</f>
        <v>-</v>
      </c>
      <c r="S16" s="145" t="str">
        <f>IFERROR(__xludf.DUMMYFUNCTION("""COMPUTED_VALUE"""),"-")</f>
        <v>-</v>
      </c>
      <c r="T16" s="145" t="str">
        <f>IFERROR(__xludf.DUMMYFUNCTION("""COMPUTED_VALUE"""),"-")</f>
        <v>-</v>
      </c>
      <c r="U16" s="145" t="str">
        <f>IFERROR(__xludf.DUMMYFUNCTION("""COMPUTED_VALUE"""),"-")</f>
        <v>-</v>
      </c>
      <c r="V16" s="145" t="str">
        <f>IFERROR(__xludf.DUMMYFUNCTION("""COMPUTED_VALUE"""),"-")</f>
        <v>-</v>
      </c>
      <c r="W16" s="145" t="str">
        <f>IFERROR(__xludf.DUMMYFUNCTION("""COMPUTED_VALUE"""),"-")</f>
        <v>-</v>
      </c>
      <c r="X16" s="145" t="str">
        <f>IFERROR(__xludf.DUMMYFUNCTION("""COMPUTED_VALUE"""),"-")</f>
        <v>-</v>
      </c>
      <c r="Y16" s="145" t="str">
        <f>IFERROR(__xludf.DUMMYFUNCTION("""COMPUTED_VALUE"""),"-")</f>
        <v>-</v>
      </c>
      <c r="Z16" s="145" t="str">
        <f>IFERROR(__xludf.DUMMYFUNCTION("""COMPUTED_VALUE"""),"-")</f>
        <v>-</v>
      </c>
      <c r="AA16" s="145" t="str">
        <f>IFERROR(__xludf.DUMMYFUNCTION("""COMPUTED_VALUE"""),"-")</f>
        <v>-</v>
      </c>
      <c r="AB16" s="145" t="str">
        <f>IFERROR(__xludf.DUMMYFUNCTION("""COMPUTED_VALUE"""),"-")</f>
        <v>-</v>
      </c>
      <c r="AC16" s="145" t="str">
        <f>IFERROR(__xludf.DUMMYFUNCTION("""COMPUTED_VALUE"""),"-")</f>
        <v>-</v>
      </c>
      <c r="AD16" s="145" t="str">
        <f>IFERROR(__xludf.DUMMYFUNCTION("""COMPUTED_VALUE"""),"-")</f>
        <v>-</v>
      </c>
      <c r="AE16" s="145" t="str">
        <f>IFERROR(__xludf.DUMMYFUNCTION("""COMPUTED_VALUE"""),"-")</f>
        <v>-</v>
      </c>
      <c r="AF16" s="145" t="str">
        <f>IFERROR(__xludf.DUMMYFUNCTION("""COMPUTED_VALUE"""),"-")</f>
        <v>-</v>
      </c>
      <c r="AG16" s="145" t="str">
        <f>IFERROR(__xludf.DUMMYFUNCTION("""COMPUTED_VALUE"""),"-")</f>
        <v>-</v>
      </c>
      <c r="AH16" s="145" t="str">
        <f>IFERROR(__xludf.DUMMYFUNCTION("""COMPUTED_VALUE"""),"-")</f>
        <v>-</v>
      </c>
      <c r="AI16" s="145" t="str">
        <f>IFERROR(__xludf.DUMMYFUNCTION("""COMPUTED_VALUE"""),"-")</f>
        <v>-</v>
      </c>
      <c r="AJ16" s="145" t="str">
        <f>IFERROR(__xludf.DUMMYFUNCTION("""COMPUTED_VALUE"""),"-")</f>
        <v>-</v>
      </c>
      <c r="AK16" s="145" t="str">
        <f>IFERROR(__xludf.DUMMYFUNCTION("""COMPUTED_VALUE"""),"-")</f>
        <v>-</v>
      </c>
      <c r="AL16" s="145" t="str">
        <f>IFERROR(__xludf.DUMMYFUNCTION("""COMPUTED_VALUE"""),"-")</f>
        <v>-</v>
      </c>
      <c r="AM16" s="145" t="str">
        <f>IFERROR(__xludf.DUMMYFUNCTION("""COMPUTED_VALUE"""),"-")</f>
        <v>-</v>
      </c>
      <c r="AN16" s="145" t="str">
        <f>IFERROR(__xludf.DUMMYFUNCTION("""COMPUTED_VALUE"""),"-")</f>
        <v>-</v>
      </c>
      <c r="AO16" s="145" t="str">
        <f>IFERROR(__xludf.DUMMYFUNCTION("""COMPUTED_VALUE"""),"-")</f>
        <v>-</v>
      </c>
      <c r="AP16" s="145" t="str">
        <f>IFERROR(__xludf.DUMMYFUNCTION("""COMPUTED_VALUE"""),"-")</f>
        <v>-</v>
      </c>
      <c r="AQ16" s="145" t="str">
        <f>IFERROR(__xludf.DUMMYFUNCTION("""COMPUTED_VALUE"""),"-")</f>
        <v>-</v>
      </c>
      <c r="AR16" s="145" t="str">
        <f>IFERROR(__xludf.DUMMYFUNCTION("""COMPUTED_VALUE"""),"-")</f>
        <v>-</v>
      </c>
      <c r="AS16" s="145" t="str">
        <f>IFERROR(__xludf.DUMMYFUNCTION("""COMPUTED_VALUE"""),"-")</f>
        <v>-</v>
      </c>
      <c r="AT16" s="145" t="str">
        <f>IFERROR(__xludf.DUMMYFUNCTION("""COMPUTED_VALUE"""),"-")</f>
        <v>-</v>
      </c>
      <c r="AU16" s="145" t="str">
        <f>IFERROR(__xludf.DUMMYFUNCTION("""COMPUTED_VALUE"""),"-")</f>
        <v>-</v>
      </c>
      <c r="AV16" s="145" t="str">
        <f>IFERROR(__xludf.DUMMYFUNCTION("""COMPUTED_VALUE"""),"-")</f>
        <v>-</v>
      </c>
      <c r="AW16" s="145" t="str">
        <f>IFERROR(__xludf.DUMMYFUNCTION("""COMPUTED_VALUE"""),"-")</f>
        <v>-</v>
      </c>
      <c r="AX16" s="145" t="str">
        <f>IFERROR(__xludf.DUMMYFUNCTION("""COMPUTED_VALUE"""),"-")</f>
        <v>-</v>
      </c>
      <c r="AY16" s="145" t="str">
        <f>IFERROR(__xludf.DUMMYFUNCTION("""COMPUTED_VALUE"""),"-")</f>
        <v>-</v>
      </c>
      <c r="AZ16" s="145" t="str">
        <f>IFERROR(__xludf.DUMMYFUNCTION("""COMPUTED_VALUE"""),"-")</f>
        <v>-</v>
      </c>
      <c r="BA16" s="145" t="str">
        <f>IFERROR(__xludf.DUMMYFUNCTION("""COMPUTED_VALUE"""),"-")</f>
        <v>-</v>
      </c>
      <c r="BB16" s="145">
        <f>IFERROR(__xludf.DUMMYFUNCTION("""COMPUTED_VALUE"""),38.37434981135112)</f>
        <v>38.37434981</v>
      </c>
      <c r="BC16" s="145">
        <f>IFERROR(__xludf.DUMMYFUNCTION("""COMPUTED_VALUE"""),19.0000596260896)</f>
        <v>19.00005963</v>
      </c>
      <c r="BD16" s="145">
        <f>IFERROR(__xludf.DUMMYFUNCTION("""COMPUTED_VALUE"""),28.810835180775527)</f>
        <v>28.81083518</v>
      </c>
      <c r="BE16" s="145">
        <f>IFERROR(__xludf.DUMMYFUNCTION("""COMPUTED_VALUE"""),14.507643302548802)</f>
        <v>14.5076433</v>
      </c>
      <c r="BF16" s="145">
        <f>IFERROR(__xludf.DUMMYFUNCTION("""COMPUTED_VALUE"""),18.81499431993802)</f>
        <v>18.81499432</v>
      </c>
      <c r="BG16" s="145">
        <f>IFERROR(__xludf.DUMMYFUNCTION("""COMPUTED_VALUE"""),33.786796798859655)</f>
        <v>33.7867968</v>
      </c>
      <c r="BH16" s="145">
        <f>IFERROR(__xludf.DUMMYFUNCTION("""COMPUTED_VALUE"""),64.71094050805588)</f>
        <v>64.71094051</v>
      </c>
      <c r="BI16" s="145">
        <f>IFERROR(__xludf.DUMMYFUNCTION("""COMPUTED_VALUE"""),71.30818878284502)</f>
        <v>71.30818878</v>
      </c>
      <c r="BJ16" s="145">
        <f>IFERROR(__xludf.DUMMYFUNCTION("""COMPUTED_VALUE"""),54.123419029182884)</f>
        <v>54.12341903</v>
      </c>
      <c r="BK16" s="145">
        <f>IFERROR(__xludf.DUMMYFUNCTION("""COMPUTED_VALUE"""),2.5297058289648455)</f>
        <v>2.529705829</v>
      </c>
      <c r="BL16" s="145">
        <f>IFERROR(__xludf.DUMMYFUNCTION("""COMPUTED_VALUE"""),6.499108209025617)</f>
        <v>6.499108209</v>
      </c>
      <c r="BM16" s="145">
        <f>IFERROR(__xludf.DUMMYFUNCTION("""COMPUTED_VALUE"""),3.574503823177632)</f>
        <v>3.574503823</v>
      </c>
      <c r="BN16" s="145">
        <f>IFERROR(__xludf.DUMMYFUNCTION("""COMPUTED_VALUE"""),4.014877899845496)</f>
        <v>4.0148779</v>
      </c>
      <c r="BO16" s="145">
        <f>IFERROR(__xludf.DUMMYFUNCTION("""COMPUTED_VALUE"""),6.264619158226943)</f>
        <v>6.264619158</v>
      </c>
      <c r="BP16" s="145">
        <f>IFERROR(__xludf.DUMMYFUNCTION("""COMPUTED_VALUE"""),7.819625987915114)</f>
        <v>7.819625988</v>
      </c>
      <c r="BQ16" s="145">
        <f>IFERROR(__xludf.DUMMYFUNCTION("""COMPUTED_VALUE"""),19.117294621336903)</f>
        <v>19.11729462</v>
      </c>
      <c r="BR16" s="145">
        <f>IFERROR(__xludf.DUMMYFUNCTION("""COMPUTED_VALUE"""),2.7988805535469004)</f>
        <v>2.798880554</v>
      </c>
      <c r="BS16" s="145">
        <f>IFERROR(__xludf.DUMMYFUNCTION("""COMPUTED_VALUE"""),4.279432534930564)</f>
        <v>4.279432535</v>
      </c>
      <c r="BT16" s="145">
        <f>IFERROR(__xludf.DUMMYFUNCTION("""COMPUTED_VALUE"""),0.27760790811594743)</f>
        <v>0.2776079081</v>
      </c>
      <c r="BU16" s="145">
        <f>IFERROR(__xludf.DUMMYFUNCTION("""COMPUTED_VALUE"""),1.894403370059948)</f>
        <v>1.89440337</v>
      </c>
      <c r="BV16" s="145">
        <f>IFERROR(__xludf.DUMMYFUNCTION("""COMPUTED_VALUE"""),1.1359584439379218)</f>
        <v>1.135958444</v>
      </c>
      <c r="BW16" s="145">
        <f>IFERROR(__xludf.DUMMYFUNCTION("""COMPUTED_VALUE"""),0.6974651274245552)</f>
        <v>0.6974651274</v>
      </c>
      <c r="BX16" s="145">
        <f>IFERROR(__xludf.DUMMYFUNCTION("""COMPUTED_VALUE"""),1.3905689036342157)</f>
        <v>1.390568904</v>
      </c>
      <c r="BY16" s="145">
        <f>IFERROR(__xludf.DUMMYFUNCTION("""COMPUTED_VALUE"""),1.279352998284332)</f>
        <v>1.279352998</v>
      </c>
      <c r="BZ16" s="145">
        <f>IFERROR(__xludf.DUMMYFUNCTION("""COMPUTED_VALUE"""),8.869270125410283)</f>
        <v>8.869270125</v>
      </c>
      <c r="CA16" s="145">
        <f>IFERROR(__xludf.DUMMYFUNCTION("""COMPUTED_VALUE"""),5.126005991241977)</f>
        <v>5.126005991</v>
      </c>
      <c r="CB16" s="145">
        <f>IFERROR(__xludf.DUMMYFUNCTION("""COMPUTED_VALUE"""),8.468634479850161)</f>
        <v>8.46863448</v>
      </c>
      <c r="CC16" s="145">
        <f>IFERROR(__xludf.DUMMYFUNCTION("""COMPUTED_VALUE"""),1.104926994377144)</f>
        <v>1.104926994</v>
      </c>
      <c r="CD16" s="145">
        <f>IFERROR(__xludf.DUMMYFUNCTION("""COMPUTED_VALUE"""),7.55884025835579)</f>
        <v>7.558840258</v>
      </c>
      <c r="CE16" s="145">
        <f>IFERROR(__xludf.DUMMYFUNCTION("""COMPUTED_VALUE"""),20.31559008762993)</f>
        <v>20.31559009</v>
      </c>
      <c r="CF16" s="145">
        <f>IFERROR(__xludf.DUMMYFUNCTION("""COMPUTED_VALUE"""),9.988222226894006)</f>
        <v>9.988222227</v>
      </c>
      <c r="CG16" s="145">
        <f>IFERROR(__xludf.DUMMYFUNCTION("""COMPUTED_VALUE"""),7.189209591010099)</f>
        <v>7.189209591</v>
      </c>
      <c r="CH16" s="145">
        <f>IFERROR(__xludf.DUMMYFUNCTION("""COMPUTED_VALUE"""),2.1423271316907355)</f>
        <v>2.142327132</v>
      </c>
      <c r="CI16" s="145">
        <f>IFERROR(__xludf.DUMMYFUNCTION("""COMPUTED_VALUE"""),5.3671504958277305)</f>
        <v>5.367150496</v>
      </c>
      <c r="CJ16" s="145">
        <f>IFERROR(__xludf.DUMMYFUNCTION("""COMPUTED_VALUE"""),5.380958840389657)</f>
        <v>5.38095884</v>
      </c>
      <c r="CK16" s="145">
        <f>IFERROR(__xludf.DUMMYFUNCTION("""COMPUTED_VALUE"""),2.210267800863415)</f>
        <v>2.210267801</v>
      </c>
      <c r="CL16" s="146">
        <f>IFERROR(__xludf.DUMMYFUNCTION("""COMPUTED_VALUE"""),10.642075436350671)</f>
        <v>10.64207544</v>
      </c>
      <c r="CM16" s="141">
        <f>IFERROR(__xludf.DUMMYFUNCTION("""COMPUTED_VALUE"""),27.62599824212151)</f>
        <v>27.62599824</v>
      </c>
    </row>
    <row r="17">
      <c r="B17" s="130"/>
      <c r="C17" s="154" t="s">
        <v>143</v>
      </c>
      <c r="D17" s="155">
        <f>IFERROR(__xludf.DUMMYFUNCTION("""COMPUTED_VALUE"""),2983.82175756697)</f>
        <v>2983.821758</v>
      </c>
      <c r="E17" s="156">
        <f>IFERROR(__xludf.DUMMYFUNCTION("""COMPUTED_VALUE"""),9224.723501570259)</f>
        <v>9224.723502</v>
      </c>
      <c r="F17" s="156">
        <f>IFERROR(__xludf.DUMMYFUNCTION("""COMPUTED_VALUE"""),13650.610456603123)</f>
        <v>13650.61046</v>
      </c>
      <c r="G17" s="156">
        <f>IFERROR(__xludf.DUMMYFUNCTION("""COMPUTED_VALUE"""),10715.559162415528)</f>
        <v>10715.55916</v>
      </c>
      <c r="H17" s="156">
        <f>IFERROR(__xludf.DUMMYFUNCTION("""COMPUTED_VALUE"""),8458.160061631539)</f>
        <v>8458.160062</v>
      </c>
      <c r="I17" s="156">
        <f>IFERROR(__xludf.DUMMYFUNCTION("""COMPUTED_VALUE"""),4199.321029614229)</f>
        <v>4199.32103</v>
      </c>
      <c r="J17" s="156">
        <f>IFERROR(__xludf.DUMMYFUNCTION("""COMPUTED_VALUE"""),10050.828573728639)</f>
        <v>10050.82857</v>
      </c>
      <c r="K17" s="156">
        <f>IFERROR(__xludf.DUMMYFUNCTION("""COMPUTED_VALUE"""),12858.518947045457)</f>
        <v>12858.51895</v>
      </c>
      <c r="L17" s="156">
        <f>IFERROR(__xludf.DUMMYFUNCTION("""COMPUTED_VALUE"""),10566.948956809487)</f>
        <v>10566.94896</v>
      </c>
      <c r="M17" s="156">
        <f>IFERROR(__xludf.DUMMYFUNCTION("""COMPUTED_VALUE"""),5788.385157201596)</f>
        <v>5788.385157</v>
      </c>
      <c r="N17" s="156">
        <f>IFERROR(__xludf.DUMMYFUNCTION("""COMPUTED_VALUE"""),3284.5483109550355)</f>
        <v>3284.548311</v>
      </c>
      <c r="O17" s="156">
        <f>IFERROR(__xludf.DUMMYFUNCTION("""COMPUTED_VALUE"""),4002.4078561382585)</f>
        <v>4002.407856</v>
      </c>
      <c r="P17" s="156">
        <f>IFERROR(__xludf.DUMMYFUNCTION("""COMPUTED_VALUE"""),3779.7524831474784)</f>
        <v>3779.752483</v>
      </c>
      <c r="Q17" s="156">
        <f>IFERROR(__xludf.DUMMYFUNCTION("""COMPUTED_VALUE"""),3751.7746711873597)</f>
        <v>3751.774671</v>
      </c>
      <c r="R17" s="156">
        <f>IFERROR(__xludf.DUMMYFUNCTION("""COMPUTED_VALUE"""),3850.86127609751)</f>
        <v>3850.861276</v>
      </c>
      <c r="S17" s="156">
        <f>IFERROR(__xludf.DUMMYFUNCTION("""COMPUTED_VALUE"""),9107.859720406428)</f>
        <v>9107.85972</v>
      </c>
      <c r="T17" s="156">
        <f>IFERROR(__xludf.DUMMYFUNCTION("""COMPUTED_VALUE"""),9431.771374796874)</f>
        <v>9431.771375</v>
      </c>
      <c r="U17" s="156">
        <f>IFERROR(__xludf.DUMMYFUNCTION("""COMPUTED_VALUE"""),8446.781975683767)</f>
        <v>8446.781976</v>
      </c>
      <c r="V17" s="156">
        <f>IFERROR(__xludf.DUMMYFUNCTION("""COMPUTED_VALUE"""),16331.041434520077)</f>
        <v>16331.04143</v>
      </c>
      <c r="W17" s="156">
        <f>IFERROR(__xludf.DUMMYFUNCTION("""COMPUTED_VALUE"""),11584.008111837842)</f>
        <v>11584.00811</v>
      </c>
      <c r="X17" s="156">
        <f>IFERROR(__xludf.DUMMYFUNCTION("""COMPUTED_VALUE"""),13587.52030823564)</f>
        <v>13587.52031</v>
      </c>
      <c r="Y17" s="156">
        <f>IFERROR(__xludf.DUMMYFUNCTION("""COMPUTED_VALUE"""),19715.7749906278)</f>
        <v>19715.77499</v>
      </c>
      <c r="Z17" s="156">
        <f>IFERROR(__xludf.DUMMYFUNCTION("""COMPUTED_VALUE"""),9689.77864234763)</f>
        <v>9689.778642</v>
      </c>
      <c r="AA17" s="156">
        <f>IFERROR(__xludf.DUMMYFUNCTION("""COMPUTED_VALUE"""),13300.368715315682)</f>
        <v>13300.36872</v>
      </c>
      <c r="AB17" s="156">
        <f>IFERROR(__xludf.DUMMYFUNCTION("""COMPUTED_VALUE"""),14853.920600987376)</f>
        <v>14853.9206</v>
      </c>
      <c r="AC17" s="156">
        <f>IFERROR(__xludf.DUMMYFUNCTION("""COMPUTED_VALUE"""),3525.6858858386277)</f>
        <v>3525.685886</v>
      </c>
      <c r="AD17" s="156">
        <f>IFERROR(__xludf.DUMMYFUNCTION("""COMPUTED_VALUE"""),11165.555604660502)</f>
        <v>11165.5556</v>
      </c>
      <c r="AE17" s="156">
        <f>IFERROR(__xludf.DUMMYFUNCTION("""COMPUTED_VALUE"""),8551.798420836116)</f>
        <v>8551.798421</v>
      </c>
      <c r="AF17" s="156">
        <f>IFERROR(__xludf.DUMMYFUNCTION("""COMPUTED_VALUE"""),4831.874771967673)</f>
        <v>4831.874772</v>
      </c>
      <c r="AG17" s="156">
        <f>IFERROR(__xludf.DUMMYFUNCTION("""COMPUTED_VALUE"""),7489.413948204879)</f>
        <v>7489.413948</v>
      </c>
      <c r="AH17" s="156">
        <f>IFERROR(__xludf.DUMMYFUNCTION("""COMPUTED_VALUE"""),6325.062424694316)</f>
        <v>6325.062425</v>
      </c>
      <c r="AI17" s="156">
        <f>IFERROR(__xludf.DUMMYFUNCTION("""COMPUTED_VALUE"""),2591.6784648273574)</f>
        <v>2591.678465</v>
      </c>
      <c r="AJ17" s="156">
        <f>IFERROR(__xludf.DUMMYFUNCTION("""COMPUTED_VALUE"""),7363.059056161202)</f>
        <v>7363.059056</v>
      </c>
      <c r="AK17" s="156">
        <f>IFERROR(__xludf.DUMMYFUNCTION("""COMPUTED_VALUE"""),17706.439159486203)</f>
        <v>17706.43916</v>
      </c>
      <c r="AL17" s="156">
        <f>IFERROR(__xludf.DUMMYFUNCTION("""COMPUTED_VALUE"""),29754.179421043646)</f>
        <v>29754.17942</v>
      </c>
      <c r="AM17" s="156">
        <f>IFERROR(__xludf.DUMMYFUNCTION("""COMPUTED_VALUE"""),10151.20836984156)</f>
        <v>10151.20837</v>
      </c>
      <c r="AN17" s="156">
        <f>IFERROR(__xludf.DUMMYFUNCTION("""COMPUTED_VALUE"""),2188.581670747846)</f>
        <v>2188.581671</v>
      </c>
      <c r="AO17" s="156">
        <f>IFERROR(__xludf.DUMMYFUNCTION("""COMPUTED_VALUE"""),1205.2128578335582)</f>
        <v>1205.212858</v>
      </c>
      <c r="AP17" s="156">
        <f>IFERROR(__xludf.DUMMYFUNCTION("""COMPUTED_VALUE"""),4575.211753785769)</f>
        <v>4575.211754</v>
      </c>
      <c r="AQ17" s="156">
        <f>IFERROR(__xludf.DUMMYFUNCTION("""COMPUTED_VALUE"""),2554.5247989971563)</f>
        <v>2554.524799</v>
      </c>
      <c r="AR17" s="156">
        <f>IFERROR(__xludf.DUMMYFUNCTION("""COMPUTED_VALUE"""),6437.246972290735)</f>
        <v>6437.246972</v>
      </c>
      <c r="AS17" s="156">
        <f>IFERROR(__xludf.DUMMYFUNCTION("""COMPUTED_VALUE"""),1908.0786835316624)</f>
        <v>1908.078684</v>
      </c>
      <c r="AT17" s="156">
        <f>IFERROR(__xludf.DUMMYFUNCTION("""COMPUTED_VALUE"""),2879.743125884542)</f>
        <v>2879.743126</v>
      </c>
      <c r="AU17" s="156">
        <f>IFERROR(__xludf.DUMMYFUNCTION("""COMPUTED_VALUE"""),1601.688383986128)</f>
        <v>1601.688384</v>
      </c>
      <c r="AV17" s="156">
        <f>IFERROR(__xludf.DUMMYFUNCTION("""COMPUTED_VALUE"""),2083.3033431280305)</f>
        <v>2083.303343</v>
      </c>
      <c r="AW17" s="156">
        <f>IFERROR(__xludf.DUMMYFUNCTION("""COMPUTED_VALUE"""),5717.2863002199465)</f>
        <v>5717.2863</v>
      </c>
      <c r="AX17" s="156">
        <f>IFERROR(__xludf.DUMMYFUNCTION("""COMPUTED_VALUE"""),2381.996233897308)</f>
        <v>2381.996234</v>
      </c>
      <c r="AY17" s="156">
        <f>IFERROR(__xludf.DUMMYFUNCTION("""COMPUTED_VALUE"""),1215.6108160006356)</f>
        <v>1215.610816</v>
      </c>
      <c r="AZ17" s="156">
        <f>IFERROR(__xludf.DUMMYFUNCTION("""COMPUTED_VALUE"""),3715.5414481677267)</f>
        <v>3715.541448</v>
      </c>
      <c r="BA17" s="156">
        <f>IFERROR(__xludf.DUMMYFUNCTION("""COMPUTED_VALUE"""),13642.490485358432)</f>
        <v>13642.49049</v>
      </c>
      <c r="BB17" s="156">
        <f>IFERROR(__xludf.DUMMYFUNCTION("""COMPUTED_VALUE"""),10306.742370943788)</f>
        <v>10306.74237</v>
      </c>
      <c r="BC17" s="156">
        <f>IFERROR(__xludf.DUMMYFUNCTION("""COMPUTED_VALUE"""),5915.290628702003)</f>
        <v>5915.290629</v>
      </c>
      <c r="BD17" s="156">
        <f>IFERROR(__xludf.DUMMYFUNCTION("""COMPUTED_VALUE"""),9513.554001516559)</f>
        <v>9513.554002</v>
      </c>
      <c r="BE17" s="156">
        <f>IFERROR(__xludf.DUMMYFUNCTION("""COMPUTED_VALUE"""),5563.850062364274)</f>
        <v>5563.850062</v>
      </c>
      <c r="BF17" s="156">
        <f>IFERROR(__xludf.DUMMYFUNCTION("""COMPUTED_VALUE"""),7067.586039212312)</f>
        <v>7067.586039</v>
      </c>
      <c r="BG17" s="156">
        <f>IFERROR(__xludf.DUMMYFUNCTION("""COMPUTED_VALUE"""),8809.103057282204)</f>
        <v>8809.103057</v>
      </c>
      <c r="BH17" s="156">
        <f>IFERROR(__xludf.DUMMYFUNCTION("""COMPUTED_VALUE"""),14478.253266299782)</f>
        <v>14478.25327</v>
      </c>
      <c r="BI17" s="156">
        <f>IFERROR(__xludf.DUMMYFUNCTION("""COMPUTED_VALUE"""),18625.016358918336)</f>
        <v>18625.01636</v>
      </c>
      <c r="BJ17" s="156">
        <f>IFERROR(__xludf.DUMMYFUNCTION("""COMPUTED_VALUE"""),15018.413951943387)</f>
        <v>15018.41395</v>
      </c>
      <c r="BK17" s="156">
        <f>IFERROR(__xludf.DUMMYFUNCTION("""COMPUTED_VALUE"""),2177.895110065442)</f>
        <v>2177.89511</v>
      </c>
      <c r="BL17" s="156">
        <f>IFERROR(__xludf.DUMMYFUNCTION("""COMPUTED_VALUE"""),3321.048156278367)</f>
        <v>3321.048156</v>
      </c>
      <c r="BM17" s="156">
        <f>IFERROR(__xludf.DUMMYFUNCTION("""COMPUTED_VALUE"""),2125.595866114443)</f>
        <v>2125.595866</v>
      </c>
      <c r="BN17" s="156">
        <f>IFERROR(__xludf.DUMMYFUNCTION("""COMPUTED_VALUE"""),2253.4108697378497)</f>
        <v>2253.41087</v>
      </c>
      <c r="BO17" s="156">
        <f>IFERROR(__xludf.DUMMYFUNCTION("""COMPUTED_VALUE"""),2639.538573715783)</f>
        <v>2639.538574</v>
      </c>
      <c r="BP17" s="156">
        <f>IFERROR(__xludf.DUMMYFUNCTION("""COMPUTED_VALUE"""),2842.0819616344806)</f>
        <v>2842.081962</v>
      </c>
      <c r="BQ17" s="156">
        <f>IFERROR(__xludf.DUMMYFUNCTION("""COMPUTED_VALUE"""),3923.2561862860075)</f>
        <v>3923.256186</v>
      </c>
      <c r="BR17" s="156">
        <f>IFERROR(__xludf.DUMMYFUNCTION("""COMPUTED_VALUE"""),1985.076616823205)</f>
        <v>1985.076617</v>
      </c>
      <c r="BS17" s="156">
        <f>IFERROR(__xludf.DUMMYFUNCTION("""COMPUTED_VALUE"""),2421.273350522307)</f>
        <v>2421.273351</v>
      </c>
      <c r="BT17" s="156">
        <f>IFERROR(__xludf.DUMMYFUNCTION("""COMPUTED_VALUE"""),1765.189546524961)</f>
        <v>1765.189547</v>
      </c>
      <c r="BU17" s="156">
        <f>IFERROR(__xludf.DUMMYFUNCTION("""COMPUTED_VALUE"""),2082.84785035553)</f>
        <v>2082.84785</v>
      </c>
      <c r="BV17" s="156">
        <f>IFERROR(__xludf.DUMMYFUNCTION("""COMPUTED_VALUE"""),1878.8131794592086)</f>
        <v>1878.813179</v>
      </c>
      <c r="BW17" s="156">
        <f>IFERROR(__xludf.DUMMYFUNCTION("""COMPUTED_VALUE"""),1779.6791551248532)</f>
        <v>1779.679155</v>
      </c>
      <c r="BX17" s="156">
        <f>IFERROR(__xludf.DUMMYFUNCTION("""COMPUTED_VALUE"""),2009.4074069842236)</f>
        <v>2009.407407</v>
      </c>
      <c r="BY17" s="156">
        <f>IFERROR(__xludf.DUMMYFUNCTION("""COMPUTED_VALUE"""),1859.072858132918)</f>
        <v>1859.072858</v>
      </c>
      <c r="BZ17" s="156">
        <f>IFERROR(__xludf.DUMMYFUNCTION("""COMPUTED_VALUE"""),4067.643453760177)</f>
        <v>4067.643454</v>
      </c>
      <c r="CA17" s="156">
        <f>IFERROR(__xludf.DUMMYFUNCTION("""COMPUTED_VALUE"""),2385.4190124226334)</f>
        <v>2385.419012</v>
      </c>
      <c r="CB17" s="156">
        <f>IFERROR(__xludf.DUMMYFUNCTION("""COMPUTED_VALUE"""),2403.630532092215)</f>
        <v>2403.630532</v>
      </c>
      <c r="CC17" s="156">
        <f>IFERROR(__xludf.DUMMYFUNCTION("""COMPUTED_VALUE"""),1845.8188534762971)</f>
        <v>1845.818853</v>
      </c>
      <c r="CD17" s="156">
        <f>IFERROR(__xludf.DUMMYFUNCTION("""COMPUTED_VALUE"""),3034.451614426188)</f>
        <v>3034.451614</v>
      </c>
      <c r="CE17" s="156">
        <f>IFERROR(__xludf.DUMMYFUNCTION("""COMPUTED_VALUE"""),5055.610390921246)</f>
        <v>5055.610391</v>
      </c>
      <c r="CF17" s="156">
        <f>IFERROR(__xludf.DUMMYFUNCTION("""COMPUTED_VALUE"""),2654.763716825555)</f>
        <v>2654.763717</v>
      </c>
      <c r="CG17" s="156">
        <f>IFERROR(__xludf.DUMMYFUNCTION("""COMPUTED_VALUE"""),2524.772120585085)</f>
        <v>2524.772121</v>
      </c>
      <c r="CH17" s="156">
        <f>IFERROR(__xludf.DUMMYFUNCTION("""COMPUTED_VALUE"""),1876.4586352552517)</f>
        <v>1876.458635</v>
      </c>
      <c r="CI17" s="156">
        <f>IFERROR(__xludf.DUMMYFUNCTION("""COMPUTED_VALUE"""),2260.612888616818)</f>
        <v>2260.612889</v>
      </c>
      <c r="CJ17" s="156">
        <f>IFERROR(__xludf.DUMMYFUNCTION("""COMPUTED_VALUE"""),2451.8910289656123)</f>
        <v>2451.891029</v>
      </c>
      <c r="CK17" s="156">
        <f>IFERROR(__xludf.DUMMYFUNCTION("""COMPUTED_VALUE"""),2083.435434271257)</f>
        <v>2083.435434</v>
      </c>
      <c r="CL17" s="157">
        <f>IFERROR(__xludf.DUMMYFUNCTION("""COMPUTED_VALUE"""),4955.125008216966)</f>
        <v>4955.125008</v>
      </c>
      <c r="CM17" s="141">
        <f>IFERROR(__xludf.DUMMYFUNCTION("""COMPUTED_VALUE"""),6514.736768384144)</f>
        <v>6514.736768</v>
      </c>
    </row>
    <row r="18">
      <c r="B18" s="120" t="s">
        <v>144</v>
      </c>
      <c r="C18" s="122"/>
      <c r="D18" s="158"/>
      <c r="E18" s="159"/>
      <c r="F18" s="159"/>
      <c r="G18" s="159"/>
      <c r="H18" s="159"/>
      <c r="I18" s="159"/>
      <c r="J18" s="159"/>
      <c r="K18" s="159"/>
      <c r="L18" s="160"/>
      <c r="M18" s="160"/>
      <c r="N18" s="160"/>
      <c r="O18" s="160"/>
      <c r="P18" s="160"/>
      <c r="Q18" s="160"/>
      <c r="R18" s="160"/>
      <c r="S18" s="160"/>
      <c r="T18" s="160"/>
      <c r="U18" s="160"/>
      <c r="V18" s="160"/>
      <c r="W18" s="160"/>
      <c r="X18" s="160"/>
      <c r="Y18" s="160"/>
      <c r="Z18" s="160"/>
      <c r="AA18" s="160"/>
      <c r="AB18" s="160"/>
      <c r="AC18" s="160"/>
      <c r="AD18" s="161"/>
      <c r="AE18" s="161"/>
      <c r="AF18" s="161"/>
      <c r="AG18" s="161"/>
      <c r="AH18" s="161"/>
      <c r="AI18" s="161"/>
      <c r="AJ18" s="161"/>
      <c r="AK18" s="161"/>
      <c r="AL18" s="161"/>
      <c r="AM18" s="161"/>
      <c r="AN18" s="161"/>
      <c r="AO18" s="161"/>
      <c r="AP18" s="161"/>
      <c r="AQ18" s="161"/>
      <c r="AR18" s="161"/>
      <c r="AS18" s="161"/>
      <c r="AT18" s="161"/>
      <c r="AU18" s="161"/>
      <c r="AV18" s="161"/>
      <c r="AW18" s="161"/>
      <c r="AX18" s="161"/>
      <c r="AY18" s="161"/>
      <c r="AZ18" s="161"/>
      <c r="BA18" s="161"/>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3"/>
    </row>
    <row r="19">
      <c r="B19" s="130"/>
      <c r="C19" s="131" t="s">
        <v>136</v>
      </c>
      <c r="D19" s="164">
        <v>116.25</v>
      </c>
      <c r="E19" s="53">
        <v>116.25</v>
      </c>
      <c r="F19" s="53">
        <v>116.25</v>
      </c>
      <c r="G19" s="53">
        <v>116.25</v>
      </c>
      <c r="H19" s="53">
        <v>116.25</v>
      </c>
      <c r="I19" s="53">
        <v>116.25</v>
      </c>
      <c r="J19" s="53">
        <v>116.25</v>
      </c>
      <c r="K19" s="53">
        <v>116.25</v>
      </c>
      <c r="L19" s="53">
        <v>116.25</v>
      </c>
      <c r="M19" s="53">
        <v>116.25</v>
      </c>
      <c r="N19" s="53">
        <v>116.25</v>
      </c>
      <c r="O19" s="53">
        <v>116.25</v>
      </c>
      <c r="P19" s="53">
        <v>116.25</v>
      </c>
      <c r="Q19" s="53">
        <v>116.25</v>
      </c>
      <c r="R19" s="53">
        <v>116.25</v>
      </c>
      <c r="S19" s="53">
        <v>116.25</v>
      </c>
      <c r="T19" s="53">
        <v>116.25</v>
      </c>
      <c r="U19" s="53">
        <v>116.25</v>
      </c>
      <c r="V19" s="53">
        <v>116.25</v>
      </c>
      <c r="W19" s="53">
        <v>116.25</v>
      </c>
      <c r="X19" s="53">
        <v>116.25</v>
      </c>
      <c r="Y19" s="53">
        <v>116.25</v>
      </c>
      <c r="Z19" s="53">
        <v>116.25</v>
      </c>
      <c r="AA19" s="53">
        <v>116.25</v>
      </c>
      <c r="AB19" s="53">
        <v>116.25</v>
      </c>
      <c r="AC19" s="53">
        <v>116.25</v>
      </c>
      <c r="AD19" s="53">
        <v>118.73</v>
      </c>
      <c r="AE19" s="53">
        <v>118.73</v>
      </c>
      <c r="AF19" s="53">
        <v>118.73</v>
      </c>
      <c r="AG19" s="53">
        <v>118.73</v>
      </c>
      <c r="AH19" s="53">
        <v>118.73</v>
      </c>
      <c r="AI19" s="53">
        <v>118.73</v>
      </c>
      <c r="AJ19" s="53">
        <v>118.73</v>
      </c>
      <c r="AK19" s="53">
        <v>118.73</v>
      </c>
      <c r="AL19" s="53">
        <v>118.73</v>
      </c>
      <c r="AM19" s="53">
        <v>118.73</v>
      </c>
      <c r="AN19" s="53">
        <v>118.73</v>
      </c>
      <c r="AO19" s="53">
        <v>118.73</v>
      </c>
      <c r="AP19" s="53">
        <v>118.73</v>
      </c>
      <c r="AQ19" s="53">
        <v>118.73</v>
      </c>
      <c r="AR19" s="53">
        <v>118.73</v>
      </c>
      <c r="AS19" s="53">
        <v>118.73</v>
      </c>
      <c r="AT19" s="53">
        <v>118.73</v>
      </c>
      <c r="AU19" s="53">
        <v>118.73</v>
      </c>
      <c r="AV19" s="53">
        <v>118.73</v>
      </c>
      <c r="AW19" s="53">
        <v>118.73</v>
      </c>
      <c r="AX19" s="53">
        <v>118.73</v>
      </c>
      <c r="AY19" s="53">
        <v>118.73</v>
      </c>
      <c r="AZ19" s="53">
        <v>118.73</v>
      </c>
      <c r="BA19" s="53">
        <v>118.73</v>
      </c>
      <c r="BB19" s="53">
        <v>116.25</v>
      </c>
      <c r="BC19" s="53">
        <v>116.25</v>
      </c>
      <c r="BD19" s="53">
        <v>116.25</v>
      </c>
      <c r="BE19" s="53">
        <v>116.25</v>
      </c>
      <c r="BF19" s="53">
        <v>116.25</v>
      </c>
      <c r="BG19" s="53">
        <v>116.25</v>
      </c>
      <c r="BH19" s="53">
        <v>116.25</v>
      </c>
      <c r="BI19" s="53">
        <v>116.25</v>
      </c>
      <c r="BJ19" s="53">
        <v>116.25</v>
      </c>
      <c r="BK19" s="53">
        <v>116.25</v>
      </c>
      <c r="BL19" s="53">
        <v>116.25</v>
      </c>
      <c r="BM19" s="53">
        <v>116.25</v>
      </c>
      <c r="BN19" s="53">
        <v>116.25</v>
      </c>
      <c r="BO19" s="53">
        <v>116.25</v>
      </c>
      <c r="BP19" s="53">
        <v>116.25</v>
      </c>
      <c r="BQ19" s="53">
        <v>116.25</v>
      </c>
      <c r="BR19" s="53">
        <v>116.25</v>
      </c>
      <c r="BS19" s="53">
        <v>116.25</v>
      </c>
      <c r="BT19" s="53">
        <v>116.25</v>
      </c>
      <c r="BU19" s="53">
        <v>116.25</v>
      </c>
      <c r="BV19" s="53">
        <v>116.25</v>
      </c>
      <c r="BW19" s="53">
        <v>116.25</v>
      </c>
      <c r="BX19" s="53">
        <v>116.25</v>
      </c>
      <c r="BY19" s="53">
        <v>116.25</v>
      </c>
      <c r="BZ19" s="53">
        <v>116.25</v>
      </c>
      <c r="CA19" s="53">
        <v>116.25</v>
      </c>
      <c r="CB19" s="53">
        <v>116.25</v>
      </c>
      <c r="CC19" s="53">
        <v>116.25</v>
      </c>
      <c r="CD19" s="53">
        <v>116.25</v>
      </c>
      <c r="CE19" s="53">
        <v>116.25</v>
      </c>
      <c r="CF19" s="53">
        <v>116.25</v>
      </c>
      <c r="CG19" s="53">
        <v>116.25</v>
      </c>
      <c r="CH19" s="53">
        <v>116.25</v>
      </c>
      <c r="CI19" s="53">
        <v>116.25</v>
      </c>
      <c r="CJ19" s="53">
        <v>116.25</v>
      </c>
      <c r="CK19" s="53">
        <v>116.25</v>
      </c>
      <c r="CL19" s="165">
        <v>116.25</v>
      </c>
    </row>
    <row r="20">
      <c r="B20" s="130"/>
      <c r="C20" s="142" t="s">
        <v>139</v>
      </c>
      <c r="D20" s="166">
        <v>73.19</v>
      </c>
      <c r="E20" s="69">
        <v>73.19</v>
      </c>
      <c r="F20" s="69">
        <v>73.19</v>
      </c>
      <c r="G20" s="69">
        <v>73.19</v>
      </c>
      <c r="H20" s="69">
        <v>73.19</v>
      </c>
      <c r="I20" s="69">
        <v>73.19</v>
      </c>
      <c r="J20" s="69">
        <v>73.19</v>
      </c>
      <c r="K20" s="69">
        <v>73.19</v>
      </c>
      <c r="L20" s="69">
        <v>73.19</v>
      </c>
      <c r="M20" s="69">
        <v>73.19</v>
      </c>
      <c r="N20" s="69">
        <v>73.19</v>
      </c>
      <c r="O20" s="69">
        <v>73.19</v>
      </c>
      <c r="P20" s="69">
        <v>73.19</v>
      </c>
      <c r="Q20" s="69">
        <v>73.19</v>
      </c>
      <c r="R20" s="69">
        <v>73.19</v>
      </c>
      <c r="S20" s="69">
        <v>73.19</v>
      </c>
      <c r="T20" s="69">
        <v>73.19</v>
      </c>
      <c r="U20" s="69">
        <v>73.19</v>
      </c>
      <c r="V20" s="69">
        <v>73.19</v>
      </c>
      <c r="W20" s="69">
        <v>73.19</v>
      </c>
      <c r="X20" s="69">
        <v>73.19</v>
      </c>
      <c r="Y20" s="69">
        <v>73.19</v>
      </c>
      <c r="Z20" s="69">
        <v>73.19</v>
      </c>
      <c r="AA20" s="69">
        <v>73.19</v>
      </c>
      <c r="AB20" s="69">
        <v>73.19</v>
      </c>
      <c r="AC20" s="69">
        <v>73.19</v>
      </c>
      <c r="AD20" s="69">
        <v>73.19</v>
      </c>
      <c r="AE20" s="69">
        <v>73.19</v>
      </c>
      <c r="AF20" s="69">
        <v>73.19</v>
      </c>
      <c r="AG20" s="69">
        <v>73.19</v>
      </c>
      <c r="AH20" s="69">
        <v>73.19</v>
      </c>
      <c r="AI20" s="69">
        <v>73.19</v>
      </c>
      <c r="AJ20" s="69">
        <v>73.19</v>
      </c>
      <c r="AK20" s="69">
        <v>73.19</v>
      </c>
      <c r="AL20" s="69">
        <v>73.19</v>
      </c>
      <c r="AM20" s="69">
        <v>73.19</v>
      </c>
      <c r="AN20" s="69">
        <v>73.19</v>
      </c>
      <c r="AO20" s="69">
        <v>73.19</v>
      </c>
      <c r="AP20" s="69">
        <v>73.19</v>
      </c>
      <c r="AQ20" s="69">
        <v>73.19</v>
      </c>
      <c r="AR20" s="69">
        <v>73.19</v>
      </c>
      <c r="AS20" s="69">
        <v>73.19</v>
      </c>
      <c r="AT20" s="69">
        <v>73.19</v>
      </c>
      <c r="AU20" s="69">
        <v>73.19</v>
      </c>
      <c r="AV20" s="69">
        <v>73.19</v>
      </c>
      <c r="AW20" s="69">
        <v>73.19</v>
      </c>
      <c r="AX20" s="69">
        <v>73.19</v>
      </c>
      <c r="AY20" s="69">
        <v>73.19</v>
      </c>
      <c r="AZ20" s="69">
        <v>73.19</v>
      </c>
      <c r="BA20" s="69">
        <v>73.19</v>
      </c>
      <c r="BB20" s="69">
        <v>73.19</v>
      </c>
      <c r="BC20" s="69">
        <v>73.19</v>
      </c>
      <c r="BD20" s="69">
        <v>73.19</v>
      </c>
      <c r="BE20" s="69">
        <v>73.19</v>
      </c>
      <c r="BF20" s="69">
        <v>73.19</v>
      </c>
      <c r="BG20" s="69">
        <v>73.19</v>
      </c>
      <c r="BH20" s="69">
        <v>73.19</v>
      </c>
      <c r="BI20" s="69">
        <v>73.19</v>
      </c>
      <c r="BJ20" s="69">
        <v>73.19</v>
      </c>
      <c r="BK20" s="69">
        <v>73.19</v>
      </c>
      <c r="BL20" s="69">
        <v>73.19</v>
      </c>
      <c r="BM20" s="69">
        <v>73.19</v>
      </c>
      <c r="BN20" s="69">
        <v>73.19</v>
      </c>
      <c r="BO20" s="69">
        <v>73.19</v>
      </c>
      <c r="BP20" s="69">
        <v>73.19</v>
      </c>
      <c r="BQ20" s="69">
        <v>73.19</v>
      </c>
      <c r="BR20" s="69">
        <v>73.19</v>
      </c>
      <c r="BS20" s="69">
        <v>73.19</v>
      </c>
      <c r="BT20" s="69">
        <v>73.19</v>
      </c>
      <c r="BU20" s="69">
        <v>73.19</v>
      </c>
      <c r="BV20" s="69">
        <v>73.19</v>
      </c>
      <c r="BW20" s="69">
        <v>73.19</v>
      </c>
      <c r="BX20" s="69">
        <v>73.19</v>
      </c>
      <c r="BY20" s="69">
        <v>73.19</v>
      </c>
      <c r="BZ20" s="69">
        <v>73.19</v>
      </c>
      <c r="CA20" s="69">
        <v>73.19</v>
      </c>
      <c r="CB20" s="69">
        <v>73.19</v>
      </c>
      <c r="CC20" s="69">
        <v>73.19</v>
      </c>
      <c r="CD20" s="69">
        <v>73.19</v>
      </c>
      <c r="CE20" s="69">
        <v>73.19</v>
      </c>
      <c r="CF20" s="69">
        <v>73.19</v>
      </c>
      <c r="CG20" s="69">
        <v>73.19</v>
      </c>
      <c r="CH20" s="69">
        <v>73.19</v>
      </c>
      <c r="CI20" s="69">
        <v>73.19</v>
      </c>
      <c r="CJ20" s="69">
        <v>73.19</v>
      </c>
      <c r="CK20" s="69">
        <v>73.19</v>
      </c>
      <c r="CL20" s="167">
        <v>73.1899999999999</v>
      </c>
    </row>
    <row r="21">
      <c r="B21" s="130"/>
      <c r="C21" s="142" t="s">
        <v>140</v>
      </c>
      <c r="D21" s="166">
        <v>133.7</v>
      </c>
      <c r="E21" s="69">
        <v>133.7</v>
      </c>
      <c r="F21" s="69">
        <v>133.7</v>
      </c>
      <c r="G21" s="69">
        <v>133.7</v>
      </c>
      <c r="H21" s="69">
        <v>133.7</v>
      </c>
      <c r="I21" s="69">
        <v>133.7</v>
      </c>
      <c r="J21" s="69">
        <v>133.7</v>
      </c>
      <c r="K21" s="69">
        <v>133.7</v>
      </c>
      <c r="L21" s="69">
        <v>133.7</v>
      </c>
      <c r="M21" s="69">
        <v>133.7</v>
      </c>
      <c r="N21" s="69">
        <v>133.7</v>
      </c>
      <c r="O21" s="69">
        <v>133.7</v>
      </c>
      <c r="P21" s="69">
        <v>133.7</v>
      </c>
      <c r="Q21" s="69">
        <v>133.7</v>
      </c>
      <c r="R21" s="69">
        <v>133.7</v>
      </c>
      <c r="S21" s="69">
        <v>133.7</v>
      </c>
      <c r="T21" s="69">
        <v>133.7</v>
      </c>
      <c r="U21" s="69">
        <v>133.7</v>
      </c>
      <c r="V21" s="69">
        <v>133.7</v>
      </c>
      <c r="W21" s="69">
        <v>133.7</v>
      </c>
      <c r="X21" s="69">
        <v>133.7</v>
      </c>
      <c r="Y21" s="69">
        <v>133.7</v>
      </c>
      <c r="Z21" s="69">
        <v>133.7</v>
      </c>
      <c r="AA21" s="69">
        <v>133.7</v>
      </c>
      <c r="AB21" s="69">
        <v>133.7</v>
      </c>
      <c r="AC21" s="69">
        <v>133.7</v>
      </c>
      <c r="AD21" s="69">
        <v>133.7</v>
      </c>
      <c r="AE21" s="69">
        <v>133.7</v>
      </c>
      <c r="AF21" s="69">
        <v>133.7</v>
      </c>
      <c r="AG21" s="69">
        <v>133.7</v>
      </c>
      <c r="AH21" s="69">
        <v>133.7</v>
      </c>
      <c r="AI21" s="69">
        <v>133.7</v>
      </c>
      <c r="AJ21" s="69">
        <v>133.7</v>
      </c>
      <c r="AK21" s="69">
        <v>133.7</v>
      </c>
      <c r="AL21" s="69">
        <v>133.7</v>
      </c>
      <c r="AM21" s="69">
        <v>133.7</v>
      </c>
      <c r="AN21" s="69">
        <v>133.7</v>
      </c>
      <c r="AO21" s="69">
        <v>133.7</v>
      </c>
      <c r="AP21" s="69">
        <v>133.7</v>
      </c>
      <c r="AQ21" s="69">
        <v>133.7</v>
      </c>
      <c r="AR21" s="69">
        <v>133.7</v>
      </c>
      <c r="AS21" s="69">
        <v>133.7</v>
      </c>
      <c r="AT21" s="69">
        <v>133.7</v>
      </c>
      <c r="AU21" s="69">
        <v>133.7</v>
      </c>
      <c r="AV21" s="69">
        <v>133.7</v>
      </c>
      <c r="AW21" s="69">
        <v>133.7</v>
      </c>
      <c r="AX21" s="69">
        <v>133.7</v>
      </c>
      <c r="AY21" s="69">
        <v>133.7</v>
      </c>
      <c r="AZ21" s="69">
        <v>133.7</v>
      </c>
      <c r="BA21" s="69">
        <v>133.7</v>
      </c>
      <c r="BB21" s="69">
        <v>133.7</v>
      </c>
      <c r="BC21" s="69">
        <v>133.7</v>
      </c>
      <c r="BD21" s="69">
        <v>133.7</v>
      </c>
      <c r="BE21" s="69">
        <v>133.7</v>
      </c>
      <c r="BF21" s="69">
        <v>133.7</v>
      </c>
      <c r="BG21" s="69">
        <v>133.7</v>
      </c>
      <c r="BH21" s="69">
        <v>133.7</v>
      </c>
      <c r="BI21" s="69">
        <v>133.7</v>
      </c>
      <c r="BJ21" s="69">
        <v>133.7</v>
      </c>
      <c r="BK21" s="69">
        <v>133.7</v>
      </c>
      <c r="BL21" s="69">
        <v>133.7</v>
      </c>
      <c r="BM21" s="69">
        <v>133.7</v>
      </c>
      <c r="BN21" s="69">
        <v>133.7</v>
      </c>
      <c r="BO21" s="69">
        <v>133.7</v>
      </c>
      <c r="BP21" s="69">
        <v>133.7</v>
      </c>
      <c r="BQ21" s="69">
        <v>133.7</v>
      </c>
      <c r="BR21" s="69">
        <v>133.7</v>
      </c>
      <c r="BS21" s="69">
        <v>133.7</v>
      </c>
      <c r="BT21" s="69">
        <v>133.7</v>
      </c>
      <c r="BU21" s="69">
        <v>133.7</v>
      </c>
      <c r="BV21" s="69">
        <v>133.7</v>
      </c>
      <c r="BW21" s="69">
        <v>133.7</v>
      </c>
      <c r="BX21" s="69">
        <v>133.7</v>
      </c>
      <c r="BY21" s="69">
        <v>133.7</v>
      </c>
      <c r="BZ21" s="69">
        <v>133.7</v>
      </c>
      <c r="CA21" s="69">
        <v>133.7</v>
      </c>
      <c r="CB21" s="69">
        <v>133.7</v>
      </c>
      <c r="CC21" s="69">
        <v>133.7</v>
      </c>
      <c r="CD21" s="69">
        <v>133.7</v>
      </c>
      <c r="CE21" s="69">
        <v>133.7</v>
      </c>
      <c r="CF21" s="69">
        <v>133.7</v>
      </c>
      <c r="CG21" s="69">
        <v>133.7</v>
      </c>
      <c r="CH21" s="69">
        <v>133.7</v>
      </c>
      <c r="CI21" s="69">
        <v>133.7</v>
      </c>
      <c r="CJ21" s="69">
        <v>133.7</v>
      </c>
      <c r="CK21" s="69">
        <v>133.7</v>
      </c>
      <c r="CL21" s="167">
        <v>133.7</v>
      </c>
    </row>
    <row r="22">
      <c r="B22" s="130"/>
      <c r="C22" s="142" t="s">
        <v>141</v>
      </c>
      <c r="D22" s="166">
        <v>103.59</v>
      </c>
      <c r="E22" s="69">
        <v>103.59</v>
      </c>
      <c r="F22" s="69">
        <v>103.59</v>
      </c>
      <c r="G22" s="69">
        <v>103.59</v>
      </c>
      <c r="H22" s="69">
        <v>103.59</v>
      </c>
      <c r="I22" s="69">
        <v>103.59</v>
      </c>
      <c r="J22" s="69">
        <v>103.59</v>
      </c>
      <c r="K22" s="69">
        <v>103.59</v>
      </c>
      <c r="L22" s="69">
        <v>103.59</v>
      </c>
      <c r="M22" s="69">
        <v>103.59</v>
      </c>
      <c r="N22" s="69">
        <v>103.59</v>
      </c>
      <c r="O22" s="69">
        <v>103.59</v>
      </c>
      <c r="P22" s="69">
        <v>103.59</v>
      </c>
      <c r="Q22" s="69">
        <v>103.59</v>
      </c>
      <c r="R22" s="69">
        <v>103.59</v>
      </c>
      <c r="S22" s="69">
        <v>103.59</v>
      </c>
      <c r="T22" s="69">
        <v>103.59</v>
      </c>
      <c r="U22" s="69">
        <v>103.59</v>
      </c>
      <c r="V22" s="69">
        <v>103.59</v>
      </c>
      <c r="W22" s="69">
        <v>103.59</v>
      </c>
      <c r="X22" s="69">
        <v>103.59</v>
      </c>
      <c r="Y22" s="69">
        <v>103.59</v>
      </c>
      <c r="Z22" s="69">
        <v>103.59</v>
      </c>
      <c r="AA22" s="69">
        <v>103.59</v>
      </c>
      <c r="AB22" s="69">
        <v>103.59</v>
      </c>
      <c r="AC22" s="69">
        <v>103.59</v>
      </c>
      <c r="AD22" s="69">
        <v>103.59</v>
      </c>
      <c r="AE22" s="69">
        <v>103.59</v>
      </c>
      <c r="AF22" s="69">
        <v>103.59</v>
      </c>
      <c r="AG22" s="69">
        <v>103.59</v>
      </c>
      <c r="AH22" s="69">
        <v>103.59</v>
      </c>
      <c r="AI22" s="69">
        <v>103.59</v>
      </c>
      <c r="AJ22" s="69">
        <v>103.59</v>
      </c>
      <c r="AK22" s="69">
        <v>103.59</v>
      </c>
      <c r="AL22" s="69">
        <v>103.59</v>
      </c>
      <c r="AM22" s="69">
        <v>103.59</v>
      </c>
      <c r="AN22" s="69">
        <v>103.59</v>
      </c>
      <c r="AO22" s="69">
        <v>103.59</v>
      </c>
      <c r="AP22" s="69">
        <v>103.59</v>
      </c>
      <c r="AQ22" s="69">
        <v>103.59</v>
      </c>
      <c r="AR22" s="69">
        <v>103.59</v>
      </c>
      <c r="AS22" s="69">
        <v>103.59</v>
      </c>
      <c r="AT22" s="69">
        <v>103.59</v>
      </c>
      <c r="AU22" s="69">
        <v>103.59</v>
      </c>
      <c r="AV22" s="69">
        <v>103.59</v>
      </c>
      <c r="AW22" s="69">
        <v>103.59</v>
      </c>
      <c r="AX22" s="69">
        <v>103.59</v>
      </c>
      <c r="AY22" s="69">
        <v>103.59</v>
      </c>
      <c r="AZ22" s="69">
        <v>103.59</v>
      </c>
      <c r="BA22" s="69">
        <v>103.59</v>
      </c>
      <c r="BB22" s="69">
        <v>103.59</v>
      </c>
      <c r="BC22" s="69">
        <v>103.59</v>
      </c>
      <c r="BD22" s="69">
        <v>103.59</v>
      </c>
      <c r="BE22" s="69">
        <v>103.59</v>
      </c>
      <c r="BF22" s="69">
        <v>103.59</v>
      </c>
      <c r="BG22" s="69">
        <v>103.59</v>
      </c>
      <c r="BH22" s="69">
        <v>103.59</v>
      </c>
      <c r="BI22" s="69">
        <v>103.59</v>
      </c>
      <c r="BJ22" s="69">
        <v>103.59</v>
      </c>
      <c r="BK22" s="69">
        <v>103.59</v>
      </c>
      <c r="BL22" s="69">
        <v>103.59</v>
      </c>
      <c r="BM22" s="69">
        <v>103.59</v>
      </c>
      <c r="BN22" s="69">
        <v>103.59</v>
      </c>
      <c r="BO22" s="69">
        <v>103.59</v>
      </c>
      <c r="BP22" s="69">
        <v>103.59</v>
      </c>
      <c r="BQ22" s="69">
        <v>103.59</v>
      </c>
      <c r="BR22" s="69">
        <v>103.59</v>
      </c>
      <c r="BS22" s="69">
        <v>103.59</v>
      </c>
      <c r="BT22" s="69">
        <v>103.59</v>
      </c>
      <c r="BU22" s="69">
        <v>103.59</v>
      </c>
      <c r="BV22" s="69">
        <v>103.59</v>
      </c>
      <c r="BW22" s="69">
        <v>103.59</v>
      </c>
      <c r="BX22" s="69">
        <v>103.59</v>
      </c>
      <c r="BY22" s="69">
        <v>103.59</v>
      </c>
      <c r="BZ22" s="69">
        <v>103.59</v>
      </c>
      <c r="CA22" s="69">
        <v>103.59</v>
      </c>
      <c r="CB22" s="69">
        <v>103.59</v>
      </c>
      <c r="CC22" s="69">
        <v>103.59</v>
      </c>
      <c r="CD22" s="69">
        <v>103.59</v>
      </c>
      <c r="CE22" s="69">
        <v>103.59</v>
      </c>
      <c r="CF22" s="69">
        <v>103.59</v>
      </c>
      <c r="CG22" s="69">
        <v>103.59</v>
      </c>
      <c r="CH22" s="69">
        <v>103.59</v>
      </c>
      <c r="CI22" s="69">
        <v>103.59</v>
      </c>
      <c r="CJ22" s="69">
        <v>103.59</v>
      </c>
      <c r="CK22" s="69">
        <v>103.59</v>
      </c>
      <c r="CL22" s="167">
        <v>103.59</v>
      </c>
    </row>
    <row r="23">
      <c r="B23" s="130"/>
      <c r="C23" s="142" t="s">
        <v>142</v>
      </c>
      <c r="D23" s="166">
        <v>42.44</v>
      </c>
      <c r="E23" s="69">
        <v>42.44</v>
      </c>
      <c r="F23" s="69">
        <v>42.44</v>
      </c>
      <c r="G23" s="69">
        <v>42.44</v>
      </c>
      <c r="H23" s="69">
        <v>42.44</v>
      </c>
      <c r="I23" s="69">
        <v>42.44</v>
      </c>
      <c r="J23" s="69">
        <v>42.44</v>
      </c>
      <c r="K23" s="69">
        <v>42.44</v>
      </c>
      <c r="L23" s="69">
        <v>42.44</v>
      </c>
      <c r="M23" s="69">
        <v>42.44</v>
      </c>
      <c r="N23" s="69">
        <v>42.44</v>
      </c>
      <c r="O23" s="69">
        <v>42.44</v>
      </c>
      <c r="P23" s="69">
        <v>42.44</v>
      </c>
      <c r="Q23" s="69">
        <v>42.44</v>
      </c>
      <c r="R23" s="69">
        <v>42.44</v>
      </c>
      <c r="S23" s="69">
        <v>42.44</v>
      </c>
      <c r="T23" s="69">
        <v>42.44</v>
      </c>
      <c r="U23" s="69">
        <v>42.44</v>
      </c>
      <c r="V23" s="69">
        <v>42.44</v>
      </c>
      <c r="W23" s="69">
        <v>42.44</v>
      </c>
      <c r="X23" s="69">
        <v>42.44</v>
      </c>
      <c r="Y23" s="69">
        <v>42.44</v>
      </c>
      <c r="Z23" s="69">
        <v>42.44</v>
      </c>
      <c r="AA23" s="69">
        <v>42.44</v>
      </c>
      <c r="AB23" s="69">
        <v>42.44</v>
      </c>
      <c r="AC23" s="69">
        <v>42.44</v>
      </c>
      <c r="AD23" s="69">
        <v>42.44</v>
      </c>
      <c r="AE23" s="69">
        <v>42.44</v>
      </c>
      <c r="AF23" s="69">
        <v>42.44</v>
      </c>
      <c r="AG23" s="69">
        <v>42.44</v>
      </c>
      <c r="AH23" s="69">
        <v>42.44</v>
      </c>
      <c r="AI23" s="69">
        <v>42.44</v>
      </c>
      <c r="AJ23" s="69">
        <v>42.44</v>
      </c>
      <c r="AK23" s="69">
        <v>42.44</v>
      </c>
      <c r="AL23" s="69">
        <v>42.44</v>
      </c>
      <c r="AM23" s="69">
        <v>42.44</v>
      </c>
      <c r="AN23" s="69">
        <v>42.44</v>
      </c>
      <c r="AO23" s="69">
        <v>42.44</v>
      </c>
      <c r="AP23" s="69">
        <v>42.44</v>
      </c>
      <c r="AQ23" s="69">
        <v>42.44</v>
      </c>
      <c r="AR23" s="69">
        <v>42.44</v>
      </c>
      <c r="AS23" s="69">
        <v>42.44</v>
      </c>
      <c r="AT23" s="69">
        <v>42.44</v>
      </c>
      <c r="AU23" s="69">
        <v>42.44</v>
      </c>
      <c r="AV23" s="69">
        <v>42.44</v>
      </c>
      <c r="AW23" s="69">
        <v>42.44</v>
      </c>
      <c r="AX23" s="69">
        <v>42.44</v>
      </c>
      <c r="AY23" s="69">
        <v>42.44</v>
      </c>
      <c r="AZ23" s="69">
        <v>42.44</v>
      </c>
      <c r="BA23" s="69">
        <v>42.44</v>
      </c>
      <c r="BB23" s="69">
        <v>42.44</v>
      </c>
      <c r="BC23" s="69">
        <v>42.44</v>
      </c>
      <c r="BD23" s="69">
        <v>42.44</v>
      </c>
      <c r="BE23" s="69">
        <v>42.44</v>
      </c>
      <c r="BF23" s="69">
        <v>42.44</v>
      </c>
      <c r="BG23" s="69">
        <v>42.44</v>
      </c>
      <c r="BH23" s="69">
        <v>42.44</v>
      </c>
      <c r="BI23" s="69">
        <v>42.44</v>
      </c>
      <c r="BJ23" s="69">
        <v>42.44</v>
      </c>
      <c r="BK23" s="69">
        <v>42.44</v>
      </c>
      <c r="BL23" s="69">
        <v>42.44</v>
      </c>
      <c r="BM23" s="69">
        <v>42.44</v>
      </c>
      <c r="BN23" s="69">
        <v>42.44</v>
      </c>
      <c r="BO23" s="69">
        <v>42.44</v>
      </c>
      <c r="BP23" s="69">
        <v>42.44</v>
      </c>
      <c r="BQ23" s="69">
        <v>42.44</v>
      </c>
      <c r="BR23" s="69">
        <v>42.44</v>
      </c>
      <c r="BS23" s="69">
        <v>42.44</v>
      </c>
      <c r="BT23" s="69">
        <v>42.44</v>
      </c>
      <c r="BU23" s="69">
        <v>42.44</v>
      </c>
      <c r="BV23" s="69">
        <v>42.44</v>
      </c>
      <c r="BW23" s="69">
        <v>42.44</v>
      </c>
      <c r="BX23" s="69">
        <v>42.44</v>
      </c>
      <c r="BY23" s="69">
        <v>42.44</v>
      </c>
      <c r="BZ23" s="69">
        <v>42.44</v>
      </c>
      <c r="CA23" s="69">
        <v>42.44</v>
      </c>
      <c r="CB23" s="69">
        <v>42.44</v>
      </c>
      <c r="CC23" s="69">
        <v>42.44</v>
      </c>
      <c r="CD23" s="69">
        <v>42.44</v>
      </c>
      <c r="CE23" s="69">
        <v>42.44</v>
      </c>
      <c r="CF23" s="69">
        <v>42.44</v>
      </c>
      <c r="CG23" s="69">
        <v>42.44</v>
      </c>
      <c r="CH23" s="69">
        <v>42.44</v>
      </c>
      <c r="CI23" s="69">
        <v>42.44</v>
      </c>
      <c r="CJ23" s="69">
        <v>42.44</v>
      </c>
      <c r="CK23" s="69">
        <v>42.44</v>
      </c>
      <c r="CL23" s="167">
        <v>42.4399999999999</v>
      </c>
    </row>
    <row r="24">
      <c r="B24" s="130"/>
      <c r="C24" s="154" t="s">
        <v>143</v>
      </c>
      <c r="D24" s="168">
        <v>1.4427</v>
      </c>
      <c r="E24" s="169">
        <v>1.4427</v>
      </c>
      <c r="F24" s="169">
        <v>1.4427</v>
      </c>
      <c r="G24" s="169">
        <v>1.4427</v>
      </c>
      <c r="H24" s="169">
        <v>1.4427</v>
      </c>
      <c r="I24" s="169">
        <v>1.4427</v>
      </c>
      <c r="J24" s="169">
        <v>1.4427</v>
      </c>
      <c r="K24" s="169">
        <v>1.4427</v>
      </c>
      <c r="L24" s="169">
        <v>1.4427</v>
      </c>
      <c r="M24" s="169">
        <v>1.4427</v>
      </c>
      <c r="N24" s="169">
        <v>1.4427</v>
      </c>
      <c r="O24" s="169">
        <v>1.4427</v>
      </c>
      <c r="P24" s="169">
        <v>1.4427</v>
      </c>
      <c r="Q24" s="169">
        <v>1.4427</v>
      </c>
      <c r="R24" s="169">
        <v>1.4427</v>
      </c>
      <c r="S24" s="169">
        <v>1.4427</v>
      </c>
      <c r="T24" s="169">
        <v>1.4427</v>
      </c>
      <c r="U24" s="169">
        <v>1.4427</v>
      </c>
      <c r="V24" s="169">
        <v>1.4427</v>
      </c>
      <c r="W24" s="169">
        <v>1.4427</v>
      </c>
      <c r="X24" s="169">
        <v>1.4427</v>
      </c>
      <c r="Y24" s="169">
        <v>1.4427</v>
      </c>
      <c r="Z24" s="169">
        <v>1.4427</v>
      </c>
      <c r="AA24" s="169">
        <v>1.4427</v>
      </c>
      <c r="AB24" s="169">
        <v>1.4427</v>
      </c>
      <c r="AC24" s="169">
        <v>1.4427</v>
      </c>
      <c r="AD24" s="169">
        <v>1.4427</v>
      </c>
      <c r="AE24" s="169">
        <v>1.4427</v>
      </c>
      <c r="AF24" s="169">
        <v>1.4427</v>
      </c>
      <c r="AG24" s="169">
        <v>1.4427</v>
      </c>
      <c r="AH24" s="169">
        <v>1.4427</v>
      </c>
      <c r="AI24" s="169">
        <v>1.4427</v>
      </c>
      <c r="AJ24" s="169">
        <v>1.4427</v>
      </c>
      <c r="AK24" s="169">
        <v>1.4427</v>
      </c>
      <c r="AL24" s="169">
        <v>1.4427</v>
      </c>
      <c r="AM24" s="169">
        <v>1.4427</v>
      </c>
      <c r="AN24" s="169">
        <v>1.4427</v>
      </c>
      <c r="AO24" s="169">
        <v>1.4427</v>
      </c>
      <c r="AP24" s="169">
        <v>1.4427</v>
      </c>
      <c r="AQ24" s="169">
        <v>1.4427</v>
      </c>
      <c r="AR24" s="169">
        <v>1.4427</v>
      </c>
      <c r="AS24" s="169">
        <v>1.4427</v>
      </c>
      <c r="AT24" s="169">
        <v>1.4427</v>
      </c>
      <c r="AU24" s="169">
        <v>1.4427</v>
      </c>
      <c r="AV24" s="169">
        <v>1.4427</v>
      </c>
      <c r="AW24" s="169">
        <v>1.4427</v>
      </c>
      <c r="AX24" s="169">
        <v>1.4427</v>
      </c>
      <c r="AY24" s="169">
        <v>1.4427</v>
      </c>
      <c r="AZ24" s="169">
        <v>1.4427</v>
      </c>
      <c r="BA24" s="169">
        <v>1.4427</v>
      </c>
      <c r="BB24" s="169">
        <v>1.4427</v>
      </c>
      <c r="BC24" s="169">
        <v>1.4427</v>
      </c>
      <c r="BD24" s="169">
        <v>1.4427</v>
      </c>
      <c r="BE24" s="169">
        <v>1.4427</v>
      </c>
      <c r="BF24" s="169">
        <v>1.4427</v>
      </c>
      <c r="BG24" s="169">
        <v>1.4427</v>
      </c>
      <c r="BH24" s="169">
        <v>1.4427</v>
      </c>
      <c r="BI24" s="169">
        <v>1.4427</v>
      </c>
      <c r="BJ24" s="169">
        <v>1.4427</v>
      </c>
      <c r="BK24" s="169">
        <v>1.4427</v>
      </c>
      <c r="BL24" s="169">
        <v>1.4427</v>
      </c>
      <c r="BM24" s="169">
        <v>1.4427</v>
      </c>
      <c r="BN24" s="169">
        <v>1.4427</v>
      </c>
      <c r="BO24" s="169">
        <v>1.4427</v>
      </c>
      <c r="BP24" s="169">
        <v>1.4427</v>
      </c>
      <c r="BQ24" s="169">
        <v>1.4427</v>
      </c>
      <c r="BR24" s="169">
        <v>1.4427</v>
      </c>
      <c r="BS24" s="169">
        <v>1.4427</v>
      </c>
      <c r="BT24" s="169">
        <v>1.4427</v>
      </c>
      <c r="BU24" s="169">
        <v>1.4427</v>
      </c>
      <c r="BV24" s="169">
        <v>1.4427</v>
      </c>
      <c r="BW24" s="169">
        <v>1.4427</v>
      </c>
      <c r="BX24" s="169">
        <v>1.4427</v>
      </c>
      <c r="BY24" s="169">
        <v>1.4427</v>
      </c>
      <c r="BZ24" s="169">
        <v>1.4427</v>
      </c>
      <c r="CA24" s="169">
        <v>1.4427</v>
      </c>
      <c r="CB24" s="169">
        <v>1.4427</v>
      </c>
      <c r="CC24" s="169">
        <v>1.4427</v>
      </c>
      <c r="CD24" s="169">
        <v>1.4427</v>
      </c>
      <c r="CE24" s="169">
        <v>1.4427</v>
      </c>
      <c r="CF24" s="169">
        <v>1.4427</v>
      </c>
      <c r="CG24" s="169">
        <v>1.4427</v>
      </c>
      <c r="CH24" s="169">
        <v>1.4427</v>
      </c>
      <c r="CI24" s="169">
        <v>1.4427</v>
      </c>
      <c r="CJ24" s="169">
        <v>1.4427</v>
      </c>
      <c r="CK24" s="169">
        <v>1.4427</v>
      </c>
      <c r="CL24" s="170">
        <v>1.4427</v>
      </c>
    </row>
    <row r="25">
      <c r="B25" s="120" t="s">
        <v>145</v>
      </c>
      <c r="C25" s="122"/>
      <c r="D25" s="158"/>
      <c r="E25" s="159"/>
      <c r="F25" s="159"/>
      <c r="G25" s="159"/>
      <c r="H25" s="159"/>
      <c r="I25" s="159"/>
      <c r="J25" s="159"/>
      <c r="K25" s="159"/>
      <c r="L25" s="160"/>
      <c r="M25" s="160"/>
      <c r="N25" s="160"/>
      <c r="O25" s="160"/>
      <c r="P25" s="160"/>
      <c r="Q25" s="160"/>
      <c r="R25" s="160"/>
      <c r="S25" s="160"/>
      <c r="T25" s="160"/>
      <c r="U25" s="160"/>
      <c r="V25" s="160"/>
      <c r="W25" s="160"/>
      <c r="X25" s="160"/>
      <c r="Y25" s="160"/>
      <c r="Z25" s="160"/>
      <c r="AA25" s="160"/>
      <c r="AB25" s="160"/>
      <c r="AC25" s="160"/>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3"/>
    </row>
    <row r="26">
      <c r="B26" s="130"/>
      <c r="C26" s="131" t="s">
        <v>136</v>
      </c>
      <c r="D26" s="164" t="str">
        <f>IF('Your moral weights'!$E$30="Option 1",'Your moral weights'!$C10,IF('Your moral weights'!$E$30="Option 3",'Your moral weights'!$C24,IF('Your moral weights'!$E$30="Option 2",'Your moral weights'!$C17,"-")))</f>
        <v>-</v>
      </c>
      <c r="E26" s="164" t="str">
        <f>IF('Your moral weights'!$E$30="Option 1",'Your moral weights'!$C10,IF('Your moral weights'!$E$30="Option 3",'Your moral weights'!$C24,IF('Your moral weights'!$E$30="Option 2",'Your moral weights'!$C17,"-")))</f>
        <v>-</v>
      </c>
      <c r="F26" s="164" t="str">
        <f>IF('Your moral weights'!$E$30="Option 1",'Your moral weights'!$C10,IF('Your moral weights'!$E$30="Option 3",'Your moral weights'!$C24,IF('Your moral weights'!$E$30="Option 2",'Your moral weights'!$C17,"-")))</f>
        <v>-</v>
      </c>
      <c r="G26" s="164" t="str">
        <f>IF('Your moral weights'!$E$30="Option 1",'Your moral weights'!$C10,IF('Your moral weights'!$E$30="Option 3",'Your moral weights'!$C24,IF('Your moral weights'!$E$30="Option 2",'Your moral weights'!$C17,"-")))</f>
        <v>-</v>
      </c>
      <c r="H26" s="164" t="str">
        <f>IF('Your moral weights'!$E$30="Option 1",'Your moral weights'!$C10,IF('Your moral weights'!$E$30="Option 3",'Your moral weights'!$C24,IF('Your moral weights'!$E$30="Option 2",'Your moral weights'!$C17,"-")))</f>
        <v>-</v>
      </c>
      <c r="I26" s="164" t="str">
        <f>IF('Your moral weights'!$E$30="Option 1",'Your moral weights'!$C10,IF('Your moral weights'!$E$30="Option 3",'Your moral weights'!$C24,IF('Your moral weights'!$E$30="Option 2",'Your moral weights'!$C17,"-")))</f>
        <v>-</v>
      </c>
      <c r="J26" s="164" t="str">
        <f>IF('Your moral weights'!$E$30="Option 1",'Your moral weights'!$C10,IF('Your moral weights'!$E$30="Option 3",'Your moral weights'!$C24,IF('Your moral weights'!$E$30="Option 2",'Your moral weights'!$C17,"-")))</f>
        <v>-</v>
      </c>
      <c r="K26" s="164" t="str">
        <f>IF('Your moral weights'!$E$30="Option 1",'Your moral weights'!$C10,IF('Your moral weights'!$E$30="Option 3",'Your moral weights'!$C24,IF('Your moral weights'!$E$30="Option 2",'Your moral weights'!$C17,"-")))</f>
        <v>-</v>
      </c>
      <c r="L26" s="164" t="str">
        <f>IF('Your moral weights'!$E$30="Option 1",'Your moral weights'!$C10,IF('Your moral weights'!$E$30="Option 3",'Your moral weights'!$C24,IF('Your moral weights'!$E$30="Option 2",'Your moral weights'!$C17,"-")))</f>
        <v>-</v>
      </c>
      <c r="M26" s="164" t="str">
        <f>IF('Your moral weights'!$E$30="Option 1",'Your moral weights'!$C10,IF('Your moral weights'!$E$30="Option 3",'Your moral weights'!$C24,IF('Your moral weights'!$E$30="Option 2",'Your moral weights'!$C17,"-")))</f>
        <v>-</v>
      </c>
      <c r="N26" s="164" t="str">
        <f>IF('Your moral weights'!$E$30="Option 1",'Your moral weights'!$C10,IF('Your moral weights'!$E$30="Option 3",'Your moral weights'!$C24,IF('Your moral weights'!$E$30="Option 2",'Your moral weights'!$C17,"-")))</f>
        <v>-</v>
      </c>
      <c r="O26" s="164" t="str">
        <f>IF('Your moral weights'!$E$30="Option 1",'Your moral weights'!$C10,IF('Your moral weights'!$E$30="Option 3",'Your moral weights'!$C24,IF('Your moral weights'!$E$30="Option 2",'Your moral weights'!$C17,"-")))</f>
        <v>-</v>
      </c>
      <c r="P26" s="164" t="str">
        <f>IF('Your moral weights'!$E$30="Option 1",'Your moral weights'!$C10,IF('Your moral weights'!$E$30="Option 3",'Your moral weights'!$C24,IF('Your moral weights'!$E$30="Option 2",'Your moral weights'!$C17,"-")))</f>
        <v>-</v>
      </c>
      <c r="Q26" s="164" t="str">
        <f>IF('Your moral weights'!$E$30="Option 1",'Your moral weights'!$C10,IF('Your moral weights'!$E$30="Option 3",'Your moral weights'!$C24,IF('Your moral weights'!$E$30="Option 2",'Your moral weights'!$C17,"-")))</f>
        <v>-</v>
      </c>
      <c r="R26" s="164" t="str">
        <f>IF('Your moral weights'!$E$30="Option 1",'Your moral weights'!$C10,IF('Your moral weights'!$E$30="Option 3",'Your moral weights'!$C24,IF('Your moral weights'!$E$30="Option 2",'Your moral weights'!$C17,"-")))</f>
        <v>-</v>
      </c>
      <c r="S26" s="164" t="str">
        <f>IF('Your moral weights'!$E$30="Option 1",'Your moral weights'!$C10,IF('Your moral weights'!$E$30="Option 3",'Your moral weights'!$C24,IF('Your moral weights'!$E$30="Option 2",'Your moral weights'!$C17,"-")))</f>
        <v>-</v>
      </c>
      <c r="T26" s="164" t="str">
        <f>IF('Your moral weights'!$E$30="Option 1",'Your moral weights'!$C10,IF('Your moral weights'!$E$30="Option 3",'Your moral weights'!$C24,IF('Your moral weights'!$E$30="Option 2",'Your moral weights'!$C17,"-")))</f>
        <v>-</v>
      </c>
      <c r="U26" s="164" t="str">
        <f>IF('Your moral weights'!$E$30="Option 1",'Your moral weights'!$C10,IF('Your moral weights'!$E$30="Option 3",'Your moral weights'!$C24,IF('Your moral weights'!$E$30="Option 2",'Your moral weights'!$C17,"-")))</f>
        <v>-</v>
      </c>
      <c r="V26" s="164" t="str">
        <f>IF('Your moral weights'!$E$30="Option 1",'Your moral weights'!$C10,IF('Your moral weights'!$E$30="Option 3",'Your moral weights'!$C24,IF('Your moral weights'!$E$30="Option 2",'Your moral weights'!$C17,"-")))</f>
        <v>-</v>
      </c>
      <c r="W26" s="164" t="str">
        <f>IF('Your moral weights'!$E$30="Option 1",'Your moral weights'!$C10,IF('Your moral weights'!$E$30="Option 3",'Your moral weights'!$C24,IF('Your moral weights'!$E$30="Option 2",'Your moral weights'!$C17,"-")))</f>
        <v>-</v>
      </c>
      <c r="X26" s="164" t="str">
        <f>IF('Your moral weights'!$E$30="Option 1",'Your moral weights'!$C10,IF('Your moral weights'!$E$30="Option 3",'Your moral weights'!$C24,IF('Your moral weights'!$E$30="Option 2",'Your moral weights'!$C17,"-")))</f>
        <v>-</v>
      </c>
      <c r="Y26" s="164" t="str">
        <f>IF('Your moral weights'!$E$30="Option 1",'Your moral weights'!$C10,IF('Your moral weights'!$E$30="Option 3",'Your moral weights'!$C24,IF('Your moral weights'!$E$30="Option 2",'Your moral weights'!$C17,"-")))</f>
        <v>-</v>
      </c>
      <c r="Z26" s="164" t="str">
        <f>IF('Your moral weights'!$E$30="Option 1",'Your moral weights'!$C10,IF('Your moral weights'!$E$30="Option 3",'Your moral weights'!$C24,IF('Your moral weights'!$E$30="Option 2",'Your moral weights'!$C17,"-")))</f>
        <v>-</v>
      </c>
      <c r="AA26" s="164" t="str">
        <f>IF('Your moral weights'!$E$30="Option 1",'Your moral weights'!$C10,IF('Your moral weights'!$E$30="Option 3",'Your moral weights'!$C24,IF('Your moral weights'!$E$30="Option 2",'Your moral weights'!$C17,"-")))</f>
        <v>-</v>
      </c>
      <c r="AB26" s="164" t="str">
        <f>IF('Your moral weights'!$E$30="Option 1",'Your moral weights'!$C10,IF('Your moral weights'!$E$30="Option 3",'Your moral weights'!$C24,IF('Your moral weights'!$E$30="Option 2",'Your moral weights'!$C17,"-")))</f>
        <v>-</v>
      </c>
      <c r="AC26" s="164" t="str">
        <f>IF('Your moral weights'!$E$30="Option 1",'Your moral weights'!$C10,IF('Your moral weights'!$E$30="Option 3",'Your moral weights'!$C24,IF('Your moral weights'!$E$30="Option 2",'Your moral weights'!$C17,"-")))</f>
        <v>-</v>
      </c>
      <c r="AD26" s="164" t="str">
        <f>IF('Your moral weights'!$E$30="Option 1",'Your moral weights'!$C11,IF('Your moral weights'!$E$30="Option 3",'Your moral weights'!$C25,IF('Your moral weights'!$E$30="Option 2",'Your moral weights'!$C18,"-")))</f>
        <v>-</v>
      </c>
      <c r="AE26" s="164" t="str">
        <f>IF('Your moral weights'!$E$30="Option 1",'Your moral weights'!$C11,IF('Your moral weights'!$E$30="Option 3",'Your moral weights'!$C25,IF('Your moral weights'!$E$30="Option 2",'Your moral weights'!$C18,"-")))</f>
        <v>-</v>
      </c>
      <c r="AF26" s="164" t="str">
        <f>IF('Your moral weights'!$E$30="Option 1",'Your moral weights'!$C11,IF('Your moral weights'!$E$30="Option 3",'Your moral weights'!$C25,IF('Your moral weights'!$E$30="Option 2",'Your moral weights'!$C18,"-")))</f>
        <v>-</v>
      </c>
      <c r="AG26" s="164" t="str">
        <f>IF('Your moral weights'!$E$30="Option 1",'Your moral weights'!$C11,IF('Your moral weights'!$E$30="Option 3",'Your moral weights'!$C25,IF('Your moral weights'!$E$30="Option 2",'Your moral weights'!$C18,"-")))</f>
        <v>-</v>
      </c>
      <c r="AH26" s="164" t="str">
        <f>IF('Your moral weights'!$E$30="Option 1",'Your moral weights'!$C11,IF('Your moral weights'!$E$30="Option 3",'Your moral weights'!$C25,IF('Your moral weights'!$E$30="Option 2",'Your moral weights'!$C18,"-")))</f>
        <v>-</v>
      </c>
      <c r="AI26" s="164" t="str">
        <f>IF('Your moral weights'!$E$30="Option 1",'Your moral weights'!$C11,IF('Your moral weights'!$E$30="Option 3",'Your moral weights'!$C25,IF('Your moral weights'!$E$30="Option 2",'Your moral weights'!$C18,"-")))</f>
        <v>-</v>
      </c>
      <c r="AJ26" s="164" t="str">
        <f>IF('Your moral weights'!$E$30="Option 1",'Your moral weights'!$C11,IF('Your moral weights'!$E$30="Option 3",'Your moral weights'!$C25,IF('Your moral weights'!$E$30="Option 2",'Your moral weights'!$C18,"-")))</f>
        <v>-</v>
      </c>
      <c r="AK26" s="164" t="str">
        <f>IF('Your moral weights'!$E$30="Option 1",'Your moral weights'!$C11,IF('Your moral weights'!$E$30="Option 3",'Your moral weights'!$C25,IF('Your moral weights'!$E$30="Option 2",'Your moral weights'!$C18,"-")))</f>
        <v>-</v>
      </c>
      <c r="AL26" s="164" t="str">
        <f>IF('Your moral weights'!$E$30="Option 1",'Your moral weights'!$C11,IF('Your moral weights'!$E$30="Option 3",'Your moral weights'!$C25,IF('Your moral weights'!$E$30="Option 2",'Your moral weights'!$C18,"-")))</f>
        <v>-</v>
      </c>
      <c r="AM26" s="164" t="str">
        <f>IF('Your moral weights'!$E$30="Option 1",'Your moral weights'!$C11,IF('Your moral weights'!$E$30="Option 3",'Your moral weights'!$C25,IF('Your moral weights'!$E$30="Option 2",'Your moral weights'!$C18,"-")))</f>
        <v>-</v>
      </c>
      <c r="AN26" s="164" t="str">
        <f>IF('Your moral weights'!$E$30="Option 1",'Your moral weights'!$C11,IF('Your moral weights'!$E$30="Option 3",'Your moral weights'!$C25,IF('Your moral weights'!$E$30="Option 2",'Your moral weights'!$C18,"-")))</f>
        <v>-</v>
      </c>
      <c r="AO26" s="164" t="str">
        <f>IF('Your moral weights'!$E$30="Option 1",'Your moral weights'!$C11,IF('Your moral weights'!$E$30="Option 3",'Your moral weights'!$C25,IF('Your moral weights'!$E$30="Option 2",'Your moral weights'!$C18,"-")))</f>
        <v>-</v>
      </c>
      <c r="AP26" s="164" t="str">
        <f>IF('Your moral weights'!$E$30="Option 1",'Your moral weights'!$C11,IF('Your moral weights'!$E$30="Option 3",'Your moral weights'!$C25,IF('Your moral weights'!$E$30="Option 2",'Your moral weights'!$C18,"-")))</f>
        <v>-</v>
      </c>
      <c r="AQ26" s="164" t="str">
        <f>IF('Your moral weights'!$E$30="Option 1",'Your moral weights'!$C11,IF('Your moral weights'!$E$30="Option 3",'Your moral weights'!$C25,IF('Your moral weights'!$E$30="Option 2",'Your moral weights'!$C18,"-")))</f>
        <v>-</v>
      </c>
      <c r="AR26" s="164" t="str">
        <f>IF('Your moral weights'!$E$30="Option 1",'Your moral weights'!$C11,IF('Your moral weights'!$E$30="Option 3",'Your moral weights'!$C25,IF('Your moral weights'!$E$30="Option 2",'Your moral weights'!$C18,"-")))</f>
        <v>-</v>
      </c>
      <c r="AS26" s="164" t="str">
        <f>IF('Your moral weights'!$E$30="Option 1",'Your moral weights'!$C11,IF('Your moral weights'!$E$30="Option 3",'Your moral weights'!$C25,IF('Your moral weights'!$E$30="Option 2",'Your moral weights'!$C18,"-")))</f>
        <v>-</v>
      </c>
      <c r="AT26" s="164" t="str">
        <f>IF('Your moral weights'!$E$30="Option 1",'Your moral weights'!$C11,IF('Your moral weights'!$E$30="Option 3",'Your moral weights'!$C25,IF('Your moral weights'!$E$30="Option 2",'Your moral weights'!$C18,"-")))</f>
        <v>-</v>
      </c>
      <c r="AU26" s="164" t="str">
        <f>IF('Your moral weights'!$E$30="Option 1",'Your moral weights'!$C11,IF('Your moral weights'!$E$30="Option 3",'Your moral weights'!$C25,IF('Your moral weights'!$E$30="Option 2",'Your moral weights'!$C18,"-")))</f>
        <v>-</v>
      </c>
      <c r="AV26" s="164" t="str">
        <f>IF('Your moral weights'!$E$30="Option 1",'Your moral weights'!$C11,IF('Your moral weights'!$E$30="Option 3",'Your moral weights'!$C25,IF('Your moral weights'!$E$30="Option 2",'Your moral weights'!$C18,"-")))</f>
        <v>-</v>
      </c>
      <c r="AW26" s="164" t="str">
        <f>IF('Your moral weights'!$E$30="Option 1",'Your moral weights'!$C11,IF('Your moral weights'!$E$30="Option 3",'Your moral weights'!$C25,IF('Your moral weights'!$E$30="Option 2",'Your moral weights'!$C18,"-")))</f>
        <v>-</v>
      </c>
      <c r="AX26" s="164" t="str">
        <f>IF('Your moral weights'!$E$30="Option 1",'Your moral weights'!$C11,IF('Your moral weights'!$E$30="Option 3",'Your moral weights'!$C25,IF('Your moral weights'!$E$30="Option 2",'Your moral weights'!$C18,"-")))</f>
        <v>-</v>
      </c>
      <c r="AY26" s="164" t="str">
        <f>IF('Your moral weights'!$E$30="Option 1",'Your moral weights'!$C11,IF('Your moral weights'!$E$30="Option 3",'Your moral weights'!$C25,IF('Your moral weights'!$E$30="Option 2",'Your moral weights'!$C18,"-")))</f>
        <v>-</v>
      </c>
      <c r="AZ26" s="164" t="str">
        <f>IF('Your moral weights'!$E$30="Option 1",'Your moral weights'!$C11,IF('Your moral weights'!$E$30="Option 3",'Your moral weights'!$C25,IF('Your moral weights'!$E$30="Option 2",'Your moral weights'!$C18,"-")))</f>
        <v>-</v>
      </c>
      <c r="BA26" s="164" t="str">
        <f>IF('Your moral weights'!$E$30="Option 1",'Your moral weights'!$C11,IF('Your moral weights'!$E$30="Option 3",'Your moral weights'!$C25,IF('Your moral weights'!$E$30="Option 2",'Your moral weights'!$C18,"-")))</f>
        <v>-</v>
      </c>
      <c r="BB26" s="164" t="str">
        <f>IF('Your moral weights'!$E$30="Option 1",'Your moral weights'!$C10,IF('Your moral weights'!$E$30="Option 3",'Your moral weights'!$C24,IF('Your moral weights'!$E$30="Option 2",'Your moral weights'!$C17,"-")))</f>
        <v>-</v>
      </c>
      <c r="BC26" s="164" t="str">
        <f>IF('Your moral weights'!$E$30="Option 1",'Your moral weights'!$C10,IF('Your moral weights'!$E$30="Option 3",'Your moral weights'!$C24,IF('Your moral weights'!$E$30="Option 2",'Your moral weights'!$C17,"-")))</f>
        <v>-</v>
      </c>
      <c r="BD26" s="164" t="str">
        <f>IF('Your moral weights'!$E$30="Option 1",'Your moral weights'!$C10,IF('Your moral weights'!$E$30="Option 3",'Your moral weights'!$C24,IF('Your moral weights'!$E$30="Option 2",'Your moral weights'!$C17,"-")))</f>
        <v>-</v>
      </c>
      <c r="BE26" s="164" t="str">
        <f>IF('Your moral weights'!$E$30="Option 1",'Your moral weights'!$C10,IF('Your moral weights'!$E$30="Option 3",'Your moral weights'!$C24,IF('Your moral weights'!$E$30="Option 2",'Your moral weights'!$C17,"-")))</f>
        <v>-</v>
      </c>
      <c r="BF26" s="164" t="str">
        <f>IF('Your moral weights'!$E$30="Option 1",'Your moral weights'!$C10,IF('Your moral weights'!$E$30="Option 3",'Your moral weights'!$C24,IF('Your moral weights'!$E$30="Option 2",'Your moral weights'!$C17,"-")))</f>
        <v>-</v>
      </c>
      <c r="BG26" s="164" t="str">
        <f>IF('Your moral weights'!$E$30="Option 1",'Your moral weights'!$C10,IF('Your moral weights'!$E$30="Option 3",'Your moral weights'!$C24,IF('Your moral weights'!$E$30="Option 2",'Your moral weights'!$C17,"-")))</f>
        <v>-</v>
      </c>
      <c r="BH26" s="164" t="str">
        <f>IF('Your moral weights'!$E$30="Option 1",'Your moral weights'!$C10,IF('Your moral weights'!$E$30="Option 3",'Your moral weights'!$C24,IF('Your moral weights'!$E$30="Option 2",'Your moral weights'!$C17,"-")))</f>
        <v>-</v>
      </c>
      <c r="BI26" s="164" t="str">
        <f>IF('Your moral weights'!$E$30="Option 1",'Your moral weights'!$C10,IF('Your moral weights'!$E$30="Option 3",'Your moral weights'!$C24,IF('Your moral weights'!$E$30="Option 2",'Your moral weights'!$C17,"-")))</f>
        <v>-</v>
      </c>
      <c r="BJ26" s="164" t="str">
        <f>IF('Your moral weights'!$E$30="Option 1",'Your moral weights'!$C10,IF('Your moral weights'!$E$30="Option 3",'Your moral weights'!$C24,IF('Your moral weights'!$E$30="Option 2",'Your moral weights'!$C17,"-")))</f>
        <v>-</v>
      </c>
      <c r="BK26" s="164" t="str">
        <f>IF('Your moral weights'!$E$30="Option 1",'Your moral weights'!$C10,IF('Your moral weights'!$E$30="Option 3",'Your moral weights'!$C24,IF('Your moral weights'!$E$30="Option 2",'Your moral weights'!$C17,"-")))</f>
        <v>-</v>
      </c>
      <c r="BL26" s="164" t="str">
        <f>IF('Your moral weights'!$E$30="Option 1",'Your moral weights'!$C10,IF('Your moral weights'!$E$30="Option 3",'Your moral weights'!$C24,IF('Your moral weights'!$E$30="Option 2",'Your moral weights'!$C17,"-")))</f>
        <v>-</v>
      </c>
      <c r="BM26" s="164" t="str">
        <f>IF('Your moral weights'!$E$30="Option 1",'Your moral weights'!$C10,IF('Your moral weights'!$E$30="Option 3",'Your moral weights'!$C24,IF('Your moral weights'!$E$30="Option 2",'Your moral weights'!$C17,"-")))</f>
        <v>-</v>
      </c>
      <c r="BN26" s="164" t="str">
        <f>IF('Your moral weights'!$E$30="Option 1",'Your moral weights'!$C10,IF('Your moral weights'!$E$30="Option 3",'Your moral weights'!$C24,IF('Your moral weights'!$E$30="Option 2",'Your moral weights'!$C17,"-")))</f>
        <v>-</v>
      </c>
      <c r="BO26" s="164" t="str">
        <f>IF('Your moral weights'!$E$30="Option 1",'Your moral weights'!$C10,IF('Your moral weights'!$E$30="Option 3",'Your moral weights'!$C24,IF('Your moral weights'!$E$30="Option 2",'Your moral weights'!$C17,"-")))</f>
        <v>-</v>
      </c>
      <c r="BP26" s="164" t="str">
        <f>IF('Your moral weights'!$E$30="Option 1",'Your moral weights'!$C10,IF('Your moral weights'!$E$30="Option 3",'Your moral weights'!$C24,IF('Your moral weights'!$E$30="Option 2",'Your moral weights'!$C17,"-")))</f>
        <v>-</v>
      </c>
      <c r="BQ26" s="164" t="str">
        <f>IF('Your moral weights'!$E$30="Option 1",'Your moral weights'!$C10,IF('Your moral weights'!$E$30="Option 3",'Your moral weights'!$C24,IF('Your moral weights'!$E$30="Option 2",'Your moral weights'!$C17,"-")))</f>
        <v>-</v>
      </c>
      <c r="BR26" s="164" t="str">
        <f>IF('Your moral weights'!$E$30="Option 1",'Your moral weights'!$C10,IF('Your moral weights'!$E$30="Option 3",'Your moral weights'!$C24,IF('Your moral weights'!$E$30="Option 2",'Your moral weights'!$C17,"-")))</f>
        <v>-</v>
      </c>
      <c r="BS26" s="164" t="str">
        <f>IF('Your moral weights'!$E$30="Option 1",'Your moral weights'!$C10,IF('Your moral weights'!$E$30="Option 3",'Your moral weights'!$C24,IF('Your moral weights'!$E$30="Option 2",'Your moral weights'!$C17,"-")))</f>
        <v>-</v>
      </c>
      <c r="BT26" s="164" t="str">
        <f>IF('Your moral weights'!$E$30="Option 1",'Your moral weights'!$C10,IF('Your moral weights'!$E$30="Option 3",'Your moral weights'!$C24,IF('Your moral weights'!$E$30="Option 2",'Your moral weights'!$C17,"-")))</f>
        <v>-</v>
      </c>
      <c r="BU26" s="164" t="str">
        <f>IF('Your moral weights'!$E$30="Option 1",'Your moral weights'!$C10,IF('Your moral weights'!$E$30="Option 3",'Your moral weights'!$C24,IF('Your moral weights'!$E$30="Option 2",'Your moral weights'!$C17,"-")))</f>
        <v>-</v>
      </c>
      <c r="BV26" s="164" t="str">
        <f>IF('Your moral weights'!$E$30="Option 1",'Your moral weights'!$C10,IF('Your moral weights'!$E$30="Option 3",'Your moral weights'!$C24,IF('Your moral weights'!$E$30="Option 2",'Your moral weights'!$C17,"-")))</f>
        <v>-</v>
      </c>
      <c r="BW26" s="164" t="str">
        <f>IF('Your moral weights'!$E$30="Option 1",'Your moral weights'!$C10,IF('Your moral weights'!$E$30="Option 3",'Your moral weights'!$C24,IF('Your moral weights'!$E$30="Option 2",'Your moral weights'!$C17,"-")))</f>
        <v>-</v>
      </c>
      <c r="BX26" s="164" t="str">
        <f>IF('Your moral weights'!$E$30="Option 1",'Your moral weights'!$C10,IF('Your moral weights'!$E$30="Option 3",'Your moral weights'!$C24,IF('Your moral weights'!$E$30="Option 2",'Your moral weights'!$C17,"-")))</f>
        <v>-</v>
      </c>
      <c r="BY26" s="164" t="str">
        <f>IF('Your moral weights'!$E$30="Option 1",'Your moral weights'!$C10,IF('Your moral weights'!$E$30="Option 3",'Your moral weights'!$C24,IF('Your moral weights'!$E$30="Option 2",'Your moral weights'!$C17,"-")))</f>
        <v>-</v>
      </c>
      <c r="BZ26" s="164" t="str">
        <f>IF('Your moral weights'!$E$30="Option 1",'Your moral weights'!$C10,IF('Your moral weights'!$E$30="Option 3",'Your moral weights'!$C24,IF('Your moral weights'!$E$30="Option 2",'Your moral weights'!$C17,"-")))</f>
        <v>-</v>
      </c>
      <c r="CA26" s="164" t="str">
        <f>IF('Your moral weights'!$E$30="Option 1",'Your moral weights'!$C10,IF('Your moral weights'!$E$30="Option 3",'Your moral weights'!$C24,IF('Your moral weights'!$E$30="Option 2",'Your moral weights'!$C17,"-")))</f>
        <v>-</v>
      </c>
      <c r="CB26" s="164" t="str">
        <f>IF('Your moral weights'!$E$30="Option 1",'Your moral weights'!$C10,IF('Your moral weights'!$E$30="Option 3",'Your moral weights'!$C24,IF('Your moral weights'!$E$30="Option 2",'Your moral weights'!$C17,"-")))</f>
        <v>-</v>
      </c>
      <c r="CC26" s="164" t="str">
        <f>IF('Your moral weights'!$E$30="Option 1",'Your moral weights'!$C10,IF('Your moral weights'!$E$30="Option 3",'Your moral weights'!$C24,IF('Your moral weights'!$E$30="Option 2",'Your moral weights'!$C17,"-")))</f>
        <v>-</v>
      </c>
      <c r="CD26" s="164" t="str">
        <f>IF('Your moral weights'!$E$30="Option 1",'Your moral weights'!$C10,IF('Your moral weights'!$E$30="Option 3",'Your moral weights'!$C24,IF('Your moral weights'!$E$30="Option 2",'Your moral weights'!$C17,"-")))</f>
        <v>-</v>
      </c>
      <c r="CE26" s="164" t="str">
        <f>IF('Your moral weights'!$E$30="Option 1",'Your moral weights'!$C10,IF('Your moral weights'!$E$30="Option 3",'Your moral weights'!$C24,IF('Your moral weights'!$E$30="Option 2",'Your moral weights'!$C17,"-")))</f>
        <v>-</v>
      </c>
      <c r="CF26" s="164" t="str">
        <f>IF('Your moral weights'!$E$30="Option 1",'Your moral weights'!$C10,IF('Your moral weights'!$E$30="Option 3",'Your moral weights'!$C24,IF('Your moral weights'!$E$30="Option 2",'Your moral weights'!$C17,"-")))</f>
        <v>-</v>
      </c>
      <c r="CG26" s="164" t="str">
        <f>IF('Your moral weights'!$E$30="Option 1",'Your moral weights'!$C10,IF('Your moral weights'!$E$30="Option 3",'Your moral weights'!$C24,IF('Your moral weights'!$E$30="Option 2",'Your moral weights'!$C17,"-")))</f>
        <v>-</v>
      </c>
      <c r="CH26" s="164" t="str">
        <f>IF('Your moral weights'!$E$30="Option 1",'Your moral weights'!$C10,IF('Your moral weights'!$E$30="Option 3",'Your moral weights'!$C24,IF('Your moral weights'!$E$30="Option 2",'Your moral weights'!$C17,"-")))</f>
        <v>-</v>
      </c>
      <c r="CI26" s="164" t="str">
        <f>IF('Your moral weights'!$E$30="Option 1",'Your moral weights'!$C10,IF('Your moral weights'!$E$30="Option 3",'Your moral weights'!$C24,IF('Your moral weights'!$E$30="Option 2",'Your moral weights'!$C17,"-")))</f>
        <v>-</v>
      </c>
      <c r="CJ26" s="164" t="str">
        <f>IF('Your moral weights'!$E$30="Option 1",'Your moral weights'!$C10,IF('Your moral weights'!$E$30="Option 3",'Your moral weights'!$C24,IF('Your moral weights'!$E$30="Option 2",'Your moral weights'!$C17,"-")))</f>
        <v>-</v>
      </c>
      <c r="CK26" s="164" t="str">
        <f>IF('Your moral weights'!$E$30="Option 1",'Your moral weights'!$C10,IF('Your moral weights'!$E$30="Option 3",'Your moral weights'!$C24,IF('Your moral weights'!$E$30="Option 2",'Your moral weights'!$C17,"-")))</f>
        <v>-</v>
      </c>
      <c r="CL26" s="171" t="str">
        <f>IF('Your moral weights'!$E$30="Option 1",'Your moral weights'!$C10,IF('Your moral weights'!$E$30="Option 3",'Your moral weights'!$C24,IF('Your moral weights'!$E$30="Option 2",'Your moral weights'!$C17,"-")))</f>
        <v>-</v>
      </c>
    </row>
    <row r="27">
      <c r="B27" s="130"/>
      <c r="C27" s="142" t="s">
        <v>139</v>
      </c>
      <c r="D27" s="164" t="str">
        <f>IF('Your moral weights'!$E$30="Option 1",'Your moral weights'!$C12,IF('Your moral weights'!$E$30="Option 3",'Your moral weights'!$C26,IF('Your moral weights'!$E$30="Option 2",'Your moral weights'!$C19,"-")))</f>
        <v>-</v>
      </c>
      <c r="E27" s="164" t="str">
        <f>IF('Your moral weights'!$E$30="Option 1",'Your moral weights'!$C12,IF('Your moral weights'!$E$30="Option 3",'Your moral weights'!$C26,IF('Your moral weights'!$E$30="Option 2",'Your moral weights'!$C19,"-")))</f>
        <v>-</v>
      </c>
      <c r="F27" s="164" t="str">
        <f>IF('Your moral weights'!$E$30="Option 1",'Your moral weights'!$C12,IF('Your moral weights'!$E$30="Option 3",'Your moral weights'!$C26,IF('Your moral weights'!$E$30="Option 2",'Your moral weights'!$C19,"-")))</f>
        <v>-</v>
      </c>
      <c r="G27" s="164" t="str">
        <f>IF('Your moral weights'!$E$30="Option 1",'Your moral weights'!$C12,IF('Your moral weights'!$E$30="Option 3",'Your moral weights'!$C26,IF('Your moral weights'!$E$30="Option 2",'Your moral weights'!$C19,"-")))</f>
        <v>-</v>
      </c>
      <c r="H27" s="164" t="str">
        <f>IF('Your moral weights'!$E$30="Option 1",'Your moral weights'!$C12,IF('Your moral weights'!$E$30="Option 3",'Your moral weights'!$C26,IF('Your moral weights'!$E$30="Option 2",'Your moral weights'!$C19,"-")))</f>
        <v>-</v>
      </c>
      <c r="I27" s="164" t="str">
        <f>IF('Your moral weights'!$E$30="Option 1",'Your moral weights'!$C12,IF('Your moral weights'!$E$30="Option 3",'Your moral weights'!$C26,IF('Your moral weights'!$E$30="Option 2",'Your moral weights'!$C19,"-")))</f>
        <v>-</v>
      </c>
      <c r="J27" s="164" t="str">
        <f>IF('Your moral weights'!$E$30="Option 1",'Your moral weights'!$C12,IF('Your moral weights'!$E$30="Option 3",'Your moral weights'!$C26,IF('Your moral weights'!$E$30="Option 2",'Your moral weights'!$C19,"-")))</f>
        <v>-</v>
      </c>
      <c r="K27" s="164" t="str">
        <f>IF('Your moral weights'!$E$30="Option 1",'Your moral weights'!$C12,IF('Your moral weights'!$E$30="Option 3",'Your moral weights'!$C26,IF('Your moral weights'!$E$30="Option 2",'Your moral weights'!$C19,"-")))</f>
        <v>-</v>
      </c>
      <c r="L27" s="164" t="str">
        <f>IF('Your moral weights'!$E$30="Option 1",'Your moral weights'!$C12,IF('Your moral weights'!$E$30="Option 3",'Your moral weights'!$C26,IF('Your moral weights'!$E$30="Option 2",'Your moral weights'!$C19,"-")))</f>
        <v>-</v>
      </c>
      <c r="M27" s="164" t="str">
        <f>IF('Your moral weights'!$E$30="Option 1",'Your moral weights'!$C12,IF('Your moral weights'!$E$30="Option 3",'Your moral weights'!$C26,IF('Your moral weights'!$E$30="Option 2",'Your moral weights'!$C19,"-")))</f>
        <v>-</v>
      </c>
      <c r="N27" s="164" t="str">
        <f>IF('Your moral weights'!$E$30="Option 1",'Your moral weights'!$C12,IF('Your moral weights'!$E$30="Option 3",'Your moral weights'!$C26,IF('Your moral weights'!$E$30="Option 2",'Your moral weights'!$C19,"-")))</f>
        <v>-</v>
      </c>
      <c r="O27" s="164" t="str">
        <f>IF('Your moral weights'!$E$30="Option 1",'Your moral weights'!$C12,IF('Your moral weights'!$E$30="Option 3",'Your moral weights'!$C26,IF('Your moral weights'!$E$30="Option 2",'Your moral weights'!$C19,"-")))</f>
        <v>-</v>
      </c>
      <c r="P27" s="164" t="str">
        <f>IF('Your moral weights'!$E$30="Option 1",'Your moral weights'!$C12,IF('Your moral weights'!$E$30="Option 3",'Your moral weights'!$C26,IF('Your moral weights'!$E$30="Option 2",'Your moral weights'!$C19,"-")))</f>
        <v>-</v>
      </c>
      <c r="Q27" s="164" t="str">
        <f>IF('Your moral weights'!$E$30="Option 1",'Your moral weights'!$C12,IF('Your moral weights'!$E$30="Option 3",'Your moral weights'!$C26,IF('Your moral weights'!$E$30="Option 2",'Your moral weights'!$C19,"-")))</f>
        <v>-</v>
      </c>
      <c r="R27" s="164" t="str">
        <f>IF('Your moral weights'!$E$30="Option 1",'Your moral weights'!$C12,IF('Your moral weights'!$E$30="Option 3",'Your moral weights'!$C26,IF('Your moral weights'!$E$30="Option 2",'Your moral weights'!$C19,"-")))</f>
        <v>-</v>
      </c>
      <c r="S27" s="164" t="str">
        <f>IF('Your moral weights'!$E$30="Option 1",'Your moral weights'!$C12,IF('Your moral weights'!$E$30="Option 3",'Your moral weights'!$C26,IF('Your moral weights'!$E$30="Option 2",'Your moral weights'!$C19,"-")))</f>
        <v>-</v>
      </c>
      <c r="T27" s="164" t="str">
        <f>IF('Your moral weights'!$E$30="Option 1",'Your moral weights'!$C12,IF('Your moral weights'!$E$30="Option 3",'Your moral weights'!$C26,IF('Your moral weights'!$E$30="Option 2",'Your moral weights'!$C19,"-")))</f>
        <v>-</v>
      </c>
      <c r="U27" s="164" t="str">
        <f>IF('Your moral weights'!$E$30="Option 1",'Your moral weights'!$C12,IF('Your moral weights'!$E$30="Option 3",'Your moral weights'!$C26,IF('Your moral weights'!$E$30="Option 2",'Your moral weights'!$C19,"-")))</f>
        <v>-</v>
      </c>
      <c r="V27" s="164" t="str">
        <f>IF('Your moral weights'!$E$30="Option 1",'Your moral weights'!$C12,IF('Your moral weights'!$E$30="Option 3",'Your moral weights'!$C26,IF('Your moral weights'!$E$30="Option 2",'Your moral weights'!$C19,"-")))</f>
        <v>-</v>
      </c>
      <c r="W27" s="164" t="str">
        <f>IF('Your moral weights'!$E$30="Option 1",'Your moral weights'!$C12,IF('Your moral weights'!$E$30="Option 3",'Your moral weights'!$C26,IF('Your moral weights'!$E$30="Option 2",'Your moral weights'!$C19,"-")))</f>
        <v>-</v>
      </c>
      <c r="X27" s="164" t="str">
        <f>IF('Your moral weights'!$E$30="Option 1",'Your moral weights'!$C12,IF('Your moral weights'!$E$30="Option 3",'Your moral weights'!$C26,IF('Your moral weights'!$E$30="Option 2",'Your moral weights'!$C19,"-")))</f>
        <v>-</v>
      </c>
      <c r="Y27" s="164" t="str">
        <f>IF('Your moral weights'!$E$30="Option 1",'Your moral weights'!$C12,IF('Your moral weights'!$E$30="Option 3",'Your moral weights'!$C26,IF('Your moral weights'!$E$30="Option 2",'Your moral weights'!$C19,"-")))</f>
        <v>-</v>
      </c>
      <c r="Z27" s="164" t="str">
        <f>IF('Your moral weights'!$E$30="Option 1",'Your moral weights'!$C12,IF('Your moral weights'!$E$30="Option 3",'Your moral weights'!$C26,IF('Your moral weights'!$E$30="Option 2",'Your moral weights'!$C19,"-")))</f>
        <v>-</v>
      </c>
      <c r="AA27" s="164" t="str">
        <f>IF('Your moral weights'!$E$30="Option 1",'Your moral weights'!$C12,IF('Your moral weights'!$E$30="Option 3",'Your moral weights'!$C26,IF('Your moral weights'!$E$30="Option 2",'Your moral weights'!$C19,"-")))</f>
        <v>-</v>
      </c>
      <c r="AB27" s="164" t="str">
        <f>IF('Your moral weights'!$E$30="Option 1",'Your moral weights'!$C12,IF('Your moral weights'!$E$30="Option 3",'Your moral weights'!$C26,IF('Your moral weights'!$E$30="Option 2",'Your moral weights'!$C19,"-")))</f>
        <v>-</v>
      </c>
      <c r="AC27" s="164" t="str">
        <f>IF('Your moral weights'!$E$30="Option 1",'Your moral weights'!$C12,IF('Your moral weights'!$E$30="Option 3",'Your moral weights'!$C26,IF('Your moral weights'!$E$30="Option 2",'Your moral weights'!$C19,"-")))</f>
        <v>-</v>
      </c>
      <c r="AD27" s="164" t="str">
        <f>IF('Your moral weights'!$E$30="Option 1",'Your moral weights'!$C12,IF('Your moral weights'!$E$30="Option 3",'Your moral weights'!$C26,IF('Your moral weights'!$E$30="Option 2",'Your moral weights'!$C19,"-")))</f>
        <v>-</v>
      </c>
      <c r="AE27" s="164" t="str">
        <f>IF('Your moral weights'!$E$30="Option 1",'Your moral weights'!$C12,IF('Your moral weights'!$E$30="Option 3",'Your moral weights'!$C26,IF('Your moral weights'!$E$30="Option 2",'Your moral weights'!$C19,"-")))</f>
        <v>-</v>
      </c>
      <c r="AF27" s="164" t="str">
        <f>IF('Your moral weights'!$E$30="Option 1",'Your moral weights'!$C12,IF('Your moral weights'!$E$30="Option 3",'Your moral weights'!$C26,IF('Your moral weights'!$E$30="Option 2",'Your moral weights'!$C19,"-")))</f>
        <v>-</v>
      </c>
      <c r="AG27" s="164" t="str">
        <f>IF('Your moral weights'!$E$30="Option 1",'Your moral weights'!$C12,IF('Your moral weights'!$E$30="Option 3",'Your moral weights'!$C26,IF('Your moral weights'!$E$30="Option 2",'Your moral weights'!$C19,"-")))</f>
        <v>-</v>
      </c>
      <c r="AH27" s="164" t="str">
        <f>IF('Your moral weights'!$E$30="Option 1",'Your moral weights'!$C12,IF('Your moral weights'!$E$30="Option 3",'Your moral weights'!$C26,IF('Your moral weights'!$E$30="Option 2",'Your moral weights'!$C19,"-")))</f>
        <v>-</v>
      </c>
      <c r="AI27" s="164" t="str">
        <f>IF('Your moral weights'!$E$30="Option 1",'Your moral weights'!$C12,IF('Your moral weights'!$E$30="Option 3",'Your moral weights'!$C26,IF('Your moral weights'!$E$30="Option 2",'Your moral weights'!$C19,"-")))</f>
        <v>-</v>
      </c>
      <c r="AJ27" s="164" t="str">
        <f>IF('Your moral weights'!$E$30="Option 1",'Your moral weights'!$C12,IF('Your moral weights'!$E$30="Option 3",'Your moral weights'!$C26,IF('Your moral weights'!$E$30="Option 2",'Your moral weights'!$C19,"-")))</f>
        <v>-</v>
      </c>
      <c r="AK27" s="164" t="str">
        <f>IF('Your moral weights'!$E$30="Option 1",'Your moral weights'!$C12,IF('Your moral weights'!$E$30="Option 3",'Your moral weights'!$C26,IF('Your moral weights'!$E$30="Option 2",'Your moral weights'!$C19,"-")))</f>
        <v>-</v>
      </c>
      <c r="AL27" s="164" t="str">
        <f>IF('Your moral weights'!$E$30="Option 1",'Your moral weights'!$C12,IF('Your moral weights'!$E$30="Option 3",'Your moral weights'!$C26,IF('Your moral weights'!$E$30="Option 2",'Your moral weights'!$C19,"-")))</f>
        <v>-</v>
      </c>
      <c r="AM27" s="164" t="str">
        <f>IF('Your moral weights'!$E$30="Option 1",'Your moral weights'!$C12,IF('Your moral weights'!$E$30="Option 3",'Your moral weights'!$C26,IF('Your moral weights'!$E$30="Option 2",'Your moral weights'!$C19,"-")))</f>
        <v>-</v>
      </c>
      <c r="AN27" s="164" t="str">
        <f>IF('Your moral weights'!$E$30="Option 1",'Your moral weights'!$C12,IF('Your moral weights'!$E$30="Option 3",'Your moral weights'!$C26,IF('Your moral weights'!$E$30="Option 2",'Your moral weights'!$C19,"-")))</f>
        <v>-</v>
      </c>
      <c r="AO27" s="164" t="str">
        <f>IF('Your moral weights'!$E$30="Option 1",'Your moral weights'!$C12,IF('Your moral weights'!$E$30="Option 3",'Your moral weights'!$C26,IF('Your moral weights'!$E$30="Option 2",'Your moral weights'!$C19,"-")))</f>
        <v>-</v>
      </c>
      <c r="AP27" s="164" t="str">
        <f>IF('Your moral weights'!$E$30="Option 1",'Your moral weights'!$C12,IF('Your moral weights'!$E$30="Option 3",'Your moral weights'!$C26,IF('Your moral weights'!$E$30="Option 2",'Your moral weights'!$C19,"-")))</f>
        <v>-</v>
      </c>
      <c r="AQ27" s="164" t="str">
        <f>IF('Your moral weights'!$E$30="Option 1",'Your moral weights'!$C12,IF('Your moral weights'!$E$30="Option 3",'Your moral weights'!$C26,IF('Your moral weights'!$E$30="Option 2",'Your moral weights'!$C19,"-")))</f>
        <v>-</v>
      </c>
      <c r="AR27" s="164" t="str">
        <f>IF('Your moral weights'!$E$30="Option 1",'Your moral weights'!$C12,IF('Your moral weights'!$E$30="Option 3",'Your moral weights'!$C26,IF('Your moral weights'!$E$30="Option 2",'Your moral weights'!$C19,"-")))</f>
        <v>-</v>
      </c>
      <c r="AS27" s="164" t="str">
        <f>IF('Your moral weights'!$E$30="Option 1",'Your moral weights'!$C12,IF('Your moral weights'!$E$30="Option 3",'Your moral weights'!$C26,IF('Your moral weights'!$E$30="Option 2",'Your moral weights'!$C19,"-")))</f>
        <v>-</v>
      </c>
      <c r="AT27" s="164" t="str">
        <f>IF('Your moral weights'!$E$30="Option 1",'Your moral weights'!$C12,IF('Your moral weights'!$E$30="Option 3",'Your moral weights'!$C26,IF('Your moral weights'!$E$30="Option 2",'Your moral weights'!$C19,"-")))</f>
        <v>-</v>
      </c>
      <c r="AU27" s="164" t="str">
        <f>IF('Your moral weights'!$E$30="Option 1",'Your moral weights'!$C12,IF('Your moral weights'!$E$30="Option 3",'Your moral weights'!$C26,IF('Your moral weights'!$E$30="Option 2",'Your moral weights'!$C19,"-")))</f>
        <v>-</v>
      </c>
      <c r="AV27" s="164" t="str">
        <f>IF('Your moral weights'!$E$30="Option 1",'Your moral weights'!$C12,IF('Your moral weights'!$E$30="Option 3",'Your moral weights'!$C26,IF('Your moral weights'!$E$30="Option 2",'Your moral weights'!$C19,"-")))</f>
        <v>-</v>
      </c>
      <c r="AW27" s="164" t="str">
        <f>IF('Your moral weights'!$E$30="Option 1",'Your moral weights'!$C12,IF('Your moral weights'!$E$30="Option 3",'Your moral weights'!$C26,IF('Your moral weights'!$E$30="Option 2",'Your moral weights'!$C19,"-")))</f>
        <v>-</v>
      </c>
      <c r="AX27" s="164" t="str">
        <f>IF('Your moral weights'!$E$30="Option 1",'Your moral weights'!$C12,IF('Your moral weights'!$E$30="Option 3",'Your moral weights'!$C26,IF('Your moral weights'!$E$30="Option 2",'Your moral weights'!$C19,"-")))</f>
        <v>-</v>
      </c>
      <c r="AY27" s="164" t="str">
        <f>IF('Your moral weights'!$E$30="Option 1",'Your moral weights'!$C12,IF('Your moral weights'!$E$30="Option 3",'Your moral weights'!$C26,IF('Your moral weights'!$E$30="Option 2",'Your moral weights'!$C19,"-")))</f>
        <v>-</v>
      </c>
      <c r="AZ27" s="164" t="str">
        <f>IF('Your moral weights'!$E$30="Option 1",'Your moral weights'!$C12,IF('Your moral weights'!$E$30="Option 3",'Your moral weights'!$C26,IF('Your moral weights'!$E$30="Option 2",'Your moral weights'!$C19,"-")))</f>
        <v>-</v>
      </c>
      <c r="BA27" s="164" t="str">
        <f>IF('Your moral weights'!$E$30="Option 1",'Your moral weights'!$C12,IF('Your moral weights'!$E$30="Option 3",'Your moral weights'!$C26,IF('Your moral weights'!$E$30="Option 2",'Your moral weights'!$C19,"-")))</f>
        <v>-</v>
      </c>
      <c r="BB27" s="164" t="str">
        <f>IF('Your moral weights'!$E$30="Option 1",'Your moral weights'!$C12,IF('Your moral weights'!$E$30="Option 3",'Your moral weights'!$C26,IF('Your moral weights'!$E$30="Option 2",'Your moral weights'!$C19,"-")))</f>
        <v>-</v>
      </c>
      <c r="BC27" s="164" t="str">
        <f>IF('Your moral weights'!$E$30="Option 1",'Your moral weights'!$C12,IF('Your moral weights'!$E$30="Option 3",'Your moral weights'!$C26,IF('Your moral weights'!$E$30="Option 2",'Your moral weights'!$C19,"-")))</f>
        <v>-</v>
      </c>
      <c r="BD27" s="164" t="str">
        <f>IF('Your moral weights'!$E$30="Option 1",'Your moral weights'!$C12,IF('Your moral weights'!$E$30="Option 3",'Your moral weights'!$C26,IF('Your moral weights'!$E$30="Option 2",'Your moral weights'!$C19,"-")))</f>
        <v>-</v>
      </c>
      <c r="BE27" s="164" t="str">
        <f>IF('Your moral weights'!$E$30="Option 1",'Your moral weights'!$C12,IF('Your moral weights'!$E$30="Option 3",'Your moral weights'!$C26,IF('Your moral weights'!$E$30="Option 2",'Your moral weights'!$C19,"-")))</f>
        <v>-</v>
      </c>
      <c r="BF27" s="164" t="str">
        <f>IF('Your moral weights'!$E$30="Option 1",'Your moral weights'!$C12,IF('Your moral weights'!$E$30="Option 3",'Your moral weights'!$C26,IF('Your moral weights'!$E$30="Option 2",'Your moral weights'!$C19,"-")))</f>
        <v>-</v>
      </c>
      <c r="BG27" s="164" t="str">
        <f>IF('Your moral weights'!$E$30="Option 1",'Your moral weights'!$C12,IF('Your moral weights'!$E$30="Option 3",'Your moral weights'!$C26,IF('Your moral weights'!$E$30="Option 2",'Your moral weights'!$C19,"-")))</f>
        <v>-</v>
      </c>
      <c r="BH27" s="164" t="str">
        <f>IF('Your moral weights'!$E$30="Option 1",'Your moral weights'!$C12,IF('Your moral weights'!$E$30="Option 3",'Your moral weights'!$C26,IF('Your moral weights'!$E$30="Option 2",'Your moral weights'!$C19,"-")))</f>
        <v>-</v>
      </c>
      <c r="BI27" s="164" t="str">
        <f>IF('Your moral weights'!$E$30="Option 1",'Your moral weights'!$C12,IF('Your moral weights'!$E$30="Option 3",'Your moral weights'!$C26,IF('Your moral weights'!$E$30="Option 2",'Your moral weights'!$C19,"-")))</f>
        <v>-</v>
      </c>
      <c r="BJ27" s="164" t="str">
        <f>IF('Your moral weights'!$E$30="Option 1",'Your moral weights'!$C12,IF('Your moral weights'!$E$30="Option 3",'Your moral weights'!$C26,IF('Your moral weights'!$E$30="Option 2",'Your moral weights'!$C19,"-")))</f>
        <v>-</v>
      </c>
      <c r="BK27" s="164" t="str">
        <f>IF('Your moral weights'!$E$30="Option 1",'Your moral weights'!$C12,IF('Your moral weights'!$E$30="Option 3",'Your moral weights'!$C26,IF('Your moral weights'!$E$30="Option 2",'Your moral weights'!$C19,"-")))</f>
        <v>-</v>
      </c>
      <c r="BL27" s="164" t="str">
        <f>IF('Your moral weights'!$E$30="Option 1",'Your moral weights'!$C12,IF('Your moral weights'!$E$30="Option 3",'Your moral weights'!$C26,IF('Your moral weights'!$E$30="Option 2",'Your moral weights'!$C19,"-")))</f>
        <v>-</v>
      </c>
      <c r="BM27" s="164" t="str">
        <f>IF('Your moral weights'!$E$30="Option 1",'Your moral weights'!$C12,IF('Your moral weights'!$E$30="Option 3",'Your moral weights'!$C26,IF('Your moral weights'!$E$30="Option 2",'Your moral weights'!$C19,"-")))</f>
        <v>-</v>
      </c>
      <c r="BN27" s="164" t="str">
        <f>IF('Your moral weights'!$E$30="Option 1",'Your moral weights'!$C12,IF('Your moral weights'!$E$30="Option 3",'Your moral weights'!$C26,IF('Your moral weights'!$E$30="Option 2",'Your moral weights'!$C19,"-")))</f>
        <v>-</v>
      </c>
      <c r="BO27" s="164" t="str">
        <f>IF('Your moral weights'!$E$30="Option 1",'Your moral weights'!$C12,IF('Your moral weights'!$E$30="Option 3",'Your moral weights'!$C26,IF('Your moral weights'!$E$30="Option 2",'Your moral weights'!$C19,"-")))</f>
        <v>-</v>
      </c>
      <c r="BP27" s="164" t="str">
        <f>IF('Your moral weights'!$E$30="Option 1",'Your moral weights'!$C12,IF('Your moral weights'!$E$30="Option 3",'Your moral weights'!$C26,IF('Your moral weights'!$E$30="Option 2",'Your moral weights'!$C19,"-")))</f>
        <v>-</v>
      </c>
      <c r="BQ27" s="164" t="str">
        <f>IF('Your moral weights'!$E$30="Option 1",'Your moral weights'!$C12,IF('Your moral weights'!$E$30="Option 3",'Your moral weights'!$C26,IF('Your moral weights'!$E$30="Option 2",'Your moral weights'!$C19,"-")))</f>
        <v>-</v>
      </c>
      <c r="BR27" s="164" t="str">
        <f>IF('Your moral weights'!$E$30="Option 1",'Your moral weights'!$C12,IF('Your moral weights'!$E$30="Option 3",'Your moral weights'!$C26,IF('Your moral weights'!$E$30="Option 2",'Your moral weights'!$C19,"-")))</f>
        <v>-</v>
      </c>
      <c r="BS27" s="164" t="str">
        <f>IF('Your moral weights'!$E$30="Option 1",'Your moral weights'!$C12,IF('Your moral weights'!$E$30="Option 3",'Your moral weights'!$C26,IF('Your moral weights'!$E$30="Option 2",'Your moral weights'!$C19,"-")))</f>
        <v>-</v>
      </c>
      <c r="BT27" s="164" t="str">
        <f>IF('Your moral weights'!$E$30="Option 1",'Your moral weights'!$C12,IF('Your moral weights'!$E$30="Option 3",'Your moral weights'!$C26,IF('Your moral weights'!$E$30="Option 2",'Your moral weights'!$C19,"-")))</f>
        <v>-</v>
      </c>
      <c r="BU27" s="164" t="str">
        <f>IF('Your moral weights'!$E$30="Option 1",'Your moral weights'!$C12,IF('Your moral weights'!$E$30="Option 3",'Your moral weights'!$C26,IF('Your moral weights'!$E$30="Option 2",'Your moral weights'!$C19,"-")))</f>
        <v>-</v>
      </c>
      <c r="BV27" s="164" t="str">
        <f>IF('Your moral weights'!$E$30="Option 1",'Your moral weights'!$C12,IF('Your moral weights'!$E$30="Option 3",'Your moral weights'!$C26,IF('Your moral weights'!$E$30="Option 2",'Your moral weights'!$C19,"-")))</f>
        <v>-</v>
      </c>
      <c r="BW27" s="164" t="str">
        <f>IF('Your moral weights'!$E$30="Option 1",'Your moral weights'!$C12,IF('Your moral weights'!$E$30="Option 3",'Your moral weights'!$C26,IF('Your moral weights'!$E$30="Option 2",'Your moral weights'!$C19,"-")))</f>
        <v>-</v>
      </c>
      <c r="BX27" s="164" t="str">
        <f>IF('Your moral weights'!$E$30="Option 1",'Your moral weights'!$C12,IF('Your moral weights'!$E$30="Option 3",'Your moral weights'!$C26,IF('Your moral weights'!$E$30="Option 2",'Your moral weights'!$C19,"-")))</f>
        <v>-</v>
      </c>
      <c r="BY27" s="164" t="str">
        <f>IF('Your moral weights'!$E$30="Option 1",'Your moral weights'!$C12,IF('Your moral weights'!$E$30="Option 3",'Your moral weights'!$C26,IF('Your moral weights'!$E$30="Option 2",'Your moral weights'!$C19,"-")))</f>
        <v>-</v>
      </c>
      <c r="BZ27" s="164" t="str">
        <f>IF('Your moral weights'!$E$30="Option 1",'Your moral weights'!$C12,IF('Your moral weights'!$E$30="Option 3",'Your moral weights'!$C26,IF('Your moral weights'!$E$30="Option 2",'Your moral weights'!$C19,"-")))</f>
        <v>-</v>
      </c>
      <c r="CA27" s="164" t="str">
        <f>IF('Your moral weights'!$E$30="Option 1",'Your moral weights'!$C12,IF('Your moral weights'!$E$30="Option 3",'Your moral weights'!$C26,IF('Your moral weights'!$E$30="Option 2",'Your moral weights'!$C19,"-")))</f>
        <v>-</v>
      </c>
      <c r="CB27" s="164" t="str">
        <f>IF('Your moral weights'!$E$30="Option 1",'Your moral weights'!$C12,IF('Your moral weights'!$E$30="Option 3",'Your moral weights'!$C26,IF('Your moral weights'!$E$30="Option 2",'Your moral weights'!$C19,"-")))</f>
        <v>-</v>
      </c>
      <c r="CC27" s="164" t="str">
        <f>IF('Your moral weights'!$E$30="Option 1",'Your moral weights'!$C12,IF('Your moral weights'!$E$30="Option 3",'Your moral weights'!$C26,IF('Your moral weights'!$E$30="Option 2",'Your moral weights'!$C19,"-")))</f>
        <v>-</v>
      </c>
      <c r="CD27" s="164" t="str">
        <f>IF('Your moral weights'!$E$30="Option 1",'Your moral weights'!$C12,IF('Your moral weights'!$E$30="Option 3",'Your moral weights'!$C26,IF('Your moral weights'!$E$30="Option 2",'Your moral weights'!$C19,"-")))</f>
        <v>-</v>
      </c>
      <c r="CE27" s="164" t="str">
        <f>IF('Your moral weights'!$E$30="Option 1",'Your moral weights'!$C12,IF('Your moral weights'!$E$30="Option 3",'Your moral weights'!$C26,IF('Your moral weights'!$E$30="Option 2",'Your moral weights'!$C19,"-")))</f>
        <v>-</v>
      </c>
      <c r="CF27" s="164" t="str">
        <f>IF('Your moral weights'!$E$30="Option 1",'Your moral weights'!$C12,IF('Your moral weights'!$E$30="Option 3",'Your moral weights'!$C26,IF('Your moral weights'!$E$30="Option 2",'Your moral weights'!$C19,"-")))</f>
        <v>-</v>
      </c>
      <c r="CG27" s="164" t="str">
        <f>IF('Your moral weights'!$E$30="Option 1",'Your moral weights'!$C12,IF('Your moral weights'!$E$30="Option 3",'Your moral weights'!$C26,IF('Your moral weights'!$E$30="Option 2",'Your moral weights'!$C19,"-")))</f>
        <v>-</v>
      </c>
      <c r="CH27" s="164" t="str">
        <f>IF('Your moral weights'!$E$30="Option 1",'Your moral weights'!$C12,IF('Your moral weights'!$E$30="Option 3",'Your moral weights'!$C26,IF('Your moral weights'!$E$30="Option 2",'Your moral weights'!$C19,"-")))</f>
        <v>-</v>
      </c>
      <c r="CI27" s="164" t="str">
        <f>IF('Your moral weights'!$E$30="Option 1",'Your moral weights'!$C12,IF('Your moral weights'!$E$30="Option 3",'Your moral weights'!$C26,IF('Your moral weights'!$E$30="Option 2",'Your moral weights'!$C19,"-")))</f>
        <v>-</v>
      </c>
      <c r="CJ27" s="164" t="str">
        <f>IF('Your moral weights'!$E$30="Option 1",'Your moral weights'!$C12,IF('Your moral weights'!$E$30="Option 3",'Your moral weights'!$C26,IF('Your moral weights'!$E$30="Option 2",'Your moral weights'!$C19,"-")))</f>
        <v>-</v>
      </c>
      <c r="CK27" s="164" t="str">
        <f>IF('Your moral weights'!$E$30="Option 1",'Your moral weights'!$C12,IF('Your moral weights'!$E$30="Option 3",'Your moral weights'!$C26,IF('Your moral weights'!$E$30="Option 2",'Your moral weights'!$C19,"-")))</f>
        <v>-</v>
      </c>
      <c r="CL27" s="171" t="str">
        <f>IF('Your moral weights'!$E$30="Option 1",'Your moral weights'!$C12,IF('Your moral weights'!$E$30="Option 3",'Your moral weights'!$C26,IF('Your moral weights'!$E$30="Option 2",'Your moral weights'!$C19,"-")))</f>
        <v>-</v>
      </c>
    </row>
    <row r="28">
      <c r="B28" s="130"/>
      <c r="C28" s="142" t="s">
        <v>140</v>
      </c>
      <c r="D28" s="164" t="str">
        <f>IF('Your moral weights'!$E$30="Option 1",'Your moral weights'!$C13,IF('Your moral weights'!$E$30="Option 3",'Your moral weights'!$C27,IF('Your moral weights'!$E$30="Option 2",'Your moral weights'!$C20,"-")))</f>
        <v>-</v>
      </c>
      <c r="E28" s="164" t="str">
        <f>IF('Your moral weights'!$E$30="Option 1",'Your moral weights'!$C13,IF('Your moral weights'!$E$30="Option 3",'Your moral weights'!$C27,IF('Your moral weights'!$E$30="Option 2",'Your moral weights'!$C20,"-")))</f>
        <v>-</v>
      </c>
      <c r="F28" s="164" t="str">
        <f>IF('Your moral weights'!$E$30="Option 1",'Your moral weights'!$C13,IF('Your moral weights'!$E$30="Option 3",'Your moral weights'!$C27,IF('Your moral weights'!$E$30="Option 2",'Your moral weights'!$C20,"-")))</f>
        <v>-</v>
      </c>
      <c r="G28" s="164" t="str">
        <f>IF('Your moral weights'!$E$30="Option 1",'Your moral weights'!$C13,IF('Your moral weights'!$E$30="Option 3",'Your moral weights'!$C27,IF('Your moral weights'!$E$30="Option 2",'Your moral weights'!$C20,"-")))</f>
        <v>-</v>
      </c>
      <c r="H28" s="164" t="str">
        <f>IF('Your moral weights'!$E$30="Option 1",'Your moral weights'!$C13,IF('Your moral weights'!$E$30="Option 3",'Your moral weights'!$C27,IF('Your moral weights'!$E$30="Option 2",'Your moral weights'!$C20,"-")))</f>
        <v>-</v>
      </c>
      <c r="I28" s="164" t="str">
        <f>IF('Your moral weights'!$E$30="Option 1",'Your moral weights'!$C13,IF('Your moral weights'!$E$30="Option 3",'Your moral weights'!$C27,IF('Your moral weights'!$E$30="Option 2",'Your moral weights'!$C20,"-")))</f>
        <v>-</v>
      </c>
      <c r="J28" s="164" t="str">
        <f>IF('Your moral weights'!$E$30="Option 1",'Your moral weights'!$C13,IF('Your moral weights'!$E$30="Option 3",'Your moral weights'!$C27,IF('Your moral weights'!$E$30="Option 2",'Your moral weights'!$C20,"-")))</f>
        <v>-</v>
      </c>
      <c r="K28" s="164" t="str">
        <f>IF('Your moral weights'!$E$30="Option 1",'Your moral weights'!$C13,IF('Your moral weights'!$E$30="Option 3",'Your moral weights'!$C27,IF('Your moral weights'!$E$30="Option 2",'Your moral weights'!$C20,"-")))</f>
        <v>-</v>
      </c>
      <c r="L28" s="164" t="str">
        <f>IF('Your moral weights'!$E$30="Option 1",'Your moral weights'!$C13,IF('Your moral weights'!$E$30="Option 3",'Your moral weights'!$C27,IF('Your moral weights'!$E$30="Option 2",'Your moral weights'!$C20,"-")))</f>
        <v>-</v>
      </c>
      <c r="M28" s="164" t="str">
        <f>IF('Your moral weights'!$E$30="Option 1",'Your moral weights'!$C13,IF('Your moral weights'!$E$30="Option 3",'Your moral weights'!$C27,IF('Your moral weights'!$E$30="Option 2",'Your moral weights'!$C20,"-")))</f>
        <v>-</v>
      </c>
      <c r="N28" s="164" t="str">
        <f>IF('Your moral weights'!$E$30="Option 1",'Your moral weights'!$C13,IF('Your moral weights'!$E$30="Option 3",'Your moral weights'!$C27,IF('Your moral weights'!$E$30="Option 2",'Your moral weights'!$C20,"-")))</f>
        <v>-</v>
      </c>
      <c r="O28" s="164" t="str">
        <f>IF('Your moral weights'!$E$30="Option 1",'Your moral weights'!$C13,IF('Your moral weights'!$E$30="Option 3",'Your moral weights'!$C27,IF('Your moral weights'!$E$30="Option 2",'Your moral weights'!$C20,"-")))</f>
        <v>-</v>
      </c>
      <c r="P28" s="164" t="str">
        <f>IF('Your moral weights'!$E$30="Option 1",'Your moral weights'!$C13,IF('Your moral weights'!$E$30="Option 3",'Your moral weights'!$C27,IF('Your moral weights'!$E$30="Option 2",'Your moral weights'!$C20,"-")))</f>
        <v>-</v>
      </c>
      <c r="Q28" s="164" t="str">
        <f>IF('Your moral weights'!$E$30="Option 1",'Your moral weights'!$C13,IF('Your moral weights'!$E$30="Option 3",'Your moral weights'!$C27,IF('Your moral weights'!$E$30="Option 2",'Your moral weights'!$C20,"-")))</f>
        <v>-</v>
      </c>
      <c r="R28" s="164" t="str">
        <f>IF('Your moral weights'!$E$30="Option 1",'Your moral weights'!$C13,IF('Your moral weights'!$E$30="Option 3",'Your moral weights'!$C27,IF('Your moral weights'!$E$30="Option 2",'Your moral weights'!$C20,"-")))</f>
        <v>-</v>
      </c>
      <c r="S28" s="164" t="str">
        <f>IF('Your moral weights'!$E$30="Option 1",'Your moral weights'!$C13,IF('Your moral weights'!$E$30="Option 3",'Your moral weights'!$C27,IF('Your moral weights'!$E$30="Option 2",'Your moral weights'!$C20,"-")))</f>
        <v>-</v>
      </c>
      <c r="T28" s="164" t="str">
        <f>IF('Your moral weights'!$E$30="Option 1",'Your moral weights'!$C13,IF('Your moral weights'!$E$30="Option 3",'Your moral weights'!$C27,IF('Your moral weights'!$E$30="Option 2",'Your moral weights'!$C20,"-")))</f>
        <v>-</v>
      </c>
      <c r="U28" s="164" t="str">
        <f>IF('Your moral weights'!$E$30="Option 1",'Your moral weights'!$C13,IF('Your moral weights'!$E$30="Option 3",'Your moral weights'!$C27,IF('Your moral weights'!$E$30="Option 2",'Your moral weights'!$C20,"-")))</f>
        <v>-</v>
      </c>
      <c r="V28" s="164" t="str">
        <f>IF('Your moral weights'!$E$30="Option 1",'Your moral weights'!$C13,IF('Your moral weights'!$E$30="Option 3",'Your moral weights'!$C27,IF('Your moral weights'!$E$30="Option 2",'Your moral weights'!$C20,"-")))</f>
        <v>-</v>
      </c>
      <c r="W28" s="164" t="str">
        <f>IF('Your moral weights'!$E$30="Option 1",'Your moral weights'!$C13,IF('Your moral weights'!$E$30="Option 3",'Your moral weights'!$C27,IF('Your moral weights'!$E$30="Option 2",'Your moral weights'!$C20,"-")))</f>
        <v>-</v>
      </c>
      <c r="X28" s="164" t="str">
        <f>IF('Your moral weights'!$E$30="Option 1",'Your moral weights'!$C13,IF('Your moral weights'!$E$30="Option 3",'Your moral weights'!$C27,IF('Your moral weights'!$E$30="Option 2",'Your moral weights'!$C20,"-")))</f>
        <v>-</v>
      </c>
      <c r="Y28" s="164" t="str">
        <f>IF('Your moral weights'!$E$30="Option 1",'Your moral weights'!$C13,IF('Your moral weights'!$E$30="Option 3",'Your moral weights'!$C27,IF('Your moral weights'!$E$30="Option 2",'Your moral weights'!$C20,"-")))</f>
        <v>-</v>
      </c>
      <c r="Z28" s="164" t="str">
        <f>IF('Your moral weights'!$E$30="Option 1",'Your moral weights'!$C13,IF('Your moral weights'!$E$30="Option 3",'Your moral weights'!$C27,IF('Your moral weights'!$E$30="Option 2",'Your moral weights'!$C20,"-")))</f>
        <v>-</v>
      </c>
      <c r="AA28" s="164" t="str">
        <f>IF('Your moral weights'!$E$30="Option 1",'Your moral weights'!$C13,IF('Your moral weights'!$E$30="Option 3",'Your moral weights'!$C27,IF('Your moral weights'!$E$30="Option 2",'Your moral weights'!$C20,"-")))</f>
        <v>-</v>
      </c>
      <c r="AB28" s="164" t="str">
        <f>IF('Your moral weights'!$E$30="Option 1",'Your moral weights'!$C13,IF('Your moral weights'!$E$30="Option 3",'Your moral weights'!$C27,IF('Your moral weights'!$E$30="Option 2",'Your moral weights'!$C20,"-")))</f>
        <v>-</v>
      </c>
      <c r="AC28" s="164" t="str">
        <f>IF('Your moral weights'!$E$30="Option 1",'Your moral weights'!$C13,IF('Your moral weights'!$E$30="Option 3",'Your moral weights'!$C27,IF('Your moral weights'!$E$30="Option 2",'Your moral weights'!$C20,"-")))</f>
        <v>-</v>
      </c>
      <c r="AD28" s="164" t="str">
        <f>IF('Your moral weights'!$E$30="Option 1",'Your moral weights'!$C13,IF('Your moral weights'!$E$30="Option 3",'Your moral weights'!$C27,IF('Your moral weights'!$E$30="Option 2",'Your moral weights'!$C20,"-")))</f>
        <v>-</v>
      </c>
      <c r="AE28" s="164" t="str">
        <f>IF('Your moral weights'!$E$30="Option 1",'Your moral weights'!$C13,IF('Your moral weights'!$E$30="Option 3",'Your moral weights'!$C27,IF('Your moral weights'!$E$30="Option 2",'Your moral weights'!$C20,"-")))</f>
        <v>-</v>
      </c>
      <c r="AF28" s="164" t="str">
        <f>IF('Your moral weights'!$E$30="Option 1",'Your moral weights'!$C13,IF('Your moral weights'!$E$30="Option 3",'Your moral weights'!$C27,IF('Your moral weights'!$E$30="Option 2",'Your moral weights'!$C20,"-")))</f>
        <v>-</v>
      </c>
      <c r="AG28" s="164" t="str">
        <f>IF('Your moral weights'!$E$30="Option 1",'Your moral weights'!$C13,IF('Your moral weights'!$E$30="Option 3",'Your moral weights'!$C27,IF('Your moral weights'!$E$30="Option 2",'Your moral weights'!$C20,"-")))</f>
        <v>-</v>
      </c>
      <c r="AH28" s="164" t="str">
        <f>IF('Your moral weights'!$E$30="Option 1",'Your moral weights'!$C13,IF('Your moral weights'!$E$30="Option 3",'Your moral weights'!$C27,IF('Your moral weights'!$E$30="Option 2",'Your moral weights'!$C20,"-")))</f>
        <v>-</v>
      </c>
      <c r="AI28" s="164" t="str">
        <f>IF('Your moral weights'!$E$30="Option 1",'Your moral weights'!$C13,IF('Your moral weights'!$E$30="Option 3",'Your moral weights'!$C27,IF('Your moral weights'!$E$30="Option 2",'Your moral weights'!$C20,"-")))</f>
        <v>-</v>
      </c>
      <c r="AJ28" s="164" t="str">
        <f>IF('Your moral weights'!$E$30="Option 1",'Your moral weights'!$C13,IF('Your moral weights'!$E$30="Option 3",'Your moral weights'!$C27,IF('Your moral weights'!$E$30="Option 2",'Your moral weights'!$C20,"-")))</f>
        <v>-</v>
      </c>
      <c r="AK28" s="164" t="str">
        <f>IF('Your moral weights'!$E$30="Option 1",'Your moral weights'!$C13,IF('Your moral weights'!$E$30="Option 3",'Your moral weights'!$C27,IF('Your moral weights'!$E$30="Option 2",'Your moral weights'!$C20,"-")))</f>
        <v>-</v>
      </c>
      <c r="AL28" s="164" t="str">
        <f>IF('Your moral weights'!$E$30="Option 1",'Your moral weights'!$C13,IF('Your moral weights'!$E$30="Option 3",'Your moral weights'!$C27,IF('Your moral weights'!$E$30="Option 2",'Your moral weights'!$C20,"-")))</f>
        <v>-</v>
      </c>
      <c r="AM28" s="164" t="str">
        <f>IF('Your moral weights'!$E$30="Option 1",'Your moral weights'!$C13,IF('Your moral weights'!$E$30="Option 3",'Your moral weights'!$C27,IF('Your moral weights'!$E$30="Option 2",'Your moral weights'!$C20,"-")))</f>
        <v>-</v>
      </c>
      <c r="AN28" s="164" t="str">
        <f>IF('Your moral weights'!$E$30="Option 1",'Your moral weights'!$C13,IF('Your moral weights'!$E$30="Option 3",'Your moral weights'!$C27,IF('Your moral weights'!$E$30="Option 2",'Your moral weights'!$C20,"-")))</f>
        <v>-</v>
      </c>
      <c r="AO28" s="164" t="str">
        <f>IF('Your moral weights'!$E$30="Option 1",'Your moral weights'!$C13,IF('Your moral weights'!$E$30="Option 3",'Your moral weights'!$C27,IF('Your moral weights'!$E$30="Option 2",'Your moral weights'!$C20,"-")))</f>
        <v>-</v>
      </c>
      <c r="AP28" s="164" t="str">
        <f>IF('Your moral weights'!$E$30="Option 1",'Your moral weights'!$C13,IF('Your moral weights'!$E$30="Option 3",'Your moral weights'!$C27,IF('Your moral weights'!$E$30="Option 2",'Your moral weights'!$C20,"-")))</f>
        <v>-</v>
      </c>
      <c r="AQ28" s="164" t="str">
        <f>IF('Your moral weights'!$E$30="Option 1",'Your moral weights'!$C13,IF('Your moral weights'!$E$30="Option 3",'Your moral weights'!$C27,IF('Your moral weights'!$E$30="Option 2",'Your moral weights'!$C20,"-")))</f>
        <v>-</v>
      </c>
      <c r="AR28" s="164" t="str">
        <f>IF('Your moral weights'!$E$30="Option 1",'Your moral weights'!$C13,IF('Your moral weights'!$E$30="Option 3",'Your moral weights'!$C27,IF('Your moral weights'!$E$30="Option 2",'Your moral weights'!$C20,"-")))</f>
        <v>-</v>
      </c>
      <c r="AS28" s="164" t="str">
        <f>IF('Your moral weights'!$E$30="Option 1",'Your moral weights'!$C13,IF('Your moral weights'!$E$30="Option 3",'Your moral weights'!$C27,IF('Your moral weights'!$E$30="Option 2",'Your moral weights'!$C20,"-")))</f>
        <v>-</v>
      </c>
      <c r="AT28" s="164" t="str">
        <f>IF('Your moral weights'!$E$30="Option 1",'Your moral weights'!$C13,IF('Your moral weights'!$E$30="Option 3",'Your moral weights'!$C27,IF('Your moral weights'!$E$30="Option 2",'Your moral weights'!$C20,"-")))</f>
        <v>-</v>
      </c>
      <c r="AU28" s="164" t="str">
        <f>IF('Your moral weights'!$E$30="Option 1",'Your moral weights'!$C13,IF('Your moral weights'!$E$30="Option 3",'Your moral weights'!$C27,IF('Your moral weights'!$E$30="Option 2",'Your moral weights'!$C20,"-")))</f>
        <v>-</v>
      </c>
      <c r="AV28" s="164" t="str">
        <f>IF('Your moral weights'!$E$30="Option 1",'Your moral weights'!$C13,IF('Your moral weights'!$E$30="Option 3",'Your moral weights'!$C27,IF('Your moral weights'!$E$30="Option 2",'Your moral weights'!$C20,"-")))</f>
        <v>-</v>
      </c>
      <c r="AW28" s="164" t="str">
        <f>IF('Your moral weights'!$E$30="Option 1",'Your moral weights'!$C13,IF('Your moral weights'!$E$30="Option 3",'Your moral weights'!$C27,IF('Your moral weights'!$E$30="Option 2",'Your moral weights'!$C20,"-")))</f>
        <v>-</v>
      </c>
      <c r="AX28" s="164" t="str">
        <f>IF('Your moral weights'!$E$30="Option 1",'Your moral weights'!$C13,IF('Your moral weights'!$E$30="Option 3",'Your moral weights'!$C27,IF('Your moral weights'!$E$30="Option 2",'Your moral weights'!$C20,"-")))</f>
        <v>-</v>
      </c>
      <c r="AY28" s="164" t="str">
        <f>IF('Your moral weights'!$E$30="Option 1",'Your moral weights'!$C13,IF('Your moral weights'!$E$30="Option 3",'Your moral weights'!$C27,IF('Your moral weights'!$E$30="Option 2",'Your moral weights'!$C20,"-")))</f>
        <v>-</v>
      </c>
      <c r="AZ28" s="164" t="str">
        <f>IF('Your moral weights'!$E$30="Option 1",'Your moral weights'!$C13,IF('Your moral weights'!$E$30="Option 3",'Your moral weights'!$C27,IF('Your moral weights'!$E$30="Option 2",'Your moral weights'!$C20,"-")))</f>
        <v>-</v>
      </c>
      <c r="BA28" s="164" t="str">
        <f>IF('Your moral weights'!$E$30="Option 1",'Your moral weights'!$C13,IF('Your moral weights'!$E$30="Option 3",'Your moral weights'!$C27,IF('Your moral weights'!$E$30="Option 2",'Your moral weights'!$C20,"-")))</f>
        <v>-</v>
      </c>
      <c r="BB28" s="164" t="str">
        <f>IF('Your moral weights'!$E$30="Option 1",'Your moral weights'!$C13,IF('Your moral weights'!$E$30="Option 3",'Your moral weights'!$C27,IF('Your moral weights'!$E$30="Option 2",'Your moral weights'!$C20,"-")))</f>
        <v>-</v>
      </c>
      <c r="BC28" s="164" t="str">
        <f>IF('Your moral weights'!$E$30="Option 1",'Your moral weights'!$C13,IF('Your moral weights'!$E$30="Option 3",'Your moral weights'!$C27,IF('Your moral weights'!$E$30="Option 2",'Your moral weights'!$C20,"-")))</f>
        <v>-</v>
      </c>
      <c r="BD28" s="164" t="str">
        <f>IF('Your moral weights'!$E$30="Option 1",'Your moral weights'!$C13,IF('Your moral weights'!$E$30="Option 3",'Your moral weights'!$C27,IF('Your moral weights'!$E$30="Option 2",'Your moral weights'!$C20,"-")))</f>
        <v>-</v>
      </c>
      <c r="BE28" s="164" t="str">
        <f>IF('Your moral weights'!$E$30="Option 1",'Your moral weights'!$C13,IF('Your moral weights'!$E$30="Option 3",'Your moral weights'!$C27,IF('Your moral weights'!$E$30="Option 2",'Your moral weights'!$C20,"-")))</f>
        <v>-</v>
      </c>
      <c r="BF28" s="164" t="str">
        <f>IF('Your moral weights'!$E$30="Option 1",'Your moral weights'!$C13,IF('Your moral weights'!$E$30="Option 3",'Your moral weights'!$C27,IF('Your moral weights'!$E$30="Option 2",'Your moral weights'!$C20,"-")))</f>
        <v>-</v>
      </c>
      <c r="BG28" s="164" t="str">
        <f>IF('Your moral weights'!$E$30="Option 1",'Your moral weights'!$C13,IF('Your moral weights'!$E$30="Option 3",'Your moral weights'!$C27,IF('Your moral weights'!$E$30="Option 2",'Your moral weights'!$C20,"-")))</f>
        <v>-</v>
      </c>
      <c r="BH28" s="164" t="str">
        <f>IF('Your moral weights'!$E$30="Option 1",'Your moral weights'!$C13,IF('Your moral weights'!$E$30="Option 3",'Your moral weights'!$C27,IF('Your moral weights'!$E$30="Option 2",'Your moral weights'!$C20,"-")))</f>
        <v>-</v>
      </c>
      <c r="BI28" s="164" t="str">
        <f>IF('Your moral weights'!$E$30="Option 1",'Your moral weights'!$C13,IF('Your moral weights'!$E$30="Option 3",'Your moral weights'!$C27,IF('Your moral weights'!$E$30="Option 2",'Your moral weights'!$C20,"-")))</f>
        <v>-</v>
      </c>
      <c r="BJ28" s="164" t="str">
        <f>IF('Your moral weights'!$E$30="Option 1",'Your moral weights'!$C13,IF('Your moral weights'!$E$30="Option 3",'Your moral weights'!$C27,IF('Your moral weights'!$E$30="Option 2",'Your moral weights'!$C20,"-")))</f>
        <v>-</v>
      </c>
      <c r="BK28" s="164" t="str">
        <f>IF('Your moral weights'!$E$30="Option 1",'Your moral weights'!$C13,IF('Your moral weights'!$E$30="Option 3",'Your moral weights'!$C27,IF('Your moral weights'!$E$30="Option 2",'Your moral weights'!$C20,"-")))</f>
        <v>-</v>
      </c>
      <c r="BL28" s="164" t="str">
        <f>IF('Your moral weights'!$E$30="Option 1",'Your moral weights'!$C13,IF('Your moral weights'!$E$30="Option 3",'Your moral weights'!$C27,IF('Your moral weights'!$E$30="Option 2",'Your moral weights'!$C20,"-")))</f>
        <v>-</v>
      </c>
      <c r="BM28" s="164" t="str">
        <f>IF('Your moral weights'!$E$30="Option 1",'Your moral weights'!$C13,IF('Your moral weights'!$E$30="Option 3",'Your moral weights'!$C27,IF('Your moral weights'!$E$30="Option 2",'Your moral weights'!$C20,"-")))</f>
        <v>-</v>
      </c>
      <c r="BN28" s="164" t="str">
        <f>IF('Your moral weights'!$E$30="Option 1",'Your moral weights'!$C13,IF('Your moral weights'!$E$30="Option 3",'Your moral weights'!$C27,IF('Your moral weights'!$E$30="Option 2",'Your moral weights'!$C20,"-")))</f>
        <v>-</v>
      </c>
      <c r="BO28" s="164" t="str">
        <f>IF('Your moral weights'!$E$30="Option 1",'Your moral weights'!$C13,IF('Your moral weights'!$E$30="Option 3",'Your moral weights'!$C27,IF('Your moral weights'!$E$30="Option 2",'Your moral weights'!$C20,"-")))</f>
        <v>-</v>
      </c>
      <c r="BP28" s="164" t="str">
        <f>IF('Your moral weights'!$E$30="Option 1",'Your moral weights'!$C13,IF('Your moral weights'!$E$30="Option 3",'Your moral weights'!$C27,IF('Your moral weights'!$E$30="Option 2",'Your moral weights'!$C20,"-")))</f>
        <v>-</v>
      </c>
      <c r="BQ28" s="164" t="str">
        <f>IF('Your moral weights'!$E$30="Option 1",'Your moral weights'!$C13,IF('Your moral weights'!$E$30="Option 3",'Your moral weights'!$C27,IF('Your moral weights'!$E$30="Option 2",'Your moral weights'!$C20,"-")))</f>
        <v>-</v>
      </c>
      <c r="BR28" s="164" t="str">
        <f>IF('Your moral weights'!$E$30="Option 1",'Your moral weights'!$C13,IF('Your moral weights'!$E$30="Option 3",'Your moral weights'!$C27,IF('Your moral weights'!$E$30="Option 2",'Your moral weights'!$C20,"-")))</f>
        <v>-</v>
      </c>
      <c r="BS28" s="164" t="str">
        <f>IF('Your moral weights'!$E$30="Option 1",'Your moral weights'!$C13,IF('Your moral weights'!$E$30="Option 3",'Your moral weights'!$C27,IF('Your moral weights'!$E$30="Option 2",'Your moral weights'!$C20,"-")))</f>
        <v>-</v>
      </c>
      <c r="BT28" s="164" t="str">
        <f>IF('Your moral weights'!$E$30="Option 1",'Your moral weights'!$C13,IF('Your moral weights'!$E$30="Option 3",'Your moral weights'!$C27,IF('Your moral weights'!$E$30="Option 2",'Your moral weights'!$C20,"-")))</f>
        <v>-</v>
      </c>
      <c r="BU28" s="164" t="str">
        <f>IF('Your moral weights'!$E$30="Option 1",'Your moral weights'!$C13,IF('Your moral weights'!$E$30="Option 3",'Your moral weights'!$C27,IF('Your moral weights'!$E$30="Option 2",'Your moral weights'!$C20,"-")))</f>
        <v>-</v>
      </c>
      <c r="BV28" s="164" t="str">
        <f>IF('Your moral weights'!$E$30="Option 1",'Your moral weights'!$C13,IF('Your moral weights'!$E$30="Option 3",'Your moral weights'!$C27,IF('Your moral weights'!$E$30="Option 2",'Your moral weights'!$C20,"-")))</f>
        <v>-</v>
      </c>
      <c r="BW28" s="164" t="str">
        <f>IF('Your moral weights'!$E$30="Option 1",'Your moral weights'!$C13,IF('Your moral weights'!$E$30="Option 3",'Your moral weights'!$C27,IF('Your moral weights'!$E$30="Option 2",'Your moral weights'!$C20,"-")))</f>
        <v>-</v>
      </c>
      <c r="BX28" s="164" t="str">
        <f>IF('Your moral weights'!$E$30="Option 1",'Your moral weights'!$C13,IF('Your moral weights'!$E$30="Option 3",'Your moral weights'!$C27,IF('Your moral weights'!$E$30="Option 2",'Your moral weights'!$C20,"-")))</f>
        <v>-</v>
      </c>
      <c r="BY28" s="164" t="str">
        <f>IF('Your moral weights'!$E$30="Option 1",'Your moral weights'!$C13,IF('Your moral weights'!$E$30="Option 3",'Your moral weights'!$C27,IF('Your moral weights'!$E$30="Option 2",'Your moral weights'!$C20,"-")))</f>
        <v>-</v>
      </c>
      <c r="BZ28" s="164" t="str">
        <f>IF('Your moral weights'!$E$30="Option 1",'Your moral weights'!$C13,IF('Your moral weights'!$E$30="Option 3",'Your moral weights'!$C27,IF('Your moral weights'!$E$30="Option 2",'Your moral weights'!$C20,"-")))</f>
        <v>-</v>
      </c>
      <c r="CA28" s="164" t="str">
        <f>IF('Your moral weights'!$E$30="Option 1",'Your moral weights'!$C13,IF('Your moral weights'!$E$30="Option 3",'Your moral weights'!$C27,IF('Your moral weights'!$E$30="Option 2",'Your moral weights'!$C20,"-")))</f>
        <v>-</v>
      </c>
      <c r="CB28" s="164" t="str">
        <f>IF('Your moral weights'!$E$30="Option 1",'Your moral weights'!$C13,IF('Your moral weights'!$E$30="Option 3",'Your moral weights'!$C27,IF('Your moral weights'!$E$30="Option 2",'Your moral weights'!$C20,"-")))</f>
        <v>-</v>
      </c>
      <c r="CC28" s="164" t="str">
        <f>IF('Your moral weights'!$E$30="Option 1",'Your moral weights'!$C13,IF('Your moral weights'!$E$30="Option 3",'Your moral weights'!$C27,IF('Your moral weights'!$E$30="Option 2",'Your moral weights'!$C20,"-")))</f>
        <v>-</v>
      </c>
      <c r="CD28" s="164" t="str">
        <f>IF('Your moral weights'!$E$30="Option 1",'Your moral weights'!$C13,IF('Your moral weights'!$E$30="Option 3",'Your moral weights'!$C27,IF('Your moral weights'!$E$30="Option 2",'Your moral weights'!$C20,"-")))</f>
        <v>-</v>
      </c>
      <c r="CE28" s="164" t="str">
        <f>IF('Your moral weights'!$E$30="Option 1",'Your moral weights'!$C13,IF('Your moral weights'!$E$30="Option 3",'Your moral weights'!$C27,IF('Your moral weights'!$E$30="Option 2",'Your moral weights'!$C20,"-")))</f>
        <v>-</v>
      </c>
      <c r="CF28" s="164" t="str">
        <f>IF('Your moral weights'!$E$30="Option 1",'Your moral weights'!$C13,IF('Your moral weights'!$E$30="Option 3",'Your moral weights'!$C27,IF('Your moral weights'!$E$30="Option 2",'Your moral weights'!$C20,"-")))</f>
        <v>-</v>
      </c>
      <c r="CG28" s="164" t="str">
        <f>IF('Your moral weights'!$E$30="Option 1",'Your moral weights'!$C13,IF('Your moral weights'!$E$30="Option 3",'Your moral weights'!$C27,IF('Your moral weights'!$E$30="Option 2",'Your moral weights'!$C20,"-")))</f>
        <v>-</v>
      </c>
      <c r="CH28" s="164" t="str">
        <f>IF('Your moral weights'!$E$30="Option 1",'Your moral weights'!$C13,IF('Your moral weights'!$E$30="Option 3",'Your moral weights'!$C27,IF('Your moral weights'!$E$30="Option 2",'Your moral weights'!$C20,"-")))</f>
        <v>-</v>
      </c>
      <c r="CI28" s="164" t="str">
        <f>IF('Your moral weights'!$E$30="Option 1",'Your moral weights'!$C13,IF('Your moral weights'!$E$30="Option 3",'Your moral weights'!$C27,IF('Your moral weights'!$E$30="Option 2",'Your moral weights'!$C20,"-")))</f>
        <v>-</v>
      </c>
      <c r="CJ28" s="164" t="str">
        <f>IF('Your moral weights'!$E$30="Option 1",'Your moral weights'!$C13,IF('Your moral weights'!$E$30="Option 3",'Your moral weights'!$C27,IF('Your moral weights'!$E$30="Option 2",'Your moral weights'!$C20,"-")))</f>
        <v>-</v>
      </c>
      <c r="CK28" s="164" t="str">
        <f>IF('Your moral weights'!$E$30="Option 1",'Your moral weights'!$C13,IF('Your moral weights'!$E$30="Option 3",'Your moral weights'!$C27,IF('Your moral weights'!$E$30="Option 2",'Your moral weights'!$C20,"-")))</f>
        <v>-</v>
      </c>
      <c r="CL28" s="171" t="str">
        <f>IF('Your moral weights'!$E$30="Option 1",'Your moral weights'!$C13,IF('Your moral weights'!$E$30="Option 3",'Your moral weights'!$C27,IF('Your moral weights'!$E$30="Option 2",'Your moral weights'!$C20,"-")))</f>
        <v>-</v>
      </c>
    </row>
    <row r="29">
      <c r="B29" s="130"/>
      <c r="C29" s="142" t="s">
        <v>141</v>
      </c>
      <c r="D29" s="164" t="str">
        <f>IF('Your moral weights'!$E$30="Option 1",'Your moral weights'!$C14,IF('Your moral weights'!$E$30="Option 3",'Your moral weights'!$C28,IF('Your moral weights'!$E$30="Option 2",'Your moral weights'!$C21,"-")))</f>
        <v>-</v>
      </c>
      <c r="E29" s="164" t="str">
        <f>IF('Your moral weights'!$E$30="Option 1",'Your moral weights'!$C14,IF('Your moral weights'!$E$30="Option 3",'Your moral weights'!$C28,IF('Your moral weights'!$E$30="Option 2",'Your moral weights'!$C21,"-")))</f>
        <v>-</v>
      </c>
      <c r="F29" s="164" t="str">
        <f>IF('Your moral weights'!$E$30="Option 1",'Your moral weights'!$C14,IF('Your moral weights'!$E$30="Option 3",'Your moral weights'!$C28,IF('Your moral weights'!$E$30="Option 2",'Your moral weights'!$C21,"-")))</f>
        <v>-</v>
      </c>
      <c r="G29" s="164" t="str">
        <f>IF('Your moral weights'!$E$30="Option 1",'Your moral weights'!$C14,IF('Your moral weights'!$E$30="Option 3",'Your moral weights'!$C28,IF('Your moral weights'!$E$30="Option 2",'Your moral weights'!$C21,"-")))</f>
        <v>-</v>
      </c>
      <c r="H29" s="164" t="str">
        <f>IF('Your moral weights'!$E$30="Option 1",'Your moral weights'!$C14,IF('Your moral weights'!$E$30="Option 3",'Your moral weights'!$C28,IF('Your moral weights'!$E$30="Option 2",'Your moral weights'!$C21,"-")))</f>
        <v>-</v>
      </c>
      <c r="I29" s="164" t="str">
        <f>IF('Your moral weights'!$E$30="Option 1",'Your moral weights'!$C14,IF('Your moral weights'!$E$30="Option 3",'Your moral weights'!$C28,IF('Your moral weights'!$E$30="Option 2",'Your moral weights'!$C21,"-")))</f>
        <v>-</v>
      </c>
      <c r="J29" s="164" t="str">
        <f>IF('Your moral weights'!$E$30="Option 1",'Your moral weights'!$C14,IF('Your moral weights'!$E$30="Option 3",'Your moral weights'!$C28,IF('Your moral weights'!$E$30="Option 2",'Your moral weights'!$C21,"-")))</f>
        <v>-</v>
      </c>
      <c r="K29" s="164" t="str">
        <f>IF('Your moral weights'!$E$30="Option 1",'Your moral weights'!$C14,IF('Your moral weights'!$E$30="Option 3",'Your moral weights'!$C28,IF('Your moral weights'!$E$30="Option 2",'Your moral weights'!$C21,"-")))</f>
        <v>-</v>
      </c>
      <c r="L29" s="164" t="str">
        <f>IF('Your moral weights'!$E$30="Option 1",'Your moral weights'!$C14,IF('Your moral weights'!$E$30="Option 3",'Your moral weights'!$C28,IF('Your moral weights'!$E$30="Option 2",'Your moral weights'!$C21,"-")))</f>
        <v>-</v>
      </c>
      <c r="M29" s="164" t="str">
        <f>IF('Your moral weights'!$E$30="Option 1",'Your moral weights'!$C14,IF('Your moral weights'!$E$30="Option 3",'Your moral weights'!$C28,IF('Your moral weights'!$E$30="Option 2",'Your moral weights'!$C21,"-")))</f>
        <v>-</v>
      </c>
      <c r="N29" s="164" t="str">
        <f>IF('Your moral weights'!$E$30="Option 1",'Your moral weights'!$C14,IF('Your moral weights'!$E$30="Option 3",'Your moral weights'!$C28,IF('Your moral weights'!$E$30="Option 2",'Your moral weights'!$C21,"-")))</f>
        <v>-</v>
      </c>
      <c r="O29" s="164" t="str">
        <f>IF('Your moral weights'!$E$30="Option 1",'Your moral weights'!$C14,IF('Your moral weights'!$E$30="Option 3",'Your moral weights'!$C28,IF('Your moral weights'!$E$30="Option 2",'Your moral weights'!$C21,"-")))</f>
        <v>-</v>
      </c>
      <c r="P29" s="164" t="str">
        <f>IF('Your moral weights'!$E$30="Option 1",'Your moral weights'!$C14,IF('Your moral weights'!$E$30="Option 3",'Your moral weights'!$C28,IF('Your moral weights'!$E$30="Option 2",'Your moral weights'!$C21,"-")))</f>
        <v>-</v>
      </c>
      <c r="Q29" s="164" t="str">
        <f>IF('Your moral weights'!$E$30="Option 1",'Your moral weights'!$C14,IF('Your moral weights'!$E$30="Option 3",'Your moral weights'!$C28,IF('Your moral weights'!$E$30="Option 2",'Your moral weights'!$C21,"-")))</f>
        <v>-</v>
      </c>
      <c r="R29" s="164" t="str">
        <f>IF('Your moral weights'!$E$30="Option 1",'Your moral weights'!$C14,IF('Your moral weights'!$E$30="Option 3",'Your moral weights'!$C28,IF('Your moral weights'!$E$30="Option 2",'Your moral weights'!$C21,"-")))</f>
        <v>-</v>
      </c>
      <c r="S29" s="164" t="str">
        <f>IF('Your moral weights'!$E$30="Option 1",'Your moral weights'!$C14,IF('Your moral weights'!$E$30="Option 3",'Your moral weights'!$C28,IF('Your moral weights'!$E$30="Option 2",'Your moral weights'!$C21,"-")))</f>
        <v>-</v>
      </c>
      <c r="T29" s="164" t="str">
        <f>IF('Your moral weights'!$E$30="Option 1",'Your moral weights'!$C14,IF('Your moral weights'!$E$30="Option 3",'Your moral weights'!$C28,IF('Your moral weights'!$E$30="Option 2",'Your moral weights'!$C21,"-")))</f>
        <v>-</v>
      </c>
      <c r="U29" s="164" t="str">
        <f>IF('Your moral weights'!$E$30="Option 1",'Your moral weights'!$C14,IF('Your moral weights'!$E$30="Option 3",'Your moral weights'!$C28,IF('Your moral weights'!$E$30="Option 2",'Your moral weights'!$C21,"-")))</f>
        <v>-</v>
      </c>
      <c r="V29" s="164" t="str">
        <f>IF('Your moral weights'!$E$30="Option 1",'Your moral weights'!$C14,IF('Your moral weights'!$E$30="Option 3",'Your moral weights'!$C28,IF('Your moral weights'!$E$30="Option 2",'Your moral weights'!$C21,"-")))</f>
        <v>-</v>
      </c>
      <c r="W29" s="164" t="str">
        <f>IF('Your moral weights'!$E$30="Option 1",'Your moral weights'!$C14,IF('Your moral weights'!$E$30="Option 3",'Your moral weights'!$C28,IF('Your moral weights'!$E$30="Option 2",'Your moral weights'!$C21,"-")))</f>
        <v>-</v>
      </c>
      <c r="X29" s="164" t="str">
        <f>IF('Your moral weights'!$E$30="Option 1",'Your moral weights'!$C14,IF('Your moral weights'!$E$30="Option 3",'Your moral weights'!$C28,IF('Your moral weights'!$E$30="Option 2",'Your moral weights'!$C21,"-")))</f>
        <v>-</v>
      </c>
      <c r="Y29" s="164" t="str">
        <f>IF('Your moral weights'!$E$30="Option 1",'Your moral weights'!$C14,IF('Your moral weights'!$E$30="Option 3",'Your moral weights'!$C28,IF('Your moral weights'!$E$30="Option 2",'Your moral weights'!$C21,"-")))</f>
        <v>-</v>
      </c>
      <c r="Z29" s="164" t="str">
        <f>IF('Your moral weights'!$E$30="Option 1",'Your moral weights'!$C14,IF('Your moral weights'!$E$30="Option 3",'Your moral weights'!$C28,IF('Your moral weights'!$E$30="Option 2",'Your moral weights'!$C21,"-")))</f>
        <v>-</v>
      </c>
      <c r="AA29" s="164" t="str">
        <f>IF('Your moral weights'!$E$30="Option 1",'Your moral weights'!$C14,IF('Your moral weights'!$E$30="Option 3",'Your moral weights'!$C28,IF('Your moral weights'!$E$30="Option 2",'Your moral weights'!$C21,"-")))</f>
        <v>-</v>
      </c>
      <c r="AB29" s="164" t="str">
        <f>IF('Your moral weights'!$E$30="Option 1",'Your moral weights'!$C14,IF('Your moral weights'!$E$30="Option 3",'Your moral weights'!$C28,IF('Your moral weights'!$E$30="Option 2",'Your moral weights'!$C21,"-")))</f>
        <v>-</v>
      </c>
      <c r="AC29" s="164" t="str">
        <f>IF('Your moral weights'!$E$30="Option 1",'Your moral weights'!$C14,IF('Your moral weights'!$E$30="Option 3",'Your moral weights'!$C28,IF('Your moral weights'!$E$30="Option 2",'Your moral weights'!$C21,"-")))</f>
        <v>-</v>
      </c>
      <c r="AD29" s="164" t="str">
        <f>IF('Your moral weights'!$E$30="Option 1",'Your moral weights'!$C14,IF('Your moral weights'!$E$30="Option 3",'Your moral weights'!$C28,IF('Your moral weights'!$E$30="Option 2",'Your moral weights'!$C21,"-")))</f>
        <v>-</v>
      </c>
      <c r="AE29" s="164" t="str">
        <f>IF('Your moral weights'!$E$30="Option 1",'Your moral weights'!$C14,IF('Your moral weights'!$E$30="Option 3",'Your moral weights'!$C28,IF('Your moral weights'!$E$30="Option 2",'Your moral weights'!$C21,"-")))</f>
        <v>-</v>
      </c>
      <c r="AF29" s="164" t="str">
        <f>IF('Your moral weights'!$E$30="Option 1",'Your moral weights'!$C14,IF('Your moral weights'!$E$30="Option 3",'Your moral weights'!$C28,IF('Your moral weights'!$E$30="Option 2",'Your moral weights'!$C21,"-")))</f>
        <v>-</v>
      </c>
      <c r="AG29" s="164" t="str">
        <f>IF('Your moral weights'!$E$30="Option 1",'Your moral weights'!$C14,IF('Your moral weights'!$E$30="Option 3",'Your moral weights'!$C28,IF('Your moral weights'!$E$30="Option 2",'Your moral weights'!$C21,"-")))</f>
        <v>-</v>
      </c>
      <c r="AH29" s="164" t="str">
        <f>IF('Your moral weights'!$E$30="Option 1",'Your moral weights'!$C14,IF('Your moral weights'!$E$30="Option 3",'Your moral weights'!$C28,IF('Your moral weights'!$E$30="Option 2",'Your moral weights'!$C21,"-")))</f>
        <v>-</v>
      </c>
      <c r="AI29" s="164" t="str">
        <f>IF('Your moral weights'!$E$30="Option 1",'Your moral weights'!$C14,IF('Your moral weights'!$E$30="Option 3",'Your moral weights'!$C28,IF('Your moral weights'!$E$30="Option 2",'Your moral weights'!$C21,"-")))</f>
        <v>-</v>
      </c>
      <c r="AJ29" s="164" t="str">
        <f>IF('Your moral weights'!$E$30="Option 1",'Your moral weights'!$C14,IF('Your moral weights'!$E$30="Option 3",'Your moral weights'!$C28,IF('Your moral weights'!$E$30="Option 2",'Your moral weights'!$C21,"-")))</f>
        <v>-</v>
      </c>
      <c r="AK29" s="164" t="str">
        <f>IF('Your moral weights'!$E$30="Option 1",'Your moral weights'!$C14,IF('Your moral weights'!$E$30="Option 3",'Your moral weights'!$C28,IF('Your moral weights'!$E$30="Option 2",'Your moral weights'!$C21,"-")))</f>
        <v>-</v>
      </c>
      <c r="AL29" s="164" t="str">
        <f>IF('Your moral weights'!$E$30="Option 1",'Your moral weights'!$C14,IF('Your moral weights'!$E$30="Option 3",'Your moral weights'!$C28,IF('Your moral weights'!$E$30="Option 2",'Your moral weights'!$C21,"-")))</f>
        <v>-</v>
      </c>
      <c r="AM29" s="164" t="str">
        <f>IF('Your moral weights'!$E$30="Option 1",'Your moral weights'!$C14,IF('Your moral weights'!$E$30="Option 3",'Your moral weights'!$C28,IF('Your moral weights'!$E$30="Option 2",'Your moral weights'!$C21,"-")))</f>
        <v>-</v>
      </c>
      <c r="AN29" s="164" t="str">
        <f>IF('Your moral weights'!$E$30="Option 1",'Your moral weights'!$C14,IF('Your moral weights'!$E$30="Option 3",'Your moral weights'!$C28,IF('Your moral weights'!$E$30="Option 2",'Your moral weights'!$C21,"-")))</f>
        <v>-</v>
      </c>
      <c r="AO29" s="164" t="str">
        <f>IF('Your moral weights'!$E$30="Option 1",'Your moral weights'!$C14,IF('Your moral weights'!$E$30="Option 3",'Your moral weights'!$C28,IF('Your moral weights'!$E$30="Option 2",'Your moral weights'!$C21,"-")))</f>
        <v>-</v>
      </c>
      <c r="AP29" s="164" t="str">
        <f>IF('Your moral weights'!$E$30="Option 1",'Your moral weights'!$C14,IF('Your moral weights'!$E$30="Option 3",'Your moral weights'!$C28,IF('Your moral weights'!$E$30="Option 2",'Your moral weights'!$C21,"-")))</f>
        <v>-</v>
      </c>
      <c r="AQ29" s="164" t="str">
        <f>IF('Your moral weights'!$E$30="Option 1",'Your moral weights'!$C14,IF('Your moral weights'!$E$30="Option 3",'Your moral weights'!$C28,IF('Your moral weights'!$E$30="Option 2",'Your moral weights'!$C21,"-")))</f>
        <v>-</v>
      </c>
      <c r="AR29" s="164" t="str">
        <f>IF('Your moral weights'!$E$30="Option 1",'Your moral weights'!$C14,IF('Your moral weights'!$E$30="Option 3",'Your moral weights'!$C28,IF('Your moral weights'!$E$30="Option 2",'Your moral weights'!$C21,"-")))</f>
        <v>-</v>
      </c>
      <c r="AS29" s="164" t="str">
        <f>IF('Your moral weights'!$E$30="Option 1",'Your moral weights'!$C14,IF('Your moral weights'!$E$30="Option 3",'Your moral weights'!$C28,IF('Your moral weights'!$E$30="Option 2",'Your moral weights'!$C21,"-")))</f>
        <v>-</v>
      </c>
      <c r="AT29" s="164" t="str">
        <f>IF('Your moral weights'!$E$30="Option 1",'Your moral weights'!$C14,IF('Your moral weights'!$E$30="Option 3",'Your moral weights'!$C28,IF('Your moral weights'!$E$30="Option 2",'Your moral weights'!$C21,"-")))</f>
        <v>-</v>
      </c>
      <c r="AU29" s="164" t="str">
        <f>IF('Your moral weights'!$E$30="Option 1",'Your moral weights'!$C14,IF('Your moral weights'!$E$30="Option 3",'Your moral weights'!$C28,IF('Your moral weights'!$E$30="Option 2",'Your moral weights'!$C21,"-")))</f>
        <v>-</v>
      </c>
      <c r="AV29" s="164" t="str">
        <f>IF('Your moral weights'!$E$30="Option 1",'Your moral weights'!$C14,IF('Your moral weights'!$E$30="Option 3",'Your moral weights'!$C28,IF('Your moral weights'!$E$30="Option 2",'Your moral weights'!$C21,"-")))</f>
        <v>-</v>
      </c>
      <c r="AW29" s="164" t="str">
        <f>IF('Your moral weights'!$E$30="Option 1",'Your moral weights'!$C14,IF('Your moral weights'!$E$30="Option 3",'Your moral weights'!$C28,IF('Your moral weights'!$E$30="Option 2",'Your moral weights'!$C21,"-")))</f>
        <v>-</v>
      </c>
      <c r="AX29" s="164" t="str">
        <f>IF('Your moral weights'!$E$30="Option 1",'Your moral weights'!$C14,IF('Your moral weights'!$E$30="Option 3",'Your moral weights'!$C28,IF('Your moral weights'!$E$30="Option 2",'Your moral weights'!$C21,"-")))</f>
        <v>-</v>
      </c>
      <c r="AY29" s="164" t="str">
        <f>IF('Your moral weights'!$E$30="Option 1",'Your moral weights'!$C14,IF('Your moral weights'!$E$30="Option 3",'Your moral weights'!$C28,IF('Your moral weights'!$E$30="Option 2",'Your moral weights'!$C21,"-")))</f>
        <v>-</v>
      </c>
      <c r="AZ29" s="164" t="str">
        <f>IF('Your moral weights'!$E$30="Option 1",'Your moral weights'!$C14,IF('Your moral weights'!$E$30="Option 3",'Your moral weights'!$C28,IF('Your moral weights'!$E$30="Option 2",'Your moral weights'!$C21,"-")))</f>
        <v>-</v>
      </c>
      <c r="BA29" s="164" t="str">
        <f>IF('Your moral weights'!$E$30="Option 1",'Your moral weights'!$C14,IF('Your moral weights'!$E$30="Option 3",'Your moral weights'!$C28,IF('Your moral weights'!$E$30="Option 2",'Your moral weights'!$C21,"-")))</f>
        <v>-</v>
      </c>
      <c r="BB29" s="164" t="str">
        <f>IF('Your moral weights'!$E$30="Option 1",'Your moral weights'!$C14,IF('Your moral weights'!$E$30="Option 3",'Your moral weights'!$C28,IF('Your moral weights'!$E$30="Option 2",'Your moral weights'!$C21,"-")))</f>
        <v>-</v>
      </c>
      <c r="BC29" s="164" t="str">
        <f>IF('Your moral weights'!$E$30="Option 1",'Your moral weights'!$C14,IF('Your moral weights'!$E$30="Option 3",'Your moral weights'!$C28,IF('Your moral weights'!$E$30="Option 2",'Your moral weights'!$C21,"-")))</f>
        <v>-</v>
      </c>
      <c r="BD29" s="164" t="str">
        <f>IF('Your moral weights'!$E$30="Option 1",'Your moral weights'!$C14,IF('Your moral weights'!$E$30="Option 3",'Your moral weights'!$C28,IF('Your moral weights'!$E$30="Option 2",'Your moral weights'!$C21,"-")))</f>
        <v>-</v>
      </c>
      <c r="BE29" s="164" t="str">
        <f>IF('Your moral weights'!$E$30="Option 1",'Your moral weights'!$C14,IF('Your moral weights'!$E$30="Option 3",'Your moral weights'!$C28,IF('Your moral weights'!$E$30="Option 2",'Your moral weights'!$C21,"-")))</f>
        <v>-</v>
      </c>
      <c r="BF29" s="164" t="str">
        <f>IF('Your moral weights'!$E$30="Option 1",'Your moral weights'!$C14,IF('Your moral weights'!$E$30="Option 3",'Your moral weights'!$C28,IF('Your moral weights'!$E$30="Option 2",'Your moral weights'!$C21,"-")))</f>
        <v>-</v>
      </c>
      <c r="BG29" s="164" t="str">
        <f>IF('Your moral weights'!$E$30="Option 1",'Your moral weights'!$C14,IF('Your moral weights'!$E$30="Option 3",'Your moral weights'!$C28,IF('Your moral weights'!$E$30="Option 2",'Your moral weights'!$C21,"-")))</f>
        <v>-</v>
      </c>
      <c r="BH29" s="164" t="str">
        <f>IF('Your moral weights'!$E$30="Option 1",'Your moral weights'!$C14,IF('Your moral weights'!$E$30="Option 3",'Your moral weights'!$C28,IF('Your moral weights'!$E$30="Option 2",'Your moral weights'!$C21,"-")))</f>
        <v>-</v>
      </c>
      <c r="BI29" s="164" t="str">
        <f>IF('Your moral weights'!$E$30="Option 1",'Your moral weights'!$C14,IF('Your moral weights'!$E$30="Option 3",'Your moral weights'!$C28,IF('Your moral weights'!$E$30="Option 2",'Your moral weights'!$C21,"-")))</f>
        <v>-</v>
      </c>
      <c r="BJ29" s="164" t="str">
        <f>IF('Your moral weights'!$E$30="Option 1",'Your moral weights'!$C14,IF('Your moral weights'!$E$30="Option 3",'Your moral weights'!$C28,IF('Your moral weights'!$E$30="Option 2",'Your moral weights'!$C21,"-")))</f>
        <v>-</v>
      </c>
      <c r="BK29" s="164" t="str">
        <f>IF('Your moral weights'!$E$30="Option 1",'Your moral weights'!$C14,IF('Your moral weights'!$E$30="Option 3",'Your moral weights'!$C28,IF('Your moral weights'!$E$30="Option 2",'Your moral weights'!$C21,"-")))</f>
        <v>-</v>
      </c>
      <c r="BL29" s="164" t="str">
        <f>IF('Your moral weights'!$E$30="Option 1",'Your moral weights'!$C14,IF('Your moral weights'!$E$30="Option 3",'Your moral weights'!$C28,IF('Your moral weights'!$E$30="Option 2",'Your moral weights'!$C21,"-")))</f>
        <v>-</v>
      </c>
      <c r="BM29" s="164" t="str">
        <f>IF('Your moral weights'!$E$30="Option 1",'Your moral weights'!$C14,IF('Your moral weights'!$E$30="Option 3",'Your moral weights'!$C28,IF('Your moral weights'!$E$30="Option 2",'Your moral weights'!$C21,"-")))</f>
        <v>-</v>
      </c>
      <c r="BN29" s="164" t="str">
        <f>IF('Your moral weights'!$E$30="Option 1",'Your moral weights'!$C14,IF('Your moral weights'!$E$30="Option 3",'Your moral weights'!$C28,IF('Your moral weights'!$E$30="Option 2",'Your moral weights'!$C21,"-")))</f>
        <v>-</v>
      </c>
      <c r="BO29" s="164" t="str">
        <f>IF('Your moral weights'!$E$30="Option 1",'Your moral weights'!$C14,IF('Your moral weights'!$E$30="Option 3",'Your moral weights'!$C28,IF('Your moral weights'!$E$30="Option 2",'Your moral weights'!$C21,"-")))</f>
        <v>-</v>
      </c>
      <c r="BP29" s="164" t="str">
        <f>IF('Your moral weights'!$E$30="Option 1",'Your moral weights'!$C14,IF('Your moral weights'!$E$30="Option 3",'Your moral weights'!$C28,IF('Your moral weights'!$E$30="Option 2",'Your moral weights'!$C21,"-")))</f>
        <v>-</v>
      </c>
      <c r="BQ29" s="164" t="str">
        <f>IF('Your moral weights'!$E$30="Option 1",'Your moral weights'!$C14,IF('Your moral weights'!$E$30="Option 3",'Your moral weights'!$C28,IF('Your moral weights'!$E$30="Option 2",'Your moral weights'!$C21,"-")))</f>
        <v>-</v>
      </c>
      <c r="BR29" s="164" t="str">
        <f>IF('Your moral weights'!$E$30="Option 1",'Your moral weights'!$C14,IF('Your moral weights'!$E$30="Option 3",'Your moral weights'!$C28,IF('Your moral weights'!$E$30="Option 2",'Your moral weights'!$C21,"-")))</f>
        <v>-</v>
      </c>
      <c r="BS29" s="164" t="str">
        <f>IF('Your moral weights'!$E$30="Option 1",'Your moral weights'!$C14,IF('Your moral weights'!$E$30="Option 3",'Your moral weights'!$C28,IF('Your moral weights'!$E$30="Option 2",'Your moral weights'!$C21,"-")))</f>
        <v>-</v>
      </c>
      <c r="BT29" s="164" t="str">
        <f>IF('Your moral weights'!$E$30="Option 1",'Your moral weights'!$C14,IF('Your moral weights'!$E$30="Option 3",'Your moral weights'!$C28,IF('Your moral weights'!$E$30="Option 2",'Your moral weights'!$C21,"-")))</f>
        <v>-</v>
      </c>
      <c r="BU29" s="164" t="str">
        <f>IF('Your moral weights'!$E$30="Option 1",'Your moral weights'!$C14,IF('Your moral weights'!$E$30="Option 3",'Your moral weights'!$C28,IF('Your moral weights'!$E$30="Option 2",'Your moral weights'!$C21,"-")))</f>
        <v>-</v>
      </c>
      <c r="BV29" s="164" t="str">
        <f>IF('Your moral weights'!$E$30="Option 1",'Your moral weights'!$C14,IF('Your moral weights'!$E$30="Option 3",'Your moral weights'!$C28,IF('Your moral weights'!$E$30="Option 2",'Your moral weights'!$C21,"-")))</f>
        <v>-</v>
      </c>
      <c r="BW29" s="164" t="str">
        <f>IF('Your moral weights'!$E$30="Option 1",'Your moral weights'!$C14,IF('Your moral weights'!$E$30="Option 3",'Your moral weights'!$C28,IF('Your moral weights'!$E$30="Option 2",'Your moral weights'!$C21,"-")))</f>
        <v>-</v>
      </c>
      <c r="BX29" s="164" t="str">
        <f>IF('Your moral weights'!$E$30="Option 1",'Your moral weights'!$C14,IF('Your moral weights'!$E$30="Option 3",'Your moral weights'!$C28,IF('Your moral weights'!$E$30="Option 2",'Your moral weights'!$C21,"-")))</f>
        <v>-</v>
      </c>
      <c r="BY29" s="164" t="str">
        <f>IF('Your moral weights'!$E$30="Option 1",'Your moral weights'!$C14,IF('Your moral weights'!$E$30="Option 3",'Your moral weights'!$C28,IF('Your moral weights'!$E$30="Option 2",'Your moral weights'!$C21,"-")))</f>
        <v>-</v>
      </c>
      <c r="BZ29" s="164" t="str">
        <f>IF('Your moral weights'!$E$30="Option 1",'Your moral weights'!$C14,IF('Your moral weights'!$E$30="Option 3",'Your moral weights'!$C28,IF('Your moral weights'!$E$30="Option 2",'Your moral weights'!$C21,"-")))</f>
        <v>-</v>
      </c>
      <c r="CA29" s="164" t="str">
        <f>IF('Your moral weights'!$E$30="Option 1",'Your moral weights'!$C14,IF('Your moral weights'!$E$30="Option 3",'Your moral weights'!$C28,IF('Your moral weights'!$E$30="Option 2",'Your moral weights'!$C21,"-")))</f>
        <v>-</v>
      </c>
      <c r="CB29" s="164" t="str">
        <f>IF('Your moral weights'!$E$30="Option 1",'Your moral weights'!$C14,IF('Your moral weights'!$E$30="Option 3",'Your moral weights'!$C28,IF('Your moral weights'!$E$30="Option 2",'Your moral weights'!$C21,"-")))</f>
        <v>-</v>
      </c>
      <c r="CC29" s="164" t="str">
        <f>IF('Your moral weights'!$E$30="Option 1",'Your moral weights'!$C14,IF('Your moral weights'!$E$30="Option 3",'Your moral weights'!$C28,IF('Your moral weights'!$E$30="Option 2",'Your moral weights'!$C21,"-")))</f>
        <v>-</v>
      </c>
      <c r="CD29" s="164" t="str">
        <f>IF('Your moral weights'!$E$30="Option 1",'Your moral weights'!$C14,IF('Your moral weights'!$E$30="Option 3",'Your moral weights'!$C28,IF('Your moral weights'!$E$30="Option 2",'Your moral weights'!$C21,"-")))</f>
        <v>-</v>
      </c>
      <c r="CE29" s="164" t="str">
        <f>IF('Your moral weights'!$E$30="Option 1",'Your moral weights'!$C14,IF('Your moral weights'!$E$30="Option 3",'Your moral weights'!$C28,IF('Your moral weights'!$E$30="Option 2",'Your moral weights'!$C21,"-")))</f>
        <v>-</v>
      </c>
      <c r="CF29" s="164" t="str">
        <f>IF('Your moral weights'!$E$30="Option 1",'Your moral weights'!$C14,IF('Your moral weights'!$E$30="Option 3",'Your moral weights'!$C28,IF('Your moral weights'!$E$30="Option 2",'Your moral weights'!$C21,"-")))</f>
        <v>-</v>
      </c>
      <c r="CG29" s="164" t="str">
        <f>IF('Your moral weights'!$E$30="Option 1",'Your moral weights'!$C14,IF('Your moral weights'!$E$30="Option 3",'Your moral weights'!$C28,IF('Your moral weights'!$E$30="Option 2",'Your moral weights'!$C21,"-")))</f>
        <v>-</v>
      </c>
      <c r="CH29" s="164" t="str">
        <f>IF('Your moral weights'!$E$30="Option 1",'Your moral weights'!$C14,IF('Your moral weights'!$E$30="Option 3",'Your moral weights'!$C28,IF('Your moral weights'!$E$30="Option 2",'Your moral weights'!$C21,"-")))</f>
        <v>-</v>
      </c>
      <c r="CI29" s="164" t="str">
        <f>IF('Your moral weights'!$E$30="Option 1",'Your moral weights'!$C14,IF('Your moral weights'!$E$30="Option 3",'Your moral weights'!$C28,IF('Your moral weights'!$E$30="Option 2",'Your moral weights'!$C21,"-")))</f>
        <v>-</v>
      </c>
      <c r="CJ29" s="164" t="str">
        <f>IF('Your moral weights'!$E$30="Option 1",'Your moral weights'!$C14,IF('Your moral weights'!$E$30="Option 3",'Your moral weights'!$C28,IF('Your moral weights'!$E$30="Option 2",'Your moral weights'!$C21,"-")))</f>
        <v>-</v>
      </c>
      <c r="CK29" s="164" t="str">
        <f>IF('Your moral weights'!$E$30="Option 1",'Your moral weights'!$C14,IF('Your moral weights'!$E$30="Option 3",'Your moral weights'!$C28,IF('Your moral weights'!$E$30="Option 2",'Your moral weights'!$C21,"-")))</f>
        <v>-</v>
      </c>
      <c r="CL29" s="171" t="str">
        <f>IF('Your moral weights'!$E$30="Option 1",'Your moral weights'!$C14,IF('Your moral weights'!$E$30="Option 3",'Your moral weights'!$C28,IF('Your moral weights'!$E$30="Option 2",'Your moral weights'!$C21,"-")))</f>
        <v>-</v>
      </c>
    </row>
    <row r="30">
      <c r="B30" s="130"/>
      <c r="C30" s="142" t="s">
        <v>142</v>
      </c>
      <c r="D30" s="164" t="str">
        <f>IF('Your moral weights'!$E$30="Option 1",'Your moral weights'!$C15,IF('Your moral weights'!$E$30="Option 3",'Your moral weights'!$C29,IF('Your moral weights'!$E$30="Option 2",'Your moral weights'!$C22,"-")))</f>
        <v>-</v>
      </c>
      <c r="E30" s="164" t="str">
        <f>IF('Your moral weights'!$E$30="Option 1",'Your moral weights'!$C15,IF('Your moral weights'!$E$30="Option 3",'Your moral weights'!$C29,IF('Your moral weights'!$E$30="Option 2",'Your moral weights'!$C22,"-")))</f>
        <v>-</v>
      </c>
      <c r="F30" s="164" t="str">
        <f>IF('Your moral weights'!$E$30="Option 1",'Your moral weights'!$C15,IF('Your moral weights'!$E$30="Option 3",'Your moral weights'!$C29,IF('Your moral weights'!$E$30="Option 2",'Your moral weights'!$C22,"-")))</f>
        <v>-</v>
      </c>
      <c r="G30" s="164" t="str">
        <f>IF('Your moral weights'!$E$30="Option 1",'Your moral weights'!$C15,IF('Your moral weights'!$E$30="Option 3",'Your moral weights'!$C29,IF('Your moral weights'!$E$30="Option 2",'Your moral weights'!$C22,"-")))</f>
        <v>-</v>
      </c>
      <c r="H30" s="164" t="str">
        <f>IF('Your moral weights'!$E$30="Option 1",'Your moral weights'!$C15,IF('Your moral weights'!$E$30="Option 3",'Your moral weights'!$C29,IF('Your moral weights'!$E$30="Option 2",'Your moral weights'!$C22,"-")))</f>
        <v>-</v>
      </c>
      <c r="I30" s="164" t="str">
        <f>IF('Your moral weights'!$E$30="Option 1",'Your moral weights'!$C15,IF('Your moral weights'!$E$30="Option 3",'Your moral weights'!$C29,IF('Your moral weights'!$E$30="Option 2",'Your moral weights'!$C22,"-")))</f>
        <v>-</v>
      </c>
      <c r="J30" s="164" t="str">
        <f>IF('Your moral weights'!$E$30="Option 1",'Your moral weights'!$C15,IF('Your moral weights'!$E$30="Option 3",'Your moral weights'!$C29,IF('Your moral weights'!$E$30="Option 2",'Your moral weights'!$C22,"-")))</f>
        <v>-</v>
      </c>
      <c r="K30" s="164" t="str">
        <f>IF('Your moral weights'!$E$30="Option 1",'Your moral weights'!$C15,IF('Your moral weights'!$E$30="Option 3",'Your moral weights'!$C29,IF('Your moral weights'!$E$30="Option 2",'Your moral weights'!$C22,"-")))</f>
        <v>-</v>
      </c>
      <c r="L30" s="164" t="str">
        <f>IF('Your moral weights'!$E$30="Option 1",'Your moral weights'!$C15,IF('Your moral weights'!$E$30="Option 3",'Your moral weights'!$C29,IF('Your moral weights'!$E$30="Option 2",'Your moral weights'!$C22,"-")))</f>
        <v>-</v>
      </c>
      <c r="M30" s="164" t="str">
        <f>IF('Your moral weights'!$E$30="Option 1",'Your moral weights'!$C15,IF('Your moral weights'!$E$30="Option 3",'Your moral weights'!$C29,IF('Your moral weights'!$E$30="Option 2",'Your moral weights'!$C22,"-")))</f>
        <v>-</v>
      </c>
      <c r="N30" s="164" t="str">
        <f>IF('Your moral weights'!$E$30="Option 1",'Your moral weights'!$C15,IF('Your moral weights'!$E$30="Option 3",'Your moral weights'!$C29,IF('Your moral weights'!$E$30="Option 2",'Your moral weights'!$C22,"-")))</f>
        <v>-</v>
      </c>
      <c r="O30" s="164" t="str">
        <f>IF('Your moral weights'!$E$30="Option 1",'Your moral weights'!$C15,IF('Your moral weights'!$E$30="Option 3",'Your moral weights'!$C29,IF('Your moral weights'!$E$30="Option 2",'Your moral weights'!$C22,"-")))</f>
        <v>-</v>
      </c>
      <c r="P30" s="164" t="str">
        <f>IF('Your moral weights'!$E$30="Option 1",'Your moral weights'!$C15,IF('Your moral weights'!$E$30="Option 3",'Your moral weights'!$C29,IF('Your moral weights'!$E$30="Option 2",'Your moral weights'!$C22,"-")))</f>
        <v>-</v>
      </c>
      <c r="Q30" s="164" t="str">
        <f>IF('Your moral weights'!$E$30="Option 1",'Your moral weights'!$C15,IF('Your moral weights'!$E$30="Option 3",'Your moral weights'!$C29,IF('Your moral weights'!$E$30="Option 2",'Your moral weights'!$C22,"-")))</f>
        <v>-</v>
      </c>
      <c r="R30" s="164" t="str">
        <f>IF('Your moral weights'!$E$30="Option 1",'Your moral weights'!$C15,IF('Your moral weights'!$E$30="Option 3",'Your moral weights'!$C29,IF('Your moral weights'!$E$30="Option 2",'Your moral weights'!$C22,"-")))</f>
        <v>-</v>
      </c>
      <c r="S30" s="164" t="str">
        <f>IF('Your moral weights'!$E$30="Option 1",'Your moral weights'!$C15,IF('Your moral weights'!$E$30="Option 3",'Your moral weights'!$C29,IF('Your moral weights'!$E$30="Option 2",'Your moral weights'!$C22,"-")))</f>
        <v>-</v>
      </c>
      <c r="T30" s="164" t="str">
        <f>IF('Your moral weights'!$E$30="Option 1",'Your moral weights'!$C15,IF('Your moral weights'!$E$30="Option 3",'Your moral weights'!$C29,IF('Your moral weights'!$E$30="Option 2",'Your moral weights'!$C22,"-")))</f>
        <v>-</v>
      </c>
      <c r="U30" s="164" t="str">
        <f>IF('Your moral weights'!$E$30="Option 1",'Your moral weights'!$C15,IF('Your moral weights'!$E$30="Option 3",'Your moral weights'!$C29,IF('Your moral weights'!$E$30="Option 2",'Your moral weights'!$C22,"-")))</f>
        <v>-</v>
      </c>
      <c r="V30" s="164" t="str">
        <f>IF('Your moral weights'!$E$30="Option 1",'Your moral weights'!$C15,IF('Your moral weights'!$E$30="Option 3",'Your moral weights'!$C29,IF('Your moral weights'!$E$30="Option 2",'Your moral weights'!$C22,"-")))</f>
        <v>-</v>
      </c>
      <c r="W30" s="164" t="str">
        <f>IF('Your moral weights'!$E$30="Option 1",'Your moral weights'!$C15,IF('Your moral weights'!$E$30="Option 3",'Your moral weights'!$C29,IF('Your moral weights'!$E$30="Option 2",'Your moral weights'!$C22,"-")))</f>
        <v>-</v>
      </c>
      <c r="X30" s="164" t="str">
        <f>IF('Your moral weights'!$E$30="Option 1",'Your moral weights'!$C15,IF('Your moral weights'!$E$30="Option 3",'Your moral weights'!$C29,IF('Your moral weights'!$E$30="Option 2",'Your moral weights'!$C22,"-")))</f>
        <v>-</v>
      </c>
      <c r="Y30" s="164" t="str">
        <f>IF('Your moral weights'!$E$30="Option 1",'Your moral weights'!$C15,IF('Your moral weights'!$E$30="Option 3",'Your moral weights'!$C29,IF('Your moral weights'!$E$30="Option 2",'Your moral weights'!$C22,"-")))</f>
        <v>-</v>
      </c>
      <c r="Z30" s="164" t="str">
        <f>IF('Your moral weights'!$E$30="Option 1",'Your moral weights'!$C15,IF('Your moral weights'!$E$30="Option 3",'Your moral weights'!$C29,IF('Your moral weights'!$E$30="Option 2",'Your moral weights'!$C22,"-")))</f>
        <v>-</v>
      </c>
      <c r="AA30" s="164" t="str">
        <f>IF('Your moral weights'!$E$30="Option 1",'Your moral weights'!$C15,IF('Your moral weights'!$E$30="Option 3",'Your moral weights'!$C29,IF('Your moral weights'!$E$30="Option 2",'Your moral weights'!$C22,"-")))</f>
        <v>-</v>
      </c>
      <c r="AB30" s="164" t="str">
        <f>IF('Your moral weights'!$E$30="Option 1",'Your moral weights'!$C15,IF('Your moral weights'!$E$30="Option 3",'Your moral weights'!$C29,IF('Your moral weights'!$E$30="Option 2",'Your moral weights'!$C22,"-")))</f>
        <v>-</v>
      </c>
      <c r="AC30" s="164" t="str">
        <f>IF('Your moral weights'!$E$30="Option 1",'Your moral weights'!$C15,IF('Your moral weights'!$E$30="Option 3",'Your moral weights'!$C29,IF('Your moral weights'!$E$30="Option 2",'Your moral weights'!$C22,"-")))</f>
        <v>-</v>
      </c>
      <c r="AD30" s="164" t="str">
        <f>IF('Your moral weights'!$E$30="Option 1",'Your moral weights'!$C15,IF('Your moral weights'!$E$30="Option 3",'Your moral weights'!$C29,IF('Your moral weights'!$E$30="Option 2",'Your moral weights'!$C22,"-")))</f>
        <v>-</v>
      </c>
      <c r="AE30" s="164" t="str">
        <f>IF('Your moral weights'!$E$30="Option 1",'Your moral weights'!$C15,IF('Your moral weights'!$E$30="Option 3",'Your moral weights'!$C29,IF('Your moral weights'!$E$30="Option 2",'Your moral weights'!$C22,"-")))</f>
        <v>-</v>
      </c>
      <c r="AF30" s="164" t="str">
        <f>IF('Your moral weights'!$E$30="Option 1",'Your moral weights'!$C15,IF('Your moral weights'!$E$30="Option 3",'Your moral weights'!$C29,IF('Your moral weights'!$E$30="Option 2",'Your moral weights'!$C22,"-")))</f>
        <v>-</v>
      </c>
      <c r="AG30" s="164" t="str">
        <f>IF('Your moral weights'!$E$30="Option 1",'Your moral weights'!$C15,IF('Your moral weights'!$E$30="Option 3",'Your moral weights'!$C29,IF('Your moral weights'!$E$30="Option 2",'Your moral weights'!$C22,"-")))</f>
        <v>-</v>
      </c>
      <c r="AH30" s="164" t="str">
        <f>IF('Your moral weights'!$E$30="Option 1",'Your moral weights'!$C15,IF('Your moral weights'!$E$30="Option 3",'Your moral weights'!$C29,IF('Your moral weights'!$E$30="Option 2",'Your moral weights'!$C22,"-")))</f>
        <v>-</v>
      </c>
      <c r="AI30" s="164" t="str">
        <f>IF('Your moral weights'!$E$30="Option 1",'Your moral weights'!$C15,IF('Your moral weights'!$E$30="Option 3",'Your moral weights'!$C29,IF('Your moral weights'!$E$30="Option 2",'Your moral weights'!$C22,"-")))</f>
        <v>-</v>
      </c>
      <c r="AJ30" s="164" t="str">
        <f>IF('Your moral weights'!$E$30="Option 1",'Your moral weights'!$C15,IF('Your moral weights'!$E$30="Option 3",'Your moral weights'!$C29,IF('Your moral weights'!$E$30="Option 2",'Your moral weights'!$C22,"-")))</f>
        <v>-</v>
      </c>
      <c r="AK30" s="164" t="str">
        <f>IF('Your moral weights'!$E$30="Option 1",'Your moral weights'!$C15,IF('Your moral weights'!$E$30="Option 3",'Your moral weights'!$C29,IF('Your moral weights'!$E$30="Option 2",'Your moral weights'!$C22,"-")))</f>
        <v>-</v>
      </c>
      <c r="AL30" s="164" t="str">
        <f>IF('Your moral weights'!$E$30="Option 1",'Your moral weights'!$C15,IF('Your moral weights'!$E$30="Option 3",'Your moral weights'!$C29,IF('Your moral weights'!$E$30="Option 2",'Your moral weights'!$C22,"-")))</f>
        <v>-</v>
      </c>
      <c r="AM30" s="164" t="str">
        <f>IF('Your moral weights'!$E$30="Option 1",'Your moral weights'!$C15,IF('Your moral weights'!$E$30="Option 3",'Your moral weights'!$C29,IF('Your moral weights'!$E$30="Option 2",'Your moral weights'!$C22,"-")))</f>
        <v>-</v>
      </c>
      <c r="AN30" s="164" t="str">
        <f>IF('Your moral weights'!$E$30="Option 1",'Your moral weights'!$C15,IF('Your moral weights'!$E$30="Option 3",'Your moral weights'!$C29,IF('Your moral weights'!$E$30="Option 2",'Your moral weights'!$C22,"-")))</f>
        <v>-</v>
      </c>
      <c r="AO30" s="164" t="str">
        <f>IF('Your moral weights'!$E$30="Option 1",'Your moral weights'!$C15,IF('Your moral weights'!$E$30="Option 3",'Your moral weights'!$C29,IF('Your moral weights'!$E$30="Option 2",'Your moral weights'!$C22,"-")))</f>
        <v>-</v>
      </c>
      <c r="AP30" s="164" t="str">
        <f>IF('Your moral weights'!$E$30="Option 1",'Your moral weights'!$C15,IF('Your moral weights'!$E$30="Option 3",'Your moral weights'!$C29,IF('Your moral weights'!$E$30="Option 2",'Your moral weights'!$C22,"-")))</f>
        <v>-</v>
      </c>
      <c r="AQ30" s="164" t="str">
        <f>IF('Your moral weights'!$E$30="Option 1",'Your moral weights'!$C15,IF('Your moral weights'!$E$30="Option 3",'Your moral weights'!$C29,IF('Your moral weights'!$E$30="Option 2",'Your moral weights'!$C22,"-")))</f>
        <v>-</v>
      </c>
      <c r="AR30" s="164" t="str">
        <f>IF('Your moral weights'!$E$30="Option 1",'Your moral weights'!$C15,IF('Your moral weights'!$E$30="Option 3",'Your moral weights'!$C29,IF('Your moral weights'!$E$30="Option 2",'Your moral weights'!$C22,"-")))</f>
        <v>-</v>
      </c>
      <c r="AS30" s="164" t="str">
        <f>IF('Your moral weights'!$E$30="Option 1",'Your moral weights'!$C15,IF('Your moral weights'!$E$30="Option 3",'Your moral weights'!$C29,IF('Your moral weights'!$E$30="Option 2",'Your moral weights'!$C22,"-")))</f>
        <v>-</v>
      </c>
      <c r="AT30" s="164" t="str">
        <f>IF('Your moral weights'!$E$30="Option 1",'Your moral weights'!$C15,IF('Your moral weights'!$E$30="Option 3",'Your moral weights'!$C29,IF('Your moral weights'!$E$30="Option 2",'Your moral weights'!$C22,"-")))</f>
        <v>-</v>
      </c>
      <c r="AU30" s="164" t="str">
        <f>IF('Your moral weights'!$E$30="Option 1",'Your moral weights'!$C15,IF('Your moral weights'!$E$30="Option 3",'Your moral weights'!$C29,IF('Your moral weights'!$E$30="Option 2",'Your moral weights'!$C22,"-")))</f>
        <v>-</v>
      </c>
      <c r="AV30" s="164" t="str">
        <f>IF('Your moral weights'!$E$30="Option 1",'Your moral weights'!$C15,IF('Your moral weights'!$E$30="Option 3",'Your moral weights'!$C29,IF('Your moral weights'!$E$30="Option 2",'Your moral weights'!$C22,"-")))</f>
        <v>-</v>
      </c>
      <c r="AW30" s="164" t="str">
        <f>IF('Your moral weights'!$E$30="Option 1",'Your moral weights'!$C15,IF('Your moral weights'!$E$30="Option 3",'Your moral weights'!$C29,IF('Your moral weights'!$E$30="Option 2",'Your moral weights'!$C22,"-")))</f>
        <v>-</v>
      </c>
      <c r="AX30" s="164" t="str">
        <f>IF('Your moral weights'!$E$30="Option 1",'Your moral weights'!$C15,IF('Your moral weights'!$E$30="Option 3",'Your moral weights'!$C29,IF('Your moral weights'!$E$30="Option 2",'Your moral weights'!$C22,"-")))</f>
        <v>-</v>
      </c>
      <c r="AY30" s="164" t="str">
        <f>IF('Your moral weights'!$E$30="Option 1",'Your moral weights'!$C15,IF('Your moral weights'!$E$30="Option 3",'Your moral weights'!$C29,IF('Your moral weights'!$E$30="Option 2",'Your moral weights'!$C22,"-")))</f>
        <v>-</v>
      </c>
      <c r="AZ30" s="164" t="str">
        <f>IF('Your moral weights'!$E$30="Option 1",'Your moral weights'!$C15,IF('Your moral weights'!$E$30="Option 3",'Your moral weights'!$C29,IF('Your moral weights'!$E$30="Option 2",'Your moral weights'!$C22,"-")))</f>
        <v>-</v>
      </c>
      <c r="BA30" s="164" t="str">
        <f>IF('Your moral weights'!$E$30="Option 1",'Your moral weights'!$C15,IF('Your moral weights'!$E$30="Option 3",'Your moral weights'!$C29,IF('Your moral weights'!$E$30="Option 2",'Your moral weights'!$C22,"-")))</f>
        <v>-</v>
      </c>
      <c r="BB30" s="164" t="str">
        <f>IF('Your moral weights'!$E$30="Option 1",'Your moral weights'!$C15,IF('Your moral weights'!$E$30="Option 3",'Your moral weights'!$C29,IF('Your moral weights'!$E$30="Option 2",'Your moral weights'!$C22,"-")))</f>
        <v>-</v>
      </c>
      <c r="BC30" s="164" t="str">
        <f>IF('Your moral weights'!$E$30="Option 1",'Your moral weights'!$C15,IF('Your moral weights'!$E$30="Option 3",'Your moral weights'!$C29,IF('Your moral weights'!$E$30="Option 2",'Your moral weights'!$C22,"-")))</f>
        <v>-</v>
      </c>
      <c r="BD30" s="164" t="str">
        <f>IF('Your moral weights'!$E$30="Option 1",'Your moral weights'!$C15,IF('Your moral weights'!$E$30="Option 3",'Your moral weights'!$C29,IF('Your moral weights'!$E$30="Option 2",'Your moral weights'!$C22,"-")))</f>
        <v>-</v>
      </c>
      <c r="BE30" s="164" t="str">
        <f>IF('Your moral weights'!$E$30="Option 1",'Your moral weights'!$C15,IF('Your moral weights'!$E$30="Option 3",'Your moral weights'!$C29,IF('Your moral weights'!$E$30="Option 2",'Your moral weights'!$C22,"-")))</f>
        <v>-</v>
      </c>
      <c r="BF30" s="164" t="str">
        <f>IF('Your moral weights'!$E$30="Option 1",'Your moral weights'!$C15,IF('Your moral weights'!$E$30="Option 3",'Your moral weights'!$C29,IF('Your moral weights'!$E$30="Option 2",'Your moral weights'!$C22,"-")))</f>
        <v>-</v>
      </c>
      <c r="BG30" s="164" t="str">
        <f>IF('Your moral weights'!$E$30="Option 1",'Your moral weights'!$C15,IF('Your moral weights'!$E$30="Option 3",'Your moral weights'!$C29,IF('Your moral weights'!$E$30="Option 2",'Your moral weights'!$C22,"-")))</f>
        <v>-</v>
      </c>
      <c r="BH30" s="164" t="str">
        <f>IF('Your moral weights'!$E$30="Option 1",'Your moral weights'!$C15,IF('Your moral weights'!$E$30="Option 3",'Your moral weights'!$C29,IF('Your moral weights'!$E$30="Option 2",'Your moral weights'!$C22,"-")))</f>
        <v>-</v>
      </c>
      <c r="BI30" s="164" t="str">
        <f>IF('Your moral weights'!$E$30="Option 1",'Your moral weights'!$C15,IF('Your moral weights'!$E$30="Option 3",'Your moral weights'!$C29,IF('Your moral weights'!$E$30="Option 2",'Your moral weights'!$C22,"-")))</f>
        <v>-</v>
      </c>
      <c r="BJ30" s="164" t="str">
        <f>IF('Your moral weights'!$E$30="Option 1",'Your moral weights'!$C15,IF('Your moral weights'!$E$30="Option 3",'Your moral weights'!$C29,IF('Your moral weights'!$E$30="Option 2",'Your moral weights'!$C22,"-")))</f>
        <v>-</v>
      </c>
      <c r="BK30" s="164" t="str">
        <f>IF('Your moral weights'!$E$30="Option 1",'Your moral weights'!$C15,IF('Your moral weights'!$E$30="Option 3",'Your moral weights'!$C29,IF('Your moral weights'!$E$30="Option 2",'Your moral weights'!$C22,"-")))</f>
        <v>-</v>
      </c>
      <c r="BL30" s="164" t="str">
        <f>IF('Your moral weights'!$E$30="Option 1",'Your moral weights'!$C15,IF('Your moral weights'!$E$30="Option 3",'Your moral weights'!$C29,IF('Your moral weights'!$E$30="Option 2",'Your moral weights'!$C22,"-")))</f>
        <v>-</v>
      </c>
      <c r="BM30" s="164" t="str">
        <f>IF('Your moral weights'!$E$30="Option 1",'Your moral weights'!$C15,IF('Your moral weights'!$E$30="Option 3",'Your moral weights'!$C29,IF('Your moral weights'!$E$30="Option 2",'Your moral weights'!$C22,"-")))</f>
        <v>-</v>
      </c>
      <c r="BN30" s="164" t="str">
        <f>IF('Your moral weights'!$E$30="Option 1",'Your moral weights'!$C15,IF('Your moral weights'!$E$30="Option 3",'Your moral weights'!$C29,IF('Your moral weights'!$E$30="Option 2",'Your moral weights'!$C22,"-")))</f>
        <v>-</v>
      </c>
      <c r="BO30" s="164" t="str">
        <f>IF('Your moral weights'!$E$30="Option 1",'Your moral weights'!$C15,IF('Your moral weights'!$E$30="Option 3",'Your moral weights'!$C29,IF('Your moral weights'!$E$30="Option 2",'Your moral weights'!$C22,"-")))</f>
        <v>-</v>
      </c>
      <c r="BP30" s="164" t="str">
        <f>IF('Your moral weights'!$E$30="Option 1",'Your moral weights'!$C15,IF('Your moral weights'!$E$30="Option 3",'Your moral weights'!$C29,IF('Your moral weights'!$E$30="Option 2",'Your moral weights'!$C22,"-")))</f>
        <v>-</v>
      </c>
      <c r="BQ30" s="164" t="str">
        <f>IF('Your moral weights'!$E$30="Option 1",'Your moral weights'!$C15,IF('Your moral weights'!$E$30="Option 3",'Your moral weights'!$C29,IF('Your moral weights'!$E$30="Option 2",'Your moral weights'!$C22,"-")))</f>
        <v>-</v>
      </c>
      <c r="BR30" s="164" t="str">
        <f>IF('Your moral weights'!$E$30="Option 1",'Your moral weights'!$C15,IF('Your moral weights'!$E$30="Option 3",'Your moral weights'!$C29,IF('Your moral weights'!$E$30="Option 2",'Your moral weights'!$C22,"-")))</f>
        <v>-</v>
      </c>
      <c r="BS30" s="164" t="str">
        <f>IF('Your moral weights'!$E$30="Option 1",'Your moral weights'!$C15,IF('Your moral weights'!$E$30="Option 3",'Your moral weights'!$C29,IF('Your moral weights'!$E$30="Option 2",'Your moral weights'!$C22,"-")))</f>
        <v>-</v>
      </c>
      <c r="BT30" s="164" t="str">
        <f>IF('Your moral weights'!$E$30="Option 1",'Your moral weights'!$C15,IF('Your moral weights'!$E$30="Option 3",'Your moral weights'!$C29,IF('Your moral weights'!$E$30="Option 2",'Your moral weights'!$C22,"-")))</f>
        <v>-</v>
      </c>
      <c r="BU30" s="164" t="str">
        <f>IF('Your moral weights'!$E$30="Option 1",'Your moral weights'!$C15,IF('Your moral weights'!$E$30="Option 3",'Your moral weights'!$C29,IF('Your moral weights'!$E$30="Option 2",'Your moral weights'!$C22,"-")))</f>
        <v>-</v>
      </c>
      <c r="BV30" s="164" t="str">
        <f>IF('Your moral weights'!$E$30="Option 1",'Your moral weights'!$C15,IF('Your moral weights'!$E$30="Option 3",'Your moral weights'!$C29,IF('Your moral weights'!$E$30="Option 2",'Your moral weights'!$C22,"-")))</f>
        <v>-</v>
      </c>
      <c r="BW30" s="164" t="str">
        <f>IF('Your moral weights'!$E$30="Option 1",'Your moral weights'!$C15,IF('Your moral weights'!$E$30="Option 3",'Your moral weights'!$C29,IF('Your moral weights'!$E$30="Option 2",'Your moral weights'!$C22,"-")))</f>
        <v>-</v>
      </c>
      <c r="BX30" s="164" t="str">
        <f>IF('Your moral weights'!$E$30="Option 1",'Your moral weights'!$C15,IF('Your moral weights'!$E$30="Option 3",'Your moral weights'!$C29,IF('Your moral weights'!$E$30="Option 2",'Your moral weights'!$C22,"-")))</f>
        <v>-</v>
      </c>
      <c r="BY30" s="164" t="str">
        <f>IF('Your moral weights'!$E$30="Option 1",'Your moral weights'!$C15,IF('Your moral weights'!$E$30="Option 3",'Your moral weights'!$C29,IF('Your moral weights'!$E$30="Option 2",'Your moral weights'!$C22,"-")))</f>
        <v>-</v>
      </c>
      <c r="BZ30" s="164" t="str">
        <f>IF('Your moral weights'!$E$30="Option 1",'Your moral weights'!$C15,IF('Your moral weights'!$E$30="Option 3",'Your moral weights'!$C29,IF('Your moral weights'!$E$30="Option 2",'Your moral weights'!$C22,"-")))</f>
        <v>-</v>
      </c>
      <c r="CA30" s="164" t="str">
        <f>IF('Your moral weights'!$E$30="Option 1",'Your moral weights'!$C15,IF('Your moral weights'!$E$30="Option 3",'Your moral weights'!$C29,IF('Your moral weights'!$E$30="Option 2",'Your moral weights'!$C22,"-")))</f>
        <v>-</v>
      </c>
      <c r="CB30" s="164" t="str">
        <f>IF('Your moral weights'!$E$30="Option 1",'Your moral weights'!$C15,IF('Your moral weights'!$E$30="Option 3",'Your moral weights'!$C29,IF('Your moral weights'!$E$30="Option 2",'Your moral weights'!$C22,"-")))</f>
        <v>-</v>
      </c>
      <c r="CC30" s="164" t="str">
        <f>IF('Your moral weights'!$E$30="Option 1",'Your moral weights'!$C15,IF('Your moral weights'!$E$30="Option 3",'Your moral weights'!$C29,IF('Your moral weights'!$E$30="Option 2",'Your moral weights'!$C22,"-")))</f>
        <v>-</v>
      </c>
      <c r="CD30" s="164" t="str">
        <f>IF('Your moral weights'!$E$30="Option 1",'Your moral weights'!$C15,IF('Your moral weights'!$E$30="Option 3",'Your moral weights'!$C29,IF('Your moral weights'!$E$30="Option 2",'Your moral weights'!$C22,"-")))</f>
        <v>-</v>
      </c>
      <c r="CE30" s="164" t="str">
        <f>IF('Your moral weights'!$E$30="Option 1",'Your moral weights'!$C15,IF('Your moral weights'!$E$30="Option 3",'Your moral weights'!$C29,IF('Your moral weights'!$E$30="Option 2",'Your moral weights'!$C22,"-")))</f>
        <v>-</v>
      </c>
      <c r="CF30" s="164" t="str">
        <f>IF('Your moral weights'!$E$30="Option 1",'Your moral weights'!$C15,IF('Your moral weights'!$E$30="Option 3",'Your moral weights'!$C29,IF('Your moral weights'!$E$30="Option 2",'Your moral weights'!$C22,"-")))</f>
        <v>-</v>
      </c>
      <c r="CG30" s="164" t="str">
        <f>IF('Your moral weights'!$E$30="Option 1",'Your moral weights'!$C15,IF('Your moral weights'!$E$30="Option 3",'Your moral weights'!$C29,IF('Your moral weights'!$E$30="Option 2",'Your moral weights'!$C22,"-")))</f>
        <v>-</v>
      </c>
      <c r="CH30" s="164" t="str">
        <f>IF('Your moral weights'!$E$30="Option 1",'Your moral weights'!$C15,IF('Your moral weights'!$E$30="Option 3",'Your moral weights'!$C29,IF('Your moral weights'!$E$30="Option 2",'Your moral weights'!$C22,"-")))</f>
        <v>-</v>
      </c>
      <c r="CI30" s="164" t="str">
        <f>IF('Your moral weights'!$E$30="Option 1",'Your moral weights'!$C15,IF('Your moral weights'!$E$30="Option 3",'Your moral weights'!$C29,IF('Your moral weights'!$E$30="Option 2",'Your moral weights'!$C22,"-")))</f>
        <v>-</v>
      </c>
      <c r="CJ30" s="164" t="str">
        <f>IF('Your moral weights'!$E$30="Option 1",'Your moral weights'!$C15,IF('Your moral weights'!$E$30="Option 3",'Your moral weights'!$C29,IF('Your moral weights'!$E$30="Option 2",'Your moral weights'!$C22,"-")))</f>
        <v>-</v>
      </c>
      <c r="CK30" s="164" t="str">
        <f>IF('Your moral weights'!$E$30="Option 1",'Your moral weights'!$C15,IF('Your moral weights'!$E$30="Option 3",'Your moral weights'!$C29,IF('Your moral weights'!$E$30="Option 2",'Your moral weights'!$C22,"-")))</f>
        <v>-</v>
      </c>
      <c r="CL30" s="171" t="str">
        <f>IF('Your moral weights'!$E$30="Option 1",'Your moral weights'!$C15,IF('Your moral weights'!$E$30="Option 3",'Your moral weights'!$C29,IF('Your moral weights'!$E$30="Option 2",'Your moral weights'!$C22,"-")))</f>
        <v>-</v>
      </c>
    </row>
    <row r="31">
      <c r="B31" s="130"/>
      <c r="C31" s="154" t="s">
        <v>143</v>
      </c>
      <c r="D31" s="172" t="str">
        <f>IF(D26="-","-",IF(D26="","-",'Your moral weights'!$C7))</f>
        <v>-</v>
      </c>
      <c r="E31" s="172" t="str">
        <f>IF(E26="-","-",IF(E26="","-",'Your moral weights'!$C7))</f>
        <v>-</v>
      </c>
      <c r="F31" s="172" t="str">
        <f>IF(F26="-","-",IF(F26="","-",'Your moral weights'!$C7))</f>
        <v>-</v>
      </c>
      <c r="G31" s="172" t="str">
        <f>IF(G26="-","-",IF(G26="","-",'Your moral weights'!$C7))</f>
        <v>-</v>
      </c>
      <c r="H31" s="172" t="str">
        <f>IF(H26="-","-",IF(H26="","-",'Your moral weights'!$C7))</f>
        <v>-</v>
      </c>
      <c r="I31" s="172" t="str">
        <f>IF(I26="-","-",IF(I26="","-",'Your moral weights'!$C7))</f>
        <v>-</v>
      </c>
      <c r="J31" s="172" t="str">
        <f>IF(J26="-","-",IF(J26="","-",'Your moral weights'!$C7))</f>
        <v>-</v>
      </c>
      <c r="K31" s="172" t="str">
        <f>IF(K26="-","-",IF(K26="","-",'Your moral weights'!$C7))</f>
        <v>-</v>
      </c>
      <c r="L31" s="172" t="str">
        <f>IF(L26="-","-",IF(L26="","-",'Your moral weights'!$C7))</f>
        <v>-</v>
      </c>
      <c r="M31" s="172" t="str">
        <f>IF(M26="-","-",IF(M26="","-",'Your moral weights'!$C7))</f>
        <v>-</v>
      </c>
      <c r="N31" s="172" t="str">
        <f>IF(N26="-","-",IF(N26="","-",'Your moral weights'!$C7))</f>
        <v>-</v>
      </c>
      <c r="O31" s="172" t="str">
        <f>IF(O26="-","-",IF(O26="","-",'Your moral weights'!$C7))</f>
        <v>-</v>
      </c>
      <c r="P31" s="172" t="str">
        <f>IF(P26="-","-",IF(P26="","-",'Your moral weights'!$C7))</f>
        <v>-</v>
      </c>
      <c r="Q31" s="172" t="str">
        <f>IF(Q26="-","-",IF(Q26="","-",'Your moral weights'!$C7))</f>
        <v>-</v>
      </c>
      <c r="R31" s="172" t="str">
        <f>IF(R26="-","-",IF(R26="","-",'Your moral weights'!$C7))</f>
        <v>-</v>
      </c>
      <c r="S31" s="172" t="str">
        <f>IF(S26="-","-",IF(S26="","-",'Your moral weights'!$C7))</f>
        <v>-</v>
      </c>
      <c r="T31" s="172" t="str">
        <f>IF(T26="-","-",IF(T26="","-",'Your moral weights'!$C7))</f>
        <v>-</v>
      </c>
      <c r="U31" s="172" t="str">
        <f>IF(U26="-","-",IF(U26="","-",'Your moral weights'!$C7))</f>
        <v>-</v>
      </c>
      <c r="V31" s="172" t="str">
        <f>IF(V26="-","-",IF(V26="","-",'Your moral weights'!$C7))</f>
        <v>-</v>
      </c>
      <c r="W31" s="172" t="str">
        <f>IF(W26="-","-",IF(W26="","-",'Your moral weights'!$C7))</f>
        <v>-</v>
      </c>
      <c r="X31" s="172" t="str">
        <f>IF(X26="-","-",IF(X26="","-",'Your moral weights'!$C7))</f>
        <v>-</v>
      </c>
      <c r="Y31" s="172" t="str">
        <f>IF(Y26="-","-",IF(Y26="","-",'Your moral weights'!$C7))</f>
        <v>-</v>
      </c>
      <c r="Z31" s="172" t="str">
        <f>IF(Z26="-","-",IF(Z26="","-",'Your moral weights'!$C7))</f>
        <v>-</v>
      </c>
      <c r="AA31" s="172" t="str">
        <f>IF(AA26="-","-",IF(AA26="","-",'Your moral weights'!$C7))</f>
        <v>-</v>
      </c>
      <c r="AB31" s="172" t="str">
        <f>IF(AB26="-","-",IF(AB26="","-",'Your moral weights'!$C7))</f>
        <v>-</v>
      </c>
      <c r="AC31" s="172" t="str">
        <f>IF(AC26="-","-",IF(AC26="","-",'Your moral weights'!$C7))</f>
        <v>-</v>
      </c>
      <c r="AD31" s="172" t="str">
        <f>IF(AD26="-","-",IF(AD26="","-",'Your moral weights'!$C7))</f>
        <v>-</v>
      </c>
      <c r="AE31" s="172" t="str">
        <f>IF(AE26="-","-",IF(AE26="","-",'Your moral weights'!$C7))</f>
        <v>-</v>
      </c>
      <c r="AF31" s="172" t="str">
        <f>IF(AF26="-","-",IF(AF26="","-",'Your moral weights'!$C7))</f>
        <v>-</v>
      </c>
      <c r="AG31" s="172" t="str">
        <f>IF(AG26="-","-",IF(AG26="","-",'Your moral weights'!$C7))</f>
        <v>-</v>
      </c>
      <c r="AH31" s="172" t="str">
        <f>IF(AH26="-","-",IF(AH26="","-",'Your moral weights'!$C7))</f>
        <v>-</v>
      </c>
      <c r="AI31" s="172" t="str">
        <f>IF(AI26="-","-",IF(AI26="","-",'Your moral weights'!$C7))</f>
        <v>-</v>
      </c>
      <c r="AJ31" s="172" t="str">
        <f>IF(AJ26="-","-",IF(AJ26="","-",'Your moral weights'!$C7))</f>
        <v>-</v>
      </c>
      <c r="AK31" s="172" t="str">
        <f>IF(AK26="-","-",IF(AK26="","-",'Your moral weights'!$C7))</f>
        <v>-</v>
      </c>
      <c r="AL31" s="172" t="str">
        <f>IF(AL26="-","-",IF(AL26="","-",'Your moral weights'!$C7))</f>
        <v>-</v>
      </c>
      <c r="AM31" s="172" t="str">
        <f>IF(AM26="-","-",IF(AM26="","-",'Your moral weights'!$C7))</f>
        <v>-</v>
      </c>
      <c r="AN31" s="172" t="str">
        <f>IF(AN26="-","-",IF(AN26="","-",'Your moral weights'!$C7))</f>
        <v>-</v>
      </c>
      <c r="AO31" s="172" t="str">
        <f>IF(AO26="-","-",IF(AO26="","-",'Your moral weights'!$C7))</f>
        <v>-</v>
      </c>
      <c r="AP31" s="172" t="str">
        <f>IF(AP26="-","-",IF(AP26="","-",'Your moral weights'!$C7))</f>
        <v>-</v>
      </c>
      <c r="AQ31" s="172" t="str">
        <f>IF(AQ26="-","-",IF(AQ26="","-",'Your moral weights'!$C7))</f>
        <v>-</v>
      </c>
      <c r="AR31" s="172" t="str">
        <f>IF(AR26="-","-",IF(AR26="","-",'Your moral weights'!$C7))</f>
        <v>-</v>
      </c>
      <c r="AS31" s="172" t="str">
        <f>IF(AS26="-","-",IF(AS26="","-",'Your moral weights'!$C7))</f>
        <v>-</v>
      </c>
      <c r="AT31" s="172" t="str">
        <f>IF(AT26="-","-",IF(AT26="","-",'Your moral weights'!$C7))</f>
        <v>-</v>
      </c>
      <c r="AU31" s="172" t="str">
        <f>IF(AU26="-","-",IF(AU26="","-",'Your moral weights'!$C7))</f>
        <v>-</v>
      </c>
      <c r="AV31" s="172" t="str">
        <f>IF(AV26="-","-",IF(AV26="","-",'Your moral weights'!$C7))</f>
        <v>-</v>
      </c>
      <c r="AW31" s="172" t="str">
        <f>IF(AW26="-","-",IF(AW26="","-",'Your moral weights'!$C7))</f>
        <v>-</v>
      </c>
      <c r="AX31" s="172" t="str">
        <f>IF(AX26="-","-",IF(AX26="","-",'Your moral weights'!$C7))</f>
        <v>-</v>
      </c>
      <c r="AY31" s="172" t="str">
        <f>IF(AY26="-","-",IF(AY26="","-",'Your moral weights'!$C7))</f>
        <v>-</v>
      </c>
      <c r="AZ31" s="172" t="str">
        <f>IF(AZ26="-","-",IF(AZ26="","-",'Your moral weights'!$C7))</f>
        <v>-</v>
      </c>
      <c r="BA31" s="172" t="str">
        <f>IF(BA26="-","-",IF(BA26="","-",'Your moral weights'!$C7))</f>
        <v>-</v>
      </c>
      <c r="BB31" s="172" t="str">
        <f>IF(BB26="-","-",IF(BB26="","-",'Your moral weights'!$C7))</f>
        <v>-</v>
      </c>
      <c r="BC31" s="172" t="str">
        <f>IF(BC26="-","-",IF(BC26="","-",'Your moral weights'!$C7))</f>
        <v>-</v>
      </c>
      <c r="BD31" s="172" t="str">
        <f>IF(BD26="-","-",IF(BD26="","-",'Your moral weights'!$C7))</f>
        <v>-</v>
      </c>
      <c r="BE31" s="172" t="str">
        <f>IF(BE26="-","-",IF(BE26="","-",'Your moral weights'!$C7))</f>
        <v>-</v>
      </c>
      <c r="BF31" s="172" t="str">
        <f>IF(BF26="-","-",IF(BF26="","-",'Your moral weights'!$C7))</f>
        <v>-</v>
      </c>
      <c r="BG31" s="172" t="str">
        <f>IF(BG26="-","-",IF(BG26="","-",'Your moral weights'!$C7))</f>
        <v>-</v>
      </c>
      <c r="BH31" s="172" t="str">
        <f>IF(BH26="-","-",IF(BH26="","-",'Your moral weights'!$C7))</f>
        <v>-</v>
      </c>
      <c r="BI31" s="172" t="str">
        <f>IF(BI26="-","-",IF(BI26="","-",'Your moral weights'!$C7))</f>
        <v>-</v>
      </c>
      <c r="BJ31" s="172" t="str">
        <f>IF(BJ26="-","-",IF(BJ26="","-",'Your moral weights'!$C7))</f>
        <v>-</v>
      </c>
      <c r="BK31" s="172" t="str">
        <f>IF(BK26="-","-",IF(BK26="","-",'Your moral weights'!$C7))</f>
        <v>-</v>
      </c>
      <c r="BL31" s="172" t="str">
        <f>IF(BL26="-","-",IF(BL26="","-",'Your moral weights'!$C7))</f>
        <v>-</v>
      </c>
      <c r="BM31" s="172" t="str">
        <f>IF(BM26="-","-",IF(BM26="","-",'Your moral weights'!$C7))</f>
        <v>-</v>
      </c>
      <c r="BN31" s="172" t="str">
        <f>IF(BN26="-","-",IF(BN26="","-",'Your moral weights'!$C7))</f>
        <v>-</v>
      </c>
      <c r="BO31" s="172" t="str">
        <f>IF(BO26="-","-",IF(BO26="","-",'Your moral weights'!$C7))</f>
        <v>-</v>
      </c>
      <c r="BP31" s="172" t="str">
        <f>IF(BP26="-","-",IF(BP26="","-",'Your moral weights'!$C7))</f>
        <v>-</v>
      </c>
      <c r="BQ31" s="172" t="str">
        <f>IF(BQ26="-","-",IF(BQ26="","-",'Your moral weights'!$C7))</f>
        <v>-</v>
      </c>
      <c r="BR31" s="172" t="str">
        <f>IF(BR26="-","-",IF(BR26="","-",'Your moral weights'!$C7))</f>
        <v>-</v>
      </c>
      <c r="BS31" s="172" t="str">
        <f>IF(BS26="-","-",IF(BS26="","-",'Your moral weights'!$C7))</f>
        <v>-</v>
      </c>
      <c r="BT31" s="172" t="str">
        <f>IF(BT26="-","-",IF(BT26="","-",'Your moral weights'!$C7))</f>
        <v>-</v>
      </c>
      <c r="BU31" s="172" t="str">
        <f>IF(BU26="-","-",IF(BU26="","-",'Your moral weights'!$C7))</f>
        <v>-</v>
      </c>
      <c r="BV31" s="172" t="str">
        <f>IF(BV26="-","-",IF(BV26="","-",'Your moral weights'!$C7))</f>
        <v>-</v>
      </c>
      <c r="BW31" s="172" t="str">
        <f>IF(BW26="-","-",IF(BW26="","-",'Your moral weights'!$C7))</f>
        <v>-</v>
      </c>
      <c r="BX31" s="172" t="str">
        <f>IF(BX26="-","-",IF(BX26="","-",'Your moral weights'!$C7))</f>
        <v>-</v>
      </c>
      <c r="BY31" s="172" t="str">
        <f>IF(BY26="-","-",IF(BY26="","-",'Your moral weights'!$C7))</f>
        <v>-</v>
      </c>
      <c r="BZ31" s="172" t="str">
        <f>IF(BZ26="-","-",IF(BZ26="","-",'Your moral weights'!$C7))</f>
        <v>-</v>
      </c>
      <c r="CA31" s="172" t="str">
        <f>IF(CA26="-","-",IF(CA26="","-",'Your moral weights'!$C7))</f>
        <v>-</v>
      </c>
      <c r="CB31" s="172" t="str">
        <f>IF(CB26="-","-",IF(CB26="","-",'Your moral weights'!$C7))</f>
        <v>-</v>
      </c>
      <c r="CC31" s="172" t="str">
        <f>IF(CC26="-","-",IF(CC26="","-",'Your moral weights'!$C7))</f>
        <v>-</v>
      </c>
      <c r="CD31" s="172" t="str">
        <f>IF(CD26="-","-",IF(CD26="","-",'Your moral weights'!$C7))</f>
        <v>-</v>
      </c>
      <c r="CE31" s="172" t="str">
        <f>IF(CE26="-","-",IF(CE26="","-",'Your moral weights'!$C7))</f>
        <v>-</v>
      </c>
      <c r="CF31" s="172" t="str">
        <f>IF(CF26="-","-",IF(CF26="","-",'Your moral weights'!$C7))</f>
        <v>-</v>
      </c>
      <c r="CG31" s="172" t="str">
        <f>IF(CG26="-","-",IF(CG26="","-",'Your moral weights'!$C7))</f>
        <v>-</v>
      </c>
      <c r="CH31" s="172" t="str">
        <f>IF(CH26="-","-",IF(CH26="","-",'Your moral weights'!$C7))</f>
        <v>-</v>
      </c>
      <c r="CI31" s="172" t="str">
        <f>IF(CI26="-","-",IF(CI26="","-",'Your moral weights'!$C7))</f>
        <v>-</v>
      </c>
      <c r="CJ31" s="172" t="str">
        <f>IF(CJ26="-","-",IF(CJ26="","-",'Your moral weights'!$C7))</f>
        <v>-</v>
      </c>
      <c r="CK31" s="172" t="str">
        <f>IF(CK26="-","-",IF(CK26="","-",'Your moral weights'!$C7))</f>
        <v>-</v>
      </c>
      <c r="CL31" s="173" t="str">
        <f>IF(CL26="-","-",IF(CL26="","-",'Your moral weights'!$C7))</f>
        <v>-</v>
      </c>
    </row>
    <row r="32">
      <c r="B32" s="120" t="s">
        <v>146</v>
      </c>
      <c r="C32" s="122"/>
      <c r="D32" s="158"/>
      <c r="E32" s="159"/>
      <c r="F32" s="159"/>
      <c r="G32" s="159"/>
      <c r="H32" s="159"/>
      <c r="I32" s="159"/>
      <c r="J32" s="159"/>
      <c r="K32" s="159"/>
      <c r="L32" s="160"/>
      <c r="M32" s="160"/>
      <c r="N32" s="160"/>
      <c r="O32" s="160"/>
      <c r="P32" s="160"/>
      <c r="Q32" s="160"/>
      <c r="R32" s="160"/>
      <c r="S32" s="160"/>
      <c r="T32" s="160"/>
      <c r="U32" s="160"/>
      <c r="V32" s="160"/>
      <c r="W32" s="160"/>
      <c r="X32" s="160"/>
      <c r="Y32" s="160"/>
      <c r="Z32" s="160"/>
      <c r="AA32" s="160"/>
      <c r="AB32" s="160"/>
      <c r="AC32" s="160"/>
      <c r="AD32" s="161"/>
      <c r="AE32" s="161"/>
      <c r="AF32" s="161"/>
      <c r="AG32" s="161"/>
      <c r="AH32" s="161"/>
      <c r="AI32" s="161"/>
      <c r="AJ32" s="161"/>
      <c r="AK32" s="161"/>
      <c r="AL32" s="161"/>
      <c r="AM32" s="161"/>
      <c r="AN32" s="161"/>
      <c r="AO32" s="161"/>
      <c r="AP32" s="161"/>
      <c r="AQ32" s="161"/>
      <c r="AR32" s="161"/>
      <c r="AS32" s="161"/>
      <c r="AT32" s="161"/>
      <c r="AU32" s="161"/>
      <c r="AV32" s="161"/>
      <c r="AW32" s="161"/>
      <c r="AX32" s="161"/>
      <c r="AY32" s="161"/>
      <c r="AZ32" s="161"/>
      <c r="BA32" s="161"/>
      <c r="BB32" s="162"/>
      <c r="BC32" s="162"/>
      <c r="BD32" s="162"/>
      <c r="BE32" s="162"/>
      <c r="BF32" s="162"/>
      <c r="BG32" s="162"/>
      <c r="BH32" s="162"/>
      <c r="BI32" s="162"/>
      <c r="BJ32" s="162"/>
      <c r="BK32" s="162"/>
      <c r="BL32" s="162"/>
      <c r="BM32" s="162"/>
      <c r="BN32" s="162"/>
      <c r="BO32" s="162"/>
      <c r="BP32" s="162"/>
      <c r="BQ32" s="162"/>
      <c r="BR32" s="162"/>
      <c r="BS32" s="162"/>
      <c r="BT32" s="162"/>
      <c r="BU32" s="162"/>
      <c r="BV32" s="162"/>
      <c r="BW32" s="162"/>
      <c r="BX32" s="162"/>
      <c r="BY32" s="162"/>
      <c r="BZ32" s="162"/>
      <c r="CA32" s="162"/>
      <c r="CB32" s="162"/>
      <c r="CC32" s="162"/>
      <c r="CD32" s="162"/>
      <c r="CE32" s="162"/>
      <c r="CF32" s="162"/>
      <c r="CG32" s="162"/>
      <c r="CH32" s="162"/>
      <c r="CI32" s="162"/>
      <c r="CJ32" s="162"/>
      <c r="CK32" s="162"/>
      <c r="CL32" s="163"/>
    </row>
    <row r="33">
      <c r="B33" s="174"/>
      <c r="C33" s="131" t="s">
        <v>147</v>
      </c>
      <c r="D33" s="175">
        <f>IFERROR(__xludf.DUMMYFUNCTION("IMPORTRANGE(""https://docs.google.com/spreadsheets/d/1LyeZB70UrgDgyjoBvDr9VsAwuvcesheuM08g2qeYr94/edit?usp=sharing"",""Cost-effectiveness of top charities!D33:CZ35"")"),-0.04)</f>
        <v>-0.04</v>
      </c>
      <c r="E33" s="176">
        <f>IFERROR(__xludf.DUMMYFUNCTION("""COMPUTED_VALUE"""),-0.04)</f>
        <v>-0.04</v>
      </c>
      <c r="F33" s="176">
        <f>IFERROR(__xludf.DUMMYFUNCTION("""COMPUTED_VALUE"""),-0.04)</f>
        <v>-0.04</v>
      </c>
      <c r="G33" s="176">
        <f>IFERROR(__xludf.DUMMYFUNCTION("""COMPUTED_VALUE"""),-0.04)</f>
        <v>-0.04</v>
      </c>
      <c r="H33" s="176">
        <f>IFERROR(__xludf.DUMMYFUNCTION("""COMPUTED_VALUE"""),-0.04)</f>
        <v>-0.04</v>
      </c>
      <c r="I33" s="176">
        <f>IFERROR(__xludf.DUMMYFUNCTION("""COMPUTED_VALUE"""),-0.04)</f>
        <v>-0.04</v>
      </c>
      <c r="J33" s="176">
        <f>IFERROR(__xludf.DUMMYFUNCTION("""COMPUTED_VALUE"""),-0.04)</f>
        <v>-0.04</v>
      </c>
      <c r="K33" s="176">
        <f>IFERROR(__xludf.DUMMYFUNCTION("""COMPUTED_VALUE"""),-0.04)</f>
        <v>-0.04</v>
      </c>
      <c r="L33" s="176">
        <f>IFERROR(__xludf.DUMMYFUNCTION("""COMPUTED_VALUE"""),-0.08)</f>
        <v>-0.08</v>
      </c>
      <c r="M33" s="176">
        <f>IFERROR(__xludf.DUMMYFUNCTION("""COMPUTED_VALUE"""),-0.08)</f>
        <v>-0.08</v>
      </c>
      <c r="N33" s="176">
        <f>IFERROR(__xludf.DUMMYFUNCTION("""COMPUTED_VALUE"""),-0.08)</f>
        <v>-0.08</v>
      </c>
      <c r="O33" s="176">
        <f>IFERROR(__xludf.DUMMYFUNCTION("""COMPUTED_VALUE"""),-0.08)</f>
        <v>-0.08</v>
      </c>
      <c r="P33" s="176">
        <f>IFERROR(__xludf.DUMMYFUNCTION("""COMPUTED_VALUE"""),-0.08)</f>
        <v>-0.08</v>
      </c>
      <c r="Q33" s="176">
        <f>IFERROR(__xludf.DUMMYFUNCTION("""COMPUTED_VALUE"""),-0.08)</f>
        <v>-0.08</v>
      </c>
      <c r="R33" s="176">
        <f>IFERROR(__xludf.DUMMYFUNCTION("""COMPUTED_VALUE"""),-0.08)</f>
        <v>-0.08</v>
      </c>
      <c r="S33" s="176">
        <f>IFERROR(__xludf.DUMMYFUNCTION("""COMPUTED_VALUE"""),-0.08)</f>
        <v>-0.08</v>
      </c>
      <c r="T33" s="176">
        <f>IFERROR(__xludf.DUMMYFUNCTION("""COMPUTED_VALUE"""),-0.08)</f>
        <v>-0.08</v>
      </c>
      <c r="U33" s="176">
        <f>IFERROR(__xludf.DUMMYFUNCTION("""COMPUTED_VALUE"""),-0.08)</f>
        <v>-0.08</v>
      </c>
      <c r="V33" s="176">
        <f>IFERROR(__xludf.DUMMYFUNCTION("""COMPUTED_VALUE"""),-0.08)</f>
        <v>-0.08</v>
      </c>
      <c r="W33" s="176">
        <f>IFERROR(__xludf.DUMMYFUNCTION("""COMPUTED_VALUE"""),-0.08)</f>
        <v>-0.08</v>
      </c>
      <c r="X33" s="176">
        <f>IFERROR(__xludf.DUMMYFUNCTION("""COMPUTED_VALUE"""),-0.08)</f>
        <v>-0.08</v>
      </c>
      <c r="Y33" s="176">
        <f>IFERROR(__xludf.DUMMYFUNCTION("""COMPUTED_VALUE"""),-0.08)</f>
        <v>-0.08</v>
      </c>
      <c r="Z33" s="176">
        <f>IFERROR(__xludf.DUMMYFUNCTION("""COMPUTED_VALUE"""),-0.08)</f>
        <v>-0.08</v>
      </c>
      <c r="AA33" s="176">
        <f>IFERROR(__xludf.DUMMYFUNCTION("""COMPUTED_VALUE"""),-0.08)</f>
        <v>-0.08</v>
      </c>
      <c r="AB33" s="176">
        <f>IFERROR(__xludf.DUMMYFUNCTION("""COMPUTED_VALUE"""),-0.08)</f>
        <v>-0.08</v>
      </c>
      <c r="AC33" s="176">
        <f>IFERROR(__xludf.DUMMYFUNCTION("""COMPUTED_VALUE"""),-0.08)</f>
        <v>-0.08</v>
      </c>
      <c r="AD33" s="176">
        <f>IFERROR(__xludf.DUMMYFUNCTION("""COMPUTED_VALUE"""),-0.21999999999999997)</f>
        <v>-0.22</v>
      </c>
      <c r="AE33" s="176">
        <f>IFERROR(__xludf.DUMMYFUNCTION("""COMPUTED_VALUE"""),-0.21999999999999997)</f>
        <v>-0.22</v>
      </c>
      <c r="AF33" s="176">
        <f>IFERROR(__xludf.DUMMYFUNCTION("""COMPUTED_VALUE"""),-0.21999999999999997)</f>
        <v>-0.22</v>
      </c>
      <c r="AG33" s="176">
        <f>IFERROR(__xludf.DUMMYFUNCTION("""COMPUTED_VALUE"""),-0.21999999999999997)</f>
        <v>-0.22</v>
      </c>
      <c r="AH33" s="176">
        <f>IFERROR(__xludf.DUMMYFUNCTION("""COMPUTED_VALUE"""),-0.21999999999999997)</f>
        <v>-0.22</v>
      </c>
      <c r="AI33" s="176">
        <f>IFERROR(__xludf.DUMMYFUNCTION("""COMPUTED_VALUE"""),-0.21999999999999997)</f>
        <v>-0.22</v>
      </c>
      <c r="AJ33" s="176">
        <f>IFERROR(__xludf.DUMMYFUNCTION("""COMPUTED_VALUE"""),-0.21999999999999997)</f>
        <v>-0.22</v>
      </c>
      <c r="AK33" s="176">
        <f>IFERROR(__xludf.DUMMYFUNCTION("""COMPUTED_VALUE"""),-0.21999999999999997)</f>
        <v>-0.22</v>
      </c>
      <c r="AL33" s="176">
        <f>IFERROR(__xludf.DUMMYFUNCTION("""COMPUTED_VALUE"""),-0.21999999999999997)</f>
        <v>-0.22</v>
      </c>
      <c r="AM33" s="176">
        <f>IFERROR(__xludf.DUMMYFUNCTION("""COMPUTED_VALUE"""),-0.21999999999999997)</f>
        <v>-0.22</v>
      </c>
      <c r="AN33" s="176">
        <f>IFERROR(__xludf.DUMMYFUNCTION("""COMPUTED_VALUE"""),-0.21999999999999997)</f>
        <v>-0.22</v>
      </c>
      <c r="AO33" s="176">
        <f>IFERROR(__xludf.DUMMYFUNCTION("""COMPUTED_VALUE"""),-0.21999999999999997)</f>
        <v>-0.22</v>
      </c>
      <c r="AP33" s="176">
        <f>IFERROR(__xludf.DUMMYFUNCTION("""COMPUTED_VALUE"""),-0.21999999999999997)</f>
        <v>-0.22</v>
      </c>
      <c r="AQ33" s="176">
        <f>IFERROR(__xludf.DUMMYFUNCTION("""COMPUTED_VALUE"""),-0.21999999999999997)</f>
        <v>-0.22</v>
      </c>
      <c r="AR33" s="176">
        <f>IFERROR(__xludf.DUMMYFUNCTION("""COMPUTED_VALUE"""),-0.21999999999999997)</f>
        <v>-0.22</v>
      </c>
      <c r="AS33" s="176">
        <f>IFERROR(__xludf.DUMMYFUNCTION("""COMPUTED_VALUE"""),-0.21999999999999997)</f>
        <v>-0.22</v>
      </c>
      <c r="AT33" s="176">
        <f>IFERROR(__xludf.DUMMYFUNCTION("""COMPUTED_VALUE"""),-0.21999999999999997)</f>
        <v>-0.22</v>
      </c>
      <c r="AU33" s="176">
        <f>IFERROR(__xludf.DUMMYFUNCTION("""COMPUTED_VALUE"""),-0.21999999999999997)</f>
        <v>-0.22</v>
      </c>
      <c r="AV33" s="176">
        <f>IFERROR(__xludf.DUMMYFUNCTION("""COMPUTED_VALUE"""),-0.21999999999999997)</f>
        <v>-0.22</v>
      </c>
      <c r="AW33" s="176">
        <f>IFERROR(__xludf.DUMMYFUNCTION("""COMPUTED_VALUE"""),-0.21999999999999997)</f>
        <v>-0.22</v>
      </c>
      <c r="AX33" s="176">
        <f>IFERROR(__xludf.DUMMYFUNCTION("""COMPUTED_VALUE"""),-0.21999999999999997)</f>
        <v>-0.22</v>
      </c>
      <c r="AY33" s="176">
        <f>IFERROR(__xludf.DUMMYFUNCTION("""COMPUTED_VALUE"""),-0.21999999999999997)</f>
        <v>-0.22</v>
      </c>
      <c r="AZ33" s="176">
        <f>IFERROR(__xludf.DUMMYFUNCTION("""COMPUTED_VALUE"""),-0.21999999999999997)</f>
        <v>-0.22</v>
      </c>
      <c r="BA33" s="176">
        <f>IFERROR(__xludf.DUMMYFUNCTION("""COMPUTED_VALUE"""),-0.21999999999999997)</f>
        <v>-0.22</v>
      </c>
      <c r="BB33" s="176">
        <f>IFERROR(__xludf.DUMMYFUNCTION("""COMPUTED_VALUE"""),-0.07)</f>
        <v>-0.07</v>
      </c>
      <c r="BC33" s="176">
        <f>IFERROR(__xludf.DUMMYFUNCTION("""COMPUTED_VALUE"""),-0.07)</f>
        <v>-0.07</v>
      </c>
      <c r="BD33" s="176">
        <f>IFERROR(__xludf.DUMMYFUNCTION("""COMPUTED_VALUE"""),-0.07)</f>
        <v>-0.07</v>
      </c>
      <c r="BE33" s="176">
        <f>IFERROR(__xludf.DUMMYFUNCTION("""COMPUTED_VALUE"""),-0.07)</f>
        <v>-0.07</v>
      </c>
      <c r="BF33" s="176">
        <f>IFERROR(__xludf.DUMMYFUNCTION("""COMPUTED_VALUE"""),-0.07)</f>
        <v>-0.07</v>
      </c>
      <c r="BG33" s="176">
        <f>IFERROR(__xludf.DUMMYFUNCTION("""COMPUTED_VALUE"""),-0.07)</f>
        <v>-0.07</v>
      </c>
      <c r="BH33" s="176">
        <f>IFERROR(__xludf.DUMMYFUNCTION("""COMPUTED_VALUE"""),-0.07)</f>
        <v>-0.07</v>
      </c>
      <c r="BI33" s="176">
        <f>IFERROR(__xludf.DUMMYFUNCTION("""COMPUTED_VALUE"""),-0.07)</f>
        <v>-0.07</v>
      </c>
      <c r="BJ33" s="176">
        <f>IFERROR(__xludf.DUMMYFUNCTION("""COMPUTED_VALUE"""),-0.07)</f>
        <v>-0.07</v>
      </c>
      <c r="BK33" s="176">
        <f>IFERROR(__xludf.DUMMYFUNCTION("""COMPUTED_VALUE"""),-0.07)</f>
        <v>-0.07</v>
      </c>
      <c r="BL33" s="176">
        <f>IFERROR(__xludf.DUMMYFUNCTION("""COMPUTED_VALUE"""),-0.07)</f>
        <v>-0.07</v>
      </c>
      <c r="BM33" s="176">
        <f>IFERROR(__xludf.DUMMYFUNCTION("""COMPUTED_VALUE"""),-0.07)</f>
        <v>-0.07</v>
      </c>
      <c r="BN33" s="176">
        <f>IFERROR(__xludf.DUMMYFUNCTION("""COMPUTED_VALUE"""),-0.07)</f>
        <v>-0.07</v>
      </c>
      <c r="BO33" s="176">
        <f>IFERROR(__xludf.DUMMYFUNCTION("""COMPUTED_VALUE"""),-0.07)</f>
        <v>-0.07</v>
      </c>
      <c r="BP33" s="176">
        <f>IFERROR(__xludf.DUMMYFUNCTION("""COMPUTED_VALUE"""),-0.07)</f>
        <v>-0.07</v>
      </c>
      <c r="BQ33" s="176">
        <f>IFERROR(__xludf.DUMMYFUNCTION("""COMPUTED_VALUE"""),-0.07)</f>
        <v>-0.07</v>
      </c>
      <c r="BR33" s="176">
        <f>IFERROR(__xludf.DUMMYFUNCTION("""COMPUTED_VALUE"""),-0.07)</f>
        <v>-0.07</v>
      </c>
      <c r="BS33" s="176">
        <f>IFERROR(__xludf.DUMMYFUNCTION("""COMPUTED_VALUE"""),-0.07)</f>
        <v>-0.07</v>
      </c>
      <c r="BT33" s="176">
        <f>IFERROR(__xludf.DUMMYFUNCTION("""COMPUTED_VALUE"""),-0.07)</f>
        <v>-0.07</v>
      </c>
      <c r="BU33" s="176">
        <f>IFERROR(__xludf.DUMMYFUNCTION("""COMPUTED_VALUE"""),-0.07)</f>
        <v>-0.07</v>
      </c>
      <c r="BV33" s="176">
        <f>IFERROR(__xludf.DUMMYFUNCTION("""COMPUTED_VALUE"""),-0.07)</f>
        <v>-0.07</v>
      </c>
      <c r="BW33" s="176">
        <f>IFERROR(__xludf.DUMMYFUNCTION("""COMPUTED_VALUE"""),-0.07)</f>
        <v>-0.07</v>
      </c>
      <c r="BX33" s="176">
        <f>IFERROR(__xludf.DUMMYFUNCTION("""COMPUTED_VALUE"""),-0.07)</f>
        <v>-0.07</v>
      </c>
      <c r="BY33" s="176">
        <f>IFERROR(__xludf.DUMMYFUNCTION("""COMPUTED_VALUE"""),-0.07)</f>
        <v>-0.07</v>
      </c>
      <c r="BZ33" s="176">
        <f>IFERROR(__xludf.DUMMYFUNCTION("""COMPUTED_VALUE"""),-0.07)</f>
        <v>-0.07</v>
      </c>
      <c r="CA33" s="176">
        <f>IFERROR(__xludf.DUMMYFUNCTION("""COMPUTED_VALUE"""),-0.07)</f>
        <v>-0.07</v>
      </c>
      <c r="CB33" s="176">
        <f>IFERROR(__xludf.DUMMYFUNCTION("""COMPUTED_VALUE"""),-0.07)</f>
        <v>-0.07</v>
      </c>
      <c r="CC33" s="176">
        <f>IFERROR(__xludf.DUMMYFUNCTION("""COMPUTED_VALUE"""),-0.07)</f>
        <v>-0.07</v>
      </c>
      <c r="CD33" s="176">
        <f>IFERROR(__xludf.DUMMYFUNCTION("""COMPUTED_VALUE"""),-0.07)</f>
        <v>-0.07</v>
      </c>
      <c r="CE33" s="176">
        <f>IFERROR(__xludf.DUMMYFUNCTION("""COMPUTED_VALUE"""),-0.07)</f>
        <v>-0.07</v>
      </c>
      <c r="CF33" s="176">
        <f>IFERROR(__xludf.DUMMYFUNCTION("""COMPUTED_VALUE"""),-0.07)</f>
        <v>-0.07</v>
      </c>
      <c r="CG33" s="176">
        <f>IFERROR(__xludf.DUMMYFUNCTION("""COMPUTED_VALUE"""),-0.07)</f>
        <v>-0.07</v>
      </c>
      <c r="CH33" s="176">
        <f>IFERROR(__xludf.DUMMYFUNCTION("""COMPUTED_VALUE"""),-0.07)</f>
        <v>-0.07</v>
      </c>
      <c r="CI33" s="176">
        <f>IFERROR(__xludf.DUMMYFUNCTION("""COMPUTED_VALUE"""),-0.07)</f>
        <v>-0.07</v>
      </c>
      <c r="CJ33" s="176">
        <f>IFERROR(__xludf.DUMMYFUNCTION("""COMPUTED_VALUE"""),-0.07)</f>
        <v>-0.07</v>
      </c>
      <c r="CK33" s="176">
        <f>IFERROR(__xludf.DUMMYFUNCTION("""COMPUTED_VALUE"""),-0.07)</f>
        <v>-0.07</v>
      </c>
      <c r="CL33" s="177">
        <f>IFERROR(__xludf.DUMMYFUNCTION("""COMPUTED_VALUE"""),-0.07)</f>
        <v>-0.07</v>
      </c>
      <c r="CM33" s="178">
        <f>IFERROR(__xludf.DUMMYFUNCTION("""COMPUTED_VALUE"""),-0.07)</f>
        <v>-0.07</v>
      </c>
    </row>
    <row r="34">
      <c r="B34" s="174"/>
      <c r="C34" s="142" t="s">
        <v>148</v>
      </c>
      <c r="D34" s="179">
        <f>IFERROR(__xludf.DUMMYFUNCTION("""COMPUTED_VALUE"""),0.529)</f>
        <v>0.529</v>
      </c>
      <c r="E34" s="180">
        <f>IFERROR(__xludf.DUMMYFUNCTION("""COMPUTED_VALUE"""),0.47900000000000004)</f>
        <v>0.479</v>
      </c>
      <c r="F34" s="180">
        <f>IFERROR(__xludf.DUMMYFUNCTION("""COMPUTED_VALUE"""),0.379)</f>
        <v>0.379</v>
      </c>
      <c r="G34" s="180">
        <f>IFERROR(__xludf.DUMMYFUNCTION("""COMPUTED_VALUE"""),0.47900000000000004)</f>
        <v>0.479</v>
      </c>
      <c r="H34" s="180">
        <f>IFERROR(__xludf.DUMMYFUNCTION("""COMPUTED_VALUE"""),0.47900000000000004)</f>
        <v>0.479</v>
      </c>
      <c r="I34" s="180">
        <f>IFERROR(__xludf.DUMMYFUNCTION("""COMPUTED_VALUE"""),0.379)</f>
        <v>0.379</v>
      </c>
      <c r="J34" s="180">
        <f>IFERROR(__xludf.DUMMYFUNCTION("""COMPUTED_VALUE"""),0.379)</f>
        <v>0.379</v>
      </c>
      <c r="K34" s="180">
        <f>IFERROR(__xludf.DUMMYFUNCTION("""COMPUTED_VALUE"""),0.379)</f>
        <v>0.379</v>
      </c>
      <c r="L34" s="180">
        <f>IFERROR(__xludf.DUMMYFUNCTION("""COMPUTED_VALUE"""),0.191)</f>
        <v>0.191</v>
      </c>
      <c r="M34" s="180">
        <f>IFERROR(__xludf.DUMMYFUNCTION("""COMPUTED_VALUE"""),0.241)</f>
        <v>0.241</v>
      </c>
      <c r="N34" s="180">
        <f>IFERROR(__xludf.DUMMYFUNCTION("""COMPUTED_VALUE"""),0.281)</f>
        <v>0.281</v>
      </c>
      <c r="O34" s="180">
        <f>IFERROR(__xludf.DUMMYFUNCTION("""COMPUTED_VALUE"""),0.281)</f>
        <v>0.281</v>
      </c>
      <c r="P34" s="180">
        <f>IFERROR(__xludf.DUMMYFUNCTION("""COMPUTED_VALUE"""),0.281)</f>
        <v>0.281</v>
      </c>
      <c r="Q34" s="180">
        <f>IFERROR(__xludf.DUMMYFUNCTION("""COMPUTED_VALUE"""),0.281)</f>
        <v>0.281</v>
      </c>
      <c r="R34" s="180">
        <f>IFERROR(__xludf.DUMMYFUNCTION("""COMPUTED_VALUE"""),0.281)</f>
        <v>0.281</v>
      </c>
      <c r="S34" s="180">
        <f>IFERROR(__xludf.DUMMYFUNCTION("""COMPUTED_VALUE"""),0.341)</f>
        <v>0.341</v>
      </c>
      <c r="T34" s="180">
        <f>IFERROR(__xludf.DUMMYFUNCTION("""COMPUTED_VALUE"""),0.341)</f>
        <v>0.341</v>
      </c>
      <c r="U34" s="180">
        <f>IFERROR(__xludf.DUMMYFUNCTION("""COMPUTED_VALUE"""),0.341)</f>
        <v>0.341</v>
      </c>
      <c r="V34" s="180">
        <f>IFERROR(__xludf.DUMMYFUNCTION("""COMPUTED_VALUE"""),0.341)</f>
        <v>0.341</v>
      </c>
      <c r="W34" s="180">
        <f>IFERROR(__xludf.DUMMYFUNCTION("""COMPUTED_VALUE"""),0.341)</f>
        <v>0.341</v>
      </c>
      <c r="X34" s="180">
        <f>IFERROR(__xludf.DUMMYFUNCTION("""COMPUTED_VALUE"""),0.341)</f>
        <v>0.341</v>
      </c>
      <c r="Y34" s="180">
        <f>IFERROR(__xludf.DUMMYFUNCTION("""COMPUTED_VALUE"""),0.341)</f>
        <v>0.341</v>
      </c>
      <c r="Z34" s="180">
        <f>IFERROR(__xludf.DUMMYFUNCTION("""COMPUTED_VALUE"""),0.341)</f>
        <v>0.341</v>
      </c>
      <c r="AA34" s="180">
        <f>IFERROR(__xludf.DUMMYFUNCTION("""COMPUTED_VALUE"""),0.341)</f>
        <v>0.341</v>
      </c>
      <c r="AB34" s="180">
        <f>IFERROR(__xludf.DUMMYFUNCTION("""COMPUTED_VALUE"""),0.29100000000000004)</f>
        <v>0.291</v>
      </c>
      <c r="AC34" s="180">
        <f>IFERROR(__xludf.DUMMYFUNCTION("""COMPUTED_VALUE"""),0.281)</f>
        <v>0.281</v>
      </c>
      <c r="AD34" s="180">
        <f>IFERROR(__xludf.DUMMYFUNCTION("""COMPUTED_VALUE"""),0.665)</f>
        <v>0.665</v>
      </c>
      <c r="AE34" s="180">
        <f>IFERROR(__xludf.DUMMYFUNCTION("""COMPUTED_VALUE"""),0.665)</f>
        <v>0.665</v>
      </c>
      <c r="AF34" s="180">
        <f>IFERROR(__xludf.DUMMYFUNCTION("""COMPUTED_VALUE"""),0.665)</f>
        <v>0.665</v>
      </c>
      <c r="AG34" s="180">
        <f>IFERROR(__xludf.DUMMYFUNCTION("""COMPUTED_VALUE"""),0.665)</f>
        <v>0.665</v>
      </c>
      <c r="AH34" s="180">
        <f>IFERROR(__xludf.DUMMYFUNCTION("""COMPUTED_VALUE"""),0.665)</f>
        <v>0.665</v>
      </c>
      <c r="AI34" s="180">
        <f>IFERROR(__xludf.DUMMYFUNCTION("""COMPUTED_VALUE"""),0.665)</f>
        <v>0.665</v>
      </c>
      <c r="AJ34" s="180">
        <f>IFERROR(__xludf.DUMMYFUNCTION("""COMPUTED_VALUE"""),0.665)</f>
        <v>0.665</v>
      </c>
      <c r="AK34" s="180">
        <f>IFERROR(__xludf.DUMMYFUNCTION("""COMPUTED_VALUE"""),0.665)</f>
        <v>0.665</v>
      </c>
      <c r="AL34" s="180">
        <f>IFERROR(__xludf.DUMMYFUNCTION("""COMPUTED_VALUE"""),0.665)</f>
        <v>0.665</v>
      </c>
      <c r="AM34" s="180">
        <f>IFERROR(__xludf.DUMMYFUNCTION("""COMPUTED_VALUE"""),0.665)</f>
        <v>0.665</v>
      </c>
      <c r="AN34" s="180">
        <f>IFERROR(__xludf.DUMMYFUNCTION("""COMPUTED_VALUE"""),0.665)</f>
        <v>0.665</v>
      </c>
      <c r="AO34" s="180">
        <f>IFERROR(__xludf.DUMMYFUNCTION("""COMPUTED_VALUE"""),0.665)</f>
        <v>0.665</v>
      </c>
      <c r="AP34" s="180">
        <f>IFERROR(__xludf.DUMMYFUNCTION("""COMPUTED_VALUE"""),0.665)</f>
        <v>0.665</v>
      </c>
      <c r="AQ34" s="180">
        <f>IFERROR(__xludf.DUMMYFUNCTION("""COMPUTED_VALUE"""),0.665)</f>
        <v>0.665</v>
      </c>
      <c r="AR34" s="180">
        <f>IFERROR(__xludf.DUMMYFUNCTION("""COMPUTED_VALUE"""),0.665)</f>
        <v>0.665</v>
      </c>
      <c r="AS34" s="180">
        <f>IFERROR(__xludf.DUMMYFUNCTION("""COMPUTED_VALUE"""),0.665)</f>
        <v>0.665</v>
      </c>
      <c r="AT34" s="180">
        <f>IFERROR(__xludf.DUMMYFUNCTION("""COMPUTED_VALUE"""),0.665)</f>
        <v>0.665</v>
      </c>
      <c r="AU34" s="180">
        <f>IFERROR(__xludf.DUMMYFUNCTION("""COMPUTED_VALUE"""),0.665)</f>
        <v>0.665</v>
      </c>
      <c r="AV34" s="180">
        <f>IFERROR(__xludf.DUMMYFUNCTION("""COMPUTED_VALUE"""),0.665)</f>
        <v>0.665</v>
      </c>
      <c r="AW34" s="180">
        <f>IFERROR(__xludf.DUMMYFUNCTION("""COMPUTED_VALUE"""),0.665)</f>
        <v>0.665</v>
      </c>
      <c r="AX34" s="180">
        <f>IFERROR(__xludf.DUMMYFUNCTION("""COMPUTED_VALUE"""),0.665)</f>
        <v>0.665</v>
      </c>
      <c r="AY34" s="180">
        <f>IFERROR(__xludf.DUMMYFUNCTION("""COMPUTED_VALUE"""),0.665)</f>
        <v>0.665</v>
      </c>
      <c r="AZ34" s="180">
        <f>IFERROR(__xludf.DUMMYFUNCTION("""COMPUTED_VALUE"""),0.665)</f>
        <v>0.665</v>
      </c>
      <c r="BA34" s="180">
        <f>IFERROR(__xludf.DUMMYFUNCTION("""COMPUTED_VALUE"""),0.665)</f>
        <v>0.665</v>
      </c>
      <c r="BB34" s="180">
        <f>IFERROR(__xludf.DUMMYFUNCTION("""COMPUTED_VALUE"""),0.503)</f>
        <v>0.503</v>
      </c>
      <c r="BC34" s="180">
        <f>IFERROR(__xludf.DUMMYFUNCTION("""COMPUTED_VALUE"""),0.503)</f>
        <v>0.503</v>
      </c>
      <c r="BD34" s="180">
        <f>IFERROR(__xludf.DUMMYFUNCTION("""COMPUTED_VALUE"""),0.503)</f>
        <v>0.503</v>
      </c>
      <c r="BE34" s="180">
        <f>IFERROR(__xludf.DUMMYFUNCTION("""COMPUTED_VALUE"""),0.503)</f>
        <v>0.503</v>
      </c>
      <c r="BF34" s="180">
        <f>IFERROR(__xludf.DUMMYFUNCTION("""COMPUTED_VALUE"""),0.503)</f>
        <v>0.503</v>
      </c>
      <c r="BG34" s="180">
        <f>IFERROR(__xludf.DUMMYFUNCTION("""COMPUTED_VALUE"""),0.503)</f>
        <v>0.503</v>
      </c>
      <c r="BH34" s="180">
        <f>IFERROR(__xludf.DUMMYFUNCTION("""COMPUTED_VALUE"""),0.503)</f>
        <v>0.503</v>
      </c>
      <c r="BI34" s="180">
        <f>IFERROR(__xludf.DUMMYFUNCTION("""COMPUTED_VALUE"""),0.503)</f>
        <v>0.503</v>
      </c>
      <c r="BJ34" s="180">
        <f>IFERROR(__xludf.DUMMYFUNCTION("""COMPUTED_VALUE"""),0.503)</f>
        <v>0.503</v>
      </c>
      <c r="BK34" s="180">
        <f>IFERROR(__xludf.DUMMYFUNCTION("""COMPUTED_VALUE"""),0.30966666666666665)</f>
        <v>0.3096666667</v>
      </c>
      <c r="BL34" s="180">
        <f>IFERROR(__xludf.DUMMYFUNCTION("""COMPUTED_VALUE"""),0.30966666666666665)</f>
        <v>0.3096666667</v>
      </c>
      <c r="BM34" s="180">
        <f>IFERROR(__xludf.DUMMYFUNCTION("""COMPUTED_VALUE"""),0.30966666666666665)</f>
        <v>0.3096666667</v>
      </c>
      <c r="BN34" s="180">
        <f>IFERROR(__xludf.DUMMYFUNCTION("""COMPUTED_VALUE"""),0.30966666666666665)</f>
        <v>0.3096666667</v>
      </c>
      <c r="BO34" s="180">
        <f>IFERROR(__xludf.DUMMYFUNCTION("""COMPUTED_VALUE"""),0.30966666666666665)</f>
        <v>0.3096666667</v>
      </c>
      <c r="BP34" s="180">
        <f>IFERROR(__xludf.DUMMYFUNCTION("""COMPUTED_VALUE"""),0.30966666666666665)</f>
        <v>0.3096666667</v>
      </c>
      <c r="BQ34" s="180">
        <f>IFERROR(__xludf.DUMMYFUNCTION("""COMPUTED_VALUE"""),0.30966666666666665)</f>
        <v>0.3096666667</v>
      </c>
      <c r="BR34" s="180">
        <f>IFERROR(__xludf.DUMMYFUNCTION("""COMPUTED_VALUE"""),0.30966666666666665)</f>
        <v>0.3096666667</v>
      </c>
      <c r="BS34" s="180">
        <f>IFERROR(__xludf.DUMMYFUNCTION("""COMPUTED_VALUE"""),0.30966666666666665)</f>
        <v>0.3096666667</v>
      </c>
      <c r="BT34" s="180">
        <f>IFERROR(__xludf.DUMMYFUNCTION("""COMPUTED_VALUE"""),0.30966666666666665)</f>
        <v>0.3096666667</v>
      </c>
      <c r="BU34" s="180">
        <f>IFERROR(__xludf.DUMMYFUNCTION("""COMPUTED_VALUE"""),0.30966666666666665)</f>
        <v>0.3096666667</v>
      </c>
      <c r="BV34" s="180">
        <f>IFERROR(__xludf.DUMMYFUNCTION("""COMPUTED_VALUE"""),0.30966666666666665)</f>
        <v>0.3096666667</v>
      </c>
      <c r="BW34" s="180">
        <f>IFERROR(__xludf.DUMMYFUNCTION("""COMPUTED_VALUE"""),0.30966666666666665)</f>
        <v>0.3096666667</v>
      </c>
      <c r="BX34" s="180">
        <f>IFERROR(__xludf.DUMMYFUNCTION("""COMPUTED_VALUE"""),0.30966666666666665)</f>
        <v>0.3096666667</v>
      </c>
      <c r="BY34" s="180">
        <f>IFERROR(__xludf.DUMMYFUNCTION("""COMPUTED_VALUE"""),0.30966666666666665)</f>
        <v>0.3096666667</v>
      </c>
      <c r="BZ34" s="180">
        <f>IFERROR(__xludf.DUMMYFUNCTION("""COMPUTED_VALUE"""),0.30966666666666665)</f>
        <v>0.3096666667</v>
      </c>
      <c r="CA34" s="180">
        <f>IFERROR(__xludf.DUMMYFUNCTION("""COMPUTED_VALUE"""),0.30966666666666665)</f>
        <v>0.3096666667</v>
      </c>
      <c r="CB34" s="180">
        <f>IFERROR(__xludf.DUMMYFUNCTION("""COMPUTED_VALUE"""),0.30966666666666665)</f>
        <v>0.3096666667</v>
      </c>
      <c r="CC34" s="180">
        <f>IFERROR(__xludf.DUMMYFUNCTION("""COMPUTED_VALUE"""),0.30966666666666665)</f>
        <v>0.3096666667</v>
      </c>
      <c r="CD34" s="180">
        <f>IFERROR(__xludf.DUMMYFUNCTION("""COMPUTED_VALUE"""),0.30966666666666665)</f>
        <v>0.3096666667</v>
      </c>
      <c r="CE34" s="180">
        <f>IFERROR(__xludf.DUMMYFUNCTION("""COMPUTED_VALUE"""),0.353)</f>
        <v>0.353</v>
      </c>
      <c r="CF34" s="180">
        <f>IFERROR(__xludf.DUMMYFUNCTION("""COMPUTED_VALUE"""),0.30966666666666665)</f>
        <v>0.3096666667</v>
      </c>
      <c r="CG34" s="180">
        <f>IFERROR(__xludf.DUMMYFUNCTION("""COMPUTED_VALUE"""),0.30966666666666665)</f>
        <v>0.3096666667</v>
      </c>
      <c r="CH34" s="180">
        <f>IFERROR(__xludf.DUMMYFUNCTION("""COMPUTED_VALUE"""),0.30966666666666665)</f>
        <v>0.3096666667</v>
      </c>
      <c r="CI34" s="180">
        <f>IFERROR(__xludf.DUMMYFUNCTION("""COMPUTED_VALUE"""),0.30966666666666665)</f>
        <v>0.3096666667</v>
      </c>
      <c r="CJ34" s="180">
        <f>IFERROR(__xludf.DUMMYFUNCTION("""COMPUTED_VALUE"""),0.30966666666666665)</f>
        <v>0.3096666667</v>
      </c>
      <c r="CK34" s="180">
        <f>IFERROR(__xludf.DUMMYFUNCTION("""COMPUTED_VALUE"""),0.30966666666666665)</f>
        <v>0.3096666667</v>
      </c>
      <c r="CL34" s="181">
        <f>IFERROR(__xludf.DUMMYFUNCTION("""COMPUTED_VALUE"""),0.183)</f>
        <v>0.183</v>
      </c>
      <c r="CM34" s="178">
        <f>IFERROR(__xludf.DUMMYFUNCTION("""COMPUTED_VALUE"""),0.393)</f>
        <v>0.393</v>
      </c>
    </row>
    <row r="35">
      <c r="B35" s="174"/>
      <c r="C35" s="154" t="s">
        <v>149</v>
      </c>
      <c r="D35" s="182">
        <f>IFERROR(__xludf.DUMMYFUNCTION("""COMPUTED_VALUE"""),-0.038548403932405745)</f>
        <v>-0.03854840393</v>
      </c>
      <c r="E35" s="183">
        <f>IFERROR(__xludf.DUMMYFUNCTION("""COMPUTED_VALUE"""),-0.15027498417623394)</f>
        <v>-0.1502749842</v>
      </c>
      <c r="F35" s="183">
        <f>IFERROR(__xludf.DUMMYFUNCTION("""COMPUTED_VALUE"""),-0.30168451393549833)</f>
        <v>-0.3016845139</v>
      </c>
      <c r="G35" s="183">
        <f>IFERROR(__xludf.DUMMYFUNCTION("""COMPUTED_VALUE"""),-0.2823157687548001)</f>
        <v>-0.2823157688</v>
      </c>
      <c r="H35" s="183">
        <f>IFERROR(__xludf.DUMMYFUNCTION("""COMPUTED_VALUE"""),-0.14322527153852257)</f>
        <v>-0.1432252715</v>
      </c>
      <c r="I35" s="183">
        <f>IFERROR(__xludf.DUMMYFUNCTION("""COMPUTED_VALUE"""),-0.07114621794988372)</f>
        <v>-0.07114621795</v>
      </c>
      <c r="J35" s="183">
        <f>IFERROR(__xludf.DUMMYFUNCTION("""COMPUTED_VALUE"""),-0.4178738301271321)</f>
        <v>-0.4178738301</v>
      </c>
      <c r="K35" s="183">
        <f>IFERROR(__xludf.DUMMYFUNCTION("""COMPUTED_VALUE"""),-0.32120505280375167)</f>
        <v>-0.3212050528</v>
      </c>
      <c r="L35" s="183">
        <f>IFERROR(__xludf.DUMMYFUNCTION("""COMPUTED_VALUE"""),-0.4294575887258256)</f>
        <v>-0.4294575887</v>
      </c>
      <c r="M35" s="183">
        <f>IFERROR(__xludf.DUMMYFUNCTION("""COMPUTED_VALUE"""),-0.2688426255777767)</f>
        <v>-0.2688426256</v>
      </c>
      <c r="N35" s="183">
        <f>IFERROR(__xludf.DUMMYFUNCTION("""COMPUTED_VALUE"""),-0.08688918656113817)</f>
        <v>-0.08688918656</v>
      </c>
      <c r="O35" s="183">
        <f>IFERROR(__xludf.DUMMYFUNCTION("""COMPUTED_VALUE"""),-0.09699687239573718)</f>
        <v>-0.0969968724</v>
      </c>
      <c r="P35" s="183">
        <f>IFERROR(__xludf.DUMMYFUNCTION("""COMPUTED_VALUE"""),-0.09610038761235797)</f>
        <v>-0.09610038761</v>
      </c>
      <c r="Q35" s="183">
        <f>IFERROR(__xludf.DUMMYFUNCTION("""COMPUTED_VALUE"""),-0.11165584542186408)</f>
        <v>-0.1116558454</v>
      </c>
      <c r="R35" s="183">
        <f>IFERROR(__xludf.DUMMYFUNCTION("""COMPUTED_VALUE"""),-0.14149561457322393)</f>
        <v>-0.1414956146</v>
      </c>
      <c r="S35" s="183">
        <f>IFERROR(__xludf.DUMMYFUNCTION("""COMPUTED_VALUE"""),-0.1693250960842981)</f>
        <v>-0.1693250961</v>
      </c>
      <c r="T35" s="183">
        <f>IFERROR(__xludf.DUMMYFUNCTION("""COMPUTED_VALUE"""),-0.08462472305670654)</f>
        <v>-0.08462472306</v>
      </c>
      <c r="U35" s="183">
        <f>IFERROR(__xludf.DUMMYFUNCTION("""COMPUTED_VALUE"""),-0.08274604180956964)</f>
        <v>-0.08274604181</v>
      </c>
      <c r="V35" s="183">
        <f>IFERROR(__xludf.DUMMYFUNCTION("""COMPUTED_VALUE"""),-0.1781011039971916)</f>
        <v>-0.178101104</v>
      </c>
      <c r="W35" s="183">
        <f>IFERROR(__xludf.DUMMYFUNCTION("""COMPUTED_VALUE"""),-0.08686396049110716)</f>
        <v>-0.08686396049</v>
      </c>
      <c r="X35" s="183">
        <f>IFERROR(__xludf.DUMMYFUNCTION("""COMPUTED_VALUE"""),-0.1708858125796487)</f>
        <v>-0.1708858126</v>
      </c>
      <c r="Y35" s="183">
        <f>IFERROR(__xludf.DUMMYFUNCTION("""COMPUTED_VALUE"""),-0.1733596935891415)</f>
        <v>-0.1733596936</v>
      </c>
      <c r="Z35" s="183">
        <f>IFERROR(__xludf.DUMMYFUNCTION("""COMPUTED_VALUE"""),-0.15889916277590438)</f>
        <v>-0.1588991628</v>
      </c>
      <c r="AA35" s="183">
        <f>IFERROR(__xludf.DUMMYFUNCTION("""COMPUTED_VALUE"""),-0.1784062685545214)</f>
        <v>-0.1784062686</v>
      </c>
      <c r="AB35" s="183">
        <f>IFERROR(__xludf.DUMMYFUNCTION("""COMPUTED_VALUE"""),-0.5144116484912072)</f>
        <v>-0.5144116485</v>
      </c>
      <c r="AC35" s="183">
        <f>IFERROR(__xludf.DUMMYFUNCTION("""COMPUTED_VALUE"""),-0.2026650387669789)</f>
        <v>-0.2026650388</v>
      </c>
      <c r="AD35" s="183">
        <f>IFERROR(__xludf.DUMMYFUNCTION("""COMPUTED_VALUE"""),-0.2915412613047123)</f>
        <v>-0.2915412613</v>
      </c>
      <c r="AE35" s="183">
        <f>IFERROR(__xludf.DUMMYFUNCTION("""COMPUTED_VALUE"""),-0.34902640750834574)</f>
        <v>-0.3490264075</v>
      </c>
      <c r="AF35" s="183">
        <f>IFERROR(__xludf.DUMMYFUNCTION("""COMPUTED_VALUE"""),-0.3815471749303644)</f>
        <v>-0.3815471749</v>
      </c>
      <c r="AG35" s="183">
        <f>IFERROR(__xludf.DUMMYFUNCTION("""COMPUTED_VALUE"""),-0.20965127426388983)</f>
        <v>-0.2096512743</v>
      </c>
      <c r="AH35" s="183">
        <f>IFERROR(__xludf.DUMMYFUNCTION("""COMPUTED_VALUE"""),-0.395147304813183)</f>
        <v>-0.3951473048</v>
      </c>
      <c r="AI35" s="183">
        <f>IFERROR(__xludf.DUMMYFUNCTION("""COMPUTED_VALUE"""),-0.3522075545556921)</f>
        <v>-0.3522075546</v>
      </c>
      <c r="AJ35" s="183">
        <f>IFERROR(__xludf.DUMMYFUNCTION("""COMPUTED_VALUE"""),-0.2436933607739926)</f>
        <v>-0.2436933608</v>
      </c>
      <c r="AK35" s="183">
        <f>IFERROR(__xludf.DUMMYFUNCTION("""COMPUTED_VALUE"""),-0.35113154533073526)</f>
        <v>-0.3511315453</v>
      </c>
      <c r="AL35" s="183">
        <f>IFERROR(__xludf.DUMMYFUNCTION("""COMPUTED_VALUE"""),-0.3020399060171591)</f>
        <v>-0.302039906</v>
      </c>
      <c r="AM35" s="183">
        <f>IFERROR(__xludf.DUMMYFUNCTION("""COMPUTED_VALUE"""),-0.25953894091495666)</f>
        <v>-0.2595389409</v>
      </c>
      <c r="AN35" s="183">
        <f>IFERROR(__xludf.DUMMYFUNCTION("""COMPUTED_VALUE"""),-0.2942440774084728)</f>
        <v>-0.2942440774</v>
      </c>
      <c r="AO35" s="183">
        <f>IFERROR(__xludf.DUMMYFUNCTION("""COMPUTED_VALUE"""),-0.3303441286125949)</f>
        <v>-0.3303441286</v>
      </c>
      <c r="AP35" s="183">
        <f>IFERROR(__xludf.DUMMYFUNCTION("""COMPUTED_VALUE"""),-0.271164436110571)</f>
        <v>-0.2711644361</v>
      </c>
      <c r="AQ35" s="183">
        <f>IFERROR(__xludf.DUMMYFUNCTION("""COMPUTED_VALUE"""),-0.2879059842728268)</f>
        <v>-0.2879059843</v>
      </c>
      <c r="AR35" s="183">
        <f>IFERROR(__xludf.DUMMYFUNCTION("""COMPUTED_VALUE"""),-0.2650424206609047)</f>
        <v>-0.2650424207</v>
      </c>
      <c r="AS35" s="183">
        <f>IFERROR(__xludf.DUMMYFUNCTION("""COMPUTED_VALUE"""),-0.3007483143599228)</f>
        <v>-0.3007483144</v>
      </c>
      <c r="AT35" s="183">
        <f>IFERROR(__xludf.DUMMYFUNCTION("""COMPUTED_VALUE"""),-0.2836251438487554)</f>
        <v>-0.2836251438</v>
      </c>
      <c r="AU35" s="183">
        <f>IFERROR(__xludf.DUMMYFUNCTION("""COMPUTED_VALUE"""),-0.31045606487720595)</f>
        <v>-0.3104560649</v>
      </c>
      <c r="AV35" s="183">
        <f>IFERROR(__xludf.DUMMYFUNCTION("""COMPUTED_VALUE"""),-0.2964799219829129)</f>
        <v>-0.296479922</v>
      </c>
      <c r="AW35" s="183">
        <f>IFERROR(__xludf.DUMMYFUNCTION("""COMPUTED_VALUE"""),-0.26693666746260497)</f>
        <v>-0.2669366675</v>
      </c>
      <c r="AX35" s="183">
        <f>IFERROR(__xludf.DUMMYFUNCTION("""COMPUTED_VALUE"""),-0.29065152390980104)</f>
        <v>-0.2906515239</v>
      </c>
      <c r="AY35" s="183">
        <f>IFERROR(__xludf.DUMMYFUNCTION("""COMPUTED_VALUE"""),-0.3296568898374147)</f>
        <v>-0.3296568898</v>
      </c>
      <c r="AZ35" s="183">
        <f>IFERROR(__xludf.DUMMYFUNCTION("""COMPUTED_VALUE"""),-0.27606128291290727)</f>
        <v>-0.2760612829</v>
      </c>
      <c r="BA35" s="183">
        <f>IFERROR(__xludf.DUMMYFUNCTION("""COMPUTED_VALUE"""),-0.25709780790825953)</f>
        <v>-0.2570978079</v>
      </c>
      <c r="BB35" s="183">
        <f>IFERROR(__xludf.DUMMYFUNCTION("""COMPUTED_VALUE"""),-0.13412035480348744)</f>
        <v>-0.1341203548</v>
      </c>
      <c r="BC35" s="183">
        <f>IFERROR(__xludf.DUMMYFUNCTION("""COMPUTED_VALUE"""),-0.14040457280384258)</f>
        <v>-0.1404045728</v>
      </c>
      <c r="BD35" s="183">
        <f>IFERROR(__xludf.DUMMYFUNCTION("""COMPUTED_VALUE"""),-0.12769875112091136)</f>
        <v>-0.1276987511</v>
      </c>
      <c r="BE35" s="183">
        <f>IFERROR(__xludf.DUMMYFUNCTION("""COMPUTED_VALUE"""),-0.16162992474024204)</f>
        <v>-0.1616299247</v>
      </c>
      <c r="BF35" s="183">
        <f>IFERROR(__xludf.DUMMYFUNCTION("""COMPUTED_VALUE"""),-0.14633425262876223)</f>
        <v>-0.1463342526</v>
      </c>
      <c r="BG35" s="183">
        <f>IFERROR(__xludf.DUMMYFUNCTION("""COMPUTED_VALUE"""),-0.14245720948464052)</f>
        <v>-0.1424572095</v>
      </c>
      <c r="BH35" s="183">
        <f>IFERROR(__xludf.DUMMYFUNCTION("""COMPUTED_VALUE"""),-0.13954039420109174)</f>
        <v>-0.1395403942</v>
      </c>
      <c r="BI35" s="183">
        <f>IFERROR(__xludf.DUMMYFUNCTION("""COMPUTED_VALUE"""),-0.1330876113725826)</f>
        <v>-0.1330876114</v>
      </c>
      <c r="BJ35" s="183">
        <f>IFERROR(__xludf.DUMMYFUNCTION("""COMPUTED_VALUE"""),-0.12570923438372145)</f>
        <v>-0.1257092344</v>
      </c>
      <c r="BK35" s="183">
        <f>IFERROR(__xludf.DUMMYFUNCTION("""COMPUTED_VALUE"""),-0.1194385551197474)</f>
        <v>-0.1194385551</v>
      </c>
      <c r="BL35" s="183">
        <f>IFERROR(__xludf.DUMMYFUNCTION("""COMPUTED_VALUE"""),-0.1258432391616131)</f>
        <v>-0.1258432392</v>
      </c>
      <c r="BM35" s="183">
        <f>IFERROR(__xludf.DUMMYFUNCTION("""COMPUTED_VALUE"""),-0.1489895570230418)</f>
        <v>-0.148989557</v>
      </c>
      <c r="BN35" s="183">
        <f>IFERROR(__xludf.DUMMYFUNCTION("""COMPUTED_VALUE"""),-0.1679980899150267)</f>
        <v>-0.1679980899</v>
      </c>
      <c r="BO35" s="183">
        <f>IFERROR(__xludf.DUMMYFUNCTION("""COMPUTED_VALUE"""),-0.16317178931711449)</f>
        <v>-0.1631717893</v>
      </c>
      <c r="BP35" s="183">
        <f>IFERROR(__xludf.DUMMYFUNCTION("""COMPUTED_VALUE"""),-0.15405320309764078)</f>
        <v>-0.1540532031</v>
      </c>
      <c r="BQ35" s="183">
        <f>IFERROR(__xludf.DUMMYFUNCTION("""COMPUTED_VALUE"""),-0.21061451803867062)</f>
        <v>-0.210614518</v>
      </c>
      <c r="BR35" s="183">
        <f>IFERROR(__xludf.DUMMYFUNCTION("""COMPUTED_VALUE"""),-0.08329190743896542)</f>
        <v>-0.08329190744</v>
      </c>
      <c r="BS35" s="183">
        <f>IFERROR(__xludf.DUMMYFUNCTION("""COMPUTED_VALUE"""),-0.16672816552319714)</f>
        <v>-0.1667281655</v>
      </c>
      <c r="BT35" s="183">
        <f>IFERROR(__xludf.DUMMYFUNCTION("""COMPUTED_VALUE"""),0.032952567551997)</f>
        <v>0.03295256755</v>
      </c>
      <c r="BU35" s="183">
        <f>IFERROR(__xludf.DUMMYFUNCTION("""COMPUTED_VALUE"""),-0.10531370852526105)</f>
        <v>-0.1053137085</v>
      </c>
      <c r="BV35" s="183">
        <f>IFERROR(__xludf.DUMMYFUNCTION("""COMPUTED_VALUE"""),-0.05039467669087573)</f>
        <v>-0.05039467669</v>
      </c>
      <c r="BW35" s="183">
        <f>IFERROR(__xludf.DUMMYFUNCTION("""COMPUTED_VALUE"""),-0.0032188085882998573)</f>
        <v>-0.003218808588</v>
      </c>
      <c r="BX35" s="183">
        <f>IFERROR(__xludf.DUMMYFUNCTION("""COMPUTED_VALUE"""),-0.09476395265927759)</f>
        <v>-0.09476395266</v>
      </c>
      <c r="BY35" s="183">
        <f>IFERROR(__xludf.DUMMYFUNCTION("""COMPUTED_VALUE"""),-0.06466866916783752)</f>
        <v>-0.06466866917</v>
      </c>
      <c r="BZ35" s="183">
        <f>IFERROR(__xludf.DUMMYFUNCTION("""COMPUTED_VALUE"""),-0.15793457806533473)</f>
        <v>-0.1579345781</v>
      </c>
      <c r="CA35" s="183">
        <f>IFERROR(__xludf.DUMMYFUNCTION("""COMPUTED_VALUE"""),-0.15924507613265967)</f>
        <v>-0.1592450761</v>
      </c>
      <c r="CB35" s="183">
        <f>IFERROR(__xludf.DUMMYFUNCTION("""COMPUTED_VALUE"""),-0.24908754113691325)</f>
        <v>-0.2490875411</v>
      </c>
      <c r="CC35" s="183">
        <f>IFERROR(__xludf.DUMMYFUNCTION("""COMPUTED_VALUE"""),-0.08184307175441732)</f>
        <v>-0.08184307175</v>
      </c>
      <c r="CD35" s="183">
        <f>IFERROR(__xludf.DUMMYFUNCTION("""COMPUTED_VALUE"""),-0.180992093477382)</f>
        <v>-0.1809920935</v>
      </c>
      <c r="CE35" s="183">
        <f>IFERROR(__xludf.DUMMYFUNCTION("""COMPUTED_VALUE"""),-0.1751929806154348)</f>
        <v>-0.1751929806</v>
      </c>
      <c r="CF35" s="183">
        <f>IFERROR(__xludf.DUMMYFUNCTION("""COMPUTED_VALUE"""),-0.2398233697129554)</f>
        <v>-0.2398233697</v>
      </c>
      <c r="CG35" s="183">
        <f>IFERROR(__xludf.DUMMYFUNCTION("""COMPUTED_VALUE"""),-0.20436214366913893)</f>
        <v>-0.2043621437</v>
      </c>
      <c r="CH35" s="183">
        <f>IFERROR(__xludf.DUMMYFUNCTION("""COMPUTED_VALUE"""),-0.11772204224676058)</f>
        <v>-0.1177220422</v>
      </c>
      <c r="CI35" s="183">
        <f>IFERROR(__xludf.DUMMYFUNCTION("""COMPUTED_VALUE"""),-0.2365757328671933)</f>
        <v>-0.2365757329</v>
      </c>
      <c r="CJ35" s="183">
        <f>IFERROR(__xludf.DUMMYFUNCTION("""COMPUTED_VALUE"""),-0.16785877343027206)</f>
        <v>-0.1678587734</v>
      </c>
      <c r="CK35" s="183">
        <f>IFERROR(__xludf.DUMMYFUNCTION("""COMPUTED_VALUE"""),-0.11156514788509035)</f>
        <v>-0.1115651479</v>
      </c>
      <c r="CL35" s="184">
        <f>IFERROR(__xludf.DUMMYFUNCTION("""COMPUTED_VALUE"""),-0.14738321923408765)</f>
        <v>-0.1473832192</v>
      </c>
      <c r="CM35" s="178">
        <f>IFERROR(__xludf.DUMMYFUNCTION("""COMPUTED_VALUE"""),-0.14819884508326375)</f>
        <v>-0.1481988451</v>
      </c>
    </row>
    <row r="36">
      <c r="B36" s="120" t="s">
        <v>150</v>
      </c>
      <c r="C36" s="122"/>
      <c r="D36" s="158"/>
      <c r="E36" s="159"/>
      <c r="F36" s="159"/>
      <c r="G36" s="159"/>
      <c r="H36" s="159"/>
      <c r="I36" s="159"/>
      <c r="J36" s="159"/>
      <c r="K36" s="159"/>
      <c r="L36" s="160"/>
      <c r="M36" s="160"/>
      <c r="N36" s="160"/>
      <c r="O36" s="160"/>
      <c r="P36" s="160"/>
      <c r="Q36" s="160"/>
      <c r="R36" s="160"/>
      <c r="S36" s="160"/>
      <c r="T36" s="160"/>
      <c r="U36" s="160"/>
      <c r="V36" s="160"/>
      <c r="W36" s="160"/>
      <c r="X36" s="160"/>
      <c r="Y36" s="160"/>
      <c r="Z36" s="160"/>
      <c r="AA36" s="160"/>
      <c r="AB36" s="160"/>
      <c r="AC36" s="160"/>
      <c r="AD36" s="161"/>
      <c r="AE36" s="161"/>
      <c r="AF36" s="161"/>
      <c r="AG36" s="161"/>
      <c r="AH36" s="161"/>
      <c r="AI36" s="161"/>
      <c r="AJ36" s="161"/>
      <c r="AK36" s="161"/>
      <c r="AL36" s="161"/>
      <c r="AM36" s="161"/>
      <c r="AN36" s="161"/>
      <c r="AO36" s="161"/>
      <c r="AP36" s="161"/>
      <c r="AQ36" s="161"/>
      <c r="AR36" s="161"/>
      <c r="AS36" s="161"/>
      <c r="AT36" s="161"/>
      <c r="AU36" s="161"/>
      <c r="AV36" s="161"/>
      <c r="AW36" s="161"/>
      <c r="AX36" s="161"/>
      <c r="AY36" s="161"/>
      <c r="AZ36" s="161"/>
      <c r="BA36" s="161"/>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3"/>
    </row>
    <row r="37">
      <c r="B37" s="174"/>
      <c r="C37" s="185" t="s">
        <v>151</v>
      </c>
      <c r="D37" s="186">
        <v>3354.56</v>
      </c>
      <c r="E37" s="187">
        <v>3354.56</v>
      </c>
      <c r="F37" s="187">
        <v>3354.56</v>
      </c>
      <c r="G37" s="187">
        <v>3354.56</v>
      </c>
      <c r="H37" s="187">
        <v>3354.56</v>
      </c>
      <c r="I37" s="187">
        <v>3354.56</v>
      </c>
      <c r="J37" s="187">
        <v>3354.56</v>
      </c>
      <c r="K37" s="187">
        <v>3354.56</v>
      </c>
      <c r="L37" s="187">
        <v>3354.56</v>
      </c>
      <c r="M37" s="187">
        <v>3354.56</v>
      </c>
      <c r="N37" s="187">
        <v>3354.56</v>
      </c>
      <c r="O37" s="187">
        <v>3354.56</v>
      </c>
      <c r="P37" s="187">
        <v>3354.56</v>
      </c>
      <c r="Q37" s="187">
        <v>3354.56</v>
      </c>
      <c r="R37" s="187">
        <v>3354.56</v>
      </c>
      <c r="S37" s="187">
        <v>3354.56</v>
      </c>
      <c r="T37" s="187">
        <v>3354.56</v>
      </c>
      <c r="U37" s="187">
        <v>3354.56</v>
      </c>
      <c r="V37" s="187">
        <v>3354.56</v>
      </c>
      <c r="W37" s="187">
        <v>3354.56</v>
      </c>
      <c r="X37" s="187">
        <v>3354.56</v>
      </c>
      <c r="Y37" s="187">
        <v>3354.56</v>
      </c>
      <c r="Z37" s="187">
        <v>3354.56</v>
      </c>
      <c r="AA37" s="187">
        <v>3354.56</v>
      </c>
      <c r="AB37" s="187">
        <v>3354.56</v>
      </c>
      <c r="AC37" s="187">
        <v>3354.56</v>
      </c>
      <c r="AD37" s="187">
        <v>3354.56</v>
      </c>
      <c r="AE37" s="187">
        <v>3354.56</v>
      </c>
      <c r="AF37" s="187">
        <v>3354.56</v>
      </c>
      <c r="AG37" s="187">
        <v>3354.56</v>
      </c>
      <c r="AH37" s="187">
        <v>3354.56</v>
      </c>
      <c r="AI37" s="187">
        <v>3354.56</v>
      </c>
      <c r="AJ37" s="187">
        <v>3354.56</v>
      </c>
      <c r="AK37" s="187">
        <v>3354.56</v>
      </c>
      <c r="AL37" s="187">
        <v>3354.56</v>
      </c>
      <c r="AM37" s="187">
        <v>3354.56</v>
      </c>
      <c r="AN37" s="187">
        <v>3354.56</v>
      </c>
      <c r="AO37" s="187">
        <v>3354.56</v>
      </c>
      <c r="AP37" s="187">
        <v>3354.56</v>
      </c>
      <c r="AQ37" s="187">
        <v>3354.56</v>
      </c>
      <c r="AR37" s="187">
        <v>3354.56</v>
      </c>
      <c r="AS37" s="187">
        <v>3354.56</v>
      </c>
      <c r="AT37" s="187">
        <v>3354.56</v>
      </c>
      <c r="AU37" s="187">
        <v>3354.56</v>
      </c>
      <c r="AV37" s="187">
        <v>3354.56</v>
      </c>
      <c r="AW37" s="187">
        <v>3354.56</v>
      </c>
      <c r="AX37" s="187">
        <v>3354.56</v>
      </c>
      <c r="AY37" s="187">
        <v>3354.56</v>
      </c>
      <c r="AZ37" s="187">
        <v>3354.56</v>
      </c>
      <c r="BA37" s="187">
        <v>3354.56</v>
      </c>
      <c r="BB37" s="187">
        <v>3354.56</v>
      </c>
      <c r="BC37" s="187">
        <v>3354.56</v>
      </c>
      <c r="BD37" s="187">
        <v>3354.56</v>
      </c>
      <c r="BE37" s="187">
        <v>3354.56</v>
      </c>
      <c r="BF37" s="187">
        <v>3354.56</v>
      </c>
      <c r="BG37" s="187">
        <v>3354.56</v>
      </c>
      <c r="BH37" s="187">
        <v>3354.56</v>
      </c>
      <c r="BI37" s="187">
        <v>3354.56</v>
      </c>
      <c r="BJ37" s="187">
        <v>3354.56</v>
      </c>
      <c r="BK37" s="187">
        <v>3354.56</v>
      </c>
      <c r="BL37" s="187">
        <v>3354.56</v>
      </c>
      <c r="BM37" s="187">
        <v>3354.56</v>
      </c>
      <c r="BN37" s="187">
        <v>3354.56</v>
      </c>
      <c r="BO37" s="187">
        <v>3354.56</v>
      </c>
      <c r="BP37" s="187">
        <v>3354.56</v>
      </c>
      <c r="BQ37" s="187">
        <v>3354.56</v>
      </c>
      <c r="BR37" s="187">
        <v>3354.56</v>
      </c>
      <c r="BS37" s="187">
        <v>3354.56</v>
      </c>
      <c r="BT37" s="187">
        <v>3354.56</v>
      </c>
      <c r="BU37" s="187">
        <v>3354.56</v>
      </c>
      <c r="BV37" s="187">
        <v>3354.56</v>
      </c>
      <c r="BW37" s="187">
        <v>3354.56</v>
      </c>
      <c r="BX37" s="187">
        <v>3354.56</v>
      </c>
      <c r="BY37" s="187">
        <v>3354.56</v>
      </c>
      <c r="BZ37" s="187">
        <v>3354.56</v>
      </c>
      <c r="CA37" s="187">
        <v>3354.56</v>
      </c>
      <c r="CB37" s="187">
        <v>3354.56</v>
      </c>
      <c r="CC37" s="187">
        <v>3354.56</v>
      </c>
      <c r="CD37" s="187">
        <v>3354.56</v>
      </c>
      <c r="CE37" s="187">
        <v>3354.56</v>
      </c>
      <c r="CF37" s="187">
        <v>3354.56</v>
      </c>
      <c r="CG37" s="187">
        <v>3354.56</v>
      </c>
      <c r="CH37" s="187">
        <v>3354.56</v>
      </c>
      <c r="CI37" s="187">
        <v>3354.56</v>
      </c>
      <c r="CJ37" s="187">
        <v>3354.56</v>
      </c>
      <c r="CK37" s="187">
        <v>3354.56</v>
      </c>
      <c r="CL37" s="188">
        <v>3354.56</v>
      </c>
    </row>
    <row r="38" hidden="1">
      <c r="B38" s="174"/>
      <c r="C38" s="189" t="s">
        <v>151</v>
      </c>
      <c r="D38" s="190">
        <f>D37*'Your moral weights'!$C6</f>
        <v>3354.56</v>
      </c>
      <c r="E38" s="190">
        <f>E37*'Your moral weights'!$C6</f>
        <v>3354.56</v>
      </c>
      <c r="F38" s="190">
        <f>F37*'Your moral weights'!$C6</f>
        <v>3354.56</v>
      </c>
      <c r="G38" s="190">
        <f>G37*'Your moral weights'!$C6</f>
        <v>3354.56</v>
      </c>
      <c r="H38" s="190">
        <f>H37*'Your moral weights'!$C6</f>
        <v>3354.56</v>
      </c>
      <c r="I38" s="190">
        <f>I37*'Your moral weights'!$C6</f>
        <v>3354.56</v>
      </c>
      <c r="J38" s="190">
        <f>J37*'Your moral weights'!$C6</f>
        <v>3354.56</v>
      </c>
      <c r="K38" s="190">
        <f>K37*'Your moral weights'!$C6</f>
        <v>3354.56</v>
      </c>
      <c r="L38" s="190">
        <f>L37*'Your moral weights'!$C6</f>
        <v>3354.56</v>
      </c>
      <c r="M38" s="190">
        <f>M37*'Your moral weights'!$C6</f>
        <v>3354.56</v>
      </c>
      <c r="N38" s="190">
        <f>N37*'Your moral weights'!$C6</f>
        <v>3354.56</v>
      </c>
      <c r="O38" s="190">
        <f>O37*'Your moral weights'!$C6</f>
        <v>3354.56</v>
      </c>
      <c r="P38" s="190">
        <f>P37*'Your moral weights'!$C6</f>
        <v>3354.56</v>
      </c>
      <c r="Q38" s="190">
        <f>Q37*'Your moral weights'!$C6</f>
        <v>3354.56</v>
      </c>
      <c r="R38" s="190">
        <f>R37*'Your moral weights'!$C6</f>
        <v>3354.56</v>
      </c>
      <c r="S38" s="190">
        <f>S37*'Your moral weights'!$C6</f>
        <v>3354.56</v>
      </c>
      <c r="T38" s="190">
        <f>T37*'Your moral weights'!$C6</f>
        <v>3354.56</v>
      </c>
      <c r="U38" s="190">
        <f>U37*'Your moral weights'!$C6</f>
        <v>3354.56</v>
      </c>
      <c r="V38" s="190">
        <f>V37*'Your moral weights'!$C6</f>
        <v>3354.56</v>
      </c>
      <c r="W38" s="190">
        <f>W37*'Your moral weights'!$C6</f>
        <v>3354.56</v>
      </c>
      <c r="X38" s="190">
        <f>X37*'Your moral weights'!$C6</f>
        <v>3354.56</v>
      </c>
      <c r="Y38" s="190">
        <f>Y37*'Your moral weights'!$C6</f>
        <v>3354.56</v>
      </c>
      <c r="Z38" s="190">
        <f>Z37*'Your moral weights'!$C6</f>
        <v>3354.56</v>
      </c>
      <c r="AA38" s="190">
        <f>AA37*'Your moral weights'!$C6</f>
        <v>3354.56</v>
      </c>
      <c r="AB38" s="190">
        <f>AB37*'Your moral weights'!$C6</f>
        <v>3354.56</v>
      </c>
      <c r="AC38" s="190">
        <f>AC37*'Your moral weights'!$C6</f>
        <v>3354.56</v>
      </c>
      <c r="AD38" s="190">
        <f>AD37*'Your moral weights'!$C6</f>
        <v>3354.56</v>
      </c>
      <c r="AE38" s="190">
        <f>AE37*'Your moral weights'!$C6</f>
        <v>3354.56</v>
      </c>
      <c r="AF38" s="190">
        <f>AF37*'Your moral weights'!$C6</f>
        <v>3354.56</v>
      </c>
      <c r="AG38" s="190">
        <f>AG37*'Your moral weights'!$C6</f>
        <v>3354.56</v>
      </c>
      <c r="AH38" s="190">
        <f>AH37*'Your moral weights'!$C6</f>
        <v>3354.56</v>
      </c>
      <c r="AI38" s="190">
        <f>AI37*'Your moral weights'!$C6</f>
        <v>3354.56</v>
      </c>
      <c r="AJ38" s="190">
        <f>AJ37*'Your moral weights'!$C6</f>
        <v>3354.56</v>
      </c>
      <c r="AK38" s="190">
        <f>AK37*'Your moral weights'!$C6</f>
        <v>3354.56</v>
      </c>
      <c r="AL38" s="190">
        <f>AL37*'Your moral weights'!$C6</f>
        <v>3354.56</v>
      </c>
      <c r="AM38" s="190">
        <f>AM37*'Your moral weights'!$C6</f>
        <v>3354.56</v>
      </c>
      <c r="AN38" s="190">
        <f>AN37*'Your moral weights'!$C6</f>
        <v>3354.56</v>
      </c>
      <c r="AO38" s="190">
        <f>AO37*'Your moral weights'!$C6</f>
        <v>3354.56</v>
      </c>
      <c r="AP38" s="190">
        <f>AP37*'Your moral weights'!$C6</f>
        <v>3354.56</v>
      </c>
      <c r="AQ38" s="190">
        <f>AQ37*'Your moral weights'!$C6</f>
        <v>3354.56</v>
      </c>
      <c r="AR38" s="190">
        <f>AR37*'Your moral weights'!$C6</f>
        <v>3354.56</v>
      </c>
      <c r="AS38" s="190">
        <f>AS37*'Your moral weights'!$C6</f>
        <v>3354.56</v>
      </c>
      <c r="AT38" s="190">
        <f>AT37*'Your moral weights'!$C6</f>
        <v>3354.56</v>
      </c>
      <c r="AU38" s="190">
        <f>AU37*'Your moral weights'!$C6</f>
        <v>3354.56</v>
      </c>
      <c r="AV38" s="190">
        <f>AV37*'Your moral weights'!$C6</f>
        <v>3354.56</v>
      </c>
      <c r="AW38" s="190">
        <f>AW37*'Your moral weights'!$C6</f>
        <v>3354.56</v>
      </c>
      <c r="AX38" s="190">
        <f>AX37*'Your moral weights'!$C6</f>
        <v>3354.56</v>
      </c>
      <c r="AY38" s="190">
        <f>AY37*'Your moral weights'!$C6</f>
        <v>3354.56</v>
      </c>
      <c r="AZ38" s="190">
        <f>AZ37*'Your moral weights'!$C6</f>
        <v>3354.56</v>
      </c>
      <c r="BA38" s="190">
        <f>BA37*'Your moral weights'!$C6</f>
        <v>3354.56</v>
      </c>
      <c r="BB38" s="190">
        <f>BB37*'Your moral weights'!$C6</f>
        <v>3354.56</v>
      </c>
      <c r="BC38" s="190">
        <f>BC37*'Your moral weights'!$C6</f>
        <v>3354.56</v>
      </c>
      <c r="BD38" s="190">
        <f>BD37*'Your moral weights'!$C6</f>
        <v>3354.56</v>
      </c>
      <c r="BE38" s="190">
        <f>BE37*'Your moral weights'!$C6</f>
        <v>3354.56</v>
      </c>
      <c r="BF38" s="190">
        <f>BF37*'Your moral weights'!$C6</f>
        <v>3354.56</v>
      </c>
      <c r="BG38" s="190">
        <f>BG37*'Your moral weights'!$C6</f>
        <v>3354.56</v>
      </c>
      <c r="BH38" s="190">
        <f>BH37*'Your moral weights'!$C6</f>
        <v>3354.56</v>
      </c>
      <c r="BI38" s="190">
        <f>BI37*'Your moral weights'!$C6</f>
        <v>3354.56</v>
      </c>
      <c r="BJ38" s="190">
        <f>BJ37*'Your moral weights'!$C6</f>
        <v>3354.56</v>
      </c>
      <c r="BK38" s="190">
        <f>BK37*'Your moral weights'!$C6</f>
        <v>3354.56</v>
      </c>
      <c r="BL38" s="190">
        <f>BL37*'Your moral weights'!$C6</f>
        <v>3354.56</v>
      </c>
      <c r="BM38" s="190">
        <f>BM37*'Your moral weights'!$C6</f>
        <v>3354.56</v>
      </c>
      <c r="BN38" s="190">
        <f>BN37*'Your moral weights'!$C6</f>
        <v>3354.56</v>
      </c>
      <c r="BO38" s="190">
        <f>BO37*'Your moral weights'!$C6</f>
        <v>3354.56</v>
      </c>
      <c r="BP38" s="190">
        <f>BP37*'Your moral weights'!$C6</f>
        <v>3354.56</v>
      </c>
      <c r="BQ38" s="190">
        <f>BQ37*'Your moral weights'!$C6</f>
        <v>3354.56</v>
      </c>
      <c r="BR38" s="190">
        <f>BR37*'Your moral weights'!$C6</f>
        <v>3354.56</v>
      </c>
      <c r="BS38" s="190">
        <f>BS37*'Your moral weights'!$C6</f>
        <v>3354.56</v>
      </c>
      <c r="BT38" s="190">
        <f>BT37*'Your moral weights'!$C6</f>
        <v>3354.56</v>
      </c>
      <c r="BU38" s="190">
        <f>BU37*'Your moral weights'!$C6</f>
        <v>3354.56</v>
      </c>
      <c r="BV38" s="190">
        <f>BV37*'Your moral weights'!$C6</f>
        <v>3354.56</v>
      </c>
      <c r="BW38" s="190">
        <f>BW37*'Your moral weights'!$C6</f>
        <v>3354.56</v>
      </c>
      <c r="BX38" s="190">
        <f>BX37*'Your moral weights'!$C6</f>
        <v>3354.56</v>
      </c>
      <c r="BY38" s="190">
        <f>BY37*'Your moral weights'!$C6</f>
        <v>3354.56</v>
      </c>
      <c r="BZ38" s="190">
        <f>BZ37*'Your moral weights'!$C6</f>
        <v>3354.56</v>
      </c>
      <c r="CA38" s="190">
        <f>CA37*'Your moral weights'!$C6</f>
        <v>3354.56</v>
      </c>
      <c r="CB38" s="190">
        <f>CB37*'Your moral weights'!$C6</f>
        <v>3354.56</v>
      </c>
      <c r="CC38" s="190">
        <f>CC37*'Your moral weights'!$C6</f>
        <v>3354.56</v>
      </c>
      <c r="CD38" s="190">
        <f>CD37*'Your moral weights'!$C6</f>
        <v>3354.56</v>
      </c>
      <c r="CE38" s="190">
        <f>CE37*'Your moral weights'!$C6</f>
        <v>3354.56</v>
      </c>
      <c r="CF38" s="190">
        <f>CF37*'Your moral weights'!$C6</f>
        <v>3354.56</v>
      </c>
      <c r="CG38" s="190">
        <f>CG37*'Your moral weights'!$C6</f>
        <v>3354.56</v>
      </c>
      <c r="CH38" s="190">
        <f>CH37*'Your moral weights'!$C6</f>
        <v>3354.56</v>
      </c>
      <c r="CI38" s="190">
        <f>CI37*'Your moral weights'!$C6</f>
        <v>3354.56</v>
      </c>
      <c r="CJ38" s="190">
        <f>CJ37*'Your moral weights'!$C6</f>
        <v>3354.56</v>
      </c>
      <c r="CK38" s="190">
        <f>CK37*'Your moral weights'!$C6</f>
        <v>3354.56</v>
      </c>
      <c r="CL38" s="191">
        <f>CL37*'Your moral weights'!$C6</f>
        <v>3354.56</v>
      </c>
    </row>
    <row r="39">
      <c r="B39" s="120" t="s">
        <v>152</v>
      </c>
      <c r="C39" s="122"/>
      <c r="D39" s="158"/>
      <c r="E39" s="159"/>
      <c r="F39" s="159"/>
      <c r="G39" s="159"/>
      <c r="H39" s="159"/>
      <c r="I39" s="159"/>
      <c r="J39" s="159"/>
      <c r="K39" s="159"/>
      <c r="L39" s="160"/>
      <c r="M39" s="160"/>
      <c r="N39" s="160"/>
      <c r="O39" s="160"/>
      <c r="P39" s="160"/>
      <c r="Q39" s="160"/>
      <c r="R39" s="160"/>
      <c r="S39" s="160"/>
      <c r="T39" s="160"/>
      <c r="U39" s="160"/>
      <c r="V39" s="160"/>
      <c r="W39" s="160"/>
      <c r="X39" s="160"/>
      <c r="Y39" s="160"/>
      <c r="Z39" s="160"/>
      <c r="AA39" s="160"/>
      <c r="AB39" s="160"/>
      <c r="AC39" s="160"/>
      <c r="AD39" s="161"/>
      <c r="AE39" s="161"/>
      <c r="AF39" s="161"/>
      <c r="AG39" s="161"/>
      <c r="AH39" s="161"/>
      <c r="AI39" s="161"/>
      <c r="AJ39" s="161"/>
      <c r="AK39" s="161"/>
      <c r="AL39" s="161"/>
      <c r="AM39" s="161"/>
      <c r="AN39" s="161"/>
      <c r="AO39" s="161"/>
      <c r="AP39" s="161"/>
      <c r="AQ39" s="161"/>
      <c r="AR39" s="161"/>
      <c r="AS39" s="161"/>
      <c r="AT39" s="161"/>
      <c r="AU39" s="161"/>
      <c r="AV39" s="161"/>
      <c r="AW39" s="161"/>
      <c r="AX39" s="161"/>
      <c r="AY39" s="161"/>
      <c r="AZ39" s="161"/>
      <c r="BA39" s="161"/>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3"/>
    </row>
    <row r="40" hidden="1">
      <c r="B40" s="130"/>
      <c r="C40" s="131" t="s">
        <v>153</v>
      </c>
      <c r="D40" s="192">
        <f t="shared" ref="D40:CL40" si="5">ROUND((SUMPRODUCT(D12:D17,D19:D24)*(1+D33)*(1+D34)*(1+D35))/D37,1)</f>
        <v>4.8</v>
      </c>
      <c r="E40" s="193">
        <f t="shared" si="5"/>
        <v>14.5</v>
      </c>
      <c r="F40" s="193">
        <f t="shared" si="5"/>
        <v>22.6</v>
      </c>
      <c r="G40" s="193">
        <f t="shared" si="5"/>
        <v>16.7</v>
      </c>
      <c r="H40" s="193">
        <f t="shared" si="5"/>
        <v>13.2</v>
      </c>
      <c r="I40" s="193">
        <f t="shared" si="5"/>
        <v>7.1</v>
      </c>
      <c r="J40" s="193">
        <f t="shared" si="5"/>
        <v>8.7</v>
      </c>
      <c r="K40" s="193">
        <f t="shared" si="5"/>
        <v>15.5</v>
      </c>
      <c r="L40" s="193">
        <f t="shared" si="5"/>
        <v>17.9</v>
      </c>
      <c r="M40" s="193">
        <f t="shared" si="5"/>
        <v>8</v>
      </c>
      <c r="N40" s="193">
        <f t="shared" si="5"/>
        <v>7.8</v>
      </c>
      <c r="O40" s="193">
        <f t="shared" si="5"/>
        <v>9.2</v>
      </c>
      <c r="P40" s="193">
        <f t="shared" si="5"/>
        <v>9</v>
      </c>
      <c r="Q40" s="193">
        <f t="shared" si="5"/>
        <v>12.5</v>
      </c>
      <c r="R40" s="193">
        <f t="shared" si="5"/>
        <v>11.4</v>
      </c>
      <c r="S40" s="193">
        <f t="shared" si="5"/>
        <v>21.1</v>
      </c>
      <c r="T40" s="193">
        <f t="shared" si="5"/>
        <v>17.9</v>
      </c>
      <c r="U40" s="193">
        <f t="shared" si="5"/>
        <v>16</v>
      </c>
      <c r="V40" s="193">
        <f t="shared" si="5"/>
        <v>29.2</v>
      </c>
      <c r="W40" s="193">
        <f t="shared" si="5"/>
        <v>20.9</v>
      </c>
      <c r="X40" s="193">
        <f t="shared" si="5"/>
        <v>22.2</v>
      </c>
      <c r="Y40" s="193">
        <f t="shared" si="5"/>
        <v>24.2</v>
      </c>
      <c r="Z40" s="193">
        <f t="shared" si="5"/>
        <v>15.9</v>
      </c>
      <c r="AA40" s="193">
        <f t="shared" si="5"/>
        <v>29.6</v>
      </c>
      <c r="AB40" s="193">
        <f t="shared" si="5"/>
        <v>10.5</v>
      </c>
      <c r="AC40" s="193">
        <f t="shared" si="5"/>
        <v>10.3</v>
      </c>
      <c r="AD40" s="193">
        <f t="shared" si="5"/>
        <v>22.4</v>
      </c>
      <c r="AE40" s="193">
        <f t="shared" si="5"/>
        <v>15.8</v>
      </c>
      <c r="AF40" s="193">
        <f t="shared" si="5"/>
        <v>8.5</v>
      </c>
      <c r="AG40" s="193">
        <f t="shared" si="5"/>
        <v>16.8</v>
      </c>
      <c r="AH40" s="193">
        <f t="shared" si="5"/>
        <v>10.9</v>
      </c>
      <c r="AI40" s="193">
        <f t="shared" si="5"/>
        <v>4.8</v>
      </c>
      <c r="AJ40" s="193">
        <f t="shared" si="5"/>
        <v>15.8</v>
      </c>
      <c r="AK40" s="193">
        <f t="shared" si="5"/>
        <v>32.6</v>
      </c>
      <c r="AL40" s="193">
        <f t="shared" si="5"/>
        <v>58.9</v>
      </c>
      <c r="AM40" s="193">
        <f t="shared" si="5"/>
        <v>21.3</v>
      </c>
      <c r="AN40" s="193">
        <f t="shared" si="5"/>
        <v>4.4</v>
      </c>
      <c r="AO40" s="193">
        <f t="shared" si="5"/>
        <v>2.3</v>
      </c>
      <c r="AP40" s="193">
        <f t="shared" si="5"/>
        <v>9.5</v>
      </c>
      <c r="AQ40" s="193">
        <f t="shared" si="5"/>
        <v>5.2</v>
      </c>
      <c r="AR40" s="193">
        <f t="shared" si="5"/>
        <v>13.4</v>
      </c>
      <c r="AS40" s="193">
        <f t="shared" si="5"/>
        <v>3.8</v>
      </c>
      <c r="AT40" s="193">
        <f t="shared" si="5"/>
        <v>5.9</v>
      </c>
      <c r="AU40" s="193">
        <f t="shared" si="5"/>
        <v>3.1</v>
      </c>
      <c r="AV40" s="193">
        <f t="shared" si="5"/>
        <v>4.2</v>
      </c>
      <c r="AW40" s="193">
        <f t="shared" si="5"/>
        <v>11.9</v>
      </c>
      <c r="AX40" s="193">
        <f t="shared" si="5"/>
        <v>4.8</v>
      </c>
      <c r="AY40" s="193">
        <f t="shared" si="5"/>
        <v>2.3</v>
      </c>
      <c r="AZ40" s="193">
        <f t="shared" si="5"/>
        <v>7.6</v>
      </c>
      <c r="BA40" s="193">
        <f t="shared" si="5"/>
        <v>28.7</v>
      </c>
      <c r="BB40" s="193">
        <f t="shared" si="5"/>
        <v>21.4</v>
      </c>
      <c r="BC40" s="193">
        <f t="shared" si="5"/>
        <v>10.8</v>
      </c>
      <c r="BD40" s="193">
        <f t="shared" si="5"/>
        <v>19.5</v>
      </c>
      <c r="BE40" s="193">
        <f t="shared" si="5"/>
        <v>9.7</v>
      </c>
      <c r="BF40" s="193">
        <f t="shared" si="5"/>
        <v>13.3</v>
      </c>
      <c r="BG40" s="193">
        <f t="shared" si="5"/>
        <v>17.8</v>
      </c>
      <c r="BH40" s="193">
        <f t="shared" si="5"/>
        <v>31.4</v>
      </c>
      <c r="BI40" s="193">
        <f t="shared" si="5"/>
        <v>41.6</v>
      </c>
      <c r="BJ40" s="193">
        <f t="shared" si="5"/>
        <v>32.7</v>
      </c>
      <c r="BK40" s="193">
        <f t="shared" si="5"/>
        <v>1.8</v>
      </c>
      <c r="BL40" s="193">
        <f t="shared" si="5"/>
        <v>4.1</v>
      </c>
      <c r="BM40" s="193">
        <f t="shared" si="5"/>
        <v>1.7</v>
      </c>
      <c r="BN40" s="193">
        <f t="shared" si="5"/>
        <v>1.9</v>
      </c>
      <c r="BO40" s="193">
        <f t="shared" si="5"/>
        <v>2.7</v>
      </c>
      <c r="BP40" s="193">
        <f t="shared" si="5"/>
        <v>3.1</v>
      </c>
      <c r="BQ40" s="193">
        <f t="shared" si="5"/>
        <v>5.1</v>
      </c>
      <c r="BR40" s="193">
        <f t="shared" si="5"/>
        <v>1.5</v>
      </c>
      <c r="BS40" s="193">
        <f t="shared" si="5"/>
        <v>2.2</v>
      </c>
      <c r="BT40" s="193">
        <f t="shared" si="5"/>
        <v>1.1</v>
      </c>
      <c r="BU40" s="193">
        <f t="shared" si="5"/>
        <v>1.6</v>
      </c>
      <c r="BV40" s="193">
        <f t="shared" si="5"/>
        <v>1.2</v>
      </c>
      <c r="BW40" s="193">
        <f t="shared" si="5"/>
        <v>1.1</v>
      </c>
      <c r="BX40" s="193">
        <f t="shared" si="5"/>
        <v>1.5</v>
      </c>
      <c r="BY40" s="193">
        <f t="shared" si="5"/>
        <v>1.2</v>
      </c>
      <c r="BZ40" s="193">
        <f t="shared" si="5"/>
        <v>5.5</v>
      </c>
      <c r="CA40" s="193">
        <f t="shared" si="5"/>
        <v>2.2</v>
      </c>
      <c r="CB40" s="193">
        <f t="shared" si="5"/>
        <v>2.1</v>
      </c>
      <c r="CC40" s="193">
        <f t="shared" si="5"/>
        <v>1.1</v>
      </c>
      <c r="CD40" s="193">
        <f t="shared" si="5"/>
        <v>3.4</v>
      </c>
      <c r="CE40" s="193">
        <f t="shared" si="5"/>
        <v>7.8</v>
      </c>
      <c r="CF40" s="193">
        <f t="shared" si="5"/>
        <v>2.6</v>
      </c>
      <c r="CG40" s="193">
        <f t="shared" si="5"/>
        <v>2.4</v>
      </c>
      <c r="CH40" s="193">
        <f t="shared" si="5"/>
        <v>1.2</v>
      </c>
      <c r="CI40" s="193">
        <f t="shared" si="5"/>
        <v>1.8</v>
      </c>
      <c r="CJ40" s="193">
        <f t="shared" si="5"/>
        <v>2.3</v>
      </c>
      <c r="CK40" s="193">
        <f t="shared" si="5"/>
        <v>1.6</v>
      </c>
      <c r="CL40" s="194">
        <f t="shared" si="5"/>
        <v>6.6</v>
      </c>
    </row>
    <row r="41" hidden="1">
      <c r="B41" s="130"/>
      <c r="C41" s="142" t="s">
        <v>154</v>
      </c>
      <c r="D41" s="195">
        <f>IF('Your moral weights'!$E$30="Haven't decided yet","-",ROUND((SUMPRODUCT(D12:D17,D26:D31)*(1+D33)*(1+D34)*(1+D35))/D37,1))</f>
        <v>0</v>
      </c>
      <c r="E41" s="195">
        <f>IF('Your moral weights'!$E$30="Haven't decided yet","-",ROUND((SUMPRODUCT(E12:E17,E26:E31)*(1+E33)*(1+E34)*(1+E35))/E37,1))</f>
        <v>0</v>
      </c>
      <c r="F41" s="195">
        <f>IF('Your moral weights'!$E$30="Haven't decided yet","-",ROUND((SUMPRODUCT(F12:F17,F26:F31)*(1+F33)*(1+F34)*(1+F35))/F37,1))</f>
        <v>0</v>
      </c>
      <c r="G41" s="195">
        <f>IF('Your moral weights'!$E$30="Haven't decided yet","-",ROUND((SUMPRODUCT(G12:G17,G26:G31)*(1+G33)*(1+G34)*(1+G35))/G37,1))</f>
        <v>0</v>
      </c>
      <c r="H41" s="195">
        <f>IF('Your moral weights'!$E$30="Haven't decided yet","-",ROUND((SUMPRODUCT(H12:H17,H26:H31)*(1+H33)*(1+H34)*(1+H35))/H37,1))</f>
        <v>0</v>
      </c>
      <c r="I41" s="195">
        <f>IF('Your moral weights'!$E$30="Haven't decided yet","-",ROUND((SUMPRODUCT(I12:I17,I26:I31)*(1+I33)*(1+I34)*(1+I35))/I37,1))</f>
        <v>0</v>
      </c>
      <c r="J41" s="195">
        <f>IF('Your moral weights'!$E$30="Haven't decided yet","-",ROUND((SUMPRODUCT(J12:J17,J26:J31)*(1+J33)*(1+J34)*(1+J35))/J37,1))</f>
        <v>0</v>
      </c>
      <c r="K41" s="195">
        <f>IF('Your moral weights'!$E$30="Haven't decided yet","-",ROUND((SUMPRODUCT(K12:K17,K26:K31)*(1+K33)*(1+K34)*(1+K35))/K37,1))</f>
        <v>0</v>
      </c>
      <c r="L41" s="195">
        <f>IF('Your moral weights'!$E$30="Haven't decided yet","-",ROUND((SUMPRODUCT(L12:L17,L26:L31)*(1+L33)*(1+L34)*(1+L35))/L37,1))</f>
        <v>0</v>
      </c>
      <c r="M41" s="195">
        <f>IF('Your moral weights'!$E$30="Haven't decided yet","-",ROUND((SUMPRODUCT(M12:M17,M26:M31)*(1+M33)*(1+M34)*(1+M35))/M37,1))</f>
        <v>0</v>
      </c>
      <c r="N41" s="195">
        <f>IF('Your moral weights'!$E$30="Haven't decided yet","-",ROUND((SUMPRODUCT(N12:N17,N26:N31)*(1+N33)*(1+N34)*(1+N35))/N37,1))</f>
        <v>0</v>
      </c>
      <c r="O41" s="195">
        <f>IF('Your moral weights'!$E$30="Haven't decided yet","-",ROUND((SUMPRODUCT(O12:O17,O26:O31)*(1+O33)*(1+O34)*(1+O35))/O37,1))</f>
        <v>0</v>
      </c>
      <c r="P41" s="195">
        <f>IF('Your moral weights'!$E$30="Haven't decided yet","-",ROUND((SUMPRODUCT(P12:P17,P26:P31)*(1+P33)*(1+P34)*(1+P35))/P37,1))</f>
        <v>0</v>
      </c>
      <c r="Q41" s="195">
        <f>IF('Your moral weights'!$E$30="Haven't decided yet","-",ROUND((SUMPRODUCT(Q12:Q17,Q26:Q31)*(1+Q33)*(1+Q34)*(1+Q35))/Q37,1))</f>
        <v>0</v>
      </c>
      <c r="R41" s="195">
        <f>IF('Your moral weights'!$E$30="Haven't decided yet","-",ROUND((SUMPRODUCT(R12:R17,R26:R31)*(1+R33)*(1+R34)*(1+R35))/R37,1))</f>
        <v>0</v>
      </c>
      <c r="S41" s="195">
        <f>IF('Your moral weights'!$E$30="Haven't decided yet","-",ROUND((SUMPRODUCT(S12:S17,S26:S31)*(1+S33)*(1+S34)*(1+S35))/S37,1))</f>
        <v>0</v>
      </c>
      <c r="T41" s="195">
        <f>IF('Your moral weights'!$E$30="Haven't decided yet","-",ROUND((SUMPRODUCT(T12:T17,T26:T31)*(1+T33)*(1+T34)*(1+T35))/T37,1))</f>
        <v>0</v>
      </c>
      <c r="U41" s="195">
        <f>IF('Your moral weights'!$E$30="Haven't decided yet","-",ROUND((SUMPRODUCT(U12:U17,U26:U31)*(1+U33)*(1+U34)*(1+U35))/U37,1))</f>
        <v>0</v>
      </c>
      <c r="V41" s="195">
        <f>IF('Your moral weights'!$E$30="Haven't decided yet","-",ROUND((SUMPRODUCT(V12:V17,V26:V31)*(1+V33)*(1+V34)*(1+V35))/V37,1))</f>
        <v>0</v>
      </c>
      <c r="W41" s="195">
        <f>IF('Your moral weights'!$E$30="Haven't decided yet","-",ROUND((SUMPRODUCT(W12:W17,W26:W31)*(1+W33)*(1+W34)*(1+W35))/W37,1))</f>
        <v>0</v>
      </c>
      <c r="X41" s="195">
        <f>IF('Your moral weights'!$E$30="Haven't decided yet","-",ROUND((SUMPRODUCT(X12:X17,X26:X31)*(1+X33)*(1+X34)*(1+X35))/X37,1))</f>
        <v>0</v>
      </c>
      <c r="Y41" s="195">
        <f>IF('Your moral weights'!$E$30="Haven't decided yet","-",ROUND((SUMPRODUCT(Y12:Y17,Y26:Y31)*(1+Y33)*(1+Y34)*(1+Y35))/Y37,1))</f>
        <v>0</v>
      </c>
      <c r="Z41" s="195">
        <f>IF('Your moral weights'!$E$30="Haven't decided yet","-",ROUND((SUMPRODUCT(Z12:Z17,Z26:Z31)*(1+Z33)*(1+Z34)*(1+Z35))/Z37,1))</f>
        <v>0</v>
      </c>
      <c r="AA41" s="195">
        <f>IF('Your moral weights'!$E$30="Haven't decided yet","-",ROUND((SUMPRODUCT(AA12:AA17,AA26:AA31)*(1+AA33)*(1+AA34)*(1+AA35))/AA37,1))</f>
        <v>0</v>
      </c>
      <c r="AB41" s="195">
        <f>IF('Your moral weights'!$E$30="Haven't decided yet","-",ROUND((SUMPRODUCT(AB12:AB17,AB26:AB31)*(1+AB33)*(1+AB34)*(1+AB35))/AB37,1))</f>
        <v>0</v>
      </c>
      <c r="AC41" s="195">
        <f>IF('Your moral weights'!$E$30="Haven't decided yet","-",ROUND((SUMPRODUCT(AC12:AC17,AC26:AC31)*(1+AC33)*(1+AC34)*(1+AC35))/AC37,1))</f>
        <v>0</v>
      </c>
      <c r="AD41" s="195">
        <f>IF('Your moral weights'!$E$30="Haven't decided yet","-",ROUND((SUMPRODUCT(AD12:AD17,AD26:AD31)*(1+AD33)*(1+AD34)*(1+AD35))/AD37,1))</f>
        <v>0</v>
      </c>
      <c r="AE41" s="195">
        <f>IF('Your moral weights'!$E$30="Haven't decided yet","-",ROUND((SUMPRODUCT(AE12:AE17,AE26:AE31)*(1+AE33)*(1+AE34)*(1+AE35))/AE37,1))</f>
        <v>0</v>
      </c>
      <c r="AF41" s="195">
        <f>IF('Your moral weights'!$E$30="Haven't decided yet","-",ROUND((SUMPRODUCT(AF12:AF17,AF26:AF31)*(1+AF33)*(1+AF34)*(1+AF35))/AF37,1))</f>
        <v>0</v>
      </c>
      <c r="AG41" s="195">
        <f>IF('Your moral weights'!$E$30="Haven't decided yet","-",ROUND((SUMPRODUCT(AG12:AG17,AG26:AG31)*(1+AG33)*(1+AG34)*(1+AG35))/AG37,1))</f>
        <v>0</v>
      </c>
      <c r="AH41" s="195">
        <f>IF('Your moral weights'!$E$30="Haven't decided yet","-",ROUND((SUMPRODUCT(AH12:AH17,AH26:AH31)*(1+AH33)*(1+AH34)*(1+AH35))/AH37,1))</f>
        <v>0</v>
      </c>
      <c r="AI41" s="195">
        <f>IF('Your moral weights'!$E$30="Haven't decided yet","-",ROUND((SUMPRODUCT(AI12:AI17,AI26:AI31)*(1+AI33)*(1+AI34)*(1+AI35))/AI37,1))</f>
        <v>0</v>
      </c>
      <c r="AJ41" s="195">
        <f>IF('Your moral weights'!$E$30="Haven't decided yet","-",ROUND((SUMPRODUCT(AJ12:AJ17,AJ26:AJ31)*(1+AJ33)*(1+AJ34)*(1+AJ35))/AJ37,1))</f>
        <v>0</v>
      </c>
      <c r="AK41" s="195">
        <f>IF('Your moral weights'!$E$30="Haven't decided yet","-",ROUND((SUMPRODUCT(AK12:AK17,AK26:AK31)*(1+AK33)*(1+AK34)*(1+AK35))/AK37,1))</f>
        <v>0</v>
      </c>
      <c r="AL41" s="195">
        <f>IF('Your moral weights'!$E$30="Haven't decided yet","-",ROUND((SUMPRODUCT(AL12:AL17,AL26:AL31)*(1+AL33)*(1+AL34)*(1+AL35))/AL37,1))</f>
        <v>0</v>
      </c>
      <c r="AM41" s="195">
        <f>IF('Your moral weights'!$E$30="Haven't decided yet","-",ROUND((SUMPRODUCT(AM12:AM17,AM26:AM31)*(1+AM33)*(1+AM34)*(1+AM35))/AM37,1))</f>
        <v>0</v>
      </c>
      <c r="AN41" s="195">
        <f>IF('Your moral weights'!$E$30="Haven't decided yet","-",ROUND((SUMPRODUCT(AN12:AN17,AN26:AN31)*(1+AN33)*(1+AN34)*(1+AN35))/AN37,1))</f>
        <v>0</v>
      </c>
      <c r="AO41" s="195">
        <f>IF('Your moral weights'!$E$30="Haven't decided yet","-",ROUND((SUMPRODUCT(AO12:AO17,AO26:AO31)*(1+AO33)*(1+AO34)*(1+AO35))/AO37,1))</f>
        <v>0</v>
      </c>
      <c r="AP41" s="195">
        <f>IF('Your moral weights'!$E$30="Haven't decided yet","-",ROUND((SUMPRODUCT(AP12:AP17,AP26:AP31)*(1+AP33)*(1+AP34)*(1+AP35))/AP37,1))</f>
        <v>0</v>
      </c>
      <c r="AQ41" s="195">
        <f>IF('Your moral weights'!$E$30="Haven't decided yet","-",ROUND((SUMPRODUCT(AQ12:AQ17,AQ26:AQ31)*(1+AQ33)*(1+AQ34)*(1+AQ35))/AQ37,1))</f>
        <v>0</v>
      </c>
      <c r="AR41" s="195">
        <f>IF('Your moral weights'!$E$30="Haven't decided yet","-",ROUND((SUMPRODUCT(AR12:AR17,AR26:AR31)*(1+AR33)*(1+AR34)*(1+AR35))/AR37,1))</f>
        <v>0</v>
      </c>
      <c r="AS41" s="195">
        <f>IF('Your moral weights'!$E$30="Haven't decided yet","-",ROUND((SUMPRODUCT(AS12:AS17,AS26:AS31)*(1+AS33)*(1+AS34)*(1+AS35))/AS37,1))</f>
        <v>0</v>
      </c>
      <c r="AT41" s="195">
        <f>IF('Your moral weights'!$E$30="Haven't decided yet","-",ROUND((SUMPRODUCT(AT12:AT17,AT26:AT31)*(1+AT33)*(1+AT34)*(1+AT35))/AT37,1))</f>
        <v>0</v>
      </c>
      <c r="AU41" s="195">
        <f>IF('Your moral weights'!$E$30="Haven't decided yet","-",ROUND((SUMPRODUCT(AU12:AU17,AU26:AU31)*(1+AU33)*(1+AU34)*(1+AU35))/AU37,1))</f>
        <v>0</v>
      </c>
      <c r="AV41" s="195">
        <f>IF('Your moral weights'!$E$30="Haven't decided yet","-",ROUND((SUMPRODUCT(AV12:AV17,AV26:AV31)*(1+AV33)*(1+AV34)*(1+AV35))/AV37,1))</f>
        <v>0</v>
      </c>
      <c r="AW41" s="195">
        <f>IF('Your moral weights'!$E$30="Haven't decided yet","-",ROUND((SUMPRODUCT(AW12:AW17,AW26:AW31)*(1+AW33)*(1+AW34)*(1+AW35))/AW37,1))</f>
        <v>0</v>
      </c>
      <c r="AX41" s="195">
        <f>IF('Your moral weights'!$E$30="Haven't decided yet","-",ROUND((SUMPRODUCT(AX12:AX17,AX26:AX31)*(1+AX33)*(1+AX34)*(1+AX35))/AX37,1))</f>
        <v>0</v>
      </c>
      <c r="AY41" s="195">
        <f>IF('Your moral weights'!$E$30="Haven't decided yet","-",ROUND((SUMPRODUCT(AY12:AY17,AY26:AY31)*(1+AY33)*(1+AY34)*(1+AY35))/AY37,1))</f>
        <v>0</v>
      </c>
      <c r="AZ41" s="195">
        <f>IF('Your moral weights'!$E$30="Haven't decided yet","-",ROUND((SUMPRODUCT(AZ12:AZ17,AZ26:AZ31)*(1+AZ33)*(1+AZ34)*(1+AZ35))/AZ37,1))</f>
        <v>0</v>
      </c>
      <c r="BA41" s="195">
        <f>IF('Your moral weights'!$E$30="Haven't decided yet","-",ROUND((SUMPRODUCT(BA12:BA17,BA26:BA31)*(1+BA33)*(1+BA34)*(1+BA35))/BA37,1))</f>
        <v>0</v>
      </c>
      <c r="BB41" s="195">
        <f>IF('Your moral weights'!$E$30="Haven't decided yet","-",ROUND((SUMPRODUCT(BB12:BB17,BB26:BB31)*(1+BB33)*(1+BB34)*(1+BB35))/BB37,1))</f>
        <v>0</v>
      </c>
      <c r="BC41" s="195">
        <f>IF('Your moral weights'!$E$30="Haven't decided yet","-",ROUND((SUMPRODUCT(BC12:BC17,BC26:BC31)*(1+BC33)*(1+BC34)*(1+BC35))/BC37,1))</f>
        <v>0</v>
      </c>
      <c r="BD41" s="195">
        <f>IF('Your moral weights'!$E$30="Haven't decided yet","-",ROUND((SUMPRODUCT(BD12:BD17,BD26:BD31)*(1+BD33)*(1+BD34)*(1+BD35))/BD37,1))</f>
        <v>0</v>
      </c>
      <c r="BE41" s="195">
        <f>IF('Your moral weights'!$E$30="Haven't decided yet","-",ROUND((SUMPRODUCT(BE12:BE17,BE26:BE31)*(1+BE33)*(1+BE34)*(1+BE35))/BE37,1))</f>
        <v>0</v>
      </c>
      <c r="BF41" s="195">
        <f>IF('Your moral weights'!$E$30="Haven't decided yet","-",ROUND((SUMPRODUCT(BF12:BF17,BF26:BF31)*(1+BF33)*(1+BF34)*(1+BF35))/BF37,1))</f>
        <v>0</v>
      </c>
      <c r="BG41" s="195">
        <f>IF('Your moral weights'!$E$30="Haven't decided yet","-",ROUND((SUMPRODUCT(BG12:BG17,BG26:BG31)*(1+BG33)*(1+BG34)*(1+BG35))/BG37,1))</f>
        <v>0</v>
      </c>
      <c r="BH41" s="195">
        <f>IF('Your moral weights'!$E$30="Haven't decided yet","-",ROUND((SUMPRODUCT(BH12:BH17,BH26:BH31)*(1+BH33)*(1+BH34)*(1+BH35))/BH37,1))</f>
        <v>0</v>
      </c>
      <c r="BI41" s="195">
        <f>IF('Your moral weights'!$E$30="Haven't decided yet","-",ROUND((SUMPRODUCT(BI12:BI17,BI26:BI31)*(1+BI33)*(1+BI34)*(1+BI35))/BI37,1))</f>
        <v>0</v>
      </c>
      <c r="BJ41" s="195">
        <f>IF('Your moral weights'!$E$30="Haven't decided yet","-",ROUND((SUMPRODUCT(BJ12:BJ17,BJ26:BJ31)*(1+BJ33)*(1+BJ34)*(1+BJ35))/BJ37,1))</f>
        <v>0</v>
      </c>
      <c r="BK41" s="195">
        <f>IF('Your moral weights'!$E$30="Haven't decided yet","-",ROUND((SUMPRODUCT(BK12:BK17,BK26:BK31)*(1+BK33)*(1+BK34)*(1+BK35))/BK37,1))</f>
        <v>0</v>
      </c>
      <c r="BL41" s="195">
        <f>IF('Your moral weights'!$E$30="Haven't decided yet","-",ROUND((SUMPRODUCT(BL12:BL17,BL26:BL31)*(1+BL33)*(1+BL34)*(1+BL35))/BL37,1))</f>
        <v>0</v>
      </c>
      <c r="BM41" s="195">
        <f>IF('Your moral weights'!$E$30="Haven't decided yet","-",ROUND((SUMPRODUCT(BM12:BM17,BM26:BM31)*(1+BM33)*(1+BM34)*(1+BM35))/BM37,1))</f>
        <v>0</v>
      </c>
      <c r="BN41" s="195">
        <f>IF('Your moral weights'!$E$30="Haven't decided yet","-",ROUND((SUMPRODUCT(BN12:BN17,BN26:BN31)*(1+BN33)*(1+BN34)*(1+BN35))/BN37,1))</f>
        <v>0</v>
      </c>
      <c r="BO41" s="195">
        <f>IF('Your moral weights'!$E$30="Haven't decided yet","-",ROUND((SUMPRODUCT(BO12:BO17,BO26:BO31)*(1+BO33)*(1+BO34)*(1+BO35))/BO37,1))</f>
        <v>0</v>
      </c>
      <c r="BP41" s="195">
        <f>IF('Your moral weights'!$E$30="Haven't decided yet","-",ROUND((SUMPRODUCT(BP12:BP17,BP26:BP31)*(1+BP33)*(1+BP34)*(1+BP35))/BP37,1))</f>
        <v>0</v>
      </c>
      <c r="BQ41" s="195">
        <f>IF('Your moral weights'!$E$30="Haven't decided yet","-",ROUND((SUMPRODUCT(BQ12:BQ17,BQ26:BQ31)*(1+BQ33)*(1+BQ34)*(1+BQ35))/BQ37,1))</f>
        <v>0</v>
      </c>
      <c r="BR41" s="195">
        <f>IF('Your moral weights'!$E$30="Haven't decided yet","-",ROUND((SUMPRODUCT(BR12:BR17,BR26:BR31)*(1+BR33)*(1+BR34)*(1+BR35))/BR37,1))</f>
        <v>0</v>
      </c>
      <c r="BS41" s="195">
        <f>IF('Your moral weights'!$E$30="Haven't decided yet","-",ROUND((SUMPRODUCT(BS12:BS17,BS26:BS31)*(1+BS33)*(1+BS34)*(1+BS35))/BS37,1))</f>
        <v>0</v>
      </c>
      <c r="BT41" s="195">
        <f>IF('Your moral weights'!$E$30="Haven't decided yet","-",ROUND((SUMPRODUCT(BT12:BT17,BT26:BT31)*(1+BT33)*(1+BT34)*(1+BT35))/BT37,1))</f>
        <v>0</v>
      </c>
      <c r="BU41" s="195">
        <f>IF('Your moral weights'!$E$30="Haven't decided yet","-",ROUND((SUMPRODUCT(BU12:BU17,BU26:BU31)*(1+BU33)*(1+BU34)*(1+BU35))/BU37,1))</f>
        <v>0</v>
      </c>
      <c r="BV41" s="195">
        <f>IF('Your moral weights'!$E$30="Haven't decided yet","-",ROUND((SUMPRODUCT(BV12:BV17,BV26:BV31)*(1+BV33)*(1+BV34)*(1+BV35))/BV37,1))</f>
        <v>0</v>
      </c>
      <c r="BW41" s="195">
        <f>IF('Your moral weights'!$E$30="Haven't decided yet","-",ROUND((SUMPRODUCT(BW12:BW17,BW26:BW31)*(1+BW33)*(1+BW34)*(1+BW35))/BW37,1))</f>
        <v>0</v>
      </c>
      <c r="BX41" s="195">
        <f>IF('Your moral weights'!$E$30="Haven't decided yet","-",ROUND((SUMPRODUCT(BX12:BX17,BX26:BX31)*(1+BX33)*(1+BX34)*(1+BX35))/BX37,1))</f>
        <v>0</v>
      </c>
      <c r="BY41" s="195">
        <f>IF('Your moral weights'!$E$30="Haven't decided yet","-",ROUND((SUMPRODUCT(BY12:BY17,BY26:BY31)*(1+BY33)*(1+BY34)*(1+BY35))/BY37,1))</f>
        <v>0</v>
      </c>
      <c r="BZ41" s="195">
        <f>IF('Your moral weights'!$E$30="Haven't decided yet","-",ROUND((SUMPRODUCT(BZ12:BZ17,BZ26:BZ31)*(1+BZ33)*(1+BZ34)*(1+BZ35))/BZ37,1))</f>
        <v>0</v>
      </c>
      <c r="CA41" s="195">
        <f>IF('Your moral weights'!$E$30="Haven't decided yet","-",ROUND((SUMPRODUCT(CA12:CA17,CA26:CA31)*(1+CA33)*(1+CA34)*(1+CA35))/CA37,1))</f>
        <v>0</v>
      </c>
      <c r="CB41" s="195">
        <f>IF('Your moral weights'!$E$30="Haven't decided yet","-",ROUND((SUMPRODUCT(CB12:CB17,CB26:CB31)*(1+CB33)*(1+CB34)*(1+CB35))/CB37,1))</f>
        <v>0</v>
      </c>
      <c r="CC41" s="195">
        <f>IF('Your moral weights'!$E$30="Haven't decided yet","-",ROUND((SUMPRODUCT(CC12:CC17,CC26:CC31)*(1+CC33)*(1+CC34)*(1+CC35))/CC37,1))</f>
        <v>0</v>
      </c>
      <c r="CD41" s="195">
        <f>IF('Your moral weights'!$E$30="Haven't decided yet","-",ROUND((SUMPRODUCT(CD12:CD17,CD26:CD31)*(1+CD33)*(1+CD34)*(1+CD35))/CD37,1))</f>
        <v>0</v>
      </c>
      <c r="CE41" s="195">
        <f>IF('Your moral weights'!$E$30="Haven't decided yet","-",ROUND((SUMPRODUCT(CE12:CE17,CE26:CE31)*(1+CE33)*(1+CE34)*(1+CE35))/CE37,1))</f>
        <v>0</v>
      </c>
      <c r="CF41" s="195">
        <f>IF('Your moral weights'!$E$30="Haven't decided yet","-",ROUND((SUMPRODUCT(CF12:CF17,CF26:CF31)*(1+CF33)*(1+CF34)*(1+CF35))/CF37,1))</f>
        <v>0</v>
      </c>
      <c r="CG41" s="195">
        <f>IF('Your moral weights'!$E$30="Haven't decided yet","-",ROUND((SUMPRODUCT(CG12:CG17,CG26:CG31)*(1+CG33)*(1+CG34)*(1+CG35))/CG37,1))</f>
        <v>0</v>
      </c>
      <c r="CH41" s="195">
        <f>IF('Your moral weights'!$E$30="Haven't decided yet","-",ROUND((SUMPRODUCT(CH12:CH17,CH26:CH31)*(1+CH33)*(1+CH34)*(1+CH35))/CH37,1))</f>
        <v>0</v>
      </c>
      <c r="CI41" s="195">
        <f>IF('Your moral weights'!$E$30="Haven't decided yet","-",ROUND((SUMPRODUCT(CI12:CI17,CI26:CI31)*(1+CI33)*(1+CI34)*(1+CI35))/CI37,1))</f>
        <v>0</v>
      </c>
      <c r="CJ41" s="195">
        <f>IF('Your moral weights'!$E$30="Haven't decided yet","-",ROUND((SUMPRODUCT(CJ12:CJ17,CJ26:CJ31)*(1+CJ33)*(1+CJ34)*(1+CJ35))/CJ37,1))</f>
        <v>0</v>
      </c>
      <c r="CK41" s="195">
        <f>IF('Your moral weights'!$E$30="Haven't decided yet","-",ROUND((SUMPRODUCT(CK12:CK17,CK26:CK31)*(1+CK33)*(1+CK34)*(1+CK35))/CK37,1))</f>
        <v>0</v>
      </c>
      <c r="CL41" s="196">
        <f>IF('Your moral weights'!$E$30="Haven't decided yet","-",ROUND((SUMPRODUCT(CL12:CL17,CL26:CL31)*(1+CL33)*(1+CL34)*(1+CL35))/CL37,1))</f>
        <v>0</v>
      </c>
    </row>
    <row r="42">
      <c r="B42" s="130"/>
      <c r="C42" s="142" t="s">
        <v>153</v>
      </c>
      <c r="D42" s="195" t="str">
        <f t="shared" ref="D42:CL42" si="6">ROUND((SUMPRODUCT(D12:D17,D19:D24)*(1+D33)*(1+D34)*(1+D35))/D37,1)&amp;"x"</f>
        <v>4.8x</v>
      </c>
      <c r="E42" s="197" t="str">
        <f t="shared" si="6"/>
        <v>14.5x</v>
      </c>
      <c r="F42" s="197" t="str">
        <f t="shared" si="6"/>
        <v>22.6x</v>
      </c>
      <c r="G42" s="197" t="str">
        <f t="shared" si="6"/>
        <v>16.7x</v>
      </c>
      <c r="H42" s="197" t="str">
        <f t="shared" si="6"/>
        <v>13.2x</v>
      </c>
      <c r="I42" s="197" t="str">
        <f t="shared" si="6"/>
        <v>7.1x</v>
      </c>
      <c r="J42" s="197" t="str">
        <f t="shared" si="6"/>
        <v>8.7x</v>
      </c>
      <c r="K42" s="197" t="str">
        <f t="shared" si="6"/>
        <v>15.5x</v>
      </c>
      <c r="L42" s="197" t="str">
        <f t="shared" si="6"/>
        <v>17.9x</v>
      </c>
      <c r="M42" s="197" t="str">
        <f t="shared" si="6"/>
        <v>8x</v>
      </c>
      <c r="N42" s="197" t="str">
        <f t="shared" si="6"/>
        <v>7.8x</v>
      </c>
      <c r="O42" s="197" t="str">
        <f t="shared" si="6"/>
        <v>9.2x</v>
      </c>
      <c r="P42" s="197" t="str">
        <f t="shared" si="6"/>
        <v>9x</v>
      </c>
      <c r="Q42" s="197" t="str">
        <f t="shared" si="6"/>
        <v>12.5x</v>
      </c>
      <c r="R42" s="197" t="str">
        <f t="shared" si="6"/>
        <v>11.4x</v>
      </c>
      <c r="S42" s="197" t="str">
        <f t="shared" si="6"/>
        <v>21.1x</v>
      </c>
      <c r="T42" s="197" t="str">
        <f t="shared" si="6"/>
        <v>17.9x</v>
      </c>
      <c r="U42" s="197" t="str">
        <f t="shared" si="6"/>
        <v>16x</v>
      </c>
      <c r="V42" s="197" t="str">
        <f t="shared" si="6"/>
        <v>29.2x</v>
      </c>
      <c r="W42" s="197" t="str">
        <f t="shared" si="6"/>
        <v>20.9x</v>
      </c>
      <c r="X42" s="197" t="str">
        <f t="shared" si="6"/>
        <v>22.2x</v>
      </c>
      <c r="Y42" s="197" t="str">
        <f t="shared" si="6"/>
        <v>24.2x</v>
      </c>
      <c r="Z42" s="197" t="str">
        <f t="shared" si="6"/>
        <v>15.9x</v>
      </c>
      <c r="AA42" s="197" t="str">
        <f t="shared" si="6"/>
        <v>29.6x</v>
      </c>
      <c r="AB42" s="197" t="str">
        <f t="shared" si="6"/>
        <v>10.5x</v>
      </c>
      <c r="AC42" s="197" t="str">
        <f t="shared" si="6"/>
        <v>10.3x</v>
      </c>
      <c r="AD42" s="197" t="str">
        <f t="shared" si="6"/>
        <v>22.4x</v>
      </c>
      <c r="AE42" s="197" t="str">
        <f t="shared" si="6"/>
        <v>15.8x</v>
      </c>
      <c r="AF42" s="197" t="str">
        <f t="shared" si="6"/>
        <v>8.5x</v>
      </c>
      <c r="AG42" s="197" t="str">
        <f t="shared" si="6"/>
        <v>16.8x</v>
      </c>
      <c r="AH42" s="197" t="str">
        <f t="shared" si="6"/>
        <v>10.9x</v>
      </c>
      <c r="AI42" s="197" t="str">
        <f t="shared" si="6"/>
        <v>4.8x</v>
      </c>
      <c r="AJ42" s="197" t="str">
        <f t="shared" si="6"/>
        <v>15.8x</v>
      </c>
      <c r="AK42" s="197" t="str">
        <f t="shared" si="6"/>
        <v>32.6x</v>
      </c>
      <c r="AL42" s="197" t="str">
        <f t="shared" si="6"/>
        <v>58.9x</v>
      </c>
      <c r="AM42" s="197" t="str">
        <f t="shared" si="6"/>
        <v>21.3x</v>
      </c>
      <c r="AN42" s="197" t="str">
        <f t="shared" si="6"/>
        <v>4.4x</v>
      </c>
      <c r="AO42" s="197" t="str">
        <f t="shared" si="6"/>
        <v>2.3x</v>
      </c>
      <c r="AP42" s="197" t="str">
        <f t="shared" si="6"/>
        <v>9.5x</v>
      </c>
      <c r="AQ42" s="197" t="str">
        <f t="shared" si="6"/>
        <v>5.2x</v>
      </c>
      <c r="AR42" s="197" t="str">
        <f t="shared" si="6"/>
        <v>13.4x</v>
      </c>
      <c r="AS42" s="197" t="str">
        <f t="shared" si="6"/>
        <v>3.8x</v>
      </c>
      <c r="AT42" s="197" t="str">
        <f t="shared" si="6"/>
        <v>5.9x</v>
      </c>
      <c r="AU42" s="197" t="str">
        <f t="shared" si="6"/>
        <v>3.1x</v>
      </c>
      <c r="AV42" s="197" t="str">
        <f t="shared" si="6"/>
        <v>4.2x</v>
      </c>
      <c r="AW42" s="197" t="str">
        <f t="shared" si="6"/>
        <v>11.9x</v>
      </c>
      <c r="AX42" s="197" t="str">
        <f t="shared" si="6"/>
        <v>4.8x</v>
      </c>
      <c r="AY42" s="197" t="str">
        <f t="shared" si="6"/>
        <v>2.3x</v>
      </c>
      <c r="AZ42" s="197" t="str">
        <f t="shared" si="6"/>
        <v>7.6x</v>
      </c>
      <c r="BA42" s="197" t="str">
        <f t="shared" si="6"/>
        <v>28.7x</v>
      </c>
      <c r="BB42" s="197" t="str">
        <f t="shared" si="6"/>
        <v>21.4x</v>
      </c>
      <c r="BC42" s="197" t="str">
        <f t="shared" si="6"/>
        <v>10.8x</v>
      </c>
      <c r="BD42" s="197" t="str">
        <f t="shared" si="6"/>
        <v>19.5x</v>
      </c>
      <c r="BE42" s="197" t="str">
        <f t="shared" si="6"/>
        <v>9.7x</v>
      </c>
      <c r="BF42" s="197" t="str">
        <f t="shared" si="6"/>
        <v>13.3x</v>
      </c>
      <c r="BG42" s="197" t="str">
        <f t="shared" si="6"/>
        <v>17.8x</v>
      </c>
      <c r="BH42" s="197" t="str">
        <f t="shared" si="6"/>
        <v>31.4x</v>
      </c>
      <c r="BI42" s="197" t="str">
        <f t="shared" si="6"/>
        <v>41.6x</v>
      </c>
      <c r="BJ42" s="197" t="str">
        <f t="shared" si="6"/>
        <v>32.7x</v>
      </c>
      <c r="BK42" s="197" t="str">
        <f t="shared" si="6"/>
        <v>1.8x</v>
      </c>
      <c r="BL42" s="197" t="str">
        <f t="shared" si="6"/>
        <v>4.1x</v>
      </c>
      <c r="BM42" s="197" t="str">
        <f t="shared" si="6"/>
        <v>1.7x</v>
      </c>
      <c r="BN42" s="197" t="str">
        <f t="shared" si="6"/>
        <v>1.9x</v>
      </c>
      <c r="BO42" s="197" t="str">
        <f t="shared" si="6"/>
        <v>2.7x</v>
      </c>
      <c r="BP42" s="197" t="str">
        <f t="shared" si="6"/>
        <v>3.1x</v>
      </c>
      <c r="BQ42" s="197" t="str">
        <f t="shared" si="6"/>
        <v>5.1x</v>
      </c>
      <c r="BR42" s="197" t="str">
        <f t="shared" si="6"/>
        <v>1.5x</v>
      </c>
      <c r="BS42" s="197" t="str">
        <f t="shared" si="6"/>
        <v>2.2x</v>
      </c>
      <c r="BT42" s="197" t="str">
        <f t="shared" si="6"/>
        <v>1.1x</v>
      </c>
      <c r="BU42" s="197" t="str">
        <f t="shared" si="6"/>
        <v>1.6x</v>
      </c>
      <c r="BV42" s="197" t="str">
        <f t="shared" si="6"/>
        <v>1.2x</v>
      </c>
      <c r="BW42" s="197" t="str">
        <f t="shared" si="6"/>
        <v>1.1x</v>
      </c>
      <c r="BX42" s="197" t="str">
        <f t="shared" si="6"/>
        <v>1.5x</v>
      </c>
      <c r="BY42" s="197" t="str">
        <f t="shared" si="6"/>
        <v>1.2x</v>
      </c>
      <c r="BZ42" s="197" t="str">
        <f t="shared" si="6"/>
        <v>5.5x</v>
      </c>
      <c r="CA42" s="197" t="str">
        <f t="shared" si="6"/>
        <v>2.2x</v>
      </c>
      <c r="CB42" s="197" t="str">
        <f t="shared" si="6"/>
        <v>2.1x</v>
      </c>
      <c r="CC42" s="197" t="str">
        <f t="shared" si="6"/>
        <v>1.1x</v>
      </c>
      <c r="CD42" s="197" t="str">
        <f t="shared" si="6"/>
        <v>3.4x</v>
      </c>
      <c r="CE42" s="197" t="str">
        <f t="shared" si="6"/>
        <v>7.8x</v>
      </c>
      <c r="CF42" s="197" t="str">
        <f t="shared" si="6"/>
        <v>2.6x</v>
      </c>
      <c r="CG42" s="197" t="str">
        <f t="shared" si="6"/>
        <v>2.4x</v>
      </c>
      <c r="CH42" s="197" t="str">
        <f t="shared" si="6"/>
        <v>1.2x</v>
      </c>
      <c r="CI42" s="197" t="str">
        <f t="shared" si="6"/>
        <v>1.8x</v>
      </c>
      <c r="CJ42" s="197" t="str">
        <f t="shared" si="6"/>
        <v>2.3x</v>
      </c>
      <c r="CK42" s="197" t="str">
        <f t="shared" si="6"/>
        <v>1.6x</v>
      </c>
      <c r="CL42" s="198" t="str">
        <f t="shared" si="6"/>
        <v>6.6x</v>
      </c>
    </row>
    <row r="43">
      <c r="A43" s="35"/>
      <c r="B43" s="199"/>
      <c r="C43" s="200" t="s">
        <v>154</v>
      </c>
      <c r="D43" s="201" t="str">
        <f>IF('Your moral weights'!$E$30="Haven't decided yet","-",ROUND((SUMPRODUCT(D12:D17,D26:D31)*(1+D33)*(1+D34)*(1+D35))/D38,1)&amp;"x")</f>
        <v>0x</v>
      </c>
      <c r="E43" s="201" t="str">
        <f>IF('Your moral weights'!$E$30="Haven't decided yet","-",ROUND((SUMPRODUCT(E12:E17,E26:E31)*(1+E33)*(1+E34)*(1+E35))/E38,1)&amp;"x")</f>
        <v>0x</v>
      </c>
      <c r="F43" s="201" t="str">
        <f>IF('Your moral weights'!$E$30="Haven't decided yet","-",ROUND((SUMPRODUCT(F12:F17,F26:F31)*(1+F33)*(1+F34)*(1+F35))/F38,1)&amp;"x")</f>
        <v>0x</v>
      </c>
      <c r="G43" s="201" t="str">
        <f>IF('Your moral weights'!$E$30="Haven't decided yet","-",ROUND((SUMPRODUCT(G12:G17,G26:G31)*(1+G33)*(1+G34)*(1+G35))/G38,1)&amp;"x")</f>
        <v>0x</v>
      </c>
      <c r="H43" s="201" t="str">
        <f>IF('Your moral weights'!$E$30="Haven't decided yet","-",ROUND((SUMPRODUCT(H12:H17,H26:H31)*(1+H33)*(1+H34)*(1+H35))/H38,1)&amp;"x")</f>
        <v>0x</v>
      </c>
      <c r="I43" s="201" t="str">
        <f>IF('Your moral weights'!$E$30="Haven't decided yet","-",ROUND((SUMPRODUCT(I12:I17,I26:I31)*(1+I33)*(1+I34)*(1+I35))/I38,1)&amp;"x")</f>
        <v>0x</v>
      </c>
      <c r="J43" s="201" t="str">
        <f>IF('Your moral weights'!$E$30="Haven't decided yet","-",ROUND((SUMPRODUCT(J12:J17,J26:J31)*(1+J33)*(1+J34)*(1+J35))/J38,1)&amp;"x")</f>
        <v>0x</v>
      </c>
      <c r="K43" s="201" t="str">
        <f>IF('Your moral weights'!$E$30="Haven't decided yet","-",ROUND((SUMPRODUCT(K12:K17,K26:K31)*(1+K33)*(1+K34)*(1+K35))/K38,1)&amp;"x")</f>
        <v>0x</v>
      </c>
      <c r="L43" s="201" t="str">
        <f>IF('Your moral weights'!$E$30="Haven't decided yet","-",ROUND((SUMPRODUCT(L12:L17,L26:L31)*(1+L33)*(1+L34)*(1+L35))/L38,1)&amp;"x")</f>
        <v>0x</v>
      </c>
      <c r="M43" s="201" t="str">
        <f>IF('Your moral weights'!$E$30="Haven't decided yet","-",ROUND((SUMPRODUCT(M12:M17,M26:M31)*(1+M33)*(1+M34)*(1+M35))/M38,1)&amp;"x")</f>
        <v>0x</v>
      </c>
      <c r="N43" s="201" t="str">
        <f>IF('Your moral weights'!$E$30="Haven't decided yet","-",ROUND((SUMPRODUCT(N12:N17,N26:N31)*(1+N33)*(1+N34)*(1+N35))/N38,1)&amp;"x")</f>
        <v>0x</v>
      </c>
      <c r="O43" s="201" t="str">
        <f>IF('Your moral weights'!$E$30="Haven't decided yet","-",ROUND((SUMPRODUCT(O12:O17,O26:O31)*(1+O33)*(1+O34)*(1+O35))/O38,1)&amp;"x")</f>
        <v>0x</v>
      </c>
      <c r="P43" s="201" t="str">
        <f>IF('Your moral weights'!$E$30="Haven't decided yet","-",ROUND((SUMPRODUCT(P12:P17,P26:P31)*(1+P33)*(1+P34)*(1+P35))/P38,1)&amp;"x")</f>
        <v>0x</v>
      </c>
      <c r="Q43" s="201" t="str">
        <f>IF('Your moral weights'!$E$30="Haven't decided yet","-",ROUND((SUMPRODUCT(Q12:Q17,Q26:Q31)*(1+Q33)*(1+Q34)*(1+Q35))/Q38,1)&amp;"x")</f>
        <v>0x</v>
      </c>
      <c r="R43" s="201" t="str">
        <f>IF('Your moral weights'!$E$30="Haven't decided yet","-",ROUND((SUMPRODUCT(R12:R17,R26:R31)*(1+R33)*(1+R34)*(1+R35))/R38,1)&amp;"x")</f>
        <v>0x</v>
      </c>
      <c r="S43" s="201" t="str">
        <f>IF('Your moral weights'!$E$30="Haven't decided yet","-",ROUND((SUMPRODUCT(S12:S17,S26:S31)*(1+S33)*(1+S34)*(1+S35))/S38,1)&amp;"x")</f>
        <v>0x</v>
      </c>
      <c r="T43" s="201" t="str">
        <f>IF('Your moral weights'!$E$30="Haven't decided yet","-",ROUND((SUMPRODUCT(T12:T17,T26:T31)*(1+T33)*(1+T34)*(1+T35))/T38,1)&amp;"x")</f>
        <v>0x</v>
      </c>
      <c r="U43" s="201" t="str">
        <f>IF('Your moral weights'!$E$30="Haven't decided yet","-",ROUND((SUMPRODUCT(U12:U17,U26:U31)*(1+U33)*(1+U34)*(1+U35))/U38,1)&amp;"x")</f>
        <v>0x</v>
      </c>
      <c r="V43" s="201" t="str">
        <f>IF('Your moral weights'!$E$30="Haven't decided yet","-",ROUND((SUMPRODUCT(V12:V17,V26:V31)*(1+V33)*(1+V34)*(1+V35))/V38,1)&amp;"x")</f>
        <v>0x</v>
      </c>
      <c r="W43" s="201" t="str">
        <f>IF('Your moral weights'!$E$30="Haven't decided yet","-",ROUND((SUMPRODUCT(W12:W17,W26:W31)*(1+W33)*(1+W34)*(1+W35))/W38,1)&amp;"x")</f>
        <v>0x</v>
      </c>
      <c r="X43" s="201" t="str">
        <f>IF('Your moral weights'!$E$30="Haven't decided yet","-",ROUND((SUMPRODUCT(X12:X17,X26:X31)*(1+X33)*(1+X34)*(1+X35))/X38,1)&amp;"x")</f>
        <v>0x</v>
      </c>
      <c r="Y43" s="201" t="str">
        <f>IF('Your moral weights'!$E$30="Haven't decided yet","-",ROUND((SUMPRODUCT(Y12:Y17,Y26:Y31)*(1+Y33)*(1+Y34)*(1+Y35))/Y38,1)&amp;"x")</f>
        <v>0x</v>
      </c>
      <c r="Z43" s="201" t="str">
        <f>IF('Your moral weights'!$E$30="Haven't decided yet","-",ROUND((SUMPRODUCT(Z12:Z17,Z26:Z31)*(1+Z33)*(1+Z34)*(1+Z35))/Z38,1)&amp;"x")</f>
        <v>0x</v>
      </c>
      <c r="AA43" s="201" t="str">
        <f>IF('Your moral weights'!$E$30="Haven't decided yet","-",ROUND((SUMPRODUCT(AA12:AA17,AA26:AA31)*(1+AA33)*(1+AA34)*(1+AA35))/AA38,1)&amp;"x")</f>
        <v>0x</v>
      </c>
      <c r="AB43" s="201" t="str">
        <f>IF('Your moral weights'!$E$30="Haven't decided yet","-",ROUND((SUMPRODUCT(AB12:AB17,AB26:AB31)*(1+AB33)*(1+AB34)*(1+AB35))/AB38,1)&amp;"x")</f>
        <v>0x</v>
      </c>
      <c r="AC43" s="201" t="str">
        <f>IF('Your moral weights'!$E$30="Haven't decided yet","-",ROUND((SUMPRODUCT(AC12:AC17,AC26:AC31)*(1+AC33)*(1+AC34)*(1+AC35))/AC38,1)&amp;"x")</f>
        <v>0x</v>
      </c>
      <c r="AD43" s="201" t="str">
        <f>IF('Your moral weights'!$E$30="Haven't decided yet","-",ROUND((SUMPRODUCT(AD12:AD17,AD26:AD31)*(1+AD33)*(1+AD34)*(1+AD35))/AD38,1)&amp;"x")</f>
        <v>0x</v>
      </c>
      <c r="AE43" s="201" t="str">
        <f>IF('Your moral weights'!$E$30="Haven't decided yet","-",ROUND((SUMPRODUCT(AE12:AE17,AE26:AE31)*(1+AE33)*(1+AE34)*(1+AE35))/AE38,1)&amp;"x")</f>
        <v>0x</v>
      </c>
      <c r="AF43" s="201" t="str">
        <f>IF('Your moral weights'!$E$30="Haven't decided yet","-",ROUND((SUMPRODUCT(AF12:AF17,AF26:AF31)*(1+AF33)*(1+AF34)*(1+AF35))/AF38,1)&amp;"x")</f>
        <v>0x</v>
      </c>
      <c r="AG43" s="201" t="str">
        <f>IF('Your moral weights'!$E$30="Haven't decided yet","-",ROUND((SUMPRODUCT(AG12:AG17,AG26:AG31)*(1+AG33)*(1+AG34)*(1+AG35))/AG38,1)&amp;"x")</f>
        <v>0x</v>
      </c>
      <c r="AH43" s="201" t="str">
        <f>IF('Your moral weights'!$E$30="Haven't decided yet","-",ROUND((SUMPRODUCT(AH12:AH17,AH26:AH31)*(1+AH33)*(1+AH34)*(1+AH35))/AH38,1)&amp;"x")</f>
        <v>0x</v>
      </c>
      <c r="AI43" s="201" t="str">
        <f>IF('Your moral weights'!$E$30="Haven't decided yet","-",ROUND((SUMPRODUCT(AI12:AI17,AI26:AI31)*(1+AI33)*(1+AI34)*(1+AI35))/AI38,1)&amp;"x")</f>
        <v>0x</v>
      </c>
      <c r="AJ43" s="201" t="str">
        <f>IF('Your moral weights'!$E$30="Haven't decided yet","-",ROUND((SUMPRODUCT(AJ12:AJ17,AJ26:AJ31)*(1+AJ33)*(1+AJ34)*(1+AJ35))/AJ38,1)&amp;"x")</f>
        <v>0x</v>
      </c>
      <c r="AK43" s="201" t="str">
        <f>IF('Your moral weights'!$E$30="Haven't decided yet","-",ROUND((SUMPRODUCT(AK12:AK17,AK26:AK31)*(1+AK33)*(1+AK34)*(1+AK35))/AK38,1)&amp;"x")</f>
        <v>0x</v>
      </c>
      <c r="AL43" s="201" t="str">
        <f>IF('Your moral weights'!$E$30="Haven't decided yet","-",ROUND((SUMPRODUCT(AL12:AL17,AL26:AL31)*(1+AL33)*(1+AL34)*(1+AL35))/AL38,1)&amp;"x")</f>
        <v>0x</v>
      </c>
      <c r="AM43" s="201" t="str">
        <f>IF('Your moral weights'!$E$30="Haven't decided yet","-",ROUND((SUMPRODUCT(AM12:AM17,AM26:AM31)*(1+AM33)*(1+AM34)*(1+AM35))/AM38,1)&amp;"x")</f>
        <v>0x</v>
      </c>
      <c r="AN43" s="201" t="str">
        <f>IF('Your moral weights'!$E$30="Haven't decided yet","-",ROUND((SUMPRODUCT(AN12:AN17,AN26:AN31)*(1+AN33)*(1+AN34)*(1+AN35))/AN38,1)&amp;"x")</f>
        <v>0x</v>
      </c>
      <c r="AO43" s="201" t="str">
        <f>IF('Your moral weights'!$E$30="Haven't decided yet","-",ROUND((SUMPRODUCT(AO12:AO17,AO26:AO31)*(1+AO33)*(1+AO34)*(1+AO35))/AO38,1)&amp;"x")</f>
        <v>0x</v>
      </c>
      <c r="AP43" s="201" t="str">
        <f>IF('Your moral weights'!$E$30="Haven't decided yet","-",ROUND((SUMPRODUCT(AP12:AP17,AP26:AP31)*(1+AP33)*(1+AP34)*(1+AP35))/AP38,1)&amp;"x")</f>
        <v>0x</v>
      </c>
      <c r="AQ43" s="201" t="str">
        <f>IF('Your moral weights'!$E$30="Haven't decided yet","-",ROUND((SUMPRODUCT(AQ12:AQ17,AQ26:AQ31)*(1+AQ33)*(1+AQ34)*(1+AQ35))/AQ38,1)&amp;"x")</f>
        <v>0x</v>
      </c>
      <c r="AR43" s="201" t="str">
        <f>IF('Your moral weights'!$E$30="Haven't decided yet","-",ROUND((SUMPRODUCT(AR12:AR17,AR26:AR31)*(1+AR33)*(1+AR34)*(1+AR35))/AR38,1)&amp;"x")</f>
        <v>0x</v>
      </c>
      <c r="AS43" s="201" t="str">
        <f>IF('Your moral weights'!$E$30="Haven't decided yet","-",ROUND((SUMPRODUCT(AS12:AS17,AS26:AS31)*(1+AS33)*(1+AS34)*(1+AS35))/AS38,1)&amp;"x")</f>
        <v>0x</v>
      </c>
      <c r="AT43" s="201" t="str">
        <f>IF('Your moral weights'!$E$30="Haven't decided yet","-",ROUND((SUMPRODUCT(AT12:AT17,AT26:AT31)*(1+AT33)*(1+AT34)*(1+AT35))/AT38,1)&amp;"x")</f>
        <v>0x</v>
      </c>
      <c r="AU43" s="201" t="str">
        <f>IF('Your moral weights'!$E$30="Haven't decided yet","-",ROUND((SUMPRODUCT(AU12:AU17,AU26:AU31)*(1+AU33)*(1+AU34)*(1+AU35))/AU38,1)&amp;"x")</f>
        <v>0x</v>
      </c>
      <c r="AV43" s="201" t="str">
        <f>IF('Your moral weights'!$E$30="Haven't decided yet","-",ROUND((SUMPRODUCT(AV12:AV17,AV26:AV31)*(1+AV33)*(1+AV34)*(1+AV35))/AV38,1)&amp;"x")</f>
        <v>0x</v>
      </c>
      <c r="AW43" s="201" t="str">
        <f>IF('Your moral weights'!$E$30="Haven't decided yet","-",ROUND((SUMPRODUCT(AW12:AW17,AW26:AW31)*(1+AW33)*(1+AW34)*(1+AW35))/AW38,1)&amp;"x")</f>
        <v>0x</v>
      </c>
      <c r="AX43" s="201" t="str">
        <f>IF('Your moral weights'!$E$30="Haven't decided yet","-",ROUND((SUMPRODUCT(AX12:AX17,AX26:AX31)*(1+AX33)*(1+AX34)*(1+AX35))/AX38,1)&amp;"x")</f>
        <v>0x</v>
      </c>
      <c r="AY43" s="201" t="str">
        <f>IF('Your moral weights'!$E$30="Haven't decided yet","-",ROUND((SUMPRODUCT(AY12:AY17,AY26:AY31)*(1+AY33)*(1+AY34)*(1+AY35))/AY38,1)&amp;"x")</f>
        <v>0x</v>
      </c>
      <c r="AZ43" s="201" t="str">
        <f>IF('Your moral weights'!$E$30="Haven't decided yet","-",ROUND((SUMPRODUCT(AZ12:AZ17,AZ26:AZ31)*(1+AZ33)*(1+AZ34)*(1+AZ35))/AZ38,1)&amp;"x")</f>
        <v>0x</v>
      </c>
      <c r="BA43" s="201" t="str">
        <f>IF('Your moral weights'!$E$30="Haven't decided yet","-",ROUND((SUMPRODUCT(BA12:BA17,BA26:BA31)*(1+BA33)*(1+BA34)*(1+BA35))/BA38,1)&amp;"x")</f>
        <v>0x</v>
      </c>
      <c r="BB43" s="201" t="str">
        <f>IF('Your moral weights'!$E$30="Haven't decided yet","-",ROUND((SUMPRODUCT(BB12:BB17,BB26:BB31)*(1+BB33)*(1+BB34)*(1+BB35))/BB38,1)&amp;"x")</f>
        <v>0x</v>
      </c>
      <c r="BC43" s="201" t="str">
        <f>IF('Your moral weights'!$E$30="Haven't decided yet","-",ROUND((SUMPRODUCT(BC12:BC17,BC26:BC31)*(1+BC33)*(1+BC34)*(1+BC35))/BC38,1)&amp;"x")</f>
        <v>0x</v>
      </c>
      <c r="BD43" s="201" t="str">
        <f>IF('Your moral weights'!$E$30="Haven't decided yet","-",ROUND((SUMPRODUCT(BD12:BD17,BD26:BD31)*(1+BD33)*(1+BD34)*(1+BD35))/BD38,1)&amp;"x")</f>
        <v>0x</v>
      </c>
      <c r="BE43" s="201" t="str">
        <f>IF('Your moral weights'!$E$30="Haven't decided yet","-",ROUND((SUMPRODUCT(BE12:BE17,BE26:BE31)*(1+BE33)*(1+BE34)*(1+BE35))/BE38,1)&amp;"x")</f>
        <v>0x</v>
      </c>
      <c r="BF43" s="201" t="str">
        <f>IF('Your moral weights'!$E$30="Haven't decided yet","-",ROUND((SUMPRODUCT(BF12:BF17,BF26:BF31)*(1+BF33)*(1+BF34)*(1+BF35))/BF38,1)&amp;"x")</f>
        <v>0x</v>
      </c>
      <c r="BG43" s="201" t="str">
        <f>IF('Your moral weights'!$E$30="Haven't decided yet","-",ROUND((SUMPRODUCT(BG12:BG17,BG26:BG31)*(1+BG33)*(1+BG34)*(1+BG35))/BG38,1)&amp;"x")</f>
        <v>0x</v>
      </c>
      <c r="BH43" s="201" t="str">
        <f>IF('Your moral weights'!$E$30="Haven't decided yet","-",ROUND((SUMPRODUCT(BH12:BH17,BH26:BH31)*(1+BH33)*(1+BH34)*(1+BH35))/BH38,1)&amp;"x")</f>
        <v>0x</v>
      </c>
      <c r="BI43" s="201" t="str">
        <f>IF('Your moral weights'!$E$30="Haven't decided yet","-",ROUND((SUMPRODUCT(BI12:BI17,BI26:BI31)*(1+BI33)*(1+BI34)*(1+BI35))/BI38,1)&amp;"x")</f>
        <v>0x</v>
      </c>
      <c r="BJ43" s="201" t="str">
        <f>IF('Your moral weights'!$E$30="Haven't decided yet","-",ROUND((SUMPRODUCT(BJ12:BJ17,BJ26:BJ31)*(1+BJ33)*(1+BJ34)*(1+BJ35))/BJ38,1)&amp;"x")</f>
        <v>0x</v>
      </c>
      <c r="BK43" s="201" t="str">
        <f>IF('Your moral weights'!$E$30="Haven't decided yet","-",ROUND((SUMPRODUCT(BK12:BK17,BK26:BK31)*(1+BK33)*(1+BK34)*(1+BK35))/BK38,1)&amp;"x")</f>
        <v>0x</v>
      </c>
      <c r="BL43" s="201" t="str">
        <f>IF('Your moral weights'!$E$30="Haven't decided yet","-",ROUND((SUMPRODUCT(BL12:BL17,BL26:BL31)*(1+BL33)*(1+BL34)*(1+BL35))/BL38,1)&amp;"x")</f>
        <v>0x</v>
      </c>
      <c r="BM43" s="201" t="str">
        <f>IF('Your moral weights'!$E$30="Haven't decided yet","-",ROUND((SUMPRODUCT(BM12:BM17,BM26:BM31)*(1+BM33)*(1+BM34)*(1+BM35))/BM38,1)&amp;"x")</f>
        <v>0x</v>
      </c>
      <c r="BN43" s="201" t="str">
        <f>IF('Your moral weights'!$E$30="Haven't decided yet","-",ROUND((SUMPRODUCT(BN12:BN17,BN26:BN31)*(1+BN33)*(1+BN34)*(1+BN35))/BN38,1)&amp;"x")</f>
        <v>0x</v>
      </c>
      <c r="BO43" s="201" t="str">
        <f>IF('Your moral weights'!$E$30="Haven't decided yet","-",ROUND((SUMPRODUCT(BO12:BO17,BO26:BO31)*(1+BO33)*(1+BO34)*(1+BO35))/BO38,1)&amp;"x")</f>
        <v>0x</v>
      </c>
      <c r="BP43" s="201" t="str">
        <f>IF('Your moral weights'!$E$30="Haven't decided yet","-",ROUND((SUMPRODUCT(BP12:BP17,BP26:BP31)*(1+BP33)*(1+BP34)*(1+BP35))/BP38,1)&amp;"x")</f>
        <v>0x</v>
      </c>
      <c r="BQ43" s="201" t="str">
        <f>IF('Your moral weights'!$E$30="Haven't decided yet","-",ROUND((SUMPRODUCT(BQ12:BQ17,BQ26:BQ31)*(1+BQ33)*(1+BQ34)*(1+BQ35))/BQ38,1)&amp;"x")</f>
        <v>0x</v>
      </c>
      <c r="BR43" s="201" t="str">
        <f>IF('Your moral weights'!$E$30="Haven't decided yet","-",ROUND((SUMPRODUCT(BR12:BR17,BR26:BR31)*(1+BR33)*(1+BR34)*(1+BR35))/BR38,1)&amp;"x")</f>
        <v>0x</v>
      </c>
      <c r="BS43" s="201" t="str">
        <f>IF('Your moral weights'!$E$30="Haven't decided yet","-",ROUND((SUMPRODUCT(BS12:BS17,BS26:BS31)*(1+BS33)*(1+BS34)*(1+BS35))/BS38,1)&amp;"x")</f>
        <v>0x</v>
      </c>
      <c r="BT43" s="201" t="str">
        <f>IF('Your moral weights'!$E$30="Haven't decided yet","-",ROUND((SUMPRODUCT(BT12:BT17,BT26:BT31)*(1+BT33)*(1+BT34)*(1+BT35))/BT38,1)&amp;"x")</f>
        <v>0x</v>
      </c>
      <c r="BU43" s="201" t="str">
        <f>IF('Your moral weights'!$E$30="Haven't decided yet","-",ROUND((SUMPRODUCT(BU12:BU17,BU26:BU31)*(1+BU33)*(1+BU34)*(1+BU35))/BU38,1)&amp;"x")</f>
        <v>0x</v>
      </c>
      <c r="BV43" s="201" t="str">
        <f>IF('Your moral weights'!$E$30="Haven't decided yet","-",ROUND((SUMPRODUCT(BV12:BV17,BV26:BV31)*(1+BV33)*(1+BV34)*(1+BV35))/BV38,1)&amp;"x")</f>
        <v>0x</v>
      </c>
      <c r="BW43" s="201" t="str">
        <f>IF('Your moral weights'!$E$30="Haven't decided yet","-",ROUND((SUMPRODUCT(BW12:BW17,BW26:BW31)*(1+BW33)*(1+BW34)*(1+BW35))/BW38,1)&amp;"x")</f>
        <v>0x</v>
      </c>
      <c r="BX43" s="201" t="str">
        <f>IF('Your moral weights'!$E$30="Haven't decided yet","-",ROUND((SUMPRODUCT(BX12:BX17,BX26:BX31)*(1+BX33)*(1+BX34)*(1+BX35))/BX38,1)&amp;"x")</f>
        <v>0x</v>
      </c>
      <c r="BY43" s="201" t="str">
        <f>IF('Your moral weights'!$E$30="Haven't decided yet","-",ROUND((SUMPRODUCT(BY12:BY17,BY26:BY31)*(1+BY33)*(1+BY34)*(1+BY35))/BY38,1)&amp;"x")</f>
        <v>0x</v>
      </c>
      <c r="BZ43" s="201" t="str">
        <f>IF('Your moral weights'!$E$30="Haven't decided yet","-",ROUND((SUMPRODUCT(BZ12:BZ17,BZ26:BZ31)*(1+BZ33)*(1+BZ34)*(1+BZ35))/BZ38,1)&amp;"x")</f>
        <v>0x</v>
      </c>
      <c r="CA43" s="201" t="str">
        <f>IF('Your moral weights'!$E$30="Haven't decided yet","-",ROUND((SUMPRODUCT(CA12:CA17,CA26:CA31)*(1+CA33)*(1+CA34)*(1+CA35))/CA38,1)&amp;"x")</f>
        <v>0x</v>
      </c>
      <c r="CB43" s="201" t="str">
        <f>IF('Your moral weights'!$E$30="Haven't decided yet","-",ROUND((SUMPRODUCT(CB12:CB17,CB26:CB31)*(1+CB33)*(1+CB34)*(1+CB35))/CB38,1)&amp;"x")</f>
        <v>0x</v>
      </c>
      <c r="CC43" s="201" t="str">
        <f>IF('Your moral weights'!$E$30="Haven't decided yet","-",ROUND((SUMPRODUCT(CC12:CC17,CC26:CC31)*(1+CC33)*(1+CC34)*(1+CC35))/CC38,1)&amp;"x")</f>
        <v>0x</v>
      </c>
      <c r="CD43" s="201" t="str">
        <f>IF('Your moral weights'!$E$30="Haven't decided yet","-",ROUND((SUMPRODUCT(CD12:CD17,CD26:CD31)*(1+CD33)*(1+CD34)*(1+CD35))/CD38,1)&amp;"x")</f>
        <v>0x</v>
      </c>
      <c r="CE43" s="201" t="str">
        <f>IF('Your moral weights'!$E$30="Haven't decided yet","-",ROUND((SUMPRODUCT(CE12:CE17,CE26:CE31)*(1+CE33)*(1+CE34)*(1+CE35))/CE38,1)&amp;"x")</f>
        <v>0x</v>
      </c>
      <c r="CF43" s="201" t="str">
        <f>IF('Your moral weights'!$E$30="Haven't decided yet","-",ROUND((SUMPRODUCT(CF12:CF17,CF26:CF31)*(1+CF33)*(1+CF34)*(1+CF35))/CF38,1)&amp;"x")</f>
        <v>0x</v>
      </c>
      <c r="CG43" s="201" t="str">
        <f>IF('Your moral weights'!$E$30="Haven't decided yet","-",ROUND((SUMPRODUCT(CG12:CG17,CG26:CG31)*(1+CG33)*(1+CG34)*(1+CG35))/CG38,1)&amp;"x")</f>
        <v>0x</v>
      </c>
      <c r="CH43" s="201" t="str">
        <f>IF('Your moral weights'!$E$30="Haven't decided yet","-",ROUND((SUMPRODUCT(CH12:CH17,CH26:CH31)*(1+CH33)*(1+CH34)*(1+CH35))/CH38,1)&amp;"x")</f>
        <v>0x</v>
      </c>
      <c r="CI43" s="201" t="str">
        <f>IF('Your moral weights'!$E$30="Haven't decided yet","-",ROUND((SUMPRODUCT(CI12:CI17,CI26:CI31)*(1+CI33)*(1+CI34)*(1+CI35))/CI38,1)&amp;"x")</f>
        <v>0x</v>
      </c>
      <c r="CJ43" s="201" t="str">
        <f>IF('Your moral weights'!$E$30="Haven't decided yet","-",ROUND((SUMPRODUCT(CJ12:CJ17,CJ26:CJ31)*(1+CJ33)*(1+CJ34)*(1+CJ35))/CJ38,1)&amp;"x")</f>
        <v>0x</v>
      </c>
      <c r="CK43" s="201" t="str">
        <f>IF('Your moral weights'!$E$30="Haven't decided yet","-",ROUND((SUMPRODUCT(CK12:CK17,CK26:CK31)*(1+CK33)*(1+CK34)*(1+CK35))/CK38,1)&amp;"x")</f>
        <v>0x</v>
      </c>
      <c r="CL43" s="202" t="str">
        <f>IF('Your moral weights'!$E$30="Haven't decided yet","-",ROUND((SUMPRODUCT(CL12:CL17,CL26:CL31)*(1+CL33)*(1+CL34)*(1+CL35))/CL38,1)&amp;"x")</f>
        <v>0x</v>
      </c>
      <c r="CM43" s="35"/>
    </row>
  </sheetData>
  <mergeCells count="16">
    <mergeCell ref="BK7:BS7"/>
    <mergeCell ref="BT7:CB7"/>
    <mergeCell ref="CC7:CL7"/>
    <mergeCell ref="B11:C11"/>
    <mergeCell ref="B18:C18"/>
    <mergeCell ref="B25:C25"/>
    <mergeCell ref="B32:C32"/>
    <mergeCell ref="B36:C36"/>
    <mergeCell ref="B39:C39"/>
    <mergeCell ref="D7:K7"/>
    <mergeCell ref="L7:T7"/>
    <mergeCell ref="U7:AC7"/>
    <mergeCell ref="AD7:AK7"/>
    <mergeCell ref="AL7:AS7"/>
    <mergeCell ref="AT7:BA7"/>
    <mergeCell ref="BB7:BJ7"/>
  </mergeCells>
  <drawing r:id="rId1"/>
</worksheet>
</file>